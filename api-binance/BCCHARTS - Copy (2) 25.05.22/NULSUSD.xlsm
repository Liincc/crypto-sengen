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1F083BF2-62F2-4BBE-9C5E-B884115D368F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195" i="1"/>
  <c r="Q1195" i="1" s="1"/>
  <c r="R1195" i="1" s="1"/>
  <c r="P1194" i="1"/>
  <c r="Q1194" i="1" s="1"/>
  <c r="P1193" i="1"/>
  <c r="Q1193" i="1" s="1"/>
  <c r="P1192" i="1"/>
  <c r="Q1192" i="1" s="1"/>
  <c r="P1191" i="1"/>
  <c r="Q1191" i="1" s="1"/>
  <c r="P1190" i="1"/>
  <c r="Q1190" i="1" s="1"/>
  <c r="P1189" i="1"/>
  <c r="Q1189" i="1" s="1"/>
  <c r="P1188" i="1"/>
  <c r="Q1188" i="1" s="1"/>
  <c r="P1187" i="1"/>
  <c r="Q1187" i="1" s="1"/>
  <c r="P1186" i="1"/>
  <c r="Q1186" i="1" s="1"/>
  <c r="P1185" i="1"/>
  <c r="Q1185" i="1" s="1"/>
  <c r="P1184" i="1"/>
  <c r="Q1184" i="1" s="1"/>
  <c r="P1183" i="1"/>
  <c r="Q1183" i="1" s="1"/>
  <c r="P1182" i="1"/>
  <c r="Q1182" i="1" s="1"/>
  <c r="P1181" i="1"/>
  <c r="Q1181" i="1" s="1"/>
  <c r="P1180" i="1"/>
  <c r="Q1180" i="1" s="1"/>
  <c r="P1179" i="1"/>
  <c r="Q1179" i="1" s="1"/>
  <c r="P1178" i="1"/>
  <c r="Q1178" i="1" s="1"/>
  <c r="P1177" i="1"/>
  <c r="Q1177" i="1" s="1"/>
  <c r="P1176" i="1"/>
  <c r="Q1176" i="1" s="1"/>
  <c r="P1175" i="1"/>
  <c r="Q1175" i="1" s="1"/>
  <c r="P1174" i="1"/>
  <c r="Q1174" i="1" s="1"/>
  <c r="P1173" i="1"/>
  <c r="Q1173" i="1" s="1"/>
  <c r="P1172" i="1"/>
  <c r="Q1172" i="1" s="1"/>
  <c r="P1171" i="1"/>
  <c r="Q1171" i="1" s="1"/>
  <c r="P1170" i="1"/>
  <c r="Q1170" i="1" s="1"/>
  <c r="P1169" i="1"/>
  <c r="Q1169" i="1" s="1"/>
  <c r="P1168" i="1"/>
  <c r="Q1168" i="1" s="1"/>
  <c r="P1167" i="1"/>
  <c r="Q1167" i="1" s="1"/>
  <c r="P1166" i="1"/>
  <c r="Q1166" i="1" s="1"/>
  <c r="P1165" i="1"/>
  <c r="Q1165" i="1" s="1"/>
  <c r="P1164" i="1"/>
  <c r="Q1164" i="1" s="1"/>
  <c r="P1163" i="1"/>
  <c r="Q1163" i="1" s="1"/>
  <c r="P1162" i="1"/>
  <c r="Q1162" i="1" s="1"/>
  <c r="P1161" i="1"/>
  <c r="Q1161" i="1" s="1"/>
  <c r="P1160" i="1"/>
  <c r="Q1160" i="1" s="1"/>
  <c r="P1159" i="1"/>
  <c r="Q1159" i="1" s="1"/>
  <c r="P1158" i="1"/>
  <c r="Q1158" i="1" s="1"/>
  <c r="P1157" i="1"/>
  <c r="Q1157" i="1" s="1"/>
  <c r="P1156" i="1"/>
  <c r="Q1156" i="1" s="1"/>
  <c r="P1155" i="1"/>
  <c r="Q1155" i="1" s="1"/>
  <c r="P1154" i="1"/>
  <c r="Q1154" i="1" s="1"/>
  <c r="P1153" i="1"/>
  <c r="Q1153" i="1" s="1"/>
  <c r="P1152" i="1"/>
  <c r="Q1152" i="1" s="1"/>
  <c r="P1151" i="1"/>
  <c r="Q1151" i="1" s="1"/>
  <c r="P1150" i="1"/>
  <c r="Q1150" i="1" s="1"/>
  <c r="P1149" i="1"/>
  <c r="Q1149" i="1" s="1"/>
  <c r="P1148" i="1"/>
  <c r="Q1148" i="1" s="1"/>
  <c r="P1147" i="1"/>
  <c r="Q1147" i="1" s="1"/>
  <c r="P1146" i="1"/>
  <c r="Q1146" i="1" s="1"/>
  <c r="P1145" i="1"/>
  <c r="Q1145" i="1" s="1"/>
  <c r="P1144" i="1"/>
  <c r="Q1144" i="1" s="1"/>
  <c r="P1143" i="1"/>
  <c r="Q1143" i="1" s="1"/>
  <c r="P1142" i="1"/>
  <c r="Q1142" i="1" s="1"/>
  <c r="P1141" i="1"/>
  <c r="Q1141" i="1" s="1"/>
  <c r="P1140" i="1"/>
  <c r="Q1140" i="1" s="1"/>
  <c r="P1139" i="1"/>
  <c r="Q1139" i="1" s="1"/>
  <c r="P1138" i="1"/>
  <c r="Q1138" i="1" s="1"/>
  <c r="P1137" i="1"/>
  <c r="Q1137" i="1" s="1"/>
  <c r="P1136" i="1"/>
  <c r="Q1136" i="1" s="1"/>
  <c r="P1135" i="1"/>
  <c r="Q1135" i="1" s="1"/>
  <c r="P1134" i="1"/>
  <c r="Q1134" i="1" s="1"/>
  <c r="P1133" i="1"/>
  <c r="Q1133" i="1" s="1"/>
  <c r="P1132" i="1"/>
  <c r="Q1132" i="1" s="1"/>
  <c r="P1131" i="1"/>
  <c r="Q1131" i="1" s="1"/>
  <c r="P1130" i="1"/>
  <c r="Q1130" i="1" s="1"/>
  <c r="P1129" i="1"/>
  <c r="Q1129" i="1" s="1"/>
  <c r="P1128" i="1"/>
  <c r="Q1128" i="1" s="1"/>
  <c r="P1127" i="1"/>
  <c r="Q1127" i="1" s="1"/>
  <c r="P1126" i="1"/>
  <c r="Q1126" i="1" s="1"/>
  <c r="P1125" i="1"/>
  <c r="Q1125" i="1" s="1"/>
  <c r="P1124" i="1"/>
  <c r="Q1124" i="1" s="1"/>
  <c r="P1123" i="1"/>
  <c r="Q1123" i="1" s="1"/>
  <c r="P1122" i="1"/>
  <c r="Q1122" i="1" s="1"/>
  <c r="P1121" i="1"/>
  <c r="Q1121" i="1" s="1"/>
  <c r="P1120" i="1"/>
  <c r="Q1120" i="1" s="1"/>
  <c r="P1119" i="1"/>
  <c r="Q1119" i="1" s="1"/>
  <c r="P1118" i="1"/>
  <c r="Q1118" i="1" s="1"/>
  <c r="P1117" i="1"/>
  <c r="Q1117" i="1" s="1"/>
  <c r="P1116" i="1"/>
  <c r="Q1116" i="1" s="1"/>
  <c r="P1115" i="1"/>
  <c r="Q1115" i="1" s="1"/>
  <c r="P1114" i="1"/>
  <c r="Q1114" i="1" s="1"/>
  <c r="P1113" i="1"/>
  <c r="Q1113" i="1" s="1"/>
  <c r="P1112" i="1"/>
  <c r="Q1112" i="1" s="1"/>
  <c r="P1111" i="1"/>
  <c r="Q1111" i="1" s="1"/>
  <c r="P1110" i="1"/>
  <c r="Q1110" i="1" s="1"/>
  <c r="P1109" i="1"/>
  <c r="Q1109" i="1" s="1"/>
  <c r="P1108" i="1"/>
  <c r="Q1108" i="1" s="1"/>
  <c r="P1107" i="1"/>
  <c r="Q1107" i="1" s="1"/>
  <c r="P1106" i="1"/>
  <c r="Q1106" i="1" s="1"/>
  <c r="P1105" i="1"/>
  <c r="Q1105" i="1" s="1"/>
  <c r="P1104" i="1"/>
  <c r="Q1104" i="1" s="1"/>
  <c r="P1103" i="1"/>
  <c r="Q1103" i="1" s="1"/>
  <c r="P1102" i="1"/>
  <c r="Q1102" i="1" s="1"/>
  <c r="P1101" i="1"/>
  <c r="Q1101" i="1" s="1"/>
  <c r="P1100" i="1"/>
  <c r="Q1100" i="1" s="1"/>
  <c r="P1099" i="1"/>
  <c r="Q1099" i="1" s="1"/>
  <c r="P1098" i="1"/>
  <c r="Q1098" i="1" s="1"/>
  <c r="P1097" i="1"/>
  <c r="Q1097" i="1" s="1"/>
  <c r="P1096" i="1"/>
  <c r="Q1096" i="1" s="1"/>
  <c r="P1095" i="1"/>
  <c r="Q1095" i="1" s="1"/>
  <c r="P1094" i="1"/>
  <c r="Q1094" i="1" s="1"/>
  <c r="P1093" i="1"/>
  <c r="Q1093" i="1" s="1"/>
  <c r="P1092" i="1"/>
  <c r="Q1092" i="1" s="1"/>
  <c r="P1091" i="1"/>
  <c r="Q1091" i="1" s="1"/>
  <c r="P1090" i="1"/>
  <c r="Q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195" i="1"/>
  <c r="T119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22" i="4"/>
  <c r="C133" i="4" s="1"/>
  <c r="C136" i="4" s="1"/>
  <c r="C118" i="4"/>
  <c r="C118" i="5"/>
  <c r="R1194" i="1"/>
  <c r="S1194" i="1" s="1"/>
  <c r="T1194" i="1" s="1"/>
  <c r="C122" i="3"/>
  <c r="C133" i="3" s="1"/>
  <c r="C136" i="3" s="1"/>
  <c r="C118" i="3"/>
  <c r="D136" i="5" l="1"/>
  <c r="C138" i="5" s="1"/>
  <c r="D136" i="4"/>
  <c r="C138" i="4" s="1"/>
  <c r="R1193" i="1"/>
  <c r="R1192" i="1" s="1"/>
  <c r="D136" i="3"/>
  <c r="C138" i="3" s="1"/>
  <c r="S1193" i="1" l="1"/>
  <c r="T1193" i="1" s="1"/>
  <c r="R1191" i="1"/>
  <c r="S1192" i="1"/>
  <c r="T1192" i="1" s="1"/>
  <c r="R1190" i="1" l="1"/>
  <c r="S1191" i="1"/>
  <c r="T1191" i="1" s="1"/>
  <c r="R1189" i="1" l="1"/>
  <c r="S1190" i="1"/>
  <c r="T1190" i="1" s="1"/>
  <c r="R1188" i="1" l="1"/>
  <c r="S1189" i="1"/>
  <c r="T1189" i="1" s="1"/>
  <c r="R1187" i="1" l="1"/>
  <c r="S1188" i="1"/>
  <c r="T1188" i="1" s="1"/>
  <c r="R1186" i="1" l="1"/>
  <c r="S1187" i="1"/>
  <c r="T1187" i="1" s="1"/>
  <c r="R1185" i="1" l="1"/>
  <c r="S1186" i="1"/>
  <c r="T1186" i="1" s="1"/>
  <c r="R1184" i="1" l="1"/>
  <c r="S1185" i="1"/>
  <c r="T1185" i="1" s="1"/>
  <c r="R1183" i="1" l="1"/>
  <c r="S1184" i="1"/>
  <c r="T1184" i="1" s="1"/>
  <c r="R1182" i="1" l="1"/>
  <c r="S1183" i="1"/>
  <c r="T1183" i="1" s="1"/>
  <c r="R1181" i="1" l="1"/>
  <c r="S1182" i="1"/>
  <c r="T1182" i="1" s="1"/>
  <c r="R1180" i="1" l="1"/>
  <c r="S1181" i="1"/>
  <c r="T1181" i="1" s="1"/>
  <c r="R1179" i="1" l="1"/>
  <c r="S1180" i="1"/>
  <c r="T1180" i="1" s="1"/>
  <c r="R1178" i="1" l="1"/>
  <c r="S1179" i="1"/>
  <c r="T1179" i="1" s="1"/>
  <c r="R1177" i="1" l="1"/>
  <c r="S1178" i="1"/>
  <c r="T1178" i="1" s="1"/>
  <c r="R1176" i="1" l="1"/>
  <c r="S1177" i="1"/>
  <c r="T1177" i="1" s="1"/>
  <c r="R1175" i="1" l="1"/>
  <c r="S1176" i="1"/>
  <c r="T1176" i="1" s="1"/>
  <c r="R1174" i="1" l="1"/>
  <c r="S1175" i="1"/>
  <c r="T1175" i="1" s="1"/>
  <c r="R1173" i="1" l="1"/>
  <c r="S1174" i="1"/>
  <c r="T1174" i="1" s="1"/>
  <c r="R1172" i="1" l="1"/>
  <c r="S1173" i="1"/>
  <c r="T1173" i="1" s="1"/>
  <c r="R1171" i="1" l="1"/>
  <c r="S1172" i="1"/>
  <c r="T1172" i="1" s="1"/>
  <c r="R1170" i="1" l="1"/>
  <c r="S1171" i="1"/>
  <c r="T1171" i="1" s="1"/>
  <c r="R1169" i="1" l="1"/>
  <c r="S1170" i="1"/>
  <c r="T1170" i="1" s="1"/>
  <c r="R1168" i="1" l="1"/>
  <c r="S1169" i="1"/>
  <c r="T1169" i="1" s="1"/>
  <c r="R1167" i="1" l="1"/>
  <c r="S1168" i="1"/>
  <c r="T1168" i="1" s="1"/>
  <c r="R1166" i="1" l="1"/>
  <c r="S1167" i="1"/>
  <c r="T1167" i="1" s="1"/>
  <c r="R1165" i="1" l="1"/>
  <c r="S1166" i="1"/>
  <c r="T1166" i="1" s="1"/>
  <c r="R1164" i="1" l="1"/>
  <c r="S1165" i="1"/>
  <c r="T1165" i="1" s="1"/>
  <c r="R1163" i="1" l="1"/>
  <c r="S1164" i="1"/>
  <c r="T1164" i="1" s="1"/>
  <c r="R1162" i="1" l="1"/>
  <c r="S1163" i="1"/>
  <c r="T1163" i="1" s="1"/>
  <c r="R1161" i="1" l="1"/>
  <c r="S1162" i="1"/>
  <c r="T1162" i="1" s="1"/>
  <c r="R1160" i="1" l="1"/>
  <c r="S1161" i="1"/>
  <c r="T1161" i="1" s="1"/>
  <c r="R1159" i="1" l="1"/>
  <c r="S1160" i="1"/>
  <c r="T1160" i="1" s="1"/>
  <c r="R1158" i="1" l="1"/>
  <c r="S1159" i="1"/>
  <c r="T1159" i="1" s="1"/>
  <c r="R1157" i="1" l="1"/>
  <c r="S1158" i="1"/>
  <c r="T1158" i="1" s="1"/>
  <c r="R1156" i="1" l="1"/>
  <c r="S1157" i="1"/>
  <c r="T1157" i="1" s="1"/>
  <c r="R1155" i="1" l="1"/>
  <c r="S1156" i="1"/>
  <c r="T1156" i="1" s="1"/>
  <c r="R1154" i="1" l="1"/>
  <c r="S1155" i="1"/>
  <c r="T1155" i="1" s="1"/>
  <c r="R1153" i="1" l="1"/>
  <c r="S1154" i="1"/>
  <c r="T1154" i="1" s="1"/>
  <c r="R1152" i="1" l="1"/>
  <c r="S1153" i="1"/>
  <c r="T1153" i="1" s="1"/>
  <c r="R1151" i="1" l="1"/>
  <c r="S1152" i="1"/>
  <c r="T1152" i="1" s="1"/>
  <c r="R1150" i="1" l="1"/>
  <c r="S1151" i="1"/>
  <c r="T1151" i="1" s="1"/>
  <c r="R1149" i="1" l="1"/>
  <c r="S1150" i="1"/>
  <c r="T1150" i="1" s="1"/>
  <c r="R1148" i="1" l="1"/>
  <c r="S1149" i="1"/>
  <c r="T1149" i="1" s="1"/>
  <c r="R1147" i="1" l="1"/>
  <c r="S1148" i="1"/>
  <c r="T1148" i="1" s="1"/>
  <c r="R1146" i="1" l="1"/>
  <c r="S1147" i="1"/>
  <c r="T1147" i="1" s="1"/>
  <c r="R1145" i="1" l="1"/>
  <c r="S1146" i="1"/>
  <c r="T1146" i="1" s="1"/>
  <c r="R1144" i="1" l="1"/>
  <c r="S1145" i="1"/>
  <c r="T1145" i="1" s="1"/>
  <c r="R1143" i="1" l="1"/>
  <c r="S1144" i="1"/>
  <c r="T1144" i="1" s="1"/>
  <c r="R1142" i="1" l="1"/>
  <c r="S1143" i="1"/>
  <c r="T1143" i="1" s="1"/>
  <c r="R1141" i="1" l="1"/>
  <c r="S1142" i="1"/>
  <c r="T1142" i="1" s="1"/>
  <c r="R1140" i="1" l="1"/>
  <c r="S1141" i="1"/>
  <c r="T1141" i="1" s="1"/>
  <c r="R1139" i="1" l="1"/>
  <c r="S1140" i="1"/>
  <c r="T1140" i="1" s="1"/>
  <c r="R1138" i="1" l="1"/>
  <c r="S1139" i="1"/>
  <c r="T1139" i="1" s="1"/>
  <c r="R1137" i="1" l="1"/>
  <c r="S1138" i="1"/>
  <c r="T1138" i="1" s="1"/>
  <c r="R1136" i="1" l="1"/>
  <c r="S1137" i="1"/>
  <c r="T1137" i="1" s="1"/>
  <c r="R1135" i="1" l="1"/>
  <c r="S1136" i="1"/>
  <c r="T1136" i="1" s="1"/>
  <c r="R1134" i="1" l="1"/>
  <c r="S1135" i="1"/>
  <c r="T1135" i="1" s="1"/>
  <c r="R1133" i="1" l="1"/>
  <c r="S1134" i="1"/>
  <c r="T1134" i="1" s="1"/>
  <c r="R1132" i="1" l="1"/>
  <c r="S1133" i="1"/>
  <c r="T1133" i="1" s="1"/>
  <c r="R1131" i="1" l="1"/>
  <c r="S1132" i="1"/>
  <c r="T1132" i="1" s="1"/>
  <c r="R1130" i="1" l="1"/>
  <c r="S1131" i="1"/>
  <c r="T1131" i="1" s="1"/>
  <c r="R1129" i="1" l="1"/>
  <c r="S1130" i="1"/>
  <c r="T1130" i="1" s="1"/>
  <c r="R1128" i="1" l="1"/>
  <c r="S1129" i="1"/>
  <c r="T1129" i="1" s="1"/>
  <c r="R1127" i="1" l="1"/>
  <c r="S1128" i="1"/>
  <c r="T1128" i="1" s="1"/>
  <c r="R1126" i="1" l="1"/>
  <c r="S1127" i="1"/>
  <c r="T1127" i="1" s="1"/>
  <c r="R1125" i="1" l="1"/>
  <c r="S1126" i="1"/>
  <c r="T1126" i="1" s="1"/>
  <c r="R1124" i="1" l="1"/>
  <c r="S1125" i="1"/>
  <c r="T1125" i="1" s="1"/>
  <c r="R1123" i="1" l="1"/>
  <c r="S1124" i="1"/>
  <c r="T1124" i="1" s="1"/>
  <c r="R1122" i="1" l="1"/>
  <c r="S1123" i="1"/>
  <c r="T1123" i="1" s="1"/>
  <c r="R1121" i="1" l="1"/>
  <c r="S1122" i="1"/>
  <c r="T1122" i="1" s="1"/>
  <c r="R1120" i="1" l="1"/>
  <c r="S1121" i="1"/>
  <c r="T1121" i="1" s="1"/>
  <c r="R1119" i="1" l="1"/>
  <c r="S1120" i="1"/>
  <c r="T1120" i="1" s="1"/>
  <c r="R1118" i="1" l="1"/>
  <c r="S1119" i="1"/>
  <c r="T1119" i="1" s="1"/>
  <c r="R1117" i="1" l="1"/>
  <c r="S1118" i="1"/>
  <c r="T1118" i="1" s="1"/>
  <c r="R1116" i="1" l="1"/>
  <c r="S1117" i="1"/>
  <c r="T1117" i="1" s="1"/>
  <c r="R1115" i="1" l="1"/>
  <c r="S1116" i="1"/>
  <c r="T1116" i="1" s="1"/>
  <c r="R1114" i="1" l="1"/>
  <c r="S1115" i="1"/>
  <c r="T1115" i="1" s="1"/>
  <c r="R1113" i="1" l="1"/>
  <c r="S1114" i="1"/>
  <c r="T1114" i="1" s="1"/>
  <c r="R1112" i="1" l="1"/>
  <c r="S1113" i="1"/>
  <c r="T1113" i="1" s="1"/>
  <c r="S1112" i="1" l="1"/>
  <c r="T1112" i="1" s="1"/>
  <c r="R1111" i="1"/>
  <c r="R1110" i="1" l="1"/>
  <c r="S1111" i="1"/>
  <c r="T1111" i="1" s="1"/>
  <c r="R1109" i="1" l="1"/>
  <c r="S1110" i="1"/>
  <c r="T1110" i="1" s="1"/>
  <c r="R1108" i="1" l="1"/>
  <c r="S1109" i="1"/>
  <c r="T1109" i="1" s="1"/>
  <c r="R1107" i="1" l="1"/>
  <c r="S1108" i="1"/>
  <c r="T1108" i="1" s="1"/>
  <c r="R1106" i="1" l="1"/>
  <c r="S1107" i="1"/>
  <c r="T1107" i="1" s="1"/>
  <c r="R1105" i="1" l="1"/>
  <c r="S1106" i="1"/>
  <c r="T1106" i="1" s="1"/>
  <c r="R1104" i="1" l="1"/>
  <c r="S1105" i="1"/>
  <c r="T1105" i="1" s="1"/>
  <c r="R1103" i="1" l="1"/>
  <c r="S1104" i="1"/>
  <c r="T1104" i="1" s="1"/>
  <c r="R1102" i="1" l="1"/>
  <c r="S1103" i="1"/>
  <c r="T1103" i="1" s="1"/>
  <c r="R1101" i="1" l="1"/>
  <c r="S1102" i="1"/>
  <c r="T1102" i="1" s="1"/>
  <c r="R1100" i="1" l="1"/>
  <c r="S1101" i="1"/>
  <c r="T1101" i="1" s="1"/>
  <c r="R1099" i="1" l="1"/>
  <c r="S1100" i="1"/>
  <c r="T1100" i="1" s="1"/>
  <c r="R1098" i="1" l="1"/>
  <c r="S1099" i="1"/>
  <c r="T1099" i="1" s="1"/>
  <c r="R1097" i="1" l="1"/>
  <c r="S1098" i="1"/>
  <c r="T1098" i="1" s="1"/>
  <c r="S1097" i="1" l="1"/>
  <c r="T1097" i="1" s="1"/>
  <c r="R1096" i="1"/>
  <c r="R1095" i="1" l="1"/>
  <c r="S1096" i="1"/>
  <c r="T1096" i="1" s="1"/>
  <c r="R1094" i="1" l="1"/>
  <c r="S1095" i="1"/>
  <c r="T1095" i="1" s="1"/>
  <c r="R1093" i="1" l="1"/>
  <c r="S1094" i="1"/>
  <c r="T1094" i="1" s="1"/>
  <c r="R1092" i="1" l="1"/>
  <c r="S1093" i="1"/>
  <c r="T1093" i="1" s="1"/>
  <c r="R1091" i="1" l="1"/>
  <c r="S1092" i="1"/>
  <c r="T1092" i="1" s="1"/>
  <c r="R1090" i="1" l="1"/>
  <c r="S1091" i="1"/>
  <c r="T1091" i="1" s="1"/>
  <c r="R1089" i="1" l="1"/>
  <c r="S1090" i="1"/>
  <c r="T1090" i="1" s="1"/>
  <c r="R1088" i="1" l="1"/>
  <c r="S1089" i="1"/>
  <c r="T1089" i="1" s="1"/>
  <c r="R1087" i="1" l="1"/>
  <c r="S1088" i="1"/>
  <c r="T1088" i="1" s="1"/>
  <c r="R1086" i="1" l="1"/>
  <c r="S1087" i="1"/>
  <c r="T1087" i="1" s="1"/>
  <c r="R1085" i="1" l="1"/>
  <c r="S1086" i="1"/>
  <c r="T1086" i="1" s="1"/>
  <c r="R1084" i="1" l="1"/>
  <c r="S1085" i="1"/>
  <c r="T1085" i="1" s="1"/>
  <c r="R1083" i="1" l="1"/>
  <c r="S1084" i="1"/>
  <c r="T1084" i="1" s="1"/>
  <c r="R1082" i="1" l="1"/>
  <c r="S1083" i="1"/>
  <c r="T1083" i="1" s="1"/>
  <c r="R1081" i="1" l="1"/>
  <c r="S1082" i="1"/>
  <c r="T1082" i="1" s="1"/>
  <c r="R1080" i="1" l="1"/>
  <c r="S1081" i="1"/>
  <c r="T1081" i="1" s="1"/>
  <c r="R1079" i="1" l="1"/>
  <c r="S1080" i="1"/>
  <c r="T1080" i="1" s="1"/>
  <c r="R1078" i="1" l="1"/>
  <c r="S1079" i="1"/>
  <c r="T1079" i="1" s="1"/>
  <c r="R1077" i="1" l="1"/>
  <c r="S1078" i="1"/>
  <c r="T1078" i="1" s="1"/>
  <c r="R1076" i="1" l="1"/>
  <c r="S1077" i="1"/>
  <c r="T1077" i="1" s="1"/>
  <c r="R1075" i="1" l="1"/>
  <c r="S1076" i="1"/>
  <c r="T1076" i="1" s="1"/>
  <c r="R1074" i="1" l="1"/>
  <c r="S1075" i="1"/>
  <c r="T1075" i="1" s="1"/>
  <c r="R1073" i="1" l="1"/>
  <c r="S1074" i="1"/>
  <c r="T1074" i="1" s="1"/>
  <c r="R1072" i="1" l="1"/>
  <c r="S1073" i="1"/>
  <c r="T1073" i="1" s="1"/>
  <c r="R1071" i="1" l="1"/>
  <c r="S1072" i="1"/>
  <c r="T1072" i="1" s="1"/>
  <c r="R1070" i="1" l="1"/>
  <c r="S1071" i="1"/>
  <c r="T1071" i="1" s="1"/>
  <c r="R1069" i="1" l="1"/>
  <c r="S1070" i="1"/>
  <c r="T1070" i="1" s="1"/>
  <c r="R1068" i="1" l="1"/>
  <c r="S1069" i="1"/>
  <c r="T1069" i="1" s="1"/>
  <c r="R1067" i="1" l="1"/>
  <c r="S1068" i="1"/>
  <c r="T1068" i="1" s="1"/>
  <c r="R1066" i="1" l="1"/>
  <c r="S1067" i="1"/>
  <c r="T1067" i="1" s="1"/>
  <c r="R1065" i="1" l="1"/>
  <c r="S1066" i="1"/>
  <c r="T1066" i="1" s="1"/>
  <c r="R1064" i="1" l="1"/>
  <c r="S1065" i="1"/>
  <c r="T1065" i="1" s="1"/>
  <c r="R1063" i="1" l="1"/>
  <c r="S1064" i="1"/>
  <c r="T1064" i="1" s="1"/>
  <c r="R1062" i="1" l="1"/>
  <c r="S1063" i="1"/>
  <c r="T1063" i="1" s="1"/>
  <c r="R1061" i="1" l="1"/>
  <c r="S1062" i="1"/>
  <c r="T1062" i="1" s="1"/>
  <c r="R1060" i="1" l="1"/>
  <c r="S1061" i="1"/>
  <c r="T1061" i="1" s="1"/>
  <c r="R1059" i="1" l="1"/>
  <c r="S1060" i="1"/>
  <c r="T1060" i="1" s="1"/>
  <c r="R1058" i="1" l="1"/>
  <c r="S1059" i="1"/>
  <c r="T1059" i="1" s="1"/>
  <c r="R1057" i="1" l="1"/>
  <c r="S1058" i="1"/>
  <c r="T1058" i="1" s="1"/>
  <c r="R1056" i="1" l="1"/>
  <c r="S1057" i="1"/>
  <c r="T1057" i="1" s="1"/>
  <c r="R1055" i="1" l="1"/>
  <c r="S1056" i="1"/>
  <c r="T1056" i="1" s="1"/>
  <c r="R1054" i="1" l="1"/>
  <c r="S1055" i="1"/>
  <c r="T1055" i="1" s="1"/>
  <c r="R1053" i="1" l="1"/>
  <c r="S1054" i="1"/>
  <c r="T1054" i="1" s="1"/>
  <c r="R1052" i="1" l="1"/>
  <c r="S1053" i="1"/>
  <c r="T1053" i="1" s="1"/>
  <c r="R1051" i="1" l="1"/>
  <c r="S1052" i="1"/>
  <c r="T1052" i="1" s="1"/>
  <c r="R1050" i="1" l="1"/>
  <c r="S1051" i="1"/>
  <c r="T1051" i="1" s="1"/>
  <c r="R1049" i="1" l="1"/>
  <c r="S1050" i="1"/>
  <c r="T1050" i="1" s="1"/>
  <c r="R1048" i="1" l="1"/>
  <c r="S1049" i="1"/>
  <c r="T1049" i="1" s="1"/>
  <c r="R1047" i="1" l="1"/>
  <c r="S1048" i="1"/>
  <c r="T1048" i="1" s="1"/>
  <c r="R1046" i="1" l="1"/>
  <c r="S1047" i="1"/>
  <c r="T1047" i="1" s="1"/>
  <c r="R1045" i="1" l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S1032" i="1" l="1"/>
  <c r="T1032" i="1" s="1"/>
  <c r="R1031" i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S1017" i="1" l="1"/>
  <c r="T1017" i="1" s="1"/>
  <c r="R1016" i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S1001" i="1" l="1"/>
  <c r="T1001" i="1" s="1"/>
  <c r="R1000" i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S905" i="1" l="1"/>
  <c r="T905" i="1" s="1"/>
  <c r="R904" i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S809" i="1" l="1"/>
  <c r="T809" i="1" s="1"/>
  <c r="R808" i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S713" i="1" l="1"/>
  <c r="T713" i="1" s="1"/>
  <c r="R712" i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S689" i="1" l="1"/>
  <c r="T689" i="1" s="1"/>
  <c r="R688" i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S665" i="1" l="1"/>
  <c r="T665" i="1" s="1"/>
  <c r="R664" i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S652" i="1" l="1"/>
  <c r="T652" i="1" s="1"/>
  <c r="R651" i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S617" i="1" l="1"/>
  <c r="T617" i="1" s="1"/>
  <c r="R616" i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S604" i="1" l="1"/>
  <c r="T604" i="1" s="1"/>
  <c r="R603" i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S593" i="1" l="1"/>
  <c r="T593" i="1" s="1"/>
  <c r="R592" i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S569" i="1" l="1"/>
  <c r="T569" i="1" s="1"/>
  <c r="R568" i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S545" i="1" l="1"/>
  <c r="T545" i="1" s="1"/>
  <c r="R544" i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S521" i="1" l="1"/>
  <c r="T521" i="1" s="1"/>
  <c r="R520" i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S505" i="1" l="1"/>
  <c r="T505" i="1" s="1"/>
  <c r="R504" i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S497" i="1" l="1"/>
  <c r="T497" i="1" s="1"/>
  <c r="R496" i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S473" i="1" l="1"/>
  <c r="T473" i="1" s="1"/>
  <c r="R472" i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S465" i="1" l="1"/>
  <c r="T465" i="1" s="1"/>
  <c r="R464" i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S366" i="1" l="1"/>
  <c r="T366" i="1" s="1"/>
  <c r="R365" i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S318" i="1" l="1"/>
  <c r="T318" i="1" s="1"/>
  <c r="R317" i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S282" i="1" l="1"/>
  <c r="T282" i="1" s="1"/>
  <c r="R281" i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S234" i="1" l="1"/>
  <c r="T234" i="1" s="1"/>
  <c r="R233" i="1"/>
  <c r="S233" i="1" l="1"/>
  <c r="T233" i="1" s="1"/>
  <c r="R232" i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S185" i="1" l="1"/>
  <c r="T185" i="1" s="1"/>
  <c r="R184" i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S150" i="1" l="1"/>
  <c r="T150" i="1" s="1"/>
  <c r="R149" i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S114" i="1" l="1"/>
  <c r="T114" i="1" s="1"/>
  <c r="R113" i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S43" i="1" l="1"/>
  <c r="T43" i="1" s="1"/>
  <c r="R42" i="1"/>
  <c r="S42" i="1" l="1"/>
  <c r="T42" i="1" s="1"/>
  <c r="R41" i="1"/>
  <c r="R40" i="1" l="1"/>
  <c r="S41" i="1"/>
  <c r="T41" i="1" s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<sst xmlns="http://schemas.openxmlformats.org/spreadsheetml/2006/main" count="10970" uniqueCount="34">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</sst>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0.37119999999999997</c:v>
                </c:pt>
                <c:pt idx="1">
                  <c:v>0.37980000000000003</c:v>
                </c:pt>
                <c:pt idx="2">
                  <c:v>0.3604</c:v>
                </c:pt>
                <c:pt idx="3">
                  <c:v>0.38</c:v>
                </c:pt>
                <c:pt idx="4">
                  <c:v>0.3609</c:v>
                </c:pt>
                <c:pt idx="5">
                  <c:v>0.35580000000000001</c:v>
                </c:pt>
                <c:pt idx="6">
                  <c:v>0.3931</c:v>
                </c:pt>
                <c:pt idx="7">
                  <c:v>0.50349999999999995</c:v>
                </c:pt>
                <c:pt idx="8">
                  <c:v>0.52580000000000005</c:v>
                </c:pt>
                <c:pt idx="9">
                  <c:v>0.54700000000000004</c:v>
                </c:pt>
                <c:pt idx="10">
                  <c:v>0.54810000000000003</c:v>
                </c:pt>
                <c:pt idx="11">
                  <c:v>0.60850000000000004</c:v>
                </c:pt>
                <c:pt idx="12">
                  <c:v>0.64610000000000001</c:v>
                </c:pt>
                <c:pt idx="13">
                  <c:v>0.61839999999999995</c:v>
                </c:pt>
                <c:pt idx="14">
                  <c:v>0.61380000000000001</c:v>
                </c:pt>
                <c:pt idx="15">
                  <c:v>0.65049999999999997</c:v>
                </c:pt>
                <c:pt idx="16">
                  <c:v>0.63580000000000003</c:v>
                </c:pt>
                <c:pt idx="17">
                  <c:v>0.62150000000000005</c:v>
                </c:pt>
                <c:pt idx="18">
                  <c:v>0.66859999999999997</c:v>
                </c:pt>
                <c:pt idx="19">
                  <c:v>0.67730000000000001</c:v>
                </c:pt>
                <c:pt idx="20">
                  <c:v>0.59540000000000004</c:v>
                </c:pt>
                <c:pt idx="21">
                  <c:v>0.66249999999999998</c:v>
                </c:pt>
                <c:pt idx="22">
                  <c:v>0.68200000000000005</c:v>
                </c:pt>
                <c:pt idx="23">
                  <c:v>0.74329999999999996</c:v>
                </c:pt>
                <c:pt idx="24">
                  <c:v>0.76519999999999999</c:v>
                </c:pt>
                <c:pt idx="25">
                  <c:v>0.79930000000000001</c:v>
                </c:pt>
                <c:pt idx="26">
                  <c:v>0.8085</c:v>
                </c:pt>
                <c:pt idx="27">
                  <c:v>0.81499999999999995</c:v>
                </c:pt>
                <c:pt idx="28">
                  <c:v>0.82030000000000003</c:v>
                </c:pt>
                <c:pt idx="29">
                  <c:v>0.82699999999999996</c:v>
                </c:pt>
                <c:pt idx="30">
                  <c:v>0.81469999999999998</c:v>
                </c:pt>
                <c:pt idx="31">
                  <c:v>0.89190000000000003</c:v>
                </c:pt>
                <c:pt idx="32">
                  <c:v>0.89319999999999999</c:v>
                </c:pt>
                <c:pt idx="33">
                  <c:v>0.8821</c:v>
                </c:pt>
                <c:pt idx="34">
                  <c:v>0.87670000000000003</c:v>
                </c:pt>
                <c:pt idx="35">
                  <c:v>0.9143</c:v>
                </c:pt>
                <c:pt idx="36">
                  <c:v>0.87660000000000005</c:v>
                </c:pt>
                <c:pt idx="37">
                  <c:v>0.91120000000000001</c:v>
                </c:pt>
                <c:pt idx="38">
                  <c:v>0.89229999999999998</c:v>
                </c:pt>
                <c:pt idx="39">
                  <c:v>0.94989999999999997</c:v>
                </c:pt>
                <c:pt idx="40">
                  <c:v>0.93810000000000004</c:v>
                </c:pt>
                <c:pt idx="41">
                  <c:v>0.92649999999999999</c:v>
                </c:pt>
                <c:pt idx="42">
                  <c:v>1.0157</c:v>
                </c:pt>
                <c:pt idx="43">
                  <c:v>0.93799999999999994</c:v>
                </c:pt>
                <c:pt idx="44">
                  <c:v>0.8508</c:v>
                </c:pt>
                <c:pt idx="45">
                  <c:v>0.78049999999999997</c:v>
                </c:pt>
                <c:pt idx="46">
                  <c:v>0.82310000000000005</c:v>
                </c:pt>
                <c:pt idx="47">
                  <c:v>0.88480000000000003</c:v>
                </c:pt>
                <c:pt idx="48">
                  <c:v>0.85389999999999999</c:v>
                </c:pt>
                <c:pt idx="49">
                  <c:v>0.68459999999999999</c:v>
                </c:pt>
                <c:pt idx="50">
                  <c:v>0.78700000000000003</c:v>
                </c:pt>
                <c:pt idx="51">
                  <c:v>0.82850000000000001</c:v>
                </c:pt>
                <c:pt idx="52">
                  <c:v>0.86599999999999999</c:v>
                </c:pt>
                <c:pt idx="53">
                  <c:v>0.70760000000000001</c:v>
                </c:pt>
                <c:pt idx="54">
                  <c:v>0.79679999999999995</c:v>
                </c:pt>
                <c:pt idx="55">
                  <c:v>1.0559000000000001</c:v>
                </c:pt>
                <c:pt idx="56">
                  <c:v>1.0919000000000001</c:v>
                </c:pt>
                <c:pt idx="57">
                  <c:v>0.51670000000000005</c:v>
                </c:pt>
                <c:pt idx="58">
                  <c:v>0.51539999999999997</c:v>
                </c:pt>
                <c:pt idx="59">
                  <c:v>0.5252</c:v>
                </c:pt>
                <c:pt idx="60">
                  <c:v>0.52929999999999999</c:v>
                </c:pt>
                <c:pt idx="61">
                  <c:v>0.5262</c:v>
                </c:pt>
                <c:pt idx="62">
                  <c:v>0.52339999999999998</c:v>
                </c:pt>
                <c:pt idx="63">
                  <c:v>0.58779999999999999</c:v>
                </c:pt>
                <c:pt idx="64">
                  <c:v>0.53959999999999997</c:v>
                </c:pt>
                <c:pt idx="65">
                  <c:v>0.55569999999999997</c:v>
                </c:pt>
                <c:pt idx="66">
                  <c:v>0.52200000000000002</c:v>
                </c:pt>
                <c:pt idx="67">
                  <c:v>0.5373</c:v>
                </c:pt>
                <c:pt idx="68">
                  <c:v>0.54359999999999997</c:v>
                </c:pt>
                <c:pt idx="69">
                  <c:v>0.50019999999999998</c:v>
                </c:pt>
                <c:pt idx="70">
                  <c:v>0.47420000000000001</c:v>
                </c:pt>
                <c:pt idx="71">
                  <c:v>0.52590000000000003</c:v>
                </c:pt>
                <c:pt idx="72">
                  <c:v>0.51570000000000005</c:v>
                </c:pt>
                <c:pt idx="73">
                  <c:v>0.56740000000000002</c:v>
                </c:pt>
                <c:pt idx="74">
                  <c:v>0.56989999999999996</c:v>
                </c:pt>
                <c:pt idx="75">
                  <c:v>0.56979999999999997</c:v>
                </c:pt>
                <c:pt idx="76">
                  <c:v>0.55920000000000003</c:v>
                </c:pt>
                <c:pt idx="77">
                  <c:v>0.57410000000000005</c:v>
                </c:pt>
                <c:pt idx="78">
                  <c:v>0.56940000000000002</c:v>
                </c:pt>
                <c:pt idx="79">
                  <c:v>0.61109999999999998</c:v>
                </c:pt>
                <c:pt idx="80">
                  <c:v>0.59409999999999996</c:v>
                </c:pt>
                <c:pt idx="81">
                  <c:v>0.5726</c:v>
                </c:pt>
                <c:pt idx="82">
                  <c:v>0.5605</c:v>
                </c:pt>
                <c:pt idx="83">
                  <c:v>0.55930000000000002</c:v>
                </c:pt>
                <c:pt idx="84">
                  <c:v>0.57640000000000002</c:v>
                </c:pt>
                <c:pt idx="85">
                  <c:v>0.58199999999999996</c:v>
                </c:pt>
                <c:pt idx="86">
                  <c:v>0.58399999999999996</c:v>
                </c:pt>
                <c:pt idx="87">
                  <c:v>0.55559999999999998</c:v>
                </c:pt>
                <c:pt idx="88">
                  <c:v>0.5645</c:v>
                </c:pt>
                <c:pt idx="89">
                  <c:v>0.55200000000000005</c:v>
                </c:pt>
                <c:pt idx="90">
                  <c:v>0.56499999999999995</c:v>
                </c:pt>
                <c:pt idx="91">
                  <c:v>0.53539999999999999</c:v>
                </c:pt>
                <c:pt idx="92">
                  <c:v>0.52790000000000004</c:v>
                </c:pt>
                <c:pt idx="93">
                  <c:v>0.58550000000000002</c:v>
                </c:pt>
                <c:pt idx="94">
                  <c:v>0.58930000000000005</c:v>
                </c:pt>
                <c:pt idx="95">
                  <c:v>0.57369999999999999</c:v>
                </c:pt>
                <c:pt idx="96">
                  <c:v>0.59189999999999998</c:v>
                </c:pt>
                <c:pt idx="97">
                  <c:v>0.58379999999999999</c:v>
                </c:pt>
                <c:pt idx="98">
                  <c:v>0.56879999999999997</c:v>
                </c:pt>
                <c:pt idx="99">
                  <c:v>0.59219999999999995</c:v>
                </c:pt>
                <c:pt idx="100">
                  <c:v>0.57150000000000001</c:v>
                </c:pt>
                <c:pt idx="101">
                  <c:v>0.58750000000000002</c:v>
                </c:pt>
                <c:pt idx="102">
                  <c:v>0.6008</c:v>
                </c:pt>
                <c:pt idx="103">
                  <c:v>0.5786</c:v>
                </c:pt>
                <c:pt idx="104">
                  <c:v>0.55900000000000005</c:v>
                </c:pt>
                <c:pt idx="105">
                  <c:v>0.55089999999999995</c:v>
                </c:pt>
                <c:pt idx="106">
                  <c:v>0.5272</c:v>
                </c:pt>
                <c:pt idx="107">
                  <c:v>0.5232</c:v>
                </c:pt>
                <c:pt idx="108">
                  <c:v>0.52229999999999999</c:v>
                </c:pt>
                <c:pt idx="109">
                  <c:v>0.54179999999999995</c:v>
                </c:pt>
                <c:pt idx="110">
                  <c:v>0.52539999999999998</c:v>
                </c:pt>
                <c:pt idx="111">
                  <c:v>0.50819999999999999</c:v>
                </c:pt>
                <c:pt idx="112">
                  <c:v>0.53559999999999997</c:v>
                </c:pt>
                <c:pt idx="113">
                  <c:v>0.49</c:v>
                </c:pt>
                <c:pt idx="114">
                  <c:v>0.47449999999999998</c:v>
                </c:pt>
                <c:pt idx="115">
                  <c:v>0.45100000000000001</c:v>
                </c:pt>
                <c:pt idx="116">
                  <c:v>0.4723</c:v>
                </c:pt>
                <c:pt idx="117">
                  <c:v>0.46360000000000001</c:v>
                </c:pt>
                <c:pt idx="118">
                  <c:v>0.46710000000000002</c:v>
                </c:pt>
                <c:pt idx="119">
                  <c:v>0.47210000000000002</c:v>
                </c:pt>
                <c:pt idx="120">
                  <c:v>0.41930000000000001</c:v>
                </c:pt>
                <c:pt idx="121">
                  <c:v>0.41089999999999999</c:v>
                </c:pt>
                <c:pt idx="122">
                  <c:v>0.43030000000000002</c:v>
                </c:pt>
                <c:pt idx="123">
                  <c:v>0.47039999999999998</c:v>
                </c:pt>
                <c:pt idx="124">
                  <c:v>0.5363</c:v>
                </c:pt>
                <c:pt idx="125">
                  <c:v>0.4224</c:v>
                </c:pt>
                <c:pt idx="126">
                  <c:v>0.46629999999999999</c:v>
                </c:pt>
                <c:pt idx="127">
                  <c:v>0.44829999999999998</c:v>
                </c:pt>
                <c:pt idx="128">
                  <c:v>0.40989999999999999</c:v>
                </c:pt>
                <c:pt idx="129">
                  <c:v>0.46800000000000003</c:v>
                </c:pt>
                <c:pt idx="130">
                  <c:v>0.52339999999999998</c:v>
                </c:pt>
                <c:pt idx="131">
                  <c:v>0.5262</c:v>
                </c:pt>
                <c:pt idx="132">
                  <c:v>0.51280000000000003</c:v>
                </c:pt>
                <c:pt idx="133">
                  <c:v>0.5292</c:v>
                </c:pt>
                <c:pt idx="134">
                  <c:v>0.55389999999999995</c:v>
                </c:pt>
                <c:pt idx="135">
                  <c:v>0.54300000000000004</c:v>
                </c:pt>
                <c:pt idx="136">
                  <c:v>0.53100000000000003</c:v>
                </c:pt>
                <c:pt idx="137">
                  <c:v>0.57569999999999999</c:v>
                </c:pt>
                <c:pt idx="138">
                  <c:v>0.55430000000000001</c:v>
                </c:pt>
                <c:pt idx="139">
                  <c:v>0.51</c:v>
                </c:pt>
                <c:pt idx="140">
                  <c:v>0.54810000000000003</c:v>
                </c:pt>
                <c:pt idx="141">
                  <c:v>0.5323</c:v>
                </c:pt>
                <c:pt idx="142">
                  <c:v>0.54700000000000004</c:v>
                </c:pt>
                <c:pt idx="143">
                  <c:v>0.69620000000000004</c:v>
                </c:pt>
                <c:pt idx="144">
                  <c:v>0.68740000000000001</c:v>
                </c:pt>
                <c:pt idx="145">
                  <c:v>0.65159999999999996</c:v>
                </c:pt>
                <c:pt idx="146">
                  <c:v>0.62309999999999999</c:v>
                </c:pt>
                <c:pt idx="147">
                  <c:v>0.61099999999999999</c:v>
                </c:pt>
                <c:pt idx="148">
                  <c:v>0.63139999999999996</c:v>
                </c:pt>
                <c:pt idx="149">
                  <c:v>0.6139</c:v>
                </c:pt>
                <c:pt idx="150">
                  <c:v>0.62050000000000005</c:v>
                </c:pt>
                <c:pt idx="151">
                  <c:v>0.63100000000000001</c:v>
                </c:pt>
                <c:pt idx="152">
                  <c:v>0.63439999999999996</c:v>
                </c:pt>
                <c:pt idx="153">
                  <c:v>0.65549999999999997</c:v>
                </c:pt>
                <c:pt idx="154">
                  <c:v>0.60399999999999998</c:v>
                </c:pt>
                <c:pt idx="155">
                  <c:v>0.64149999999999996</c:v>
                </c:pt>
                <c:pt idx="156">
                  <c:v>0.67120000000000002</c:v>
                </c:pt>
                <c:pt idx="157">
                  <c:v>0.63759999999999994</c:v>
                </c:pt>
                <c:pt idx="158">
                  <c:v>0.60360000000000003</c:v>
                </c:pt>
                <c:pt idx="159">
                  <c:v>0.58940000000000003</c:v>
                </c:pt>
                <c:pt idx="160">
                  <c:v>0.59840000000000004</c:v>
                </c:pt>
                <c:pt idx="161">
                  <c:v>0.58230000000000004</c:v>
                </c:pt>
                <c:pt idx="162">
                  <c:v>0.54800000000000004</c:v>
                </c:pt>
                <c:pt idx="163">
                  <c:v>0.55910000000000004</c:v>
                </c:pt>
                <c:pt idx="164">
                  <c:v>0.58530000000000004</c:v>
                </c:pt>
                <c:pt idx="165">
                  <c:v>0.61170000000000002</c:v>
                </c:pt>
                <c:pt idx="166">
                  <c:v>0.61309999999999998</c:v>
                </c:pt>
                <c:pt idx="167">
                  <c:v>0.64339999999999997</c:v>
                </c:pt>
                <c:pt idx="168">
                  <c:v>0.51629999999999998</c:v>
                </c:pt>
                <c:pt idx="169">
                  <c:v>0.51559999999999995</c:v>
                </c:pt>
                <c:pt idx="170">
                  <c:v>0.49519999999999997</c:v>
                </c:pt>
                <c:pt idx="171">
                  <c:v>0.4965</c:v>
                </c:pt>
                <c:pt idx="172">
                  <c:v>0.47889999999999999</c:v>
                </c:pt>
                <c:pt idx="173">
                  <c:v>0.50339999999999996</c:v>
                </c:pt>
                <c:pt idx="174">
                  <c:v>0.52480000000000004</c:v>
                </c:pt>
                <c:pt idx="175">
                  <c:v>0.43919999999999998</c:v>
                </c:pt>
                <c:pt idx="176">
                  <c:v>0.42320000000000002</c:v>
                </c:pt>
                <c:pt idx="177">
                  <c:v>0.38879999999999998</c:v>
                </c:pt>
                <c:pt idx="178">
                  <c:v>0.38829999999999998</c:v>
                </c:pt>
                <c:pt idx="179">
                  <c:v>0.39240000000000003</c:v>
                </c:pt>
                <c:pt idx="180">
                  <c:v>0.40210000000000001</c:v>
                </c:pt>
                <c:pt idx="181">
                  <c:v>0.40029999999999999</c:v>
                </c:pt>
                <c:pt idx="182">
                  <c:v>0.40079999999999999</c:v>
                </c:pt>
                <c:pt idx="183">
                  <c:v>0.37819999999999998</c:v>
                </c:pt>
                <c:pt idx="184">
                  <c:v>0.3896</c:v>
                </c:pt>
                <c:pt idx="185">
                  <c:v>0.37830000000000003</c:v>
                </c:pt>
                <c:pt idx="186">
                  <c:v>0.35589999999999999</c:v>
                </c:pt>
                <c:pt idx="187">
                  <c:v>0.35599999999999998</c:v>
                </c:pt>
                <c:pt idx="188">
                  <c:v>0.35730000000000001</c:v>
                </c:pt>
                <c:pt idx="189">
                  <c:v>0.34050000000000002</c:v>
                </c:pt>
                <c:pt idx="190">
                  <c:v>0.33700000000000002</c:v>
                </c:pt>
                <c:pt idx="191">
                  <c:v>0.31809999999999999</c:v>
                </c:pt>
                <c:pt idx="192">
                  <c:v>0.33229999999999998</c:v>
                </c:pt>
                <c:pt idx="193">
                  <c:v>0.35260000000000002</c:v>
                </c:pt>
                <c:pt idx="194">
                  <c:v>0.35189999999999999</c:v>
                </c:pt>
                <c:pt idx="195">
                  <c:v>0.3579</c:v>
                </c:pt>
                <c:pt idx="196">
                  <c:v>0.35539999999999999</c:v>
                </c:pt>
                <c:pt idx="197">
                  <c:v>0.37369999999999998</c:v>
                </c:pt>
                <c:pt idx="198">
                  <c:v>0.3639</c:v>
                </c:pt>
                <c:pt idx="199">
                  <c:v>0.37140000000000001</c:v>
                </c:pt>
                <c:pt idx="200">
                  <c:v>0.38109999999999999</c:v>
                </c:pt>
                <c:pt idx="201">
                  <c:v>0.3664</c:v>
                </c:pt>
                <c:pt idx="202">
                  <c:v>0.37269999999999998</c:v>
                </c:pt>
                <c:pt idx="203">
                  <c:v>0.36909999999999998</c:v>
                </c:pt>
                <c:pt idx="204">
                  <c:v>0.39739999999999998</c:v>
                </c:pt>
                <c:pt idx="205">
                  <c:v>0.4007</c:v>
                </c:pt>
                <c:pt idx="206">
                  <c:v>0.37309999999999999</c:v>
                </c:pt>
                <c:pt idx="207">
                  <c:v>0.38690000000000002</c:v>
                </c:pt>
                <c:pt idx="208">
                  <c:v>0.38450000000000001</c:v>
                </c:pt>
                <c:pt idx="209">
                  <c:v>0.37580000000000002</c:v>
                </c:pt>
                <c:pt idx="210">
                  <c:v>0.38129999999999997</c:v>
                </c:pt>
                <c:pt idx="211">
                  <c:v>0.38879999999999998</c:v>
                </c:pt>
                <c:pt idx="212">
                  <c:v>0.3952</c:v>
                </c:pt>
                <c:pt idx="213">
                  <c:v>0.37380000000000002</c:v>
                </c:pt>
                <c:pt idx="214">
                  <c:v>0.36849999999999999</c:v>
                </c:pt>
                <c:pt idx="215">
                  <c:v>0.36370000000000002</c:v>
                </c:pt>
                <c:pt idx="216">
                  <c:v>0.3533</c:v>
                </c:pt>
                <c:pt idx="217">
                  <c:v>0.37690000000000001</c:v>
                </c:pt>
                <c:pt idx="218">
                  <c:v>0.38009999999999999</c:v>
                </c:pt>
                <c:pt idx="219">
                  <c:v>0.3695</c:v>
                </c:pt>
                <c:pt idx="220">
                  <c:v>0.42730000000000001</c:v>
                </c:pt>
                <c:pt idx="221">
                  <c:v>0.50339999999999996</c:v>
                </c:pt>
                <c:pt idx="222">
                  <c:v>0.45200000000000001</c:v>
                </c:pt>
                <c:pt idx="223">
                  <c:v>0.46279999999999999</c:v>
                </c:pt>
                <c:pt idx="224">
                  <c:v>0.49809999999999999</c:v>
                </c:pt>
                <c:pt idx="225">
                  <c:v>0.50339999999999996</c:v>
                </c:pt>
                <c:pt idx="226">
                  <c:v>0.51300000000000001</c:v>
                </c:pt>
                <c:pt idx="227">
                  <c:v>0.50849999999999995</c:v>
                </c:pt>
                <c:pt idx="228">
                  <c:v>0.49480000000000002</c:v>
                </c:pt>
                <c:pt idx="229">
                  <c:v>0.48430000000000001</c:v>
                </c:pt>
                <c:pt idx="230">
                  <c:v>0.4995</c:v>
                </c:pt>
                <c:pt idx="231">
                  <c:v>0.51439999999999997</c:v>
                </c:pt>
                <c:pt idx="232">
                  <c:v>0.54320000000000002</c:v>
                </c:pt>
                <c:pt idx="233">
                  <c:v>0.52480000000000004</c:v>
                </c:pt>
                <c:pt idx="234">
                  <c:v>0.53100000000000003</c:v>
                </c:pt>
                <c:pt idx="235">
                  <c:v>0.5927</c:v>
                </c:pt>
                <c:pt idx="236">
                  <c:v>0.56189999999999996</c:v>
                </c:pt>
                <c:pt idx="237">
                  <c:v>0.58630000000000004</c:v>
                </c:pt>
                <c:pt idx="238">
                  <c:v>0.65049999999999997</c:v>
                </c:pt>
                <c:pt idx="239">
                  <c:v>0.6139</c:v>
                </c:pt>
                <c:pt idx="240">
                  <c:v>0.57899999999999996</c:v>
                </c:pt>
                <c:pt idx="241">
                  <c:v>0.59470000000000001</c:v>
                </c:pt>
                <c:pt idx="242">
                  <c:v>0.57879999999999998</c:v>
                </c:pt>
                <c:pt idx="243">
                  <c:v>0.53110000000000002</c:v>
                </c:pt>
                <c:pt idx="244">
                  <c:v>0.54890000000000005</c:v>
                </c:pt>
                <c:pt idx="245">
                  <c:v>0.61109999999999998</c:v>
                </c:pt>
                <c:pt idx="246">
                  <c:v>0.64159999999999995</c:v>
                </c:pt>
                <c:pt idx="247">
                  <c:v>0.56359999999999999</c:v>
                </c:pt>
                <c:pt idx="248">
                  <c:v>0.5494</c:v>
                </c:pt>
                <c:pt idx="249">
                  <c:v>0.4733</c:v>
                </c:pt>
                <c:pt idx="250">
                  <c:v>0.55189999999999995</c:v>
                </c:pt>
                <c:pt idx="251">
                  <c:v>0.59379999999999999</c:v>
                </c:pt>
                <c:pt idx="252">
                  <c:v>0.66839999999999999</c:v>
                </c:pt>
                <c:pt idx="253">
                  <c:v>0.60980000000000001</c:v>
                </c:pt>
                <c:pt idx="254">
                  <c:v>0.84730000000000005</c:v>
                </c:pt>
                <c:pt idx="255">
                  <c:v>0.82899999999999996</c:v>
                </c:pt>
                <c:pt idx="256">
                  <c:v>0.90449999999999997</c:v>
                </c:pt>
                <c:pt idx="257">
                  <c:v>0.93010000000000004</c:v>
                </c:pt>
                <c:pt idx="258">
                  <c:v>1.0041</c:v>
                </c:pt>
                <c:pt idx="259">
                  <c:v>0.97629999999999995</c:v>
                </c:pt>
                <c:pt idx="260">
                  <c:v>1.0147999999999999</c:v>
                </c:pt>
                <c:pt idx="261">
                  <c:v>1.1778999999999999</c:v>
                </c:pt>
                <c:pt idx="262">
                  <c:v>1.1436999999999999</c:v>
                </c:pt>
                <c:pt idx="263">
                  <c:v>1.288</c:v>
                </c:pt>
                <c:pt idx="264">
                  <c:v>1.3673</c:v>
                </c:pt>
                <c:pt idx="265">
                  <c:v>1.2302</c:v>
                </c:pt>
                <c:pt idx="266">
                  <c:v>1.1709000000000001</c:v>
                </c:pt>
                <c:pt idx="267">
                  <c:v>1.1233</c:v>
                </c:pt>
                <c:pt idx="268">
                  <c:v>1.0301</c:v>
                </c:pt>
                <c:pt idx="269">
                  <c:v>1.1886000000000001</c:v>
                </c:pt>
                <c:pt idx="270">
                  <c:v>1.1394</c:v>
                </c:pt>
                <c:pt idx="271">
                  <c:v>1.18</c:v>
                </c:pt>
                <c:pt idx="272">
                  <c:v>1.1463000000000001</c:v>
                </c:pt>
                <c:pt idx="273">
                  <c:v>1.0349999999999999</c:v>
                </c:pt>
                <c:pt idx="274">
                  <c:v>1.0359</c:v>
                </c:pt>
                <c:pt idx="275">
                  <c:v>1.0958000000000001</c:v>
                </c:pt>
                <c:pt idx="276">
                  <c:v>1.0264</c:v>
                </c:pt>
                <c:pt idx="277">
                  <c:v>0.89200000000000002</c:v>
                </c:pt>
                <c:pt idx="278">
                  <c:v>0.87619999999999998</c:v>
                </c:pt>
                <c:pt idx="279">
                  <c:v>0.95530000000000004</c:v>
                </c:pt>
                <c:pt idx="280">
                  <c:v>1.0221</c:v>
                </c:pt>
                <c:pt idx="281">
                  <c:v>1.1335</c:v>
                </c:pt>
                <c:pt idx="282">
                  <c:v>1.2422</c:v>
                </c:pt>
                <c:pt idx="283">
                  <c:v>1.3236000000000001</c:v>
                </c:pt>
                <c:pt idx="284">
                  <c:v>1.5061</c:v>
                </c:pt>
                <c:pt idx="285">
                  <c:v>1.4681</c:v>
                </c:pt>
                <c:pt idx="286">
                  <c:v>1.3354999999999999</c:v>
                </c:pt>
                <c:pt idx="287">
                  <c:v>1.4080999999999999</c:v>
                </c:pt>
                <c:pt idx="288">
                  <c:v>1.2544</c:v>
                </c:pt>
                <c:pt idx="289">
                  <c:v>1.2578</c:v>
                </c:pt>
                <c:pt idx="290">
                  <c:v>1.2751999999999999</c:v>
                </c:pt>
                <c:pt idx="291">
                  <c:v>1.3613999999999999</c:v>
                </c:pt>
                <c:pt idx="292">
                  <c:v>1.4653</c:v>
                </c:pt>
                <c:pt idx="293">
                  <c:v>1.3685</c:v>
                </c:pt>
                <c:pt idx="294">
                  <c:v>1.2455000000000001</c:v>
                </c:pt>
                <c:pt idx="295">
                  <c:v>1.1815</c:v>
                </c:pt>
                <c:pt idx="296">
                  <c:v>1.3203</c:v>
                </c:pt>
                <c:pt idx="297">
                  <c:v>1.4393</c:v>
                </c:pt>
                <c:pt idx="298">
                  <c:v>1.2974000000000001</c:v>
                </c:pt>
                <c:pt idx="299">
                  <c:v>1.0548999999999999</c:v>
                </c:pt>
                <c:pt idx="300">
                  <c:v>1.1163000000000001</c:v>
                </c:pt>
                <c:pt idx="301">
                  <c:v>1.0929</c:v>
                </c:pt>
                <c:pt idx="302">
                  <c:v>1.091</c:v>
                </c:pt>
                <c:pt idx="303">
                  <c:v>1.0929</c:v>
                </c:pt>
                <c:pt idx="304">
                  <c:v>1.0674999999999999</c:v>
                </c:pt>
                <c:pt idx="305">
                  <c:v>0.92589999999999995</c:v>
                </c:pt>
                <c:pt idx="306">
                  <c:v>0.90149999999999997</c:v>
                </c:pt>
                <c:pt idx="307">
                  <c:v>0.86829999999999996</c:v>
                </c:pt>
                <c:pt idx="308">
                  <c:v>0.79569999999999996</c:v>
                </c:pt>
                <c:pt idx="309">
                  <c:v>0.86</c:v>
                </c:pt>
                <c:pt idx="310">
                  <c:v>0.9526</c:v>
                </c:pt>
                <c:pt idx="311">
                  <c:v>0.88470000000000004</c:v>
                </c:pt>
                <c:pt idx="312">
                  <c:v>0.83950000000000002</c:v>
                </c:pt>
                <c:pt idx="313">
                  <c:v>0.89239999999999997</c:v>
                </c:pt>
                <c:pt idx="314">
                  <c:v>0.86299999999999999</c:v>
                </c:pt>
                <c:pt idx="315">
                  <c:v>0.86950000000000005</c:v>
                </c:pt>
                <c:pt idx="316">
                  <c:v>0.89329999999999998</c:v>
                </c:pt>
                <c:pt idx="317">
                  <c:v>0.88500000000000001</c:v>
                </c:pt>
                <c:pt idx="318">
                  <c:v>0.88129999999999997</c:v>
                </c:pt>
                <c:pt idx="319">
                  <c:v>0.83220000000000005</c:v>
                </c:pt>
                <c:pt idx="320">
                  <c:v>0.88600000000000001</c:v>
                </c:pt>
                <c:pt idx="321">
                  <c:v>0.97019999999999995</c:v>
                </c:pt>
                <c:pt idx="322">
                  <c:v>0.81820000000000004</c:v>
                </c:pt>
                <c:pt idx="323">
                  <c:v>0.78669999999999995</c:v>
                </c:pt>
                <c:pt idx="324">
                  <c:v>0.68359999999999999</c:v>
                </c:pt>
                <c:pt idx="325">
                  <c:v>0.72189999999999999</c:v>
                </c:pt>
                <c:pt idx="326">
                  <c:v>0.6502</c:v>
                </c:pt>
                <c:pt idx="327">
                  <c:v>0.57630000000000003</c:v>
                </c:pt>
                <c:pt idx="328">
                  <c:v>0.5625</c:v>
                </c:pt>
                <c:pt idx="329">
                  <c:v>0.53149999999999997</c:v>
                </c:pt>
                <c:pt idx="330">
                  <c:v>0.59440000000000004</c:v>
                </c:pt>
                <c:pt idx="331">
                  <c:v>0.54190000000000005</c:v>
                </c:pt>
                <c:pt idx="332">
                  <c:v>0.54200000000000004</c:v>
                </c:pt>
                <c:pt idx="333">
                  <c:v>0.48720000000000002</c:v>
                </c:pt>
                <c:pt idx="334">
                  <c:v>0.4919</c:v>
                </c:pt>
                <c:pt idx="335">
                  <c:v>0.4773</c:v>
                </c:pt>
                <c:pt idx="336">
                  <c:v>0.46050000000000002</c:v>
                </c:pt>
                <c:pt idx="337">
                  <c:v>0.50129999999999997</c:v>
                </c:pt>
                <c:pt idx="338">
                  <c:v>0.4859</c:v>
                </c:pt>
                <c:pt idx="339">
                  <c:v>0.60540000000000005</c:v>
                </c:pt>
                <c:pt idx="340">
                  <c:v>0.68179999999999996</c:v>
                </c:pt>
                <c:pt idx="341">
                  <c:v>0.65</c:v>
                </c:pt>
                <c:pt idx="342">
                  <c:v>0.71679999999999999</c:v>
                </c:pt>
                <c:pt idx="343">
                  <c:v>0.7278</c:v>
                </c:pt>
                <c:pt idx="344">
                  <c:v>0.66210000000000002</c:v>
                </c:pt>
                <c:pt idx="345">
                  <c:v>0.64439999999999997</c:v>
                </c:pt>
                <c:pt idx="346">
                  <c:v>0.66900000000000004</c:v>
                </c:pt>
                <c:pt idx="347">
                  <c:v>0.71519999999999995</c:v>
                </c:pt>
                <c:pt idx="348">
                  <c:v>0.76229999999999998</c:v>
                </c:pt>
                <c:pt idx="349">
                  <c:v>0.66310000000000002</c:v>
                </c:pt>
                <c:pt idx="350">
                  <c:v>0.63790000000000002</c:v>
                </c:pt>
                <c:pt idx="351">
                  <c:v>0.58650000000000002</c:v>
                </c:pt>
                <c:pt idx="352">
                  <c:v>0.48509999999999998</c:v>
                </c:pt>
                <c:pt idx="353">
                  <c:v>0.4254</c:v>
                </c:pt>
                <c:pt idx="354">
                  <c:v>0.38650000000000001</c:v>
                </c:pt>
                <c:pt idx="355">
                  <c:v>0.40260000000000001</c:v>
                </c:pt>
                <c:pt idx="356">
                  <c:v>0.4073</c:v>
                </c:pt>
                <c:pt idx="357">
                  <c:v>0.38150000000000001</c:v>
                </c:pt>
                <c:pt idx="358">
                  <c:v>0.39100000000000001</c:v>
                </c:pt>
                <c:pt idx="359">
                  <c:v>0.36770000000000003</c:v>
                </c:pt>
                <c:pt idx="360">
                  <c:v>0.35680000000000001</c:v>
                </c:pt>
                <c:pt idx="361">
                  <c:v>0.29859999999999998</c:v>
                </c:pt>
                <c:pt idx="362">
                  <c:v>0.31209999999999999</c:v>
                </c:pt>
                <c:pt idx="363">
                  <c:v>0.315</c:v>
                </c:pt>
                <c:pt idx="364">
                  <c:v>0.30199999999999999</c:v>
                </c:pt>
                <c:pt idx="365">
                  <c:v>0.28620000000000001</c:v>
                </c:pt>
                <c:pt idx="366">
                  <c:v>0.32450000000000001</c:v>
                </c:pt>
                <c:pt idx="367">
                  <c:v>0.32590000000000002</c:v>
                </c:pt>
                <c:pt idx="368">
                  <c:v>0.34770000000000001</c:v>
                </c:pt>
                <c:pt idx="369">
                  <c:v>0.38790000000000002</c:v>
                </c:pt>
                <c:pt idx="370">
                  <c:v>0.31359999999999999</c:v>
                </c:pt>
                <c:pt idx="371">
                  <c:v>0.26619999999999999</c:v>
                </c:pt>
                <c:pt idx="372">
                  <c:v>0.29480000000000001</c:v>
                </c:pt>
                <c:pt idx="373">
                  <c:v>0.31480000000000002</c:v>
                </c:pt>
                <c:pt idx="374">
                  <c:v>0.29060000000000002</c:v>
                </c:pt>
                <c:pt idx="375">
                  <c:v>0.28039999999999998</c:v>
                </c:pt>
                <c:pt idx="376">
                  <c:v>0.26939999999999997</c:v>
                </c:pt>
                <c:pt idx="377">
                  <c:v>0.2596</c:v>
                </c:pt>
                <c:pt idx="378">
                  <c:v>0.25359999999999999</c:v>
                </c:pt>
                <c:pt idx="379">
                  <c:v>0.25969999999999999</c:v>
                </c:pt>
                <c:pt idx="380">
                  <c:v>0.24210000000000001</c:v>
                </c:pt>
                <c:pt idx="381">
                  <c:v>0.2397</c:v>
                </c:pt>
                <c:pt idx="382">
                  <c:v>0.27160000000000001</c:v>
                </c:pt>
                <c:pt idx="383">
                  <c:v>0.27529999999999999</c:v>
                </c:pt>
                <c:pt idx="384">
                  <c:v>0.24890000000000001</c:v>
                </c:pt>
                <c:pt idx="385">
                  <c:v>0.25040000000000001</c:v>
                </c:pt>
                <c:pt idx="386">
                  <c:v>0.25509999999999999</c:v>
                </c:pt>
                <c:pt idx="387">
                  <c:v>0.23219999999999999</c:v>
                </c:pt>
                <c:pt idx="388">
                  <c:v>0.21629999999999999</c:v>
                </c:pt>
                <c:pt idx="389">
                  <c:v>0.22</c:v>
                </c:pt>
                <c:pt idx="390">
                  <c:v>0.20580000000000001</c:v>
                </c:pt>
                <c:pt idx="391">
                  <c:v>0.21249999999999999</c:v>
                </c:pt>
                <c:pt idx="392">
                  <c:v>0.2112</c:v>
                </c:pt>
                <c:pt idx="393">
                  <c:v>0.20319999999999999</c:v>
                </c:pt>
                <c:pt idx="394">
                  <c:v>0.21640000000000001</c:v>
                </c:pt>
                <c:pt idx="395">
                  <c:v>0.22850000000000001</c:v>
                </c:pt>
                <c:pt idx="396">
                  <c:v>0.2296</c:v>
                </c:pt>
                <c:pt idx="397">
                  <c:v>0.23100000000000001</c:v>
                </c:pt>
                <c:pt idx="398">
                  <c:v>0.2414</c:v>
                </c:pt>
                <c:pt idx="399">
                  <c:v>0.24759999999999999</c:v>
                </c:pt>
                <c:pt idx="400">
                  <c:v>0.22620000000000001</c:v>
                </c:pt>
                <c:pt idx="401">
                  <c:v>0.2646</c:v>
                </c:pt>
                <c:pt idx="402">
                  <c:v>0.27239999999999998</c:v>
                </c:pt>
                <c:pt idx="403">
                  <c:v>0.29399999999999998</c:v>
                </c:pt>
                <c:pt idx="404">
                  <c:v>0.28939999999999999</c:v>
                </c:pt>
                <c:pt idx="405">
                  <c:v>0.27710000000000001</c:v>
                </c:pt>
                <c:pt idx="406">
                  <c:v>0.27439999999999998</c:v>
                </c:pt>
                <c:pt idx="407">
                  <c:v>0.29630000000000001</c:v>
                </c:pt>
                <c:pt idx="408">
                  <c:v>0.2681</c:v>
                </c:pt>
                <c:pt idx="409">
                  <c:v>0.28089999999999998</c:v>
                </c:pt>
                <c:pt idx="410">
                  <c:v>0.2591</c:v>
                </c:pt>
                <c:pt idx="411">
                  <c:v>0.26050000000000001</c:v>
                </c:pt>
                <c:pt idx="412">
                  <c:v>0.24829999999999999</c:v>
                </c:pt>
                <c:pt idx="413">
                  <c:v>0.26340000000000002</c:v>
                </c:pt>
                <c:pt idx="414">
                  <c:v>0.28749999999999998</c:v>
                </c:pt>
                <c:pt idx="415">
                  <c:v>0.26740000000000003</c:v>
                </c:pt>
                <c:pt idx="416">
                  <c:v>0.25640000000000002</c:v>
                </c:pt>
                <c:pt idx="417">
                  <c:v>0.2581</c:v>
                </c:pt>
                <c:pt idx="418">
                  <c:v>0.2641</c:v>
                </c:pt>
                <c:pt idx="419">
                  <c:v>0.24440000000000001</c:v>
                </c:pt>
                <c:pt idx="420">
                  <c:v>0.25869999999999999</c:v>
                </c:pt>
                <c:pt idx="421">
                  <c:v>0.25719999999999998</c:v>
                </c:pt>
                <c:pt idx="422">
                  <c:v>0.25240000000000001</c:v>
                </c:pt>
                <c:pt idx="423">
                  <c:v>0.2636</c:v>
                </c:pt>
                <c:pt idx="424">
                  <c:v>0.25030000000000002</c:v>
                </c:pt>
                <c:pt idx="425">
                  <c:v>0.2596</c:v>
                </c:pt>
                <c:pt idx="426">
                  <c:v>0.25890000000000002</c:v>
                </c:pt>
                <c:pt idx="427">
                  <c:v>0.2475</c:v>
                </c:pt>
                <c:pt idx="428">
                  <c:v>0.28449999999999998</c:v>
                </c:pt>
                <c:pt idx="429">
                  <c:v>0.28220000000000001</c:v>
                </c:pt>
                <c:pt idx="430">
                  <c:v>0.27150000000000002</c:v>
                </c:pt>
                <c:pt idx="431">
                  <c:v>0.25319999999999998</c:v>
                </c:pt>
                <c:pt idx="432">
                  <c:v>0.24979999999999999</c:v>
                </c:pt>
                <c:pt idx="433">
                  <c:v>0.23169999999999999</c:v>
                </c:pt>
                <c:pt idx="434">
                  <c:v>0.2233</c:v>
                </c:pt>
                <c:pt idx="435">
                  <c:v>0.2344</c:v>
                </c:pt>
                <c:pt idx="436">
                  <c:v>0.24299999999999999</c:v>
                </c:pt>
                <c:pt idx="437">
                  <c:v>0.247</c:v>
                </c:pt>
                <c:pt idx="438">
                  <c:v>0.2407</c:v>
                </c:pt>
                <c:pt idx="439">
                  <c:v>0.23769999999999999</c:v>
                </c:pt>
                <c:pt idx="440">
                  <c:v>0.246</c:v>
                </c:pt>
                <c:pt idx="441">
                  <c:v>0.24210000000000001</c:v>
                </c:pt>
                <c:pt idx="442">
                  <c:v>0.2908</c:v>
                </c:pt>
                <c:pt idx="443">
                  <c:v>0.2286</c:v>
                </c:pt>
                <c:pt idx="444">
                  <c:v>0.2072</c:v>
                </c:pt>
                <c:pt idx="445">
                  <c:v>0.21149999999999999</c:v>
                </c:pt>
                <c:pt idx="446">
                  <c:v>0.19969999999999999</c:v>
                </c:pt>
                <c:pt idx="447">
                  <c:v>0.21690000000000001</c:v>
                </c:pt>
                <c:pt idx="448">
                  <c:v>0.2041</c:v>
                </c:pt>
                <c:pt idx="449">
                  <c:v>0.19289999999999999</c:v>
                </c:pt>
                <c:pt idx="450">
                  <c:v>0.20030000000000001</c:v>
                </c:pt>
                <c:pt idx="451">
                  <c:v>0.20849999999999999</c:v>
                </c:pt>
                <c:pt idx="452">
                  <c:v>0.2114</c:v>
                </c:pt>
                <c:pt idx="453">
                  <c:v>0.19650000000000001</c:v>
                </c:pt>
                <c:pt idx="454">
                  <c:v>0.19489999999999999</c:v>
                </c:pt>
                <c:pt idx="455">
                  <c:v>0.2016</c:v>
                </c:pt>
                <c:pt idx="456">
                  <c:v>0.21279999999999999</c:v>
                </c:pt>
                <c:pt idx="457">
                  <c:v>0.2329</c:v>
                </c:pt>
                <c:pt idx="458">
                  <c:v>0.2336</c:v>
                </c:pt>
                <c:pt idx="459">
                  <c:v>0.23549999999999999</c:v>
                </c:pt>
                <c:pt idx="460">
                  <c:v>0.24540000000000001</c:v>
                </c:pt>
                <c:pt idx="461">
                  <c:v>0.23980000000000001</c:v>
                </c:pt>
                <c:pt idx="462">
                  <c:v>0.246</c:v>
                </c:pt>
                <c:pt idx="463">
                  <c:v>0.24399999999999999</c:v>
                </c:pt>
                <c:pt idx="464">
                  <c:v>0.2339</c:v>
                </c:pt>
                <c:pt idx="465">
                  <c:v>0.25119999999999998</c:v>
                </c:pt>
                <c:pt idx="466">
                  <c:v>0.25419999999999998</c:v>
                </c:pt>
                <c:pt idx="467">
                  <c:v>0.24840000000000001</c:v>
                </c:pt>
                <c:pt idx="468">
                  <c:v>0.24940000000000001</c:v>
                </c:pt>
                <c:pt idx="469">
                  <c:v>0.26869999999999999</c:v>
                </c:pt>
                <c:pt idx="470">
                  <c:v>0.26140000000000002</c:v>
                </c:pt>
                <c:pt idx="471">
                  <c:v>0.26640000000000003</c:v>
                </c:pt>
                <c:pt idx="472">
                  <c:v>0.2727</c:v>
                </c:pt>
                <c:pt idx="473">
                  <c:v>0.27300000000000002</c:v>
                </c:pt>
                <c:pt idx="474">
                  <c:v>0.27779999999999999</c:v>
                </c:pt>
                <c:pt idx="475">
                  <c:v>0.27189999999999998</c:v>
                </c:pt>
                <c:pt idx="476">
                  <c:v>0.25990000000000002</c:v>
                </c:pt>
                <c:pt idx="477">
                  <c:v>0.25950000000000001</c:v>
                </c:pt>
                <c:pt idx="478">
                  <c:v>0.24970000000000001</c:v>
                </c:pt>
                <c:pt idx="479">
                  <c:v>0.2712</c:v>
                </c:pt>
                <c:pt idx="480">
                  <c:v>0.28010000000000002</c:v>
                </c:pt>
                <c:pt idx="481">
                  <c:v>0.27829999999999999</c:v>
                </c:pt>
                <c:pt idx="482">
                  <c:v>0.2671</c:v>
                </c:pt>
                <c:pt idx="483">
                  <c:v>0.27550000000000002</c:v>
                </c:pt>
                <c:pt idx="484">
                  <c:v>0.27779999999999999</c:v>
                </c:pt>
                <c:pt idx="485">
                  <c:v>0.28399999999999997</c:v>
                </c:pt>
                <c:pt idx="486">
                  <c:v>0.29699999999999999</c:v>
                </c:pt>
                <c:pt idx="487">
                  <c:v>0.26229999999999998</c:v>
                </c:pt>
                <c:pt idx="488">
                  <c:v>0.25969999999999999</c:v>
                </c:pt>
                <c:pt idx="489">
                  <c:v>0.25530000000000003</c:v>
                </c:pt>
                <c:pt idx="490">
                  <c:v>0.26150000000000001</c:v>
                </c:pt>
                <c:pt idx="491">
                  <c:v>0.2452</c:v>
                </c:pt>
                <c:pt idx="492">
                  <c:v>0.24959999999999999</c:v>
                </c:pt>
                <c:pt idx="493">
                  <c:v>0.2424</c:v>
                </c:pt>
                <c:pt idx="494">
                  <c:v>0.26329999999999998</c:v>
                </c:pt>
                <c:pt idx="495">
                  <c:v>0.26779999999999998</c:v>
                </c:pt>
                <c:pt idx="496">
                  <c:v>0.26800000000000002</c:v>
                </c:pt>
                <c:pt idx="497">
                  <c:v>0.26700000000000002</c:v>
                </c:pt>
                <c:pt idx="498">
                  <c:v>0.27779999999999999</c:v>
                </c:pt>
                <c:pt idx="499">
                  <c:v>0.27400000000000002</c:v>
                </c:pt>
                <c:pt idx="500">
                  <c:v>0.29899999999999999</c:v>
                </c:pt>
                <c:pt idx="501">
                  <c:v>0.30099999999999999</c:v>
                </c:pt>
                <c:pt idx="502">
                  <c:v>0.33179999999999998</c:v>
                </c:pt>
                <c:pt idx="503">
                  <c:v>0.33960000000000001</c:v>
                </c:pt>
                <c:pt idx="504">
                  <c:v>0.32619999999999999</c:v>
                </c:pt>
                <c:pt idx="505">
                  <c:v>0.3145</c:v>
                </c:pt>
                <c:pt idx="506">
                  <c:v>0.29709999999999998</c:v>
                </c:pt>
                <c:pt idx="507">
                  <c:v>0.30480000000000002</c:v>
                </c:pt>
                <c:pt idx="508">
                  <c:v>0.30959999999999999</c:v>
                </c:pt>
                <c:pt idx="509">
                  <c:v>0.29549999999999998</c:v>
                </c:pt>
                <c:pt idx="510">
                  <c:v>0.34229999999999999</c:v>
                </c:pt>
                <c:pt idx="511">
                  <c:v>0.32329999999999998</c:v>
                </c:pt>
                <c:pt idx="512">
                  <c:v>0.43519999999999998</c:v>
                </c:pt>
                <c:pt idx="513">
                  <c:v>0.45490000000000003</c:v>
                </c:pt>
                <c:pt idx="514">
                  <c:v>0.46229999999999999</c:v>
                </c:pt>
                <c:pt idx="515">
                  <c:v>0.46920000000000001</c:v>
                </c:pt>
                <c:pt idx="516">
                  <c:v>0.50029999999999997</c:v>
                </c:pt>
                <c:pt idx="517">
                  <c:v>0.4521</c:v>
                </c:pt>
                <c:pt idx="518">
                  <c:v>0.433</c:v>
                </c:pt>
                <c:pt idx="519">
                  <c:v>0.44869999999999999</c:v>
                </c:pt>
                <c:pt idx="520">
                  <c:v>0.44679999999999997</c:v>
                </c:pt>
                <c:pt idx="521">
                  <c:v>0.48680000000000001</c:v>
                </c:pt>
                <c:pt idx="522">
                  <c:v>0.47939999999999999</c:v>
                </c:pt>
                <c:pt idx="523">
                  <c:v>0.4844</c:v>
                </c:pt>
                <c:pt idx="524">
                  <c:v>0.4698</c:v>
                </c:pt>
                <c:pt idx="525">
                  <c:v>0.50129999999999997</c:v>
                </c:pt>
                <c:pt idx="526">
                  <c:v>0.48010000000000003</c:v>
                </c:pt>
                <c:pt idx="527">
                  <c:v>0.53200000000000003</c:v>
                </c:pt>
                <c:pt idx="528">
                  <c:v>0.50880000000000003</c:v>
                </c:pt>
                <c:pt idx="529">
                  <c:v>0.50849999999999995</c:v>
                </c:pt>
                <c:pt idx="530">
                  <c:v>0.49469999999999997</c:v>
                </c:pt>
                <c:pt idx="531">
                  <c:v>0.50960000000000005</c:v>
                </c:pt>
                <c:pt idx="532">
                  <c:v>0.51200000000000001</c:v>
                </c:pt>
                <c:pt idx="533">
                  <c:v>0.52910000000000001</c:v>
                </c:pt>
                <c:pt idx="534">
                  <c:v>0.52810000000000001</c:v>
                </c:pt>
                <c:pt idx="535">
                  <c:v>0.56410000000000005</c:v>
                </c:pt>
                <c:pt idx="536">
                  <c:v>0.52180000000000004</c:v>
                </c:pt>
                <c:pt idx="537">
                  <c:v>0.53149999999999997</c:v>
                </c:pt>
                <c:pt idx="538">
                  <c:v>0.49390000000000001</c:v>
                </c:pt>
                <c:pt idx="539">
                  <c:v>0.4879</c:v>
                </c:pt>
                <c:pt idx="540">
                  <c:v>0.47070000000000001</c:v>
                </c:pt>
                <c:pt idx="541">
                  <c:v>0.46210000000000001</c:v>
                </c:pt>
                <c:pt idx="542">
                  <c:v>0.46460000000000001</c:v>
                </c:pt>
                <c:pt idx="543">
                  <c:v>0.44719999999999999</c:v>
                </c:pt>
                <c:pt idx="544">
                  <c:v>0.4652</c:v>
                </c:pt>
                <c:pt idx="545">
                  <c:v>0.43730000000000002</c:v>
                </c:pt>
                <c:pt idx="546">
                  <c:v>0.43880000000000002</c:v>
                </c:pt>
                <c:pt idx="547">
                  <c:v>0.44009999999999999</c:v>
                </c:pt>
                <c:pt idx="548">
                  <c:v>0.4471</c:v>
                </c:pt>
                <c:pt idx="549">
                  <c:v>0.42149999999999999</c:v>
                </c:pt>
                <c:pt idx="550">
                  <c:v>0.45939999999999998</c:v>
                </c:pt>
                <c:pt idx="551">
                  <c:v>0.48039999999999999</c:v>
                </c:pt>
                <c:pt idx="552">
                  <c:v>0.48139999999999999</c:v>
                </c:pt>
                <c:pt idx="553">
                  <c:v>0.49280000000000002</c:v>
                </c:pt>
                <c:pt idx="554">
                  <c:v>0.46729999999999999</c:v>
                </c:pt>
                <c:pt idx="555">
                  <c:v>0.45190000000000002</c:v>
                </c:pt>
                <c:pt idx="556">
                  <c:v>0.46610000000000001</c:v>
                </c:pt>
                <c:pt idx="557">
                  <c:v>0.4642</c:v>
                </c:pt>
                <c:pt idx="558">
                  <c:v>0.47339999999999999</c:v>
                </c:pt>
                <c:pt idx="559">
                  <c:v>0.44629999999999997</c:v>
                </c:pt>
                <c:pt idx="560">
                  <c:v>0.439</c:v>
                </c:pt>
                <c:pt idx="561">
                  <c:v>0.46479999999999999</c:v>
                </c:pt>
                <c:pt idx="562">
                  <c:v>0.48580000000000001</c:v>
                </c:pt>
                <c:pt idx="563">
                  <c:v>0.46739999999999998</c:v>
                </c:pt>
                <c:pt idx="564">
                  <c:v>0.51770000000000005</c:v>
                </c:pt>
                <c:pt idx="565">
                  <c:v>0.55800000000000005</c:v>
                </c:pt>
                <c:pt idx="566">
                  <c:v>0.53249999999999997</c:v>
                </c:pt>
                <c:pt idx="567">
                  <c:v>0.56330000000000002</c:v>
                </c:pt>
                <c:pt idx="568">
                  <c:v>0.57699999999999996</c:v>
                </c:pt>
                <c:pt idx="569">
                  <c:v>0.6149</c:v>
                </c:pt>
                <c:pt idx="570">
                  <c:v>0.66659999999999997</c:v>
                </c:pt>
                <c:pt idx="571">
                  <c:v>0.62519999999999998</c:v>
                </c:pt>
                <c:pt idx="572">
                  <c:v>0.56279999999999997</c:v>
                </c:pt>
                <c:pt idx="573">
                  <c:v>0.56969999999999998</c:v>
                </c:pt>
                <c:pt idx="574">
                  <c:v>0.52510000000000001</c:v>
                </c:pt>
                <c:pt idx="575">
                  <c:v>0.55130000000000001</c:v>
                </c:pt>
                <c:pt idx="576">
                  <c:v>0.52070000000000005</c:v>
                </c:pt>
                <c:pt idx="577">
                  <c:v>0.51270000000000004</c:v>
                </c:pt>
                <c:pt idx="578">
                  <c:v>0.52669999999999995</c:v>
                </c:pt>
                <c:pt idx="579">
                  <c:v>0.46339999999999998</c:v>
                </c:pt>
                <c:pt idx="580">
                  <c:v>0.49199999999999999</c:v>
                </c:pt>
                <c:pt idx="581">
                  <c:v>0.50270000000000004</c:v>
                </c:pt>
                <c:pt idx="582">
                  <c:v>0.50460000000000005</c:v>
                </c:pt>
                <c:pt idx="583">
                  <c:v>0.53349999999999997</c:v>
                </c:pt>
                <c:pt idx="584">
                  <c:v>0.46250000000000002</c:v>
                </c:pt>
                <c:pt idx="585">
                  <c:v>0.41249999999999998</c:v>
                </c:pt>
                <c:pt idx="586">
                  <c:v>0.40639999999999998</c:v>
                </c:pt>
                <c:pt idx="587">
                  <c:v>0.40770000000000001</c:v>
                </c:pt>
                <c:pt idx="588">
                  <c:v>0.39200000000000002</c:v>
                </c:pt>
                <c:pt idx="589">
                  <c:v>0.40710000000000002</c:v>
                </c:pt>
                <c:pt idx="590">
                  <c:v>0.3695</c:v>
                </c:pt>
                <c:pt idx="591">
                  <c:v>0.35639999999999999</c:v>
                </c:pt>
                <c:pt idx="592">
                  <c:v>0.35339999999999999</c:v>
                </c:pt>
                <c:pt idx="593">
                  <c:v>0.35299999999999998</c:v>
                </c:pt>
                <c:pt idx="594">
                  <c:v>0.34839999999999999</c:v>
                </c:pt>
                <c:pt idx="595">
                  <c:v>0.3362</c:v>
                </c:pt>
                <c:pt idx="596">
                  <c:v>0.34429999999999999</c:v>
                </c:pt>
                <c:pt idx="597">
                  <c:v>0.34710000000000002</c:v>
                </c:pt>
                <c:pt idx="598">
                  <c:v>0.35160000000000002</c:v>
                </c:pt>
                <c:pt idx="599">
                  <c:v>0.33750000000000002</c:v>
                </c:pt>
                <c:pt idx="600">
                  <c:v>0.32979999999999998</c:v>
                </c:pt>
                <c:pt idx="601">
                  <c:v>0.32379999999999998</c:v>
                </c:pt>
                <c:pt idx="602">
                  <c:v>0.33129999999999998</c:v>
                </c:pt>
                <c:pt idx="603">
                  <c:v>0.32490000000000002</c:v>
                </c:pt>
                <c:pt idx="604">
                  <c:v>0.30990000000000001</c:v>
                </c:pt>
                <c:pt idx="605">
                  <c:v>0.32100000000000001</c:v>
                </c:pt>
                <c:pt idx="606">
                  <c:v>0.31159999999999999</c:v>
                </c:pt>
                <c:pt idx="607">
                  <c:v>0.32379999999999998</c:v>
                </c:pt>
                <c:pt idx="608">
                  <c:v>0.3226</c:v>
                </c:pt>
                <c:pt idx="609">
                  <c:v>0.2797</c:v>
                </c:pt>
                <c:pt idx="610">
                  <c:v>0.26800000000000002</c:v>
                </c:pt>
                <c:pt idx="611">
                  <c:v>0.25719999999999998</c:v>
                </c:pt>
                <c:pt idx="612">
                  <c:v>0.23949999999999999</c:v>
                </c:pt>
                <c:pt idx="613">
                  <c:v>0.22589999999999999</c:v>
                </c:pt>
                <c:pt idx="614">
                  <c:v>0.23419999999999999</c:v>
                </c:pt>
                <c:pt idx="615">
                  <c:v>0.24260000000000001</c:v>
                </c:pt>
                <c:pt idx="616">
                  <c:v>0.21970000000000001</c:v>
                </c:pt>
                <c:pt idx="617">
                  <c:v>0.224</c:v>
                </c:pt>
                <c:pt idx="618">
                  <c:v>0.22420000000000001</c:v>
                </c:pt>
                <c:pt idx="619">
                  <c:v>0.22450000000000001</c:v>
                </c:pt>
                <c:pt idx="620">
                  <c:v>0.22450000000000001</c:v>
                </c:pt>
                <c:pt idx="621">
                  <c:v>0.21829999999999999</c:v>
                </c:pt>
                <c:pt idx="622">
                  <c:v>0.21410000000000001</c:v>
                </c:pt>
                <c:pt idx="623">
                  <c:v>0.21659999999999999</c:v>
                </c:pt>
                <c:pt idx="624">
                  <c:v>0.215</c:v>
                </c:pt>
                <c:pt idx="625">
                  <c:v>0.20480000000000001</c:v>
                </c:pt>
                <c:pt idx="626">
                  <c:v>0.19009999999999999</c:v>
                </c:pt>
                <c:pt idx="627">
                  <c:v>0.19789999999999999</c:v>
                </c:pt>
                <c:pt idx="628">
                  <c:v>0.22259999999999999</c:v>
                </c:pt>
                <c:pt idx="629">
                  <c:v>0.2298</c:v>
                </c:pt>
                <c:pt idx="630">
                  <c:v>0.2185</c:v>
                </c:pt>
                <c:pt idx="631">
                  <c:v>0.218</c:v>
                </c:pt>
                <c:pt idx="632">
                  <c:v>0.21909999999999999</c:v>
                </c:pt>
                <c:pt idx="633">
                  <c:v>0.21590000000000001</c:v>
                </c:pt>
                <c:pt idx="634">
                  <c:v>0.21859999999999999</c:v>
                </c:pt>
                <c:pt idx="635">
                  <c:v>0.2276</c:v>
                </c:pt>
                <c:pt idx="636">
                  <c:v>0.2268</c:v>
                </c:pt>
                <c:pt idx="637">
                  <c:v>0.21990000000000001</c:v>
                </c:pt>
                <c:pt idx="638">
                  <c:v>0.21940000000000001</c:v>
                </c:pt>
                <c:pt idx="639">
                  <c:v>0.21290000000000001</c:v>
                </c:pt>
                <c:pt idx="640">
                  <c:v>0.20680000000000001</c:v>
                </c:pt>
                <c:pt idx="641">
                  <c:v>0.21179999999999999</c:v>
                </c:pt>
                <c:pt idx="642">
                  <c:v>0.21110000000000001</c:v>
                </c:pt>
                <c:pt idx="643">
                  <c:v>0.21099999999999999</c:v>
                </c:pt>
                <c:pt idx="644">
                  <c:v>0.2031</c:v>
                </c:pt>
                <c:pt idx="645">
                  <c:v>0.19500000000000001</c:v>
                </c:pt>
                <c:pt idx="646">
                  <c:v>0.18609999999999999</c:v>
                </c:pt>
                <c:pt idx="647">
                  <c:v>0.18870000000000001</c:v>
                </c:pt>
                <c:pt idx="648">
                  <c:v>0.19600000000000001</c:v>
                </c:pt>
                <c:pt idx="649">
                  <c:v>0.2049</c:v>
                </c:pt>
                <c:pt idx="650">
                  <c:v>0.19550000000000001</c:v>
                </c:pt>
                <c:pt idx="651">
                  <c:v>0.1978</c:v>
                </c:pt>
                <c:pt idx="652">
                  <c:v>0.18609999999999999</c:v>
                </c:pt>
                <c:pt idx="653">
                  <c:v>0.19750000000000001</c:v>
                </c:pt>
                <c:pt idx="654">
                  <c:v>0.19500000000000001</c:v>
                </c:pt>
                <c:pt idx="655">
                  <c:v>0.19409999999999999</c:v>
                </c:pt>
                <c:pt idx="656">
                  <c:v>0.1981</c:v>
                </c:pt>
                <c:pt idx="657">
                  <c:v>0.1903</c:v>
                </c:pt>
                <c:pt idx="658">
                  <c:v>0.20200000000000001</c:v>
                </c:pt>
                <c:pt idx="659">
                  <c:v>0.20780000000000001</c:v>
                </c:pt>
                <c:pt idx="660">
                  <c:v>0.20610000000000001</c:v>
                </c:pt>
                <c:pt idx="661">
                  <c:v>0.20330000000000001</c:v>
                </c:pt>
                <c:pt idx="662">
                  <c:v>0.1961</c:v>
                </c:pt>
                <c:pt idx="663">
                  <c:v>0.19589999999999999</c:v>
                </c:pt>
                <c:pt idx="664">
                  <c:v>0.19700000000000001</c:v>
                </c:pt>
                <c:pt idx="665">
                  <c:v>0.19850000000000001</c:v>
                </c:pt>
                <c:pt idx="666">
                  <c:v>0.20699999999999999</c:v>
                </c:pt>
                <c:pt idx="667">
                  <c:v>0.2009</c:v>
                </c:pt>
                <c:pt idx="668">
                  <c:v>0.20549999999999999</c:v>
                </c:pt>
                <c:pt idx="669">
                  <c:v>0.15329999999999999</c:v>
                </c:pt>
                <c:pt idx="670">
                  <c:v>0.16969999999999999</c:v>
                </c:pt>
                <c:pt idx="671">
                  <c:v>0.1749</c:v>
                </c:pt>
                <c:pt idx="672">
                  <c:v>0.2099</c:v>
                </c:pt>
                <c:pt idx="673">
                  <c:v>0.14580000000000001</c:v>
                </c:pt>
                <c:pt idx="674">
                  <c:v>0.1489</c:v>
                </c:pt>
                <c:pt idx="675">
                  <c:v>0.1487</c:v>
                </c:pt>
                <c:pt idx="676">
                  <c:v>0.1391</c:v>
                </c:pt>
                <c:pt idx="677">
                  <c:v>0.1517</c:v>
                </c:pt>
                <c:pt idx="678">
                  <c:v>0.1525</c:v>
                </c:pt>
                <c:pt idx="679">
                  <c:v>0.14960000000000001</c:v>
                </c:pt>
                <c:pt idx="680">
                  <c:v>0.13059999999999999</c:v>
                </c:pt>
                <c:pt idx="681">
                  <c:v>0.1283</c:v>
                </c:pt>
                <c:pt idx="682">
                  <c:v>0.114</c:v>
                </c:pt>
                <c:pt idx="683">
                  <c:v>0.13170000000000001</c:v>
                </c:pt>
                <c:pt idx="684">
                  <c:v>0.12620000000000001</c:v>
                </c:pt>
                <c:pt idx="685">
                  <c:v>0.13420000000000001</c:v>
                </c:pt>
                <c:pt idx="686">
                  <c:v>0.11840000000000001</c:v>
                </c:pt>
                <c:pt idx="687">
                  <c:v>0.22509999999999999</c:v>
                </c:pt>
                <c:pt idx="688">
                  <c:v>0.2303</c:v>
                </c:pt>
                <c:pt idx="689">
                  <c:v>0.23069999999999999</c:v>
                </c:pt>
                <c:pt idx="690">
                  <c:v>0.2266</c:v>
                </c:pt>
                <c:pt idx="691">
                  <c:v>0.26750000000000002</c:v>
                </c:pt>
                <c:pt idx="692">
                  <c:v>0.27479999999999999</c:v>
                </c:pt>
                <c:pt idx="693">
                  <c:v>0.26800000000000002</c:v>
                </c:pt>
                <c:pt idx="694">
                  <c:v>0.2631</c:v>
                </c:pt>
                <c:pt idx="695">
                  <c:v>0.255</c:v>
                </c:pt>
                <c:pt idx="696">
                  <c:v>0.26140000000000002</c:v>
                </c:pt>
                <c:pt idx="697">
                  <c:v>0.24229999999999999</c:v>
                </c:pt>
                <c:pt idx="698">
                  <c:v>0.23949999999999999</c:v>
                </c:pt>
                <c:pt idx="699">
                  <c:v>0.25159999999999999</c:v>
                </c:pt>
                <c:pt idx="700">
                  <c:v>0.2555</c:v>
                </c:pt>
                <c:pt idx="701">
                  <c:v>0.25900000000000001</c:v>
                </c:pt>
                <c:pt idx="702">
                  <c:v>0.2752</c:v>
                </c:pt>
                <c:pt idx="703">
                  <c:v>0.30790000000000001</c:v>
                </c:pt>
                <c:pt idx="704">
                  <c:v>0.32700000000000001</c:v>
                </c:pt>
                <c:pt idx="705">
                  <c:v>0.31530000000000002</c:v>
                </c:pt>
                <c:pt idx="706">
                  <c:v>0.32490000000000002</c:v>
                </c:pt>
                <c:pt idx="707">
                  <c:v>0.31469999999999998</c:v>
                </c:pt>
                <c:pt idx="708">
                  <c:v>0.31630000000000003</c:v>
                </c:pt>
                <c:pt idx="709">
                  <c:v>0.3473</c:v>
                </c:pt>
                <c:pt idx="710">
                  <c:v>0.32390000000000002</c:v>
                </c:pt>
                <c:pt idx="711">
                  <c:v>0.34189999999999998</c:v>
                </c:pt>
                <c:pt idx="712">
                  <c:v>0.36880000000000002</c:v>
                </c:pt>
                <c:pt idx="713">
                  <c:v>0.42709999999999998</c:v>
                </c:pt>
                <c:pt idx="714">
                  <c:v>0.39100000000000001</c:v>
                </c:pt>
                <c:pt idx="715">
                  <c:v>0.39760000000000001</c:v>
                </c:pt>
                <c:pt idx="716">
                  <c:v>0.36680000000000001</c:v>
                </c:pt>
                <c:pt idx="717">
                  <c:v>0.34610000000000002</c:v>
                </c:pt>
                <c:pt idx="718">
                  <c:v>0.3609</c:v>
                </c:pt>
                <c:pt idx="719">
                  <c:v>0.34820000000000001</c:v>
                </c:pt>
                <c:pt idx="720">
                  <c:v>0.3448</c:v>
                </c:pt>
                <c:pt idx="721">
                  <c:v>0.3579</c:v>
                </c:pt>
                <c:pt idx="722">
                  <c:v>0.3427</c:v>
                </c:pt>
                <c:pt idx="723">
                  <c:v>0.33210000000000001</c:v>
                </c:pt>
                <c:pt idx="724">
                  <c:v>0.3054</c:v>
                </c:pt>
                <c:pt idx="725">
                  <c:v>0.30759999999999998</c:v>
                </c:pt>
                <c:pt idx="726">
                  <c:v>0.2908</c:v>
                </c:pt>
                <c:pt idx="727">
                  <c:v>0.28149999999999997</c:v>
                </c:pt>
                <c:pt idx="728">
                  <c:v>0.27860000000000001</c:v>
                </c:pt>
                <c:pt idx="729">
                  <c:v>0.2717</c:v>
                </c:pt>
                <c:pt idx="730">
                  <c:v>0.27329999999999999</c:v>
                </c:pt>
                <c:pt idx="731">
                  <c:v>0.27039999999999997</c:v>
                </c:pt>
                <c:pt idx="732">
                  <c:v>0.26840000000000003</c:v>
                </c:pt>
                <c:pt idx="733">
                  <c:v>0.26240000000000002</c:v>
                </c:pt>
                <c:pt idx="734">
                  <c:v>0.26829999999999998</c:v>
                </c:pt>
                <c:pt idx="735">
                  <c:v>0.25750000000000001</c:v>
                </c:pt>
                <c:pt idx="736">
                  <c:v>0.2757</c:v>
                </c:pt>
                <c:pt idx="737">
                  <c:v>0.27039999999999997</c:v>
                </c:pt>
                <c:pt idx="738">
                  <c:v>0.26350000000000001</c:v>
                </c:pt>
                <c:pt idx="739">
                  <c:v>0.26179999999999998</c:v>
                </c:pt>
                <c:pt idx="740">
                  <c:v>0.27539999999999998</c:v>
                </c:pt>
                <c:pt idx="741">
                  <c:v>0.26919999999999999</c:v>
                </c:pt>
                <c:pt idx="742">
                  <c:v>0.25850000000000001</c:v>
                </c:pt>
                <c:pt idx="743">
                  <c:v>0.25840000000000002</c:v>
                </c:pt>
                <c:pt idx="744">
                  <c:v>0.24610000000000001</c:v>
                </c:pt>
                <c:pt idx="745">
                  <c:v>0.23480000000000001</c:v>
                </c:pt>
                <c:pt idx="746">
                  <c:v>0.2382</c:v>
                </c:pt>
                <c:pt idx="747">
                  <c:v>0.2339</c:v>
                </c:pt>
                <c:pt idx="748">
                  <c:v>0.22789999999999999</c:v>
                </c:pt>
                <c:pt idx="749">
                  <c:v>0.22600000000000001</c:v>
                </c:pt>
                <c:pt idx="750">
                  <c:v>0.22509999999999999</c:v>
                </c:pt>
                <c:pt idx="751">
                  <c:v>0.23</c:v>
                </c:pt>
                <c:pt idx="752">
                  <c:v>0.24560000000000001</c:v>
                </c:pt>
                <c:pt idx="753">
                  <c:v>0.23400000000000001</c:v>
                </c:pt>
                <c:pt idx="754">
                  <c:v>0.23369999999999999</c:v>
                </c:pt>
                <c:pt idx="755">
                  <c:v>0.22839999999999999</c:v>
                </c:pt>
                <c:pt idx="756">
                  <c:v>0.22070000000000001</c:v>
                </c:pt>
                <c:pt idx="757">
                  <c:v>0.23080000000000001</c:v>
                </c:pt>
                <c:pt idx="758">
                  <c:v>0.22209999999999999</c:v>
                </c:pt>
                <c:pt idx="759">
                  <c:v>0.23930000000000001</c:v>
                </c:pt>
                <c:pt idx="760">
                  <c:v>0.24629999999999999</c:v>
                </c:pt>
                <c:pt idx="761">
                  <c:v>0.25169999999999998</c:v>
                </c:pt>
                <c:pt idx="762">
                  <c:v>0.26960000000000001</c:v>
                </c:pt>
                <c:pt idx="763">
                  <c:v>0.2278</c:v>
                </c:pt>
                <c:pt idx="764">
                  <c:v>0.2303</c:v>
                </c:pt>
                <c:pt idx="765">
                  <c:v>0.2389</c:v>
                </c:pt>
                <c:pt idx="766">
                  <c:v>0.23769999999999999</c:v>
                </c:pt>
                <c:pt idx="767">
                  <c:v>0.24510000000000001</c:v>
                </c:pt>
                <c:pt idx="768">
                  <c:v>0.23930000000000001</c:v>
                </c:pt>
                <c:pt idx="769">
                  <c:v>0.25169999999999998</c:v>
                </c:pt>
                <c:pt idx="770">
                  <c:v>0.2487</c:v>
                </c:pt>
                <c:pt idx="771">
                  <c:v>0.25690000000000002</c:v>
                </c:pt>
                <c:pt idx="772">
                  <c:v>0.23930000000000001</c:v>
                </c:pt>
                <c:pt idx="773">
                  <c:v>0.2636</c:v>
                </c:pt>
                <c:pt idx="774">
                  <c:v>0.27939999999999998</c:v>
                </c:pt>
                <c:pt idx="775">
                  <c:v>0.27329999999999999</c:v>
                </c:pt>
                <c:pt idx="776">
                  <c:v>0.27929999999999999</c:v>
                </c:pt>
                <c:pt idx="777">
                  <c:v>0.27829999999999999</c:v>
                </c:pt>
                <c:pt idx="778">
                  <c:v>0.28149999999999997</c:v>
                </c:pt>
                <c:pt idx="779">
                  <c:v>0.2802</c:v>
                </c:pt>
                <c:pt idx="780">
                  <c:v>0.3019</c:v>
                </c:pt>
                <c:pt idx="781">
                  <c:v>0.30840000000000001</c:v>
                </c:pt>
                <c:pt idx="782">
                  <c:v>0.3004</c:v>
                </c:pt>
                <c:pt idx="783">
                  <c:v>0.29570000000000002</c:v>
                </c:pt>
                <c:pt idx="784">
                  <c:v>0.29239999999999999</c:v>
                </c:pt>
                <c:pt idx="785">
                  <c:v>0.28920000000000001</c:v>
                </c:pt>
                <c:pt idx="786">
                  <c:v>0.30120000000000002</c:v>
                </c:pt>
                <c:pt idx="787">
                  <c:v>0.30249999999999999</c:v>
                </c:pt>
                <c:pt idx="788">
                  <c:v>0.31309999999999999</c:v>
                </c:pt>
                <c:pt idx="789">
                  <c:v>0.308</c:v>
                </c:pt>
                <c:pt idx="790">
                  <c:v>0.31509999999999999</c:v>
                </c:pt>
                <c:pt idx="791">
                  <c:v>0.30399999999999999</c:v>
                </c:pt>
                <c:pt idx="792">
                  <c:v>0.29680000000000001</c:v>
                </c:pt>
                <c:pt idx="793">
                  <c:v>0.2954</c:v>
                </c:pt>
                <c:pt idx="794">
                  <c:v>0.28170000000000001</c:v>
                </c:pt>
                <c:pt idx="795">
                  <c:v>0.28610000000000002</c:v>
                </c:pt>
                <c:pt idx="796">
                  <c:v>0.313</c:v>
                </c:pt>
                <c:pt idx="797">
                  <c:v>0.28599999999999998</c:v>
                </c:pt>
                <c:pt idx="798">
                  <c:v>0.31080000000000002</c:v>
                </c:pt>
                <c:pt idx="799">
                  <c:v>0.33750000000000002</c:v>
                </c:pt>
                <c:pt idx="800">
                  <c:v>0.34799999999999998</c:v>
                </c:pt>
                <c:pt idx="801">
                  <c:v>0.35749999999999998</c:v>
                </c:pt>
                <c:pt idx="802">
                  <c:v>0.39119999999999999</c:v>
                </c:pt>
                <c:pt idx="803">
                  <c:v>0.38869999999999999</c:v>
                </c:pt>
                <c:pt idx="804">
                  <c:v>0.38900000000000001</c:v>
                </c:pt>
                <c:pt idx="805">
                  <c:v>0.40870000000000001</c:v>
                </c:pt>
                <c:pt idx="806">
                  <c:v>0.42120000000000002</c:v>
                </c:pt>
                <c:pt idx="807">
                  <c:v>0.40760000000000002</c:v>
                </c:pt>
                <c:pt idx="808">
                  <c:v>0.39329999999999998</c:v>
                </c:pt>
                <c:pt idx="809">
                  <c:v>0.40200000000000002</c:v>
                </c:pt>
                <c:pt idx="810">
                  <c:v>0.39610000000000001</c:v>
                </c:pt>
                <c:pt idx="811">
                  <c:v>0.39190000000000003</c:v>
                </c:pt>
                <c:pt idx="812">
                  <c:v>0.4083</c:v>
                </c:pt>
                <c:pt idx="813">
                  <c:v>0.4153</c:v>
                </c:pt>
                <c:pt idx="814">
                  <c:v>0.40439999999999998</c:v>
                </c:pt>
                <c:pt idx="815">
                  <c:v>0.40810000000000002</c:v>
                </c:pt>
                <c:pt idx="816">
                  <c:v>0.41110000000000002</c:v>
                </c:pt>
                <c:pt idx="817">
                  <c:v>0.43930000000000002</c:v>
                </c:pt>
                <c:pt idx="818">
                  <c:v>0.41799999999999998</c:v>
                </c:pt>
                <c:pt idx="819">
                  <c:v>0.41610000000000003</c:v>
                </c:pt>
                <c:pt idx="820">
                  <c:v>0.43009999999999998</c:v>
                </c:pt>
                <c:pt idx="821">
                  <c:v>0.4052</c:v>
                </c:pt>
                <c:pt idx="822">
                  <c:v>0.39129999999999998</c:v>
                </c:pt>
                <c:pt idx="823">
                  <c:v>0.377</c:v>
                </c:pt>
                <c:pt idx="824">
                  <c:v>0.31359999999999999</c:v>
                </c:pt>
                <c:pt idx="825">
                  <c:v>0.3291</c:v>
                </c:pt>
                <c:pt idx="826">
                  <c:v>0.29549999999999998</c:v>
                </c:pt>
                <c:pt idx="827">
                  <c:v>0.2944</c:v>
                </c:pt>
                <c:pt idx="828">
                  <c:v>0.32500000000000001</c:v>
                </c:pt>
                <c:pt idx="829">
                  <c:v>0.32929999999999998</c:v>
                </c:pt>
                <c:pt idx="830">
                  <c:v>0.32200000000000001</c:v>
                </c:pt>
                <c:pt idx="831">
                  <c:v>0.3165</c:v>
                </c:pt>
                <c:pt idx="832">
                  <c:v>0.3251</c:v>
                </c:pt>
                <c:pt idx="833">
                  <c:v>0.33339999999999997</c:v>
                </c:pt>
                <c:pt idx="834">
                  <c:v>0.32529999999999998</c:v>
                </c:pt>
                <c:pt idx="835">
                  <c:v>0.33539999999999998</c:v>
                </c:pt>
                <c:pt idx="836">
                  <c:v>0.34810000000000002</c:v>
                </c:pt>
                <c:pt idx="837">
                  <c:v>0.35320000000000001</c:v>
                </c:pt>
                <c:pt idx="838">
                  <c:v>0.36280000000000001</c:v>
                </c:pt>
                <c:pt idx="839">
                  <c:v>0.35199999999999998</c:v>
                </c:pt>
                <c:pt idx="840">
                  <c:v>0.36969999999999997</c:v>
                </c:pt>
                <c:pt idx="841">
                  <c:v>0.38269999999999998</c:v>
                </c:pt>
                <c:pt idx="842">
                  <c:v>0.37269999999999998</c:v>
                </c:pt>
                <c:pt idx="843">
                  <c:v>0.37330000000000002</c:v>
                </c:pt>
                <c:pt idx="844">
                  <c:v>0.34910000000000002</c:v>
                </c:pt>
                <c:pt idx="845">
                  <c:v>0.3785</c:v>
                </c:pt>
                <c:pt idx="846">
                  <c:v>0.38440000000000002</c:v>
                </c:pt>
                <c:pt idx="847">
                  <c:v>0.36969999999999997</c:v>
                </c:pt>
                <c:pt idx="848">
                  <c:v>0.36980000000000002</c:v>
                </c:pt>
                <c:pt idx="849">
                  <c:v>0.37090000000000001</c:v>
                </c:pt>
                <c:pt idx="850">
                  <c:v>0.36709999999999998</c:v>
                </c:pt>
                <c:pt idx="851">
                  <c:v>0.33789999999999998</c:v>
                </c:pt>
                <c:pt idx="852">
                  <c:v>0.34300000000000003</c:v>
                </c:pt>
                <c:pt idx="853">
                  <c:v>0.3417</c:v>
                </c:pt>
                <c:pt idx="854">
                  <c:v>0.32879999999999998</c:v>
                </c:pt>
                <c:pt idx="855">
                  <c:v>0.3372</c:v>
                </c:pt>
                <c:pt idx="856">
                  <c:v>0.3286</c:v>
                </c:pt>
                <c:pt idx="857">
                  <c:v>0.39789999999999998</c:v>
                </c:pt>
                <c:pt idx="858">
                  <c:v>0.41289999999999999</c:v>
                </c:pt>
                <c:pt idx="859">
                  <c:v>0.41799999999999998</c:v>
                </c:pt>
                <c:pt idx="860">
                  <c:v>0.43240000000000001</c:v>
                </c:pt>
                <c:pt idx="861">
                  <c:v>0.4335</c:v>
                </c:pt>
                <c:pt idx="862">
                  <c:v>0.45090000000000002</c:v>
                </c:pt>
                <c:pt idx="863">
                  <c:v>0.44259999999999999</c:v>
                </c:pt>
                <c:pt idx="864">
                  <c:v>0.42180000000000001</c:v>
                </c:pt>
                <c:pt idx="865">
                  <c:v>0.41670000000000001</c:v>
                </c:pt>
                <c:pt idx="866">
                  <c:v>0.4078</c:v>
                </c:pt>
                <c:pt idx="867">
                  <c:v>0.41980000000000001</c:v>
                </c:pt>
                <c:pt idx="868">
                  <c:v>0.40450000000000003</c:v>
                </c:pt>
                <c:pt idx="869">
                  <c:v>0.41139999999999999</c:v>
                </c:pt>
                <c:pt idx="870">
                  <c:v>0.42870000000000003</c:v>
                </c:pt>
                <c:pt idx="871">
                  <c:v>0.44500000000000001</c:v>
                </c:pt>
                <c:pt idx="872">
                  <c:v>0.42799999999999999</c:v>
                </c:pt>
                <c:pt idx="873">
                  <c:v>0.42230000000000001</c:v>
                </c:pt>
                <c:pt idx="874">
                  <c:v>0.40239999999999998</c:v>
                </c:pt>
                <c:pt idx="875">
                  <c:v>0.43659999999999999</c:v>
                </c:pt>
                <c:pt idx="876">
                  <c:v>0.432</c:v>
                </c:pt>
                <c:pt idx="877">
                  <c:v>0.442</c:v>
                </c:pt>
                <c:pt idx="878">
                  <c:v>0.44059999999999999</c:v>
                </c:pt>
                <c:pt idx="879">
                  <c:v>0.4234</c:v>
                </c:pt>
                <c:pt idx="880">
                  <c:v>0.43419999999999997</c:v>
                </c:pt>
                <c:pt idx="881">
                  <c:v>0.43240000000000001</c:v>
                </c:pt>
                <c:pt idx="882">
                  <c:v>0.4375</c:v>
                </c:pt>
                <c:pt idx="883">
                  <c:v>0.4577</c:v>
                </c:pt>
                <c:pt idx="884">
                  <c:v>0.49149999999999999</c:v>
                </c:pt>
                <c:pt idx="885">
                  <c:v>0.46879999999999999</c:v>
                </c:pt>
                <c:pt idx="886">
                  <c:v>0.47589999999999999</c:v>
                </c:pt>
                <c:pt idx="887">
                  <c:v>0.52290000000000003</c:v>
                </c:pt>
                <c:pt idx="888">
                  <c:v>0.43509999999999999</c:v>
                </c:pt>
                <c:pt idx="889">
                  <c:v>0.4375</c:v>
                </c:pt>
                <c:pt idx="890">
                  <c:v>0.42809999999999998</c:v>
                </c:pt>
                <c:pt idx="891">
                  <c:v>0.42809999999999998</c:v>
                </c:pt>
                <c:pt idx="892">
                  <c:v>0.45229999999999998</c:v>
                </c:pt>
                <c:pt idx="893">
                  <c:v>0.44890000000000002</c:v>
                </c:pt>
                <c:pt idx="894">
                  <c:v>0.46839999999999998</c:v>
                </c:pt>
                <c:pt idx="895">
                  <c:v>0.42259999999999998</c:v>
                </c:pt>
                <c:pt idx="896">
                  <c:v>0.4007</c:v>
                </c:pt>
                <c:pt idx="897">
                  <c:v>0.3775</c:v>
                </c:pt>
                <c:pt idx="898">
                  <c:v>0.42109999999999997</c:v>
                </c:pt>
                <c:pt idx="899">
                  <c:v>0.43740000000000001</c:v>
                </c:pt>
                <c:pt idx="900">
                  <c:v>0.44180000000000003</c:v>
                </c:pt>
                <c:pt idx="901">
                  <c:v>0.43080000000000002</c:v>
                </c:pt>
                <c:pt idx="902">
                  <c:v>0.4264</c:v>
                </c:pt>
                <c:pt idx="903">
                  <c:v>0.47020000000000001</c:v>
                </c:pt>
                <c:pt idx="904">
                  <c:v>0.50170000000000003</c:v>
                </c:pt>
                <c:pt idx="905">
                  <c:v>0.49990000000000001</c:v>
                </c:pt>
                <c:pt idx="906">
                  <c:v>0.5292</c:v>
                </c:pt>
                <c:pt idx="907">
                  <c:v>0.55010000000000003</c:v>
                </c:pt>
                <c:pt idx="908">
                  <c:v>0.51160000000000005</c:v>
                </c:pt>
                <c:pt idx="909">
                  <c:v>0.50929999999999997</c:v>
                </c:pt>
                <c:pt idx="910">
                  <c:v>0.49790000000000001</c:v>
                </c:pt>
                <c:pt idx="911">
                  <c:v>0.53069999999999995</c:v>
                </c:pt>
                <c:pt idx="912">
                  <c:v>0.52049999999999996</c:v>
                </c:pt>
                <c:pt idx="913">
                  <c:v>0.52559999999999996</c:v>
                </c:pt>
                <c:pt idx="914">
                  <c:v>0.53320000000000001</c:v>
                </c:pt>
                <c:pt idx="915">
                  <c:v>0.53459999999999996</c:v>
                </c:pt>
                <c:pt idx="916">
                  <c:v>0.57630000000000003</c:v>
                </c:pt>
                <c:pt idx="917">
                  <c:v>0.56020000000000003</c:v>
                </c:pt>
                <c:pt idx="918">
                  <c:v>0.56020000000000003</c:v>
                </c:pt>
                <c:pt idx="919">
                  <c:v>0.55369999999999997</c:v>
                </c:pt>
                <c:pt idx="920">
                  <c:v>0.59119999999999995</c:v>
                </c:pt>
                <c:pt idx="921">
                  <c:v>0.59419999999999995</c:v>
                </c:pt>
                <c:pt idx="922">
                  <c:v>0.59809999999999997</c:v>
                </c:pt>
                <c:pt idx="923">
                  <c:v>0.57609999999999995</c:v>
                </c:pt>
                <c:pt idx="924">
                  <c:v>0.58379999999999999</c:v>
                </c:pt>
                <c:pt idx="925">
                  <c:v>0.53490000000000004</c:v>
                </c:pt>
                <c:pt idx="926">
                  <c:v>0.5151</c:v>
                </c:pt>
                <c:pt idx="927">
                  <c:v>0.61160000000000003</c:v>
                </c:pt>
                <c:pt idx="928">
                  <c:v>0.62860000000000005</c:v>
                </c:pt>
                <c:pt idx="929">
                  <c:v>0.74119999999999997</c:v>
                </c:pt>
                <c:pt idx="930">
                  <c:v>0.73029999999999995</c:v>
                </c:pt>
                <c:pt idx="931">
                  <c:v>0.70530000000000004</c:v>
                </c:pt>
                <c:pt idx="932">
                  <c:v>0.79200000000000004</c:v>
                </c:pt>
                <c:pt idx="933">
                  <c:v>0.85450000000000004</c:v>
                </c:pt>
                <c:pt idx="934">
                  <c:v>0.90180000000000005</c:v>
                </c:pt>
                <c:pt idx="935">
                  <c:v>0.94540000000000002</c:v>
                </c:pt>
                <c:pt idx="936">
                  <c:v>0.97030000000000005</c:v>
                </c:pt>
                <c:pt idx="937">
                  <c:v>0.95220000000000005</c:v>
                </c:pt>
                <c:pt idx="938">
                  <c:v>0.89</c:v>
                </c:pt>
                <c:pt idx="939">
                  <c:v>0.93020000000000003</c:v>
                </c:pt>
                <c:pt idx="940">
                  <c:v>0.8498</c:v>
                </c:pt>
                <c:pt idx="941">
                  <c:v>0.90859999999999996</c:v>
                </c:pt>
                <c:pt idx="942">
                  <c:v>0.80730000000000002</c:v>
                </c:pt>
                <c:pt idx="943">
                  <c:v>0.85870000000000002</c:v>
                </c:pt>
                <c:pt idx="944">
                  <c:v>0.86639999999999995</c:v>
                </c:pt>
                <c:pt idx="945">
                  <c:v>0.80510000000000004</c:v>
                </c:pt>
                <c:pt idx="946">
                  <c:v>0.89200000000000002</c:v>
                </c:pt>
                <c:pt idx="947">
                  <c:v>0.93469999999999998</c:v>
                </c:pt>
                <c:pt idx="948">
                  <c:v>0.94350000000000001</c:v>
                </c:pt>
                <c:pt idx="949">
                  <c:v>0.93559999999999999</c:v>
                </c:pt>
                <c:pt idx="950">
                  <c:v>0.96809999999999996</c:v>
                </c:pt>
                <c:pt idx="951">
                  <c:v>0.93530000000000002</c:v>
                </c:pt>
                <c:pt idx="952">
                  <c:v>0.99890000000000001</c:v>
                </c:pt>
                <c:pt idx="953">
                  <c:v>1.0385</c:v>
                </c:pt>
                <c:pt idx="954">
                  <c:v>0.97099999999999997</c:v>
                </c:pt>
                <c:pt idx="955">
                  <c:v>1.0130999999999999</c:v>
                </c:pt>
                <c:pt idx="956">
                  <c:v>0.96160000000000001</c:v>
                </c:pt>
                <c:pt idx="957">
                  <c:v>0.98440000000000005</c:v>
                </c:pt>
                <c:pt idx="958">
                  <c:v>1.0508999999999999</c:v>
                </c:pt>
                <c:pt idx="959">
                  <c:v>0.89880000000000004</c:v>
                </c:pt>
                <c:pt idx="960">
                  <c:v>0.88839999999999997</c:v>
                </c:pt>
                <c:pt idx="961">
                  <c:v>0.93310000000000004</c:v>
                </c:pt>
                <c:pt idx="962">
                  <c:v>0.96509999999999996</c:v>
                </c:pt>
                <c:pt idx="963">
                  <c:v>0.89419999999999999</c:v>
                </c:pt>
                <c:pt idx="964">
                  <c:v>0.78390000000000004</c:v>
                </c:pt>
                <c:pt idx="965">
                  <c:v>0.78590000000000004</c:v>
                </c:pt>
                <c:pt idx="966">
                  <c:v>0.75780000000000003</c:v>
                </c:pt>
                <c:pt idx="967">
                  <c:v>0.76549999999999996</c:v>
                </c:pt>
                <c:pt idx="968">
                  <c:v>0.72299999999999998</c:v>
                </c:pt>
                <c:pt idx="969">
                  <c:v>0.75</c:v>
                </c:pt>
                <c:pt idx="970">
                  <c:v>0.79269999999999996</c:v>
                </c:pt>
                <c:pt idx="971">
                  <c:v>0.77439999999999998</c:v>
                </c:pt>
                <c:pt idx="972">
                  <c:v>0.78180000000000005</c:v>
                </c:pt>
                <c:pt idx="973">
                  <c:v>0.74880000000000002</c:v>
                </c:pt>
                <c:pt idx="974">
                  <c:v>0.78779999999999994</c:v>
                </c:pt>
                <c:pt idx="975">
                  <c:v>0.78469999999999995</c:v>
                </c:pt>
                <c:pt idx="976">
                  <c:v>0.77380000000000004</c:v>
                </c:pt>
                <c:pt idx="977">
                  <c:v>0.76829999999999998</c:v>
                </c:pt>
                <c:pt idx="978">
                  <c:v>0.76559999999999995</c:v>
                </c:pt>
                <c:pt idx="979">
                  <c:v>0.75319999999999998</c:v>
                </c:pt>
                <c:pt idx="980">
                  <c:v>0.75960000000000005</c:v>
                </c:pt>
                <c:pt idx="981">
                  <c:v>0.71230000000000004</c:v>
                </c:pt>
                <c:pt idx="982">
                  <c:v>0.7379</c:v>
                </c:pt>
                <c:pt idx="983">
                  <c:v>0.69210000000000005</c:v>
                </c:pt>
                <c:pt idx="984">
                  <c:v>0.70779999999999998</c:v>
                </c:pt>
                <c:pt idx="985">
                  <c:v>0.68320000000000003</c:v>
                </c:pt>
                <c:pt idx="986">
                  <c:v>0.69899999999999995</c:v>
                </c:pt>
                <c:pt idx="987">
                  <c:v>0.7419</c:v>
                </c:pt>
                <c:pt idx="988">
                  <c:v>0.79620000000000002</c:v>
                </c:pt>
                <c:pt idx="989">
                  <c:v>0.69630000000000003</c:v>
                </c:pt>
                <c:pt idx="990">
                  <c:v>0.65700000000000003</c:v>
                </c:pt>
                <c:pt idx="991">
                  <c:v>0.6452</c:v>
                </c:pt>
                <c:pt idx="992">
                  <c:v>0.63859999999999995</c:v>
                </c:pt>
                <c:pt idx="993">
                  <c:v>0.61419999999999997</c:v>
                </c:pt>
                <c:pt idx="994">
                  <c:v>0.59789999999999999</c:v>
                </c:pt>
                <c:pt idx="995">
                  <c:v>0.66379999999999995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E2-442E-BDEA-63FB1EA7880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-9.8855976179525413</c:v>
                </c:pt>
                <c:pt idx="1">
                  <c:v>-9.8838406920105122</c:v>
                </c:pt>
                <c:pt idx="2">
                  <c:v>-9.8557898513419051</c:v>
                </c:pt>
                <c:pt idx="3">
                  <c:v>-9.8275122661146348</c:v>
                </c:pt>
                <c:pt idx="4">
                  <c:v>-9.8755248269796869</c:v>
                </c:pt>
                <c:pt idx="5">
                  <c:v>-9.867609530645673</c:v>
                </c:pt>
                <c:pt idx="6">
                  <c:v>-9.8507853754865398</c:v>
                </c:pt>
                <c:pt idx="7">
                  <c:v>-9.7807406087044786</c:v>
                </c:pt>
                <c:pt idx="8">
                  <c:v>-9.6743642007681725</c:v>
                </c:pt>
                <c:pt idx="9">
                  <c:v>-9.6417811087647163</c:v>
                </c:pt>
                <c:pt idx="10">
                  <c:v>-9.6522313776422681</c:v>
                </c:pt>
                <c:pt idx="11">
                  <c:v>-9.5991870376422685</c:v>
                </c:pt>
                <c:pt idx="12">
                  <c:v>-9.563393943925794</c:v>
                </c:pt>
                <c:pt idx="13">
                  <c:v>-9.5548527696025349</c:v>
                </c:pt>
                <c:pt idx="14">
                  <c:v>-9.5580964874403751</c:v>
                </c:pt>
                <c:pt idx="15">
                  <c:v>-9.520699527044691</c:v>
                </c:pt>
                <c:pt idx="16">
                  <c:v>-9.5268567545676266</c:v>
                </c:pt>
                <c:pt idx="17">
                  <c:v>-9.5488860997003702</c:v>
                </c:pt>
                <c:pt idx="18">
                  <c:v>-9.5141860648475678</c:v>
                </c:pt>
                <c:pt idx="19">
                  <c:v>-9.4191856474443796</c:v>
                </c:pt>
                <c:pt idx="20">
                  <c:v>-9.3655803736133159</c:v>
                </c:pt>
                <c:pt idx="21">
                  <c:v>-9.3105766556182985</c:v>
                </c:pt>
                <c:pt idx="22">
                  <c:v>-9.3001836451787376</c:v>
                </c:pt>
                <c:pt idx="23">
                  <c:v>-9.2480690943668726</c:v>
                </c:pt>
                <c:pt idx="24">
                  <c:v>-9.1783258621527164</c:v>
                </c:pt>
                <c:pt idx="25">
                  <c:v>-9.1080164739670622</c:v>
                </c:pt>
                <c:pt idx="26">
                  <c:v>-9.1118538827905926</c:v>
                </c:pt>
                <c:pt idx="27">
                  <c:v>-9.0985813553816843</c:v>
                </c:pt>
                <c:pt idx="28">
                  <c:v>-9.0781367364592711</c:v>
                </c:pt>
                <c:pt idx="29">
                  <c:v>-8.9861999564127579</c:v>
                </c:pt>
                <c:pt idx="30">
                  <c:v>-8.8631420541368957</c:v>
                </c:pt>
                <c:pt idx="31">
                  <c:v>-8.7712762403307281</c:v>
                </c:pt>
                <c:pt idx="32">
                  <c:v>-8.7067142085125475</c:v>
                </c:pt>
                <c:pt idx="33">
                  <c:v>-8.7374076623889518</c:v>
                </c:pt>
                <c:pt idx="34">
                  <c:v>-8.7099910861498842</c:v>
                </c:pt>
                <c:pt idx="35">
                  <c:v>-8.5918260952739729</c:v>
                </c:pt>
                <c:pt idx="36">
                  <c:v>-8.6547987121804475</c:v>
                </c:pt>
                <c:pt idx="37">
                  <c:v>-8.5556306706336862</c:v>
                </c:pt>
                <c:pt idx="38">
                  <c:v>-8.5334776241478369</c:v>
                </c:pt>
                <c:pt idx="39">
                  <c:v>-8.4746514793223913</c:v>
                </c:pt>
                <c:pt idx="40">
                  <c:v>-8.3691277843453609</c:v>
                </c:pt>
                <c:pt idx="41">
                  <c:v>-8.3521070980418592</c:v>
                </c:pt>
                <c:pt idx="42">
                  <c:v>-8.1685603093651888</c:v>
                </c:pt>
                <c:pt idx="43">
                  <c:v>-7.8708289686063351</c:v>
                </c:pt>
                <c:pt idx="44">
                  <c:v>-8.0389962776698809</c:v>
                </c:pt>
                <c:pt idx="45">
                  <c:v>-8.0490455951422728</c:v>
                </c:pt>
                <c:pt idx="46">
                  <c:v>-7.6947603877770634</c:v>
                </c:pt>
                <c:pt idx="47">
                  <c:v>-7.7857735147192129</c:v>
                </c:pt>
                <c:pt idx="48">
                  <c:v>-7.7913442423429746</c:v>
                </c:pt>
                <c:pt idx="49">
                  <c:v>-7.5956540520732885</c:v>
                </c:pt>
                <c:pt idx="50">
                  <c:v>-7.4974398216321125</c:v>
                </c:pt>
                <c:pt idx="51">
                  <c:v>-7.468499693936506</c:v>
                </c:pt>
                <c:pt idx="52">
                  <c:v>-7.0114776981108857</c:v>
                </c:pt>
                <c:pt idx="53">
                  <c:v>-6.4924784857275926</c:v>
                </c:pt>
                <c:pt idx="54">
                  <c:v>-6.3720957130379379</c:v>
                </c:pt>
                <c:pt idx="55">
                  <c:v>-6.2627549315247801</c:v>
                </c:pt>
                <c:pt idx="56">
                  <c:v>-3.4167482111719556</c:v>
                </c:pt>
                <c:pt idx="57">
                  <c:v>-2.937706026103974</c:v>
                </c:pt>
                <c:pt idx="58">
                  <c:v>-2.9291830716440441</c:v>
                </c:pt>
                <c:pt idx="59">
                  <c:v>-2.9273159312804071</c:v>
                </c:pt>
                <c:pt idx="60">
                  <c:v>-2.9174397910985896</c:v>
                </c:pt>
                <c:pt idx="61">
                  <c:v>-2.9226424918707905</c:v>
                </c:pt>
                <c:pt idx="62">
                  <c:v>-2.9152979655677602</c:v>
                </c:pt>
                <c:pt idx="63">
                  <c:v>-2.888501504603513</c:v>
                </c:pt>
                <c:pt idx="64">
                  <c:v>-2.8589840559646746</c:v>
                </c:pt>
                <c:pt idx="65">
                  <c:v>-2.8564867875101285</c:v>
                </c:pt>
                <c:pt idx="66">
                  <c:v>-2.8696743404086793</c:v>
                </c:pt>
                <c:pt idx="67">
                  <c:v>-2.8584901232405375</c:v>
                </c:pt>
                <c:pt idx="68">
                  <c:v>-2.8369740641269643</c:v>
                </c:pt>
                <c:pt idx="69">
                  <c:v>-2.8596828404427534</c:v>
                </c:pt>
                <c:pt idx="70">
                  <c:v>-2.8716059553929201</c:v>
                </c:pt>
                <c:pt idx="71">
                  <c:v>-2.8552668269507087</c:v>
                </c:pt>
                <c:pt idx="72">
                  <c:v>-2.846905003249216</c:v>
                </c:pt>
                <c:pt idx="73">
                  <c:v>-2.8295671005358018</c:v>
                </c:pt>
                <c:pt idx="74">
                  <c:v>-2.8157325849297408</c:v>
                </c:pt>
                <c:pt idx="75">
                  <c:v>-2.8131168326610845</c:v>
                </c:pt>
                <c:pt idx="76">
                  <c:v>-2.809452354455956</c:v>
                </c:pt>
                <c:pt idx="77">
                  <c:v>-2.7992045778390406</c:v>
                </c:pt>
                <c:pt idx="78">
                  <c:v>-2.8006750105816569</c:v>
                </c:pt>
                <c:pt idx="79">
                  <c:v>-2.7782117206583834</c:v>
                </c:pt>
                <c:pt idx="80">
                  <c:v>-2.7796955558388499</c:v>
                </c:pt>
                <c:pt idx="81">
                  <c:v>-2.7904903744492722</c:v>
                </c:pt>
                <c:pt idx="82">
                  <c:v>-2.800783373649272</c:v>
                </c:pt>
                <c:pt idx="83">
                  <c:v>-2.8091127514270502</c:v>
                </c:pt>
                <c:pt idx="84">
                  <c:v>-2.7928178598341296</c:v>
                </c:pt>
                <c:pt idx="85">
                  <c:v>-2.6987805895327597</c:v>
                </c:pt>
                <c:pt idx="86">
                  <c:v>-2.705382712660513</c:v>
                </c:pt>
                <c:pt idx="87">
                  <c:v>-2.7306295693832014</c:v>
                </c:pt>
                <c:pt idx="88">
                  <c:v>-2.7236815202578373</c:v>
                </c:pt>
                <c:pt idx="89">
                  <c:v>-2.7249903832054958</c:v>
                </c:pt>
                <c:pt idx="90">
                  <c:v>-2.7129118622496136</c:v>
                </c:pt>
                <c:pt idx="91">
                  <c:v>-2.6914609414076076</c:v>
                </c:pt>
                <c:pt idx="92">
                  <c:v>-2.6963410680742745</c:v>
                </c:pt>
                <c:pt idx="93">
                  <c:v>-2.6853200957665826</c:v>
                </c:pt>
                <c:pt idx="94">
                  <c:v>-2.6559667749973519</c:v>
                </c:pt>
                <c:pt idx="95">
                  <c:v>-2.6635197765507499</c:v>
                </c:pt>
                <c:pt idx="96">
                  <c:v>-2.6531523475882142</c:v>
                </c:pt>
                <c:pt idx="97">
                  <c:v>-2.6618750846094907</c:v>
                </c:pt>
                <c:pt idx="98">
                  <c:v>-2.6414825656199437</c:v>
                </c:pt>
                <c:pt idx="99">
                  <c:v>-2.613045547510604</c:v>
                </c:pt>
                <c:pt idx="100">
                  <c:v>-2.6317691882653214</c:v>
                </c:pt>
                <c:pt idx="101">
                  <c:v>-2.6152464718590713</c:v>
                </c:pt>
                <c:pt idx="102">
                  <c:v>-2.5326109439939026</c:v>
                </c:pt>
                <c:pt idx="103">
                  <c:v>-2.4558301176269524</c:v>
                </c:pt>
                <c:pt idx="104">
                  <c:v>-2.4443750693882049</c:v>
                </c:pt>
                <c:pt idx="105">
                  <c:v>-2.3901374833301139</c:v>
                </c:pt>
                <c:pt idx="106">
                  <c:v>-2.4078613932323938</c:v>
                </c:pt>
                <c:pt idx="107">
                  <c:v>-2.4059537222197354</c:v>
                </c:pt>
                <c:pt idx="108">
                  <c:v>-2.3944668489348513</c:v>
                </c:pt>
                <c:pt idx="109">
                  <c:v>-2.3642876768828285</c:v>
                </c:pt>
                <c:pt idx="110">
                  <c:v>-2.3281959007613908</c:v>
                </c:pt>
                <c:pt idx="111">
                  <c:v>-2.2015388616546074</c:v>
                </c:pt>
                <c:pt idx="112">
                  <c:v>-2.1708157170265086</c:v>
                </c:pt>
                <c:pt idx="113">
                  <c:v>-1.9633837706765263</c:v>
                </c:pt>
                <c:pt idx="114">
                  <c:v>-1.9776698906765262</c:v>
                </c:pt>
                <c:pt idx="115">
                  <c:v>-2.0029701679436069</c:v>
                </c:pt>
                <c:pt idx="116">
                  <c:v>-1.9972582515626547</c:v>
                </c:pt>
                <c:pt idx="117">
                  <c:v>-2.004460914958881</c:v>
                </c:pt>
                <c:pt idx="118">
                  <c:v>-1.9729144676463815</c:v>
                </c:pt>
                <c:pt idx="119">
                  <c:v>-1.994079091360667</c:v>
                </c:pt>
                <c:pt idx="120">
                  <c:v>-2.0137707217025476</c:v>
                </c:pt>
                <c:pt idx="121">
                  <c:v>-2.0074441506680647</c:v>
                </c:pt>
                <c:pt idx="122">
                  <c:v>-1.9879751819009415</c:v>
                </c:pt>
                <c:pt idx="123">
                  <c:v>-1.9508114371818404</c:v>
                </c:pt>
                <c:pt idx="124">
                  <c:v>-1.8362278149350415</c:v>
                </c:pt>
                <c:pt idx="125">
                  <c:v>-1.7596037162931599</c:v>
                </c:pt>
                <c:pt idx="126">
                  <c:v>-1.7499910518570698</c:v>
                </c:pt>
                <c:pt idx="127">
                  <c:v>-1.7651392735591975</c:v>
                </c:pt>
                <c:pt idx="128">
                  <c:v>-1.7776765032809365</c:v>
                </c:pt>
                <c:pt idx="129">
                  <c:v>-1.7520146229759608</c:v>
                </c:pt>
                <c:pt idx="130">
                  <c:v>-1.740692075508895</c:v>
                </c:pt>
                <c:pt idx="131">
                  <c:v>-1.7076094833070599</c:v>
                </c:pt>
                <c:pt idx="132">
                  <c:v>-1.6653119019689044</c:v>
                </c:pt>
                <c:pt idx="133">
                  <c:v>-1.6569797563645088</c:v>
                </c:pt>
                <c:pt idx="134">
                  <c:v>-1.6478165231753199</c:v>
                </c:pt>
                <c:pt idx="135">
                  <c:v>-1.656853729963641</c:v>
                </c:pt>
                <c:pt idx="136">
                  <c:v>-1.6655668062617175</c:v>
                </c:pt>
                <c:pt idx="137">
                  <c:v>-1.6628749106660499</c:v>
                </c:pt>
                <c:pt idx="138">
                  <c:v>-1.6875533060344707</c:v>
                </c:pt>
                <c:pt idx="139">
                  <c:v>-1.6596173904005336</c:v>
                </c:pt>
                <c:pt idx="140">
                  <c:v>-1.6388801497028591</c:v>
                </c:pt>
                <c:pt idx="141">
                  <c:v>-1.6543084776620431</c:v>
                </c:pt>
                <c:pt idx="142">
                  <c:v>-1.6665327280757272</c:v>
                </c:pt>
                <c:pt idx="143">
                  <c:v>-1.6412313222310027</c:v>
                </c:pt>
                <c:pt idx="144">
                  <c:v>-1.6493485628090374</c:v>
                </c:pt>
                <c:pt idx="145">
                  <c:v>-1.6632374855997354</c:v>
                </c:pt>
                <c:pt idx="146">
                  <c:v>-1.6207083946309164</c:v>
                </c:pt>
                <c:pt idx="147">
                  <c:v>-1.6112750627677985</c:v>
                </c:pt>
                <c:pt idx="148">
                  <c:v>-1.5880753827677987</c:v>
                </c:pt>
                <c:pt idx="149">
                  <c:v>-1.5950914475826135</c:v>
                </c:pt>
                <c:pt idx="150">
                  <c:v>-1.58115541596206</c:v>
                </c:pt>
                <c:pt idx="151">
                  <c:v>-1.5550904259620602</c:v>
                </c:pt>
                <c:pt idx="152">
                  <c:v>-1.5392670265516293</c:v>
                </c:pt>
                <c:pt idx="153">
                  <c:v>-1.5177299238629498</c:v>
                </c:pt>
                <c:pt idx="154">
                  <c:v>-1.5748679616546777</c:v>
                </c:pt>
                <c:pt idx="155">
                  <c:v>-1.5459727217061927</c:v>
                </c:pt>
                <c:pt idx="156">
                  <c:v>-1.5240956424994816</c:v>
                </c:pt>
                <c:pt idx="157">
                  <c:v>-1.5354881057056793</c:v>
                </c:pt>
                <c:pt idx="158">
                  <c:v>-1.5339079228184413</c:v>
                </c:pt>
                <c:pt idx="159">
                  <c:v>-1.5369761745980624</c:v>
                </c:pt>
                <c:pt idx="160">
                  <c:v>-1.5221027460951289</c:v>
                </c:pt>
                <c:pt idx="161">
                  <c:v>-1.5300586650377059</c:v>
                </c:pt>
                <c:pt idx="162">
                  <c:v>-1.5490130373377058</c:v>
                </c:pt>
                <c:pt idx="163">
                  <c:v>-1.5399288880371742</c:v>
                </c:pt>
                <c:pt idx="164">
                  <c:v>-1.5032088852417034</c:v>
                </c:pt>
                <c:pt idx="165">
                  <c:v>-1.4818796998801074</c:v>
                </c:pt>
                <c:pt idx="166">
                  <c:v>-1.5024669774235089</c:v>
                </c:pt>
                <c:pt idx="167">
                  <c:v>-1.4735922099881098</c:v>
                </c:pt>
                <c:pt idx="168">
                  <c:v>-1.561888198163931</c:v>
                </c:pt>
                <c:pt idx="169">
                  <c:v>-1.5563659555629787</c:v>
                </c:pt>
                <c:pt idx="170">
                  <c:v>-1.563900949821118</c:v>
                </c:pt>
                <c:pt idx="171">
                  <c:v>-1.5615733118331871</c:v>
                </c:pt>
                <c:pt idx="172">
                  <c:v>-1.5815305018227575</c:v>
                </c:pt>
                <c:pt idx="173">
                  <c:v>-1.5619934963493436</c:v>
                </c:pt>
                <c:pt idx="174">
                  <c:v>-1.534096656000113</c:v>
                </c:pt>
                <c:pt idx="175">
                  <c:v>-1.6088539755599751</c:v>
                </c:pt>
                <c:pt idx="176">
                  <c:v>-1.6415387123668916</c:v>
                </c:pt>
                <c:pt idx="177">
                  <c:v>-1.646590800862608</c:v>
                </c:pt>
                <c:pt idx="178">
                  <c:v>-1.6205645545292744</c:v>
                </c:pt>
                <c:pt idx="179">
                  <c:v>-1.6130699627844467</c:v>
                </c:pt>
                <c:pt idx="180">
                  <c:v>-1.5890752809751083</c:v>
                </c:pt>
                <c:pt idx="181">
                  <c:v>-1.5892277323694586</c:v>
                </c:pt>
                <c:pt idx="182">
                  <c:v>-1.5942426851100946</c:v>
                </c:pt>
                <c:pt idx="183">
                  <c:v>-1.5938618133717126</c:v>
                </c:pt>
                <c:pt idx="184">
                  <c:v>-1.5801338775817604</c:v>
                </c:pt>
                <c:pt idx="185">
                  <c:v>-1.557367992152519</c:v>
                </c:pt>
                <c:pt idx="186">
                  <c:v>-1.5882294057606368</c:v>
                </c:pt>
                <c:pt idx="187">
                  <c:v>-1.5973156772683292</c:v>
                </c:pt>
                <c:pt idx="188">
                  <c:v>-1.5960159059313923</c:v>
                </c:pt>
                <c:pt idx="189">
                  <c:v>-1.6121905062400681</c:v>
                </c:pt>
                <c:pt idx="190">
                  <c:v>-1.6124285892197781</c:v>
                </c:pt>
                <c:pt idx="191">
                  <c:v>-1.6269325713080134</c:v>
                </c:pt>
                <c:pt idx="192">
                  <c:v>-1.6209273241389226</c:v>
                </c:pt>
                <c:pt idx="193">
                  <c:v>-1.6094268601462103</c:v>
                </c:pt>
                <c:pt idx="194">
                  <c:v>-1.6099346628802529</c:v>
                </c:pt>
                <c:pt idx="195">
                  <c:v>-1.601109434737733</c:v>
                </c:pt>
                <c:pt idx="196">
                  <c:v>-1.5860339863377331</c:v>
                </c:pt>
                <c:pt idx="197">
                  <c:v>-1.5735382935885143</c:v>
                </c:pt>
                <c:pt idx="198">
                  <c:v>-1.5888650208775974</c:v>
                </c:pt>
                <c:pt idx="199">
                  <c:v>-1.5870433601403879</c:v>
                </c:pt>
                <c:pt idx="200">
                  <c:v>-1.582437193180388</c:v>
                </c:pt>
                <c:pt idx="201">
                  <c:v>-1.4718131143829909</c:v>
                </c:pt>
                <c:pt idx="202">
                  <c:v>-1.4697286692595626</c:v>
                </c:pt>
                <c:pt idx="203">
                  <c:v>-1.4712595573981042</c:v>
                </c:pt>
                <c:pt idx="204">
                  <c:v>-1.4606358753679836</c:v>
                </c:pt>
                <c:pt idx="205">
                  <c:v>-1.4352721549034677</c:v>
                </c:pt>
                <c:pt idx="206">
                  <c:v>-1.4562367498243716</c:v>
                </c:pt>
                <c:pt idx="207">
                  <c:v>-1.4521606331607355</c:v>
                </c:pt>
                <c:pt idx="208">
                  <c:v>-1.4534844724789746</c:v>
                </c:pt>
                <c:pt idx="209">
                  <c:v>-1.4598359966789747</c:v>
                </c:pt>
                <c:pt idx="210">
                  <c:v>-1.462989188338282</c:v>
                </c:pt>
                <c:pt idx="211">
                  <c:v>-1.4662009310297108</c:v>
                </c:pt>
                <c:pt idx="212">
                  <c:v>-1.4693151558219186</c:v>
                </c:pt>
                <c:pt idx="213">
                  <c:v>-1.4771373366017595</c:v>
                </c:pt>
                <c:pt idx="214">
                  <c:v>-1.4877602726517596</c:v>
                </c:pt>
                <c:pt idx="215">
                  <c:v>-1.5091922874204799</c:v>
                </c:pt>
                <c:pt idx="216">
                  <c:v>-1.5263584548783113</c:v>
                </c:pt>
                <c:pt idx="217">
                  <c:v>-1.4925048503037155</c:v>
                </c:pt>
                <c:pt idx="218">
                  <c:v>-1.4985977110785302</c:v>
                </c:pt>
                <c:pt idx="219">
                  <c:v>-1.4852606456198749</c:v>
                </c:pt>
                <c:pt idx="220">
                  <c:v>-1.4585028267151128</c:v>
                </c:pt>
                <c:pt idx="221">
                  <c:v>-1.1839121835599551</c:v>
                </c:pt>
                <c:pt idx="222">
                  <c:v>-1.1824599006660885</c:v>
                </c:pt>
                <c:pt idx="223">
                  <c:v>-1.1663384430725403</c:v>
                </c:pt>
                <c:pt idx="224">
                  <c:v>-1.1610472018367002</c:v>
                </c:pt>
                <c:pt idx="225">
                  <c:v>-1.154044929483016</c:v>
                </c:pt>
                <c:pt idx="226">
                  <c:v>-1.1455201122240581</c:v>
                </c:pt>
                <c:pt idx="227">
                  <c:v>-1.1542733235489426</c:v>
                </c:pt>
                <c:pt idx="228">
                  <c:v>-1.1702252081510005</c:v>
                </c:pt>
                <c:pt idx="229">
                  <c:v>-1.1874569859799042</c:v>
                </c:pt>
                <c:pt idx="230">
                  <c:v>-1.1751385143755937</c:v>
                </c:pt>
                <c:pt idx="231">
                  <c:v>-1.1651205195418437</c:v>
                </c:pt>
                <c:pt idx="232">
                  <c:v>-1.1495048418418439</c:v>
                </c:pt>
                <c:pt idx="233">
                  <c:v>-1.1672293126711315</c:v>
                </c:pt>
                <c:pt idx="234">
                  <c:v>-1.1815510382889485</c:v>
                </c:pt>
                <c:pt idx="235">
                  <c:v>-1.1614793071473934</c:v>
                </c:pt>
                <c:pt idx="236">
                  <c:v>-1.1094777551657784</c:v>
                </c:pt>
                <c:pt idx="237">
                  <c:v>-1.0995204826180078</c:v>
                </c:pt>
                <c:pt idx="238">
                  <c:v>-1.0845720983381528</c:v>
                </c:pt>
                <c:pt idx="239">
                  <c:v>-1.1125060858640181</c:v>
                </c:pt>
                <c:pt idx="240">
                  <c:v>-1.1288341633544796</c:v>
                </c:pt>
                <c:pt idx="241">
                  <c:v>-1.1251766038459154</c:v>
                </c:pt>
                <c:pt idx="242">
                  <c:v>-1.1568712092952576</c:v>
                </c:pt>
                <c:pt idx="243">
                  <c:v>-1.371448363880311</c:v>
                </c:pt>
                <c:pt idx="244">
                  <c:v>-1.3698023181249919</c:v>
                </c:pt>
                <c:pt idx="245">
                  <c:v>-1.3443794304041499</c:v>
                </c:pt>
                <c:pt idx="246">
                  <c:v>-1.3299782687683288</c:v>
                </c:pt>
                <c:pt idx="247">
                  <c:v>-1.382090615564797</c:v>
                </c:pt>
                <c:pt idx="248">
                  <c:v>-1.4379651495483348</c:v>
                </c:pt>
                <c:pt idx="249">
                  <c:v>-1.4793987931366732</c:v>
                </c:pt>
                <c:pt idx="250">
                  <c:v>-1.4553409120221101</c:v>
                </c:pt>
                <c:pt idx="251">
                  <c:v>-1.4172947153701494</c:v>
                </c:pt>
                <c:pt idx="252">
                  <c:v>-1.3913709893897901</c:v>
                </c:pt>
                <c:pt idx="253">
                  <c:v>-1.4177845220157848</c:v>
                </c:pt>
                <c:pt idx="254">
                  <c:v>-1.3846976978886709</c:v>
                </c:pt>
                <c:pt idx="255">
                  <c:v>-1.3814095681156373</c:v>
                </c:pt>
                <c:pt idx="256">
                  <c:v>-1.3477172026690245</c:v>
                </c:pt>
                <c:pt idx="257">
                  <c:v>-1.3337030378488695</c:v>
                </c:pt>
                <c:pt idx="258">
                  <c:v>-1.2970885782958472</c:v>
                </c:pt>
                <c:pt idx="259">
                  <c:v>-1.2901641898524647</c:v>
                </c:pt>
                <c:pt idx="260">
                  <c:v>-1.2687582694110715</c:v>
                </c:pt>
                <c:pt idx="261">
                  <c:v>-1.2129495711716141</c:v>
                </c:pt>
                <c:pt idx="262">
                  <c:v>-1.2342776706539169</c:v>
                </c:pt>
                <c:pt idx="263">
                  <c:v>-1.2086722364515199</c:v>
                </c:pt>
                <c:pt idx="264">
                  <c:v>-1.2045521720592964</c:v>
                </c:pt>
                <c:pt idx="265">
                  <c:v>-1.2395223555363897</c:v>
                </c:pt>
                <c:pt idx="266">
                  <c:v>-1.0304597067129044</c:v>
                </c:pt>
                <c:pt idx="267">
                  <c:v>-1.0649168602585968</c:v>
                </c:pt>
                <c:pt idx="268">
                  <c:v>-1.0995093891925518</c:v>
                </c:pt>
                <c:pt idx="269">
                  <c:v>-1.0445032355779627</c:v>
                </c:pt>
                <c:pt idx="270">
                  <c:v>-1.0490382211412039</c:v>
                </c:pt>
                <c:pt idx="271">
                  <c:v>-1.0442983596547173</c:v>
                </c:pt>
                <c:pt idx="272">
                  <c:v>-1.0637708338542284</c:v>
                </c:pt>
                <c:pt idx="273">
                  <c:v>-1.111246345019993</c:v>
                </c:pt>
                <c:pt idx="274">
                  <c:v>-1.0819903670360518</c:v>
                </c:pt>
                <c:pt idx="275">
                  <c:v>-1.045673799918468</c:v>
                </c:pt>
                <c:pt idx="276">
                  <c:v>-1.0603405638211707</c:v>
                </c:pt>
                <c:pt idx="277">
                  <c:v>-1.1113303268162813</c:v>
                </c:pt>
                <c:pt idx="278">
                  <c:v>-1.10576208066493</c:v>
                </c:pt>
                <c:pt idx="279">
                  <c:v>-1.0690066224261063</c:v>
                </c:pt>
                <c:pt idx="280">
                  <c:v>-1.0942328123342322</c:v>
                </c:pt>
                <c:pt idx="281">
                  <c:v>-1.0264976610655319</c:v>
                </c:pt>
                <c:pt idx="282">
                  <c:v>-0.96586582290174738</c:v>
                </c:pt>
                <c:pt idx="283">
                  <c:v>-0.95673377770217871</c:v>
                </c:pt>
                <c:pt idx="284">
                  <c:v>-0.80329496493686769</c:v>
                </c:pt>
                <c:pt idx="285">
                  <c:v>-0.57337582679501486</c:v>
                </c:pt>
                <c:pt idx="286">
                  <c:v>-0.60775445617285562</c:v>
                </c:pt>
                <c:pt idx="287">
                  <c:v>-0.6050893343188789</c:v>
                </c:pt>
                <c:pt idx="288">
                  <c:v>-0.66080831730250622</c:v>
                </c:pt>
                <c:pt idx="289">
                  <c:v>-0.68285326329997786</c:v>
                </c:pt>
                <c:pt idx="290">
                  <c:v>-0.69052357977414924</c:v>
                </c:pt>
                <c:pt idx="291">
                  <c:v>-0.66184950964722056</c:v>
                </c:pt>
                <c:pt idx="292">
                  <c:v>-0.62693147539892891</c:v>
                </c:pt>
                <c:pt idx="293">
                  <c:v>-0.65665756016255528</c:v>
                </c:pt>
                <c:pt idx="294">
                  <c:v>-0.69727922889677985</c:v>
                </c:pt>
                <c:pt idx="295">
                  <c:v>-0.70662550351618292</c:v>
                </c:pt>
                <c:pt idx="296">
                  <c:v>-0.67791645062466599</c:v>
                </c:pt>
                <c:pt idx="297">
                  <c:v>-0.6109808401777469</c:v>
                </c:pt>
                <c:pt idx="298">
                  <c:v>-0.60092108578413961</c:v>
                </c:pt>
                <c:pt idx="299">
                  <c:v>-0.68325987943471056</c:v>
                </c:pt>
                <c:pt idx="300">
                  <c:v>-0.64427217639982681</c:v>
                </c:pt>
                <c:pt idx="301">
                  <c:v>-0.65544881825588741</c:v>
                </c:pt>
                <c:pt idx="302">
                  <c:v>-0.59179289245105982</c:v>
                </c:pt>
                <c:pt idx="303">
                  <c:v>-0.60742497347211244</c:v>
                </c:pt>
                <c:pt idx="304">
                  <c:v>-0.59669384608290166</c:v>
                </c:pt>
                <c:pt idx="305">
                  <c:v>-0.64703221690533996</c:v>
                </c:pt>
                <c:pt idx="306">
                  <c:v>-0.66007621706434616</c:v>
                </c:pt>
                <c:pt idx="307">
                  <c:v>-0.6867672725856605</c:v>
                </c:pt>
                <c:pt idx="308">
                  <c:v>-0.71686683152566044</c:v>
                </c:pt>
                <c:pt idx="309">
                  <c:v>-0.68971468121014889</c:v>
                </c:pt>
                <c:pt idx="310">
                  <c:v>-0.61752536362158184</c:v>
                </c:pt>
                <c:pt idx="311">
                  <c:v>-0.66473545105596665</c:v>
                </c:pt>
                <c:pt idx="312">
                  <c:v>-0.66171527990483836</c:v>
                </c:pt>
                <c:pt idx="313">
                  <c:v>-0.64040907862314822</c:v>
                </c:pt>
                <c:pt idx="314">
                  <c:v>-0.61272104456386589</c:v>
                </c:pt>
                <c:pt idx="315">
                  <c:v>-0.60799919399934976</c:v>
                </c:pt>
                <c:pt idx="316">
                  <c:v>-0.58484645042852534</c:v>
                </c:pt>
                <c:pt idx="317">
                  <c:v>-0.54833997536651957</c:v>
                </c:pt>
                <c:pt idx="318">
                  <c:v>-0.58858162637168299</c:v>
                </c:pt>
                <c:pt idx="319">
                  <c:v>-0.57019704872998245</c:v>
                </c:pt>
                <c:pt idx="320">
                  <c:v>-0.54624677667992227</c:v>
                </c:pt>
                <c:pt idx="321">
                  <c:v>-0.48634319254362013</c:v>
                </c:pt>
                <c:pt idx="322">
                  <c:v>-0.52260608017991905</c:v>
                </c:pt>
                <c:pt idx="323">
                  <c:v>-0.558596466137387</c:v>
                </c:pt>
                <c:pt idx="324">
                  <c:v>-0.59031559302697689</c:v>
                </c:pt>
                <c:pt idx="325">
                  <c:v>-0.57677456240574987</c:v>
                </c:pt>
                <c:pt idx="326">
                  <c:v>-0.61609932244374177</c:v>
                </c:pt>
                <c:pt idx="327">
                  <c:v>-0.63938861675434244</c:v>
                </c:pt>
                <c:pt idx="328">
                  <c:v>-0.64928544205267269</c:v>
                </c:pt>
                <c:pt idx="329">
                  <c:v>-0.67148307565956444</c:v>
                </c:pt>
                <c:pt idx="330">
                  <c:v>-0.64481385955566828</c:v>
                </c:pt>
                <c:pt idx="331">
                  <c:v>-0.6732575401925549</c:v>
                </c:pt>
                <c:pt idx="332">
                  <c:v>-0.66685881017323501</c:v>
                </c:pt>
                <c:pt idx="333">
                  <c:v>-0.68599739671023086</c:v>
                </c:pt>
                <c:pt idx="334">
                  <c:v>-0.69345700946208721</c:v>
                </c:pt>
                <c:pt idx="335">
                  <c:v>-0.68219519028472164</c:v>
                </c:pt>
                <c:pt idx="336">
                  <c:v>-0.69038634161256207</c:v>
                </c:pt>
                <c:pt idx="337">
                  <c:v>-0.66454686492611736</c:v>
                </c:pt>
                <c:pt idx="338">
                  <c:v>-0.66450913109042675</c:v>
                </c:pt>
                <c:pt idx="339">
                  <c:v>-0.64146713508135644</c:v>
                </c:pt>
                <c:pt idx="340">
                  <c:v>-0.64183923256431941</c:v>
                </c:pt>
                <c:pt idx="341">
                  <c:v>-0.64656812455007784</c:v>
                </c:pt>
                <c:pt idx="342">
                  <c:v>-0.62483007693216741</c:v>
                </c:pt>
                <c:pt idx="343">
                  <c:v>-0.62627172060387371</c:v>
                </c:pt>
                <c:pt idx="344">
                  <c:v>-0.64678682836166146</c:v>
                </c:pt>
                <c:pt idx="345">
                  <c:v>-0.65015821342651781</c:v>
                </c:pt>
                <c:pt idx="346">
                  <c:v>-0.62475472709038249</c:v>
                </c:pt>
                <c:pt idx="347">
                  <c:v>-0.6110595479197104</c:v>
                </c:pt>
                <c:pt idx="348">
                  <c:v>-0.59919256109008889</c:v>
                </c:pt>
                <c:pt idx="349">
                  <c:v>-0.65194256183094101</c:v>
                </c:pt>
                <c:pt idx="350">
                  <c:v>-0.67293100066135469</c:v>
                </c:pt>
                <c:pt idx="351">
                  <c:v>-0.72280542357581157</c:v>
                </c:pt>
                <c:pt idx="352">
                  <c:v>-0.80282836168930194</c:v>
                </c:pt>
                <c:pt idx="353">
                  <c:v>-0.83729284517967217</c:v>
                </c:pt>
                <c:pt idx="354">
                  <c:v>-0.85252398521149042</c:v>
                </c:pt>
                <c:pt idx="355">
                  <c:v>-0.85052269115593493</c:v>
                </c:pt>
                <c:pt idx="356">
                  <c:v>-0.86740643182652322</c:v>
                </c:pt>
                <c:pt idx="357">
                  <c:v>-0.86649722097082227</c:v>
                </c:pt>
                <c:pt idx="358">
                  <c:v>-0.88506808639915546</c:v>
                </c:pt>
                <c:pt idx="359">
                  <c:v>-0.90396766506582227</c:v>
                </c:pt>
                <c:pt idx="360">
                  <c:v>-0.75913842784757357</c:v>
                </c:pt>
                <c:pt idx="361">
                  <c:v>-0.79421394343167007</c:v>
                </c:pt>
                <c:pt idx="362">
                  <c:v>-0.77718253038904705</c:v>
                </c:pt>
                <c:pt idx="363">
                  <c:v>-0.75499525839829562</c:v>
                </c:pt>
                <c:pt idx="364">
                  <c:v>-0.76388009804699142</c:v>
                </c:pt>
                <c:pt idx="365">
                  <c:v>-0.76100981865936246</c:v>
                </c:pt>
                <c:pt idx="366">
                  <c:v>-0.74797880759623614</c:v>
                </c:pt>
                <c:pt idx="367">
                  <c:v>-0.76341881224878871</c:v>
                </c:pt>
                <c:pt idx="368">
                  <c:v>-0.72702204654352554</c:v>
                </c:pt>
                <c:pt idx="369">
                  <c:v>-0.68932462368206293</c:v>
                </c:pt>
                <c:pt idx="370">
                  <c:v>-0.66144369458771568</c:v>
                </c:pt>
                <c:pt idx="371">
                  <c:v>-0.6876751251820461</c:v>
                </c:pt>
                <c:pt idx="372">
                  <c:v>-0.66910419274784183</c:v>
                </c:pt>
                <c:pt idx="373">
                  <c:v>-0.67485583906813174</c:v>
                </c:pt>
                <c:pt idx="374">
                  <c:v>-0.68751170382607563</c:v>
                </c:pt>
                <c:pt idx="375">
                  <c:v>-0.7081953789575719</c:v>
                </c:pt>
                <c:pt idx="376">
                  <c:v>-0.72617973768331434</c:v>
                </c:pt>
                <c:pt idx="377">
                  <c:v>-0.72969294963519726</c:v>
                </c:pt>
                <c:pt idx="378">
                  <c:v>-0.73654061801396808</c:v>
                </c:pt>
                <c:pt idx="379">
                  <c:v>-0.72398494695736437</c:v>
                </c:pt>
                <c:pt idx="380">
                  <c:v>-0.73548730008607111</c:v>
                </c:pt>
                <c:pt idx="381">
                  <c:v>-0.72939811800278187</c:v>
                </c:pt>
                <c:pt idx="382">
                  <c:v>-0.73143127437885025</c:v>
                </c:pt>
                <c:pt idx="383">
                  <c:v>-0.72385528344201955</c:v>
                </c:pt>
                <c:pt idx="384">
                  <c:v>-0.73662306265823574</c:v>
                </c:pt>
                <c:pt idx="385">
                  <c:v>-0.73903308794181355</c:v>
                </c:pt>
                <c:pt idx="386">
                  <c:v>-0.71646629324691979</c:v>
                </c:pt>
                <c:pt idx="387">
                  <c:v>-0.73135504931691964</c:v>
                </c:pt>
                <c:pt idx="388">
                  <c:v>-0.74145839727247542</c:v>
                </c:pt>
                <c:pt idx="389">
                  <c:v>-0.74242747511730289</c:v>
                </c:pt>
                <c:pt idx="390">
                  <c:v>-0.74884593628550578</c:v>
                </c:pt>
                <c:pt idx="391">
                  <c:v>-0.74835954809722993</c:v>
                </c:pt>
                <c:pt idx="392">
                  <c:v>-0.74540414698044677</c:v>
                </c:pt>
                <c:pt idx="393">
                  <c:v>-0.74900782655939413</c:v>
                </c:pt>
                <c:pt idx="394">
                  <c:v>-0.74222878178032448</c:v>
                </c:pt>
                <c:pt idx="395">
                  <c:v>-0.74052801184115524</c:v>
                </c:pt>
                <c:pt idx="396">
                  <c:v>-0.73610956882343381</c:v>
                </c:pt>
                <c:pt idx="397">
                  <c:v>-0.71972587499238905</c:v>
                </c:pt>
                <c:pt idx="398">
                  <c:v>-0.71789709638127808</c:v>
                </c:pt>
                <c:pt idx="399">
                  <c:v>-0.71478017325452636</c:v>
                </c:pt>
                <c:pt idx="400">
                  <c:v>-0.72019944245328404</c:v>
                </c:pt>
                <c:pt idx="401">
                  <c:v>-0.70699851518802082</c:v>
                </c:pt>
                <c:pt idx="402">
                  <c:v>-0.71214005801765057</c:v>
                </c:pt>
                <c:pt idx="403">
                  <c:v>-0.68038830000566486</c:v>
                </c:pt>
                <c:pt idx="404">
                  <c:v>-0.67277681609721796</c:v>
                </c:pt>
                <c:pt idx="405">
                  <c:v>-0.665443647847477</c:v>
                </c:pt>
                <c:pt idx="406">
                  <c:v>-0.6664519797567553</c:v>
                </c:pt>
                <c:pt idx="407">
                  <c:v>-0.64998382238627916</c:v>
                </c:pt>
                <c:pt idx="408">
                  <c:v>-0.66853136726516804</c:v>
                </c:pt>
                <c:pt idx="409">
                  <c:v>-0.66459263584163863</c:v>
                </c:pt>
                <c:pt idx="410">
                  <c:v>-0.63317116068944002</c:v>
                </c:pt>
                <c:pt idx="411">
                  <c:v>-0.62999757597515427</c:v>
                </c:pt>
                <c:pt idx="412">
                  <c:v>-0.63416770780928611</c:v>
                </c:pt>
                <c:pt idx="413">
                  <c:v>-0.62954567495384051</c:v>
                </c:pt>
                <c:pt idx="414">
                  <c:v>-0.62215395568428833</c:v>
                </c:pt>
                <c:pt idx="415">
                  <c:v>-0.64158783048219403</c:v>
                </c:pt>
                <c:pt idx="416">
                  <c:v>-0.63222594839867341</c:v>
                </c:pt>
                <c:pt idx="417">
                  <c:v>-0.6297751593819032</c:v>
                </c:pt>
                <c:pt idx="418">
                  <c:v>-0.62909096270008502</c:v>
                </c:pt>
                <c:pt idx="419">
                  <c:v>-0.63233918143595802</c:v>
                </c:pt>
                <c:pt idx="420">
                  <c:v>-0.62319931930481054</c:v>
                </c:pt>
                <c:pt idx="421">
                  <c:v>-0.62666162706891293</c:v>
                </c:pt>
                <c:pt idx="422">
                  <c:v>-0.6258022472010969</c:v>
                </c:pt>
                <c:pt idx="423">
                  <c:v>-0.6235488100036447</c:v>
                </c:pt>
                <c:pt idx="424">
                  <c:v>-0.62955472474798424</c:v>
                </c:pt>
                <c:pt idx="425">
                  <c:v>-0.62604332635147264</c:v>
                </c:pt>
                <c:pt idx="426">
                  <c:v>-0.62622173264016046</c:v>
                </c:pt>
                <c:pt idx="427">
                  <c:v>-0.62854587763387115</c:v>
                </c:pt>
                <c:pt idx="428">
                  <c:v>-0.62569297774034249</c:v>
                </c:pt>
                <c:pt idx="429">
                  <c:v>-0.61406961492589596</c:v>
                </c:pt>
                <c:pt idx="430">
                  <c:v>-0.616266329585896</c:v>
                </c:pt>
                <c:pt idx="431">
                  <c:v>-0.62702940161352239</c:v>
                </c:pt>
                <c:pt idx="432">
                  <c:v>-0.62733376922416662</c:v>
                </c:pt>
                <c:pt idx="433">
                  <c:v>-0.6379203740353554</c:v>
                </c:pt>
                <c:pt idx="434">
                  <c:v>-0.63756432382164108</c:v>
                </c:pt>
                <c:pt idx="435">
                  <c:v>-0.63197896456732006</c:v>
                </c:pt>
                <c:pt idx="436">
                  <c:v>-0.6344172538160805</c:v>
                </c:pt>
                <c:pt idx="437">
                  <c:v>-0.63179765813936817</c:v>
                </c:pt>
                <c:pt idx="438">
                  <c:v>-0.63430079542467888</c:v>
                </c:pt>
                <c:pt idx="439">
                  <c:v>-0.62333542282371424</c:v>
                </c:pt>
                <c:pt idx="440">
                  <c:v>-0.6207015882621757</c:v>
                </c:pt>
                <c:pt idx="441">
                  <c:v>-0.61762233475853945</c:v>
                </c:pt>
                <c:pt idx="442">
                  <c:v>-0.58311315528127328</c:v>
                </c:pt>
                <c:pt idx="443">
                  <c:v>-0.57808454170673451</c:v>
                </c:pt>
                <c:pt idx="444">
                  <c:v>-0.58173293114130242</c:v>
                </c:pt>
                <c:pt idx="445">
                  <c:v>-0.58173293114130242</c:v>
                </c:pt>
                <c:pt idx="446">
                  <c:v>-0.58434869729368333</c:v>
                </c:pt>
                <c:pt idx="447">
                  <c:v>-0.57758256707268896</c:v>
                </c:pt>
                <c:pt idx="448">
                  <c:v>-0.58316936979658829</c:v>
                </c:pt>
                <c:pt idx="449">
                  <c:v>-0.58312830711197283</c:v>
                </c:pt>
                <c:pt idx="450">
                  <c:v>-0.58240590024877292</c:v>
                </c:pt>
                <c:pt idx="451">
                  <c:v>-0.57962253564129618</c:v>
                </c:pt>
                <c:pt idx="452">
                  <c:v>-0.57007472834273709</c:v>
                </c:pt>
                <c:pt idx="453">
                  <c:v>-0.5680677165778516</c:v>
                </c:pt>
                <c:pt idx="454">
                  <c:v>-0.56688345598095236</c:v>
                </c:pt>
                <c:pt idx="455">
                  <c:v>-0.56597475636984118</c:v>
                </c:pt>
                <c:pt idx="456">
                  <c:v>-0.56110482508010506</c:v>
                </c:pt>
                <c:pt idx="457">
                  <c:v>-0.55830737289369003</c:v>
                </c:pt>
                <c:pt idx="458">
                  <c:v>-0.55969119154646774</c:v>
                </c:pt>
                <c:pt idx="459">
                  <c:v>-0.55706026650917961</c:v>
                </c:pt>
                <c:pt idx="460">
                  <c:v>-0.55491418512917956</c:v>
                </c:pt>
                <c:pt idx="461">
                  <c:v>-0.55677888162311895</c:v>
                </c:pt>
                <c:pt idx="462">
                  <c:v>-0.55424510460609777</c:v>
                </c:pt>
                <c:pt idx="463">
                  <c:v>-0.55409113432011647</c:v>
                </c:pt>
                <c:pt idx="464">
                  <c:v>-0.55591884087672017</c:v>
                </c:pt>
                <c:pt idx="465">
                  <c:v>-0.55268489326213699</c:v>
                </c:pt>
                <c:pt idx="466">
                  <c:v>-0.55187413706470101</c:v>
                </c:pt>
                <c:pt idx="467">
                  <c:v>-0.55260649669228723</c:v>
                </c:pt>
                <c:pt idx="468">
                  <c:v>-0.55174734202562059</c:v>
                </c:pt>
                <c:pt idx="469">
                  <c:v>-0.54711195453272721</c:v>
                </c:pt>
                <c:pt idx="470">
                  <c:v>-0.54817042711272712</c:v>
                </c:pt>
                <c:pt idx="471">
                  <c:v>-0.54758827858858938</c:v>
                </c:pt>
                <c:pt idx="472">
                  <c:v>-0.54572070082705082</c:v>
                </c:pt>
                <c:pt idx="473">
                  <c:v>-0.54495602672059917</c:v>
                </c:pt>
                <c:pt idx="474">
                  <c:v>-0.5447377512593089</c:v>
                </c:pt>
                <c:pt idx="475">
                  <c:v>-0.54556480232903359</c:v>
                </c:pt>
                <c:pt idx="476">
                  <c:v>-0.54742801656630069</c:v>
                </c:pt>
                <c:pt idx="477">
                  <c:v>-0.54794276543296738</c:v>
                </c:pt>
                <c:pt idx="478">
                  <c:v>-0.54959590684407844</c:v>
                </c:pt>
                <c:pt idx="479">
                  <c:v>-0.54726574684407847</c:v>
                </c:pt>
                <c:pt idx="480">
                  <c:v>-0.54579949998618371</c:v>
                </c:pt>
                <c:pt idx="481">
                  <c:v>-0.54658917462764711</c:v>
                </c:pt>
                <c:pt idx="482">
                  <c:v>-0.54460522208214146</c:v>
                </c:pt>
                <c:pt idx="483">
                  <c:v>-0.54567026955769704</c:v>
                </c:pt>
                <c:pt idx="484">
                  <c:v>-0.53547803138319594</c:v>
                </c:pt>
                <c:pt idx="485">
                  <c:v>-0.53561224144380204</c:v>
                </c:pt>
                <c:pt idx="486">
                  <c:v>-0.52957845235684553</c:v>
                </c:pt>
                <c:pt idx="487">
                  <c:v>-0.52874180704172757</c:v>
                </c:pt>
                <c:pt idx="488">
                  <c:v>-0.53039659138581363</c:v>
                </c:pt>
                <c:pt idx="489">
                  <c:v>-0.53148915002110775</c:v>
                </c:pt>
                <c:pt idx="490">
                  <c:v>-0.53469867623367062</c:v>
                </c:pt>
                <c:pt idx="491">
                  <c:v>-0.54099127907546962</c:v>
                </c:pt>
                <c:pt idx="492">
                  <c:v>-0.53333262988628038</c:v>
                </c:pt>
                <c:pt idx="493">
                  <c:v>-0.53562510549715003</c:v>
                </c:pt>
                <c:pt idx="494">
                  <c:v>-0.53266011809280223</c:v>
                </c:pt>
                <c:pt idx="495">
                  <c:v>-0.53263302650681499</c:v>
                </c:pt>
                <c:pt idx="496">
                  <c:v>-0.53023330626210907</c:v>
                </c:pt>
                <c:pt idx="497">
                  <c:v>-0.52814177409224616</c:v>
                </c:pt>
                <c:pt idx="498">
                  <c:v>-0.52451188239459345</c:v>
                </c:pt>
                <c:pt idx="499">
                  <c:v>-0.5270441308464302</c:v>
                </c:pt>
                <c:pt idx="500">
                  <c:v>-0.52219402695190564</c:v>
                </c:pt>
                <c:pt idx="501">
                  <c:v>-0.52101789947019839</c:v>
                </c:pt>
                <c:pt idx="502">
                  <c:v>-0.51771906965553871</c:v>
                </c:pt>
                <c:pt idx="503">
                  <c:v>-0.5189458328647224</c:v>
                </c:pt>
                <c:pt idx="504">
                  <c:v>-0.52285548763826495</c:v>
                </c:pt>
                <c:pt idx="505">
                  <c:v>-0.52685894216477647</c:v>
                </c:pt>
                <c:pt idx="506">
                  <c:v>-0.52870795509719037</c:v>
                </c:pt>
                <c:pt idx="507">
                  <c:v>-0.52515182467202481</c:v>
                </c:pt>
                <c:pt idx="508">
                  <c:v>-0.52787574691692274</c:v>
                </c:pt>
                <c:pt idx="509">
                  <c:v>-0.53255648358358942</c:v>
                </c:pt>
                <c:pt idx="510">
                  <c:v>-0.52852435574750445</c:v>
                </c:pt>
                <c:pt idx="511">
                  <c:v>-0.53306590960218425</c:v>
                </c:pt>
                <c:pt idx="512">
                  <c:v>-0.51533922329938353</c:v>
                </c:pt>
                <c:pt idx="513">
                  <c:v>-0.51327229687345766</c:v>
                </c:pt>
                <c:pt idx="514">
                  <c:v>-0.51175050606682781</c:v>
                </c:pt>
                <c:pt idx="515">
                  <c:v>-0.50774289084026536</c:v>
                </c:pt>
                <c:pt idx="516">
                  <c:v>-0.50196590235026528</c:v>
                </c:pt>
                <c:pt idx="517">
                  <c:v>-0.51452497322467705</c:v>
                </c:pt>
                <c:pt idx="518">
                  <c:v>-0.51655196358081745</c:v>
                </c:pt>
                <c:pt idx="519">
                  <c:v>-0.51368028453081738</c:v>
                </c:pt>
                <c:pt idx="520">
                  <c:v>-0.51308129962347804</c:v>
                </c:pt>
                <c:pt idx="521">
                  <c:v>-0.50951409870344222</c:v>
                </c:pt>
                <c:pt idx="522">
                  <c:v>-0.51247702562566444</c:v>
                </c:pt>
                <c:pt idx="523">
                  <c:v>-0.51511366989233098</c:v>
                </c:pt>
                <c:pt idx="524">
                  <c:v>-0.52118943864615364</c:v>
                </c:pt>
                <c:pt idx="525">
                  <c:v>-0.50928382793695126</c:v>
                </c:pt>
                <c:pt idx="526">
                  <c:v>-0.51452120519695121</c:v>
                </c:pt>
                <c:pt idx="527">
                  <c:v>-0.50781901707555099</c:v>
                </c:pt>
                <c:pt idx="528">
                  <c:v>-0.50917028587555102</c:v>
                </c:pt>
                <c:pt idx="529">
                  <c:v>-0.51012828836392321</c:v>
                </c:pt>
                <c:pt idx="530">
                  <c:v>-0.51457206026392321</c:v>
                </c:pt>
                <c:pt idx="531">
                  <c:v>-0.50904076350263283</c:v>
                </c:pt>
                <c:pt idx="532">
                  <c:v>-0.51029086130860302</c:v>
                </c:pt>
                <c:pt idx="533">
                  <c:v>-0.5052048974837664</c:v>
                </c:pt>
                <c:pt idx="534">
                  <c:v>-0.51212216870665461</c:v>
                </c:pt>
                <c:pt idx="535">
                  <c:v>-0.50602538655751672</c:v>
                </c:pt>
                <c:pt idx="536">
                  <c:v>-0.52130990005751676</c:v>
                </c:pt>
                <c:pt idx="537">
                  <c:v>-0.51752991999830622</c:v>
                </c:pt>
                <c:pt idx="538">
                  <c:v>-0.52696359069530629</c:v>
                </c:pt>
                <c:pt idx="539">
                  <c:v>-0.5236892461751913</c:v>
                </c:pt>
                <c:pt idx="540">
                  <c:v>-0.52999209515581958</c:v>
                </c:pt>
                <c:pt idx="541">
                  <c:v>-0.53551567751928997</c:v>
                </c:pt>
                <c:pt idx="542">
                  <c:v>-0.53529406754855824</c:v>
                </c:pt>
                <c:pt idx="543">
                  <c:v>-0.5382327821880486</c:v>
                </c:pt>
                <c:pt idx="544">
                  <c:v>-0.5331425571804016</c:v>
                </c:pt>
                <c:pt idx="545">
                  <c:v>-0.54207924301049015</c:v>
                </c:pt>
                <c:pt idx="546">
                  <c:v>-0.53763448388587476</c:v>
                </c:pt>
                <c:pt idx="547">
                  <c:v>-0.536270022082596</c:v>
                </c:pt>
                <c:pt idx="548">
                  <c:v>-0.53411538463895969</c:v>
                </c:pt>
                <c:pt idx="549">
                  <c:v>-0.54029513288380659</c:v>
                </c:pt>
                <c:pt idx="550">
                  <c:v>-0.52773374092170977</c:v>
                </c:pt>
                <c:pt idx="551">
                  <c:v>-0.5236009281854892</c:v>
                </c:pt>
                <c:pt idx="552">
                  <c:v>-0.51697974852548922</c:v>
                </c:pt>
                <c:pt idx="553">
                  <c:v>-0.49934909599024896</c:v>
                </c:pt>
                <c:pt idx="554">
                  <c:v>-0.50851911681548256</c:v>
                </c:pt>
                <c:pt idx="555">
                  <c:v>-0.50779776101919616</c:v>
                </c:pt>
                <c:pt idx="556">
                  <c:v>-0.50560918558283252</c:v>
                </c:pt>
                <c:pt idx="557">
                  <c:v>-0.50025658116978899</c:v>
                </c:pt>
                <c:pt idx="558">
                  <c:v>-0.49872217895095489</c:v>
                </c:pt>
                <c:pt idx="559">
                  <c:v>-0.50147149963422188</c:v>
                </c:pt>
                <c:pt idx="560">
                  <c:v>-0.50406210215069691</c:v>
                </c:pt>
                <c:pt idx="561">
                  <c:v>-0.49635152100204832</c:v>
                </c:pt>
                <c:pt idx="562">
                  <c:v>-0.48976287816333858</c:v>
                </c:pt>
                <c:pt idx="563">
                  <c:v>-0.49709725008512629</c:v>
                </c:pt>
                <c:pt idx="564">
                  <c:v>-0.47579515452064536</c:v>
                </c:pt>
                <c:pt idx="565">
                  <c:v>-0.45266679037245894</c:v>
                </c:pt>
                <c:pt idx="566">
                  <c:v>-0.46410065381531607</c:v>
                </c:pt>
                <c:pt idx="567">
                  <c:v>-0.45983652823322657</c:v>
                </c:pt>
                <c:pt idx="568">
                  <c:v>-0.46344163044602654</c:v>
                </c:pt>
                <c:pt idx="569">
                  <c:v>-0.44213299050627308</c:v>
                </c:pt>
                <c:pt idx="570">
                  <c:v>-0.41558752553797612</c:v>
                </c:pt>
                <c:pt idx="571">
                  <c:v>-0.41528769985497332</c:v>
                </c:pt>
                <c:pt idx="572">
                  <c:v>-0.43948721130654028</c:v>
                </c:pt>
                <c:pt idx="573">
                  <c:v>-0.43862964435492741</c:v>
                </c:pt>
                <c:pt idx="574">
                  <c:v>-0.4470246532032246</c:v>
                </c:pt>
                <c:pt idx="575">
                  <c:v>-0.4448350735401374</c:v>
                </c:pt>
                <c:pt idx="576">
                  <c:v>-0.46046558919577119</c:v>
                </c:pt>
                <c:pt idx="577">
                  <c:v>-0.46065901582868263</c:v>
                </c:pt>
                <c:pt idx="578">
                  <c:v>-0.45919106314242308</c:v>
                </c:pt>
                <c:pt idx="579">
                  <c:v>-0.47548697302671872</c:v>
                </c:pt>
                <c:pt idx="580">
                  <c:v>-0.46777901218521961</c:v>
                </c:pt>
                <c:pt idx="581">
                  <c:v>-0.46444650442125562</c:v>
                </c:pt>
                <c:pt idx="582">
                  <c:v>-0.47697091445102302</c:v>
                </c:pt>
                <c:pt idx="583">
                  <c:v>-0.46111494169931283</c:v>
                </c:pt>
                <c:pt idx="584">
                  <c:v>-0.47947144321150797</c:v>
                </c:pt>
                <c:pt idx="585">
                  <c:v>-0.49148122311150799</c:v>
                </c:pt>
                <c:pt idx="586">
                  <c:v>-0.48652286637807507</c:v>
                </c:pt>
                <c:pt idx="587">
                  <c:v>-0.48451562743543247</c:v>
                </c:pt>
                <c:pt idx="588">
                  <c:v>-0.48789459281686104</c:v>
                </c:pt>
                <c:pt idx="589">
                  <c:v>-0.48642219020750432</c:v>
                </c:pt>
                <c:pt idx="590">
                  <c:v>-0.49144413439992862</c:v>
                </c:pt>
                <c:pt idx="591">
                  <c:v>-0.49550322093779264</c:v>
                </c:pt>
                <c:pt idx="592">
                  <c:v>-0.50627825965910411</c:v>
                </c:pt>
                <c:pt idx="593">
                  <c:v>-0.50220784302000376</c:v>
                </c:pt>
                <c:pt idx="594">
                  <c:v>-0.50421010770354813</c:v>
                </c:pt>
                <c:pt idx="595">
                  <c:v>-0.51341062319075192</c:v>
                </c:pt>
                <c:pt idx="596">
                  <c:v>-0.51325499911041161</c:v>
                </c:pt>
                <c:pt idx="597">
                  <c:v>-0.51375877255485614</c:v>
                </c:pt>
                <c:pt idx="598">
                  <c:v>-0.51202537916612367</c:v>
                </c:pt>
                <c:pt idx="599">
                  <c:v>-0.51051765506074254</c:v>
                </c:pt>
                <c:pt idx="600">
                  <c:v>-0.51469081588654908</c:v>
                </c:pt>
                <c:pt idx="601">
                  <c:v>-0.51340350990947259</c:v>
                </c:pt>
                <c:pt idx="602">
                  <c:v>-0.51059283005762079</c:v>
                </c:pt>
                <c:pt idx="603">
                  <c:v>-0.50617424742354666</c:v>
                </c:pt>
                <c:pt idx="604">
                  <c:v>-0.51107705559221617</c:v>
                </c:pt>
                <c:pt idx="605">
                  <c:v>-0.51078809038768058</c:v>
                </c:pt>
                <c:pt idx="606">
                  <c:v>-0.51401480157993862</c:v>
                </c:pt>
                <c:pt idx="607">
                  <c:v>-0.50393555900399356</c:v>
                </c:pt>
                <c:pt idx="608">
                  <c:v>-0.49512020925343175</c:v>
                </c:pt>
                <c:pt idx="609">
                  <c:v>-0.49167978871545709</c:v>
                </c:pt>
                <c:pt idx="610">
                  <c:v>-0.49133079585058459</c:v>
                </c:pt>
                <c:pt idx="611">
                  <c:v>-0.48511639168426335</c:v>
                </c:pt>
                <c:pt idx="612">
                  <c:v>-0.49368538697680064</c:v>
                </c:pt>
                <c:pt idx="613">
                  <c:v>-0.49755929006796085</c:v>
                </c:pt>
                <c:pt idx="614">
                  <c:v>-0.49415496300378969</c:v>
                </c:pt>
                <c:pt idx="615">
                  <c:v>-0.4918437588469034</c:v>
                </c:pt>
                <c:pt idx="616">
                  <c:v>-0.49551207591978974</c:v>
                </c:pt>
                <c:pt idx="617">
                  <c:v>-0.49433723379910011</c:v>
                </c:pt>
                <c:pt idx="618">
                  <c:v>-0.49053681597510013</c:v>
                </c:pt>
                <c:pt idx="619">
                  <c:v>-0.4899426661699719</c:v>
                </c:pt>
                <c:pt idx="620">
                  <c:v>-0.49010873658425763</c:v>
                </c:pt>
                <c:pt idx="621">
                  <c:v>-0.49102468861964221</c:v>
                </c:pt>
                <c:pt idx="622">
                  <c:v>-0.49141418254232261</c:v>
                </c:pt>
                <c:pt idx="623">
                  <c:v>-0.49087229398232268</c:v>
                </c:pt>
                <c:pt idx="624">
                  <c:v>-0.49032946502748392</c:v>
                </c:pt>
                <c:pt idx="625">
                  <c:v>-0.49155096962415062</c:v>
                </c:pt>
                <c:pt idx="626">
                  <c:v>-0.4932447604228053</c:v>
                </c:pt>
                <c:pt idx="627">
                  <c:v>-0.49311403271692295</c:v>
                </c:pt>
                <c:pt idx="628">
                  <c:v>-0.4899119564472087</c:v>
                </c:pt>
                <c:pt idx="629">
                  <c:v>-0.48726955599491512</c:v>
                </c:pt>
                <c:pt idx="630">
                  <c:v>-0.49071613807386238</c:v>
                </c:pt>
                <c:pt idx="631">
                  <c:v>-0.49060392728930957</c:v>
                </c:pt>
                <c:pt idx="632">
                  <c:v>-0.48948364192870347</c:v>
                </c:pt>
                <c:pt idx="633">
                  <c:v>-0.48676889698227488</c:v>
                </c:pt>
                <c:pt idx="634">
                  <c:v>-0.48882789333483895</c:v>
                </c:pt>
                <c:pt idx="635">
                  <c:v>-0.48497233329541989</c:v>
                </c:pt>
                <c:pt idx="636">
                  <c:v>-0.48282084302875317</c:v>
                </c:pt>
                <c:pt idx="637">
                  <c:v>-0.48686887486511682</c:v>
                </c:pt>
                <c:pt idx="638">
                  <c:v>-0.4737332357687532</c:v>
                </c:pt>
                <c:pt idx="639">
                  <c:v>-0.47437598833724637</c:v>
                </c:pt>
                <c:pt idx="640">
                  <c:v>-0.47769068602538201</c:v>
                </c:pt>
                <c:pt idx="641">
                  <c:v>-0.47669618308837414</c:v>
                </c:pt>
                <c:pt idx="642">
                  <c:v>-0.47823517009706984</c:v>
                </c:pt>
                <c:pt idx="643">
                  <c:v>-0.47767395283620029</c:v>
                </c:pt>
                <c:pt idx="644">
                  <c:v>-0.47715057268889483</c:v>
                </c:pt>
                <c:pt idx="645">
                  <c:v>-0.45926712513986756</c:v>
                </c:pt>
                <c:pt idx="646">
                  <c:v>-0.46092281304421545</c:v>
                </c:pt>
                <c:pt idx="647">
                  <c:v>-0.46066812291088205</c:v>
                </c:pt>
                <c:pt idx="648">
                  <c:v>-0.45937854151182544</c:v>
                </c:pt>
                <c:pt idx="649">
                  <c:v>-0.45697314042202958</c:v>
                </c:pt>
                <c:pt idx="650">
                  <c:v>-0.45914883733869616</c:v>
                </c:pt>
                <c:pt idx="651">
                  <c:v>-0.45841511820669623</c:v>
                </c:pt>
                <c:pt idx="652">
                  <c:v>-0.46043910177046432</c:v>
                </c:pt>
                <c:pt idx="653">
                  <c:v>-0.45876362184659336</c:v>
                </c:pt>
                <c:pt idx="654">
                  <c:v>-0.45954183697757928</c:v>
                </c:pt>
                <c:pt idx="655">
                  <c:v>-0.461206406120936</c:v>
                </c:pt>
                <c:pt idx="656">
                  <c:v>-0.45797273352093598</c:v>
                </c:pt>
                <c:pt idx="657">
                  <c:v>-0.45545311844820874</c:v>
                </c:pt>
                <c:pt idx="658">
                  <c:v>-0.4515479057472378</c:v>
                </c:pt>
                <c:pt idx="659">
                  <c:v>-0.45281697042867497</c:v>
                </c:pt>
                <c:pt idx="660">
                  <c:v>-0.4525912429471935</c:v>
                </c:pt>
                <c:pt idx="661">
                  <c:v>-0.44322729837371111</c:v>
                </c:pt>
                <c:pt idx="662">
                  <c:v>-0.44935480446429937</c:v>
                </c:pt>
                <c:pt idx="663">
                  <c:v>-0.44778165566757805</c:v>
                </c:pt>
                <c:pt idx="664">
                  <c:v>-0.44827989122984224</c:v>
                </c:pt>
                <c:pt idx="665">
                  <c:v>-0.44962966976723351</c:v>
                </c:pt>
                <c:pt idx="666">
                  <c:v>-0.44477668443190421</c:v>
                </c:pt>
                <c:pt idx="667">
                  <c:v>-0.45933644118927469</c:v>
                </c:pt>
                <c:pt idx="668">
                  <c:v>-0.43793277743989201</c:v>
                </c:pt>
                <c:pt idx="669">
                  <c:v>-0.46285871641663612</c:v>
                </c:pt>
                <c:pt idx="670">
                  <c:v>-0.45887555181663614</c:v>
                </c:pt>
                <c:pt idx="671">
                  <c:v>-0.46274732526085377</c:v>
                </c:pt>
                <c:pt idx="672">
                  <c:v>-0.40705177328323139</c:v>
                </c:pt>
                <c:pt idx="673">
                  <c:v>-0.40064262518700999</c:v>
                </c:pt>
                <c:pt idx="674">
                  <c:v>-0.40002800343327855</c:v>
                </c:pt>
                <c:pt idx="675">
                  <c:v>-0.40160362863772303</c:v>
                </c:pt>
                <c:pt idx="676">
                  <c:v>-0.40440460808201834</c:v>
                </c:pt>
                <c:pt idx="677">
                  <c:v>-0.40122414892984443</c:v>
                </c:pt>
                <c:pt idx="678">
                  <c:v>-0.40109755526121699</c:v>
                </c:pt>
                <c:pt idx="679">
                  <c:v>-0.40061977066845561</c:v>
                </c:pt>
                <c:pt idx="680">
                  <c:v>-0.40427232903958965</c:v>
                </c:pt>
                <c:pt idx="681">
                  <c:v>-0.40488858919805121</c:v>
                </c:pt>
                <c:pt idx="682">
                  <c:v>-0.40601454643843576</c:v>
                </c:pt>
                <c:pt idx="683">
                  <c:v>-0.40351287058269802</c:v>
                </c:pt>
                <c:pt idx="684">
                  <c:v>-0.40329517116078029</c:v>
                </c:pt>
                <c:pt idx="685">
                  <c:v>-0.40151951151792309</c:v>
                </c:pt>
                <c:pt idx="686">
                  <c:v>-0.40555750328588258</c:v>
                </c:pt>
                <c:pt idx="687">
                  <c:v>-0.39601508356094645</c:v>
                </c:pt>
                <c:pt idx="688">
                  <c:v>-0.39603471195139228</c:v>
                </c:pt>
                <c:pt idx="689">
                  <c:v>-0.39516610775798566</c:v>
                </c:pt>
                <c:pt idx="690">
                  <c:v>-0.39785668723220169</c:v>
                </c:pt>
                <c:pt idx="691">
                  <c:v>-0.39312797954206086</c:v>
                </c:pt>
                <c:pt idx="692">
                  <c:v>-0.38725498483175447</c:v>
                </c:pt>
                <c:pt idx="693">
                  <c:v>-0.38826893689175451</c:v>
                </c:pt>
                <c:pt idx="694">
                  <c:v>-0.38694499780974007</c:v>
                </c:pt>
                <c:pt idx="695">
                  <c:v>-0.38773035159179137</c:v>
                </c:pt>
                <c:pt idx="696">
                  <c:v>-0.38726162366464856</c:v>
                </c:pt>
                <c:pt idx="697">
                  <c:v>-0.38898979809529372</c:v>
                </c:pt>
                <c:pt idx="698">
                  <c:v>-0.3881114516077937</c:v>
                </c:pt>
                <c:pt idx="699">
                  <c:v>-0.38609662230779374</c:v>
                </c:pt>
                <c:pt idx="700">
                  <c:v>-0.38682480546973702</c:v>
                </c:pt>
                <c:pt idx="701">
                  <c:v>-0.38358477613471903</c:v>
                </c:pt>
                <c:pt idx="702">
                  <c:v>-0.38419609884673711</c:v>
                </c:pt>
                <c:pt idx="703">
                  <c:v>-0.38186891204582524</c:v>
                </c:pt>
                <c:pt idx="704">
                  <c:v>-0.3805195800849861</c:v>
                </c:pt>
                <c:pt idx="705">
                  <c:v>-0.38197648762315406</c:v>
                </c:pt>
                <c:pt idx="706">
                  <c:v>-0.38174276064608403</c:v>
                </c:pt>
                <c:pt idx="707">
                  <c:v>-0.38196627215704293</c:v>
                </c:pt>
                <c:pt idx="708">
                  <c:v>-0.38032808323326928</c:v>
                </c:pt>
                <c:pt idx="709">
                  <c:v>-0.37757024963326935</c:v>
                </c:pt>
                <c:pt idx="710">
                  <c:v>-0.37999556139202417</c:v>
                </c:pt>
                <c:pt idx="711">
                  <c:v>-0.38056487652998944</c:v>
                </c:pt>
                <c:pt idx="712">
                  <c:v>-0.37805062810635309</c:v>
                </c:pt>
                <c:pt idx="713">
                  <c:v>-0.37359417505204684</c:v>
                </c:pt>
                <c:pt idx="714">
                  <c:v>-0.37685389463143282</c:v>
                </c:pt>
                <c:pt idx="715">
                  <c:v>-0.37430507486369091</c:v>
                </c:pt>
                <c:pt idx="716">
                  <c:v>-0.38111464654889798</c:v>
                </c:pt>
                <c:pt idx="717">
                  <c:v>-0.38386401485694888</c:v>
                </c:pt>
                <c:pt idx="718">
                  <c:v>-0.38151486702794118</c:v>
                </c:pt>
                <c:pt idx="719">
                  <c:v>-0.3814535319859832</c:v>
                </c:pt>
                <c:pt idx="720">
                  <c:v>-0.38351992832133674</c:v>
                </c:pt>
                <c:pt idx="721">
                  <c:v>-0.37844646587457414</c:v>
                </c:pt>
                <c:pt idx="722">
                  <c:v>-0.37934521850000763</c:v>
                </c:pt>
                <c:pt idx="723">
                  <c:v>-0.3827642744562576</c:v>
                </c:pt>
                <c:pt idx="724">
                  <c:v>-0.3871881756127673</c:v>
                </c:pt>
                <c:pt idx="725">
                  <c:v>-0.38634082192496244</c:v>
                </c:pt>
                <c:pt idx="726">
                  <c:v>-0.38882767529050288</c:v>
                </c:pt>
                <c:pt idx="727">
                  <c:v>-0.38956266495143005</c:v>
                </c:pt>
                <c:pt idx="728">
                  <c:v>-0.3882504663548198</c:v>
                </c:pt>
                <c:pt idx="729">
                  <c:v>-0.38674536076667171</c:v>
                </c:pt>
                <c:pt idx="730">
                  <c:v>-0.38626012560810025</c:v>
                </c:pt>
                <c:pt idx="731">
                  <c:v>-0.3871650906693247</c:v>
                </c:pt>
                <c:pt idx="732">
                  <c:v>-0.38749717163182468</c:v>
                </c:pt>
                <c:pt idx="733">
                  <c:v>-0.38843244467919313</c:v>
                </c:pt>
                <c:pt idx="734">
                  <c:v>-0.3881848846604431</c:v>
                </c:pt>
                <c:pt idx="735">
                  <c:v>-0.39011413712060572</c:v>
                </c:pt>
                <c:pt idx="736">
                  <c:v>-0.38797417832060571</c:v>
                </c:pt>
                <c:pt idx="737">
                  <c:v>-0.38783826080742739</c:v>
                </c:pt>
                <c:pt idx="738">
                  <c:v>-0.38842563884484227</c:v>
                </c:pt>
                <c:pt idx="739">
                  <c:v>-0.38986869303373123</c:v>
                </c:pt>
                <c:pt idx="740">
                  <c:v>-0.38947902212800917</c:v>
                </c:pt>
                <c:pt idx="741">
                  <c:v>-0.39107201006061787</c:v>
                </c:pt>
                <c:pt idx="742">
                  <c:v>-0.3955277432784261</c:v>
                </c:pt>
                <c:pt idx="743">
                  <c:v>-0.39608936066024419</c:v>
                </c:pt>
                <c:pt idx="744">
                  <c:v>-0.39550160738246648</c:v>
                </c:pt>
                <c:pt idx="745">
                  <c:v>-0.39997002161246648</c:v>
                </c:pt>
                <c:pt idx="746">
                  <c:v>-0.40107305407913324</c:v>
                </c:pt>
                <c:pt idx="747">
                  <c:v>-0.40242149447913317</c:v>
                </c:pt>
                <c:pt idx="748">
                  <c:v>-0.40234819312163311</c:v>
                </c:pt>
                <c:pt idx="749">
                  <c:v>-0.40288190343829983</c:v>
                </c:pt>
                <c:pt idx="750">
                  <c:v>-0.40177273113163314</c:v>
                </c:pt>
                <c:pt idx="751">
                  <c:v>-0.40036171067850812</c:v>
                </c:pt>
                <c:pt idx="752">
                  <c:v>-0.39667877297406368</c:v>
                </c:pt>
                <c:pt idx="753">
                  <c:v>-0.3997113128740637</c:v>
                </c:pt>
                <c:pt idx="754">
                  <c:v>-0.39933848466353739</c:v>
                </c:pt>
                <c:pt idx="755">
                  <c:v>-0.4007745379135374</c:v>
                </c:pt>
                <c:pt idx="756">
                  <c:v>-0.40265583874065602</c:v>
                </c:pt>
                <c:pt idx="757">
                  <c:v>-0.40003674398664141</c:v>
                </c:pt>
                <c:pt idx="758">
                  <c:v>-0.40149662034280581</c:v>
                </c:pt>
                <c:pt idx="759">
                  <c:v>-0.39793903820359011</c:v>
                </c:pt>
                <c:pt idx="760">
                  <c:v>-0.3945338221349769</c:v>
                </c:pt>
                <c:pt idx="761">
                  <c:v>-0.39292003771745115</c:v>
                </c:pt>
                <c:pt idx="762">
                  <c:v>-0.38467347009676151</c:v>
                </c:pt>
                <c:pt idx="763">
                  <c:v>-0.39001714934482784</c:v>
                </c:pt>
                <c:pt idx="764">
                  <c:v>-0.38783415796892423</c:v>
                </c:pt>
                <c:pt idx="765">
                  <c:v>-0.38614427479059082</c:v>
                </c:pt>
                <c:pt idx="766">
                  <c:v>-0.38508158874845883</c:v>
                </c:pt>
                <c:pt idx="767">
                  <c:v>-0.38457189472547032</c:v>
                </c:pt>
                <c:pt idx="768">
                  <c:v>-0.38691463882250005</c:v>
                </c:pt>
                <c:pt idx="769">
                  <c:v>-0.38463211350854659</c:v>
                </c:pt>
                <c:pt idx="770">
                  <c:v>-0.38483640721763746</c:v>
                </c:pt>
                <c:pt idx="771">
                  <c:v>-0.38448604118865193</c:v>
                </c:pt>
                <c:pt idx="772">
                  <c:v>-0.38643164043720685</c:v>
                </c:pt>
                <c:pt idx="773">
                  <c:v>-0.38476522540903785</c:v>
                </c:pt>
                <c:pt idx="774">
                  <c:v>-0.38394186432032812</c:v>
                </c:pt>
                <c:pt idx="775">
                  <c:v>-0.3844038586346139</c:v>
                </c:pt>
                <c:pt idx="776">
                  <c:v>-0.38256214279785716</c:v>
                </c:pt>
                <c:pt idx="777">
                  <c:v>-0.38239594975599672</c:v>
                </c:pt>
                <c:pt idx="778">
                  <c:v>-0.3822454833845681</c:v>
                </c:pt>
                <c:pt idx="779">
                  <c:v>-0.3819234592459127</c:v>
                </c:pt>
                <c:pt idx="780">
                  <c:v>-0.38040590057312579</c:v>
                </c:pt>
                <c:pt idx="781">
                  <c:v>-0.37879282752117044</c:v>
                </c:pt>
                <c:pt idx="782">
                  <c:v>-0.38128417526757047</c:v>
                </c:pt>
                <c:pt idx="783">
                  <c:v>-0.38191130233691722</c:v>
                </c:pt>
                <c:pt idx="784">
                  <c:v>-0.38314221620226374</c:v>
                </c:pt>
                <c:pt idx="785">
                  <c:v>-0.38262297065509393</c:v>
                </c:pt>
                <c:pt idx="786">
                  <c:v>-0.38144773367421159</c:v>
                </c:pt>
                <c:pt idx="787">
                  <c:v>-0.38132758907719666</c:v>
                </c:pt>
                <c:pt idx="788">
                  <c:v>-0.37918306721980022</c:v>
                </c:pt>
                <c:pt idx="789">
                  <c:v>-0.38054944460053108</c:v>
                </c:pt>
                <c:pt idx="790">
                  <c:v>-0.38045020451646028</c:v>
                </c:pt>
                <c:pt idx="791">
                  <c:v>-0.38201431598312702</c:v>
                </c:pt>
                <c:pt idx="792">
                  <c:v>-0.38184464967190751</c:v>
                </c:pt>
                <c:pt idx="793">
                  <c:v>-0.38305400879918022</c:v>
                </c:pt>
                <c:pt idx="794">
                  <c:v>-0.38332036745515041</c:v>
                </c:pt>
                <c:pt idx="795">
                  <c:v>-0.38370614145841381</c:v>
                </c:pt>
                <c:pt idx="796">
                  <c:v>-0.38227494892142749</c:v>
                </c:pt>
                <c:pt idx="797">
                  <c:v>-0.38415058495866156</c:v>
                </c:pt>
                <c:pt idx="798">
                  <c:v>-0.38355495107151877</c:v>
                </c:pt>
                <c:pt idx="799">
                  <c:v>-0.38173610351844856</c:v>
                </c:pt>
                <c:pt idx="800">
                  <c:v>-0.38032513250554528</c:v>
                </c:pt>
                <c:pt idx="801">
                  <c:v>-0.37868713687880734</c:v>
                </c:pt>
                <c:pt idx="802">
                  <c:v>-0.37639402729071209</c:v>
                </c:pt>
                <c:pt idx="803">
                  <c:v>-0.37602392753356917</c:v>
                </c:pt>
                <c:pt idx="804">
                  <c:v>-0.37682453779821568</c:v>
                </c:pt>
                <c:pt idx="805">
                  <c:v>-0.37275415599518541</c:v>
                </c:pt>
                <c:pt idx="806">
                  <c:v>-0.36862326713195509</c:v>
                </c:pt>
                <c:pt idx="807">
                  <c:v>-0.3683671343489881</c:v>
                </c:pt>
                <c:pt idx="808">
                  <c:v>-0.36606643537736022</c:v>
                </c:pt>
                <c:pt idx="809">
                  <c:v>-0.36652845463369205</c:v>
                </c:pt>
                <c:pt idx="810">
                  <c:v>-0.36494292321484223</c:v>
                </c:pt>
                <c:pt idx="811">
                  <c:v>-0.36486862536423981</c:v>
                </c:pt>
                <c:pt idx="812">
                  <c:v>-0.36296690805276438</c:v>
                </c:pt>
                <c:pt idx="813">
                  <c:v>-0.3624910196656676</c:v>
                </c:pt>
                <c:pt idx="814">
                  <c:v>-0.36649330240108424</c:v>
                </c:pt>
                <c:pt idx="815">
                  <c:v>-0.37022324401323892</c:v>
                </c:pt>
                <c:pt idx="816">
                  <c:v>-0.36771392459990565</c:v>
                </c:pt>
                <c:pt idx="817">
                  <c:v>-0.36431525337015352</c:v>
                </c:pt>
                <c:pt idx="818">
                  <c:v>-0.36634617319466961</c:v>
                </c:pt>
                <c:pt idx="819">
                  <c:v>-0.36682001317213442</c:v>
                </c:pt>
                <c:pt idx="820">
                  <c:v>-0.36432083870732423</c:v>
                </c:pt>
                <c:pt idx="821">
                  <c:v>-0.36661630225359021</c:v>
                </c:pt>
                <c:pt idx="822">
                  <c:v>-0.36719024506540454</c:v>
                </c:pt>
                <c:pt idx="823">
                  <c:v>-0.35396765514301509</c:v>
                </c:pt>
                <c:pt idx="824">
                  <c:v>-0.36048378417499932</c:v>
                </c:pt>
                <c:pt idx="825">
                  <c:v>-0.35709427203727773</c:v>
                </c:pt>
                <c:pt idx="826">
                  <c:v>-0.35856325473363193</c:v>
                </c:pt>
                <c:pt idx="827">
                  <c:v>-0.35814820380274959</c:v>
                </c:pt>
                <c:pt idx="828">
                  <c:v>-0.35773702209524405</c:v>
                </c:pt>
                <c:pt idx="829">
                  <c:v>-0.3573752414816847</c:v>
                </c:pt>
                <c:pt idx="830">
                  <c:v>-0.35777705564018819</c:v>
                </c:pt>
                <c:pt idx="831">
                  <c:v>-0.35809050637644541</c:v>
                </c:pt>
                <c:pt idx="832">
                  <c:v>-0.35675169570354825</c:v>
                </c:pt>
                <c:pt idx="833">
                  <c:v>-0.35381713060568348</c:v>
                </c:pt>
                <c:pt idx="834">
                  <c:v>-0.35348828204640748</c:v>
                </c:pt>
                <c:pt idx="835">
                  <c:v>-0.35161057757193298</c:v>
                </c:pt>
                <c:pt idx="836">
                  <c:v>-0.34982265386717104</c:v>
                </c:pt>
                <c:pt idx="837">
                  <c:v>-0.34959107205376899</c:v>
                </c:pt>
                <c:pt idx="838">
                  <c:v>-0.34960507522649631</c:v>
                </c:pt>
                <c:pt idx="839">
                  <c:v>-0.35076894417265014</c:v>
                </c:pt>
                <c:pt idx="840">
                  <c:v>-0.34981713900885703</c:v>
                </c:pt>
                <c:pt idx="841">
                  <c:v>-0.34900994003385699</c:v>
                </c:pt>
                <c:pt idx="842">
                  <c:v>-0.34857835431216211</c:v>
                </c:pt>
                <c:pt idx="843">
                  <c:v>-0.34858524914481515</c:v>
                </c:pt>
                <c:pt idx="844">
                  <c:v>-0.34976496275365498</c:v>
                </c:pt>
                <c:pt idx="845">
                  <c:v>-0.34887684443063338</c:v>
                </c:pt>
                <c:pt idx="846">
                  <c:v>-0.34882690467709804</c:v>
                </c:pt>
                <c:pt idx="847">
                  <c:v>-0.34942440573143974</c:v>
                </c:pt>
                <c:pt idx="848">
                  <c:v>-0.34952264994172016</c:v>
                </c:pt>
                <c:pt idx="849">
                  <c:v>-0.35077823051723034</c:v>
                </c:pt>
                <c:pt idx="850">
                  <c:v>-0.35067230040432712</c:v>
                </c:pt>
                <c:pt idx="851">
                  <c:v>-0.35351173928281249</c:v>
                </c:pt>
                <c:pt idx="852">
                  <c:v>-0.35400772532693014</c:v>
                </c:pt>
                <c:pt idx="853">
                  <c:v>-0.35417745156286756</c:v>
                </c:pt>
                <c:pt idx="854">
                  <c:v>-0.35564812116286759</c:v>
                </c:pt>
                <c:pt idx="855">
                  <c:v>-0.35570056260865079</c:v>
                </c:pt>
                <c:pt idx="856">
                  <c:v>-0.35596057920373275</c:v>
                </c:pt>
                <c:pt idx="857">
                  <c:v>-0.35600342143823405</c:v>
                </c:pt>
                <c:pt idx="858">
                  <c:v>-0.35451229089790487</c:v>
                </c:pt>
                <c:pt idx="859">
                  <c:v>-0.35509597688764849</c:v>
                </c:pt>
                <c:pt idx="860">
                  <c:v>-0.35456326536702987</c:v>
                </c:pt>
                <c:pt idx="861">
                  <c:v>-0.35424674178967142</c:v>
                </c:pt>
                <c:pt idx="862">
                  <c:v>-0.35469050620231507</c:v>
                </c:pt>
                <c:pt idx="863">
                  <c:v>-0.35446724376371863</c:v>
                </c:pt>
                <c:pt idx="864">
                  <c:v>-0.35378097709736944</c:v>
                </c:pt>
                <c:pt idx="865">
                  <c:v>-0.35417589860345638</c:v>
                </c:pt>
                <c:pt idx="866">
                  <c:v>-0.35414478836499486</c:v>
                </c:pt>
                <c:pt idx="867">
                  <c:v>-0.35315597429261386</c:v>
                </c:pt>
                <c:pt idx="868">
                  <c:v>-0.35421057938024275</c:v>
                </c:pt>
                <c:pt idx="869">
                  <c:v>-0.35245660471913171</c:v>
                </c:pt>
                <c:pt idx="870">
                  <c:v>-0.35130060701913163</c:v>
                </c:pt>
                <c:pt idx="871">
                  <c:v>-0.3496974596960547</c:v>
                </c:pt>
                <c:pt idx="872">
                  <c:v>-0.34942550351393409</c:v>
                </c:pt>
                <c:pt idx="873">
                  <c:v>-0.34927597434124036</c:v>
                </c:pt>
                <c:pt idx="874">
                  <c:v>-0.3498265325284744</c:v>
                </c:pt>
                <c:pt idx="875">
                  <c:v>-0.3479846539170755</c:v>
                </c:pt>
                <c:pt idx="876">
                  <c:v>-0.34764533101014478</c:v>
                </c:pt>
                <c:pt idx="877">
                  <c:v>-0.34707781205713273</c:v>
                </c:pt>
                <c:pt idx="878">
                  <c:v>-0.34703136688616504</c:v>
                </c:pt>
                <c:pt idx="879">
                  <c:v>-0.34593718110385208</c:v>
                </c:pt>
                <c:pt idx="880">
                  <c:v>-0.34510504841779155</c:v>
                </c:pt>
                <c:pt idx="881">
                  <c:v>-0.34515478831779156</c:v>
                </c:pt>
                <c:pt idx="882">
                  <c:v>-0.34468141198257141</c:v>
                </c:pt>
                <c:pt idx="883">
                  <c:v>-0.34356779693761014</c:v>
                </c:pt>
                <c:pt idx="884">
                  <c:v>-0.33989494507015083</c:v>
                </c:pt>
                <c:pt idx="885">
                  <c:v>-0.34142073038658921</c:v>
                </c:pt>
                <c:pt idx="886">
                  <c:v>-0.33668193118463313</c:v>
                </c:pt>
                <c:pt idx="887">
                  <c:v>-0.32476267177331813</c:v>
                </c:pt>
                <c:pt idx="888">
                  <c:v>-0.32979207177824427</c:v>
                </c:pt>
                <c:pt idx="889">
                  <c:v>-0.32914535878114665</c:v>
                </c:pt>
                <c:pt idx="890">
                  <c:v>-0.32990501752734547</c:v>
                </c:pt>
                <c:pt idx="891">
                  <c:v>-0.33100819540734544</c:v>
                </c:pt>
                <c:pt idx="892">
                  <c:v>-0.32888802228234543</c:v>
                </c:pt>
                <c:pt idx="893">
                  <c:v>-0.32977656345117656</c:v>
                </c:pt>
                <c:pt idx="894">
                  <c:v>-0.32437203058929814</c:v>
                </c:pt>
                <c:pt idx="895">
                  <c:v>-0.32694408473307329</c:v>
                </c:pt>
                <c:pt idx="896">
                  <c:v>-0.32796718855183227</c:v>
                </c:pt>
                <c:pt idx="897">
                  <c:v>-0.3278868475179465</c:v>
                </c:pt>
                <c:pt idx="898">
                  <c:v>-0.32561930737122513</c:v>
                </c:pt>
                <c:pt idx="899">
                  <c:v>-0.32502383578126698</c:v>
                </c:pt>
                <c:pt idx="900">
                  <c:v>-0.32472827187882797</c:v>
                </c:pt>
                <c:pt idx="901">
                  <c:v>-0.32596372073337343</c:v>
                </c:pt>
                <c:pt idx="902">
                  <c:v>-0.32643889237174983</c:v>
                </c:pt>
                <c:pt idx="903">
                  <c:v>-0.32293091711527921</c:v>
                </c:pt>
                <c:pt idx="904">
                  <c:v>-0.3210655180980847</c:v>
                </c:pt>
                <c:pt idx="905">
                  <c:v>-0.32060678548997656</c:v>
                </c:pt>
                <c:pt idx="906">
                  <c:v>-0.31808739941785857</c:v>
                </c:pt>
                <c:pt idx="907">
                  <c:v>-0.31402745576673324</c:v>
                </c:pt>
                <c:pt idx="908">
                  <c:v>-0.31483069925825863</c:v>
                </c:pt>
                <c:pt idx="909">
                  <c:v>-0.31430336386366409</c:v>
                </c:pt>
                <c:pt idx="910">
                  <c:v>-0.31429610394551455</c:v>
                </c:pt>
                <c:pt idx="911">
                  <c:v>-0.31295704457966089</c:v>
                </c:pt>
                <c:pt idx="912">
                  <c:v>-0.3140292781168037</c:v>
                </c:pt>
                <c:pt idx="913">
                  <c:v>-0.31397850523269777</c:v>
                </c:pt>
                <c:pt idx="914">
                  <c:v>-0.31345091556816945</c:v>
                </c:pt>
                <c:pt idx="915">
                  <c:v>-0.31416113570278487</c:v>
                </c:pt>
                <c:pt idx="916">
                  <c:v>-0.31256584665253273</c:v>
                </c:pt>
                <c:pt idx="917">
                  <c:v>-0.31437347089569068</c:v>
                </c:pt>
                <c:pt idx="918">
                  <c:v>-0.3126863760739515</c:v>
                </c:pt>
                <c:pt idx="919">
                  <c:v>-0.31339761091850854</c:v>
                </c:pt>
                <c:pt idx="920">
                  <c:v>-0.31234285633377568</c:v>
                </c:pt>
                <c:pt idx="921">
                  <c:v>-0.31280830455814346</c:v>
                </c:pt>
                <c:pt idx="922">
                  <c:v>-0.31291699051172434</c:v>
                </c:pt>
                <c:pt idx="923">
                  <c:v>-0.31316398910751381</c:v>
                </c:pt>
                <c:pt idx="924">
                  <c:v>-0.31368993639146442</c:v>
                </c:pt>
                <c:pt idx="925">
                  <c:v>-0.31880535744744337</c:v>
                </c:pt>
                <c:pt idx="926">
                  <c:v>-0.31917881627386541</c:v>
                </c:pt>
                <c:pt idx="927">
                  <c:v>-0.31514339391008644</c:v>
                </c:pt>
                <c:pt idx="928">
                  <c:v>-0.31485896654390993</c:v>
                </c:pt>
                <c:pt idx="929">
                  <c:v>-0.30542242673385611</c:v>
                </c:pt>
                <c:pt idx="930">
                  <c:v>-0.30338935334868866</c:v>
                </c:pt>
                <c:pt idx="931">
                  <c:v>-0.30517111399445668</c:v>
                </c:pt>
                <c:pt idx="932">
                  <c:v>-0.3030603132638684</c:v>
                </c:pt>
                <c:pt idx="933">
                  <c:v>-0.30193068939026346</c:v>
                </c:pt>
                <c:pt idx="934">
                  <c:v>-0.29845747201947692</c:v>
                </c:pt>
                <c:pt idx="935">
                  <c:v>-0.28927862895932654</c:v>
                </c:pt>
                <c:pt idx="936">
                  <c:v>-0.28368346444380077</c:v>
                </c:pt>
                <c:pt idx="937">
                  <c:v>-0.2843835149176861</c:v>
                </c:pt>
                <c:pt idx="938">
                  <c:v>-0.28890637621017623</c:v>
                </c:pt>
                <c:pt idx="939">
                  <c:v>-0.27596045531017627</c:v>
                </c:pt>
                <c:pt idx="940">
                  <c:v>-0.28307461061121975</c:v>
                </c:pt>
                <c:pt idx="941">
                  <c:v>-0.27810926857317264</c:v>
                </c:pt>
                <c:pt idx="942">
                  <c:v>-0.28242320151306211</c:v>
                </c:pt>
                <c:pt idx="943">
                  <c:v>-0.27893593243745241</c:v>
                </c:pt>
                <c:pt idx="944">
                  <c:v>-0.27900544264976906</c:v>
                </c:pt>
                <c:pt idx="945">
                  <c:v>-0.28061640145898753</c:v>
                </c:pt>
                <c:pt idx="946">
                  <c:v>-0.27122340929547489</c:v>
                </c:pt>
                <c:pt idx="947">
                  <c:v>-0.26319036584653044</c:v>
                </c:pt>
                <c:pt idx="948">
                  <c:v>-0.25583400419324576</c:v>
                </c:pt>
                <c:pt idx="949">
                  <c:v>-0.25339392873488881</c:v>
                </c:pt>
                <c:pt idx="950">
                  <c:v>-0.24562291270597314</c:v>
                </c:pt>
                <c:pt idx="951">
                  <c:v>-0.25457096490977799</c:v>
                </c:pt>
                <c:pt idx="952">
                  <c:v>-0.24544971061234208</c:v>
                </c:pt>
                <c:pt idx="953">
                  <c:v>-0.23924628459950237</c:v>
                </c:pt>
                <c:pt idx="954">
                  <c:v>-0.24782272132055497</c:v>
                </c:pt>
                <c:pt idx="955">
                  <c:v>-0.23799848719443328</c:v>
                </c:pt>
                <c:pt idx="956">
                  <c:v>-0.25025241075623578</c:v>
                </c:pt>
                <c:pt idx="957">
                  <c:v>-0.23926673780845531</c:v>
                </c:pt>
                <c:pt idx="958">
                  <c:v>-0.21866730670091342</c:v>
                </c:pt>
                <c:pt idx="959">
                  <c:v>-0.22903146400006899</c:v>
                </c:pt>
                <c:pt idx="960">
                  <c:v>-0.23330147073905205</c:v>
                </c:pt>
                <c:pt idx="961">
                  <c:v>-0.22528005438691198</c:v>
                </c:pt>
                <c:pt idx="962">
                  <c:v>-0.22216061886423161</c:v>
                </c:pt>
                <c:pt idx="963">
                  <c:v>-0.23252470780203063</c:v>
                </c:pt>
                <c:pt idx="964">
                  <c:v>-0.24466025223659854</c:v>
                </c:pt>
                <c:pt idx="965">
                  <c:v>-0.24235940361925437</c:v>
                </c:pt>
                <c:pt idx="966">
                  <c:v>-0.24403174425895291</c:v>
                </c:pt>
                <c:pt idx="967">
                  <c:v>-0.24342936700663087</c:v>
                </c:pt>
                <c:pt idx="968">
                  <c:v>-0.24548602950031509</c:v>
                </c:pt>
                <c:pt idx="969">
                  <c:v>-0.24401216551710669</c:v>
                </c:pt>
                <c:pt idx="970">
                  <c:v>-0.23725348235423332</c:v>
                </c:pt>
                <c:pt idx="971">
                  <c:v>-0.23797569433994759</c:v>
                </c:pt>
                <c:pt idx="972">
                  <c:v>-0.23586005549994754</c:v>
                </c:pt>
                <c:pt idx="973">
                  <c:v>-0.24055080256216976</c:v>
                </c:pt>
                <c:pt idx="974">
                  <c:v>-0.23525484110088613</c:v>
                </c:pt>
                <c:pt idx="975">
                  <c:v>-0.24042329614766972</c:v>
                </c:pt>
                <c:pt idx="976">
                  <c:v>-0.23680705211478159</c:v>
                </c:pt>
                <c:pt idx="977">
                  <c:v>-0.23596559658544175</c:v>
                </c:pt>
                <c:pt idx="978">
                  <c:v>-0.2393388557863215</c:v>
                </c:pt>
                <c:pt idx="979">
                  <c:v>-0.23482312504016764</c:v>
                </c:pt>
                <c:pt idx="980">
                  <c:v>-0.22116025739855147</c:v>
                </c:pt>
                <c:pt idx="981">
                  <c:v>-0.22764915745021025</c:v>
                </c:pt>
                <c:pt idx="982">
                  <c:v>-0.22113018237177889</c:v>
                </c:pt>
                <c:pt idx="983">
                  <c:v>-0.22974085666492958</c:v>
                </c:pt>
                <c:pt idx="984">
                  <c:v>-0.23060697005796438</c:v>
                </c:pt>
                <c:pt idx="985">
                  <c:v>-0.22972182924266193</c:v>
                </c:pt>
                <c:pt idx="986">
                  <c:v>-0.22158152775728643</c:v>
                </c:pt>
                <c:pt idx="987">
                  <c:v>-0.2212224845519708</c:v>
                </c:pt>
                <c:pt idx="988">
                  <c:v>-0.20894541004981876</c:v>
                </c:pt>
                <c:pt idx="989">
                  <c:v>-0.22034155246872517</c:v>
                </c:pt>
                <c:pt idx="990">
                  <c:v>-0.22674021004160652</c:v>
                </c:pt>
                <c:pt idx="991">
                  <c:v>-0.22389336162319648</c:v>
                </c:pt>
                <c:pt idx="992">
                  <c:v>-0.21631053706768547</c:v>
                </c:pt>
                <c:pt idx="993">
                  <c:v>-0.21266023100849762</c:v>
                </c:pt>
                <c:pt idx="994">
                  <c:v>-0.21433645206986943</c:v>
                </c:pt>
                <c:pt idx="995">
                  <c:v>-0.20774574655526948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E2-442E-BDEA-63FB1EA78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156560"/>
        <c:axId val="802174688"/>
      </c:lineChart>
      <c:dateAx>
        <c:axId val="633156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174688"/>
        <c:crosses val="autoZero"/>
        <c:auto val="1"/>
        <c:lblOffset val="100"/>
        <c:baseTimeUnit val="days"/>
      </c:dateAx>
      <c:valAx>
        <c:axId val="80217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15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E5EA434-DC08-44F1-93D2-AF9D540D618C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A29822-7B28-4152-B666-9EC66D50775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2.02</v>
      </c>
      <c r="D2" s="4">
        <f>MIN(D3:D1912)</f>
        <v>0.09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0.37930000000000003</v>
      </c>
      <c r="C5">
        <v>0.39040000000000002</v>
      </c>
      <c r="D5">
        <v>0.36969999999999997</v>
      </c>
      <c r="E5">
        <v>0.37119999999999997</v>
      </c>
      <c r="F5">
        <v>205471</v>
      </c>
      <c r="G5">
        <v>0.37119999999999997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-0.85507246376811619</v>
      </c>
      <c r="Q5">
        <f t="shared" ref="Q5" si="1">F5*P5</f>
        <v>-175692.59420289859</v>
      </c>
      <c r="R5">
        <f t="shared" ref="R5" si="2">R6+Q5</f>
        <v>-988559761.79525399</v>
      </c>
      <c r="S5">
        <f t="shared" ref="S5" si="3">R5/100000</f>
        <v>-9885.5976179525405</v>
      </c>
      <c r="T5">
        <f t="shared" ref="T5" si="4">S5/1000</f>
        <v>-9.8855976179525413</v>
      </c>
    </row>
    <row r="6" spans="1:20" x14ac:dyDescent="0.25">
      <c r="A6" s="5">
        <v>44587</v>
      </c>
      <c r="B6">
        <v>0.36080000000000001</v>
      </c>
      <c r="C6">
        <v>0.4239</v>
      </c>
      <c r="D6">
        <v>0.35510000000000003</v>
      </c>
      <c r="E6">
        <v>0.37980000000000003</v>
      </c>
      <c r="F6">
        <v>9947927</v>
      </c>
      <c r="G6">
        <v>0.37980000000000003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-0.28197674418604624</v>
      </c>
      <c r="Q6">
        <f t="shared" ref="Q6" si="6">F6*P6</f>
        <v>-2805084.0668604625</v>
      </c>
      <c r="R6">
        <f t="shared" ref="R6" si="7">R7+Q6</f>
        <v>-988384069.20105112</v>
      </c>
      <c r="S6">
        <f t="shared" ref="S6" si="8">R6/100000</f>
        <v>-9883.8406920105117</v>
      </c>
      <c r="T6">
        <f t="shared" ref="T6" si="9">S6/1000</f>
        <v>-9.8838406920105122</v>
      </c>
    </row>
    <row r="7" spans="1:20" x14ac:dyDescent="0.25">
      <c r="A7" s="5">
        <v>44586</v>
      </c>
      <c r="B7">
        <v>0.38</v>
      </c>
      <c r="C7">
        <v>0.38450000000000001</v>
      </c>
      <c r="D7">
        <v>0.3493</v>
      </c>
      <c r="E7">
        <v>0.3604</v>
      </c>
      <c r="F7">
        <v>7656700</v>
      </c>
      <c r="G7">
        <v>0.3604</v>
      </c>
      <c r="L7" t="s">
        <v>7</v>
      </c>
      <c r="M7" t="s">
        <v>8</v>
      </c>
      <c r="N7" t="s">
        <v>7</v>
      </c>
      <c r="P7">
        <f t="shared" ref="P7" si="10">IF(C7=D7,0,((E7-D7)-(C7-E7))/(C7-D7))</f>
        <v>-0.36931818181818205</v>
      </c>
      <c r="Q7">
        <f t="shared" ref="Q7" si="11">F7*P7</f>
        <v>-2827758.5227272743</v>
      </c>
      <c r="R7">
        <f t="shared" ref="R7" si="12">R8+Q7</f>
        <v>-985578985.13419068</v>
      </c>
      <c r="S7">
        <f t="shared" ref="S7" si="13">R7/100000</f>
        <v>-9855.7898513419059</v>
      </c>
      <c r="T7">
        <f t="shared" ref="T7" si="14">S7/1000</f>
        <v>-9.8557898513419051</v>
      </c>
    </row>
    <row r="8" spans="1:20" x14ac:dyDescent="0.25">
      <c r="A8" s="5">
        <v>44585</v>
      </c>
      <c r="B8">
        <v>0.36059999999999998</v>
      </c>
      <c r="C8">
        <v>0.4</v>
      </c>
      <c r="D8">
        <v>0.31330000000000002</v>
      </c>
      <c r="E8">
        <v>0.38</v>
      </c>
      <c r="F8">
        <v>8913681</v>
      </c>
      <c r="G8">
        <v>0.38</v>
      </c>
      <c r="L8" t="s">
        <v>8</v>
      </c>
      <c r="M8" t="s">
        <v>7</v>
      </c>
      <c r="N8" t="s">
        <v>7</v>
      </c>
      <c r="P8">
        <f t="shared" ref="P8" si="15">IF(C8=D8,0,((E8-D8)-(C8-E8))/(C8-D8))</f>
        <v>0.53863898500576657</v>
      </c>
      <c r="Q8">
        <f t="shared" ref="Q8" si="16">F8*P8</f>
        <v>4801256.0865051867</v>
      </c>
      <c r="R8">
        <f t="shared" ref="R8" si="17">R9+Q8</f>
        <v>-982751226.61146343</v>
      </c>
      <c r="S8">
        <f t="shared" ref="S8" si="18">R8/100000</f>
        <v>-9827.5122661146343</v>
      </c>
      <c r="T8">
        <f t="shared" ref="T8" si="19">S8/1000</f>
        <v>-9.8275122661146348</v>
      </c>
    </row>
    <row r="9" spans="1:20" x14ac:dyDescent="0.25">
      <c r="A9" s="5">
        <v>44584</v>
      </c>
      <c r="B9">
        <v>0.35630000000000001</v>
      </c>
      <c r="C9">
        <v>0.3891</v>
      </c>
      <c r="D9">
        <v>0.34</v>
      </c>
      <c r="E9">
        <v>0.3609</v>
      </c>
      <c r="F9">
        <v>5323850</v>
      </c>
      <c r="G9">
        <v>0.3609</v>
      </c>
      <c r="L9" t="s">
        <v>8</v>
      </c>
      <c r="M9" t="s">
        <v>7</v>
      </c>
      <c r="N9" t="s">
        <v>7</v>
      </c>
      <c r="P9">
        <f t="shared" ref="P9" si="20">IF(C9=D9,0,((E9-D9)-(C9-E9))/(C9-D9))</f>
        <v>-0.1486761710794304</v>
      </c>
      <c r="Q9">
        <f t="shared" ref="Q9" si="21">F9*P9</f>
        <v>-791529.63340122555</v>
      </c>
      <c r="R9">
        <f t="shared" ref="R9" si="22">R10+Q9</f>
        <v>-987552482.6979686</v>
      </c>
      <c r="S9">
        <f t="shared" ref="S9" si="23">R9/100000</f>
        <v>-9875.5248269796866</v>
      </c>
      <c r="T9">
        <f t="shared" ref="T9" si="24">S9/1000</f>
        <v>-9.8755248269796869</v>
      </c>
    </row>
    <row r="10" spans="1:20" x14ac:dyDescent="0.25">
      <c r="A10" s="5">
        <v>44583</v>
      </c>
      <c r="B10">
        <v>0.39360000000000001</v>
      </c>
      <c r="C10">
        <v>0.4088</v>
      </c>
      <c r="D10">
        <v>0.3256</v>
      </c>
      <c r="E10">
        <v>0.35580000000000001</v>
      </c>
      <c r="F10">
        <v>6139340.8300000001</v>
      </c>
      <c r="G10">
        <v>0.35580000000000001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-0.2740384615384614</v>
      </c>
      <c r="Q10">
        <f t="shared" ref="Q10" si="26">F10*P10</f>
        <v>-1682415.5159134606</v>
      </c>
      <c r="R10">
        <f t="shared" ref="R10" si="27">R11+Q10</f>
        <v>-986760953.06456733</v>
      </c>
      <c r="S10">
        <f t="shared" ref="S10" si="28">R10/100000</f>
        <v>-9867.6095306456737</v>
      </c>
      <c r="T10">
        <f t="shared" ref="T10" si="29">S10/1000</f>
        <v>-9.867609530645673</v>
      </c>
    </row>
    <row r="11" spans="1:20" x14ac:dyDescent="0.25">
      <c r="A11" s="5">
        <v>44582</v>
      </c>
      <c r="B11">
        <v>0.50239999999999996</v>
      </c>
      <c r="C11">
        <v>0.50749999999999995</v>
      </c>
      <c r="D11">
        <v>0.38040000000000002</v>
      </c>
      <c r="E11">
        <v>0.3931</v>
      </c>
      <c r="F11">
        <v>8753874</v>
      </c>
      <c r="G11">
        <v>0.3931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-0.80015735641227392</v>
      </c>
      <c r="Q11">
        <f t="shared" ref="Q11" si="31">F11*P11</f>
        <v>-7004476.6782061383</v>
      </c>
      <c r="R11">
        <f t="shared" ref="R11" si="32">R12+Q11</f>
        <v>-985078537.54865384</v>
      </c>
      <c r="S11">
        <f t="shared" ref="S11" si="33">R11/100000</f>
        <v>-9850.7853754865391</v>
      </c>
      <c r="T11">
        <f t="shared" ref="T11" si="34">S11/1000</f>
        <v>-9.8507853754865398</v>
      </c>
    </row>
    <row r="12" spans="1:20" x14ac:dyDescent="0.25">
      <c r="A12" s="5">
        <v>44581</v>
      </c>
      <c r="B12">
        <v>0.52459999999999996</v>
      </c>
      <c r="C12">
        <v>0.57989999999999997</v>
      </c>
      <c r="D12">
        <v>0.50139999999999996</v>
      </c>
      <c r="E12">
        <v>0.50349999999999995</v>
      </c>
      <c r="F12">
        <v>11238961</v>
      </c>
      <c r="G12">
        <v>0.50349999999999995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-0.94649681528662444</v>
      </c>
      <c r="Q12">
        <f t="shared" ref="Q12" si="36">F12*P12</f>
        <v>-10637640.793630576</v>
      </c>
      <c r="R12">
        <f t="shared" ref="R12" si="37">R13+Q12</f>
        <v>-978074060.87044775</v>
      </c>
      <c r="S12">
        <f t="shared" ref="S12" si="38">R12/100000</f>
        <v>-9780.7406087044783</v>
      </c>
      <c r="T12">
        <f t="shared" ref="T12" si="39">S12/1000</f>
        <v>-9.7807406087044786</v>
      </c>
    </row>
    <row r="13" spans="1:20" x14ac:dyDescent="0.25">
      <c r="A13" s="5">
        <v>44580</v>
      </c>
      <c r="B13">
        <v>0.54700000000000004</v>
      </c>
      <c r="C13">
        <v>0.56320000000000003</v>
      </c>
      <c r="D13">
        <v>0.50529999999999997</v>
      </c>
      <c r="E13">
        <v>0.52580000000000005</v>
      </c>
      <c r="F13">
        <v>11163083</v>
      </c>
      <c r="G13">
        <v>0.52580000000000005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-0.29188255613125902</v>
      </c>
      <c r="Q13">
        <f t="shared" ref="Q13" si="41">F13*P13</f>
        <v>-3258309.2003454035</v>
      </c>
      <c r="R13">
        <f t="shared" ref="R13" si="42">R14+Q13</f>
        <v>-967436420.07681715</v>
      </c>
      <c r="S13">
        <f t="shared" ref="S13" si="43">R13/100000</f>
        <v>-9674.3642007681719</v>
      </c>
      <c r="T13">
        <f t="shared" ref="T13" si="44">S13/1000</f>
        <v>-9.6743642007681725</v>
      </c>
    </row>
    <row r="14" spans="1:20" x14ac:dyDescent="0.25">
      <c r="A14" s="5">
        <v>44579</v>
      </c>
      <c r="B14">
        <v>0.54900000000000004</v>
      </c>
      <c r="C14">
        <v>0.56269999999999998</v>
      </c>
      <c r="D14">
        <v>0.52349999999999997</v>
      </c>
      <c r="E14">
        <v>0.54700000000000004</v>
      </c>
      <c r="F14">
        <v>5251930</v>
      </c>
      <c r="G14">
        <v>0.54700000000000004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0.19897959183673822</v>
      </c>
      <c r="Q14">
        <f t="shared" ref="Q14" si="46">F14*P14</f>
        <v>1045026.8877551205</v>
      </c>
      <c r="R14">
        <f t="shared" ref="R14" si="47">R15+Q14</f>
        <v>-964178110.87647176</v>
      </c>
      <c r="S14">
        <f t="shared" ref="S14" si="48">R14/100000</f>
        <v>-9641.7811087647169</v>
      </c>
      <c r="T14">
        <f t="shared" ref="T14" si="49">S14/1000</f>
        <v>-9.6417811087647163</v>
      </c>
    </row>
    <row r="15" spans="1:20" x14ac:dyDescent="0.25">
      <c r="A15" s="5">
        <v>44578</v>
      </c>
      <c r="B15">
        <v>0.60929999999999995</v>
      </c>
      <c r="C15">
        <v>0.6119</v>
      </c>
      <c r="D15">
        <v>0.54810000000000003</v>
      </c>
      <c r="E15">
        <v>0.54810000000000003</v>
      </c>
      <c r="F15">
        <v>5304434</v>
      </c>
      <c r="G15">
        <v>0.54810000000000003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-1</v>
      </c>
      <c r="Q15">
        <f t="shared" ref="Q15" si="51">F15*P15</f>
        <v>-5304434</v>
      </c>
      <c r="R15">
        <f t="shared" ref="R15" si="52">R16+Q15</f>
        <v>-965223137.76422691</v>
      </c>
      <c r="S15">
        <f t="shared" ref="S15" si="53">R15/100000</f>
        <v>-9652.2313776422689</v>
      </c>
      <c r="T15">
        <f t="shared" ref="T15" si="54">S15/1000</f>
        <v>-9.6522313776422681</v>
      </c>
    </row>
    <row r="16" spans="1:20" x14ac:dyDescent="0.25">
      <c r="A16" s="5">
        <v>44577</v>
      </c>
      <c r="B16">
        <v>0.64549999999999996</v>
      </c>
      <c r="C16">
        <v>0.64639999999999997</v>
      </c>
      <c r="D16">
        <v>0.59419999999999995</v>
      </c>
      <c r="E16">
        <v>0.60850000000000004</v>
      </c>
      <c r="F16">
        <v>7916947</v>
      </c>
      <c r="G16">
        <v>0.60850000000000004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-0.45210727969348335</v>
      </c>
      <c r="Q16">
        <f t="shared" ref="Q16" si="56">F16*P16</f>
        <v>-3579309.3716474841</v>
      </c>
      <c r="R16">
        <f t="shared" ref="R16" si="57">R17+Q16</f>
        <v>-959918703.76422691</v>
      </c>
      <c r="S16">
        <f t="shared" ref="S16" si="58">R16/100000</f>
        <v>-9599.1870376422685</v>
      </c>
      <c r="T16">
        <f t="shared" ref="T16" si="59">S16/1000</f>
        <v>-9.5991870376422685</v>
      </c>
    </row>
    <row r="17" spans="1:20" x14ac:dyDescent="0.25">
      <c r="A17" s="5">
        <v>44576</v>
      </c>
      <c r="B17">
        <v>0.61819999999999997</v>
      </c>
      <c r="C17">
        <v>0.68820000000000003</v>
      </c>
      <c r="D17">
        <v>0.61209999999999998</v>
      </c>
      <c r="E17">
        <v>0.64610000000000001</v>
      </c>
      <c r="F17">
        <v>8024486</v>
      </c>
      <c r="G17">
        <v>0.64610000000000001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-0.10643889618922457</v>
      </c>
      <c r="Q17">
        <f t="shared" ref="Q17" si="61">F17*P17</f>
        <v>-854117.43232588598</v>
      </c>
      <c r="R17">
        <f t="shared" ref="R17" si="62">R18+Q17</f>
        <v>-956339394.39257944</v>
      </c>
      <c r="S17">
        <f t="shared" ref="S17" si="63">R17/100000</f>
        <v>-9563.3939439257938</v>
      </c>
      <c r="T17">
        <f t="shared" ref="T17" si="64">S17/1000</f>
        <v>-9.563393943925794</v>
      </c>
    </row>
    <row r="18" spans="1:20" x14ac:dyDescent="0.25">
      <c r="A18" s="5">
        <v>44575</v>
      </c>
      <c r="B18">
        <v>0.6139</v>
      </c>
      <c r="C18">
        <v>0.63160000000000005</v>
      </c>
      <c r="D18">
        <v>0.60199999999999998</v>
      </c>
      <c r="E18">
        <v>0.61839999999999995</v>
      </c>
      <c r="F18">
        <v>3000439</v>
      </c>
      <c r="G18">
        <v>0.61839999999999995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0.10810810810810345</v>
      </c>
      <c r="Q18">
        <f t="shared" ref="Q18" si="66">F18*P18</f>
        <v>324371.78378376982</v>
      </c>
      <c r="R18">
        <f t="shared" ref="R18" si="67">R19+Q18</f>
        <v>-955485276.9602536</v>
      </c>
      <c r="S18">
        <f t="shared" ref="S18" si="68">R18/100000</f>
        <v>-9554.8527696025358</v>
      </c>
      <c r="T18">
        <f t="shared" ref="T18" si="69">S18/1000</f>
        <v>-9.5548527696025349</v>
      </c>
    </row>
    <row r="19" spans="1:20" x14ac:dyDescent="0.25">
      <c r="A19" s="5">
        <v>44574</v>
      </c>
      <c r="B19">
        <v>0.64949999999999997</v>
      </c>
      <c r="C19">
        <v>0.6633</v>
      </c>
      <c r="D19">
        <v>0.60770000000000002</v>
      </c>
      <c r="E19">
        <v>0.61380000000000001</v>
      </c>
      <c r="F19">
        <v>4790947</v>
      </c>
      <c r="G19">
        <v>0.61380000000000001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-0.78057553956834547</v>
      </c>
      <c r="Q19">
        <f t="shared" ref="Q19" si="71">F19*P19</f>
        <v>-3739696.039568346</v>
      </c>
      <c r="R19">
        <f t="shared" ref="R19" si="72">R20+Q19</f>
        <v>-955809648.74403739</v>
      </c>
      <c r="S19">
        <f t="shared" ref="S19" si="73">R19/100000</f>
        <v>-9558.0964874403744</v>
      </c>
      <c r="T19">
        <f t="shared" ref="T19" si="74">S19/1000</f>
        <v>-9.5580964874403751</v>
      </c>
    </row>
    <row r="20" spans="1:20" x14ac:dyDescent="0.25">
      <c r="A20" s="5">
        <v>44573</v>
      </c>
      <c r="B20">
        <v>0.63739999999999997</v>
      </c>
      <c r="C20">
        <v>0.66990000000000005</v>
      </c>
      <c r="D20">
        <v>0.62629999999999997</v>
      </c>
      <c r="E20">
        <v>0.65049999999999997</v>
      </c>
      <c r="F20">
        <v>5592815</v>
      </c>
      <c r="G20">
        <v>0.65049999999999997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0.11009174311926391</v>
      </c>
      <c r="Q20">
        <f t="shared" ref="Q20" si="76">F20*P20</f>
        <v>615722.75229356601</v>
      </c>
      <c r="R20">
        <f t="shared" ref="R20" si="77">R21+Q20</f>
        <v>-952069952.70446908</v>
      </c>
      <c r="S20">
        <f t="shared" ref="S20" si="78">R20/100000</f>
        <v>-9520.6995270446914</v>
      </c>
      <c r="T20">
        <f t="shared" ref="T20" si="79">S20/1000</f>
        <v>-9.520699527044691</v>
      </c>
    </row>
    <row r="21" spans="1:20" x14ac:dyDescent="0.25">
      <c r="A21" s="5">
        <v>44572</v>
      </c>
      <c r="B21">
        <v>0.621</v>
      </c>
      <c r="C21">
        <v>0.64880000000000004</v>
      </c>
      <c r="D21">
        <v>0.60360000000000003</v>
      </c>
      <c r="E21">
        <v>0.63580000000000003</v>
      </c>
      <c r="F21">
        <v>5186075</v>
      </c>
      <c r="G21">
        <v>0.63580000000000003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0.42477876106194662</v>
      </c>
      <c r="Q21">
        <f t="shared" ref="Q21" si="81">F21*P21</f>
        <v>2202934.5132743348</v>
      </c>
      <c r="R21">
        <f t="shared" ref="R21" si="82">R22+Q21</f>
        <v>-952685675.45676267</v>
      </c>
      <c r="S21">
        <f t="shared" ref="S21" si="83">R21/100000</f>
        <v>-9526.8567545676269</v>
      </c>
      <c r="T21">
        <f t="shared" ref="T21" si="84">S21/1000</f>
        <v>-9.5268567545676266</v>
      </c>
    </row>
    <row r="22" spans="1:20" x14ac:dyDescent="0.25">
      <c r="A22" s="5">
        <v>44571</v>
      </c>
      <c r="B22">
        <v>0.6694</v>
      </c>
      <c r="C22">
        <v>0.69989999999999997</v>
      </c>
      <c r="D22">
        <v>0.59460000000000002</v>
      </c>
      <c r="E22">
        <v>0.62150000000000005</v>
      </c>
      <c r="F22">
        <v>7094978</v>
      </c>
      <c r="G22">
        <v>0.62150000000000005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-0.48907882241215483</v>
      </c>
      <c r="Q22">
        <f t="shared" ref="Q22" si="86">F22*P22</f>
        <v>-3470003.4852801454</v>
      </c>
      <c r="R22">
        <f t="shared" ref="R22" si="87">R23+Q22</f>
        <v>-954888609.97003698</v>
      </c>
      <c r="S22">
        <f t="shared" ref="S22" si="88">R22/100000</f>
        <v>-9548.8860997003703</v>
      </c>
      <c r="T22">
        <f t="shared" ref="T22" si="89">S22/1000</f>
        <v>-9.5488860997003702</v>
      </c>
    </row>
    <row r="23" spans="1:20" x14ac:dyDescent="0.25">
      <c r="A23" s="5">
        <v>44570</v>
      </c>
      <c r="B23">
        <v>0.67749999999999999</v>
      </c>
      <c r="C23">
        <v>0.73429999999999995</v>
      </c>
      <c r="D23">
        <v>0.64649999999999996</v>
      </c>
      <c r="E23">
        <v>0.66859999999999997</v>
      </c>
      <c r="F23">
        <v>19130818</v>
      </c>
      <c r="G23">
        <v>0.66859999999999997</v>
      </c>
      <c r="L23" t="s">
        <v>7</v>
      </c>
      <c r="M23" t="s">
        <v>8</v>
      </c>
      <c r="N23" t="s">
        <v>7</v>
      </c>
      <c r="P23">
        <f t="shared" ref="P23" si="90">IF(C23=D23,0,((E23-D23)-(C23-E23))/(C23-D23))</f>
        <v>-0.49658314350797239</v>
      </c>
      <c r="Q23">
        <f t="shared" ref="Q23" si="91">F23*P23</f>
        <v>-9500041.7403189018</v>
      </c>
      <c r="R23">
        <f t="shared" ref="R23" si="92">R24+Q23</f>
        <v>-951418606.48475683</v>
      </c>
      <c r="S23">
        <f t="shared" ref="S23" si="93">R23/100000</f>
        <v>-9514.1860648475686</v>
      </c>
      <c r="T23">
        <f t="shared" ref="T23" si="94">S23/1000</f>
        <v>-9.5141860648475678</v>
      </c>
    </row>
    <row r="24" spans="1:20" x14ac:dyDescent="0.25">
      <c r="A24" s="5">
        <v>44569</v>
      </c>
      <c r="B24">
        <v>0.5958</v>
      </c>
      <c r="C24">
        <v>0.77759999999999996</v>
      </c>
      <c r="D24">
        <v>0.59409999999999996</v>
      </c>
      <c r="E24">
        <v>0.67730000000000001</v>
      </c>
      <c r="F24">
        <v>57523788</v>
      </c>
      <c r="G24">
        <v>0.67730000000000001</v>
      </c>
      <c r="L24" t="s">
        <v>8</v>
      </c>
      <c r="M24" t="s">
        <v>8</v>
      </c>
      <c r="N24" t="s">
        <v>7</v>
      </c>
      <c r="P24">
        <f t="shared" ref="P24" si="95">IF(C24=D24,0,((E24-D24)-(C24-E24))/(C24-D24))</f>
        <v>-9.3188010899181981E-2</v>
      </c>
      <c r="Q24">
        <f t="shared" ref="Q24" si="96">F24*P24</f>
        <v>-5360527.3831062336</v>
      </c>
      <c r="R24">
        <f t="shared" ref="R24" si="97">R25+Q24</f>
        <v>-941918564.74443793</v>
      </c>
      <c r="S24">
        <f t="shared" ref="S24" si="98">R24/100000</f>
        <v>-9419.1856474443794</v>
      </c>
      <c r="T24">
        <f t="shared" ref="T24" si="99">S24/1000</f>
        <v>-9.4191856474443796</v>
      </c>
    </row>
    <row r="25" spans="1:20" x14ac:dyDescent="0.25">
      <c r="A25" s="5">
        <v>44568</v>
      </c>
      <c r="B25">
        <v>0.66379999999999995</v>
      </c>
      <c r="C25">
        <v>0.66479999999999995</v>
      </c>
      <c r="D25">
        <v>0.58450000000000002</v>
      </c>
      <c r="E25">
        <v>0.59540000000000004</v>
      </c>
      <c r="F25">
        <v>7550083</v>
      </c>
      <c r="G25">
        <v>0.59540000000000004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-0.72851805728517982</v>
      </c>
      <c r="Q25">
        <f t="shared" ref="Q25" si="101">F25*P25</f>
        <v>-5500371.7995018624</v>
      </c>
      <c r="R25">
        <f t="shared" ref="R25" si="102">R26+Q25</f>
        <v>-936558037.3613317</v>
      </c>
      <c r="S25">
        <f t="shared" ref="S25" si="103">R25/100000</f>
        <v>-9365.5803736133166</v>
      </c>
      <c r="T25">
        <f t="shared" ref="T25" si="104">S25/1000</f>
        <v>-9.3655803736133159</v>
      </c>
    </row>
    <row r="26" spans="1:20" x14ac:dyDescent="0.25">
      <c r="A26" s="5">
        <v>44567</v>
      </c>
      <c r="B26">
        <v>0.68069999999999997</v>
      </c>
      <c r="C26">
        <v>0.69</v>
      </c>
      <c r="D26">
        <v>0.64449999999999996</v>
      </c>
      <c r="E26">
        <v>0.66249999999999998</v>
      </c>
      <c r="F26">
        <v>4977705</v>
      </c>
      <c r="G26">
        <v>0.66249999999999998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-0.20879120879120783</v>
      </c>
      <c r="Q26">
        <f t="shared" ref="Q26" si="106">F26*P26</f>
        <v>-1039301.0439560391</v>
      </c>
      <c r="R26">
        <f t="shared" ref="R26" si="107">R27+Q26</f>
        <v>-931057665.56182981</v>
      </c>
      <c r="S26">
        <f t="shared" ref="S26" si="108">R26/100000</f>
        <v>-9310.5766556182989</v>
      </c>
      <c r="T26">
        <f t="shared" ref="T26" si="109">S26/1000</f>
        <v>-9.3105766556182985</v>
      </c>
    </row>
    <row r="27" spans="1:20" x14ac:dyDescent="0.25">
      <c r="A27" s="5">
        <v>44566</v>
      </c>
      <c r="B27">
        <v>0.74329999999999996</v>
      </c>
      <c r="C27">
        <v>0.78720000000000001</v>
      </c>
      <c r="D27">
        <v>0.65910000000000002</v>
      </c>
      <c r="E27">
        <v>0.68200000000000005</v>
      </c>
      <c r="F27">
        <v>8111633</v>
      </c>
      <c r="G27">
        <v>0.68200000000000005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-0.64246682279469114</v>
      </c>
      <c r="Q27">
        <f t="shared" ref="Q27" si="111">F27*P27</f>
        <v>-5211455.0811865693</v>
      </c>
      <c r="R27">
        <f t="shared" ref="R27" si="112">R28+Q27</f>
        <v>-930018364.51787376</v>
      </c>
      <c r="S27">
        <f t="shared" ref="S27" si="113">R27/100000</f>
        <v>-9300.1836451787385</v>
      </c>
      <c r="T27">
        <f t="shared" ref="T27" si="114">S27/1000</f>
        <v>-9.3001836451787376</v>
      </c>
    </row>
    <row r="28" spans="1:20" x14ac:dyDescent="0.25">
      <c r="A28" s="5">
        <v>44565</v>
      </c>
      <c r="B28">
        <v>0.76519999999999999</v>
      </c>
      <c r="C28">
        <v>0.79600000000000004</v>
      </c>
      <c r="D28">
        <v>0.7409</v>
      </c>
      <c r="E28">
        <v>0.74329999999999996</v>
      </c>
      <c r="F28">
        <v>7639865</v>
      </c>
      <c r="G28">
        <v>0.74329999999999996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-0.91288566243194347</v>
      </c>
      <c r="Q28">
        <f t="shared" ref="Q28" si="116">F28*P28</f>
        <v>-6974323.2214156194</v>
      </c>
      <c r="R28">
        <f t="shared" ref="R28" si="117">R29+Q28</f>
        <v>-924806909.43668723</v>
      </c>
      <c r="S28">
        <f t="shared" ref="S28" si="118">R28/100000</f>
        <v>-9248.0690943668724</v>
      </c>
      <c r="T28">
        <f t="shared" ref="T28" si="119">S28/1000</f>
        <v>-9.2480690943668726</v>
      </c>
    </row>
    <row r="29" spans="1:20" x14ac:dyDescent="0.25">
      <c r="A29" s="5">
        <v>44564</v>
      </c>
      <c r="B29">
        <v>0.79830000000000001</v>
      </c>
      <c r="C29">
        <v>0.83199999999999996</v>
      </c>
      <c r="D29">
        <v>0.76090000000000002</v>
      </c>
      <c r="E29">
        <v>0.76519999999999999</v>
      </c>
      <c r="F29">
        <v>7998396</v>
      </c>
      <c r="G29">
        <v>0.76519999999999999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-0.87904360056258868</v>
      </c>
      <c r="Q29">
        <f t="shared" ref="Q29" si="121">F29*P29</f>
        <v>-7030938.8185654068</v>
      </c>
      <c r="R29">
        <f t="shared" ref="R29" si="122">R30+Q29</f>
        <v>-917832586.21527159</v>
      </c>
      <c r="S29">
        <f t="shared" ref="S29" si="123">R29/100000</f>
        <v>-9178.3258621527166</v>
      </c>
      <c r="T29">
        <f t="shared" ref="T29" si="124">S29/1000</f>
        <v>-9.1783258621527164</v>
      </c>
    </row>
    <row r="30" spans="1:20" x14ac:dyDescent="0.25">
      <c r="A30" s="5">
        <v>44563</v>
      </c>
      <c r="B30">
        <v>0.80840000000000001</v>
      </c>
      <c r="C30">
        <v>0.81159999999999999</v>
      </c>
      <c r="D30">
        <v>0.78439999999999999</v>
      </c>
      <c r="E30">
        <v>0.79930000000000001</v>
      </c>
      <c r="F30">
        <v>4014520</v>
      </c>
      <c r="G30">
        <v>0.79930000000000001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9.5588235294119361E-2</v>
      </c>
      <c r="Q30">
        <f t="shared" ref="Q30" si="126">F30*P30</f>
        <v>383740.88235294807</v>
      </c>
      <c r="R30">
        <f t="shared" ref="R30" si="127">R31+Q30</f>
        <v>-910801647.39670622</v>
      </c>
      <c r="S30">
        <f t="shared" ref="S30" si="128">R30/100000</f>
        <v>-9108.0164739670618</v>
      </c>
      <c r="T30">
        <f t="shared" ref="T30" si="129">S30/1000</f>
        <v>-9.1080164739670622</v>
      </c>
    </row>
    <row r="31" spans="1:20" x14ac:dyDescent="0.25">
      <c r="A31" s="5">
        <v>44562</v>
      </c>
      <c r="B31">
        <v>0.81510000000000005</v>
      </c>
      <c r="C31">
        <v>0.82469999999999999</v>
      </c>
      <c r="D31">
        <v>0.8</v>
      </c>
      <c r="E31">
        <v>0.8085</v>
      </c>
      <c r="F31">
        <v>4257551</v>
      </c>
      <c r="G31">
        <v>0.8085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-0.31174089068826144</v>
      </c>
      <c r="Q31">
        <f t="shared" ref="Q31" si="131">F31*P31</f>
        <v>-1327252.7408906983</v>
      </c>
      <c r="R31">
        <f t="shared" ref="R31" si="132">R32+Q31</f>
        <v>-911185388.27905917</v>
      </c>
      <c r="S31">
        <f t="shared" ref="S31" si="133">R31/100000</f>
        <v>-9111.8538827905923</v>
      </c>
      <c r="T31">
        <f t="shared" ref="T31" si="134">S31/1000</f>
        <v>-9.1118538827905926</v>
      </c>
    </row>
    <row r="32" spans="1:20" x14ac:dyDescent="0.25">
      <c r="A32" s="5">
        <v>44561</v>
      </c>
      <c r="B32">
        <v>0.82030000000000003</v>
      </c>
      <c r="C32">
        <v>0.84750000000000003</v>
      </c>
      <c r="D32">
        <v>0.80110000000000003</v>
      </c>
      <c r="E32">
        <v>0.81499999999999995</v>
      </c>
      <c r="F32">
        <v>5100163</v>
      </c>
      <c r="G32">
        <v>0.81499999999999995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-0.40086206896552096</v>
      </c>
      <c r="Q32">
        <f t="shared" ref="Q32" si="136">F32*P32</f>
        <v>-2044461.8922413983</v>
      </c>
      <c r="R32">
        <f t="shared" ref="R32" si="137">R33+Q32</f>
        <v>-909858135.53816843</v>
      </c>
      <c r="S32">
        <f t="shared" ref="S32" si="138">R32/100000</f>
        <v>-9098.5813553816843</v>
      </c>
      <c r="T32">
        <f t="shared" ref="T32" si="139">S32/1000</f>
        <v>-9.0985813553816843</v>
      </c>
    </row>
    <row r="33" spans="1:20" x14ac:dyDescent="0.25">
      <c r="A33" s="5">
        <v>44560</v>
      </c>
      <c r="B33">
        <v>0.82740000000000002</v>
      </c>
      <c r="C33">
        <v>0.89600000000000002</v>
      </c>
      <c r="D33">
        <v>0.81</v>
      </c>
      <c r="E33">
        <v>0.82030000000000003</v>
      </c>
      <c r="F33">
        <v>12089546</v>
      </c>
      <c r="G33">
        <v>0.82030000000000003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-0.76046511627907021</v>
      </c>
      <c r="Q33">
        <f t="shared" ref="Q33" si="141">F33*P33</f>
        <v>-9193678.0046511684</v>
      </c>
      <c r="R33">
        <f t="shared" ref="R33" si="142">R34+Q33</f>
        <v>-907813673.64592707</v>
      </c>
      <c r="S33">
        <f t="shared" ref="S33" si="143">R33/100000</f>
        <v>-9078.1367364592716</v>
      </c>
      <c r="T33">
        <f t="shared" ref="T33" si="144">S33/1000</f>
        <v>-9.0781367364592711</v>
      </c>
    </row>
    <row r="34" spans="1:20" x14ac:dyDescent="0.25">
      <c r="A34" s="5">
        <v>44559</v>
      </c>
      <c r="B34">
        <v>0.81540000000000001</v>
      </c>
      <c r="C34">
        <v>0.93899999999999995</v>
      </c>
      <c r="D34">
        <v>0.79400000000000004</v>
      </c>
      <c r="E34">
        <v>0.82699999999999996</v>
      </c>
      <c r="F34">
        <v>22586577</v>
      </c>
      <c r="G34">
        <v>0.82699999999999996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-0.54482758620689742</v>
      </c>
      <c r="Q34">
        <f t="shared" ref="Q34" si="146">F34*P34</f>
        <v>-12305790.227586227</v>
      </c>
      <c r="R34">
        <f t="shared" ref="R34" si="147">R35+Q34</f>
        <v>-898619995.64127588</v>
      </c>
      <c r="S34">
        <f t="shared" ref="S34" si="148">R34/100000</f>
        <v>-8986.1999564127582</v>
      </c>
      <c r="T34">
        <f t="shared" ref="T34" si="149">S34/1000</f>
        <v>-8.9861999564127579</v>
      </c>
    </row>
    <row r="35" spans="1:20" x14ac:dyDescent="0.25">
      <c r="A35" s="5">
        <v>44558</v>
      </c>
      <c r="B35">
        <v>0.89190000000000003</v>
      </c>
      <c r="C35">
        <v>0.92</v>
      </c>
      <c r="D35">
        <v>0.80649999999999999</v>
      </c>
      <c r="E35">
        <v>0.81469999999999998</v>
      </c>
      <c r="F35">
        <v>10738177</v>
      </c>
      <c r="G35">
        <v>0.81469999999999998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-0.85550660792951572</v>
      </c>
      <c r="Q35">
        <f t="shared" ref="Q35" si="151">F35*P35</f>
        <v>-9186581.3806167431</v>
      </c>
      <c r="R35">
        <f t="shared" ref="R35" si="152">R36+Q35</f>
        <v>-886314205.41368961</v>
      </c>
      <c r="S35">
        <f t="shared" ref="S35" si="153">R35/100000</f>
        <v>-8863.1420541368952</v>
      </c>
      <c r="T35">
        <f t="shared" ref="T35" si="154">S35/1000</f>
        <v>-8.8631420541368957</v>
      </c>
    </row>
    <row r="36" spans="1:20" x14ac:dyDescent="0.25">
      <c r="A36" s="5">
        <v>44557</v>
      </c>
      <c r="B36">
        <v>0.89339999999999997</v>
      </c>
      <c r="C36">
        <v>0.94520000000000004</v>
      </c>
      <c r="D36">
        <v>0.87809999999999999</v>
      </c>
      <c r="E36">
        <v>0.89190000000000003</v>
      </c>
      <c r="F36">
        <v>10967373</v>
      </c>
      <c r="G36">
        <v>0.89190000000000003</v>
      </c>
      <c r="L36" t="s">
        <v>8</v>
      </c>
      <c r="M36" t="s">
        <v>7</v>
      </c>
      <c r="N36" t="s">
        <v>7</v>
      </c>
      <c r="P36">
        <f t="shared" ref="P36" si="155">IF(C36=D36,0,((E36-D36)-(C36-E36))/(C36-D36))</f>
        <v>-0.58867362146050595</v>
      </c>
      <c r="Q36">
        <f t="shared" ref="Q36" si="156">F36*P36</f>
        <v>-6456203.1818181733</v>
      </c>
      <c r="R36">
        <f t="shared" ref="R36" si="157">R37+Q36</f>
        <v>-877127624.03307283</v>
      </c>
      <c r="S36">
        <f t="shared" ref="S36" si="158">R36/100000</f>
        <v>-8771.2762403307279</v>
      </c>
      <c r="T36">
        <f t="shared" ref="T36" si="159">S36/1000</f>
        <v>-8.7712762403307281</v>
      </c>
    </row>
    <row r="37" spans="1:20" x14ac:dyDescent="0.25">
      <c r="A37" s="5">
        <v>44556</v>
      </c>
      <c r="B37">
        <v>0.88419999999999999</v>
      </c>
      <c r="C37">
        <v>0.90110000000000001</v>
      </c>
      <c r="D37">
        <v>0.86550000000000005</v>
      </c>
      <c r="E37">
        <v>0.89319999999999999</v>
      </c>
      <c r="F37">
        <v>5518621</v>
      </c>
      <c r="G37">
        <v>0.89319999999999999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0.55617977528089746</v>
      </c>
      <c r="Q37">
        <f t="shared" ref="Q37" si="161">F37*P37</f>
        <v>3069345.3876404418</v>
      </c>
      <c r="R37">
        <f t="shared" ref="R37" si="162">R38+Q37</f>
        <v>-870671420.8512547</v>
      </c>
      <c r="S37">
        <f t="shared" ref="S37" si="163">R37/100000</f>
        <v>-8706.714208512547</v>
      </c>
      <c r="T37">
        <f t="shared" ref="T37" si="164">S37/1000</f>
        <v>-8.7067142085125475</v>
      </c>
    </row>
    <row r="38" spans="1:20" x14ac:dyDescent="0.25">
      <c r="A38" s="5">
        <v>44555</v>
      </c>
      <c r="B38">
        <v>0.87670000000000003</v>
      </c>
      <c r="C38">
        <v>0.90739999999999998</v>
      </c>
      <c r="D38">
        <v>0.87309999999999999</v>
      </c>
      <c r="E38">
        <v>0.8821</v>
      </c>
      <c r="F38">
        <v>5769255</v>
      </c>
      <c r="G38">
        <v>0.8821</v>
      </c>
      <c r="L38" t="s">
        <v>7</v>
      </c>
      <c r="M38" t="s">
        <v>7</v>
      </c>
      <c r="N38" t="s">
        <v>7</v>
      </c>
      <c r="P38">
        <f t="shared" ref="P38" si="165">IF(C38=D38,0,((E38-D38)-(C38-E38))/(C38-D38))</f>
        <v>-0.47521865889212778</v>
      </c>
      <c r="Q38">
        <f t="shared" ref="Q38" si="166">F38*P38</f>
        <v>-2741657.6239067027</v>
      </c>
      <c r="R38">
        <f t="shared" ref="R38" si="167">R39+Q38</f>
        <v>-873740766.23889518</v>
      </c>
      <c r="S38">
        <f t="shared" ref="S38" si="168">R38/100000</f>
        <v>-8737.4076623889523</v>
      </c>
      <c r="T38">
        <f t="shared" ref="T38" si="169">S38/1000</f>
        <v>-8.7374076623889518</v>
      </c>
    </row>
    <row r="39" spans="1:20" x14ac:dyDescent="0.25">
      <c r="A39" s="5">
        <v>44554</v>
      </c>
      <c r="B39">
        <v>0.9143</v>
      </c>
      <c r="C39">
        <v>0.98099999999999998</v>
      </c>
      <c r="D39">
        <v>0.87139999999999995</v>
      </c>
      <c r="E39">
        <v>0.87670000000000003</v>
      </c>
      <c r="F39">
        <v>13081700</v>
      </c>
      <c r="G39">
        <v>0.87670000000000003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-0.9032846715328452</v>
      </c>
      <c r="Q39">
        <f t="shared" ref="Q39" si="171">F39*P39</f>
        <v>-11816499.087591222</v>
      </c>
      <c r="R39">
        <f t="shared" ref="R39" si="172">R40+Q39</f>
        <v>-870999108.61498845</v>
      </c>
      <c r="S39">
        <f t="shared" ref="S39" si="173">R39/100000</f>
        <v>-8709.9910861498847</v>
      </c>
      <c r="T39">
        <f t="shared" ref="T39" si="174">S39/1000</f>
        <v>-8.7099910861498842</v>
      </c>
    </row>
    <row r="40" spans="1:20" x14ac:dyDescent="0.25">
      <c r="A40" s="5">
        <v>44553</v>
      </c>
      <c r="B40">
        <v>0.87619999999999998</v>
      </c>
      <c r="C40">
        <v>0.94889999999999997</v>
      </c>
      <c r="D40">
        <v>0.8377</v>
      </c>
      <c r="E40">
        <v>0.9143</v>
      </c>
      <c r="F40">
        <v>16672750</v>
      </c>
      <c r="G40">
        <v>0.9143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0.37769784172661913</v>
      </c>
      <c r="Q40">
        <f t="shared" ref="Q40" si="176">F40*P40</f>
        <v>6297261.6906474894</v>
      </c>
      <c r="R40">
        <f t="shared" ref="R40" si="177">R41+Q40</f>
        <v>-859182609.52739727</v>
      </c>
      <c r="S40">
        <f t="shared" ref="S40" si="178">R40/100000</f>
        <v>-8591.8260952739729</v>
      </c>
      <c r="T40">
        <f t="shared" ref="T40" si="179">S40/1000</f>
        <v>-8.5918260952739729</v>
      </c>
    </row>
    <row r="41" spans="1:20" x14ac:dyDescent="0.25">
      <c r="A41" s="5">
        <v>44552</v>
      </c>
      <c r="B41">
        <v>0.91120000000000001</v>
      </c>
      <c r="C41">
        <v>0.92989999999999995</v>
      </c>
      <c r="D41">
        <v>0.87429999999999997</v>
      </c>
      <c r="E41">
        <v>0.87660000000000005</v>
      </c>
      <c r="F41">
        <v>10811261</v>
      </c>
      <c r="G41">
        <v>0.87660000000000005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-0.91726618705035678</v>
      </c>
      <c r="Q41">
        <f t="shared" ref="Q41" si="181">F41*P41</f>
        <v>-9916804.1546762269</v>
      </c>
      <c r="R41">
        <f t="shared" ref="R41" si="182">R42+Q41</f>
        <v>-865479871.21804476</v>
      </c>
      <c r="S41">
        <f t="shared" ref="S41" si="183">R41/100000</f>
        <v>-8654.7987121804472</v>
      </c>
      <c r="T41">
        <f t="shared" ref="T41" si="184">S41/1000</f>
        <v>-8.6547987121804475</v>
      </c>
    </row>
    <row r="42" spans="1:20" x14ac:dyDescent="0.25">
      <c r="A42" s="5">
        <v>44551</v>
      </c>
      <c r="B42">
        <v>0.89239999999999997</v>
      </c>
      <c r="C42">
        <v>0.96189999999999998</v>
      </c>
      <c r="D42">
        <v>0.87709999999999999</v>
      </c>
      <c r="E42">
        <v>0.91120000000000001</v>
      </c>
      <c r="F42">
        <v>11316737</v>
      </c>
      <c r="G42">
        <v>0.91120000000000001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-0.1957547169811315</v>
      </c>
      <c r="Q42">
        <f t="shared" ref="Q42" si="186">F42*P42</f>
        <v>-2215304.648584899</v>
      </c>
      <c r="R42">
        <f t="shared" ref="R42" si="187">R43+Q42</f>
        <v>-855563067.06336856</v>
      </c>
      <c r="S42">
        <f t="shared" ref="S42" si="188">R42/100000</f>
        <v>-8555.6306706336854</v>
      </c>
      <c r="T42">
        <f t="shared" ref="T42" si="189">S42/1000</f>
        <v>-8.5556306706336862</v>
      </c>
    </row>
    <row r="43" spans="1:20" x14ac:dyDescent="0.25">
      <c r="A43" s="5">
        <v>44550</v>
      </c>
      <c r="B43">
        <v>0.94979999999999998</v>
      </c>
      <c r="C43">
        <v>0.98540000000000005</v>
      </c>
      <c r="D43">
        <v>0.85650000000000004</v>
      </c>
      <c r="E43">
        <v>0.89229999999999998</v>
      </c>
      <c r="F43">
        <v>13233316</v>
      </c>
      <c r="G43">
        <v>0.89229999999999998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-0.44453064391000868</v>
      </c>
      <c r="Q43">
        <f t="shared" ref="Q43" si="191">F43*P43</f>
        <v>-5882614.4825446205</v>
      </c>
      <c r="R43">
        <f t="shared" ref="R43" si="192">R44+Q43</f>
        <v>-853347762.41478372</v>
      </c>
      <c r="S43">
        <f t="shared" ref="S43" si="193">R43/100000</f>
        <v>-8533.4776241478376</v>
      </c>
      <c r="T43">
        <f t="shared" ref="T43" si="194">S43/1000</f>
        <v>-8.5334776241478369</v>
      </c>
    </row>
    <row r="44" spans="1:20" x14ac:dyDescent="0.25">
      <c r="A44" s="5">
        <v>44549</v>
      </c>
      <c r="B44">
        <v>0.93840000000000001</v>
      </c>
      <c r="C44">
        <v>1.0474000000000001</v>
      </c>
      <c r="D44">
        <v>0.91679999999999995</v>
      </c>
      <c r="E44">
        <v>0.94989999999999997</v>
      </c>
      <c r="F44">
        <v>21399681</v>
      </c>
      <c r="G44">
        <v>0.94989999999999997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-0.49310872894333879</v>
      </c>
      <c r="Q44">
        <f t="shared" ref="Q44" si="196">F44*P44</f>
        <v>-10552369.497702917</v>
      </c>
      <c r="R44">
        <f t="shared" ref="R44" si="197">R45+Q44</f>
        <v>-847465147.93223906</v>
      </c>
      <c r="S44">
        <f t="shared" ref="S44" si="198">R44/100000</f>
        <v>-8474.6514793223905</v>
      </c>
      <c r="T44">
        <f t="shared" ref="T44" si="199">S44/1000</f>
        <v>-8.4746514793223913</v>
      </c>
    </row>
    <row r="45" spans="1:20" x14ac:dyDescent="0.25">
      <c r="A45" s="5">
        <v>44548</v>
      </c>
      <c r="B45">
        <v>0.92649999999999999</v>
      </c>
      <c r="C45">
        <v>0.99790000000000001</v>
      </c>
      <c r="D45">
        <v>0.89510000000000001</v>
      </c>
      <c r="E45">
        <v>0.93810000000000004</v>
      </c>
      <c r="F45">
        <v>10415039</v>
      </c>
      <c r="G45">
        <v>0.93810000000000004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-0.16342412451361796</v>
      </c>
      <c r="Q45">
        <f t="shared" ref="Q45" si="201">F45*P45</f>
        <v>-1702068.630350187</v>
      </c>
      <c r="R45">
        <f t="shared" ref="R45" si="202">R46+Q45</f>
        <v>-836912778.4345361</v>
      </c>
      <c r="S45">
        <f t="shared" ref="S45" si="203">R45/100000</f>
        <v>-8369.1277843453609</v>
      </c>
      <c r="T45">
        <f t="shared" ref="T45" si="204">S45/1000</f>
        <v>-8.3691277843453609</v>
      </c>
    </row>
    <row r="46" spans="1:20" x14ac:dyDescent="0.25">
      <c r="A46" s="5">
        <v>44547</v>
      </c>
      <c r="B46">
        <v>1.0157</v>
      </c>
      <c r="C46">
        <v>1.0568</v>
      </c>
      <c r="D46">
        <v>0.91020000000000001</v>
      </c>
      <c r="E46">
        <v>0.92649999999999999</v>
      </c>
      <c r="F46">
        <v>23603473</v>
      </c>
      <c r="G46">
        <v>0.92649999999999999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-0.77762619372442032</v>
      </c>
      <c r="Q46">
        <f t="shared" ref="Q46" si="206">F46*P46</f>
        <v>-18354678.867667124</v>
      </c>
      <c r="R46">
        <f t="shared" ref="R46" si="207">R47+Q46</f>
        <v>-835210709.80418587</v>
      </c>
      <c r="S46">
        <f t="shared" ref="S46" si="208">R46/100000</f>
        <v>-8352.107098041859</v>
      </c>
      <c r="T46">
        <f t="shared" ref="T46" si="209">S46/1000</f>
        <v>-8.3521070980418592</v>
      </c>
    </row>
    <row r="47" spans="1:20" x14ac:dyDescent="0.25">
      <c r="A47" s="5">
        <v>44546</v>
      </c>
      <c r="B47">
        <v>0.93799999999999994</v>
      </c>
      <c r="C47">
        <v>1.2327999999999999</v>
      </c>
      <c r="D47">
        <v>0.93630000000000002</v>
      </c>
      <c r="E47">
        <v>1.0157</v>
      </c>
      <c r="F47">
        <v>64108455</v>
      </c>
      <c r="G47">
        <v>1.0157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-0.46441821247892034</v>
      </c>
      <c r="Q47">
        <f t="shared" ref="Q47" si="211">F47*P47</f>
        <v>-29773134.075885303</v>
      </c>
      <c r="R47">
        <f t="shared" ref="R47" si="212">R48+Q47</f>
        <v>-816856030.93651879</v>
      </c>
      <c r="S47">
        <f t="shared" ref="S47" si="213">R47/100000</f>
        <v>-8168.560309365188</v>
      </c>
      <c r="T47">
        <f t="shared" ref="T47" si="214">S47/1000</f>
        <v>-8.1685603093651888</v>
      </c>
    </row>
    <row r="48" spans="1:20" x14ac:dyDescent="0.25">
      <c r="A48" s="5">
        <v>44545</v>
      </c>
      <c r="B48">
        <v>0.8508</v>
      </c>
      <c r="C48">
        <v>0.98599999999999999</v>
      </c>
      <c r="D48">
        <v>0.80659999999999998</v>
      </c>
      <c r="E48">
        <v>0.93799999999999994</v>
      </c>
      <c r="F48">
        <v>36174119</v>
      </c>
      <c r="G48">
        <v>0.93799999999999994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0.46488294314381223</v>
      </c>
      <c r="Q48">
        <f t="shared" ref="Q48" si="216">F48*P48</f>
        <v>16816730.906354498</v>
      </c>
      <c r="R48">
        <f t="shared" ref="R48" si="217">R49+Q48</f>
        <v>-787082896.86063349</v>
      </c>
      <c r="S48">
        <f t="shared" ref="S48" si="218">R48/100000</f>
        <v>-7870.8289686063354</v>
      </c>
      <c r="T48">
        <f t="shared" ref="T48" si="219">S48/1000</f>
        <v>-7.8708289686063351</v>
      </c>
    </row>
    <row r="49" spans="1:20" x14ac:dyDescent="0.25">
      <c r="A49" s="5">
        <v>44544</v>
      </c>
      <c r="B49">
        <v>0.78049999999999997</v>
      </c>
      <c r="C49">
        <v>0.93</v>
      </c>
      <c r="D49">
        <v>0.76700000000000002</v>
      </c>
      <c r="E49">
        <v>0.8508</v>
      </c>
      <c r="F49">
        <v>35609538</v>
      </c>
      <c r="G49">
        <v>0.8508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2.8220858895705133E-2</v>
      </c>
      <c r="Q49">
        <f t="shared" ref="Q49" si="221">F49*P49</f>
        <v>1004931.74723925</v>
      </c>
      <c r="R49">
        <f t="shared" ref="R49" si="222">R50+Q49</f>
        <v>-803899627.76698804</v>
      </c>
      <c r="S49">
        <f t="shared" ref="S49" si="223">R49/100000</f>
        <v>-8038.9962776698803</v>
      </c>
      <c r="T49">
        <f t="shared" ref="T49" si="224">S49/1000</f>
        <v>-8.0389962776698809</v>
      </c>
    </row>
    <row r="50" spans="1:20" x14ac:dyDescent="0.25">
      <c r="A50" s="5">
        <v>44543</v>
      </c>
      <c r="B50">
        <v>0.82220000000000004</v>
      </c>
      <c r="C50">
        <v>0.94699999999999995</v>
      </c>
      <c r="D50">
        <v>0.75039999999999996</v>
      </c>
      <c r="E50">
        <v>0.78049999999999997</v>
      </c>
      <c r="F50">
        <v>51064862</v>
      </c>
      <c r="G50">
        <v>0.78049999999999997</v>
      </c>
      <c r="L50" t="s">
        <v>7</v>
      </c>
      <c r="M50" t="s">
        <v>8</v>
      </c>
      <c r="N50" t="s">
        <v>7</v>
      </c>
      <c r="P50">
        <f t="shared" ref="P50" si="225">IF(C50=D50,0,((E50-D50)-(C50-E50))/(C50-D50))</f>
        <v>-0.69379450661241082</v>
      </c>
      <c r="Q50">
        <f t="shared" ref="Q50" si="226">F50*P50</f>
        <v>-35428520.736520849</v>
      </c>
      <c r="R50">
        <f t="shared" ref="R50" si="227">R51+Q50</f>
        <v>-804904559.51422727</v>
      </c>
      <c r="S50">
        <f t="shared" ref="S50" si="228">R50/100000</f>
        <v>-8049.0455951422728</v>
      </c>
      <c r="T50">
        <f t="shared" ref="T50" si="229">S50/1000</f>
        <v>-8.0490455951422728</v>
      </c>
    </row>
    <row r="51" spans="1:20" x14ac:dyDescent="0.25">
      <c r="A51" s="5">
        <v>44542</v>
      </c>
      <c r="B51">
        <v>0.81699999999999995</v>
      </c>
      <c r="C51">
        <v>0.83320000000000005</v>
      </c>
      <c r="D51">
        <v>0.76060000000000005</v>
      </c>
      <c r="E51">
        <v>0.82310000000000005</v>
      </c>
      <c r="F51">
        <v>12609834</v>
      </c>
      <c r="G51">
        <v>0.82310000000000005</v>
      </c>
      <c r="L51" t="s">
        <v>7</v>
      </c>
      <c r="M51" t="s">
        <v>7</v>
      </c>
      <c r="N51" t="s">
        <v>8</v>
      </c>
      <c r="P51">
        <f t="shared" ref="P51" si="230">IF(C51=D51,0,((E51-D51)-(C51-E51))/(C51-D51))</f>
        <v>0.72176308539944911</v>
      </c>
      <c r="Q51">
        <f t="shared" ref="Q51" si="231">F51*P51</f>
        <v>9101312.6942148767</v>
      </c>
      <c r="R51">
        <f t="shared" ref="R51" si="232">R52+Q51</f>
        <v>-769476038.77770638</v>
      </c>
      <c r="S51">
        <f t="shared" ref="S51" si="233">R51/100000</f>
        <v>-7694.7603877770634</v>
      </c>
      <c r="T51">
        <f t="shared" ref="T51" si="234">S51/1000</f>
        <v>-7.6947603877770634</v>
      </c>
    </row>
    <row r="52" spans="1:20" x14ac:dyDescent="0.25">
      <c r="A52" s="5">
        <v>44541</v>
      </c>
      <c r="B52">
        <v>0.85489999999999999</v>
      </c>
      <c r="C52">
        <v>0.90229999999999999</v>
      </c>
      <c r="D52">
        <v>0.8518</v>
      </c>
      <c r="E52">
        <v>0.88480000000000003</v>
      </c>
      <c r="F52">
        <v>1814979</v>
      </c>
      <c r="G52">
        <v>0.88480000000000003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0.30693069306930837</v>
      </c>
      <c r="Q52">
        <f t="shared" ref="Q52" si="236">F52*P52</f>
        <v>557072.76237624022</v>
      </c>
      <c r="R52">
        <f t="shared" ref="R52" si="237">R53+Q52</f>
        <v>-778577351.47192121</v>
      </c>
      <c r="S52">
        <f t="shared" ref="S52" si="238">R52/100000</f>
        <v>-7785.7735147192125</v>
      </c>
      <c r="T52">
        <f t="shared" ref="T52" si="239">S52/1000</f>
        <v>-7.7857735147192129</v>
      </c>
    </row>
    <row r="53" spans="1:20" x14ac:dyDescent="0.25">
      <c r="A53" s="5">
        <v>44540</v>
      </c>
      <c r="B53">
        <v>0.6845</v>
      </c>
      <c r="C53">
        <v>1.0952</v>
      </c>
      <c r="D53">
        <v>0.67989999999999995</v>
      </c>
      <c r="E53">
        <v>0.85389999999999999</v>
      </c>
      <c r="F53">
        <v>120758003</v>
      </c>
      <c r="G53">
        <v>0.85389999999999999</v>
      </c>
      <c r="L53" t="s">
        <v>8</v>
      </c>
      <c r="M53" t="s">
        <v>8</v>
      </c>
      <c r="N53" t="s">
        <v>8</v>
      </c>
      <c r="P53">
        <f t="shared" ref="P53" si="240">IF(C53=D53,0,((E53-D53)-(C53-E53))/(C53-D53))</f>
        <v>-0.16205152901516956</v>
      </c>
      <c r="Q53">
        <f t="shared" ref="Q53" si="241">F53*P53</f>
        <v>-19569019.026968434</v>
      </c>
      <c r="R53">
        <f t="shared" ref="R53" si="242">R54+Q53</f>
        <v>-779134424.23429739</v>
      </c>
      <c r="S53">
        <f t="shared" ref="S53" si="243">R53/100000</f>
        <v>-7791.3442423429742</v>
      </c>
      <c r="T53">
        <f t="shared" ref="T53" si="244">S53/1000</f>
        <v>-7.7913442423429746</v>
      </c>
    </row>
    <row r="54" spans="1:20" x14ac:dyDescent="0.25">
      <c r="A54" s="5">
        <v>44539</v>
      </c>
      <c r="B54">
        <v>0.78620000000000001</v>
      </c>
      <c r="C54">
        <v>0.79369999999999996</v>
      </c>
      <c r="D54">
        <v>0.67130000000000001</v>
      </c>
      <c r="E54">
        <v>0.68459999999999999</v>
      </c>
      <c r="F54">
        <v>12548457</v>
      </c>
      <c r="G54">
        <v>0.68459999999999999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-0.78267973856209172</v>
      </c>
      <c r="Q54">
        <f t="shared" ref="Q54" si="246">F54*P54</f>
        <v>-9821423.04411765</v>
      </c>
      <c r="R54">
        <f t="shared" ref="R54" si="247">R55+Q54</f>
        <v>-759565405.20732892</v>
      </c>
      <c r="S54">
        <f t="shared" ref="S54" si="248">R54/100000</f>
        <v>-7595.6540520732888</v>
      </c>
      <c r="T54">
        <f t="shared" ref="T54" si="249">S54/1000</f>
        <v>-7.5956540520732885</v>
      </c>
    </row>
    <row r="55" spans="1:20" x14ac:dyDescent="0.25">
      <c r="A55" s="5">
        <v>44538</v>
      </c>
      <c r="B55">
        <v>0.82950000000000002</v>
      </c>
      <c r="C55">
        <v>0.84350000000000003</v>
      </c>
      <c r="D55">
        <v>0.75019999999999998</v>
      </c>
      <c r="E55">
        <v>0.78700000000000003</v>
      </c>
      <c r="F55">
        <v>13706162</v>
      </c>
      <c r="G55">
        <v>0.78700000000000003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-0.21114683815648369</v>
      </c>
      <c r="Q55">
        <f t="shared" ref="Q55" si="251">F55*P55</f>
        <v>-2894012.7695605466</v>
      </c>
      <c r="R55">
        <f t="shared" ref="R55" si="252">R56+Q55</f>
        <v>-749743982.16321123</v>
      </c>
      <c r="S55">
        <f t="shared" ref="S55" si="253">R55/100000</f>
        <v>-7497.4398216321124</v>
      </c>
      <c r="T55">
        <f t="shared" ref="T55" si="254">S55/1000</f>
        <v>-7.4974398216321125</v>
      </c>
    </row>
    <row r="56" spans="1:20" x14ac:dyDescent="0.25">
      <c r="A56" s="5">
        <v>44537</v>
      </c>
      <c r="B56">
        <v>0.86560000000000004</v>
      </c>
      <c r="C56">
        <v>1.0333000000000001</v>
      </c>
      <c r="D56">
        <v>0.82799999999999996</v>
      </c>
      <c r="E56">
        <v>0.82850000000000001</v>
      </c>
      <c r="F56">
        <v>45925901</v>
      </c>
      <c r="G56">
        <v>0.82850000000000001</v>
      </c>
      <c r="L56" t="s">
        <v>7</v>
      </c>
      <c r="M56" t="s">
        <v>7</v>
      </c>
      <c r="N56" t="s">
        <v>7</v>
      </c>
      <c r="P56">
        <f t="shared" ref="P56" si="255">IF(C56=D56,0,((E56-D56)-(C56-E56))/(C56-D56))</f>
        <v>-0.99512907939600526</v>
      </c>
      <c r="Q56">
        <f t="shared" ref="Q56" si="256">F56*P56</f>
        <v>-45702199.582562074</v>
      </c>
      <c r="R56">
        <f t="shared" ref="R56" si="257">R57+Q56</f>
        <v>-746849969.39365065</v>
      </c>
      <c r="S56">
        <f t="shared" ref="S56" si="258">R56/100000</f>
        <v>-7468.4996939365064</v>
      </c>
      <c r="T56">
        <f t="shared" ref="T56" si="259">S56/1000</f>
        <v>-7.468499693936506</v>
      </c>
    </row>
    <row r="57" spans="1:20" x14ac:dyDescent="0.25">
      <c r="A57" s="5">
        <v>44536</v>
      </c>
      <c r="B57">
        <v>0.7077</v>
      </c>
      <c r="C57">
        <v>1.2722</v>
      </c>
      <c r="D57">
        <v>0.66169999999999995</v>
      </c>
      <c r="E57">
        <v>0.86599999999999999</v>
      </c>
      <c r="F57">
        <v>156933640</v>
      </c>
      <c r="G57">
        <v>0.86599999999999999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-0.33071253071253065</v>
      </c>
      <c r="Q57">
        <f t="shared" ref="Q57" si="261">F57*P57</f>
        <v>-51899921.238329232</v>
      </c>
      <c r="R57">
        <f t="shared" ref="R57" si="262">R58+Q57</f>
        <v>-701147769.81108856</v>
      </c>
      <c r="S57">
        <f t="shared" ref="S57" si="263">R57/100000</f>
        <v>-7011.4776981108853</v>
      </c>
      <c r="T57">
        <f t="shared" ref="T57" si="264">S57/1000</f>
        <v>-7.0114776981108857</v>
      </c>
    </row>
    <row r="58" spans="1:20" x14ac:dyDescent="0.25">
      <c r="A58" s="5">
        <v>44535</v>
      </c>
      <c r="B58">
        <v>0.7984</v>
      </c>
      <c r="C58">
        <v>0.84330000000000005</v>
      </c>
      <c r="D58">
        <v>0.66930000000000001</v>
      </c>
      <c r="E58">
        <v>0.70760000000000001</v>
      </c>
      <c r="F58">
        <v>21505752</v>
      </c>
      <c r="G58">
        <v>0.70760000000000001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-0.55977011494252882</v>
      </c>
      <c r="Q58">
        <f t="shared" ref="Q58" si="266">F58*P58</f>
        <v>-12038277.268965518</v>
      </c>
      <c r="R58">
        <f t="shared" ref="R58" si="267">R59+Q58</f>
        <v>-649247848.57275927</v>
      </c>
      <c r="S58">
        <f t="shared" ref="S58" si="268">R58/100000</f>
        <v>-6492.4784857275927</v>
      </c>
      <c r="T58">
        <f t="shared" ref="T58" si="269">S58/1000</f>
        <v>-6.4924784857275926</v>
      </c>
    </row>
    <row r="59" spans="1:20" x14ac:dyDescent="0.25">
      <c r="A59" s="5">
        <v>44534</v>
      </c>
      <c r="B59">
        <v>1.0559000000000001</v>
      </c>
      <c r="C59">
        <v>1.0899000000000001</v>
      </c>
      <c r="D59">
        <v>0.60350000000000004</v>
      </c>
      <c r="E59">
        <v>0.79679999999999995</v>
      </c>
      <c r="F59">
        <v>53289936</v>
      </c>
      <c r="G59">
        <v>0.79679999999999995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-0.20518092105263203</v>
      </c>
      <c r="Q59">
        <f t="shared" ref="Q59" si="271">F59*P59</f>
        <v>-10934078.151315814</v>
      </c>
      <c r="R59">
        <f t="shared" ref="R59" si="272">R60+Q59</f>
        <v>-637209571.30379379</v>
      </c>
      <c r="S59">
        <f t="shared" ref="S59" si="273">R59/100000</f>
        <v>-6372.0957130379375</v>
      </c>
      <c r="T59">
        <f t="shared" ref="T59" si="274">S59/1000</f>
        <v>-6.3720957130379379</v>
      </c>
    </row>
    <row r="60" spans="1:20" x14ac:dyDescent="0.25">
      <c r="A60" s="5">
        <v>44533</v>
      </c>
      <c r="B60">
        <v>1.0919000000000001</v>
      </c>
      <c r="C60">
        <v>2.02</v>
      </c>
      <c r="D60">
        <v>1.0004</v>
      </c>
      <c r="E60">
        <v>1.0559000000000001</v>
      </c>
      <c r="F60">
        <v>319369189.08999997</v>
      </c>
      <c r="G60">
        <v>1.0559000000000001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-0.89113377795213788</v>
      </c>
      <c r="Q60">
        <f t="shared" ref="Q60" si="276">F60*P60</f>
        <v>-284600672.03528237</v>
      </c>
      <c r="R60">
        <f t="shared" ref="R60" si="277">R61+Q60</f>
        <v>-626275493.15247798</v>
      </c>
      <c r="S60">
        <f t="shared" ref="S60" si="278">R60/100000</f>
        <v>-6262.7549315247797</v>
      </c>
      <c r="T60">
        <f t="shared" ref="T60" si="279">S60/1000</f>
        <v>-6.2627549315247801</v>
      </c>
    </row>
    <row r="61" spans="1:20" x14ac:dyDescent="0.25">
      <c r="A61" s="5">
        <v>44532</v>
      </c>
      <c r="B61">
        <v>0.51600000000000001</v>
      </c>
      <c r="C61">
        <v>1.8303</v>
      </c>
      <c r="D61">
        <v>0.49980000000000002</v>
      </c>
      <c r="E61">
        <v>1.0919000000000001</v>
      </c>
      <c r="F61">
        <v>435656614.64999998</v>
      </c>
      <c r="G61">
        <v>1.0919000000000001</v>
      </c>
      <c r="L61" t="s">
        <v>7</v>
      </c>
      <c r="M61" t="s">
        <v>8</v>
      </c>
      <c r="N61" t="s">
        <v>8</v>
      </c>
      <c r="P61">
        <f t="shared" ref="P61" si="280">IF(C61=D61,0,((E61-D61)-(C61-E61))/(C61-D61))</f>
        <v>-0.10995866215708371</v>
      </c>
      <c r="Q61">
        <f t="shared" ref="Q61" si="281">F61*P61</f>
        <v>-47904218.506798148</v>
      </c>
      <c r="R61">
        <f t="shared" ref="R61" si="282">R62+Q61</f>
        <v>-341674821.11719555</v>
      </c>
      <c r="S61">
        <f t="shared" ref="S61" si="283">R61/100000</f>
        <v>-3416.7482111719555</v>
      </c>
      <c r="T61">
        <f t="shared" ref="T61" si="284">S61/1000</f>
        <v>-3.4167482111719556</v>
      </c>
    </row>
    <row r="62" spans="1:20" x14ac:dyDescent="0.25">
      <c r="A62" s="5">
        <v>44531</v>
      </c>
      <c r="B62">
        <v>0.51219999999999999</v>
      </c>
      <c r="C62">
        <v>0.53820000000000001</v>
      </c>
      <c r="D62">
        <v>0.50949999999999995</v>
      </c>
      <c r="E62">
        <v>0.51670000000000005</v>
      </c>
      <c r="F62">
        <v>1710551</v>
      </c>
      <c r="G62">
        <v>0.51670000000000005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-0.49825783972124876</v>
      </c>
      <c r="Q62">
        <f t="shared" ref="Q62" si="286">F62*P62</f>
        <v>-852295.44599302183</v>
      </c>
      <c r="R62">
        <f t="shared" ref="R62" si="287">R63+Q62</f>
        <v>-293770602.6103974</v>
      </c>
      <c r="S62">
        <f t="shared" ref="S62" si="288">R62/100000</f>
        <v>-2937.7060261039742</v>
      </c>
      <c r="T62">
        <f t="shared" ref="T62" si="289">S62/1000</f>
        <v>-2.937706026103974</v>
      </c>
    </row>
    <row r="63" spans="1:20" x14ac:dyDescent="0.25">
      <c r="A63" s="5">
        <v>44530</v>
      </c>
      <c r="B63">
        <v>0.52510000000000001</v>
      </c>
      <c r="C63">
        <v>0.52769999999999995</v>
      </c>
      <c r="D63">
        <v>0.50570000000000004</v>
      </c>
      <c r="E63">
        <v>0.51539999999999997</v>
      </c>
      <c r="F63">
        <v>1579888</v>
      </c>
      <c r="G63">
        <v>0.51539999999999997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-0.1181818181818208</v>
      </c>
      <c r="Q63">
        <f t="shared" ref="Q63" si="291">F63*P63</f>
        <v>-186714.03636364051</v>
      </c>
      <c r="R63">
        <f t="shared" ref="R63" si="292">R64+Q63</f>
        <v>-292918307.16440439</v>
      </c>
      <c r="S63">
        <f t="shared" ref="S63" si="293">R63/100000</f>
        <v>-2929.183071644044</v>
      </c>
      <c r="T63">
        <f t="shared" ref="T63" si="294">S63/1000</f>
        <v>-2.9291830716440441</v>
      </c>
    </row>
    <row r="64" spans="1:20" x14ac:dyDescent="0.25">
      <c r="A64" s="5">
        <v>44529</v>
      </c>
      <c r="B64">
        <v>0.52929999999999999</v>
      </c>
      <c r="C64">
        <v>0.54400000000000004</v>
      </c>
      <c r="D64">
        <v>0.52200000000000002</v>
      </c>
      <c r="E64">
        <v>0.5252</v>
      </c>
      <c r="F64">
        <v>1392789</v>
      </c>
      <c r="G64">
        <v>0.5252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-0.7090909090909111</v>
      </c>
      <c r="Q64">
        <f t="shared" ref="Q64" si="296">F64*P64</f>
        <v>-987614.01818182098</v>
      </c>
      <c r="R64">
        <f t="shared" ref="R64" si="297">R65+Q64</f>
        <v>-292731593.12804073</v>
      </c>
      <c r="S64">
        <f t="shared" ref="S64" si="298">R64/100000</f>
        <v>-2927.3159312804073</v>
      </c>
      <c r="T64">
        <f t="shared" ref="T64" si="299">S64/1000</f>
        <v>-2.9273159312804071</v>
      </c>
    </row>
    <row r="65" spans="1:20" x14ac:dyDescent="0.25">
      <c r="A65" s="5">
        <v>44528</v>
      </c>
      <c r="B65">
        <v>0.52500000000000002</v>
      </c>
      <c r="C65">
        <v>0.54649999999999999</v>
      </c>
      <c r="D65">
        <v>0.49469999999999997</v>
      </c>
      <c r="E65">
        <v>0.52929999999999999</v>
      </c>
      <c r="F65">
        <v>1548850</v>
      </c>
      <c r="G65">
        <v>0.52929999999999999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0.33590733590733635</v>
      </c>
      <c r="Q65">
        <f t="shared" ref="Q65" si="301">F65*P65</f>
        <v>520270.07722007792</v>
      </c>
      <c r="R65">
        <f t="shared" ref="R65" si="302">R66+Q65</f>
        <v>-291743979.10985893</v>
      </c>
      <c r="S65">
        <f t="shared" ref="S65" si="303">R65/100000</f>
        <v>-2917.4397910985895</v>
      </c>
      <c r="T65">
        <f t="shared" ref="T65" si="304">S65/1000</f>
        <v>-2.9174397910985896</v>
      </c>
    </row>
    <row r="66" spans="1:20" x14ac:dyDescent="0.25">
      <c r="A66" s="5">
        <v>44527</v>
      </c>
      <c r="B66">
        <v>0.52290000000000003</v>
      </c>
      <c r="C66">
        <v>0.54679999999999995</v>
      </c>
      <c r="D66">
        <v>0.51380000000000003</v>
      </c>
      <c r="E66">
        <v>0.5262</v>
      </c>
      <c r="F66">
        <v>2955724</v>
      </c>
      <c r="G66">
        <v>0.5262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-0.24848484848484864</v>
      </c>
      <c r="Q66">
        <f t="shared" ref="Q66" si="306">F66*P66</f>
        <v>-734452.63030303072</v>
      </c>
      <c r="R66">
        <f t="shared" ref="R66" si="307">R67+Q66</f>
        <v>-292264249.18707901</v>
      </c>
      <c r="S66">
        <f t="shared" ref="S66" si="308">R66/100000</f>
        <v>-2922.6424918707903</v>
      </c>
      <c r="T66">
        <f t="shared" ref="T66" si="309">S66/1000</f>
        <v>-2.9226424918707905</v>
      </c>
    </row>
    <row r="67" spans="1:20" x14ac:dyDescent="0.25">
      <c r="A67" s="5">
        <v>44526</v>
      </c>
      <c r="B67">
        <v>0.58799999999999997</v>
      </c>
      <c r="C67">
        <v>0.59889999999999999</v>
      </c>
      <c r="D67">
        <v>0.50660000000000005</v>
      </c>
      <c r="E67">
        <v>0.52339999999999998</v>
      </c>
      <c r="F67">
        <v>4213481</v>
      </c>
      <c r="G67">
        <v>0.52339999999999998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-0.63596966413867961</v>
      </c>
      <c r="Q67">
        <f t="shared" ref="Q67" si="311">F67*P67</f>
        <v>-2679646.0964247081</v>
      </c>
      <c r="R67">
        <f t="shared" ref="R67" si="312">R68+Q67</f>
        <v>-291529796.55677599</v>
      </c>
      <c r="S67">
        <f t="shared" ref="S67" si="313">R67/100000</f>
        <v>-2915.29796556776</v>
      </c>
      <c r="T67">
        <f t="shared" ref="T67" si="314">S67/1000</f>
        <v>-2.9152979655677602</v>
      </c>
    </row>
    <row r="68" spans="1:20" x14ac:dyDescent="0.25">
      <c r="A68" s="5">
        <v>44525</v>
      </c>
      <c r="B68">
        <v>0.52739999999999998</v>
      </c>
      <c r="C68">
        <v>0.69</v>
      </c>
      <c r="D68">
        <v>0.52470000000000006</v>
      </c>
      <c r="E68">
        <v>0.58779999999999999</v>
      </c>
      <c r="F68">
        <v>12478860</v>
      </c>
      <c r="G68">
        <v>0.58779999999999999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-0.23653962492438022</v>
      </c>
      <c r="Q68">
        <f t="shared" ref="Q68" si="316">F68*P68</f>
        <v>-2951744.8638838511</v>
      </c>
      <c r="R68">
        <f t="shared" ref="R68" si="317">R69+Q68</f>
        <v>-288850150.46035129</v>
      </c>
      <c r="S68">
        <f t="shared" ref="S68" si="318">R68/100000</f>
        <v>-2888.5015046035128</v>
      </c>
      <c r="T68">
        <f t="shared" ref="T68" si="319">S68/1000</f>
        <v>-2.888501504603513</v>
      </c>
    </row>
    <row r="69" spans="1:20" x14ac:dyDescent="0.25">
      <c r="A69" s="5">
        <v>44524</v>
      </c>
      <c r="B69">
        <v>0.55569999999999997</v>
      </c>
      <c r="C69">
        <v>0.55589999999999995</v>
      </c>
      <c r="D69">
        <v>0.53390000000000004</v>
      </c>
      <c r="E69">
        <v>0.53959999999999997</v>
      </c>
      <c r="F69">
        <v>518301</v>
      </c>
      <c r="G69">
        <v>0.53959999999999997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-0.48181818181818625</v>
      </c>
      <c r="Q69">
        <f t="shared" ref="Q69" si="321">F69*P69</f>
        <v>-249726.84545454776</v>
      </c>
      <c r="R69">
        <f t="shared" ref="R69" si="322">R70+Q69</f>
        <v>-285898405.59646744</v>
      </c>
      <c r="S69">
        <f t="shared" ref="S69" si="323">R69/100000</f>
        <v>-2858.9840559646746</v>
      </c>
      <c r="T69">
        <f t="shared" ref="T69" si="324">S69/1000</f>
        <v>-2.8589840559646746</v>
      </c>
    </row>
    <row r="70" spans="1:20" x14ac:dyDescent="0.25">
      <c r="A70" s="5">
        <v>44523</v>
      </c>
      <c r="B70">
        <v>0.52300000000000002</v>
      </c>
      <c r="C70">
        <v>0.56340000000000001</v>
      </c>
      <c r="D70">
        <v>0.5151</v>
      </c>
      <c r="E70">
        <v>0.55569999999999997</v>
      </c>
      <c r="F70">
        <v>1936045</v>
      </c>
      <c r="G70">
        <v>0.55569999999999997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0.68115942028985343</v>
      </c>
      <c r="Q70">
        <f t="shared" ref="Q70" si="326">F70*P70</f>
        <v>1318755.2898550692</v>
      </c>
      <c r="R70">
        <f t="shared" ref="R70" si="327">R71+Q70</f>
        <v>-285648678.75101286</v>
      </c>
      <c r="S70">
        <f t="shared" ref="S70" si="328">R70/100000</f>
        <v>-2856.4867875101286</v>
      </c>
      <c r="T70">
        <f t="shared" ref="T70" si="329">S70/1000</f>
        <v>-2.8564867875101285</v>
      </c>
    </row>
    <row r="71" spans="1:20" x14ac:dyDescent="0.25">
      <c r="A71" s="5">
        <v>44522</v>
      </c>
      <c r="B71">
        <v>0.5373</v>
      </c>
      <c r="C71">
        <v>0.55600000000000005</v>
      </c>
      <c r="D71">
        <v>0.51080000000000003</v>
      </c>
      <c r="E71">
        <v>0.52200000000000002</v>
      </c>
      <c r="F71">
        <v>2217222</v>
      </c>
      <c r="G71">
        <v>0.52200000000000002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-0.50442477876106273</v>
      </c>
      <c r="Q71">
        <f t="shared" ref="Q71" si="331">F71*P71</f>
        <v>-1118421.716814161</v>
      </c>
      <c r="R71">
        <f t="shared" ref="R71" si="332">R72+Q71</f>
        <v>-286967434.04086792</v>
      </c>
      <c r="S71">
        <f t="shared" ref="S71" si="333">R71/100000</f>
        <v>-2869.6743404086792</v>
      </c>
      <c r="T71">
        <f t="shared" ref="T71" si="334">S71/1000</f>
        <v>-2.8696743404086793</v>
      </c>
    </row>
    <row r="72" spans="1:20" x14ac:dyDescent="0.25">
      <c r="A72" s="5">
        <v>44521</v>
      </c>
      <c r="B72">
        <v>0.54530000000000001</v>
      </c>
      <c r="C72">
        <v>0.56799999999999995</v>
      </c>
      <c r="D72">
        <v>0.53190000000000004</v>
      </c>
      <c r="E72">
        <v>0.5373</v>
      </c>
      <c r="F72">
        <v>3070078</v>
      </c>
      <c r="G72">
        <v>0.5373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-0.70083102493074934</v>
      </c>
      <c r="Q72">
        <f t="shared" ref="Q72" si="336">F72*P72</f>
        <v>-2151605.9113573451</v>
      </c>
      <c r="R72">
        <f t="shared" ref="R72" si="337">R73+Q72</f>
        <v>-285849012.32405376</v>
      </c>
      <c r="S72">
        <f t="shared" ref="S72" si="338">R72/100000</f>
        <v>-2858.4901232405377</v>
      </c>
      <c r="T72">
        <f t="shared" ref="T72" si="339">S72/1000</f>
        <v>-2.8584901232405375</v>
      </c>
    </row>
    <row r="73" spans="1:20" x14ac:dyDescent="0.25">
      <c r="A73" s="5">
        <v>44520</v>
      </c>
      <c r="B73">
        <v>0.50080000000000002</v>
      </c>
      <c r="C73">
        <v>0.55200000000000005</v>
      </c>
      <c r="D73">
        <v>0.49880000000000002</v>
      </c>
      <c r="E73">
        <v>0.54359999999999997</v>
      </c>
      <c r="F73">
        <v>3318975</v>
      </c>
      <c r="G73">
        <v>0.54359999999999997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0.68421052631578683</v>
      </c>
      <c r="Q73">
        <f t="shared" ref="Q73" si="341">F73*P73</f>
        <v>2270877.6315789386</v>
      </c>
      <c r="R73">
        <f t="shared" ref="R73" si="342">R74+Q73</f>
        <v>-283697406.41269642</v>
      </c>
      <c r="S73">
        <f t="shared" ref="S73" si="343">R73/100000</f>
        <v>-2836.9740641269641</v>
      </c>
      <c r="T73">
        <f t="shared" ref="T73" si="344">S73/1000</f>
        <v>-2.8369740641269643</v>
      </c>
    </row>
    <row r="74" spans="1:20" x14ac:dyDescent="0.25">
      <c r="A74" s="5">
        <v>44519</v>
      </c>
      <c r="B74">
        <v>0.47420000000000001</v>
      </c>
      <c r="C74">
        <v>0.52229999999999999</v>
      </c>
      <c r="D74">
        <v>0.46210000000000001</v>
      </c>
      <c r="E74">
        <v>0.50019999999999998</v>
      </c>
      <c r="F74">
        <v>4486072</v>
      </c>
      <c r="G74">
        <v>0.50019999999999998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0.26578073089700938</v>
      </c>
      <c r="Q74">
        <f t="shared" ref="Q74" si="346">F74*P74</f>
        <v>1192311.4950166086</v>
      </c>
      <c r="R74">
        <f t="shared" ref="R74" si="347">R75+Q74</f>
        <v>-285968284.04427534</v>
      </c>
      <c r="S74">
        <f t="shared" ref="S74" si="348">R74/100000</f>
        <v>-2859.6828404427533</v>
      </c>
      <c r="T74">
        <f t="shared" ref="T74" si="349">S74/1000</f>
        <v>-2.8596828404427534</v>
      </c>
    </row>
    <row r="75" spans="1:20" x14ac:dyDescent="0.25">
      <c r="A75" s="5">
        <v>44518</v>
      </c>
      <c r="B75">
        <v>0.52569999999999995</v>
      </c>
      <c r="C75">
        <v>0.53</v>
      </c>
      <c r="D75">
        <v>0.4703</v>
      </c>
      <c r="E75">
        <v>0.47420000000000001</v>
      </c>
      <c r="F75">
        <v>1879472</v>
      </c>
      <c r="G75">
        <v>0.47420000000000001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-0.86934673366834125</v>
      </c>
      <c r="Q75">
        <f t="shared" ref="Q75" si="351">F75*P75</f>
        <v>-1633912.8442211046</v>
      </c>
      <c r="R75">
        <f t="shared" ref="R75" si="352">R76+Q75</f>
        <v>-287160595.53929198</v>
      </c>
      <c r="S75">
        <f t="shared" ref="S75" si="353">R75/100000</f>
        <v>-2871.6059553929199</v>
      </c>
      <c r="T75">
        <f t="shared" ref="T75" si="354">S75/1000</f>
        <v>-2.8716059553929201</v>
      </c>
    </row>
    <row r="76" spans="1:20" x14ac:dyDescent="0.25">
      <c r="A76" s="5">
        <v>44517</v>
      </c>
      <c r="B76">
        <v>0.51570000000000005</v>
      </c>
      <c r="C76">
        <v>0.56630000000000003</v>
      </c>
      <c r="D76">
        <v>0.49930000000000002</v>
      </c>
      <c r="E76">
        <v>0.52590000000000003</v>
      </c>
      <c r="F76">
        <v>4059726</v>
      </c>
      <c r="G76">
        <v>0.52590000000000003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-0.20597014925373103</v>
      </c>
      <c r="Q76">
        <f t="shared" ref="Q76" si="356">F76*P76</f>
        <v>-836182.37014925247</v>
      </c>
      <c r="R76">
        <f t="shared" ref="R76" si="357">R77+Q76</f>
        <v>-285526682.69507086</v>
      </c>
      <c r="S76">
        <f t="shared" ref="S76" si="358">R76/100000</f>
        <v>-2855.2668269507085</v>
      </c>
      <c r="T76">
        <f t="shared" ref="T76" si="359">S76/1000</f>
        <v>-2.8552668269507087</v>
      </c>
    </row>
    <row r="77" spans="1:20" x14ac:dyDescent="0.25">
      <c r="A77" s="5">
        <v>44516</v>
      </c>
      <c r="B77">
        <v>0.56740000000000002</v>
      </c>
      <c r="C77">
        <v>0.56759999999999999</v>
      </c>
      <c r="D77">
        <v>0.502</v>
      </c>
      <c r="E77">
        <v>0.51570000000000005</v>
      </c>
      <c r="F77">
        <v>2977399</v>
      </c>
      <c r="G77">
        <v>0.51570000000000005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-0.58231707317073023</v>
      </c>
      <c r="Q77">
        <f t="shared" ref="Q77" si="361">F77*P77</f>
        <v>-1733790.2713414589</v>
      </c>
      <c r="R77">
        <f t="shared" ref="R77" si="362">R78+Q77</f>
        <v>-284690500.32492161</v>
      </c>
      <c r="S77">
        <f t="shared" ref="S77" si="363">R77/100000</f>
        <v>-2846.905003249216</v>
      </c>
      <c r="T77">
        <f t="shared" ref="T77" si="364">S77/1000</f>
        <v>-2.846905003249216</v>
      </c>
    </row>
    <row r="78" spans="1:20" x14ac:dyDescent="0.25">
      <c r="A78" s="5">
        <v>44515</v>
      </c>
      <c r="B78">
        <v>0.57130000000000003</v>
      </c>
      <c r="C78">
        <v>0.58679999999999999</v>
      </c>
      <c r="D78">
        <v>0.56040000000000001</v>
      </c>
      <c r="E78">
        <v>0.56740000000000002</v>
      </c>
      <c r="F78">
        <v>2945413</v>
      </c>
      <c r="G78">
        <v>0.56740000000000002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-0.46969696969696878</v>
      </c>
      <c r="Q78">
        <f t="shared" ref="Q78" si="366">F78*P78</f>
        <v>-1383451.560606058</v>
      </c>
      <c r="R78">
        <f t="shared" ref="R78" si="367">R79+Q78</f>
        <v>-282956710.05358016</v>
      </c>
      <c r="S78">
        <f t="shared" ref="S78" si="368">R78/100000</f>
        <v>-2829.5671005358017</v>
      </c>
      <c r="T78">
        <f t="shared" ref="T78" si="369">S78/1000</f>
        <v>-2.8295671005358018</v>
      </c>
    </row>
    <row r="79" spans="1:20" x14ac:dyDescent="0.25">
      <c r="A79" s="5">
        <v>44514</v>
      </c>
      <c r="B79">
        <v>0.57040000000000002</v>
      </c>
      <c r="C79">
        <v>0.5887</v>
      </c>
      <c r="D79">
        <v>0.55520000000000003</v>
      </c>
      <c r="E79">
        <v>0.56989999999999996</v>
      </c>
      <c r="F79">
        <v>2137261</v>
      </c>
      <c r="G79">
        <v>0.56989999999999996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-0.12238805970149572</v>
      </c>
      <c r="Q79">
        <f t="shared" ref="Q79" si="371">F79*P79</f>
        <v>-261575.22686567844</v>
      </c>
      <c r="R79">
        <f t="shared" ref="R79" si="372">R80+Q79</f>
        <v>-281573258.4929741</v>
      </c>
      <c r="S79">
        <f t="shared" ref="S79" si="373">R79/100000</f>
        <v>-2815.7325849297408</v>
      </c>
      <c r="T79">
        <f t="shared" ref="T79" si="374">S79/1000</f>
        <v>-2.8157325849297408</v>
      </c>
    </row>
    <row r="80" spans="1:20" x14ac:dyDescent="0.25">
      <c r="A80" s="5">
        <v>44513</v>
      </c>
      <c r="B80">
        <v>0.56030000000000002</v>
      </c>
      <c r="C80">
        <v>0.59240000000000004</v>
      </c>
      <c r="D80">
        <v>0.5534</v>
      </c>
      <c r="E80">
        <v>0.56979999999999997</v>
      </c>
      <c r="F80">
        <v>2305075</v>
      </c>
      <c r="G80">
        <v>0.56979999999999997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-0.15897435897436124</v>
      </c>
      <c r="Q80">
        <f t="shared" ref="Q80" si="376">F80*P80</f>
        <v>-366447.82051282574</v>
      </c>
      <c r="R80">
        <f t="shared" ref="R80" si="377">R81+Q80</f>
        <v>-281311683.26610845</v>
      </c>
      <c r="S80">
        <f t="shared" ref="S80" si="378">R80/100000</f>
        <v>-2813.1168326610846</v>
      </c>
      <c r="T80">
        <f t="shared" ref="T80" si="379">S80/1000</f>
        <v>-2.8131168326610845</v>
      </c>
    </row>
    <row r="81" spans="1:20" x14ac:dyDescent="0.25">
      <c r="A81" s="5">
        <v>44512</v>
      </c>
      <c r="B81">
        <v>0.57389999999999997</v>
      </c>
      <c r="C81">
        <v>0.58750000000000002</v>
      </c>
      <c r="D81">
        <v>0.54730000000000001</v>
      </c>
      <c r="E81">
        <v>0.55920000000000003</v>
      </c>
      <c r="F81">
        <v>2511955</v>
      </c>
      <c r="G81">
        <v>0.55920000000000003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-0.40796019900497427</v>
      </c>
      <c r="Q81">
        <f t="shared" ref="Q81" si="381">F81*P81</f>
        <v>-1024777.6616915402</v>
      </c>
      <c r="R81">
        <f t="shared" ref="R81" si="382">R82+Q81</f>
        <v>-280945235.44559562</v>
      </c>
      <c r="S81">
        <f t="shared" ref="S81" si="383">R81/100000</f>
        <v>-2809.4523544559561</v>
      </c>
      <c r="T81">
        <f t="shared" ref="T81" si="384">S81/1000</f>
        <v>-2.809452354455956</v>
      </c>
    </row>
    <row r="82" spans="1:20" x14ac:dyDescent="0.25">
      <c r="A82" s="5">
        <v>44511</v>
      </c>
      <c r="B82">
        <v>0.57069999999999999</v>
      </c>
      <c r="C82">
        <v>0.58530000000000004</v>
      </c>
      <c r="D82">
        <v>0.56159999999999999</v>
      </c>
      <c r="E82">
        <v>0.57410000000000005</v>
      </c>
      <c r="F82">
        <v>2680712</v>
      </c>
      <c r="G82">
        <v>0.57410000000000005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5.4852320675108687E-2</v>
      </c>
      <c r="Q82">
        <f t="shared" ref="Q82" si="386">F82*P82</f>
        <v>147043.27426161195</v>
      </c>
      <c r="R82">
        <f t="shared" ref="R82" si="387">R83+Q82</f>
        <v>-279920457.78390408</v>
      </c>
      <c r="S82">
        <f t="shared" ref="S82" si="388">R82/100000</f>
        <v>-2799.2045778390407</v>
      </c>
      <c r="T82">
        <f t="shared" ref="T82" si="389">S82/1000</f>
        <v>-2.7992045778390406</v>
      </c>
    </row>
    <row r="83" spans="1:20" x14ac:dyDescent="0.25">
      <c r="A83" s="5">
        <v>44510</v>
      </c>
      <c r="B83">
        <v>0.61140000000000005</v>
      </c>
      <c r="C83">
        <v>0.62990000000000002</v>
      </c>
      <c r="D83">
        <v>0.55169999999999997</v>
      </c>
      <c r="E83">
        <v>0.56940000000000002</v>
      </c>
      <c r="F83">
        <v>4104274</v>
      </c>
      <c r="G83">
        <v>0.56940000000000002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-0.54731457800511407</v>
      </c>
      <c r="Q83">
        <f t="shared" ref="Q83" si="391">F83*P83</f>
        <v>-2246328.9923273614</v>
      </c>
      <c r="R83">
        <f t="shared" ref="R83" si="392">R84+Q83</f>
        <v>-280067501.05816567</v>
      </c>
      <c r="S83">
        <f t="shared" ref="S83" si="393">R83/100000</f>
        <v>-2800.6750105816568</v>
      </c>
      <c r="T83">
        <f t="shared" ref="T83" si="394">S83/1000</f>
        <v>-2.8006750105816569</v>
      </c>
    </row>
    <row r="84" spans="1:20" x14ac:dyDescent="0.25">
      <c r="A84" s="5">
        <v>44509</v>
      </c>
      <c r="B84">
        <v>0.59540000000000004</v>
      </c>
      <c r="C84">
        <v>0.63400000000000001</v>
      </c>
      <c r="D84">
        <v>0.58689999999999998</v>
      </c>
      <c r="E84">
        <v>0.61109999999999998</v>
      </c>
      <c r="F84">
        <v>5376049</v>
      </c>
      <c r="G84">
        <v>0.61109999999999998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2.7600849256899512E-2</v>
      </c>
      <c r="Q84">
        <f t="shared" ref="Q84" si="396">F84*P84</f>
        <v>148383.51804670537</v>
      </c>
      <c r="R84">
        <f t="shared" ref="R84" si="397">R85+Q84</f>
        <v>-277821172.06583834</v>
      </c>
      <c r="S84">
        <f t="shared" ref="S84" si="398">R84/100000</f>
        <v>-2778.2117206583835</v>
      </c>
      <c r="T84">
        <f t="shared" ref="T84" si="399">S84/1000</f>
        <v>-2.7782117206583834</v>
      </c>
    </row>
    <row r="85" spans="1:20" x14ac:dyDescent="0.25">
      <c r="A85" s="5">
        <v>44508</v>
      </c>
      <c r="B85">
        <v>0.5726</v>
      </c>
      <c r="C85">
        <v>0.61</v>
      </c>
      <c r="D85">
        <v>0.56969999999999998</v>
      </c>
      <c r="E85">
        <v>0.59409999999999996</v>
      </c>
      <c r="F85">
        <v>5118014</v>
      </c>
      <c r="G85">
        <v>0.59409999999999996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0.21091811414391939</v>
      </c>
      <c r="Q85">
        <f t="shared" ref="Q85" si="401">F85*P85</f>
        <v>1079481.8610421775</v>
      </c>
      <c r="R85">
        <f t="shared" ref="R85" si="402">R86+Q85</f>
        <v>-277969555.58388501</v>
      </c>
      <c r="S85">
        <f t="shared" ref="S85" si="403">R85/100000</f>
        <v>-2779.6955558388499</v>
      </c>
      <c r="T85">
        <f t="shared" ref="T85" si="404">S85/1000</f>
        <v>-2.7796955558388499</v>
      </c>
    </row>
    <row r="86" spans="1:20" x14ac:dyDescent="0.25">
      <c r="A86" s="5">
        <v>44507</v>
      </c>
      <c r="B86">
        <v>0.5605</v>
      </c>
      <c r="C86">
        <v>0.57499999999999996</v>
      </c>
      <c r="D86">
        <v>0.55500000000000005</v>
      </c>
      <c r="E86">
        <v>0.5726</v>
      </c>
      <c r="F86">
        <v>1354342</v>
      </c>
      <c r="G86">
        <v>0.5726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0.76000000000000312</v>
      </c>
      <c r="Q86">
        <f t="shared" ref="Q86" si="406">F86*P86</f>
        <v>1029299.9200000042</v>
      </c>
      <c r="R86">
        <f t="shared" ref="R86" si="407">R87+Q86</f>
        <v>-279049037.44492722</v>
      </c>
      <c r="S86">
        <f t="shared" ref="S86" si="408">R86/100000</f>
        <v>-2790.4903744492722</v>
      </c>
      <c r="T86">
        <f t="shared" ref="T86" si="409">S86/1000</f>
        <v>-2.7904903744492722</v>
      </c>
    </row>
    <row r="87" spans="1:20" x14ac:dyDescent="0.25">
      <c r="A87" s="5">
        <v>44506</v>
      </c>
      <c r="B87">
        <v>0.55889999999999995</v>
      </c>
      <c r="C87">
        <v>0.56169999999999998</v>
      </c>
      <c r="D87">
        <v>0.55089999999999995</v>
      </c>
      <c r="E87">
        <v>0.5605</v>
      </c>
      <c r="F87">
        <v>1070920</v>
      </c>
      <c r="G87">
        <v>0.5605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0.77777777777778234</v>
      </c>
      <c r="Q87">
        <f t="shared" ref="Q87" si="411">F87*P87</f>
        <v>832937.77777778264</v>
      </c>
      <c r="R87">
        <f t="shared" ref="R87" si="412">R88+Q87</f>
        <v>-280078337.36492723</v>
      </c>
      <c r="S87">
        <f t="shared" ref="S87" si="413">R87/100000</f>
        <v>-2800.7833736492721</v>
      </c>
      <c r="T87">
        <f t="shared" ref="T87" si="414">S87/1000</f>
        <v>-2.800783373649272</v>
      </c>
    </row>
    <row r="88" spans="1:20" x14ac:dyDescent="0.25">
      <c r="A88" s="5">
        <v>44505</v>
      </c>
      <c r="B88">
        <v>0.57640000000000002</v>
      </c>
      <c r="C88">
        <v>0.58750000000000002</v>
      </c>
      <c r="D88">
        <v>0.55359999999999998</v>
      </c>
      <c r="E88">
        <v>0.55930000000000002</v>
      </c>
      <c r="F88">
        <v>2455097</v>
      </c>
      <c r="G88">
        <v>0.55930000000000002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-0.66371681415929018</v>
      </c>
      <c r="Q88">
        <f t="shared" ref="Q88" si="416">F88*P88</f>
        <v>-1629489.1592920308</v>
      </c>
      <c r="R88">
        <f t="shared" ref="R88" si="417">R89+Q88</f>
        <v>-280911275.14270502</v>
      </c>
      <c r="S88">
        <f t="shared" ref="S88" si="418">R88/100000</f>
        <v>-2809.1127514270502</v>
      </c>
      <c r="T88">
        <f t="shared" ref="T88" si="419">S88/1000</f>
        <v>-2.8091127514270502</v>
      </c>
    </row>
    <row r="89" spans="1:20" x14ac:dyDescent="0.25">
      <c r="A89" s="5">
        <v>44504</v>
      </c>
      <c r="B89">
        <v>0.58189999999999997</v>
      </c>
      <c r="C89">
        <v>0.71</v>
      </c>
      <c r="D89">
        <v>0.56399999999999995</v>
      </c>
      <c r="E89">
        <v>0.57640000000000002</v>
      </c>
      <c r="F89">
        <v>11327922</v>
      </c>
      <c r="G89">
        <v>0.57640000000000002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-0.83013698630136878</v>
      </c>
      <c r="Q89">
        <f t="shared" ref="Q89" si="421">F89*P89</f>
        <v>-9403727.0301369745</v>
      </c>
      <c r="R89">
        <f t="shared" ref="R89" si="422">R90+Q89</f>
        <v>-279281785.98341298</v>
      </c>
      <c r="S89">
        <f t="shared" ref="S89" si="423">R89/100000</f>
        <v>-2792.8178598341296</v>
      </c>
      <c r="T89">
        <f t="shared" ref="T89" si="424">S89/1000</f>
        <v>-2.7928178598341296</v>
      </c>
    </row>
    <row r="90" spans="1:20" x14ac:dyDescent="0.25">
      <c r="A90" s="5">
        <v>44503</v>
      </c>
      <c r="B90">
        <v>0.58399999999999996</v>
      </c>
      <c r="C90">
        <v>0.6</v>
      </c>
      <c r="D90">
        <v>0.55459999999999998</v>
      </c>
      <c r="E90">
        <v>0.58199999999999996</v>
      </c>
      <c r="F90">
        <v>3188685</v>
      </c>
      <c r="G90">
        <v>0.58199999999999996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0.20704845814977896</v>
      </c>
      <c r="Q90">
        <f t="shared" ref="Q90" si="426">F90*P90</f>
        <v>660212.31277532794</v>
      </c>
      <c r="R90">
        <f t="shared" ref="R90" si="427">R91+Q90</f>
        <v>-269878058.95327598</v>
      </c>
      <c r="S90">
        <f t="shared" ref="S90" si="428">R90/100000</f>
        <v>-2698.7805895327597</v>
      </c>
      <c r="T90">
        <f t="shared" ref="T90" si="429">S90/1000</f>
        <v>-2.6987805895327597</v>
      </c>
    </row>
    <row r="91" spans="1:20" x14ac:dyDescent="0.25">
      <c r="A91" s="5">
        <v>44502</v>
      </c>
      <c r="B91">
        <v>0.55559999999999998</v>
      </c>
      <c r="C91">
        <v>0.58520000000000005</v>
      </c>
      <c r="D91">
        <v>0.54949999999999999</v>
      </c>
      <c r="E91">
        <v>0.58399999999999996</v>
      </c>
      <c r="F91">
        <v>2706645</v>
      </c>
      <c r="G91">
        <v>0.58399999999999996</v>
      </c>
      <c r="L91" t="s">
        <v>7</v>
      </c>
      <c r="M91" t="s">
        <v>8</v>
      </c>
      <c r="N91" t="s">
        <v>7</v>
      </c>
      <c r="P91">
        <f t="shared" ref="P91" si="430">IF(C91=D91,0,((E91-D91)-(C91-E91))/(C91-D91))</f>
        <v>0.93277310924369261</v>
      </c>
      <c r="Q91">
        <f t="shared" ref="Q91" si="431">F91*P91</f>
        <v>2524685.6722688945</v>
      </c>
      <c r="R91">
        <f t="shared" ref="R91" si="432">R92+Q91</f>
        <v>-270538271.26605129</v>
      </c>
      <c r="S91">
        <f t="shared" ref="S91" si="433">R91/100000</f>
        <v>-2705.3827126605129</v>
      </c>
      <c r="T91">
        <f t="shared" ref="T91" si="434">S91/1000</f>
        <v>-2.705382712660513</v>
      </c>
    </row>
    <row r="92" spans="1:20" x14ac:dyDescent="0.25">
      <c r="A92" s="5">
        <v>44501</v>
      </c>
      <c r="B92">
        <v>0.56479999999999997</v>
      </c>
      <c r="C92">
        <v>0.57999999999999996</v>
      </c>
      <c r="D92">
        <v>0.54569999999999996</v>
      </c>
      <c r="E92">
        <v>0.55559999999999998</v>
      </c>
      <c r="F92">
        <v>1643573</v>
      </c>
      <c r="G92">
        <v>0.55559999999999998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-0.42274052478133989</v>
      </c>
      <c r="Q92">
        <f t="shared" ref="Q92" si="436">F92*P92</f>
        <v>-694804.91253644112</v>
      </c>
      <c r="R92">
        <f t="shared" ref="R92" si="437">R93+Q92</f>
        <v>-273062956.93832016</v>
      </c>
      <c r="S92">
        <f t="shared" ref="S92" si="438">R92/100000</f>
        <v>-2730.6295693832017</v>
      </c>
      <c r="T92">
        <f t="shared" ref="T92" si="439">S92/1000</f>
        <v>-2.7306295693832014</v>
      </c>
    </row>
    <row r="93" spans="1:20" x14ac:dyDescent="0.25">
      <c r="A93" s="5">
        <v>44500</v>
      </c>
      <c r="B93">
        <v>0.55249999999999999</v>
      </c>
      <c r="C93">
        <v>0.58140000000000003</v>
      </c>
      <c r="D93">
        <v>0.54510000000000003</v>
      </c>
      <c r="E93">
        <v>0.5645</v>
      </c>
      <c r="F93">
        <v>1900469</v>
      </c>
      <c r="G93">
        <v>0.5645</v>
      </c>
      <c r="L93" t="s">
        <v>7</v>
      </c>
      <c r="M93" t="s">
        <v>8</v>
      </c>
      <c r="N93" t="s">
        <v>7</v>
      </c>
      <c r="P93">
        <f t="shared" ref="P93" si="440">IF(C93=D93,0,((E93-D93)-(C93-E93))/(C93-D93))</f>
        <v>6.8870523415976492E-2</v>
      </c>
      <c r="Q93">
        <f t="shared" ref="Q93" si="441">F93*P93</f>
        <v>130886.29476583743</v>
      </c>
      <c r="R93">
        <f t="shared" ref="R93" si="442">R94+Q93</f>
        <v>-272368152.02578372</v>
      </c>
      <c r="S93">
        <f t="shared" ref="S93" si="443">R93/100000</f>
        <v>-2723.6815202578373</v>
      </c>
      <c r="T93">
        <f t="shared" ref="T93" si="444">S93/1000</f>
        <v>-2.7236815202578373</v>
      </c>
    </row>
    <row r="94" spans="1:20" x14ac:dyDescent="0.25">
      <c r="A94" s="5">
        <v>44499</v>
      </c>
      <c r="B94">
        <v>0.56489999999999996</v>
      </c>
      <c r="C94">
        <v>0.57289999999999996</v>
      </c>
      <c r="D94">
        <v>0.54569999999999996</v>
      </c>
      <c r="E94">
        <v>0.55200000000000005</v>
      </c>
      <c r="F94">
        <v>2250245</v>
      </c>
      <c r="G94">
        <v>0.55200000000000005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-0.53676470588234682</v>
      </c>
      <c r="Q94">
        <f t="shared" ref="Q94" si="446">F94*P94</f>
        <v>-1207852.0955882214</v>
      </c>
      <c r="R94">
        <f t="shared" ref="R94" si="447">R95+Q94</f>
        <v>-272499038.32054955</v>
      </c>
      <c r="S94">
        <f t="shared" ref="S94" si="448">R94/100000</f>
        <v>-2724.9903832054956</v>
      </c>
      <c r="T94">
        <f t="shared" ref="T94" si="449">S94/1000</f>
        <v>-2.7249903832054958</v>
      </c>
    </row>
    <row r="95" spans="1:20" x14ac:dyDescent="0.25">
      <c r="A95" s="5">
        <v>44498</v>
      </c>
      <c r="B95">
        <v>0.53320000000000001</v>
      </c>
      <c r="C95">
        <v>0.63619999999999999</v>
      </c>
      <c r="D95">
        <v>0.53049999999999997</v>
      </c>
      <c r="E95">
        <v>0.56499999999999995</v>
      </c>
      <c r="F95">
        <v>6178099</v>
      </c>
      <c r="G95">
        <v>0.56499999999999995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-0.34720908230842062</v>
      </c>
      <c r="Q95">
        <f t="shared" ref="Q95" si="451">F95*P95</f>
        <v>-2145092.0842005713</v>
      </c>
      <c r="R95">
        <f t="shared" ref="R95" si="452">R96+Q95</f>
        <v>-271291186.22496134</v>
      </c>
      <c r="S95">
        <f t="shared" ref="S95" si="453">R95/100000</f>
        <v>-2712.9118622496135</v>
      </c>
      <c r="T95">
        <f t="shared" ref="T95" si="454">S95/1000</f>
        <v>-2.7129118622496136</v>
      </c>
    </row>
    <row r="96" spans="1:20" x14ac:dyDescent="0.25">
      <c r="A96" s="5">
        <v>44497</v>
      </c>
      <c r="B96">
        <v>0.52790000000000004</v>
      </c>
      <c r="C96">
        <v>0.54569999999999996</v>
      </c>
      <c r="D96">
        <v>0.51480000000000004</v>
      </c>
      <c r="E96">
        <v>0.53539999999999999</v>
      </c>
      <c r="F96">
        <v>1464038</v>
      </c>
      <c r="G96">
        <v>0.53539999999999999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0.33333333333333331</v>
      </c>
      <c r="Q96">
        <f t="shared" ref="Q96" si="456">F96*P96</f>
        <v>488012.66666666663</v>
      </c>
      <c r="R96">
        <f t="shared" ref="R96" si="457">R97+Q96</f>
        <v>-269146094.14076078</v>
      </c>
      <c r="S96">
        <f t="shared" ref="S96" si="458">R96/100000</f>
        <v>-2691.4609414076076</v>
      </c>
      <c r="T96">
        <f t="shared" ref="T96" si="459">S96/1000</f>
        <v>-2.6914609414076076</v>
      </c>
    </row>
    <row r="97" spans="1:20" x14ac:dyDescent="0.25">
      <c r="A97" s="5">
        <v>44496</v>
      </c>
      <c r="B97">
        <v>0.58450000000000002</v>
      </c>
      <c r="C97">
        <v>0.58799999999999997</v>
      </c>
      <c r="D97">
        <v>0.51259999999999994</v>
      </c>
      <c r="E97">
        <v>0.52790000000000004</v>
      </c>
      <c r="F97">
        <v>1854869</v>
      </c>
      <c r="G97">
        <v>0.52790000000000004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-0.5941644562334194</v>
      </c>
      <c r="Q97">
        <f t="shared" ref="Q97" si="461">F97*P97</f>
        <v>-1102097.2307692263</v>
      </c>
      <c r="R97">
        <f t="shared" ref="R97" si="462">R98+Q97</f>
        <v>-269634106.80742747</v>
      </c>
      <c r="S97">
        <f t="shared" ref="S97" si="463">R97/100000</f>
        <v>-2696.3410680742745</v>
      </c>
      <c r="T97">
        <f t="shared" ref="T97" si="464">S97/1000</f>
        <v>-2.6963410680742745</v>
      </c>
    </row>
    <row r="98" spans="1:20" x14ac:dyDescent="0.25">
      <c r="A98" s="5">
        <v>44495</v>
      </c>
      <c r="B98">
        <v>0.59119999999999995</v>
      </c>
      <c r="C98">
        <v>0.61</v>
      </c>
      <c r="D98">
        <v>0.58009999999999995</v>
      </c>
      <c r="E98">
        <v>0.58550000000000002</v>
      </c>
      <c r="F98">
        <v>4595101</v>
      </c>
      <c r="G98">
        <v>0.58550000000000002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-0.63879598662206927</v>
      </c>
      <c r="Q98">
        <f t="shared" ref="Q98" si="466">F98*P98</f>
        <v>-2935332.076923057</v>
      </c>
      <c r="R98">
        <f t="shared" ref="R98" si="467">R99+Q98</f>
        <v>-268532009.57665825</v>
      </c>
      <c r="S98">
        <f t="shared" ref="S98" si="468">R98/100000</f>
        <v>-2685.3200957665827</v>
      </c>
      <c r="T98">
        <f t="shared" ref="T98" si="469">S98/1000</f>
        <v>-2.6853200957665826</v>
      </c>
    </row>
    <row r="99" spans="1:20" x14ac:dyDescent="0.25">
      <c r="A99" s="5">
        <v>44494</v>
      </c>
      <c r="B99">
        <v>0.5746</v>
      </c>
      <c r="C99">
        <v>0.59299999999999997</v>
      </c>
      <c r="D99">
        <v>0.57240000000000002</v>
      </c>
      <c r="E99">
        <v>0.58930000000000005</v>
      </c>
      <c r="F99">
        <v>1178726</v>
      </c>
      <c r="G99">
        <v>0.58930000000000005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0.64077669902913259</v>
      </c>
      <c r="Q99">
        <f t="shared" ref="Q99" si="471">F99*P99</f>
        <v>755300.15533981333</v>
      </c>
      <c r="R99">
        <f t="shared" ref="R99" si="472">R100+Q99</f>
        <v>-265596677.49973521</v>
      </c>
      <c r="S99">
        <f t="shared" ref="S99" si="473">R99/100000</f>
        <v>-2655.9667749973519</v>
      </c>
      <c r="T99">
        <f t="shared" ref="T99" si="474">S99/1000</f>
        <v>-2.6559667749973519</v>
      </c>
    </row>
    <row r="100" spans="1:20" x14ac:dyDescent="0.25">
      <c r="A100" s="5">
        <v>44493</v>
      </c>
      <c r="B100">
        <v>0.59189999999999998</v>
      </c>
      <c r="C100">
        <v>0.59830000000000005</v>
      </c>
      <c r="D100">
        <v>0.56359999999999999</v>
      </c>
      <c r="E100">
        <v>0.57369999999999999</v>
      </c>
      <c r="F100">
        <v>2481033</v>
      </c>
      <c r="G100">
        <v>0.57369999999999999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-0.41786743515850266</v>
      </c>
      <c r="Q100">
        <f t="shared" ref="Q100" si="476">F100*P100</f>
        <v>-1036742.8962536054</v>
      </c>
      <c r="R100">
        <f t="shared" ref="R100" si="477">R101+Q100</f>
        <v>-266351977.65507501</v>
      </c>
      <c r="S100">
        <f t="shared" ref="S100" si="478">R100/100000</f>
        <v>-2663.5197765507501</v>
      </c>
      <c r="T100">
        <f t="shared" ref="T100" si="479">S100/1000</f>
        <v>-2.6635197765507499</v>
      </c>
    </row>
    <row r="101" spans="1:20" x14ac:dyDescent="0.25">
      <c r="A101" s="5">
        <v>44492</v>
      </c>
      <c r="B101">
        <v>0.58379999999999999</v>
      </c>
      <c r="C101">
        <v>0.59489999999999998</v>
      </c>
      <c r="D101">
        <v>0.57609999999999995</v>
      </c>
      <c r="E101">
        <v>0.59189999999999998</v>
      </c>
      <c r="F101">
        <v>1281152</v>
      </c>
      <c r="G101">
        <v>0.59189999999999998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0.68085106382978766</v>
      </c>
      <c r="Q101">
        <f t="shared" ref="Q101" si="481">F101*P101</f>
        <v>872273.70212766016</v>
      </c>
      <c r="R101">
        <f t="shared" ref="R101" si="482">R102+Q101</f>
        <v>-265315234.7588214</v>
      </c>
      <c r="S101">
        <f t="shared" ref="S101" si="483">R101/100000</f>
        <v>-2653.1523475882141</v>
      </c>
      <c r="T101">
        <f t="shared" ref="T101" si="484">S101/1000</f>
        <v>-2.6531523475882142</v>
      </c>
    </row>
    <row r="102" spans="1:20" x14ac:dyDescent="0.25">
      <c r="A102" s="5">
        <v>44491</v>
      </c>
      <c r="B102">
        <v>0.56999999999999995</v>
      </c>
      <c r="C102">
        <v>0.62739999999999996</v>
      </c>
      <c r="D102">
        <v>0.56999999999999995</v>
      </c>
      <c r="E102">
        <v>0.58379999999999999</v>
      </c>
      <c r="F102">
        <v>3927955</v>
      </c>
      <c r="G102">
        <v>0.58379999999999999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-0.51916376306620093</v>
      </c>
      <c r="Q102">
        <f t="shared" ref="Q102" si="486">F102*P102</f>
        <v>-2039251.8989546993</v>
      </c>
      <c r="R102">
        <f t="shared" ref="R102" si="487">R103+Q102</f>
        <v>-266187508.46094906</v>
      </c>
      <c r="S102">
        <f t="shared" ref="S102" si="488">R102/100000</f>
        <v>-2661.8750846094908</v>
      </c>
      <c r="T102">
        <f t="shared" ref="T102" si="489">S102/1000</f>
        <v>-2.6618750846094907</v>
      </c>
    </row>
    <row r="103" spans="1:20" x14ac:dyDescent="0.25">
      <c r="A103" s="5">
        <v>44490</v>
      </c>
      <c r="B103">
        <v>0.59330000000000005</v>
      </c>
      <c r="C103">
        <v>0.6119</v>
      </c>
      <c r="D103">
        <v>0.56799999999999995</v>
      </c>
      <c r="E103">
        <v>0.56879999999999997</v>
      </c>
      <c r="F103">
        <v>2951265</v>
      </c>
      <c r="G103">
        <v>0.56879999999999997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-0.96355353075170747</v>
      </c>
      <c r="Q103">
        <f t="shared" ref="Q103" si="491">F103*P103</f>
        <v>-2843701.8109339378</v>
      </c>
      <c r="R103">
        <f t="shared" ref="R103" si="492">R104+Q103</f>
        <v>-264148256.56199437</v>
      </c>
      <c r="S103">
        <f t="shared" ref="S103" si="493">R103/100000</f>
        <v>-2641.4825656199437</v>
      </c>
      <c r="T103">
        <f t="shared" ref="T103" si="494">S103/1000</f>
        <v>-2.6414825656199437</v>
      </c>
    </row>
    <row r="104" spans="1:20" x14ac:dyDescent="0.25">
      <c r="A104" s="5">
        <v>44489</v>
      </c>
      <c r="B104">
        <v>0.57150000000000001</v>
      </c>
      <c r="C104">
        <v>0.60060000000000002</v>
      </c>
      <c r="D104">
        <v>0.55820000000000003</v>
      </c>
      <c r="E104">
        <v>0.59219999999999995</v>
      </c>
      <c r="F104">
        <v>3101103</v>
      </c>
      <c r="G104">
        <v>0.59219999999999995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0.6037735849056568</v>
      </c>
      <c r="Q104">
        <f t="shared" ref="Q104" si="496">F104*P104</f>
        <v>1872364.0754716871</v>
      </c>
      <c r="R104">
        <f t="shared" ref="R104" si="497">R105+Q104</f>
        <v>-261304554.75106043</v>
      </c>
      <c r="S104">
        <f t="shared" ref="S104" si="498">R104/100000</f>
        <v>-2613.0455475106041</v>
      </c>
      <c r="T104">
        <f t="shared" ref="T104" si="499">S104/1000</f>
        <v>-2.613045547510604</v>
      </c>
    </row>
    <row r="105" spans="1:20" x14ac:dyDescent="0.25">
      <c r="A105" s="5">
        <v>44488</v>
      </c>
      <c r="B105">
        <v>0.58779999999999999</v>
      </c>
      <c r="C105">
        <v>0.59289999999999998</v>
      </c>
      <c r="D105">
        <v>0.56730000000000003</v>
      </c>
      <c r="E105">
        <v>0.57150000000000001</v>
      </c>
      <c r="F105">
        <v>2459195</v>
      </c>
      <c r="G105">
        <v>0.57150000000000001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-0.67187500000000089</v>
      </c>
      <c r="Q105">
        <f t="shared" ref="Q105" si="501">F105*P105</f>
        <v>-1652271.6406250021</v>
      </c>
      <c r="R105">
        <f t="shared" ref="R105" si="502">R106+Q105</f>
        <v>-263176918.82653213</v>
      </c>
      <c r="S105">
        <f t="shared" ref="S105" si="503">R105/100000</f>
        <v>-2631.7691882653212</v>
      </c>
      <c r="T105">
        <f t="shared" ref="T105" si="504">S105/1000</f>
        <v>-2.6317691882653214</v>
      </c>
    </row>
    <row r="106" spans="1:20" x14ac:dyDescent="0.25">
      <c r="A106" s="5">
        <v>44487</v>
      </c>
      <c r="B106">
        <v>0.60070000000000001</v>
      </c>
      <c r="C106">
        <v>0.64349999999999996</v>
      </c>
      <c r="D106">
        <v>0.58120000000000005</v>
      </c>
      <c r="E106">
        <v>0.58750000000000002</v>
      </c>
      <c r="F106">
        <v>10358538</v>
      </c>
      <c r="G106">
        <v>0.58750000000000002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-0.79775280898876466</v>
      </c>
      <c r="Q106">
        <f t="shared" ref="Q106" si="506">F106*P106</f>
        <v>-8263552.7865168601</v>
      </c>
      <c r="R106">
        <f t="shared" ref="R106" si="507">R107+Q106</f>
        <v>-261524647.18590713</v>
      </c>
      <c r="S106">
        <f t="shared" ref="S106" si="508">R106/100000</f>
        <v>-2615.2464718590713</v>
      </c>
      <c r="T106">
        <f t="shared" ref="T106" si="509">S106/1000</f>
        <v>-2.6152464718590713</v>
      </c>
    </row>
    <row r="107" spans="1:20" x14ac:dyDescent="0.25">
      <c r="A107" s="5">
        <v>44486</v>
      </c>
      <c r="B107">
        <v>0.57950000000000002</v>
      </c>
      <c r="C107">
        <v>0.7177</v>
      </c>
      <c r="D107">
        <v>0.55310000000000004</v>
      </c>
      <c r="E107">
        <v>0.6008</v>
      </c>
      <c r="F107">
        <v>18263185</v>
      </c>
      <c r="G107">
        <v>0.6008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-0.42041312272175002</v>
      </c>
      <c r="Q107">
        <f t="shared" ref="Q107" si="511">F107*P107</f>
        <v>-7678082.6366950246</v>
      </c>
      <c r="R107">
        <f t="shared" ref="R107" si="512">R108+Q107</f>
        <v>-253261094.39939028</v>
      </c>
      <c r="S107">
        <f t="shared" ref="S107" si="513">R107/100000</f>
        <v>-2532.6109439939028</v>
      </c>
      <c r="T107">
        <f t="shared" ref="T107" si="514">S107/1000</f>
        <v>-2.5326109439939026</v>
      </c>
    </row>
    <row r="108" spans="1:20" x14ac:dyDescent="0.25">
      <c r="A108" s="5">
        <v>44485</v>
      </c>
      <c r="B108">
        <v>0.55740000000000001</v>
      </c>
      <c r="C108">
        <v>0.60850000000000004</v>
      </c>
      <c r="D108">
        <v>0.55740000000000001</v>
      </c>
      <c r="E108">
        <v>0.5786</v>
      </c>
      <c r="F108">
        <v>6728195</v>
      </c>
      <c r="G108">
        <v>0.5786</v>
      </c>
      <c r="L108" t="s">
        <v>7</v>
      </c>
      <c r="M108" t="s">
        <v>8</v>
      </c>
      <c r="N108" t="s">
        <v>7</v>
      </c>
      <c r="P108">
        <f t="shared" ref="P108" si="515">IF(C108=D108,0,((E108-D108)-(C108-E108))/(C108-D108))</f>
        <v>-0.17025440313111614</v>
      </c>
      <c r="Q108">
        <f t="shared" ref="Q108" si="516">F108*P108</f>
        <v>-1145504.82387476</v>
      </c>
      <c r="R108">
        <f t="shared" ref="R108" si="517">R109+Q108</f>
        <v>-245583011.76269525</v>
      </c>
      <c r="S108">
        <f t="shared" ref="S108" si="518">R108/100000</f>
        <v>-2455.8301176269524</v>
      </c>
      <c r="T108">
        <f t="shared" ref="T108" si="519">S108/1000</f>
        <v>-2.4558301176269524</v>
      </c>
    </row>
    <row r="109" spans="1:20" x14ac:dyDescent="0.25">
      <c r="A109" s="5">
        <v>44484</v>
      </c>
      <c r="B109">
        <v>0.55089999999999995</v>
      </c>
      <c r="C109">
        <v>0.63</v>
      </c>
      <c r="D109">
        <v>0.53359999999999996</v>
      </c>
      <c r="E109">
        <v>0.55900000000000005</v>
      </c>
      <c r="F109">
        <v>11466016</v>
      </c>
      <c r="G109">
        <v>0.55900000000000005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-0.4730290456431519</v>
      </c>
      <c r="Q109">
        <f t="shared" ref="Q109" si="521">F109*P109</f>
        <v>-5423758.6058091102</v>
      </c>
      <c r="R109">
        <f t="shared" ref="R109" si="522">R110+Q109</f>
        <v>-244437506.93882048</v>
      </c>
      <c r="S109">
        <f t="shared" ref="S109" si="523">R109/100000</f>
        <v>-2444.3750693882048</v>
      </c>
      <c r="T109">
        <f t="shared" ref="T109" si="524">S109/1000</f>
        <v>-2.4443750693882049</v>
      </c>
    </row>
    <row r="110" spans="1:20" x14ac:dyDescent="0.25">
      <c r="A110" s="5">
        <v>44483</v>
      </c>
      <c r="B110">
        <v>0.52749999999999997</v>
      </c>
      <c r="C110">
        <v>0.5544</v>
      </c>
      <c r="D110">
        <v>0.52370000000000005</v>
      </c>
      <c r="E110">
        <v>0.55089999999999995</v>
      </c>
      <c r="F110">
        <v>2295882</v>
      </c>
      <c r="G110">
        <v>0.55089999999999995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0.77198697068403488</v>
      </c>
      <c r="Q110">
        <f t="shared" ref="Q110" si="526">F110*P110</f>
        <v>1772390.9902280034</v>
      </c>
      <c r="R110">
        <f t="shared" ref="R110" si="527">R111+Q110</f>
        <v>-239013748.33301136</v>
      </c>
      <c r="S110">
        <f t="shared" ref="S110" si="528">R110/100000</f>
        <v>-2390.1374833301138</v>
      </c>
      <c r="T110">
        <f t="shared" ref="T110" si="529">S110/1000</f>
        <v>-2.3901374833301139</v>
      </c>
    </row>
    <row r="111" spans="1:20" x14ac:dyDescent="0.25">
      <c r="A111" s="5">
        <v>44482</v>
      </c>
      <c r="B111">
        <v>0.52470000000000006</v>
      </c>
      <c r="C111">
        <v>0.5444</v>
      </c>
      <c r="D111">
        <v>0.51280000000000003</v>
      </c>
      <c r="E111">
        <v>0.5272</v>
      </c>
      <c r="F111">
        <v>2152943</v>
      </c>
      <c r="G111">
        <v>0.5272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-8.8607594936709749E-2</v>
      </c>
      <c r="Q111">
        <f t="shared" ref="Q111" si="531">F111*P111</f>
        <v>-190767.10126582469</v>
      </c>
      <c r="R111">
        <f t="shared" ref="R111" si="532">R112+Q111</f>
        <v>-240786139.32323936</v>
      </c>
      <c r="S111">
        <f t="shared" ref="S111" si="533">R111/100000</f>
        <v>-2407.8613932323938</v>
      </c>
      <c r="T111">
        <f t="shared" ref="T111" si="534">S111/1000</f>
        <v>-2.4078613932323938</v>
      </c>
    </row>
    <row r="112" spans="1:20" x14ac:dyDescent="0.25">
      <c r="A112" s="5">
        <v>44481</v>
      </c>
      <c r="B112">
        <v>0.52180000000000004</v>
      </c>
      <c r="C112">
        <v>0.5655</v>
      </c>
      <c r="D112">
        <v>0.49669999999999997</v>
      </c>
      <c r="E112">
        <v>0.5232</v>
      </c>
      <c r="F112">
        <v>5001879</v>
      </c>
      <c r="G112">
        <v>0.5232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-0.22965116279069731</v>
      </c>
      <c r="Q112">
        <f t="shared" ref="Q112" si="536">F112*P112</f>
        <v>-1148687.3284883702</v>
      </c>
      <c r="R112">
        <f t="shared" ref="R112" si="537">R113+Q112</f>
        <v>-240595372.22197354</v>
      </c>
      <c r="S112">
        <f t="shared" ref="S112" si="538">R112/100000</f>
        <v>-2405.9537222197355</v>
      </c>
      <c r="T112">
        <f t="shared" ref="T112" si="539">S112/1000</f>
        <v>-2.4059537222197354</v>
      </c>
    </row>
    <row r="113" spans="1:20" x14ac:dyDescent="0.25">
      <c r="A113" s="5">
        <v>44480</v>
      </c>
      <c r="B113">
        <v>0.54200000000000004</v>
      </c>
      <c r="C113">
        <v>0.58360000000000001</v>
      </c>
      <c r="D113">
        <v>0.51439999999999997</v>
      </c>
      <c r="E113">
        <v>0.52229999999999999</v>
      </c>
      <c r="F113">
        <v>3910859</v>
      </c>
      <c r="G113">
        <v>0.52229999999999999</v>
      </c>
      <c r="L113" t="s">
        <v>8</v>
      </c>
      <c r="M113" t="s">
        <v>7</v>
      </c>
      <c r="N113" t="s">
        <v>7</v>
      </c>
      <c r="P113">
        <f t="shared" ref="P113" si="540">IF(C113=D113,0,((E113-D113)-(C113-E113))/(C113-D113))</f>
        <v>-0.77167630057803427</v>
      </c>
      <c r="Q113">
        <f t="shared" ref="Q113" si="541">F113*P113</f>
        <v>-3017917.2052023103</v>
      </c>
      <c r="R113">
        <f t="shared" ref="R113" si="542">R114+Q113</f>
        <v>-239446684.89348516</v>
      </c>
      <c r="S113">
        <f t="shared" ref="S113" si="543">R113/100000</f>
        <v>-2394.4668489348514</v>
      </c>
      <c r="T113">
        <f t="shared" ref="T113" si="544">S113/1000</f>
        <v>-2.3944668489348513</v>
      </c>
    </row>
    <row r="114" spans="1:20" x14ac:dyDescent="0.25">
      <c r="A114" s="5">
        <v>44479</v>
      </c>
      <c r="B114">
        <v>0.52639999999999998</v>
      </c>
      <c r="C114">
        <v>0.59719999999999995</v>
      </c>
      <c r="D114">
        <v>0.51649999999999996</v>
      </c>
      <c r="E114">
        <v>0.54179999999999995</v>
      </c>
      <c r="F114">
        <v>9676433</v>
      </c>
      <c r="G114">
        <v>0.54179999999999995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-0.37298636926889739</v>
      </c>
      <c r="Q114">
        <f t="shared" ref="Q114" si="546">F114*P114</f>
        <v>-3609177.6121437447</v>
      </c>
      <c r="R114">
        <f t="shared" ref="R114" si="547">R115+Q114</f>
        <v>-236428767.68828285</v>
      </c>
      <c r="S114">
        <f t="shared" ref="S114" si="548">R114/100000</f>
        <v>-2364.2876768828287</v>
      </c>
      <c r="T114">
        <f t="shared" ref="T114" si="549">S114/1000</f>
        <v>-2.3642876768828285</v>
      </c>
    </row>
    <row r="115" spans="1:20" x14ac:dyDescent="0.25">
      <c r="A115" s="5">
        <v>44478</v>
      </c>
      <c r="B115">
        <v>0.50870000000000004</v>
      </c>
      <c r="C115">
        <v>0.65400000000000003</v>
      </c>
      <c r="D115">
        <v>0.50509999999999999</v>
      </c>
      <c r="E115">
        <v>0.52539999999999998</v>
      </c>
      <c r="F115">
        <v>17413881</v>
      </c>
      <c r="G115">
        <v>0.52539999999999998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-0.72733378106111513</v>
      </c>
      <c r="Q115">
        <f t="shared" ref="Q115" si="551">F115*P115</f>
        <v>-12665703.910678312</v>
      </c>
      <c r="R115">
        <f t="shared" ref="R115" si="552">R116+Q115</f>
        <v>-232819590.07613909</v>
      </c>
      <c r="S115">
        <f t="shared" ref="S115" si="553">R115/100000</f>
        <v>-2328.1959007613909</v>
      </c>
      <c r="T115">
        <f t="shared" ref="T115" si="554">S115/1000</f>
        <v>-2.3281959007613908</v>
      </c>
    </row>
    <row r="116" spans="1:20" x14ac:dyDescent="0.25">
      <c r="A116" s="5">
        <v>44477</v>
      </c>
      <c r="B116">
        <v>0.5373</v>
      </c>
      <c r="C116">
        <v>0.54959999999999998</v>
      </c>
      <c r="D116">
        <v>0.50119999999999998</v>
      </c>
      <c r="E116">
        <v>0.50819999999999999</v>
      </c>
      <c r="F116">
        <v>4322675</v>
      </c>
      <c r="G116">
        <v>0.50819999999999999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-0.7107438016528923</v>
      </c>
      <c r="Q116">
        <f t="shared" ref="Q116" si="556">F116*P116</f>
        <v>-3072314.4628099161</v>
      </c>
      <c r="R116">
        <f t="shared" ref="R116" si="557">R117+Q116</f>
        <v>-220153886.16546077</v>
      </c>
      <c r="S116">
        <f t="shared" ref="S116" si="558">R116/100000</f>
        <v>-2201.5388616546074</v>
      </c>
      <c r="T116">
        <f t="shared" ref="T116" si="559">S116/1000</f>
        <v>-2.2015388616546074</v>
      </c>
    </row>
    <row r="117" spans="1:20" x14ac:dyDescent="0.25">
      <c r="A117" s="5">
        <v>44476</v>
      </c>
      <c r="B117">
        <v>0.4914</v>
      </c>
      <c r="C117">
        <v>0.75600000000000001</v>
      </c>
      <c r="D117">
        <v>0.4743</v>
      </c>
      <c r="E117">
        <v>0.53559999999999997</v>
      </c>
      <c r="F117">
        <v>36727579.689999998</v>
      </c>
      <c r="G117">
        <v>0.53559999999999997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-0.56478523251686219</v>
      </c>
      <c r="Q117">
        <f t="shared" ref="Q117" si="561">F117*P117</f>
        <v>-20743194.634998236</v>
      </c>
      <c r="R117">
        <f t="shared" ref="R117" si="562">R118+Q117</f>
        <v>-217081571.70265085</v>
      </c>
      <c r="S117">
        <f t="shared" ref="S117" si="563">R117/100000</f>
        <v>-2170.8157170265085</v>
      </c>
      <c r="T117">
        <f t="shared" ref="T117" si="564">S117/1000</f>
        <v>-2.1708157170265086</v>
      </c>
    </row>
    <row r="118" spans="1:20" x14ac:dyDescent="0.25">
      <c r="A118" s="5">
        <v>44475</v>
      </c>
      <c r="B118">
        <v>0.47460000000000002</v>
      </c>
      <c r="C118">
        <v>0.52</v>
      </c>
      <c r="D118">
        <v>0.45</v>
      </c>
      <c r="E118">
        <v>0.49</v>
      </c>
      <c r="F118">
        <v>10000284</v>
      </c>
      <c r="G118">
        <v>0.49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0.14285714285714218</v>
      </c>
      <c r="Q118">
        <f t="shared" ref="Q118" si="566">F118*P118</f>
        <v>1428611.9999999932</v>
      </c>
      <c r="R118">
        <f t="shared" ref="R118" si="567">R119+Q118</f>
        <v>-196338377.06765261</v>
      </c>
      <c r="S118">
        <f t="shared" ref="S118" si="568">R118/100000</f>
        <v>-1963.3837706765262</v>
      </c>
      <c r="T118">
        <f t="shared" ref="T118" si="569">S118/1000</f>
        <v>-1.9633837706765263</v>
      </c>
    </row>
    <row r="119" spans="1:20" x14ac:dyDescent="0.25">
      <c r="A119" s="5">
        <v>44474</v>
      </c>
      <c r="B119">
        <v>0.4511</v>
      </c>
      <c r="C119">
        <v>0.47539999999999999</v>
      </c>
      <c r="D119">
        <v>0.44319999999999998</v>
      </c>
      <c r="E119">
        <v>0.47449999999999998</v>
      </c>
      <c r="F119">
        <v>2679832</v>
      </c>
      <c r="G119">
        <v>0.47449999999999998</v>
      </c>
      <c r="L119" t="s">
        <v>8</v>
      </c>
      <c r="M119" t="s">
        <v>7</v>
      </c>
      <c r="N119" t="s">
        <v>7</v>
      </c>
      <c r="P119">
        <f t="shared" ref="P119" si="570">IF(C119=D119,0,((E119-D119)-(C119-E119))/(C119-D119))</f>
        <v>0.94409937888198681</v>
      </c>
      <c r="Q119">
        <f t="shared" ref="Q119" si="571">F119*P119</f>
        <v>2530027.7267080722</v>
      </c>
      <c r="R119">
        <f t="shared" ref="R119" si="572">R120+Q119</f>
        <v>-197766989.06765261</v>
      </c>
      <c r="S119">
        <f t="shared" ref="S119" si="573">R119/100000</f>
        <v>-1977.6698906765262</v>
      </c>
      <c r="T119">
        <f t="shared" ref="T119" si="574">S119/1000</f>
        <v>-1.9776698906765262</v>
      </c>
    </row>
    <row r="120" spans="1:20" x14ac:dyDescent="0.25">
      <c r="A120" s="5">
        <v>44473</v>
      </c>
      <c r="B120">
        <v>0.47339999999999999</v>
      </c>
      <c r="C120">
        <v>0.47660000000000002</v>
      </c>
      <c r="D120">
        <v>0.43459999999999999</v>
      </c>
      <c r="E120">
        <v>0.45100000000000001</v>
      </c>
      <c r="F120">
        <v>2607614</v>
      </c>
      <c r="G120">
        <v>0.45100000000000001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-0.21904761904761852</v>
      </c>
      <c r="Q120">
        <f t="shared" ref="Q120" si="576">F120*P120</f>
        <v>-571191.63809523673</v>
      </c>
      <c r="R120">
        <f t="shared" ref="R120" si="577">R121+Q120</f>
        <v>-200297016.7943607</v>
      </c>
      <c r="S120">
        <f t="shared" ref="S120" si="578">R120/100000</f>
        <v>-2002.9701679436071</v>
      </c>
      <c r="T120">
        <f t="shared" ref="T120" si="579">S120/1000</f>
        <v>-2.0029701679436069</v>
      </c>
    </row>
    <row r="121" spans="1:20" x14ac:dyDescent="0.25">
      <c r="A121" s="5">
        <v>44472</v>
      </c>
      <c r="B121">
        <v>0.46360000000000001</v>
      </c>
      <c r="C121">
        <v>0.48409999999999997</v>
      </c>
      <c r="D121">
        <v>0.45229999999999998</v>
      </c>
      <c r="E121">
        <v>0.4723</v>
      </c>
      <c r="F121">
        <v>2793228</v>
      </c>
      <c r="G121">
        <v>0.4723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0.25786163522012712</v>
      </c>
      <c r="Q121">
        <f t="shared" ref="Q121" si="581">F121*P121</f>
        <v>720266.33962264517</v>
      </c>
      <c r="R121">
        <f t="shared" ref="R121" si="582">R122+Q121</f>
        <v>-199725825.15626547</v>
      </c>
      <c r="S121">
        <f t="shared" ref="S121" si="583">R121/100000</f>
        <v>-1997.2582515626548</v>
      </c>
      <c r="T121">
        <f t="shared" ref="T121" si="584">S121/1000</f>
        <v>-1.9972582515626547</v>
      </c>
    </row>
    <row r="122" spans="1:20" x14ac:dyDescent="0.25">
      <c r="A122" s="5">
        <v>44471</v>
      </c>
      <c r="B122">
        <v>0.4677</v>
      </c>
      <c r="C122">
        <v>0.4899</v>
      </c>
      <c r="D122">
        <v>0.45789999999999997</v>
      </c>
      <c r="E122">
        <v>0.46360000000000001</v>
      </c>
      <c r="F122">
        <v>4900419</v>
      </c>
      <c r="G122">
        <v>0.46360000000000001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-0.64374999999999793</v>
      </c>
      <c r="Q122">
        <f t="shared" ref="Q122" si="586">F122*P122</f>
        <v>-3154644.7312499899</v>
      </c>
      <c r="R122">
        <f t="shared" ref="R122" si="587">R123+Q122</f>
        <v>-200446091.49588811</v>
      </c>
      <c r="S122">
        <f t="shared" ref="S122" si="588">R122/100000</f>
        <v>-2004.4609149588812</v>
      </c>
      <c r="T122">
        <f t="shared" ref="T122" si="589">S122/1000</f>
        <v>-2.004460914958881</v>
      </c>
    </row>
    <row r="123" spans="1:20" x14ac:dyDescent="0.25">
      <c r="A123" s="5">
        <v>44470</v>
      </c>
      <c r="B123">
        <v>0.47210000000000002</v>
      </c>
      <c r="C123">
        <v>0.48010000000000003</v>
      </c>
      <c r="D123">
        <v>0.4451</v>
      </c>
      <c r="E123">
        <v>0.46710000000000002</v>
      </c>
      <c r="F123">
        <v>8230687</v>
      </c>
      <c r="G123">
        <v>0.46710000000000002</v>
      </c>
      <c r="L123" t="s">
        <v>7</v>
      </c>
      <c r="M123" t="s">
        <v>8</v>
      </c>
      <c r="N123" t="s">
        <v>7</v>
      </c>
      <c r="P123">
        <f t="shared" ref="P123" si="590">IF(C123=D123,0,((E123-D123)-(C123-E123))/(C123-D123))</f>
        <v>0.25714285714285712</v>
      </c>
      <c r="Q123">
        <f t="shared" ref="Q123" si="591">F123*P123</f>
        <v>2116462.3714285712</v>
      </c>
      <c r="R123">
        <f t="shared" ref="R123" si="592">R124+Q123</f>
        <v>-197291446.76463813</v>
      </c>
      <c r="S123">
        <f t="shared" ref="S123" si="593">R123/100000</f>
        <v>-1972.9144676463814</v>
      </c>
      <c r="T123">
        <f t="shared" ref="T123" si="594">S123/1000</f>
        <v>-1.9729144676463815</v>
      </c>
    </row>
    <row r="124" spans="1:20" x14ac:dyDescent="0.25">
      <c r="A124" s="5">
        <v>44469</v>
      </c>
      <c r="B124">
        <v>0.41889999999999999</v>
      </c>
      <c r="C124">
        <v>0.51039999999999996</v>
      </c>
      <c r="D124">
        <v>0.4168</v>
      </c>
      <c r="E124">
        <v>0.47210000000000002</v>
      </c>
      <c r="F124">
        <v>10841980</v>
      </c>
      <c r="G124">
        <v>0.47210000000000002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0.18162393162393245</v>
      </c>
      <c r="Q124">
        <f t="shared" ref="Q124" si="596">F124*P124</f>
        <v>1969163.0341880431</v>
      </c>
      <c r="R124">
        <f t="shared" ref="R124" si="597">R125+Q124</f>
        <v>-199407909.1360667</v>
      </c>
      <c r="S124">
        <f t="shared" ref="S124" si="598">R124/100000</f>
        <v>-1994.079091360667</v>
      </c>
      <c r="T124">
        <f t="shared" ref="T124" si="599">S124/1000</f>
        <v>-1.994079091360667</v>
      </c>
    </row>
    <row r="125" spans="1:20" x14ac:dyDescent="0.25">
      <c r="A125" s="5">
        <v>44468</v>
      </c>
      <c r="B125">
        <v>0.4123</v>
      </c>
      <c r="C125">
        <v>0.43780000000000002</v>
      </c>
      <c r="D125">
        <v>0.4088</v>
      </c>
      <c r="E125">
        <v>0.41930000000000001</v>
      </c>
      <c r="F125">
        <v>2293382</v>
      </c>
      <c r="G125">
        <v>0.41930000000000001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-0.27586206896551724</v>
      </c>
      <c r="Q125">
        <f t="shared" ref="Q125" si="601">F125*P125</f>
        <v>-632657.10344827583</v>
      </c>
      <c r="R125">
        <f t="shared" ref="R125" si="602">R126+Q125</f>
        <v>-201377072.17025474</v>
      </c>
      <c r="S125">
        <f t="shared" ref="S125" si="603">R125/100000</f>
        <v>-2013.7707217025475</v>
      </c>
      <c r="T125">
        <f t="shared" ref="T125" si="604">S125/1000</f>
        <v>-2.0137707217025476</v>
      </c>
    </row>
    <row r="126" spans="1:20" x14ac:dyDescent="0.25">
      <c r="A126" s="5">
        <v>44467</v>
      </c>
      <c r="B126">
        <v>0.43030000000000002</v>
      </c>
      <c r="C126">
        <v>0.43859999999999999</v>
      </c>
      <c r="D126">
        <v>0.40939999999999999</v>
      </c>
      <c r="E126">
        <v>0.41089999999999999</v>
      </c>
      <c r="F126">
        <v>2169824</v>
      </c>
      <c r="G126">
        <v>0.41089999999999999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-0.89726027397260266</v>
      </c>
      <c r="Q126">
        <f t="shared" ref="Q126" si="606">F126*P126</f>
        <v>-1946896.8767123285</v>
      </c>
      <c r="R126">
        <f t="shared" ref="R126" si="607">R127+Q126</f>
        <v>-200744415.06680647</v>
      </c>
      <c r="S126">
        <f t="shared" ref="S126" si="608">R126/100000</f>
        <v>-2007.4441506680646</v>
      </c>
      <c r="T126">
        <f t="shared" ref="T126" si="609">S126/1000</f>
        <v>-2.0074441506680647</v>
      </c>
    </row>
    <row r="127" spans="1:20" x14ac:dyDescent="0.25">
      <c r="A127" s="5">
        <v>44466</v>
      </c>
      <c r="B127">
        <v>0.47060000000000002</v>
      </c>
      <c r="C127">
        <v>0.4834</v>
      </c>
      <c r="D127">
        <v>0.43</v>
      </c>
      <c r="E127">
        <v>0.43030000000000002</v>
      </c>
      <c r="F127">
        <v>3758606</v>
      </c>
      <c r="G127">
        <v>0.43030000000000002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-0.98876404494381942</v>
      </c>
      <c r="Q127">
        <f t="shared" ref="Q127" si="611">F127*P127</f>
        <v>-3716374.4719101093</v>
      </c>
      <c r="R127">
        <f t="shared" ref="R127" si="612">R128+Q127</f>
        <v>-198797518.19009414</v>
      </c>
      <c r="S127">
        <f t="shared" ref="S127" si="613">R127/100000</f>
        <v>-1987.9751819009414</v>
      </c>
      <c r="T127">
        <f t="shared" ref="T127" si="614">S127/1000</f>
        <v>-1.9879751819009415</v>
      </c>
    </row>
    <row r="128" spans="1:20" x14ac:dyDescent="0.25">
      <c r="A128" s="5">
        <v>44465</v>
      </c>
      <c r="B128">
        <v>0.53639999999999999</v>
      </c>
      <c r="C128">
        <v>0.53969999999999996</v>
      </c>
      <c r="D128">
        <v>0.45379999999999998</v>
      </c>
      <c r="E128">
        <v>0.47039999999999998</v>
      </c>
      <c r="F128">
        <v>18676913</v>
      </c>
      <c r="G128">
        <v>0.47039999999999998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-0.61350407450523847</v>
      </c>
      <c r="Q128">
        <f t="shared" ref="Q128" si="616">F128*P128</f>
        <v>-11458362.224679857</v>
      </c>
      <c r="R128">
        <f t="shared" ref="R128" si="617">R129+Q128</f>
        <v>-195081143.71818402</v>
      </c>
      <c r="S128">
        <f t="shared" ref="S128" si="618">R128/100000</f>
        <v>-1950.8114371818403</v>
      </c>
      <c r="T128">
        <f t="shared" ref="T128" si="619">S128/1000</f>
        <v>-1.9508114371818404</v>
      </c>
    </row>
    <row r="129" spans="1:20" x14ac:dyDescent="0.25">
      <c r="A129" s="5">
        <v>44464</v>
      </c>
      <c r="B129">
        <v>0.4234</v>
      </c>
      <c r="C129">
        <v>0.68500000000000005</v>
      </c>
      <c r="D129">
        <v>0.4214</v>
      </c>
      <c r="E129">
        <v>0.5363</v>
      </c>
      <c r="F129">
        <v>59757729</v>
      </c>
      <c r="G129">
        <v>0.5363</v>
      </c>
      <c r="L129" t="s">
        <v>8</v>
      </c>
      <c r="M129" t="s">
        <v>8</v>
      </c>
      <c r="N129" t="s">
        <v>8</v>
      </c>
      <c r="P129">
        <f t="shared" ref="P129" si="620">IF(C129=D129,0,((E129-D129)-(C129-E129))/(C129-D129))</f>
        <v>-0.12822458270106238</v>
      </c>
      <c r="Q129">
        <f t="shared" ref="Q129" si="621">F129*P129</f>
        <v>-7662409.8641881738</v>
      </c>
      <c r="R129">
        <f t="shared" ref="R129" si="622">R130+Q129</f>
        <v>-183622781.49350417</v>
      </c>
      <c r="S129">
        <f t="shared" ref="S129" si="623">R129/100000</f>
        <v>-1836.2278149350416</v>
      </c>
      <c r="T129">
        <f t="shared" ref="T129" si="624">S129/1000</f>
        <v>-1.8362278149350415</v>
      </c>
    </row>
    <row r="130" spans="1:20" x14ac:dyDescent="0.25">
      <c r="A130" s="5">
        <v>44463</v>
      </c>
      <c r="B130">
        <v>0.46739999999999998</v>
      </c>
      <c r="C130">
        <v>0.46910000000000002</v>
      </c>
      <c r="D130">
        <v>0.40260000000000001</v>
      </c>
      <c r="E130">
        <v>0.4224</v>
      </c>
      <c r="F130">
        <v>2376365</v>
      </c>
      <c r="G130">
        <v>0.4224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-0.40451127819548921</v>
      </c>
      <c r="Q130">
        <f t="shared" ref="Q130" si="626">F130*P130</f>
        <v>-961266.4436090237</v>
      </c>
      <c r="R130">
        <f t="shared" ref="R130" si="627">R131+Q130</f>
        <v>-175960371.629316</v>
      </c>
      <c r="S130">
        <f t="shared" ref="S130" si="628">R130/100000</f>
        <v>-1759.60371629316</v>
      </c>
      <c r="T130">
        <f t="shared" ref="T130" si="629">S130/1000</f>
        <v>-1.7596037162931599</v>
      </c>
    </row>
    <row r="131" spans="1:20" x14ac:dyDescent="0.25">
      <c r="A131" s="5">
        <v>44462</v>
      </c>
      <c r="B131">
        <v>0.44640000000000002</v>
      </c>
      <c r="C131">
        <v>0.47049999999999997</v>
      </c>
      <c r="D131">
        <v>0.44230000000000003</v>
      </c>
      <c r="E131">
        <v>0.46629999999999999</v>
      </c>
      <c r="F131">
        <v>2157474</v>
      </c>
      <c r="G131">
        <v>0.46629999999999999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0.70212765957446888</v>
      </c>
      <c r="Q131">
        <f t="shared" ref="Q131" si="631">F131*P131</f>
        <v>1514822.1702127676</v>
      </c>
      <c r="R131">
        <f t="shared" ref="R131" si="632">R132+Q131</f>
        <v>-174999105.18570697</v>
      </c>
      <c r="S131">
        <f t="shared" ref="S131" si="633">R131/100000</f>
        <v>-1749.9910518570698</v>
      </c>
      <c r="T131">
        <f t="shared" ref="T131" si="634">S131/1000</f>
        <v>-1.7499910518570698</v>
      </c>
    </row>
    <row r="132" spans="1:20" x14ac:dyDescent="0.25">
      <c r="A132" s="5">
        <v>44461</v>
      </c>
      <c r="B132">
        <v>0.41120000000000001</v>
      </c>
      <c r="C132">
        <v>0.4662</v>
      </c>
      <c r="D132">
        <v>0.40870000000000001</v>
      </c>
      <c r="E132">
        <v>0.44829999999999998</v>
      </c>
      <c r="F132">
        <v>3322077</v>
      </c>
      <c r="G132">
        <v>0.44829999999999998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0.37739130434782509</v>
      </c>
      <c r="Q132">
        <f t="shared" ref="Q132" si="636">F132*P132</f>
        <v>1253722.9721739097</v>
      </c>
      <c r="R132">
        <f t="shared" ref="R132" si="637">R133+Q132</f>
        <v>-176513927.35591975</v>
      </c>
      <c r="S132">
        <f t="shared" ref="S132" si="638">R132/100000</f>
        <v>-1765.1392735591976</v>
      </c>
      <c r="T132">
        <f t="shared" ref="T132" si="639">S132/1000</f>
        <v>-1.7651392735591975</v>
      </c>
    </row>
    <row r="133" spans="1:20" x14ac:dyDescent="0.25">
      <c r="A133" s="5">
        <v>44460</v>
      </c>
      <c r="B133">
        <v>0.44719999999999999</v>
      </c>
      <c r="C133">
        <v>0.46200000000000002</v>
      </c>
      <c r="D133">
        <v>0.3997</v>
      </c>
      <c r="E133">
        <v>0.40989999999999999</v>
      </c>
      <c r="F133">
        <v>3815597</v>
      </c>
      <c r="G133">
        <v>0.40989999999999999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-0.67255216693418995</v>
      </c>
      <c r="Q133">
        <f t="shared" ref="Q133" si="641">F133*P133</f>
        <v>-2566188.0304975943</v>
      </c>
      <c r="R133">
        <f t="shared" ref="R133" si="642">R134+Q133</f>
        <v>-177767650.32809365</v>
      </c>
      <c r="S133">
        <f t="shared" ref="S133" si="643">R133/100000</f>
        <v>-1777.6765032809365</v>
      </c>
      <c r="T133">
        <f t="shared" ref="T133" si="644">S133/1000</f>
        <v>-1.7776765032809365</v>
      </c>
    </row>
    <row r="134" spans="1:20" x14ac:dyDescent="0.25">
      <c r="A134" s="5">
        <v>44459</v>
      </c>
      <c r="B134">
        <v>0.5252</v>
      </c>
      <c r="C134">
        <v>0.52559999999999996</v>
      </c>
      <c r="D134">
        <v>0.45879999999999999</v>
      </c>
      <c r="E134">
        <v>0.46800000000000003</v>
      </c>
      <c r="F134">
        <v>1562698.7</v>
      </c>
      <c r="G134">
        <v>0.46800000000000003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-0.72455089820359142</v>
      </c>
      <c r="Q134">
        <f t="shared" ref="Q134" si="646">F134*P134</f>
        <v>-1132254.7467065847</v>
      </c>
      <c r="R134">
        <f t="shared" ref="R134" si="647">R135+Q134</f>
        <v>-175201462.29759607</v>
      </c>
      <c r="S134">
        <f t="shared" ref="S134" si="648">R134/100000</f>
        <v>-1752.0146229759607</v>
      </c>
      <c r="T134">
        <f t="shared" ref="T134" si="649">S134/1000</f>
        <v>-1.7520146229759608</v>
      </c>
    </row>
    <row r="135" spans="1:20" x14ac:dyDescent="0.25">
      <c r="A135" s="5">
        <v>44458</v>
      </c>
      <c r="B135">
        <v>0.52610000000000001</v>
      </c>
      <c r="C135">
        <v>0.58040000000000003</v>
      </c>
      <c r="D135">
        <v>0.51500000000000001</v>
      </c>
      <c r="E135">
        <v>0.52339999999999998</v>
      </c>
      <c r="F135">
        <v>4451855</v>
      </c>
      <c r="G135">
        <v>0.52339999999999998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-0.74311926605504708</v>
      </c>
      <c r="Q135">
        <f t="shared" ref="Q135" si="651">F135*P135</f>
        <v>-3308259.2201834917</v>
      </c>
      <c r="R135">
        <f t="shared" ref="R135" si="652">R136+Q135</f>
        <v>-174069207.55088949</v>
      </c>
      <c r="S135">
        <f t="shared" ref="S135" si="653">R135/100000</f>
        <v>-1740.692075508895</v>
      </c>
      <c r="T135">
        <f t="shared" ref="T135" si="654">S135/1000</f>
        <v>-1.740692075508895</v>
      </c>
    </row>
    <row r="136" spans="1:20" x14ac:dyDescent="0.25">
      <c r="A136" s="5">
        <v>44457</v>
      </c>
      <c r="B136">
        <v>0.51470000000000005</v>
      </c>
      <c r="C136">
        <v>0.61629999999999996</v>
      </c>
      <c r="D136">
        <v>0.50570000000000004</v>
      </c>
      <c r="E136">
        <v>0.5262</v>
      </c>
      <c r="F136">
        <v>6721426</v>
      </c>
      <c r="G136">
        <v>0.5262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-0.62929475587703476</v>
      </c>
      <c r="Q136">
        <f t="shared" ref="Q136" si="656">F136*P136</f>
        <v>-4229758.133815554</v>
      </c>
      <c r="R136">
        <f t="shared" ref="R136" si="657">R137+Q136</f>
        <v>-170760948.330706</v>
      </c>
      <c r="S136">
        <f t="shared" ref="S136" si="658">R136/100000</f>
        <v>-1707.6094833070599</v>
      </c>
      <c r="T136">
        <f t="shared" ref="T136" si="659">S136/1000</f>
        <v>-1.7076094833070599</v>
      </c>
    </row>
    <row r="137" spans="1:20" x14ac:dyDescent="0.25">
      <c r="A137" s="5">
        <v>44456</v>
      </c>
      <c r="B137">
        <v>0.53049999999999997</v>
      </c>
      <c r="C137">
        <v>0.54</v>
      </c>
      <c r="D137">
        <v>0.50360000000000005</v>
      </c>
      <c r="E137">
        <v>0.51280000000000003</v>
      </c>
      <c r="F137">
        <v>1684945</v>
      </c>
      <c r="G137">
        <v>0.51280000000000003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-0.49450549450549514</v>
      </c>
      <c r="Q137">
        <f t="shared" ref="Q137" si="661">F137*P137</f>
        <v>-833214.56043956149</v>
      </c>
      <c r="R137">
        <f t="shared" ref="R137" si="662">R138+Q137</f>
        <v>-166531190.19689044</v>
      </c>
      <c r="S137">
        <f t="shared" ref="S137" si="663">R137/100000</f>
        <v>-1665.3119019689045</v>
      </c>
      <c r="T137">
        <f t="shared" ref="T137" si="664">S137/1000</f>
        <v>-1.6653119019689044</v>
      </c>
    </row>
    <row r="138" spans="1:20" x14ac:dyDescent="0.25">
      <c r="A138" s="5">
        <v>44455</v>
      </c>
      <c r="B138">
        <v>0.55449999999999999</v>
      </c>
      <c r="C138">
        <v>0.55779999999999996</v>
      </c>
      <c r="D138">
        <v>0.52080000000000004</v>
      </c>
      <c r="E138">
        <v>0.5292</v>
      </c>
      <c r="F138">
        <v>1678414</v>
      </c>
      <c r="G138">
        <v>0.5292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-0.54594594594594703</v>
      </c>
      <c r="Q138">
        <f t="shared" ref="Q138" si="666">F138*P138</f>
        <v>-916323.3189189207</v>
      </c>
      <c r="R138">
        <f t="shared" ref="R138" si="667">R139+Q138</f>
        <v>-165697975.63645089</v>
      </c>
      <c r="S138">
        <f t="shared" ref="S138" si="668">R138/100000</f>
        <v>-1656.9797563645088</v>
      </c>
      <c r="T138">
        <f t="shared" ref="T138" si="669">S138/1000</f>
        <v>-1.6569797563645088</v>
      </c>
    </row>
    <row r="139" spans="1:20" x14ac:dyDescent="0.25">
      <c r="A139" s="5">
        <v>44454</v>
      </c>
      <c r="B139">
        <v>0.54300000000000004</v>
      </c>
      <c r="C139">
        <v>0.56389999999999996</v>
      </c>
      <c r="D139">
        <v>0.53649999999999998</v>
      </c>
      <c r="E139">
        <v>0.55389999999999995</v>
      </c>
      <c r="F139">
        <v>3346209</v>
      </c>
      <c r="G139">
        <v>0.55389999999999995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0.27007299270072876</v>
      </c>
      <c r="Q139">
        <f t="shared" ref="Q139" si="671">F139*P139</f>
        <v>903720.67883211293</v>
      </c>
      <c r="R139">
        <f t="shared" ref="R139" si="672">R140+Q139</f>
        <v>-164781652.31753197</v>
      </c>
      <c r="S139">
        <f t="shared" ref="S139" si="673">R139/100000</f>
        <v>-1647.8165231753198</v>
      </c>
      <c r="T139">
        <f t="shared" ref="T139" si="674">S139/1000</f>
        <v>-1.6478165231753199</v>
      </c>
    </row>
    <row r="140" spans="1:20" x14ac:dyDescent="0.25">
      <c r="A140" s="5">
        <v>44453</v>
      </c>
      <c r="B140">
        <v>0.53039999999999998</v>
      </c>
      <c r="C140">
        <v>0.55410000000000004</v>
      </c>
      <c r="D140">
        <v>0.51249999999999996</v>
      </c>
      <c r="E140">
        <v>0.54300000000000004</v>
      </c>
      <c r="F140">
        <v>1868371</v>
      </c>
      <c r="G140">
        <v>0.54300000000000004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0.46634615384615496</v>
      </c>
      <c r="Q140">
        <f t="shared" ref="Q140" si="676">F140*P140</f>
        <v>871307.62980769435</v>
      </c>
      <c r="R140">
        <f t="shared" ref="R140" si="677">R141+Q140</f>
        <v>-165685372.99636409</v>
      </c>
      <c r="S140">
        <f t="shared" ref="S140" si="678">R140/100000</f>
        <v>-1656.8537299636409</v>
      </c>
      <c r="T140">
        <f t="shared" ref="T140" si="679">S140/1000</f>
        <v>-1.656853729963641</v>
      </c>
    </row>
    <row r="141" spans="1:20" x14ac:dyDescent="0.25">
      <c r="A141" s="5">
        <v>44452</v>
      </c>
      <c r="B141">
        <v>0.57809999999999995</v>
      </c>
      <c r="C141">
        <v>0.57809999999999995</v>
      </c>
      <c r="D141">
        <v>0.495</v>
      </c>
      <c r="E141">
        <v>0.53100000000000003</v>
      </c>
      <c r="F141">
        <v>2015284</v>
      </c>
      <c r="G141">
        <v>0.53100000000000003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-0.13357400722021534</v>
      </c>
      <c r="Q141">
        <f t="shared" ref="Q141" si="681">F141*P141</f>
        <v>-269189.55956678448</v>
      </c>
      <c r="R141">
        <f t="shared" ref="R141" si="682">R142+Q141</f>
        <v>-166556680.62617177</v>
      </c>
      <c r="S141">
        <f t="shared" ref="S141" si="683">R141/100000</f>
        <v>-1665.5668062617176</v>
      </c>
      <c r="T141">
        <f t="shared" ref="T141" si="684">S141/1000</f>
        <v>-1.6655668062617175</v>
      </c>
    </row>
    <row r="142" spans="1:20" x14ac:dyDescent="0.25">
      <c r="A142" s="5">
        <v>44451</v>
      </c>
      <c r="B142">
        <v>0.55589999999999995</v>
      </c>
      <c r="C142">
        <v>0.57909999999999995</v>
      </c>
      <c r="D142">
        <v>0.54110000000000003</v>
      </c>
      <c r="E142">
        <v>0.57569999999999999</v>
      </c>
      <c r="F142">
        <v>3005702</v>
      </c>
      <c r="G142">
        <v>0.57569999999999999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0.82105263157894914</v>
      </c>
      <c r="Q142">
        <f t="shared" ref="Q142" si="686">F142*P142</f>
        <v>2467839.5368421106</v>
      </c>
      <c r="R142">
        <f t="shared" ref="R142" si="687">R143+Q142</f>
        <v>-166287491.06660497</v>
      </c>
      <c r="S142">
        <f t="shared" ref="S142" si="688">R142/100000</f>
        <v>-1662.8749106660498</v>
      </c>
      <c r="T142">
        <f t="shared" ref="T142" si="689">S142/1000</f>
        <v>-1.6628749106660499</v>
      </c>
    </row>
    <row r="143" spans="1:20" x14ac:dyDescent="0.25">
      <c r="A143" s="5">
        <v>44450</v>
      </c>
      <c r="B143">
        <v>0.5101</v>
      </c>
      <c r="C143">
        <v>0.61499999999999999</v>
      </c>
      <c r="D143">
        <v>0.5101</v>
      </c>
      <c r="E143">
        <v>0.55430000000000001</v>
      </c>
      <c r="F143">
        <v>17760470</v>
      </c>
      <c r="G143">
        <v>0.55430000000000001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-0.15729265967588141</v>
      </c>
      <c r="Q143">
        <f t="shared" ref="Q143" si="691">F143*P143</f>
        <v>-2793591.5633937013</v>
      </c>
      <c r="R143">
        <f t="shared" ref="R143" si="692">R144+Q143</f>
        <v>-168755330.60344708</v>
      </c>
      <c r="S143">
        <f t="shared" ref="S143" si="693">R143/100000</f>
        <v>-1687.5533060344708</v>
      </c>
      <c r="T143">
        <f t="shared" ref="T143" si="694">S143/1000</f>
        <v>-1.6875533060344707</v>
      </c>
    </row>
    <row r="144" spans="1:20" x14ac:dyDescent="0.25">
      <c r="A144" s="5">
        <v>44449</v>
      </c>
      <c r="B144">
        <v>0.54810000000000003</v>
      </c>
      <c r="C144">
        <v>0.58509999999999995</v>
      </c>
      <c r="D144">
        <v>0.49480000000000002</v>
      </c>
      <c r="E144">
        <v>0.51</v>
      </c>
      <c r="F144">
        <v>3126165</v>
      </c>
      <c r="G144">
        <v>0.51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-0.66334440753045398</v>
      </c>
      <c r="Q144">
        <f t="shared" ref="Q144" si="696">F144*P144</f>
        <v>-2073724.0697674416</v>
      </c>
      <c r="R144">
        <f t="shared" ref="R144" si="697">R145+Q144</f>
        <v>-165961739.04005337</v>
      </c>
      <c r="S144">
        <f t="shared" ref="S144" si="698">R144/100000</f>
        <v>-1659.6173904005336</v>
      </c>
      <c r="T144">
        <f t="shared" ref="T144" si="699">S144/1000</f>
        <v>-1.6596173904005336</v>
      </c>
    </row>
    <row r="145" spans="1:20" x14ac:dyDescent="0.25">
      <c r="A145" s="5">
        <v>44448</v>
      </c>
      <c r="B145">
        <v>0.5333</v>
      </c>
      <c r="C145">
        <v>0.55469999999999997</v>
      </c>
      <c r="D145">
        <v>0.51060000000000005</v>
      </c>
      <c r="E145">
        <v>0.54810000000000003</v>
      </c>
      <c r="F145">
        <v>2201907</v>
      </c>
      <c r="G145">
        <v>0.54810000000000003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0.70068027210884576</v>
      </c>
      <c r="Q145">
        <f t="shared" ref="Q145" si="701">F145*P145</f>
        <v>1542832.7959183722</v>
      </c>
      <c r="R145">
        <f t="shared" ref="R145" si="702">R146+Q145</f>
        <v>-163888014.97028592</v>
      </c>
      <c r="S145">
        <f t="shared" ref="S145" si="703">R145/100000</f>
        <v>-1638.8801497028592</v>
      </c>
      <c r="T145">
        <f t="shared" ref="T145" si="704">S145/1000</f>
        <v>-1.6388801497028591</v>
      </c>
    </row>
    <row r="146" spans="1:20" x14ac:dyDescent="0.25">
      <c r="A146" s="5">
        <v>44447</v>
      </c>
      <c r="B146">
        <v>0.54879999999999995</v>
      </c>
      <c r="C146">
        <v>0.55840000000000001</v>
      </c>
      <c r="D146">
        <v>0.47289999999999999</v>
      </c>
      <c r="E146">
        <v>0.5323</v>
      </c>
      <c r="F146">
        <v>3138658.89</v>
      </c>
      <c r="G146">
        <v>0.5323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0.38947368421052619</v>
      </c>
      <c r="Q146">
        <f t="shared" ref="Q146" si="706">F146*P146</f>
        <v>1222425.0413684207</v>
      </c>
      <c r="R146">
        <f t="shared" ref="R146" si="707">R147+Q146</f>
        <v>-165430847.7662043</v>
      </c>
      <c r="S146">
        <f t="shared" ref="S146" si="708">R146/100000</f>
        <v>-1654.3084776620431</v>
      </c>
      <c r="T146">
        <f t="shared" ref="T146" si="709">S146/1000</f>
        <v>-1.6543084776620431</v>
      </c>
    </row>
    <row r="147" spans="1:20" x14ac:dyDescent="0.25">
      <c r="A147" s="5">
        <v>44446</v>
      </c>
      <c r="B147">
        <v>0.6966</v>
      </c>
      <c r="C147">
        <v>0.69969999999999999</v>
      </c>
      <c r="D147">
        <v>0.50539999999999996</v>
      </c>
      <c r="E147">
        <v>0.54700000000000004</v>
      </c>
      <c r="F147">
        <v>4424899.33</v>
      </c>
      <c r="G147">
        <v>0.54700000000000004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-0.57179619145650973</v>
      </c>
      <c r="Q147">
        <f t="shared" ref="Q147" si="711">F147*P147</f>
        <v>-2530140.5844724616</v>
      </c>
      <c r="R147">
        <f t="shared" ref="R147" si="712">R148+Q147</f>
        <v>-166653272.80757272</v>
      </c>
      <c r="S147">
        <f t="shared" ref="S147" si="713">R147/100000</f>
        <v>-1666.5327280757272</v>
      </c>
      <c r="T147">
        <f t="shared" ref="T147" si="714">S147/1000</f>
        <v>-1.6665327280757272</v>
      </c>
    </row>
    <row r="148" spans="1:20" x14ac:dyDescent="0.25">
      <c r="A148" s="5">
        <v>44445</v>
      </c>
      <c r="B148">
        <v>0.68769999999999998</v>
      </c>
      <c r="C148">
        <v>0.72399999999999998</v>
      </c>
      <c r="D148">
        <v>0.65480000000000005</v>
      </c>
      <c r="E148">
        <v>0.69620000000000004</v>
      </c>
      <c r="F148">
        <v>4130243</v>
      </c>
      <c r="G148">
        <v>0.69620000000000004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0.19653179190751546</v>
      </c>
      <c r="Q148">
        <f t="shared" ref="Q148" si="716">F148*P148</f>
        <v>811724.05780347239</v>
      </c>
      <c r="R148">
        <f t="shared" ref="R148" si="717">R149+Q148</f>
        <v>-164123132.22310027</v>
      </c>
      <c r="S148">
        <f t="shared" ref="S148" si="718">R148/100000</f>
        <v>-1641.2313222310027</v>
      </c>
      <c r="T148">
        <f t="shared" ref="T148" si="719">S148/1000</f>
        <v>-1.6412313222310027</v>
      </c>
    </row>
    <row r="149" spans="1:20" x14ac:dyDescent="0.25">
      <c r="A149" s="5">
        <v>44444</v>
      </c>
      <c r="B149">
        <v>0.65149999999999997</v>
      </c>
      <c r="C149">
        <v>0.7016</v>
      </c>
      <c r="D149">
        <v>0.65</v>
      </c>
      <c r="E149">
        <v>0.68740000000000001</v>
      </c>
      <c r="F149">
        <v>3089088</v>
      </c>
      <c r="G149">
        <v>0.68740000000000001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0.44961240310077533</v>
      </c>
      <c r="Q149">
        <f t="shared" ref="Q149" si="721">F149*P149</f>
        <v>1388892.2790697678</v>
      </c>
      <c r="R149">
        <f t="shared" ref="R149" si="722">R150+Q149</f>
        <v>-164934856.28090376</v>
      </c>
      <c r="S149">
        <f t="shared" ref="S149" si="723">R149/100000</f>
        <v>-1649.3485628090375</v>
      </c>
      <c r="T149">
        <f t="shared" ref="T149" si="724">S149/1000</f>
        <v>-1.6493485628090374</v>
      </c>
    </row>
    <row r="150" spans="1:20" x14ac:dyDescent="0.25">
      <c r="A150" s="5">
        <v>44443</v>
      </c>
      <c r="B150">
        <v>0.62280000000000002</v>
      </c>
      <c r="C150">
        <v>0.74199999999999999</v>
      </c>
      <c r="D150">
        <v>0.61499999999999999</v>
      </c>
      <c r="E150">
        <v>0.65159999999999996</v>
      </c>
      <c r="F150">
        <v>10039395.08</v>
      </c>
      <c r="G150">
        <v>0.65159999999999996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-0.42362204724409502</v>
      </c>
      <c r="Q150">
        <f t="shared" ref="Q150" si="726">F150*P150</f>
        <v>-4252909.0968818953</v>
      </c>
      <c r="R150">
        <f t="shared" ref="R150" si="727">R151+Q150</f>
        <v>-166323748.55997354</v>
      </c>
      <c r="S150">
        <f t="shared" ref="S150" si="728">R150/100000</f>
        <v>-1663.2374855997355</v>
      </c>
      <c r="T150">
        <f t="shared" ref="T150" si="729">S150/1000</f>
        <v>-1.6632374855997354</v>
      </c>
    </row>
    <row r="151" spans="1:20" x14ac:dyDescent="0.25">
      <c r="A151" s="5">
        <v>44442</v>
      </c>
      <c r="B151">
        <v>0.61170000000000002</v>
      </c>
      <c r="C151">
        <v>0.65720000000000001</v>
      </c>
      <c r="D151">
        <v>0.60460000000000003</v>
      </c>
      <c r="E151">
        <v>0.62309999999999999</v>
      </c>
      <c r="F151">
        <v>3180726</v>
      </c>
      <c r="G151">
        <v>0.62309999999999999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-0.29657794676806204</v>
      </c>
      <c r="Q151">
        <f t="shared" ref="Q151" si="731">F151*P151</f>
        <v>-943333.18631179095</v>
      </c>
      <c r="R151">
        <f t="shared" ref="R151" si="732">R152+Q151</f>
        <v>-162070839.46309164</v>
      </c>
      <c r="S151">
        <f t="shared" ref="S151" si="733">R151/100000</f>
        <v>-1620.7083946309165</v>
      </c>
      <c r="T151">
        <f t="shared" ref="T151" si="734">S151/1000</f>
        <v>-1.6207083946309164</v>
      </c>
    </row>
    <row r="152" spans="1:20" x14ac:dyDescent="0.25">
      <c r="A152" s="5">
        <v>44441</v>
      </c>
      <c r="B152">
        <v>0.63190000000000002</v>
      </c>
      <c r="C152">
        <v>0.63790000000000002</v>
      </c>
      <c r="D152">
        <v>0.61099999999999999</v>
      </c>
      <c r="E152">
        <v>0.61099999999999999</v>
      </c>
      <c r="F152">
        <v>2319968</v>
      </c>
      <c r="G152">
        <v>0.61099999999999999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-1</v>
      </c>
      <c r="Q152">
        <f t="shared" ref="Q152" si="736">F152*P152</f>
        <v>-2319968</v>
      </c>
      <c r="R152">
        <f t="shared" ref="R152" si="737">R153+Q152</f>
        <v>-161127506.27677986</v>
      </c>
      <c r="S152">
        <f t="shared" ref="S152" si="738">R152/100000</f>
        <v>-1611.2750627677985</v>
      </c>
      <c r="T152">
        <f t="shared" ref="T152" si="739">S152/1000</f>
        <v>-1.6112750627677985</v>
      </c>
    </row>
    <row r="153" spans="1:20" x14ac:dyDescent="0.25">
      <c r="A153" s="5">
        <v>44440</v>
      </c>
      <c r="B153">
        <v>0.61380000000000001</v>
      </c>
      <c r="C153">
        <v>0.64810000000000001</v>
      </c>
      <c r="D153">
        <v>0.60219999999999996</v>
      </c>
      <c r="E153">
        <v>0.63139999999999996</v>
      </c>
      <c r="F153">
        <v>2576299</v>
      </c>
      <c r="G153">
        <v>0.63139999999999996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0.27233115468409458</v>
      </c>
      <c r="Q153">
        <f t="shared" ref="Q153" si="741">F153*P153</f>
        <v>701606.4814814782</v>
      </c>
      <c r="R153">
        <f t="shared" ref="R153" si="742">R154+Q153</f>
        <v>-158807538.27677986</v>
      </c>
      <c r="S153">
        <f t="shared" ref="S153" si="743">R153/100000</f>
        <v>-1588.0753827677986</v>
      </c>
      <c r="T153">
        <f t="shared" ref="T153" si="744">S153/1000</f>
        <v>-1.5880753827677987</v>
      </c>
    </row>
    <row r="154" spans="1:20" x14ac:dyDescent="0.25">
      <c r="A154" s="5">
        <v>44439</v>
      </c>
      <c r="B154">
        <v>0.62</v>
      </c>
      <c r="C154">
        <v>0.63429999999999997</v>
      </c>
      <c r="D154">
        <v>0.60899999999999999</v>
      </c>
      <c r="E154">
        <v>0.6139</v>
      </c>
      <c r="F154">
        <v>2274720</v>
      </c>
      <c r="G154">
        <v>0.6139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-0.61264822134387209</v>
      </c>
      <c r="Q154">
        <f t="shared" ref="Q154" si="746">F154*P154</f>
        <v>-1393603.1620553327</v>
      </c>
      <c r="R154">
        <f t="shared" ref="R154" si="747">R155+Q154</f>
        <v>-159509144.75826135</v>
      </c>
      <c r="S154">
        <f t="shared" ref="S154" si="748">R154/100000</f>
        <v>-1595.0914475826135</v>
      </c>
      <c r="T154">
        <f t="shared" ref="T154" si="749">S154/1000</f>
        <v>-1.5950914475826135</v>
      </c>
    </row>
    <row r="155" spans="1:20" x14ac:dyDescent="0.25">
      <c r="A155" s="5">
        <v>44438</v>
      </c>
      <c r="B155">
        <v>0.63160000000000005</v>
      </c>
      <c r="C155">
        <v>0.66100000000000003</v>
      </c>
      <c r="D155">
        <v>0.60699999999999998</v>
      </c>
      <c r="E155">
        <v>0.62050000000000005</v>
      </c>
      <c r="F155">
        <v>5212998</v>
      </c>
      <c r="G155">
        <v>0.62050000000000005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-0.49999999999999795</v>
      </c>
      <c r="Q155">
        <f t="shared" ref="Q155" si="751">F155*P155</f>
        <v>-2606498.9999999893</v>
      </c>
      <c r="R155">
        <f t="shared" ref="R155" si="752">R156+Q155</f>
        <v>-158115541.59620601</v>
      </c>
      <c r="S155">
        <f t="shared" ref="S155" si="753">R155/100000</f>
        <v>-1581.15541596206</v>
      </c>
      <c r="T155">
        <f t="shared" ref="T155" si="754">S155/1000</f>
        <v>-1.58115541596206</v>
      </c>
    </row>
    <row r="156" spans="1:20" x14ac:dyDescent="0.25">
      <c r="A156" s="5">
        <v>44437</v>
      </c>
      <c r="B156">
        <v>0.63500000000000001</v>
      </c>
      <c r="C156">
        <v>0.65939999999999999</v>
      </c>
      <c r="D156">
        <v>0.61529999999999996</v>
      </c>
      <c r="E156">
        <v>0.63100000000000001</v>
      </c>
      <c r="F156">
        <v>5494582</v>
      </c>
      <c r="G156">
        <v>0.63100000000000001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-0.28798185941042914</v>
      </c>
      <c r="Q156">
        <f t="shared" ref="Q156" si="756">F156*P156</f>
        <v>-1582339.9410430745</v>
      </c>
      <c r="R156">
        <f t="shared" ref="R156" si="757">R157+Q156</f>
        <v>-155509042.59620601</v>
      </c>
      <c r="S156">
        <f t="shared" ref="S156" si="758">R156/100000</f>
        <v>-1555.0904259620602</v>
      </c>
      <c r="T156">
        <f t="shared" ref="T156" si="759">S156/1000</f>
        <v>-1.5550904259620602</v>
      </c>
    </row>
    <row r="157" spans="1:20" x14ac:dyDescent="0.25">
      <c r="A157" s="5">
        <v>44436</v>
      </c>
      <c r="B157">
        <v>0.65580000000000005</v>
      </c>
      <c r="C157">
        <v>0.67349999999999999</v>
      </c>
      <c r="D157">
        <v>0.63109999999999999</v>
      </c>
      <c r="E157">
        <v>0.63439999999999996</v>
      </c>
      <c r="F157">
        <v>2550763</v>
      </c>
      <c r="G157">
        <v>0.63439999999999996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-0.84433962264151086</v>
      </c>
      <c r="Q157">
        <f t="shared" ref="Q157" si="761">F157*P157</f>
        <v>-2153710.2688679281</v>
      </c>
      <c r="R157">
        <f t="shared" ref="R157" si="762">R158+Q157</f>
        <v>-153926702.65516293</v>
      </c>
      <c r="S157">
        <f t="shared" ref="S157" si="763">R157/100000</f>
        <v>-1539.2670265516292</v>
      </c>
      <c r="T157">
        <f t="shared" ref="T157" si="764">S157/1000</f>
        <v>-1.5392670265516293</v>
      </c>
    </row>
    <row r="158" spans="1:20" x14ac:dyDescent="0.25">
      <c r="A158" s="5">
        <v>44435</v>
      </c>
      <c r="B158">
        <v>0.60399999999999998</v>
      </c>
      <c r="C158">
        <v>0.68</v>
      </c>
      <c r="D158">
        <v>0.57120000000000004</v>
      </c>
      <c r="E158">
        <v>0.65549999999999997</v>
      </c>
      <c r="F158">
        <v>10395683.130000001</v>
      </c>
      <c r="G158">
        <v>0.65549999999999997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0.54963235294117507</v>
      </c>
      <c r="Q158">
        <f t="shared" ref="Q158" si="766">F158*P158</f>
        <v>5713803.77917278</v>
      </c>
      <c r="R158">
        <f t="shared" ref="R158" si="767">R159+Q158</f>
        <v>-151772992.38629499</v>
      </c>
      <c r="S158">
        <f t="shared" ref="S158" si="768">R158/100000</f>
        <v>-1517.7299238629498</v>
      </c>
      <c r="T158">
        <f t="shared" ref="T158" si="769">S158/1000</f>
        <v>-1.5177299238629498</v>
      </c>
    </row>
    <row r="159" spans="1:20" x14ac:dyDescent="0.25">
      <c r="A159" s="5">
        <v>44434</v>
      </c>
      <c r="B159">
        <v>0.64049999999999996</v>
      </c>
      <c r="C159">
        <v>0.65280000000000005</v>
      </c>
      <c r="D159">
        <v>0.59340000000000004</v>
      </c>
      <c r="E159">
        <v>0.60399999999999998</v>
      </c>
      <c r="F159">
        <v>4493134.17</v>
      </c>
      <c r="G159">
        <v>0.60399999999999998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-0.64309764309764506</v>
      </c>
      <c r="Q159">
        <f t="shared" ref="Q159" si="771">F159*P159</f>
        <v>-2889523.9948484935</v>
      </c>
      <c r="R159">
        <f t="shared" ref="R159" si="772">R160+Q159</f>
        <v>-157486796.16546777</v>
      </c>
      <c r="S159">
        <f t="shared" ref="S159" si="773">R159/100000</f>
        <v>-1574.8679616546776</v>
      </c>
      <c r="T159">
        <f t="shared" ref="T159" si="774">S159/1000</f>
        <v>-1.5748679616546777</v>
      </c>
    </row>
    <row r="160" spans="1:20" x14ac:dyDescent="0.25">
      <c r="A160" s="5">
        <v>44433</v>
      </c>
      <c r="B160">
        <v>0.67149999999999999</v>
      </c>
      <c r="C160">
        <v>0.69450000000000001</v>
      </c>
      <c r="D160">
        <v>0.62</v>
      </c>
      <c r="E160">
        <v>0.64149999999999996</v>
      </c>
      <c r="F160">
        <v>5174102.8600000003</v>
      </c>
      <c r="G160">
        <v>0.64149999999999996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-0.42281879194630978</v>
      </c>
      <c r="Q160">
        <f t="shared" ref="Q160" si="776">F160*P160</f>
        <v>-2187707.9206711464</v>
      </c>
      <c r="R160">
        <f t="shared" ref="R160" si="777">R161+Q160</f>
        <v>-154597272.17061928</v>
      </c>
      <c r="S160">
        <f t="shared" ref="S160" si="778">R160/100000</f>
        <v>-1545.9727217061927</v>
      </c>
      <c r="T160">
        <f t="shared" ref="T160" si="779">S160/1000</f>
        <v>-1.5459727217061927</v>
      </c>
    </row>
    <row r="161" spans="1:20" x14ac:dyDescent="0.25">
      <c r="A161" s="5">
        <v>44432</v>
      </c>
      <c r="B161">
        <v>0.63839999999999997</v>
      </c>
      <c r="C161">
        <v>0.70789999999999997</v>
      </c>
      <c r="D161">
        <v>0.624</v>
      </c>
      <c r="E161">
        <v>0.67120000000000002</v>
      </c>
      <c r="F161">
        <v>9103120.5999999996</v>
      </c>
      <c r="G161">
        <v>0.67120000000000002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0.12514898688915457</v>
      </c>
      <c r="Q161">
        <f t="shared" ref="Q161" si="781">F161*P161</f>
        <v>1139246.3206197929</v>
      </c>
      <c r="R161">
        <f t="shared" ref="R161" si="782">R162+Q161</f>
        <v>-152409564.24994814</v>
      </c>
      <c r="S161">
        <f t="shared" ref="S161" si="783">R161/100000</f>
        <v>-1524.0956424994815</v>
      </c>
      <c r="T161">
        <f t="shared" ref="T161" si="784">S161/1000</f>
        <v>-1.5240956424994816</v>
      </c>
    </row>
    <row r="162" spans="1:20" x14ac:dyDescent="0.25">
      <c r="A162" s="5">
        <v>44431</v>
      </c>
      <c r="B162">
        <v>0.62909999999999999</v>
      </c>
      <c r="C162">
        <v>0.66479999999999995</v>
      </c>
      <c r="D162">
        <v>0.61229999999999996</v>
      </c>
      <c r="E162">
        <v>0.63759999999999994</v>
      </c>
      <c r="F162">
        <v>4366294.82</v>
      </c>
      <c r="G162">
        <v>0.63759999999999994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-3.6190476190476439E-2</v>
      </c>
      <c r="Q162">
        <f t="shared" ref="Q162" si="786">F162*P162</f>
        <v>-158018.28872381063</v>
      </c>
      <c r="R162">
        <f t="shared" ref="R162" si="787">R163+Q162</f>
        <v>-153548810.57056794</v>
      </c>
      <c r="S162">
        <f t="shared" ref="S162" si="788">R162/100000</f>
        <v>-1535.4881057056793</v>
      </c>
      <c r="T162">
        <f t="shared" ref="T162" si="789">S162/1000</f>
        <v>-1.5354881057056793</v>
      </c>
    </row>
    <row r="163" spans="1:20" x14ac:dyDescent="0.25">
      <c r="A163" s="5">
        <v>44430</v>
      </c>
      <c r="B163">
        <v>0.5887</v>
      </c>
      <c r="C163">
        <v>0.60850000000000004</v>
      </c>
      <c r="D163">
        <v>0.58740000000000003</v>
      </c>
      <c r="E163">
        <v>0.60360000000000003</v>
      </c>
      <c r="F163">
        <v>572921.35</v>
      </c>
      <c r="G163">
        <v>0.60360000000000003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0.53554502369668122</v>
      </c>
      <c r="Q163">
        <f t="shared" ref="Q163" si="791">F163*P163</f>
        <v>306825.17796208459</v>
      </c>
      <c r="R163">
        <f t="shared" ref="R163" si="792">R164+Q163</f>
        <v>-153390792.28184414</v>
      </c>
      <c r="S163">
        <f t="shared" ref="S163" si="793">R163/100000</f>
        <v>-1533.9079228184414</v>
      </c>
      <c r="T163">
        <f t="shared" ref="T163" si="794">S163/1000</f>
        <v>-1.5339079228184413</v>
      </c>
    </row>
    <row r="164" spans="1:20" x14ac:dyDescent="0.25">
      <c r="A164" s="5">
        <v>44429</v>
      </c>
      <c r="B164">
        <v>0.59889999999999999</v>
      </c>
      <c r="C164">
        <v>0.61950000000000005</v>
      </c>
      <c r="D164">
        <v>0.58199999999999996</v>
      </c>
      <c r="E164">
        <v>0.58940000000000003</v>
      </c>
      <c r="F164">
        <v>2457064.1800000002</v>
      </c>
      <c r="G164">
        <v>0.58940000000000003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-0.60533333333333039</v>
      </c>
      <c r="Q164">
        <f t="shared" ref="Q164" si="796">F164*P164</f>
        <v>-1487342.8502933262</v>
      </c>
      <c r="R164">
        <f t="shared" ref="R164" si="797">R165+Q164</f>
        <v>-153697617.45980623</v>
      </c>
      <c r="S164">
        <f t="shared" ref="S164" si="798">R164/100000</f>
        <v>-1536.9761745980622</v>
      </c>
      <c r="T164">
        <f t="shared" ref="T164" si="799">S164/1000</f>
        <v>-1.5369761745980624</v>
      </c>
    </row>
    <row r="165" spans="1:20" x14ac:dyDescent="0.25">
      <c r="A165" s="5">
        <v>44428</v>
      </c>
      <c r="B165">
        <v>0.58220000000000005</v>
      </c>
      <c r="C165">
        <v>0.61</v>
      </c>
      <c r="D165">
        <v>0.57430000000000003</v>
      </c>
      <c r="E165">
        <v>0.59840000000000004</v>
      </c>
      <c r="F165">
        <v>2272210.4500000002</v>
      </c>
      <c r="G165">
        <v>0.59840000000000004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0.35014005602241127</v>
      </c>
      <c r="Q165">
        <f t="shared" ref="Q165" si="801">F165*P165</f>
        <v>795591.89425770834</v>
      </c>
      <c r="R165">
        <f t="shared" ref="R165" si="802">R166+Q165</f>
        <v>-152210274.6095129</v>
      </c>
      <c r="S165">
        <f t="shared" ref="S165" si="803">R165/100000</f>
        <v>-1522.1027460951289</v>
      </c>
      <c r="T165">
        <f t="shared" ref="T165" si="804">S165/1000</f>
        <v>-1.5221027460951289</v>
      </c>
    </row>
    <row r="166" spans="1:20" x14ac:dyDescent="0.25">
      <c r="A166" s="5">
        <v>44427</v>
      </c>
      <c r="B166">
        <v>0.54790000000000005</v>
      </c>
      <c r="C166">
        <v>0.58860000000000001</v>
      </c>
      <c r="D166">
        <v>0.53820000000000001</v>
      </c>
      <c r="E166">
        <v>0.58230000000000004</v>
      </c>
      <c r="F166">
        <v>2527249.64</v>
      </c>
      <c r="G166">
        <v>0.58230000000000004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0.75000000000000111</v>
      </c>
      <c r="Q166">
        <f t="shared" ref="Q166" si="806">F166*P166</f>
        <v>1895437.230000003</v>
      </c>
      <c r="R166">
        <f t="shared" ref="R166" si="807">R167+Q166</f>
        <v>-153005866.50377059</v>
      </c>
      <c r="S166">
        <f t="shared" ref="S166" si="808">R166/100000</f>
        <v>-1530.0586650377059</v>
      </c>
      <c r="T166">
        <f t="shared" ref="T166" si="809">S166/1000</f>
        <v>-1.5300586650377059</v>
      </c>
    </row>
    <row r="167" spans="1:20" x14ac:dyDescent="0.25">
      <c r="A167" s="5">
        <v>44426</v>
      </c>
      <c r="B167">
        <v>0.55910000000000004</v>
      </c>
      <c r="C167">
        <v>0.57589999999999997</v>
      </c>
      <c r="D167">
        <v>0.5383</v>
      </c>
      <c r="E167">
        <v>0.54800000000000004</v>
      </c>
      <c r="F167">
        <v>1876725.35</v>
      </c>
      <c r="G167">
        <v>0.54800000000000004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-0.4840425531914867</v>
      </c>
      <c r="Q167">
        <f t="shared" ref="Q167" si="811">F167*P167</f>
        <v>-908414.93005318649</v>
      </c>
      <c r="R167">
        <f t="shared" ref="R167" si="812">R168+Q167</f>
        <v>-154901303.73377058</v>
      </c>
      <c r="S167">
        <f t="shared" ref="S167" si="813">R167/100000</f>
        <v>-1549.0130373377058</v>
      </c>
      <c r="T167">
        <f t="shared" ref="T167" si="814">S167/1000</f>
        <v>-1.5490130373377058</v>
      </c>
    </row>
    <row r="168" spans="1:20" x14ac:dyDescent="0.25">
      <c r="A168" s="5">
        <v>44425</v>
      </c>
      <c r="B168">
        <v>0.5857</v>
      </c>
      <c r="C168">
        <v>0.6411</v>
      </c>
      <c r="D168">
        <v>0.55720000000000003</v>
      </c>
      <c r="E168">
        <v>0.55910000000000004</v>
      </c>
      <c r="F168">
        <v>3846202.54</v>
      </c>
      <c r="G168">
        <v>0.55910000000000004</v>
      </c>
      <c r="L168" t="s">
        <v>8</v>
      </c>
      <c r="M168" t="s">
        <v>7</v>
      </c>
      <c r="N168" t="s">
        <v>8</v>
      </c>
      <c r="P168">
        <f t="shared" ref="P168" si="815">IF(C168=D168,0,((E168-D168)-(C168-E168))/(C168-D168))</f>
        <v>-0.95470798569725834</v>
      </c>
      <c r="Q168">
        <f t="shared" ref="Q168" si="816">F168*P168</f>
        <v>-3672000.2795470785</v>
      </c>
      <c r="R168">
        <f t="shared" ref="R168" si="817">R169+Q168</f>
        <v>-153992888.8037174</v>
      </c>
      <c r="S168">
        <f t="shared" ref="S168" si="818">R168/100000</f>
        <v>-1539.9288880371741</v>
      </c>
      <c r="T168">
        <f t="shared" ref="T168" si="819">S168/1000</f>
        <v>-1.5399288880371742</v>
      </c>
    </row>
    <row r="169" spans="1:20" x14ac:dyDescent="0.25">
      <c r="A169" s="5">
        <v>44424</v>
      </c>
      <c r="B169">
        <v>0.61160000000000003</v>
      </c>
      <c r="C169">
        <v>0.62339999999999995</v>
      </c>
      <c r="D169">
        <v>0.58330000000000004</v>
      </c>
      <c r="E169">
        <v>0.58530000000000004</v>
      </c>
      <c r="F169">
        <v>2369253</v>
      </c>
      <c r="G169">
        <v>0.58530000000000004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-0.90024937655860315</v>
      </c>
      <c r="Q169">
        <f t="shared" ref="Q169" si="821">F169*P169</f>
        <v>-2132918.5361596001</v>
      </c>
      <c r="R169">
        <f t="shared" ref="R169" si="822">R170+Q169</f>
        <v>-150320888.52417034</v>
      </c>
      <c r="S169">
        <f t="shared" ref="S169" si="823">R169/100000</f>
        <v>-1503.2088852417035</v>
      </c>
      <c r="T169">
        <f t="shared" ref="T169" si="824">S169/1000</f>
        <v>-1.5032088852417034</v>
      </c>
    </row>
    <row r="170" spans="1:20" x14ac:dyDescent="0.25">
      <c r="A170" s="5">
        <v>44423</v>
      </c>
      <c r="B170">
        <v>0.6129</v>
      </c>
      <c r="C170">
        <v>0.61890000000000001</v>
      </c>
      <c r="D170">
        <v>0.58479999999999999</v>
      </c>
      <c r="E170">
        <v>0.61170000000000002</v>
      </c>
      <c r="F170">
        <v>3563584.59</v>
      </c>
      <c r="G170">
        <v>0.61170000000000002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0.57771260997067564</v>
      </c>
      <c r="Q170">
        <f t="shared" ref="Q170" si="826">F170*P170</f>
        <v>2058727.75434018</v>
      </c>
      <c r="R170">
        <f t="shared" ref="R170" si="827">R171+Q170</f>
        <v>-148187969.98801073</v>
      </c>
      <c r="S170">
        <f t="shared" ref="S170" si="828">R170/100000</f>
        <v>-1481.8796998801074</v>
      </c>
      <c r="T170">
        <f t="shared" ref="T170" si="829">S170/1000</f>
        <v>-1.4818796998801074</v>
      </c>
    </row>
    <row r="171" spans="1:20" x14ac:dyDescent="0.25">
      <c r="A171" s="5">
        <v>44422</v>
      </c>
      <c r="B171">
        <v>0.64349999999999996</v>
      </c>
      <c r="C171">
        <v>0.67449999999999999</v>
      </c>
      <c r="D171">
        <v>0.59060000000000001</v>
      </c>
      <c r="E171">
        <v>0.61309999999999998</v>
      </c>
      <c r="F171">
        <v>6227745.4699999997</v>
      </c>
      <c r="G171">
        <v>0.61309999999999998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-0.4636471990464846</v>
      </c>
      <c r="Q171">
        <f t="shared" ref="Q171" si="831">F171*P171</f>
        <v>-2887476.7435399326</v>
      </c>
      <c r="R171">
        <f t="shared" ref="R171" si="832">R172+Q171</f>
        <v>-150246697.74235091</v>
      </c>
      <c r="S171">
        <f t="shared" ref="S171" si="833">R171/100000</f>
        <v>-1502.466977423509</v>
      </c>
      <c r="T171">
        <f t="shared" ref="T171" si="834">S171/1000</f>
        <v>-1.5024669774235089</v>
      </c>
    </row>
    <row r="172" spans="1:20" x14ac:dyDescent="0.25">
      <c r="A172" s="5">
        <v>44421</v>
      </c>
      <c r="B172">
        <v>0.51580000000000004</v>
      </c>
      <c r="C172">
        <v>0.7</v>
      </c>
      <c r="D172">
        <v>0.51429999999999998</v>
      </c>
      <c r="E172">
        <v>0.64339999999999997</v>
      </c>
      <c r="F172">
        <v>22615951.73</v>
      </c>
      <c r="G172">
        <v>0.64339999999999997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0.39041464728056013</v>
      </c>
      <c r="Q172">
        <f t="shared" ref="Q172" si="836">F172*P172</f>
        <v>8829598.8175821248</v>
      </c>
      <c r="R172">
        <f t="shared" ref="R172" si="837">R173+Q172</f>
        <v>-147359220.99881098</v>
      </c>
      <c r="S172">
        <f t="shared" ref="S172" si="838">R172/100000</f>
        <v>-1473.5922099881097</v>
      </c>
      <c r="T172">
        <f t="shared" ref="T172" si="839">S172/1000</f>
        <v>-1.4735922099881098</v>
      </c>
    </row>
    <row r="173" spans="1:20" x14ac:dyDescent="0.25">
      <c r="A173" s="5">
        <v>44420</v>
      </c>
      <c r="B173">
        <v>0.51539999999999997</v>
      </c>
      <c r="C173">
        <v>0.53400000000000003</v>
      </c>
      <c r="D173">
        <v>0.50249999999999995</v>
      </c>
      <c r="E173">
        <v>0.51629999999999998</v>
      </c>
      <c r="F173">
        <v>4460272.87</v>
      </c>
      <c r="G173">
        <v>0.51629999999999998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-0.12380952380952394</v>
      </c>
      <c r="Q173">
        <f t="shared" ref="Q173" si="841">F173*P173</f>
        <v>-552224.26009523869</v>
      </c>
      <c r="R173">
        <f t="shared" ref="R173" si="842">R174+Q173</f>
        <v>-156188819.81639311</v>
      </c>
      <c r="S173">
        <f t="shared" ref="S173" si="843">R173/100000</f>
        <v>-1561.8881981639311</v>
      </c>
      <c r="T173">
        <f t="shared" ref="T173" si="844">S173/1000</f>
        <v>-1.561888198163931</v>
      </c>
    </row>
    <row r="174" spans="1:20" x14ac:dyDescent="0.25">
      <c r="A174" s="5">
        <v>44419</v>
      </c>
      <c r="B174">
        <v>0.49569999999999997</v>
      </c>
      <c r="C174">
        <v>0.53180000000000005</v>
      </c>
      <c r="D174">
        <v>0.49309999999999998</v>
      </c>
      <c r="E174">
        <v>0.51559999999999995</v>
      </c>
      <c r="F174">
        <v>4628639.33</v>
      </c>
      <c r="G174">
        <v>0.51559999999999995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0.16279069767441473</v>
      </c>
      <c r="Q174">
        <f t="shared" ref="Q174" si="846">F174*P174</f>
        <v>753499.42581393558</v>
      </c>
      <c r="R174">
        <f t="shared" ref="R174" si="847">R175+Q174</f>
        <v>-155636595.55629787</v>
      </c>
      <c r="S174">
        <f t="shared" ref="S174" si="848">R174/100000</f>
        <v>-1556.3659555629788</v>
      </c>
      <c r="T174">
        <f t="shared" ref="T174" si="849">S174/1000</f>
        <v>-1.5563659555629787</v>
      </c>
    </row>
    <row r="175" spans="1:20" x14ac:dyDescent="0.25">
      <c r="A175" s="5">
        <v>44418</v>
      </c>
      <c r="B175">
        <v>0.4965</v>
      </c>
      <c r="C175">
        <v>0.51349999999999996</v>
      </c>
      <c r="D175">
        <v>0.47870000000000001</v>
      </c>
      <c r="E175">
        <v>0.49519999999999997</v>
      </c>
      <c r="F175">
        <v>4500100.1100000003</v>
      </c>
      <c r="G175">
        <v>0.49519999999999997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-5.1724137931035252E-2</v>
      </c>
      <c r="Q175">
        <f t="shared" ref="Q175" si="851">F175*P175</f>
        <v>-232763.79879310692</v>
      </c>
      <c r="R175">
        <f t="shared" ref="R175" si="852">R176+Q175</f>
        <v>-156390094.98211181</v>
      </c>
      <c r="S175">
        <f t="shared" ref="S175" si="853">R175/100000</f>
        <v>-1563.900949821118</v>
      </c>
      <c r="T175">
        <f t="shared" ref="T175" si="854">S175/1000</f>
        <v>-1.563900949821118</v>
      </c>
    </row>
    <row r="176" spans="1:20" x14ac:dyDescent="0.25">
      <c r="A176" s="5">
        <v>44417</v>
      </c>
      <c r="B176">
        <v>0.47970000000000002</v>
      </c>
      <c r="C176">
        <v>0.50270000000000004</v>
      </c>
      <c r="D176">
        <v>0.47010000000000002</v>
      </c>
      <c r="E176">
        <v>0.4965</v>
      </c>
      <c r="F176">
        <v>3220813.83</v>
      </c>
      <c r="G176">
        <v>0.4965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0.61963190184048866</v>
      </c>
      <c r="Q176">
        <f t="shared" ref="Q176" si="856">F176*P176</f>
        <v>1995718.9989570484</v>
      </c>
      <c r="R176">
        <f t="shared" ref="R176" si="857">R177+Q176</f>
        <v>-156157331.1833187</v>
      </c>
      <c r="S176">
        <f t="shared" ref="S176" si="858">R176/100000</f>
        <v>-1561.5733118331871</v>
      </c>
      <c r="T176">
        <f t="shared" ref="T176" si="859">S176/1000</f>
        <v>-1.5615733118331871</v>
      </c>
    </row>
    <row r="177" spans="1:20" x14ac:dyDescent="0.25">
      <c r="A177" s="5">
        <v>44416</v>
      </c>
      <c r="B177">
        <v>0.50339999999999996</v>
      </c>
      <c r="C177">
        <v>0.50529999999999997</v>
      </c>
      <c r="D177">
        <v>0.47220000000000001</v>
      </c>
      <c r="E177">
        <v>0.47889999999999999</v>
      </c>
      <c r="F177">
        <v>3282613.61</v>
      </c>
      <c r="G177">
        <v>0.47889999999999999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-0.59516616314199444</v>
      </c>
      <c r="Q177">
        <f t="shared" ref="Q177" si="861">F177*P177</f>
        <v>-1953700.5473413912</v>
      </c>
      <c r="R177">
        <f t="shared" ref="R177" si="862">R178+Q177</f>
        <v>-158153050.18227574</v>
      </c>
      <c r="S177">
        <f t="shared" ref="S177" si="863">R177/100000</f>
        <v>-1581.5305018227575</v>
      </c>
      <c r="T177">
        <f t="shared" ref="T177" si="864">S177/1000</f>
        <v>-1.5815305018227575</v>
      </c>
    </row>
    <row r="178" spans="1:20" x14ac:dyDescent="0.25">
      <c r="A178" s="5">
        <v>44415</v>
      </c>
      <c r="B178">
        <v>0.52480000000000004</v>
      </c>
      <c r="C178">
        <v>0.5393</v>
      </c>
      <c r="D178">
        <v>0.48730000000000001</v>
      </c>
      <c r="E178">
        <v>0.50339999999999996</v>
      </c>
      <c r="F178">
        <v>7326442.9199999999</v>
      </c>
      <c r="G178">
        <v>0.50339999999999996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-0.38076923076923269</v>
      </c>
      <c r="Q178">
        <f t="shared" ref="Q178" si="866">F178*P178</f>
        <v>-2789684.0349230911</v>
      </c>
      <c r="R178">
        <f t="shared" ref="R178" si="867">R179+Q178</f>
        <v>-156199349.63493437</v>
      </c>
      <c r="S178">
        <f t="shared" ref="S178" si="868">R178/100000</f>
        <v>-1561.9934963493436</v>
      </c>
      <c r="T178">
        <f t="shared" ref="T178" si="869">S178/1000</f>
        <v>-1.5619934963493436</v>
      </c>
    </row>
    <row r="179" spans="1:20" x14ac:dyDescent="0.25">
      <c r="A179" s="5">
        <v>44414</v>
      </c>
      <c r="B179">
        <v>0.43969999999999998</v>
      </c>
      <c r="C179">
        <v>0.5484</v>
      </c>
      <c r="D179">
        <v>0.43230000000000002</v>
      </c>
      <c r="E179">
        <v>0.52480000000000004</v>
      </c>
      <c r="F179">
        <v>12596988.1</v>
      </c>
      <c r="G179">
        <v>0.52480000000000004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0.59345391903531508</v>
      </c>
      <c r="Q179">
        <f t="shared" ref="Q179" si="871">F179*P179</f>
        <v>7475731.9559862269</v>
      </c>
      <c r="R179">
        <f t="shared" ref="R179" si="872">R180+Q179</f>
        <v>-153409665.60001129</v>
      </c>
      <c r="S179">
        <f t="shared" ref="S179" si="873">R179/100000</f>
        <v>-1534.0966560001129</v>
      </c>
      <c r="T179">
        <f t="shared" ref="T179" si="874">S179/1000</f>
        <v>-1.534096656000113</v>
      </c>
    </row>
    <row r="180" spans="1:20" x14ac:dyDescent="0.25">
      <c r="A180" s="5">
        <v>44413</v>
      </c>
      <c r="B180">
        <v>0.42359999999999998</v>
      </c>
      <c r="C180">
        <v>0.44400000000000001</v>
      </c>
      <c r="D180">
        <v>0.4093</v>
      </c>
      <c r="E180">
        <v>0.43919999999999998</v>
      </c>
      <c r="F180">
        <v>4518567.2</v>
      </c>
      <c r="G180">
        <v>0.43919999999999998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0.7233429394812666</v>
      </c>
      <c r="Q180">
        <f t="shared" ref="Q180" si="876">F180*P180</f>
        <v>3268473.6806916366</v>
      </c>
      <c r="R180">
        <f t="shared" ref="R180" si="877">R181+Q180</f>
        <v>-160885397.55599752</v>
      </c>
      <c r="S180">
        <f t="shared" ref="S180" si="878">R180/100000</f>
        <v>-1608.8539755599752</v>
      </c>
      <c r="T180">
        <f t="shared" ref="T180" si="879">S180/1000</f>
        <v>-1.6088539755599751</v>
      </c>
    </row>
    <row r="181" spans="1:20" x14ac:dyDescent="0.25">
      <c r="A181" s="5">
        <v>44412</v>
      </c>
      <c r="B181">
        <v>0.38869999999999999</v>
      </c>
      <c r="C181">
        <v>0.45490000000000003</v>
      </c>
      <c r="D181">
        <v>0.38719999999999999</v>
      </c>
      <c r="E181">
        <v>0.42320000000000002</v>
      </c>
      <c r="F181">
        <v>7954102.1200000001</v>
      </c>
      <c r="G181">
        <v>0.42320000000000002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6.3515509601182032E-2</v>
      </c>
      <c r="Q181">
        <f t="shared" ref="Q181" si="881">F181*P181</f>
        <v>505208.84957164235</v>
      </c>
      <c r="R181">
        <f t="shared" ref="R181" si="882">R182+Q181</f>
        <v>-164153871.23668915</v>
      </c>
      <c r="S181">
        <f t="shared" ref="S181" si="883">R181/100000</f>
        <v>-1641.5387123668916</v>
      </c>
      <c r="T181">
        <f t="shared" ref="T181" si="884">S181/1000</f>
        <v>-1.6415387123668916</v>
      </c>
    </row>
    <row r="182" spans="1:20" x14ac:dyDescent="0.25">
      <c r="A182" s="5">
        <v>44411</v>
      </c>
      <c r="B182">
        <v>0.3881</v>
      </c>
      <c r="C182">
        <v>0.40600000000000003</v>
      </c>
      <c r="D182">
        <v>0.38019999999999998</v>
      </c>
      <c r="E182">
        <v>0.38879999999999998</v>
      </c>
      <c r="F182">
        <v>7807873.9000000004</v>
      </c>
      <c r="G182">
        <v>0.38879999999999998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-0.33333333333333476</v>
      </c>
      <c r="Q182">
        <f t="shared" ref="Q182" si="886">F182*P182</f>
        <v>-2602624.6333333445</v>
      </c>
      <c r="R182">
        <f t="shared" ref="R182" si="887">R183+Q182</f>
        <v>-164659080.0862608</v>
      </c>
      <c r="S182">
        <f t="shared" ref="S182" si="888">R182/100000</f>
        <v>-1646.5908008626079</v>
      </c>
      <c r="T182">
        <f t="shared" ref="T182" si="889">S182/1000</f>
        <v>-1.646590800862608</v>
      </c>
    </row>
    <row r="183" spans="1:20" x14ac:dyDescent="0.25">
      <c r="A183" s="5">
        <v>44410</v>
      </c>
      <c r="B183">
        <v>0.39050000000000001</v>
      </c>
      <c r="C183">
        <v>0.39979999999999999</v>
      </c>
      <c r="D183">
        <v>0.38529999999999998</v>
      </c>
      <c r="E183">
        <v>0.38829999999999998</v>
      </c>
      <c r="F183">
        <v>1278489.18</v>
      </c>
      <c r="G183">
        <v>0.38829999999999998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-0.58620689655172409</v>
      </c>
      <c r="Q183">
        <f t="shared" ref="Q183" si="891">F183*P183</f>
        <v>-749459.17448275851</v>
      </c>
      <c r="R183">
        <f t="shared" ref="R183" si="892">R184+Q183</f>
        <v>-162056455.45292744</v>
      </c>
      <c r="S183">
        <f t="shared" ref="S183" si="893">R183/100000</f>
        <v>-1620.5645545292743</v>
      </c>
      <c r="T183">
        <f t="shared" ref="T183" si="894">S183/1000</f>
        <v>-1.6205645545292744</v>
      </c>
    </row>
    <row r="184" spans="1:20" x14ac:dyDescent="0.25">
      <c r="A184" s="5">
        <v>44409</v>
      </c>
      <c r="B184">
        <v>0.40189999999999998</v>
      </c>
      <c r="C184">
        <v>0.41599999999999998</v>
      </c>
      <c r="D184">
        <v>0.39029999999999998</v>
      </c>
      <c r="E184">
        <v>0.39240000000000003</v>
      </c>
      <c r="F184">
        <v>2868201.5</v>
      </c>
      <c r="G184">
        <v>0.39240000000000003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-0.83657587548637768</v>
      </c>
      <c r="Q184">
        <f t="shared" ref="Q184" si="896">F184*P184</f>
        <v>-2399468.1809338415</v>
      </c>
      <c r="R184">
        <f t="shared" ref="R184" si="897">R185+Q184</f>
        <v>-161306996.27844468</v>
      </c>
      <c r="S184">
        <f t="shared" ref="S184" si="898">R184/100000</f>
        <v>-1613.0699627844467</v>
      </c>
      <c r="T184">
        <f t="shared" ref="T184" si="899">S184/1000</f>
        <v>-1.6130699627844467</v>
      </c>
    </row>
    <row r="185" spans="1:20" x14ac:dyDescent="0.25">
      <c r="A185" s="5">
        <v>44408</v>
      </c>
      <c r="B185">
        <v>0.40129999999999999</v>
      </c>
      <c r="C185">
        <v>0.41089999999999999</v>
      </c>
      <c r="D185">
        <v>0.39319999999999999</v>
      </c>
      <c r="E185">
        <v>0.40210000000000001</v>
      </c>
      <c r="F185">
        <v>2698389.68</v>
      </c>
      <c r="G185">
        <v>0.40210000000000001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5.64971751412681E-3</v>
      </c>
      <c r="Q185">
        <f t="shared" ref="Q185" si="901">F185*P185</f>
        <v>15245.139435035038</v>
      </c>
      <c r="R185">
        <f t="shared" ref="R185" si="902">R186+Q185</f>
        <v>-158907528.09751084</v>
      </c>
      <c r="S185">
        <f t="shared" ref="S185" si="903">R185/100000</f>
        <v>-1589.0752809751084</v>
      </c>
      <c r="T185">
        <f t="shared" ref="T185" si="904">S185/1000</f>
        <v>-1.5890752809751083</v>
      </c>
    </row>
    <row r="186" spans="1:20" x14ac:dyDescent="0.25">
      <c r="A186" s="5">
        <v>44407</v>
      </c>
      <c r="B186">
        <v>0.4012</v>
      </c>
      <c r="C186">
        <v>0.4118</v>
      </c>
      <c r="D186">
        <v>0.38350000000000001</v>
      </c>
      <c r="E186">
        <v>0.40029999999999999</v>
      </c>
      <c r="F186">
        <v>2677795.52</v>
      </c>
      <c r="G186">
        <v>0.40029999999999999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0.18727915194346195</v>
      </c>
      <c r="Q186">
        <f t="shared" ref="Q186" si="906">F186*P186</f>
        <v>501495.27406360174</v>
      </c>
      <c r="R186">
        <f t="shared" ref="R186" si="907">R187+Q186</f>
        <v>-158922773.23694587</v>
      </c>
      <c r="S186">
        <f t="shared" ref="S186" si="908">R186/100000</f>
        <v>-1589.2277323694586</v>
      </c>
      <c r="T186">
        <f t="shared" ref="T186" si="909">S186/1000</f>
        <v>-1.5892277323694586</v>
      </c>
    </row>
    <row r="187" spans="1:20" x14ac:dyDescent="0.25">
      <c r="A187" s="5">
        <v>44406</v>
      </c>
      <c r="B187">
        <v>0.3785</v>
      </c>
      <c r="C187">
        <v>0.43</v>
      </c>
      <c r="D187">
        <v>0.37190000000000001</v>
      </c>
      <c r="E187">
        <v>0.40079999999999999</v>
      </c>
      <c r="F187">
        <v>7376216</v>
      </c>
      <c r="G187">
        <v>0.40079999999999999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-5.1635111876079613E-3</v>
      </c>
      <c r="Q187">
        <f t="shared" ref="Q187" si="911">F187*P187</f>
        <v>-38087.173838212846</v>
      </c>
      <c r="R187">
        <f t="shared" ref="R187" si="912">R188+Q187</f>
        <v>-159424268.51100945</v>
      </c>
      <c r="S187">
        <f t="shared" ref="S187" si="913">R187/100000</f>
        <v>-1594.2426851100945</v>
      </c>
      <c r="T187">
        <f t="shared" ref="T187" si="914">S187/1000</f>
        <v>-1.5942426851100946</v>
      </c>
    </row>
    <row r="188" spans="1:20" x14ac:dyDescent="0.25">
      <c r="A188" s="5">
        <v>44405</v>
      </c>
      <c r="B188">
        <v>0.39050000000000001</v>
      </c>
      <c r="C188">
        <v>0.39279999999999998</v>
      </c>
      <c r="D188">
        <v>0.37190000000000001</v>
      </c>
      <c r="E188">
        <v>0.37819999999999998</v>
      </c>
      <c r="F188">
        <v>3456793.47</v>
      </c>
      <c r="G188">
        <v>0.37819999999999998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-0.39712918660287272</v>
      </c>
      <c r="Q188">
        <f t="shared" ref="Q188" si="916">F188*P188</f>
        <v>-1372793.578995222</v>
      </c>
      <c r="R188">
        <f t="shared" ref="R188" si="917">R189+Q188</f>
        <v>-159386181.33717126</v>
      </c>
      <c r="S188">
        <f t="shared" ref="S188" si="918">R188/100000</f>
        <v>-1593.8618133717125</v>
      </c>
      <c r="T188">
        <f t="shared" ref="T188" si="919">S188/1000</f>
        <v>-1.5938618133717126</v>
      </c>
    </row>
    <row r="189" spans="1:20" x14ac:dyDescent="0.25">
      <c r="A189" s="5">
        <v>44404</v>
      </c>
      <c r="B189">
        <v>0.37759999999999999</v>
      </c>
      <c r="C189">
        <v>0.4325</v>
      </c>
      <c r="D189">
        <v>0.36</v>
      </c>
      <c r="E189">
        <v>0.3896</v>
      </c>
      <c r="F189">
        <v>12409975.140000001</v>
      </c>
      <c r="G189">
        <v>0.3896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-0.18344827586206866</v>
      </c>
      <c r="Q189">
        <f t="shared" ref="Q189" si="921">F189*P189</f>
        <v>-2276588.5429241341</v>
      </c>
      <c r="R189">
        <f t="shared" ref="R189" si="922">R190+Q189</f>
        <v>-158013387.75817603</v>
      </c>
      <c r="S189">
        <f t="shared" ref="S189" si="923">R189/100000</f>
        <v>-1580.1338775817603</v>
      </c>
      <c r="T189">
        <f t="shared" ref="T189" si="924">S189/1000</f>
        <v>-1.5801338775817604</v>
      </c>
    </row>
    <row r="190" spans="1:20" x14ac:dyDescent="0.25">
      <c r="A190" s="5">
        <v>44403</v>
      </c>
      <c r="B190">
        <v>0.35620000000000002</v>
      </c>
      <c r="C190">
        <v>0.38190000000000002</v>
      </c>
      <c r="D190">
        <v>0.3548</v>
      </c>
      <c r="E190">
        <v>0.37830000000000003</v>
      </c>
      <c r="F190">
        <v>4202735.22</v>
      </c>
      <c r="G190">
        <v>0.37830000000000003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0.73431734317343245</v>
      </c>
      <c r="Q190">
        <f t="shared" ref="Q190" si="926">F190*P190</f>
        <v>3086141.3608118109</v>
      </c>
      <c r="R190">
        <f t="shared" ref="R190" si="927">R191+Q190</f>
        <v>-155736799.21525189</v>
      </c>
      <c r="S190">
        <f t="shared" ref="S190" si="928">R190/100000</f>
        <v>-1557.367992152519</v>
      </c>
      <c r="T190">
        <f t="shared" ref="T190" si="929">S190/1000</f>
        <v>-1.557367992152519</v>
      </c>
    </row>
    <row r="191" spans="1:20" x14ac:dyDescent="0.25">
      <c r="A191" s="5">
        <v>44402</v>
      </c>
      <c r="B191">
        <v>0.35589999999999999</v>
      </c>
      <c r="C191">
        <v>0.35759999999999997</v>
      </c>
      <c r="D191">
        <v>0.34460000000000002</v>
      </c>
      <c r="E191">
        <v>0.35589999999999999</v>
      </c>
      <c r="F191">
        <v>1230432.6000000001</v>
      </c>
      <c r="G191">
        <v>0.35589999999999999</v>
      </c>
      <c r="L191" t="s">
        <v>8</v>
      </c>
      <c r="M191" t="s">
        <v>7</v>
      </c>
      <c r="N191" t="s">
        <v>7</v>
      </c>
      <c r="P191">
        <f t="shared" ref="P191" si="930">IF(C191=D191,0,((E191-D191)-(C191-E191))/(C191-D191))</f>
        <v>0.73846153846154072</v>
      </c>
      <c r="Q191">
        <f t="shared" ref="Q191" si="931">F191*P191</f>
        <v>908627.15076923359</v>
      </c>
      <c r="R191">
        <f t="shared" ref="R191" si="932">R192+Q191</f>
        <v>-158822940.57606369</v>
      </c>
      <c r="S191">
        <f t="shared" ref="S191" si="933">R191/100000</f>
        <v>-1588.2294057606368</v>
      </c>
      <c r="T191">
        <f t="shared" ref="T191:T197" si="934">S191/1000</f>
        <v>-1.5882294057606368</v>
      </c>
    </row>
    <row r="192" spans="1:20" x14ac:dyDescent="0.25">
      <c r="A192" s="5">
        <v>44401</v>
      </c>
      <c r="B192">
        <v>0.3579</v>
      </c>
      <c r="C192">
        <v>0.36209999999999998</v>
      </c>
      <c r="D192">
        <v>0.35099999999999998</v>
      </c>
      <c r="E192">
        <v>0.35599999999999998</v>
      </c>
      <c r="F192">
        <v>1311587.44</v>
      </c>
      <c r="G192">
        <v>0.35599999999999998</v>
      </c>
      <c r="L192" t="s">
        <v>8</v>
      </c>
      <c r="M192" t="s">
        <v>7</v>
      </c>
      <c r="N192" t="s">
        <v>7</v>
      </c>
      <c r="P192">
        <f t="shared" ref="P192" si="935">IF(C192=D192,0,((E192-D192)-(C192-E192))/(C192-D192))</f>
        <v>-9.9099099099098198E-2</v>
      </c>
      <c r="Q192">
        <f t="shared" ref="Q192" si="936">F192*P192</f>
        <v>-129977.13369369251</v>
      </c>
      <c r="R192">
        <f t="shared" ref="R192" si="937">R193+Q192</f>
        <v>-159731567.72683293</v>
      </c>
      <c r="S192">
        <f t="shared" ref="S192" si="938">R192/100000</f>
        <v>-1597.3156772683292</v>
      </c>
      <c r="T192">
        <f t="shared" si="934"/>
        <v>-1.5973156772683292</v>
      </c>
    </row>
    <row r="193" spans="1:20" x14ac:dyDescent="0.25">
      <c r="A193" s="5">
        <v>44400</v>
      </c>
      <c r="B193">
        <v>0.34039999999999998</v>
      </c>
      <c r="C193">
        <v>0.3599</v>
      </c>
      <c r="D193">
        <v>0.33800000000000002</v>
      </c>
      <c r="E193">
        <v>0.35730000000000001</v>
      </c>
      <c r="F193">
        <v>2121100.2799999998</v>
      </c>
      <c r="G193">
        <v>0.35730000000000001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0.76255707762557134</v>
      </c>
      <c r="Q193">
        <f t="shared" ref="Q193" si="940">F193*P193</f>
        <v>1617460.030867581</v>
      </c>
      <c r="R193">
        <f t="shared" ref="R193" si="941">R194+Q193</f>
        <v>-159601590.59313923</v>
      </c>
      <c r="S193">
        <f t="shared" ref="S193" si="942">R193/100000</f>
        <v>-1596.0159059313924</v>
      </c>
      <c r="T193">
        <f t="shared" si="934"/>
        <v>-1.5960159059313923</v>
      </c>
    </row>
    <row r="194" spans="1:20" x14ac:dyDescent="0.25">
      <c r="A194" s="5">
        <v>44399</v>
      </c>
      <c r="B194">
        <v>0.33710000000000001</v>
      </c>
      <c r="C194">
        <v>0.3473</v>
      </c>
      <c r="D194">
        <v>0.33350000000000002</v>
      </c>
      <c r="E194">
        <v>0.34050000000000002</v>
      </c>
      <c r="F194">
        <v>1642772.56</v>
      </c>
      <c r="G194">
        <v>0.34050000000000002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1.4492753623190854E-2</v>
      </c>
      <c r="Q194">
        <f t="shared" ref="Q194" si="944">F194*P194</f>
        <v>23808.297971018514</v>
      </c>
      <c r="R194">
        <f t="shared" ref="R194" si="945">R195+Q194</f>
        <v>-161219050.62400681</v>
      </c>
      <c r="S194">
        <f t="shared" ref="S194" si="946">R194/100000</f>
        <v>-1612.1905062400681</v>
      </c>
      <c r="T194">
        <f t="shared" si="934"/>
        <v>-1.6121905062400681</v>
      </c>
    </row>
    <row r="195" spans="1:20" x14ac:dyDescent="0.25">
      <c r="A195" s="5">
        <v>44398</v>
      </c>
      <c r="B195">
        <v>0.31709999999999999</v>
      </c>
      <c r="C195">
        <v>0.34699999999999998</v>
      </c>
      <c r="D195">
        <v>0.313</v>
      </c>
      <c r="E195">
        <v>0.33700000000000002</v>
      </c>
      <c r="F195">
        <v>3522395.65</v>
      </c>
      <c r="G195">
        <v>0.33700000000000002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0.41176470588235525</v>
      </c>
      <c r="Q195">
        <f t="shared" ref="Q195" si="948">F195*P195</f>
        <v>1450398.2088235375</v>
      </c>
      <c r="R195">
        <f t="shared" ref="R195" si="949">R196+Q195</f>
        <v>-161242858.92197782</v>
      </c>
      <c r="S195">
        <f t="shared" ref="S195" si="950">R195/100000</f>
        <v>-1612.4285892197781</v>
      </c>
      <c r="T195">
        <f t="shared" si="934"/>
        <v>-1.6124285892197781</v>
      </c>
    </row>
    <row r="196" spans="1:20" x14ac:dyDescent="0.25">
      <c r="A196" s="5">
        <v>44397</v>
      </c>
      <c r="B196">
        <v>0.33289999999999997</v>
      </c>
      <c r="C196">
        <v>0.33450000000000002</v>
      </c>
      <c r="D196">
        <v>0.3125</v>
      </c>
      <c r="E196">
        <v>0.31809999999999999</v>
      </c>
      <c r="F196">
        <v>1223291.0900000001</v>
      </c>
      <c r="G196">
        <v>0.31809999999999999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-0.49090909090909191</v>
      </c>
      <c r="Q196">
        <f t="shared" ref="Q196" si="952">F196*P196</f>
        <v>-600524.71690909215</v>
      </c>
      <c r="R196">
        <f t="shared" ref="R196" si="953">R197+Q196</f>
        <v>-162693257.13080135</v>
      </c>
      <c r="S196">
        <f t="shared" ref="S196" si="954">R196/100000</f>
        <v>-1626.9325713080134</v>
      </c>
      <c r="T196">
        <f t="shared" si="934"/>
        <v>-1.6269325713080134</v>
      </c>
    </row>
    <row r="197" spans="1:20" x14ac:dyDescent="0.25">
      <c r="A197" s="5">
        <v>44396</v>
      </c>
      <c r="B197">
        <v>0.35239999999999999</v>
      </c>
      <c r="C197">
        <v>0.3548</v>
      </c>
      <c r="D197">
        <v>0.3301</v>
      </c>
      <c r="E197">
        <v>0.33229999999999998</v>
      </c>
      <c r="F197">
        <v>1399317.54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-0.8218623481781393</v>
      </c>
      <c r="Q197">
        <f t="shared" ref="Q197" si="956">F197*P197</f>
        <v>-1150046.3992712575</v>
      </c>
      <c r="R197">
        <f t="shared" ref="R197" si="957">R198+Q197</f>
        <v>-162092732.41389227</v>
      </c>
      <c r="S197">
        <f t="shared" ref="S197" si="958">R197/100000</f>
        <v>-1620.9273241389226</v>
      </c>
      <c r="T197">
        <f t="shared" si="934"/>
        <v>-1.6209273241389226</v>
      </c>
    </row>
    <row r="198" spans="1:20" x14ac:dyDescent="0.25">
      <c r="A198" s="5">
        <v>44395</v>
      </c>
      <c r="B198">
        <v>0.3513</v>
      </c>
      <c r="C198">
        <v>0.3594</v>
      </c>
      <c r="D198">
        <v>0.3453</v>
      </c>
      <c r="E198">
        <v>0.35260000000000002</v>
      </c>
      <c r="F198">
        <v>1432003.71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3.5460992907805383E-2</v>
      </c>
      <c r="Q198">
        <f t="shared" ref="Q198:Q261" si="960">F198*P198</f>
        <v>50780.273404260995</v>
      </c>
      <c r="R198">
        <f t="shared" ref="R198:R261" si="961">R199+Q198</f>
        <v>-160942686.01462102</v>
      </c>
      <c r="S198">
        <f t="shared" ref="S198:S261" si="962">R198/100000</f>
        <v>-1609.4268601462102</v>
      </c>
      <c r="T198">
        <f t="shared" ref="T198:T261" si="963">S198/1000</f>
        <v>-1.6094268601462103</v>
      </c>
    </row>
    <row r="199" spans="1:20" x14ac:dyDescent="0.25">
      <c r="A199" s="5">
        <v>44394</v>
      </c>
      <c r="B199">
        <v>0.35799999999999998</v>
      </c>
      <c r="C199">
        <v>0.36230000000000001</v>
      </c>
      <c r="D199">
        <v>0.34960000000000002</v>
      </c>
      <c r="E199">
        <v>0.35189999999999999</v>
      </c>
      <c r="F199">
        <v>1383708.61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-0.63779527559055582</v>
      </c>
      <c r="Q199">
        <f t="shared" si="960"/>
        <v>-882522.81425197504</v>
      </c>
      <c r="R199">
        <f t="shared" si="961"/>
        <v>-160993466.28802529</v>
      </c>
      <c r="S199">
        <f t="shared" si="962"/>
        <v>-1609.934662880253</v>
      </c>
      <c r="T199">
        <f t="shared" si="963"/>
        <v>-1.6099346628802529</v>
      </c>
    </row>
    <row r="200" spans="1:20" x14ac:dyDescent="0.25">
      <c r="A200" s="5">
        <v>44393</v>
      </c>
      <c r="B200">
        <v>0.35539999999999999</v>
      </c>
      <c r="C200">
        <v>0.38290000000000002</v>
      </c>
      <c r="D200">
        <v>0.34539999999999998</v>
      </c>
      <c r="E200">
        <v>0.3579</v>
      </c>
      <c r="F200">
        <v>4522634.5199999996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-0.33333333333333331</v>
      </c>
      <c r="Q200">
        <f t="shared" si="960"/>
        <v>-1507544.8399999999</v>
      </c>
      <c r="R200">
        <f t="shared" si="961"/>
        <v>-160110943.4737733</v>
      </c>
      <c r="S200">
        <f t="shared" si="962"/>
        <v>-1601.109434737733</v>
      </c>
      <c r="T200">
        <f t="shared" si="963"/>
        <v>-1.601109434737733</v>
      </c>
    </row>
    <row r="201" spans="1:20" x14ac:dyDescent="0.25">
      <c r="A201" s="5">
        <v>44392</v>
      </c>
      <c r="B201">
        <v>0.37330000000000002</v>
      </c>
      <c r="C201">
        <v>0.37630000000000002</v>
      </c>
      <c r="D201">
        <v>0.35070000000000001</v>
      </c>
      <c r="E201">
        <v>0.35539999999999999</v>
      </c>
      <c r="F201">
        <v>1974627.99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-0.63281250000000155</v>
      </c>
      <c r="Q201">
        <f t="shared" si="960"/>
        <v>-1249569.274921878</v>
      </c>
      <c r="R201">
        <f t="shared" si="961"/>
        <v>-158603398.6337733</v>
      </c>
      <c r="S201">
        <f t="shared" si="962"/>
        <v>-1586.033986337733</v>
      </c>
      <c r="T201">
        <f t="shared" si="963"/>
        <v>-1.5860339863377331</v>
      </c>
    </row>
    <row r="202" spans="1:20" x14ac:dyDescent="0.25">
      <c r="A202" s="5">
        <v>44391</v>
      </c>
      <c r="B202">
        <v>0.36399999999999999</v>
      </c>
      <c r="C202">
        <v>0.375</v>
      </c>
      <c r="D202">
        <v>0.35210000000000002</v>
      </c>
      <c r="E202">
        <v>0.37369999999999998</v>
      </c>
      <c r="F202">
        <v>1728975.64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0.88646288209606772</v>
      </c>
      <c r="Q202">
        <f t="shared" si="960"/>
        <v>1532672.7289082932</v>
      </c>
      <c r="R202">
        <f t="shared" si="961"/>
        <v>-157353829.35885143</v>
      </c>
      <c r="S202">
        <f t="shared" si="962"/>
        <v>-1573.5382935885143</v>
      </c>
      <c r="T202">
        <f t="shared" si="963"/>
        <v>-1.5735382935885143</v>
      </c>
    </row>
    <row r="203" spans="1:20" x14ac:dyDescent="0.25">
      <c r="A203" s="5">
        <v>44390</v>
      </c>
      <c r="B203">
        <v>0.37080000000000002</v>
      </c>
      <c r="C203">
        <v>0.37119999999999997</v>
      </c>
      <c r="D203">
        <v>0.35830000000000001</v>
      </c>
      <c r="E203">
        <v>0.3639</v>
      </c>
      <c r="F203">
        <v>1382319.03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-0.13178294573643284</v>
      </c>
      <c r="Q203">
        <f t="shared" si="960"/>
        <v>-182166.07372092849</v>
      </c>
      <c r="R203">
        <f t="shared" si="961"/>
        <v>-158886502.08775973</v>
      </c>
      <c r="S203">
        <f t="shared" si="962"/>
        <v>-1588.8650208775973</v>
      </c>
      <c r="T203">
        <f t="shared" si="963"/>
        <v>-1.5888650208775974</v>
      </c>
    </row>
    <row r="204" spans="1:20" x14ac:dyDescent="0.25">
      <c r="A204" s="5">
        <v>44389</v>
      </c>
      <c r="B204">
        <v>0.38059999999999999</v>
      </c>
      <c r="C204">
        <v>0.3861</v>
      </c>
      <c r="D204">
        <v>0.36159999999999998</v>
      </c>
      <c r="E204">
        <v>0.37140000000000001</v>
      </c>
      <c r="F204">
        <v>2303083.48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-0.19999999999999818</v>
      </c>
      <c r="Q204">
        <f t="shared" si="960"/>
        <v>-460616.69599999581</v>
      </c>
      <c r="R204">
        <f t="shared" si="961"/>
        <v>-158704336.0140388</v>
      </c>
      <c r="S204">
        <f t="shared" si="962"/>
        <v>-1587.0433601403879</v>
      </c>
      <c r="T204">
        <f t="shared" si="963"/>
        <v>-1.5870433601403879</v>
      </c>
    </row>
    <row r="205" spans="1:20" x14ac:dyDescent="0.25">
      <c r="A205" s="5">
        <v>44388</v>
      </c>
      <c r="B205">
        <v>0.36609999999999998</v>
      </c>
      <c r="C205">
        <v>0.45500000000000002</v>
      </c>
      <c r="D205">
        <v>0.36280000000000001</v>
      </c>
      <c r="E205">
        <v>0.38109999999999999</v>
      </c>
      <c r="F205">
        <v>18344496.52</v>
      </c>
      <c r="G205">
        <v>0</v>
      </c>
      <c r="L205" t="s">
        <v>8</v>
      </c>
      <c r="M205" t="s">
        <v>8</v>
      </c>
      <c r="N205" t="s">
        <v>7</v>
      </c>
      <c r="P205">
        <f t="shared" si="959"/>
        <v>-0.60303687635574876</v>
      </c>
      <c r="Q205">
        <f t="shared" si="960"/>
        <v>-11062407.879739704</v>
      </c>
      <c r="R205">
        <f t="shared" si="961"/>
        <v>-158243719.31803879</v>
      </c>
      <c r="S205">
        <f t="shared" si="962"/>
        <v>-1582.437193180388</v>
      </c>
      <c r="T205">
        <f t="shared" si="963"/>
        <v>-1.582437193180388</v>
      </c>
    </row>
    <row r="206" spans="1:20" x14ac:dyDescent="0.25">
      <c r="A206" s="5">
        <v>44387</v>
      </c>
      <c r="B206">
        <v>0.37369999999999998</v>
      </c>
      <c r="C206">
        <v>0.37709999999999999</v>
      </c>
      <c r="D206">
        <v>0.35959999999999998</v>
      </c>
      <c r="E206">
        <v>0.3664</v>
      </c>
      <c r="F206">
        <v>935327.94</v>
      </c>
      <c r="G206">
        <v>0</v>
      </c>
      <c r="L206" t="s">
        <v>7</v>
      </c>
      <c r="M206" t="s">
        <v>8</v>
      </c>
      <c r="N206" t="s">
        <v>7</v>
      </c>
      <c r="P206">
        <f t="shared" si="959"/>
        <v>-0.22285714285714031</v>
      </c>
      <c r="Q206">
        <f t="shared" si="960"/>
        <v>-208444.51234285475</v>
      </c>
      <c r="R206">
        <f t="shared" si="961"/>
        <v>-147181311.43829909</v>
      </c>
      <c r="S206">
        <f t="shared" si="962"/>
        <v>-1471.813114382991</v>
      </c>
      <c r="T206">
        <f t="shared" si="963"/>
        <v>-1.4718131143829909</v>
      </c>
    </row>
    <row r="207" spans="1:20" x14ac:dyDescent="0.25">
      <c r="A207" s="5">
        <v>44386</v>
      </c>
      <c r="B207">
        <v>0.36830000000000002</v>
      </c>
      <c r="C207">
        <v>0.38119999999999998</v>
      </c>
      <c r="D207">
        <v>0.36199999999999999</v>
      </c>
      <c r="E207">
        <v>0.37269999999999998</v>
      </c>
      <c r="F207">
        <v>1336047.83</v>
      </c>
      <c r="G207">
        <v>0</v>
      </c>
      <c r="L207" t="s">
        <v>7</v>
      </c>
      <c r="M207" t="s">
        <v>8</v>
      </c>
      <c r="N207" t="s">
        <v>7</v>
      </c>
      <c r="P207">
        <f t="shared" si="959"/>
        <v>0.11458333333333232</v>
      </c>
      <c r="Q207">
        <f t="shared" si="960"/>
        <v>153088.81385416532</v>
      </c>
      <c r="R207">
        <f t="shared" si="961"/>
        <v>-146972866.92595625</v>
      </c>
      <c r="S207">
        <f t="shared" si="962"/>
        <v>-1469.7286692595626</v>
      </c>
      <c r="T207">
        <f t="shared" si="963"/>
        <v>-1.4697286692595626</v>
      </c>
    </row>
    <row r="208" spans="1:20" x14ac:dyDescent="0.25">
      <c r="A208" s="5">
        <v>44385</v>
      </c>
      <c r="B208">
        <v>0.39739999999999998</v>
      </c>
      <c r="C208">
        <v>0.39829999999999999</v>
      </c>
      <c r="D208">
        <v>0.36509999999999998</v>
      </c>
      <c r="E208">
        <v>0.36909999999999998</v>
      </c>
      <c r="F208">
        <v>1399627.95</v>
      </c>
      <c r="G208">
        <v>0</v>
      </c>
      <c r="L208" t="s">
        <v>7</v>
      </c>
      <c r="M208" t="s">
        <v>8</v>
      </c>
      <c r="N208" t="s">
        <v>7</v>
      </c>
      <c r="P208">
        <f t="shared" si="959"/>
        <v>-0.75903614457831314</v>
      </c>
      <c r="Q208">
        <f t="shared" si="960"/>
        <v>-1062368.203012048</v>
      </c>
      <c r="R208">
        <f t="shared" si="961"/>
        <v>-147125955.73981041</v>
      </c>
      <c r="S208">
        <f t="shared" si="962"/>
        <v>-1471.2595573981041</v>
      </c>
      <c r="T208">
        <f t="shared" si="963"/>
        <v>-1.4712595573981042</v>
      </c>
    </row>
    <row r="209" spans="1:20" x14ac:dyDescent="0.25">
      <c r="A209" s="5">
        <v>44384</v>
      </c>
      <c r="B209">
        <v>0.40150000000000002</v>
      </c>
      <c r="C209">
        <v>0.41499999999999998</v>
      </c>
      <c r="D209">
        <v>0.39639999999999997</v>
      </c>
      <c r="E209">
        <v>0.39739999999999998</v>
      </c>
      <c r="F209">
        <v>2841959.04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-0.89247311827956988</v>
      </c>
      <c r="Q209">
        <f t="shared" si="960"/>
        <v>-2536372.0464516128</v>
      </c>
      <c r="R209">
        <f t="shared" si="961"/>
        <v>-146063587.53679836</v>
      </c>
      <c r="S209">
        <f t="shared" si="962"/>
        <v>-1460.6358753679835</v>
      </c>
      <c r="T209">
        <f t="shared" si="963"/>
        <v>-1.4606358753679836</v>
      </c>
    </row>
    <row r="210" spans="1:20" x14ac:dyDescent="0.25">
      <c r="A210" s="5">
        <v>44383</v>
      </c>
      <c r="B210">
        <v>0.372</v>
      </c>
      <c r="C210">
        <v>0.40739999999999998</v>
      </c>
      <c r="D210">
        <v>0.372</v>
      </c>
      <c r="E210">
        <v>0.4007</v>
      </c>
      <c r="F210">
        <v>3373393.91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0.62146892655367314</v>
      </c>
      <c r="Q210">
        <f t="shared" si="960"/>
        <v>2096459.4920903984</v>
      </c>
      <c r="R210">
        <f t="shared" si="961"/>
        <v>-143527215.49034676</v>
      </c>
      <c r="S210">
        <f t="shared" si="962"/>
        <v>-1435.2721549034677</v>
      </c>
      <c r="T210">
        <f t="shared" si="963"/>
        <v>-1.4352721549034677</v>
      </c>
    </row>
    <row r="211" spans="1:20" x14ac:dyDescent="0.25">
      <c r="A211" s="5">
        <v>44382</v>
      </c>
      <c r="B211">
        <v>0.38640000000000002</v>
      </c>
      <c r="C211">
        <v>0.38640000000000002</v>
      </c>
      <c r="D211">
        <v>0.36549999999999999</v>
      </c>
      <c r="E211">
        <v>0.37309999999999999</v>
      </c>
      <c r="F211">
        <v>1494576.11</v>
      </c>
      <c r="G211">
        <v>0</v>
      </c>
      <c r="L211" t="s">
        <v>8</v>
      </c>
      <c r="M211" t="s">
        <v>8</v>
      </c>
      <c r="N211" t="s">
        <v>7</v>
      </c>
      <c r="P211">
        <f t="shared" si="959"/>
        <v>-0.27272727272727415</v>
      </c>
      <c r="Q211">
        <f t="shared" si="960"/>
        <v>-407611.66636363853</v>
      </c>
      <c r="R211">
        <f t="shared" si="961"/>
        <v>-145623674.98243716</v>
      </c>
      <c r="S211">
        <f t="shared" si="962"/>
        <v>-1456.2367498243716</v>
      </c>
      <c r="T211">
        <f t="shared" si="963"/>
        <v>-1.4562367498243716</v>
      </c>
    </row>
    <row r="212" spans="1:20" x14ac:dyDescent="0.25">
      <c r="A212" s="5">
        <v>44381</v>
      </c>
      <c r="B212">
        <v>0.3851</v>
      </c>
      <c r="C212">
        <v>0.39419999999999999</v>
      </c>
      <c r="D212">
        <v>0.37830000000000003</v>
      </c>
      <c r="E212">
        <v>0.38690000000000002</v>
      </c>
      <c r="F212">
        <v>1619157.32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8.1761006289309796E-2</v>
      </c>
      <c r="Q212">
        <f t="shared" si="960"/>
        <v>132383.93182390201</v>
      </c>
      <c r="R212">
        <f t="shared" si="961"/>
        <v>-145216063.31607354</v>
      </c>
      <c r="S212">
        <f t="shared" si="962"/>
        <v>-1452.1606331607354</v>
      </c>
      <c r="T212">
        <f t="shared" si="963"/>
        <v>-1.4521606331607355</v>
      </c>
    </row>
    <row r="213" spans="1:20" x14ac:dyDescent="0.25">
      <c r="A213" s="5">
        <v>44380</v>
      </c>
      <c r="B213">
        <v>0.37540000000000001</v>
      </c>
      <c r="C213">
        <v>0.3896</v>
      </c>
      <c r="D213">
        <v>0.36919999999999997</v>
      </c>
      <c r="E213">
        <v>0.38450000000000001</v>
      </c>
      <c r="F213">
        <v>1270304.8400000001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0.50000000000000133</v>
      </c>
      <c r="Q213">
        <f t="shared" si="960"/>
        <v>635152.42000000179</v>
      </c>
      <c r="R213">
        <f t="shared" si="961"/>
        <v>-145348447.24789745</v>
      </c>
      <c r="S213">
        <f t="shared" si="962"/>
        <v>-1453.4844724789746</v>
      </c>
      <c r="T213">
        <f t="shared" si="963"/>
        <v>-1.4534844724789746</v>
      </c>
    </row>
    <row r="214" spans="1:20" x14ac:dyDescent="0.25">
      <c r="A214" s="5">
        <v>44379</v>
      </c>
      <c r="B214">
        <v>0.38030000000000003</v>
      </c>
      <c r="C214">
        <v>0.38469999999999999</v>
      </c>
      <c r="D214">
        <v>0.36159999999999998</v>
      </c>
      <c r="E214">
        <v>0.37580000000000002</v>
      </c>
      <c r="F214">
        <v>1374315.61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0.22943722943723291</v>
      </c>
      <c r="Q214">
        <f t="shared" si="960"/>
        <v>315319.16593074071</v>
      </c>
      <c r="R214">
        <f t="shared" si="961"/>
        <v>-145983599.66789746</v>
      </c>
      <c r="S214">
        <f t="shared" si="962"/>
        <v>-1459.8359966789747</v>
      </c>
      <c r="T214">
        <f t="shared" si="963"/>
        <v>-1.4598359966789747</v>
      </c>
    </row>
    <row r="215" spans="1:20" x14ac:dyDescent="0.25">
      <c r="A215" s="5">
        <v>44378</v>
      </c>
      <c r="B215">
        <v>0.38850000000000001</v>
      </c>
      <c r="C215">
        <v>0.39</v>
      </c>
      <c r="D215">
        <v>0.36899999999999999</v>
      </c>
      <c r="E215">
        <v>0.38129999999999997</v>
      </c>
      <c r="F215">
        <v>1873516.57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0.17142857142856827</v>
      </c>
      <c r="Q215">
        <f t="shared" si="960"/>
        <v>321174.26914285123</v>
      </c>
      <c r="R215">
        <f t="shared" si="961"/>
        <v>-146298918.83382821</v>
      </c>
      <c r="S215">
        <f t="shared" si="962"/>
        <v>-1462.989188338282</v>
      </c>
      <c r="T215">
        <f t="shared" si="963"/>
        <v>-1.462989188338282</v>
      </c>
    </row>
    <row r="216" spans="1:20" x14ac:dyDescent="0.25">
      <c r="A216" s="5">
        <v>44377</v>
      </c>
      <c r="B216">
        <v>0.39479999999999998</v>
      </c>
      <c r="C216">
        <v>0.4022</v>
      </c>
      <c r="D216">
        <v>0.37140000000000001</v>
      </c>
      <c r="E216">
        <v>0.38879999999999998</v>
      </c>
      <c r="F216">
        <v>2397953.09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0.12987012987012822</v>
      </c>
      <c r="Q216">
        <f t="shared" si="960"/>
        <v>311422.47922077525</v>
      </c>
      <c r="R216">
        <f t="shared" si="961"/>
        <v>-146620093.10297108</v>
      </c>
      <c r="S216">
        <f t="shared" si="962"/>
        <v>-1466.2009310297108</v>
      </c>
      <c r="T216">
        <f t="shared" si="963"/>
        <v>-1.4662009310297108</v>
      </c>
    </row>
    <row r="217" spans="1:20" x14ac:dyDescent="0.25">
      <c r="A217" s="5">
        <v>44376</v>
      </c>
      <c r="B217">
        <v>0.37380000000000002</v>
      </c>
      <c r="C217">
        <v>0.4098</v>
      </c>
      <c r="D217">
        <v>0.37209999999999999</v>
      </c>
      <c r="E217">
        <v>0.3952</v>
      </c>
      <c r="F217">
        <v>3469367.24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0.2254641909814325</v>
      </c>
      <c r="Q217">
        <f t="shared" si="960"/>
        <v>782218.07798408542</v>
      </c>
      <c r="R217">
        <f t="shared" si="961"/>
        <v>-146931515.58219185</v>
      </c>
      <c r="S217">
        <f t="shared" si="962"/>
        <v>-1469.3151558219186</v>
      </c>
      <c r="T217">
        <f t="shared" si="963"/>
        <v>-1.4693151558219186</v>
      </c>
    </row>
    <row r="218" spans="1:20" x14ac:dyDescent="0.25">
      <c r="A218" s="5">
        <v>44375</v>
      </c>
      <c r="B218">
        <v>0.36909999999999998</v>
      </c>
      <c r="C218">
        <v>0.37819999999999998</v>
      </c>
      <c r="D218">
        <v>0.36059999999999998</v>
      </c>
      <c r="E218">
        <v>0.37380000000000002</v>
      </c>
      <c r="F218">
        <v>2124587.21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0.50000000000000477</v>
      </c>
      <c r="Q218">
        <f t="shared" si="960"/>
        <v>1062293.6050000102</v>
      </c>
      <c r="R218">
        <f t="shared" si="961"/>
        <v>-147713733.66017595</v>
      </c>
      <c r="S218">
        <f t="shared" si="962"/>
        <v>-1477.1373366017594</v>
      </c>
      <c r="T218">
        <f t="shared" si="963"/>
        <v>-1.4771373366017595</v>
      </c>
    </row>
    <row r="219" spans="1:20" x14ac:dyDescent="0.25">
      <c r="A219" s="5">
        <v>44374</v>
      </c>
      <c r="B219">
        <v>0.36370000000000002</v>
      </c>
      <c r="C219">
        <v>0.37269999999999998</v>
      </c>
      <c r="D219">
        <v>0.35160000000000002</v>
      </c>
      <c r="E219">
        <v>0.36849999999999999</v>
      </c>
      <c r="F219">
        <v>3560752.06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0.60189573459715728</v>
      </c>
      <c r="Q219">
        <f t="shared" si="960"/>
        <v>2143201.4768720409</v>
      </c>
      <c r="R219">
        <f t="shared" si="961"/>
        <v>-148776027.26517597</v>
      </c>
      <c r="S219">
        <f t="shared" si="962"/>
        <v>-1487.7602726517596</v>
      </c>
      <c r="T219">
        <f t="shared" si="963"/>
        <v>-1.4877602726517596</v>
      </c>
    </row>
    <row r="220" spans="1:20" x14ac:dyDescent="0.25">
      <c r="A220" s="5">
        <v>44373</v>
      </c>
      <c r="B220">
        <v>0.3533</v>
      </c>
      <c r="C220">
        <v>0.37430000000000002</v>
      </c>
      <c r="D220">
        <v>0.34110000000000001</v>
      </c>
      <c r="E220">
        <v>0.36370000000000002</v>
      </c>
      <c r="F220">
        <v>4749306.33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0.36144578313253034</v>
      </c>
      <c r="Q220">
        <f t="shared" si="960"/>
        <v>1716616.7457831337</v>
      </c>
      <c r="R220">
        <f t="shared" si="961"/>
        <v>-150919228.742048</v>
      </c>
      <c r="S220">
        <f t="shared" si="962"/>
        <v>-1509.1922874204799</v>
      </c>
      <c r="T220">
        <f t="shared" si="963"/>
        <v>-1.5091922874204799</v>
      </c>
    </row>
    <row r="221" spans="1:20" x14ac:dyDescent="0.25">
      <c r="A221" s="5">
        <v>44372</v>
      </c>
      <c r="B221">
        <v>0.37690000000000001</v>
      </c>
      <c r="C221">
        <v>0.39279999999999998</v>
      </c>
      <c r="D221">
        <v>0.34949999999999998</v>
      </c>
      <c r="E221">
        <v>0.3533</v>
      </c>
      <c r="F221">
        <v>4106053.44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-0.82448036951501036</v>
      </c>
      <c r="Q221">
        <f t="shared" si="960"/>
        <v>-3385360.4574595792</v>
      </c>
      <c r="R221">
        <f t="shared" si="961"/>
        <v>-152635845.48783112</v>
      </c>
      <c r="S221">
        <f t="shared" si="962"/>
        <v>-1526.3584548783112</v>
      </c>
      <c r="T221">
        <f t="shared" si="963"/>
        <v>-1.5263584548783113</v>
      </c>
    </row>
    <row r="222" spans="1:20" x14ac:dyDescent="0.25">
      <c r="A222" s="5">
        <v>44371</v>
      </c>
      <c r="B222">
        <v>0.38030000000000003</v>
      </c>
      <c r="C222">
        <v>0.38750000000000001</v>
      </c>
      <c r="D222">
        <v>0.36049999999999999</v>
      </c>
      <c r="E222">
        <v>0.37690000000000001</v>
      </c>
      <c r="F222">
        <v>2836331.74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0.21481481481481562</v>
      </c>
      <c r="Q222">
        <f t="shared" si="960"/>
        <v>609286.07748148381</v>
      </c>
      <c r="R222">
        <f t="shared" si="961"/>
        <v>-149250485.03037155</v>
      </c>
      <c r="S222">
        <f t="shared" si="962"/>
        <v>-1492.5048503037156</v>
      </c>
      <c r="T222">
        <f t="shared" si="963"/>
        <v>-1.4925048503037155</v>
      </c>
    </row>
    <row r="223" spans="1:20" x14ac:dyDescent="0.25">
      <c r="A223" s="5">
        <v>44370</v>
      </c>
      <c r="B223">
        <v>0.3695</v>
      </c>
      <c r="C223">
        <v>0.4199</v>
      </c>
      <c r="D223">
        <v>0.3604</v>
      </c>
      <c r="E223">
        <v>0.38009999999999999</v>
      </c>
      <c r="F223">
        <v>3948036.79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-0.3378151260504203</v>
      </c>
      <c r="Q223">
        <f t="shared" si="960"/>
        <v>-1333706.5458655467</v>
      </c>
      <c r="R223">
        <f t="shared" si="961"/>
        <v>-149859771.10785303</v>
      </c>
      <c r="S223">
        <f t="shared" si="962"/>
        <v>-1498.5977110785302</v>
      </c>
      <c r="T223">
        <f t="shared" si="963"/>
        <v>-1.4985977110785302</v>
      </c>
    </row>
    <row r="224" spans="1:20" x14ac:dyDescent="0.25">
      <c r="A224" s="5">
        <v>44369</v>
      </c>
      <c r="B224">
        <v>0.42730000000000001</v>
      </c>
      <c r="C224">
        <v>0.43869999999999998</v>
      </c>
      <c r="D224">
        <v>0.34</v>
      </c>
      <c r="E224">
        <v>0.3695</v>
      </c>
      <c r="F224">
        <v>6652384.7000000002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-0.40222897669706215</v>
      </c>
      <c r="Q224">
        <f t="shared" si="960"/>
        <v>-2675781.8904761928</v>
      </c>
      <c r="R224">
        <f t="shared" si="961"/>
        <v>-148526064.56198749</v>
      </c>
      <c r="S224">
        <f t="shared" si="962"/>
        <v>-1485.2606456198748</v>
      </c>
      <c r="T224">
        <f t="shared" si="963"/>
        <v>-1.4852606456198749</v>
      </c>
    </row>
    <row r="225" spans="1:20" x14ac:dyDescent="0.25">
      <c r="A225" s="5">
        <v>44368</v>
      </c>
      <c r="B225">
        <v>0.50490000000000002</v>
      </c>
      <c r="C225">
        <v>0.56200000000000006</v>
      </c>
      <c r="D225">
        <v>0.41949999999999998</v>
      </c>
      <c r="E225">
        <v>0.42730000000000001</v>
      </c>
      <c r="F225">
        <v>30834646.690000001</v>
      </c>
      <c r="G225">
        <v>0</v>
      </c>
      <c r="L225" t="s">
        <v>7</v>
      </c>
      <c r="M225" t="s">
        <v>8</v>
      </c>
      <c r="N225" t="s">
        <v>7</v>
      </c>
      <c r="P225">
        <f t="shared" si="959"/>
        <v>-0.89052631578947328</v>
      </c>
      <c r="Q225">
        <f t="shared" si="960"/>
        <v>-27459064.315515779</v>
      </c>
      <c r="R225">
        <f t="shared" si="961"/>
        <v>-145850282.67151129</v>
      </c>
      <c r="S225">
        <f t="shared" si="962"/>
        <v>-1458.5028267151129</v>
      </c>
      <c r="T225">
        <f t="shared" si="963"/>
        <v>-1.4585028267151128</v>
      </c>
    </row>
    <row r="226" spans="1:20" x14ac:dyDescent="0.25">
      <c r="A226" s="5">
        <v>44367</v>
      </c>
      <c r="B226">
        <v>0.45129999999999998</v>
      </c>
      <c r="C226">
        <v>0.57879999999999998</v>
      </c>
      <c r="D226">
        <v>0.42880000000000001</v>
      </c>
      <c r="E226">
        <v>0.50339999999999996</v>
      </c>
      <c r="F226">
        <v>27230304.260000002</v>
      </c>
      <c r="G226">
        <v>0</v>
      </c>
      <c r="L226" t="s">
        <v>8</v>
      </c>
      <c r="M226" t="s">
        <v>7</v>
      </c>
      <c r="N226" t="s">
        <v>7</v>
      </c>
      <c r="P226">
        <f t="shared" si="959"/>
        <v>-5.333333333333857E-3</v>
      </c>
      <c r="Q226">
        <f t="shared" si="960"/>
        <v>-145228.28938668093</v>
      </c>
      <c r="R226">
        <f t="shared" si="961"/>
        <v>-118391218.35599552</v>
      </c>
      <c r="S226">
        <f t="shared" si="962"/>
        <v>-1183.9121835599551</v>
      </c>
      <c r="T226">
        <f t="shared" si="963"/>
        <v>-1.1839121835599551</v>
      </c>
    </row>
    <row r="227" spans="1:20" x14ac:dyDescent="0.25">
      <c r="A227" s="5">
        <v>44366</v>
      </c>
      <c r="B227">
        <v>0.46379999999999999</v>
      </c>
      <c r="C227">
        <v>0.47499999999999998</v>
      </c>
      <c r="D227">
        <v>0.45019999999999999</v>
      </c>
      <c r="E227">
        <v>0.45200000000000001</v>
      </c>
      <c r="F227">
        <v>1885906.36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-0.85483870967741737</v>
      </c>
      <c r="Q227">
        <f t="shared" si="960"/>
        <v>-1612145.7593548351</v>
      </c>
      <c r="R227">
        <f t="shared" si="961"/>
        <v>-118245990.06660885</v>
      </c>
      <c r="S227">
        <f t="shared" si="962"/>
        <v>-1182.4599006660885</v>
      </c>
      <c r="T227">
        <f t="shared" si="963"/>
        <v>-1.1824599006660885</v>
      </c>
    </row>
    <row r="228" spans="1:20" x14ac:dyDescent="0.25">
      <c r="A228" s="5">
        <v>44365</v>
      </c>
      <c r="B228">
        <v>0.49759999999999999</v>
      </c>
      <c r="C228">
        <v>0.49969999999999998</v>
      </c>
      <c r="D228">
        <v>0.43719999999999998</v>
      </c>
      <c r="E228">
        <v>0.46279999999999999</v>
      </c>
      <c r="F228">
        <v>2926571.48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-0.18079999999999963</v>
      </c>
      <c r="Q228">
        <f t="shared" si="960"/>
        <v>-529124.12358399888</v>
      </c>
      <c r="R228">
        <f t="shared" si="961"/>
        <v>-116633844.30725402</v>
      </c>
      <c r="S228">
        <f t="shared" si="962"/>
        <v>-1166.3384430725403</v>
      </c>
      <c r="T228">
        <f t="shared" si="963"/>
        <v>-1.1663384430725403</v>
      </c>
    </row>
    <row r="229" spans="1:20" x14ac:dyDescent="0.25">
      <c r="A229" s="5">
        <v>44364</v>
      </c>
      <c r="B229">
        <v>0.50290000000000001</v>
      </c>
      <c r="C229">
        <v>0.51670000000000005</v>
      </c>
      <c r="D229">
        <v>0.48820000000000002</v>
      </c>
      <c r="E229">
        <v>0.49809999999999999</v>
      </c>
      <c r="F229">
        <v>2293847.84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-0.30526315789473996</v>
      </c>
      <c r="Q229">
        <f t="shared" si="960"/>
        <v>-700227.23536842817</v>
      </c>
      <c r="R229">
        <f t="shared" si="961"/>
        <v>-116104720.18367001</v>
      </c>
      <c r="S229">
        <f t="shared" si="962"/>
        <v>-1161.0472018367002</v>
      </c>
      <c r="T229">
        <f t="shared" si="963"/>
        <v>-1.1610472018367002</v>
      </c>
    </row>
    <row r="230" spans="1:20" x14ac:dyDescent="0.25">
      <c r="A230" s="5">
        <v>44363</v>
      </c>
      <c r="B230">
        <v>0.5131</v>
      </c>
      <c r="C230">
        <v>0.52300000000000002</v>
      </c>
      <c r="D230">
        <v>0.49230000000000002</v>
      </c>
      <c r="E230">
        <v>0.50339999999999996</v>
      </c>
      <c r="F230">
        <v>3078963.41</v>
      </c>
      <c r="G230">
        <v>0</v>
      </c>
      <c r="L230" t="s">
        <v>8</v>
      </c>
      <c r="M230" t="s">
        <v>7</v>
      </c>
      <c r="N230" t="s">
        <v>7</v>
      </c>
      <c r="P230">
        <f t="shared" si="959"/>
        <v>-0.27687296416938495</v>
      </c>
      <c r="Q230">
        <f t="shared" si="960"/>
        <v>-852481.72589577734</v>
      </c>
      <c r="R230">
        <f t="shared" si="961"/>
        <v>-115404492.94830158</v>
      </c>
      <c r="S230">
        <f t="shared" si="962"/>
        <v>-1154.0449294830159</v>
      </c>
      <c r="T230">
        <f t="shared" si="963"/>
        <v>-1.154044929483016</v>
      </c>
    </row>
    <row r="231" spans="1:20" x14ac:dyDescent="0.25">
      <c r="A231" s="5">
        <v>44362</v>
      </c>
      <c r="B231">
        <v>0.50800000000000001</v>
      </c>
      <c r="C231">
        <v>0.52010000000000001</v>
      </c>
      <c r="D231">
        <v>0.49840000000000001</v>
      </c>
      <c r="E231">
        <v>0.51300000000000001</v>
      </c>
      <c r="F231">
        <v>2532595.81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0.34562211981566854</v>
      </c>
      <c r="Q231">
        <f t="shared" si="960"/>
        <v>875321.13248848019</v>
      </c>
      <c r="R231">
        <f t="shared" si="961"/>
        <v>-114552011.22240581</v>
      </c>
      <c r="S231">
        <f t="shared" si="962"/>
        <v>-1145.520112224058</v>
      </c>
      <c r="T231">
        <f t="shared" si="963"/>
        <v>-1.1455201122240581</v>
      </c>
    </row>
    <row r="232" spans="1:20" x14ac:dyDescent="0.25">
      <c r="A232" s="5">
        <v>44361</v>
      </c>
      <c r="B232">
        <v>0.49530000000000002</v>
      </c>
      <c r="C232">
        <v>0.51229999999999998</v>
      </c>
      <c r="D232">
        <v>0.48799999999999999</v>
      </c>
      <c r="E232">
        <v>0.50849999999999995</v>
      </c>
      <c r="F232">
        <v>2321142.4900000002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0.68724279835390722</v>
      </c>
      <c r="Q232">
        <f t="shared" si="960"/>
        <v>1595188.4602057564</v>
      </c>
      <c r="R232">
        <f t="shared" si="961"/>
        <v>-115427332.35489428</v>
      </c>
      <c r="S232">
        <f t="shared" si="962"/>
        <v>-1154.2733235489427</v>
      </c>
      <c r="T232">
        <f t="shared" si="963"/>
        <v>-1.1542733235489426</v>
      </c>
    </row>
    <row r="233" spans="1:20" x14ac:dyDescent="0.25">
      <c r="A233" s="5">
        <v>44360</v>
      </c>
      <c r="B233">
        <v>0.4844</v>
      </c>
      <c r="C233">
        <v>0.49959999999999999</v>
      </c>
      <c r="D233">
        <v>0.46949999999999997</v>
      </c>
      <c r="E233">
        <v>0.49480000000000002</v>
      </c>
      <c r="F233">
        <v>2530129.33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0.68106312292359017</v>
      </c>
      <c r="Q233">
        <f t="shared" si="960"/>
        <v>1723177.7828903708</v>
      </c>
      <c r="R233">
        <f t="shared" si="961"/>
        <v>-117022520.81510004</v>
      </c>
      <c r="S233">
        <f t="shared" si="962"/>
        <v>-1170.2252081510005</v>
      </c>
      <c r="T233">
        <f t="shared" si="963"/>
        <v>-1.1702252081510005</v>
      </c>
    </row>
    <row r="234" spans="1:20" x14ac:dyDescent="0.25">
      <c r="A234" s="5">
        <v>44359</v>
      </c>
      <c r="B234">
        <v>0.49909999999999999</v>
      </c>
      <c r="C234">
        <v>0.51659999999999995</v>
      </c>
      <c r="D234">
        <v>0.47020000000000001</v>
      </c>
      <c r="E234">
        <v>0.48430000000000001</v>
      </c>
      <c r="F234">
        <v>3140533.42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-0.39224137931034397</v>
      </c>
      <c r="Q234">
        <f t="shared" si="960"/>
        <v>-1231847.1604310318</v>
      </c>
      <c r="R234">
        <f t="shared" si="961"/>
        <v>-118745698.59799041</v>
      </c>
      <c r="S234">
        <f t="shared" si="962"/>
        <v>-1187.4569859799042</v>
      </c>
      <c r="T234">
        <f t="shared" si="963"/>
        <v>-1.1874569859799042</v>
      </c>
    </row>
    <row r="235" spans="1:20" x14ac:dyDescent="0.25">
      <c r="A235" s="5">
        <v>44358</v>
      </c>
      <c r="B235">
        <v>0.5131</v>
      </c>
      <c r="C235">
        <v>0.52490000000000003</v>
      </c>
      <c r="D235">
        <v>0.4929</v>
      </c>
      <c r="E235">
        <v>0.4995</v>
      </c>
      <c r="F235">
        <v>1705190.61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-0.58750000000000069</v>
      </c>
      <c r="Q235">
        <f t="shared" si="960"/>
        <v>-1001799.4833750012</v>
      </c>
      <c r="R235">
        <f t="shared" si="961"/>
        <v>-117513851.43755938</v>
      </c>
      <c r="S235">
        <f t="shared" si="962"/>
        <v>-1175.1385143755938</v>
      </c>
      <c r="T235">
        <f t="shared" si="963"/>
        <v>-1.1751385143755937</v>
      </c>
    </row>
    <row r="236" spans="1:20" x14ac:dyDescent="0.25">
      <c r="A236" s="5">
        <v>44357</v>
      </c>
      <c r="B236">
        <v>0.54410000000000003</v>
      </c>
      <c r="C236">
        <v>0.55520000000000003</v>
      </c>
      <c r="D236">
        <v>0.50419999999999998</v>
      </c>
      <c r="E236">
        <v>0.51439999999999997</v>
      </c>
      <c r="F236">
        <v>2602612.9500000002</v>
      </c>
      <c r="G236">
        <v>0</v>
      </c>
      <c r="L236" t="s">
        <v>8</v>
      </c>
      <c r="M236" t="s">
        <v>7</v>
      </c>
      <c r="N236" t="s">
        <v>7</v>
      </c>
      <c r="P236">
        <f t="shared" si="959"/>
        <v>-0.60000000000000087</v>
      </c>
      <c r="Q236">
        <f t="shared" si="960"/>
        <v>-1561567.7700000023</v>
      </c>
      <c r="R236">
        <f t="shared" si="961"/>
        <v>-116512051.95418438</v>
      </c>
      <c r="S236">
        <f t="shared" si="962"/>
        <v>-1165.1205195418438</v>
      </c>
      <c r="T236">
        <f t="shared" si="963"/>
        <v>-1.1651205195418437</v>
      </c>
    </row>
    <row r="237" spans="1:20" x14ac:dyDescent="0.25">
      <c r="A237" s="5">
        <v>44356</v>
      </c>
      <c r="B237">
        <v>0.52480000000000004</v>
      </c>
      <c r="C237">
        <v>0.54600000000000004</v>
      </c>
      <c r="D237">
        <v>0.5081</v>
      </c>
      <c r="E237">
        <v>0.54320000000000002</v>
      </c>
      <c r="F237">
        <v>2079744.41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0.85224274406332345</v>
      </c>
      <c r="Q237">
        <f t="shared" si="960"/>
        <v>1772447.0829287576</v>
      </c>
      <c r="R237">
        <f t="shared" si="961"/>
        <v>-114950484.18418439</v>
      </c>
      <c r="S237">
        <f t="shared" si="962"/>
        <v>-1149.5048418418439</v>
      </c>
      <c r="T237">
        <f t="shared" si="963"/>
        <v>-1.1495048418418439</v>
      </c>
    </row>
    <row r="238" spans="1:20" x14ac:dyDescent="0.25">
      <c r="A238" s="5">
        <v>44355</v>
      </c>
      <c r="B238">
        <v>0.53149999999999997</v>
      </c>
      <c r="C238">
        <v>0.5403</v>
      </c>
      <c r="D238">
        <v>0.47799999999999998</v>
      </c>
      <c r="E238">
        <v>0.52480000000000004</v>
      </c>
      <c r="F238">
        <v>2850618.23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0.50240770465489715</v>
      </c>
      <c r="Q238">
        <f t="shared" si="960"/>
        <v>1432172.5617817056</v>
      </c>
      <c r="R238">
        <f t="shared" si="961"/>
        <v>-116722931.26711315</v>
      </c>
      <c r="S238">
        <f t="shared" si="962"/>
        <v>-1167.2293126711315</v>
      </c>
      <c r="T238">
        <f t="shared" si="963"/>
        <v>-1.1672293126711315</v>
      </c>
    </row>
    <row r="239" spans="1:20" x14ac:dyDescent="0.25">
      <c r="A239" s="5">
        <v>44354</v>
      </c>
      <c r="B239">
        <v>0.59099999999999997</v>
      </c>
      <c r="C239">
        <v>0.60289999999999999</v>
      </c>
      <c r="D239">
        <v>0.52829999999999999</v>
      </c>
      <c r="E239">
        <v>0.53100000000000003</v>
      </c>
      <c r="F239">
        <v>2163802.23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-0.92761394101876582</v>
      </c>
      <c r="Q239">
        <f t="shared" si="960"/>
        <v>-2007173.1141554939</v>
      </c>
      <c r="R239">
        <f t="shared" si="961"/>
        <v>-118155103.82889485</v>
      </c>
      <c r="S239">
        <f t="shared" si="962"/>
        <v>-1181.5510382889486</v>
      </c>
      <c r="T239">
        <f t="shared" si="963"/>
        <v>-1.1815510382889485</v>
      </c>
    </row>
    <row r="240" spans="1:20" x14ac:dyDescent="0.25">
      <c r="A240" s="5">
        <v>44353</v>
      </c>
      <c r="B240">
        <v>0.56330000000000002</v>
      </c>
      <c r="C240">
        <v>0.69779999999999998</v>
      </c>
      <c r="D240">
        <v>0.55910000000000004</v>
      </c>
      <c r="E240">
        <v>0.5927</v>
      </c>
      <c r="F240">
        <v>10087573.789999999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-0.51550108147080054</v>
      </c>
      <c r="Q240">
        <f t="shared" si="960"/>
        <v>-5200155.1981615014</v>
      </c>
      <c r="R240">
        <f t="shared" si="961"/>
        <v>-116147930.71473935</v>
      </c>
      <c r="S240">
        <f t="shared" si="962"/>
        <v>-1161.4793071473935</v>
      </c>
      <c r="T240">
        <f t="shared" si="963"/>
        <v>-1.1614793071473934</v>
      </c>
    </row>
    <row r="241" spans="1:20" x14ac:dyDescent="0.25">
      <c r="A241" s="5">
        <v>44352</v>
      </c>
      <c r="B241">
        <v>0.58650000000000002</v>
      </c>
      <c r="C241">
        <v>0.61329999999999996</v>
      </c>
      <c r="D241">
        <v>0.55049999999999999</v>
      </c>
      <c r="E241">
        <v>0.56189999999999996</v>
      </c>
      <c r="F241">
        <v>1563291.79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-0.63694267515923653</v>
      </c>
      <c r="Q241">
        <f t="shared" si="960"/>
        <v>-995727.25477707142</v>
      </c>
      <c r="R241">
        <f t="shared" si="961"/>
        <v>-110947775.51657785</v>
      </c>
      <c r="S241">
        <f t="shared" si="962"/>
        <v>-1109.4777551657785</v>
      </c>
      <c r="T241">
        <f t="shared" si="963"/>
        <v>-1.1094777551657784</v>
      </c>
    </row>
    <row r="242" spans="1:20" x14ac:dyDescent="0.25">
      <c r="A242" s="5">
        <v>44351</v>
      </c>
      <c r="B242">
        <v>0.65049999999999997</v>
      </c>
      <c r="C242">
        <v>0.65100000000000002</v>
      </c>
      <c r="D242">
        <v>0.56810000000000005</v>
      </c>
      <c r="E242">
        <v>0.58630000000000004</v>
      </c>
      <c r="F242">
        <v>2664991.52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-0.56091676718938477</v>
      </c>
      <c r="Q242">
        <f t="shared" si="960"/>
        <v>-1494838.4279855248</v>
      </c>
      <c r="R242">
        <f t="shared" si="961"/>
        <v>-109952048.26180078</v>
      </c>
      <c r="S242">
        <f t="shared" si="962"/>
        <v>-1099.5204826180079</v>
      </c>
      <c r="T242">
        <f t="shared" si="963"/>
        <v>-1.0995204826180078</v>
      </c>
    </row>
    <row r="243" spans="1:20" x14ac:dyDescent="0.25">
      <c r="A243" s="5">
        <v>44350</v>
      </c>
      <c r="B243">
        <v>0.61370000000000002</v>
      </c>
      <c r="C243">
        <v>0.65590000000000004</v>
      </c>
      <c r="D243">
        <v>0.60680000000000001</v>
      </c>
      <c r="E243">
        <v>0.65049999999999997</v>
      </c>
      <c r="F243">
        <v>3581093.44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0.78004073319755329</v>
      </c>
      <c r="Q243">
        <f t="shared" si="960"/>
        <v>2793398.7525865482</v>
      </c>
      <c r="R243">
        <f t="shared" si="961"/>
        <v>-108457209.83381526</v>
      </c>
      <c r="S243">
        <f t="shared" si="962"/>
        <v>-1084.5720983381527</v>
      </c>
      <c r="T243">
        <f t="shared" si="963"/>
        <v>-1.0845720983381528</v>
      </c>
    </row>
    <row r="244" spans="1:20" x14ac:dyDescent="0.25">
      <c r="A244" s="5">
        <v>44349</v>
      </c>
      <c r="B244">
        <v>0.57899999999999996</v>
      </c>
      <c r="C244">
        <v>0.63249999999999995</v>
      </c>
      <c r="D244">
        <v>0.5675</v>
      </c>
      <c r="E244">
        <v>0.6139</v>
      </c>
      <c r="F244">
        <v>3817715.96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0.42769230769230876</v>
      </c>
      <c r="Q244">
        <f t="shared" si="960"/>
        <v>1632807.7490461578</v>
      </c>
      <c r="R244">
        <f t="shared" si="961"/>
        <v>-111250608.58640181</v>
      </c>
      <c r="S244">
        <f t="shared" si="962"/>
        <v>-1112.5060858640181</v>
      </c>
      <c r="T244">
        <f t="shared" si="963"/>
        <v>-1.1125060858640181</v>
      </c>
    </row>
    <row r="245" spans="1:20" x14ac:dyDescent="0.25">
      <c r="A245" s="5">
        <v>44348</v>
      </c>
      <c r="B245">
        <v>0.59470000000000001</v>
      </c>
      <c r="C245">
        <v>0.60250000000000004</v>
      </c>
      <c r="D245">
        <v>0.56279999999999997</v>
      </c>
      <c r="E245">
        <v>0.57899999999999996</v>
      </c>
      <c r="F245">
        <v>1989111.13</v>
      </c>
      <c r="G245">
        <v>0</v>
      </c>
      <c r="L245" t="s">
        <v>7</v>
      </c>
      <c r="M245" t="s">
        <v>8</v>
      </c>
      <c r="N245" t="s">
        <v>8</v>
      </c>
      <c r="P245">
        <f t="shared" si="959"/>
        <v>-0.18387909319899426</v>
      </c>
      <c r="Q245">
        <f t="shared" si="960"/>
        <v>-365755.95085642679</v>
      </c>
      <c r="R245">
        <f t="shared" si="961"/>
        <v>-112883416.33544797</v>
      </c>
      <c r="S245">
        <f t="shared" si="962"/>
        <v>-1128.8341633544796</v>
      </c>
      <c r="T245">
        <f t="shared" si="963"/>
        <v>-1.1288341633544796</v>
      </c>
    </row>
    <row r="246" spans="1:20" x14ac:dyDescent="0.25">
      <c r="A246" s="5">
        <v>44347</v>
      </c>
      <c r="B246">
        <v>0.5776</v>
      </c>
      <c r="C246">
        <v>0.60819999999999996</v>
      </c>
      <c r="D246">
        <v>0.5474</v>
      </c>
      <c r="E246">
        <v>0.59470000000000001</v>
      </c>
      <c r="F246">
        <v>5701278.1399999997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0.55592105263158009</v>
      </c>
      <c r="Q246">
        <f t="shared" si="960"/>
        <v>3169460.5449342169</v>
      </c>
      <c r="R246">
        <f t="shared" si="961"/>
        <v>-112517660.38459153</v>
      </c>
      <c r="S246">
        <f t="shared" si="962"/>
        <v>-1125.1766038459155</v>
      </c>
      <c r="T246">
        <f t="shared" si="963"/>
        <v>-1.1251766038459154</v>
      </c>
    </row>
    <row r="247" spans="1:20" x14ac:dyDescent="0.25">
      <c r="A247" s="5">
        <v>44346</v>
      </c>
      <c r="B247">
        <v>0.52910000000000001</v>
      </c>
      <c r="C247">
        <v>0.59109999999999996</v>
      </c>
      <c r="D247">
        <v>0.50680000000000003</v>
      </c>
      <c r="E247">
        <v>0.57879999999999998</v>
      </c>
      <c r="F247">
        <v>30299588.16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0.70818505338078319</v>
      </c>
      <c r="Q247">
        <f t="shared" si="960"/>
        <v>21457715.458505347</v>
      </c>
      <c r="R247">
        <f t="shared" si="961"/>
        <v>-115687120.92952575</v>
      </c>
      <c r="S247">
        <f t="shared" si="962"/>
        <v>-1156.8712092952576</v>
      </c>
      <c r="T247">
        <f t="shared" si="963"/>
        <v>-1.1568712092952576</v>
      </c>
    </row>
    <row r="248" spans="1:20" x14ac:dyDescent="0.25">
      <c r="A248" s="5">
        <v>44345</v>
      </c>
      <c r="B248">
        <v>0.54830000000000001</v>
      </c>
      <c r="C248">
        <v>0.56369999999999998</v>
      </c>
      <c r="D248">
        <v>0.50260000000000005</v>
      </c>
      <c r="E248">
        <v>0.53110000000000002</v>
      </c>
      <c r="F248">
        <v>2453009.65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-6.7103109656301105E-2</v>
      </c>
      <c r="Q248">
        <f t="shared" si="960"/>
        <v>-164604.5755319148</v>
      </c>
      <c r="R248">
        <f t="shared" si="961"/>
        <v>-137144836.3880311</v>
      </c>
      <c r="S248">
        <f t="shared" si="962"/>
        <v>-1371.448363880311</v>
      </c>
      <c r="T248">
        <f t="shared" si="963"/>
        <v>-1.371448363880311</v>
      </c>
    </row>
    <row r="249" spans="1:20" x14ac:dyDescent="0.25">
      <c r="A249" s="5">
        <v>44344</v>
      </c>
      <c r="B249">
        <v>0.61109999999999998</v>
      </c>
      <c r="C249">
        <v>0.627</v>
      </c>
      <c r="D249">
        <v>0.53200000000000003</v>
      </c>
      <c r="E249">
        <v>0.54890000000000005</v>
      </c>
      <c r="F249">
        <v>3946363.29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-0.64421052631578879</v>
      </c>
      <c r="Q249">
        <f t="shared" si="960"/>
        <v>-2542288.7720842077</v>
      </c>
      <c r="R249">
        <f t="shared" si="961"/>
        <v>-136980231.8124992</v>
      </c>
      <c r="S249">
        <f t="shared" si="962"/>
        <v>-1369.8023181249919</v>
      </c>
      <c r="T249">
        <f t="shared" si="963"/>
        <v>-1.3698023181249919</v>
      </c>
    </row>
    <row r="250" spans="1:20" x14ac:dyDescent="0.25">
      <c r="A250" s="5">
        <v>44343</v>
      </c>
      <c r="B250">
        <v>0.64200000000000002</v>
      </c>
      <c r="C250">
        <v>0.66359999999999997</v>
      </c>
      <c r="D250">
        <v>0.58320000000000005</v>
      </c>
      <c r="E250">
        <v>0.61109999999999998</v>
      </c>
      <c r="F250">
        <v>4706721.12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-0.3059701492537325</v>
      </c>
      <c r="Q250">
        <f t="shared" si="960"/>
        <v>-1440116.1635820949</v>
      </c>
      <c r="R250">
        <f t="shared" si="961"/>
        <v>-134437943.04041499</v>
      </c>
      <c r="S250">
        <f t="shared" si="962"/>
        <v>-1344.3794304041498</v>
      </c>
      <c r="T250">
        <f t="shared" si="963"/>
        <v>-1.3443794304041499</v>
      </c>
    </row>
    <row r="251" spans="1:20" x14ac:dyDescent="0.25">
      <c r="A251" s="5">
        <v>44342</v>
      </c>
      <c r="B251">
        <v>0.5635</v>
      </c>
      <c r="C251">
        <v>0.64359999999999995</v>
      </c>
      <c r="D251">
        <v>0.55300000000000005</v>
      </c>
      <c r="E251">
        <v>0.64159999999999995</v>
      </c>
      <c r="F251">
        <v>5451938.3600000003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0.95584988962472395</v>
      </c>
      <c r="Q251">
        <f t="shared" si="960"/>
        <v>5211234.6796467984</v>
      </c>
      <c r="R251">
        <f t="shared" si="961"/>
        <v>-132997826.87683289</v>
      </c>
      <c r="S251">
        <f t="shared" si="962"/>
        <v>-1329.9782687683289</v>
      </c>
      <c r="T251">
        <f t="shared" si="963"/>
        <v>-1.3299782687683288</v>
      </c>
    </row>
    <row r="252" spans="1:20" x14ac:dyDescent="0.25">
      <c r="A252" s="5">
        <v>44341</v>
      </c>
      <c r="B252">
        <v>0.55079999999999996</v>
      </c>
      <c r="C252">
        <v>0.57220000000000004</v>
      </c>
      <c r="D252">
        <v>0.49080000000000001</v>
      </c>
      <c r="E252">
        <v>0.56359999999999999</v>
      </c>
      <c r="F252">
        <v>7084403.5300000003</v>
      </c>
      <c r="G252">
        <v>0</v>
      </c>
      <c r="L252" t="s">
        <v>8</v>
      </c>
      <c r="M252" t="s">
        <v>8</v>
      </c>
      <c r="N252" t="s">
        <v>7</v>
      </c>
      <c r="P252">
        <f t="shared" si="959"/>
        <v>0.78869778869778751</v>
      </c>
      <c r="Q252">
        <f t="shared" si="960"/>
        <v>5587453.3983538002</v>
      </c>
      <c r="R252">
        <f t="shared" si="961"/>
        <v>-138209061.55647969</v>
      </c>
      <c r="S252">
        <f t="shared" si="962"/>
        <v>-1382.090615564797</v>
      </c>
      <c r="T252">
        <f t="shared" si="963"/>
        <v>-1.382090615564797</v>
      </c>
    </row>
    <row r="253" spans="1:20" x14ac:dyDescent="0.25">
      <c r="A253" s="5">
        <v>44340</v>
      </c>
      <c r="B253">
        <v>0.47460000000000002</v>
      </c>
      <c r="C253">
        <v>0.55730000000000002</v>
      </c>
      <c r="D253">
        <v>0.46039999999999998</v>
      </c>
      <c r="E253">
        <v>0.5494</v>
      </c>
      <c r="F253">
        <v>4950579.6100000003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0.83694530443756421</v>
      </c>
      <c r="Q253">
        <f t="shared" si="960"/>
        <v>4143364.358833848</v>
      </c>
      <c r="R253">
        <f t="shared" si="961"/>
        <v>-143796514.95483348</v>
      </c>
      <c r="S253">
        <f t="shared" si="962"/>
        <v>-1437.9651495483347</v>
      </c>
      <c r="T253">
        <f t="shared" si="963"/>
        <v>-1.4379651495483348</v>
      </c>
    </row>
    <row r="254" spans="1:20" x14ac:dyDescent="0.25">
      <c r="A254" s="5">
        <v>44339</v>
      </c>
      <c r="B254">
        <v>0.55130000000000001</v>
      </c>
      <c r="C254">
        <v>0.57299999999999995</v>
      </c>
      <c r="D254">
        <v>0.42880000000000001</v>
      </c>
      <c r="E254">
        <v>0.4733</v>
      </c>
      <c r="F254">
        <v>6284685.6100000003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-0.38280166435506235</v>
      </c>
      <c r="Q254">
        <f t="shared" si="960"/>
        <v>-2405788.1114563104</v>
      </c>
      <c r="R254">
        <f t="shared" si="961"/>
        <v>-147939879.31366733</v>
      </c>
      <c r="S254">
        <f t="shared" si="962"/>
        <v>-1479.3987931366732</v>
      </c>
      <c r="T254">
        <f t="shared" si="963"/>
        <v>-1.4793987931366732</v>
      </c>
    </row>
    <row r="255" spans="1:20" x14ac:dyDescent="0.25">
      <c r="A255" s="5">
        <v>44338</v>
      </c>
      <c r="B255">
        <v>0.59279999999999999</v>
      </c>
      <c r="C255">
        <v>0.65329999999999999</v>
      </c>
      <c r="D255">
        <v>0.53090000000000004</v>
      </c>
      <c r="E255">
        <v>0.55189999999999995</v>
      </c>
      <c r="F255">
        <v>5792107.5499999998</v>
      </c>
      <c r="G255">
        <v>0</v>
      </c>
      <c r="L255" t="s">
        <v>7</v>
      </c>
      <c r="M255" t="s">
        <v>8</v>
      </c>
      <c r="N255" t="s">
        <v>8</v>
      </c>
      <c r="P255">
        <f t="shared" si="959"/>
        <v>-0.65686274509804055</v>
      </c>
      <c r="Q255">
        <f t="shared" si="960"/>
        <v>-3804619.6651960858</v>
      </c>
      <c r="R255">
        <f t="shared" si="961"/>
        <v>-145534091.20221102</v>
      </c>
      <c r="S255">
        <f t="shared" si="962"/>
        <v>-1455.3409120221102</v>
      </c>
      <c r="T255">
        <f t="shared" si="963"/>
        <v>-1.4553409120221101</v>
      </c>
    </row>
    <row r="256" spans="1:20" x14ac:dyDescent="0.25">
      <c r="A256" s="5">
        <v>44337</v>
      </c>
      <c r="B256">
        <v>0.67049999999999998</v>
      </c>
      <c r="C256">
        <v>0.7</v>
      </c>
      <c r="D256">
        <v>0.54420000000000002</v>
      </c>
      <c r="E256">
        <v>0.59379999999999999</v>
      </c>
      <c r="F256">
        <v>7135894.8899999997</v>
      </c>
      <c r="G256">
        <v>0</v>
      </c>
      <c r="L256" t="s">
        <v>7</v>
      </c>
      <c r="M256" t="s">
        <v>7</v>
      </c>
      <c r="N256" t="s">
        <v>8</v>
      </c>
      <c r="P256">
        <f t="shared" si="959"/>
        <v>-0.36328626444159184</v>
      </c>
      <c r="Q256">
        <f t="shared" si="960"/>
        <v>-2592372.5980359437</v>
      </c>
      <c r="R256">
        <f t="shared" si="961"/>
        <v>-141729471.53701493</v>
      </c>
      <c r="S256">
        <f t="shared" si="962"/>
        <v>-1417.2947153701493</v>
      </c>
      <c r="T256">
        <f t="shared" si="963"/>
        <v>-1.4172947153701494</v>
      </c>
    </row>
    <row r="257" spans="1:20" x14ac:dyDescent="0.25">
      <c r="A257" s="5">
        <v>44336</v>
      </c>
      <c r="B257">
        <v>0.61570000000000003</v>
      </c>
      <c r="C257">
        <v>0.70150000000000001</v>
      </c>
      <c r="D257">
        <v>0.58840000000000003</v>
      </c>
      <c r="E257">
        <v>0.66839999999999999</v>
      </c>
      <c r="F257">
        <v>6369660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0.41467727674624183</v>
      </c>
      <c r="Q257">
        <f t="shared" si="960"/>
        <v>2641353.2625994668</v>
      </c>
      <c r="R257">
        <f t="shared" si="961"/>
        <v>-139137098.938979</v>
      </c>
      <c r="S257">
        <f t="shared" si="962"/>
        <v>-1391.3709893897901</v>
      </c>
      <c r="T257">
        <f t="shared" si="963"/>
        <v>-1.3913709893897901</v>
      </c>
    </row>
    <row r="258" spans="1:20" x14ac:dyDescent="0.25">
      <c r="A258" s="5">
        <v>44335</v>
      </c>
      <c r="B258">
        <v>0.8478</v>
      </c>
      <c r="C258">
        <v>0.85729999999999995</v>
      </c>
      <c r="D258">
        <v>0.48</v>
      </c>
      <c r="E258">
        <v>0.60980000000000001</v>
      </c>
      <c r="F258">
        <v>10606337.08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-0.31195335276967912</v>
      </c>
      <c r="Q258">
        <f t="shared" si="960"/>
        <v>-3308682.4127113684</v>
      </c>
      <c r="R258">
        <f t="shared" si="961"/>
        <v>-141778452.20157847</v>
      </c>
      <c r="S258">
        <f t="shared" si="962"/>
        <v>-1417.7845220157847</v>
      </c>
      <c r="T258">
        <f t="shared" si="963"/>
        <v>-1.4177845220157848</v>
      </c>
    </row>
    <row r="259" spans="1:20" x14ac:dyDescent="0.25">
      <c r="A259" s="5">
        <v>44334</v>
      </c>
      <c r="B259">
        <v>0.83150000000000002</v>
      </c>
      <c r="C259">
        <v>0.88090000000000002</v>
      </c>
      <c r="D259">
        <v>0.81859999999999999</v>
      </c>
      <c r="E259">
        <v>0.84730000000000005</v>
      </c>
      <c r="F259">
        <v>4180622.14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-7.865168539325687E-2</v>
      </c>
      <c r="Q259">
        <f t="shared" si="960"/>
        <v>-328812.97730336431</v>
      </c>
      <c r="R259">
        <f t="shared" si="961"/>
        <v>-138469769.78886709</v>
      </c>
      <c r="S259">
        <f t="shared" si="962"/>
        <v>-1384.697697888671</v>
      </c>
      <c r="T259">
        <f t="shared" si="963"/>
        <v>-1.3846976978886709</v>
      </c>
    </row>
    <row r="260" spans="1:20" x14ac:dyDescent="0.25">
      <c r="A260" s="5">
        <v>44333</v>
      </c>
      <c r="B260">
        <v>0.90549999999999997</v>
      </c>
      <c r="C260">
        <v>0.90890000000000004</v>
      </c>
      <c r="D260">
        <v>0.81</v>
      </c>
      <c r="E260">
        <v>0.82899999999999996</v>
      </c>
      <c r="F260">
        <v>5471551.6299999999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-0.61577350859454183</v>
      </c>
      <c r="Q260">
        <f t="shared" si="960"/>
        <v>-3369236.5446612844</v>
      </c>
      <c r="R260">
        <f t="shared" si="961"/>
        <v>-138140956.81156373</v>
      </c>
      <c r="S260">
        <f t="shared" si="962"/>
        <v>-1381.4095681156373</v>
      </c>
      <c r="T260">
        <f t="shared" si="963"/>
        <v>-1.3814095681156373</v>
      </c>
    </row>
    <row r="261" spans="1:20" x14ac:dyDescent="0.25">
      <c r="A261" s="5">
        <v>44332</v>
      </c>
      <c r="B261">
        <v>0.93</v>
      </c>
      <c r="C261">
        <v>1.0003</v>
      </c>
      <c r="D261">
        <v>0.85840000000000005</v>
      </c>
      <c r="E261">
        <v>0.90449999999999997</v>
      </c>
      <c r="F261">
        <v>4001227.34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-0.3502466525722347</v>
      </c>
      <c r="Q261">
        <f t="shared" si="960"/>
        <v>-1401416.4820155068</v>
      </c>
      <c r="R261">
        <f t="shared" si="961"/>
        <v>-134771720.26690245</v>
      </c>
      <c r="S261">
        <f t="shared" si="962"/>
        <v>-1347.7172026690246</v>
      </c>
      <c r="T261">
        <f t="shared" si="963"/>
        <v>-1.3477172026690245</v>
      </c>
    </row>
    <row r="262" spans="1:20" x14ac:dyDescent="0.25">
      <c r="A262" s="5">
        <v>44331</v>
      </c>
      <c r="B262">
        <v>1.0039</v>
      </c>
      <c r="C262">
        <v>1.0169999999999999</v>
      </c>
      <c r="D262">
        <v>0.92269999999999996</v>
      </c>
      <c r="E262">
        <v>0.93010000000000004</v>
      </c>
      <c r="F262">
        <v>4343073.63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-0.84305408271473858</v>
      </c>
      <c r="Q262">
        <f t="shared" ref="Q262:Q325" si="965">F262*P262</f>
        <v>-3661445.9553022198</v>
      </c>
      <c r="R262">
        <f t="shared" ref="R262:R325" si="966">R263+Q262</f>
        <v>-133370303.78488694</v>
      </c>
      <c r="S262">
        <f t="shared" ref="S262:S325" si="967">R262/100000</f>
        <v>-1333.7030378488694</v>
      </c>
      <c r="T262">
        <f t="shared" ref="T262:T325" si="968">S262/1000</f>
        <v>-1.3337030378488695</v>
      </c>
    </row>
    <row r="263" spans="1:20" x14ac:dyDescent="0.25">
      <c r="A263" s="5">
        <v>44330</v>
      </c>
      <c r="B263">
        <v>0.97629999999999995</v>
      </c>
      <c r="C263">
        <v>1.052</v>
      </c>
      <c r="D263">
        <v>0.97040000000000004</v>
      </c>
      <c r="E263">
        <v>1.0041</v>
      </c>
      <c r="F263">
        <v>3979085.19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-0.1740196078431385</v>
      </c>
      <c r="Q263">
        <f t="shared" si="965"/>
        <v>-692438.84433824022</v>
      </c>
      <c r="R263">
        <f t="shared" si="966"/>
        <v>-129708857.82958472</v>
      </c>
      <c r="S263">
        <f t="shared" si="967"/>
        <v>-1297.0885782958471</v>
      </c>
      <c r="T263">
        <f t="shared" si="968"/>
        <v>-1.2970885782958472</v>
      </c>
    </row>
    <row r="264" spans="1:20" x14ac:dyDescent="0.25">
      <c r="A264" s="5">
        <v>44329</v>
      </c>
      <c r="B264">
        <v>1.0147999999999999</v>
      </c>
      <c r="C264">
        <v>1.0742</v>
      </c>
      <c r="D264">
        <v>0.92490000000000006</v>
      </c>
      <c r="E264">
        <v>0.97629999999999995</v>
      </c>
      <c r="F264">
        <v>6872911.6600000001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-0.31145344943067793</v>
      </c>
      <c r="Q264">
        <f t="shared" si="965"/>
        <v>-2140592.0441393266</v>
      </c>
      <c r="R264">
        <f t="shared" si="966"/>
        <v>-129016418.98524648</v>
      </c>
      <c r="S264">
        <f t="shared" si="967"/>
        <v>-1290.1641898524647</v>
      </c>
      <c r="T264">
        <f t="shared" si="968"/>
        <v>-1.2901641898524647</v>
      </c>
    </row>
    <row r="265" spans="1:20" x14ac:dyDescent="0.25">
      <c r="A265" s="5">
        <v>44328</v>
      </c>
      <c r="B265">
        <v>1.1742999999999999</v>
      </c>
      <c r="C265">
        <v>1.24</v>
      </c>
      <c r="D265">
        <v>1.0114000000000001</v>
      </c>
      <c r="E265">
        <v>1.0147999999999999</v>
      </c>
      <c r="F265">
        <v>5751969.5300000003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-0.97025371828521567</v>
      </c>
      <c r="Q265">
        <f t="shared" si="965"/>
        <v>-5580869.8239457645</v>
      </c>
      <c r="R265">
        <f t="shared" si="966"/>
        <v>-126875826.94110715</v>
      </c>
      <c r="S265">
        <f t="shared" si="967"/>
        <v>-1268.7582694110715</v>
      </c>
      <c r="T265">
        <f t="shared" si="968"/>
        <v>-1.2687582694110715</v>
      </c>
    </row>
    <row r="266" spans="1:20" x14ac:dyDescent="0.25">
      <c r="A266" s="5">
        <v>44327</v>
      </c>
      <c r="B266">
        <v>1.1453</v>
      </c>
      <c r="C266">
        <v>1.1961999999999999</v>
      </c>
      <c r="D266">
        <v>1.1024</v>
      </c>
      <c r="E266">
        <v>1.1778999999999999</v>
      </c>
      <c r="F266">
        <v>3497510.02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0.6098081023454156</v>
      </c>
      <c r="Q266">
        <f t="shared" si="965"/>
        <v>2132809.9482302768</v>
      </c>
      <c r="R266">
        <f t="shared" si="966"/>
        <v>-121294957.11716139</v>
      </c>
      <c r="S266">
        <f t="shared" si="967"/>
        <v>-1212.949571171614</v>
      </c>
      <c r="T266">
        <f t="shared" si="968"/>
        <v>-1.2129495711716141</v>
      </c>
    </row>
    <row r="267" spans="1:20" x14ac:dyDescent="0.25">
      <c r="A267" s="5">
        <v>44326</v>
      </c>
      <c r="B267">
        <v>1.2906</v>
      </c>
      <c r="C267">
        <v>1.3141</v>
      </c>
      <c r="D267">
        <v>1.0888</v>
      </c>
      <c r="E267">
        <v>1.1436999999999999</v>
      </c>
      <c r="F267">
        <v>4994722.3600000003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-0.51264980026631213</v>
      </c>
      <c r="Q267">
        <f t="shared" si="965"/>
        <v>-2560543.4202396832</v>
      </c>
      <c r="R267">
        <f t="shared" si="966"/>
        <v>-123427767.06539167</v>
      </c>
      <c r="S267">
        <f t="shared" si="967"/>
        <v>-1234.2776706539169</v>
      </c>
      <c r="T267">
        <f t="shared" si="968"/>
        <v>-1.2342776706539169</v>
      </c>
    </row>
    <row r="268" spans="1:20" x14ac:dyDescent="0.25">
      <c r="A268" s="5">
        <v>44325</v>
      </c>
      <c r="B268">
        <v>1.3654999999999999</v>
      </c>
      <c r="C268">
        <v>1.3752</v>
      </c>
      <c r="D268">
        <v>1.2105999999999999</v>
      </c>
      <c r="E268">
        <v>1.288</v>
      </c>
      <c r="F268">
        <v>6920026.5199999996</v>
      </c>
      <c r="G268">
        <v>0</v>
      </c>
      <c r="L268" t="s">
        <v>8</v>
      </c>
      <c r="M268" t="s">
        <v>7</v>
      </c>
      <c r="N268" t="s">
        <v>8</v>
      </c>
      <c r="P268">
        <f t="shared" si="964"/>
        <v>-5.9538274605102089E-2</v>
      </c>
      <c r="Q268">
        <f t="shared" si="965"/>
        <v>-412006.43922234897</v>
      </c>
      <c r="R268">
        <f t="shared" si="966"/>
        <v>-120867223.64515199</v>
      </c>
      <c r="S268">
        <f t="shared" si="967"/>
        <v>-1208.6722364515199</v>
      </c>
      <c r="T268">
        <f t="shared" si="968"/>
        <v>-1.2086722364515199</v>
      </c>
    </row>
    <row r="269" spans="1:20" x14ac:dyDescent="0.25">
      <c r="A269" s="5">
        <v>44324</v>
      </c>
      <c r="B269">
        <v>1.2301</v>
      </c>
      <c r="C269">
        <v>1.49</v>
      </c>
      <c r="D269">
        <v>1.2010000000000001</v>
      </c>
      <c r="E269">
        <v>1.3673</v>
      </c>
      <c r="F269">
        <v>23179777.579999998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0.15086505190311375</v>
      </c>
      <c r="Q269">
        <f t="shared" si="965"/>
        <v>3497018.3477093321</v>
      </c>
      <c r="R269">
        <f t="shared" si="966"/>
        <v>-120455217.20592964</v>
      </c>
      <c r="S269">
        <f t="shared" si="967"/>
        <v>-1204.5521720592965</v>
      </c>
      <c r="T269">
        <f t="shared" si="968"/>
        <v>-1.2045521720592964</v>
      </c>
    </row>
    <row r="270" spans="1:20" x14ac:dyDescent="0.25">
      <c r="A270" s="5">
        <v>44323</v>
      </c>
      <c r="B270">
        <v>1.1702999999999999</v>
      </c>
      <c r="C270">
        <v>1.5673999999999999</v>
      </c>
      <c r="D270">
        <v>1.1662999999999999</v>
      </c>
      <c r="E270">
        <v>1.2302</v>
      </c>
      <c r="F270">
        <v>30682410.699999999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-0.68137621540762872</v>
      </c>
      <c r="Q270">
        <f t="shared" si="965"/>
        <v>-20906264.88234853</v>
      </c>
      <c r="R270">
        <f t="shared" si="966"/>
        <v>-123952235.55363896</v>
      </c>
      <c r="S270">
        <f t="shared" si="967"/>
        <v>-1239.5223555363896</v>
      </c>
      <c r="T270">
        <f t="shared" si="968"/>
        <v>-1.2395223555363897</v>
      </c>
    </row>
    <row r="271" spans="1:20" x14ac:dyDescent="0.25">
      <c r="A271" s="5">
        <v>44322</v>
      </c>
      <c r="B271">
        <v>1.1234</v>
      </c>
      <c r="C271">
        <v>1.198</v>
      </c>
      <c r="D271">
        <v>1.0947</v>
      </c>
      <c r="E271">
        <v>1.1709000000000001</v>
      </c>
      <c r="F271">
        <v>7249335.9699999997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0.47531461761858829</v>
      </c>
      <c r="Q271">
        <f t="shared" si="965"/>
        <v>3445715.3545692279</v>
      </c>
      <c r="R271">
        <f t="shared" si="966"/>
        <v>-103045970.67129044</v>
      </c>
      <c r="S271">
        <f t="shared" si="967"/>
        <v>-1030.4597067129043</v>
      </c>
      <c r="T271">
        <f t="shared" si="968"/>
        <v>-1.0304597067129044</v>
      </c>
    </row>
    <row r="272" spans="1:20" x14ac:dyDescent="0.25">
      <c r="A272" s="5">
        <v>44321</v>
      </c>
      <c r="B272">
        <v>1.03</v>
      </c>
      <c r="C272">
        <v>1.1323000000000001</v>
      </c>
      <c r="D272">
        <v>1.0250999999999999</v>
      </c>
      <c r="E272">
        <v>1.1233</v>
      </c>
      <c r="F272">
        <v>4157308.41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0.83208955223880399</v>
      </c>
      <c r="Q272">
        <f t="shared" si="965"/>
        <v>3459252.8933955142</v>
      </c>
      <c r="R272">
        <f t="shared" si="966"/>
        <v>-106491686.02585967</v>
      </c>
      <c r="S272">
        <f t="shared" si="967"/>
        <v>-1064.9168602585967</v>
      </c>
      <c r="T272">
        <f t="shared" si="968"/>
        <v>-1.0649168602585968</v>
      </c>
    </row>
    <row r="273" spans="1:20" x14ac:dyDescent="0.25">
      <c r="A273" s="5">
        <v>44320</v>
      </c>
      <c r="B273">
        <v>1.1891</v>
      </c>
      <c r="C273">
        <v>1.1913</v>
      </c>
      <c r="D273">
        <v>1.0124</v>
      </c>
      <c r="E273">
        <v>1.0301</v>
      </c>
      <c r="F273">
        <v>6857561.5899999999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-0.80212409167132426</v>
      </c>
      <c r="Q273">
        <f t="shared" si="965"/>
        <v>-5500615.3614589116</v>
      </c>
      <c r="R273">
        <f t="shared" si="966"/>
        <v>-109950938.91925518</v>
      </c>
      <c r="S273">
        <f t="shared" si="967"/>
        <v>-1099.5093891925519</v>
      </c>
      <c r="T273">
        <f t="shared" si="968"/>
        <v>-1.0995093891925518</v>
      </c>
    </row>
    <row r="274" spans="1:20" x14ac:dyDescent="0.25">
      <c r="A274" s="5">
        <v>44319</v>
      </c>
      <c r="B274">
        <v>1.1394</v>
      </c>
      <c r="C274">
        <v>1.2342</v>
      </c>
      <c r="D274">
        <v>1.133</v>
      </c>
      <c r="E274">
        <v>1.1886000000000001</v>
      </c>
      <c r="F274">
        <v>4589405.3899999997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9.8814229249014188E-2</v>
      </c>
      <c r="Q274">
        <f t="shared" si="965"/>
        <v>453498.55632412131</v>
      </c>
      <c r="R274">
        <f t="shared" si="966"/>
        <v>-104450323.55779627</v>
      </c>
      <c r="S274">
        <f t="shared" si="967"/>
        <v>-1044.5032355779626</v>
      </c>
      <c r="T274">
        <f t="shared" si="968"/>
        <v>-1.0445032355779627</v>
      </c>
    </row>
    <row r="275" spans="1:20" x14ac:dyDescent="0.25">
      <c r="A275" s="5">
        <v>44318</v>
      </c>
      <c r="B275">
        <v>1.1808000000000001</v>
      </c>
      <c r="C275">
        <v>1.1828000000000001</v>
      </c>
      <c r="D275">
        <v>1.1051</v>
      </c>
      <c r="E275">
        <v>1.1394</v>
      </c>
      <c r="F275">
        <v>4047112.5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-0.11711711711711835</v>
      </c>
      <c r="Q275">
        <f t="shared" si="965"/>
        <v>-473986.14864865365</v>
      </c>
      <c r="R275">
        <f t="shared" si="966"/>
        <v>-104903822.11412039</v>
      </c>
      <c r="S275">
        <f t="shared" si="967"/>
        <v>-1049.0382211412038</v>
      </c>
      <c r="T275">
        <f t="shared" si="968"/>
        <v>-1.0490382211412039</v>
      </c>
    </row>
    <row r="276" spans="1:20" x14ac:dyDescent="0.25">
      <c r="A276" s="5">
        <v>44317</v>
      </c>
      <c r="B276">
        <v>1.1454</v>
      </c>
      <c r="C276">
        <v>1.2198</v>
      </c>
      <c r="D276">
        <v>1.0971</v>
      </c>
      <c r="E276">
        <v>1.18</v>
      </c>
      <c r="F276">
        <v>5543555.8799999999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0.35126324368378081</v>
      </c>
      <c r="Q276">
        <f t="shared" si="965"/>
        <v>1947247.4199510959</v>
      </c>
      <c r="R276">
        <f t="shared" si="966"/>
        <v>-104429835.96547174</v>
      </c>
      <c r="S276">
        <f t="shared" si="967"/>
        <v>-1044.2983596547174</v>
      </c>
      <c r="T276">
        <f t="shared" si="968"/>
        <v>-1.0442983596547173</v>
      </c>
    </row>
    <row r="277" spans="1:20" x14ac:dyDescent="0.25">
      <c r="A277" s="5">
        <v>44316</v>
      </c>
      <c r="B277">
        <v>1.0330999999999999</v>
      </c>
      <c r="C277">
        <v>1.1619999999999999</v>
      </c>
      <c r="D277">
        <v>1.0253000000000001</v>
      </c>
      <c r="E277">
        <v>1.1463000000000001</v>
      </c>
      <c r="F277">
        <v>6163250.1200000001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0.77029992684711268</v>
      </c>
      <c r="Q277">
        <f t="shared" si="965"/>
        <v>4747551.1165764583</v>
      </c>
      <c r="R277">
        <f t="shared" si="966"/>
        <v>-106377083.38542284</v>
      </c>
      <c r="S277">
        <f t="shared" si="967"/>
        <v>-1063.7708338542284</v>
      </c>
      <c r="T277">
        <f t="shared" si="968"/>
        <v>-1.0637708338542284</v>
      </c>
    </row>
    <row r="278" spans="1:20" x14ac:dyDescent="0.25">
      <c r="A278" s="5">
        <v>44315</v>
      </c>
      <c r="B278">
        <v>1.0358000000000001</v>
      </c>
      <c r="C278">
        <v>1.1299999999999999</v>
      </c>
      <c r="D278">
        <v>1.0011000000000001</v>
      </c>
      <c r="E278">
        <v>1.0349999999999999</v>
      </c>
      <c r="F278">
        <v>6172005.8300000001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-0.47401086113266294</v>
      </c>
      <c r="Q278">
        <f t="shared" si="965"/>
        <v>-2925597.7983941161</v>
      </c>
      <c r="R278">
        <f t="shared" si="966"/>
        <v>-111124634.5019993</v>
      </c>
      <c r="S278">
        <f t="shared" si="967"/>
        <v>-1111.246345019993</v>
      </c>
      <c r="T278">
        <f t="shared" si="968"/>
        <v>-1.111246345019993</v>
      </c>
    </row>
    <row r="279" spans="1:20" x14ac:dyDescent="0.25">
      <c r="A279" s="5">
        <v>44314</v>
      </c>
      <c r="B279">
        <v>1.0956999999999999</v>
      </c>
      <c r="C279">
        <v>1.1499999999999999</v>
      </c>
      <c r="D279">
        <v>1.0101</v>
      </c>
      <c r="E279">
        <v>1.0359</v>
      </c>
      <c r="F279">
        <v>5753893.25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-0.63116511794138586</v>
      </c>
      <c r="Q279">
        <f t="shared" si="965"/>
        <v>-3631656.7117583938</v>
      </c>
      <c r="R279">
        <f t="shared" si="966"/>
        <v>-108199036.70360519</v>
      </c>
      <c r="S279">
        <f t="shared" si="967"/>
        <v>-1081.9903670360518</v>
      </c>
      <c r="T279">
        <f t="shared" si="968"/>
        <v>-1.0819903670360518</v>
      </c>
    </row>
    <row r="280" spans="1:20" x14ac:dyDescent="0.25">
      <c r="A280" s="5">
        <v>44313</v>
      </c>
      <c r="B280">
        <v>1.0246</v>
      </c>
      <c r="C280">
        <v>1.1361000000000001</v>
      </c>
      <c r="D280">
        <v>1.0214000000000001</v>
      </c>
      <c r="E280">
        <v>1.0958000000000001</v>
      </c>
      <c r="F280">
        <v>4933366.04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0.29729729729729742</v>
      </c>
      <c r="Q280">
        <f t="shared" si="965"/>
        <v>1466676.3902702709</v>
      </c>
      <c r="R280">
        <f t="shared" si="966"/>
        <v>-104567379.9918468</v>
      </c>
      <c r="S280">
        <f t="shared" si="967"/>
        <v>-1045.6737999184679</v>
      </c>
      <c r="T280">
        <f t="shared" si="968"/>
        <v>-1.045673799918468</v>
      </c>
    </row>
    <row r="281" spans="1:20" x14ac:dyDescent="0.25">
      <c r="A281" s="5">
        <v>44312</v>
      </c>
      <c r="B281">
        <v>0.89200000000000002</v>
      </c>
      <c r="C281">
        <v>1.0476000000000001</v>
      </c>
      <c r="D281">
        <v>0.87580000000000002</v>
      </c>
      <c r="E281">
        <v>1.0264</v>
      </c>
      <c r="F281">
        <v>6769738.2400000002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0.75320139697322352</v>
      </c>
      <c r="Q281">
        <f t="shared" si="965"/>
        <v>5098976.2995110517</v>
      </c>
      <c r="R281">
        <f t="shared" si="966"/>
        <v>-106034056.38211708</v>
      </c>
      <c r="S281">
        <f t="shared" si="967"/>
        <v>-1060.3405638211707</v>
      </c>
      <c r="T281">
        <f t="shared" si="968"/>
        <v>-1.0603405638211707</v>
      </c>
    </row>
    <row r="282" spans="1:20" x14ac:dyDescent="0.25">
      <c r="A282" s="5">
        <v>44311</v>
      </c>
      <c r="B282">
        <v>0.87549999999999994</v>
      </c>
      <c r="C282">
        <v>0.97250000000000003</v>
      </c>
      <c r="D282">
        <v>0.82450000000000001</v>
      </c>
      <c r="E282">
        <v>0.89200000000000002</v>
      </c>
      <c r="F282">
        <v>6339234.0800000001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-8.7837837837837898E-2</v>
      </c>
      <c r="Q282">
        <f t="shared" si="965"/>
        <v>-556824.61513513548</v>
      </c>
      <c r="R282">
        <f t="shared" si="966"/>
        <v>-111133032.68162812</v>
      </c>
      <c r="S282">
        <f t="shared" si="967"/>
        <v>-1111.3303268162813</v>
      </c>
      <c r="T282">
        <f t="shared" si="968"/>
        <v>-1.1113303268162813</v>
      </c>
    </row>
    <row r="283" spans="1:20" x14ac:dyDescent="0.25">
      <c r="A283" s="5">
        <v>44310</v>
      </c>
      <c r="B283">
        <v>0.95150000000000001</v>
      </c>
      <c r="C283">
        <v>0.98909999999999998</v>
      </c>
      <c r="D283">
        <v>0.86160000000000003</v>
      </c>
      <c r="E283">
        <v>0.87619999999999998</v>
      </c>
      <c r="F283">
        <v>4767366.1500000004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-0.77098039215686354</v>
      </c>
      <c r="Q283">
        <f t="shared" si="965"/>
        <v>-3675545.8238823572</v>
      </c>
      <c r="R283">
        <f t="shared" si="966"/>
        <v>-110576208.06649299</v>
      </c>
      <c r="S283">
        <f t="shared" si="967"/>
        <v>-1105.76208066493</v>
      </c>
      <c r="T283">
        <f t="shared" si="968"/>
        <v>-1.10576208066493</v>
      </c>
    </row>
    <row r="284" spans="1:20" x14ac:dyDescent="0.25">
      <c r="A284" s="5">
        <v>44309</v>
      </c>
      <c r="B284">
        <v>1.0232000000000001</v>
      </c>
      <c r="C284">
        <v>1.0451999999999999</v>
      </c>
      <c r="D284">
        <v>0.7843</v>
      </c>
      <c r="E284">
        <v>0.95530000000000004</v>
      </c>
      <c r="F284">
        <v>8115305.7300000004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0.31084706784208588</v>
      </c>
      <c r="Q284">
        <f t="shared" si="965"/>
        <v>2522618.9908125782</v>
      </c>
      <c r="R284">
        <f t="shared" si="966"/>
        <v>-106900662.24261063</v>
      </c>
      <c r="S284">
        <f t="shared" si="967"/>
        <v>-1069.0066224261063</v>
      </c>
      <c r="T284">
        <f t="shared" si="968"/>
        <v>-1.0690066224261063</v>
      </c>
    </row>
    <row r="285" spans="1:20" x14ac:dyDescent="0.25">
      <c r="A285" s="5">
        <v>44308</v>
      </c>
      <c r="B285">
        <v>1.1335</v>
      </c>
      <c r="C285">
        <v>1.2039</v>
      </c>
      <c r="D285">
        <v>1.0154000000000001</v>
      </c>
      <c r="E285">
        <v>1.0221</v>
      </c>
      <c r="F285">
        <v>7291876.6500000004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-0.92891246684350204</v>
      </c>
      <c r="Q285">
        <f t="shared" si="965"/>
        <v>-6773515.1268700324</v>
      </c>
      <c r="R285">
        <f t="shared" si="966"/>
        <v>-109423281.23342322</v>
      </c>
      <c r="S285">
        <f t="shared" si="967"/>
        <v>-1094.2328123342322</v>
      </c>
      <c r="T285">
        <f t="shared" si="968"/>
        <v>-1.0942328123342322</v>
      </c>
    </row>
    <row r="286" spans="1:20" x14ac:dyDescent="0.25">
      <c r="A286" s="5">
        <v>44307</v>
      </c>
      <c r="B286">
        <v>1.242</v>
      </c>
      <c r="C286">
        <v>1.3148</v>
      </c>
      <c r="D286">
        <v>1.1182000000000001</v>
      </c>
      <c r="E286">
        <v>1.1335</v>
      </c>
      <c r="F286">
        <v>7180855.0499999998</v>
      </c>
      <c r="G286">
        <v>0</v>
      </c>
      <c r="L286" t="s">
        <v>7</v>
      </c>
      <c r="M286" t="s">
        <v>7</v>
      </c>
      <c r="N286" t="s">
        <v>7</v>
      </c>
      <c r="P286">
        <f t="shared" si="964"/>
        <v>-0.8443540183112932</v>
      </c>
      <c r="Q286">
        <f t="shared" si="965"/>
        <v>-6063183.8163784416</v>
      </c>
      <c r="R286">
        <f t="shared" si="966"/>
        <v>-102649766.10655318</v>
      </c>
      <c r="S286">
        <f t="shared" si="967"/>
        <v>-1026.4976610655319</v>
      </c>
      <c r="T286">
        <f t="shared" si="968"/>
        <v>-1.0264976610655319</v>
      </c>
    </row>
    <row r="287" spans="1:20" x14ac:dyDescent="0.25">
      <c r="A287" s="5">
        <v>44306</v>
      </c>
      <c r="B287">
        <v>1.3236000000000001</v>
      </c>
      <c r="C287">
        <v>1.3419000000000001</v>
      </c>
      <c r="D287">
        <v>1.1565000000000001</v>
      </c>
      <c r="E287">
        <v>1.2422</v>
      </c>
      <c r="F287">
        <v>12093437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-7.5512405609494251E-2</v>
      </c>
      <c r="Q287">
        <f t="shared" si="965"/>
        <v>-913204.51995686535</v>
      </c>
      <c r="R287">
        <f t="shared" si="966"/>
        <v>-96586582.290174738</v>
      </c>
      <c r="S287">
        <f t="shared" si="967"/>
        <v>-965.86582290174738</v>
      </c>
      <c r="T287">
        <f t="shared" si="968"/>
        <v>-0.96586582290174738</v>
      </c>
    </row>
    <row r="288" spans="1:20" x14ac:dyDescent="0.25">
      <c r="A288" s="5">
        <v>44305</v>
      </c>
      <c r="B288">
        <v>1.5049999999999999</v>
      </c>
      <c r="C288">
        <v>1.65</v>
      </c>
      <c r="D288">
        <v>1.3205</v>
      </c>
      <c r="E288">
        <v>1.3236000000000001</v>
      </c>
      <c r="F288">
        <v>15638134.49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-0.98118361153262457</v>
      </c>
      <c r="Q288">
        <f t="shared" si="965"/>
        <v>-15343881.276531098</v>
      </c>
      <c r="R288">
        <f t="shared" si="966"/>
        <v>-95673377.770217866</v>
      </c>
      <c r="S288">
        <f t="shared" si="967"/>
        <v>-956.73377770217871</v>
      </c>
      <c r="T288">
        <f t="shared" si="968"/>
        <v>-0.95673377770217871</v>
      </c>
    </row>
    <row r="289" spans="1:20" x14ac:dyDescent="0.25">
      <c r="A289" s="5">
        <v>44304</v>
      </c>
      <c r="B289">
        <v>1.4684999999999999</v>
      </c>
      <c r="C289">
        <v>1.9999</v>
      </c>
      <c r="D289">
        <v>1.2248000000000001</v>
      </c>
      <c r="E289">
        <v>1.5061</v>
      </c>
      <c r="F289">
        <v>83863681.870000005</v>
      </c>
      <c r="G289">
        <v>0</v>
      </c>
      <c r="L289" t="s">
        <v>8</v>
      </c>
      <c r="M289" t="s">
        <v>8</v>
      </c>
      <c r="N289" t="s">
        <v>8</v>
      </c>
      <c r="P289">
        <f t="shared" si="964"/>
        <v>-0.27415817313895002</v>
      </c>
      <c r="Q289">
        <f t="shared" si="965"/>
        <v>-22991913.814185284</v>
      </c>
      <c r="R289">
        <f t="shared" si="966"/>
        <v>-80329496.493686765</v>
      </c>
      <c r="S289">
        <f t="shared" si="967"/>
        <v>-803.2949649368677</v>
      </c>
      <c r="T289">
        <f t="shared" si="968"/>
        <v>-0.80329496493686769</v>
      </c>
    </row>
    <row r="290" spans="1:20" x14ac:dyDescent="0.25">
      <c r="A290" s="5">
        <v>44303</v>
      </c>
      <c r="B290">
        <v>1.3355999999999999</v>
      </c>
      <c r="C290">
        <v>1.55</v>
      </c>
      <c r="D290">
        <v>1.3036000000000001</v>
      </c>
      <c r="E290">
        <v>1.4681</v>
      </c>
      <c r="F290">
        <v>10255319.949999999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0.33522727272727193</v>
      </c>
      <c r="Q290">
        <f t="shared" si="965"/>
        <v>3437862.9377840823</v>
      </c>
      <c r="R290">
        <f t="shared" si="966"/>
        <v>-57337582.679501481</v>
      </c>
      <c r="S290">
        <f t="shared" si="967"/>
        <v>-573.37582679501486</v>
      </c>
      <c r="T290">
        <f t="shared" si="968"/>
        <v>-0.57337582679501486</v>
      </c>
    </row>
    <row r="291" spans="1:20" x14ac:dyDescent="0.25">
      <c r="A291" s="5">
        <v>44302</v>
      </c>
      <c r="B291">
        <v>1.4080999999999999</v>
      </c>
      <c r="C291">
        <v>1.4337</v>
      </c>
      <c r="D291">
        <v>1.2451000000000001</v>
      </c>
      <c r="E291">
        <v>1.3354999999999999</v>
      </c>
      <c r="F291">
        <v>6444127.9699999997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-4.1357370095441444E-2</v>
      </c>
      <c r="Q291">
        <f t="shared" si="965"/>
        <v>-266512.18539767578</v>
      </c>
      <c r="R291">
        <f t="shared" si="966"/>
        <v>-60775445.617285565</v>
      </c>
      <c r="S291">
        <f t="shared" si="967"/>
        <v>-607.75445617285561</v>
      </c>
      <c r="T291">
        <f t="shared" si="968"/>
        <v>-0.60775445617285562</v>
      </c>
    </row>
    <row r="292" spans="1:20" x14ac:dyDescent="0.25">
      <c r="A292" s="5">
        <v>44301</v>
      </c>
      <c r="B292">
        <v>1.256</v>
      </c>
      <c r="C292">
        <v>1.45</v>
      </c>
      <c r="D292">
        <v>1.246</v>
      </c>
      <c r="E292">
        <v>1.4080999999999999</v>
      </c>
      <c r="F292">
        <v>9456466.3300000001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0.58921568627450926</v>
      </c>
      <c r="Q292">
        <f t="shared" si="965"/>
        <v>5571898.2983627403</v>
      </c>
      <c r="R292">
        <f t="shared" si="966"/>
        <v>-60508933.431887887</v>
      </c>
      <c r="S292">
        <f t="shared" si="967"/>
        <v>-605.08933431887885</v>
      </c>
      <c r="T292">
        <f t="shared" si="968"/>
        <v>-0.6050893343188789</v>
      </c>
    </row>
    <row r="293" spans="1:20" x14ac:dyDescent="0.25">
      <c r="A293" s="5">
        <v>44300</v>
      </c>
      <c r="B293">
        <v>1.2583</v>
      </c>
      <c r="C293">
        <v>1.2704</v>
      </c>
      <c r="D293">
        <v>1.1913</v>
      </c>
      <c r="E293">
        <v>1.2544</v>
      </c>
      <c r="F293">
        <v>3702240.4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0.59544879898862135</v>
      </c>
      <c r="Q293">
        <f t="shared" si="965"/>
        <v>2204494.599747153</v>
      </c>
      <c r="R293">
        <f t="shared" si="966"/>
        <v>-66080831.730250627</v>
      </c>
      <c r="S293">
        <f t="shared" si="967"/>
        <v>-660.80831730250623</v>
      </c>
      <c r="T293">
        <f t="shared" si="968"/>
        <v>-0.66080831730250622</v>
      </c>
    </row>
    <row r="294" spans="1:20" x14ac:dyDescent="0.25">
      <c r="A294" s="5">
        <v>44299</v>
      </c>
      <c r="B294">
        <v>1.2719</v>
      </c>
      <c r="C294">
        <v>1.2936000000000001</v>
      </c>
      <c r="D294">
        <v>1.2060999999999999</v>
      </c>
      <c r="E294">
        <v>1.2578</v>
      </c>
      <c r="F294">
        <v>4221086.1100000003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0.18171428571428572</v>
      </c>
      <c r="Q294">
        <f t="shared" si="965"/>
        <v>767031.64741714299</v>
      </c>
      <c r="R294">
        <f t="shared" si="966"/>
        <v>-68285326.329997778</v>
      </c>
      <c r="S294">
        <f t="shared" si="967"/>
        <v>-682.85326329997781</v>
      </c>
      <c r="T294">
        <f t="shared" si="968"/>
        <v>-0.68285326329997786</v>
      </c>
    </row>
    <row r="295" spans="1:20" x14ac:dyDescent="0.25">
      <c r="A295" s="5">
        <v>44298</v>
      </c>
      <c r="B295">
        <v>1.3613</v>
      </c>
      <c r="C295">
        <v>1.3843000000000001</v>
      </c>
      <c r="D295">
        <v>1.2468999999999999</v>
      </c>
      <c r="E295">
        <v>1.2751999999999999</v>
      </c>
      <c r="F295">
        <v>4876011.43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-0.58806404657933109</v>
      </c>
      <c r="Q295">
        <f t="shared" si="965"/>
        <v>-2867407.0126928706</v>
      </c>
      <c r="R295">
        <f t="shared" si="966"/>
        <v>-69052357.977414921</v>
      </c>
      <c r="S295">
        <f t="shared" si="967"/>
        <v>-690.5235797741492</v>
      </c>
      <c r="T295">
        <f t="shared" si="968"/>
        <v>-0.69052357977414924</v>
      </c>
    </row>
    <row r="296" spans="1:20" x14ac:dyDescent="0.25">
      <c r="A296" s="5">
        <v>44297</v>
      </c>
      <c r="B296">
        <v>1.4652000000000001</v>
      </c>
      <c r="C296">
        <v>1.4742999999999999</v>
      </c>
      <c r="D296">
        <v>1.3426</v>
      </c>
      <c r="E296">
        <v>1.3613999999999999</v>
      </c>
      <c r="F296">
        <v>4887040.5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-0.71450265755505027</v>
      </c>
      <c r="Q296">
        <f t="shared" si="965"/>
        <v>-3491803.4248291617</v>
      </c>
      <c r="R296">
        <f t="shared" si="966"/>
        <v>-66184950.964722052</v>
      </c>
      <c r="S296">
        <f t="shared" si="967"/>
        <v>-661.84950964722054</v>
      </c>
      <c r="T296">
        <f t="shared" si="968"/>
        <v>-0.66184950964722056</v>
      </c>
    </row>
    <row r="297" spans="1:20" x14ac:dyDescent="0.25">
      <c r="A297" s="5">
        <v>44296</v>
      </c>
      <c r="B297">
        <v>1.3676999999999999</v>
      </c>
      <c r="C297">
        <v>1.5288999999999999</v>
      </c>
      <c r="D297">
        <v>1.3491</v>
      </c>
      <c r="E297">
        <v>1.4653</v>
      </c>
      <c r="F297">
        <v>10161121.75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0.29254727474972309</v>
      </c>
      <c r="Q297">
        <f t="shared" si="965"/>
        <v>2972608.4763626372</v>
      </c>
      <c r="R297">
        <f t="shared" si="966"/>
        <v>-62693147.53989289</v>
      </c>
      <c r="S297">
        <f t="shared" si="967"/>
        <v>-626.93147539892891</v>
      </c>
      <c r="T297">
        <f t="shared" si="968"/>
        <v>-0.62693147539892891</v>
      </c>
    </row>
    <row r="298" spans="1:20" x14ac:dyDescent="0.25">
      <c r="A298" s="5">
        <v>44295</v>
      </c>
      <c r="B298">
        <v>1.2490000000000001</v>
      </c>
      <c r="C298">
        <v>1.4088000000000001</v>
      </c>
      <c r="D298">
        <v>1.2404999999999999</v>
      </c>
      <c r="E298">
        <v>1.3685</v>
      </c>
      <c r="F298">
        <v>7795469.6100000003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0.52109328579916847</v>
      </c>
      <c r="Q298">
        <f t="shared" si="965"/>
        <v>4062166.8734224625</v>
      </c>
      <c r="R298">
        <f t="shared" si="966"/>
        <v>-65665756.016255528</v>
      </c>
      <c r="S298">
        <f t="shared" si="967"/>
        <v>-656.65756016255523</v>
      </c>
      <c r="T298">
        <f t="shared" si="968"/>
        <v>-0.65665756016255528</v>
      </c>
    </row>
    <row r="299" spans="1:20" x14ac:dyDescent="0.25">
      <c r="A299" s="5">
        <v>44294</v>
      </c>
      <c r="B299">
        <v>1.1803999999999999</v>
      </c>
      <c r="C299">
        <v>1.2941</v>
      </c>
      <c r="D299">
        <v>1.1735</v>
      </c>
      <c r="E299">
        <v>1.2455000000000001</v>
      </c>
      <c r="F299">
        <v>4816926.1500000004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0.19402985074626933</v>
      </c>
      <c r="Q299">
        <f t="shared" si="965"/>
        <v>934627.46194030182</v>
      </c>
      <c r="R299">
        <f t="shared" si="966"/>
        <v>-69727922.889677987</v>
      </c>
      <c r="S299">
        <f t="shared" si="967"/>
        <v>-697.27922889677984</v>
      </c>
      <c r="T299">
        <f t="shared" si="968"/>
        <v>-0.69727922889677985</v>
      </c>
    </row>
    <row r="300" spans="1:20" x14ac:dyDescent="0.25">
      <c r="A300" s="5">
        <v>44293</v>
      </c>
      <c r="B300">
        <v>1.3194999999999999</v>
      </c>
      <c r="C300">
        <v>1.3378000000000001</v>
      </c>
      <c r="D300">
        <v>1.1044</v>
      </c>
      <c r="E300">
        <v>1.1815</v>
      </c>
      <c r="F300">
        <v>8460470.8900000006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-0.3393316195372757</v>
      </c>
      <c r="Q300">
        <f t="shared" si="965"/>
        <v>-2870905.2891516765</v>
      </c>
      <c r="R300">
        <f t="shared" si="966"/>
        <v>-70662550.35161829</v>
      </c>
      <c r="S300">
        <f t="shared" si="967"/>
        <v>-706.6255035161829</v>
      </c>
      <c r="T300">
        <f t="shared" si="968"/>
        <v>-0.70662550351618292</v>
      </c>
    </row>
    <row r="301" spans="1:20" x14ac:dyDescent="0.25">
      <c r="A301" s="5">
        <v>44292</v>
      </c>
      <c r="B301">
        <v>1.4390000000000001</v>
      </c>
      <c r="C301">
        <v>1.4447000000000001</v>
      </c>
      <c r="D301">
        <v>1.31</v>
      </c>
      <c r="E301">
        <v>1.3203</v>
      </c>
      <c r="F301">
        <v>7902039.2000000002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-0.84706755753526397</v>
      </c>
      <c r="Q301">
        <f t="shared" si="965"/>
        <v>-6693561.0446919119</v>
      </c>
      <c r="R301">
        <f t="shared" si="966"/>
        <v>-67791645.062466606</v>
      </c>
      <c r="S301">
        <f t="shared" si="967"/>
        <v>-677.91645062466603</v>
      </c>
      <c r="T301">
        <f t="shared" si="968"/>
        <v>-0.67791645062466599</v>
      </c>
    </row>
    <row r="302" spans="1:20" x14ac:dyDescent="0.25">
      <c r="A302" s="5">
        <v>44291</v>
      </c>
      <c r="B302">
        <v>1.2972999999999999</v>
      </c>
      <c r="C302">
        <v>1.6</v>
      </c>
      <c r="D302">
        <v>1.2934000000000001</v>
      </c>
      <c r="E302">
        <v>1.4393</v>
      </c>
      <c r="F302">
        <v>20840004.710000001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-4.8271363339856974E-2</v>
      </c>
      <c r="Q302">
        <f t="shared" si="965"/>
        <v>-1005975.4393607407</v>
      </c>
      <c r="R302">
        <f t="shared" si="966"/>
        <v>-61098084.017774694</v>
      </c>
      <c r="S302">
        <f t="shared" si="967"/>
        <v>-610.98084017774693</v>
      </c>
      <c r="T302">
        <f t="shared" si="968"/>
        <v>-0.6109808401777469</v>
      </c>
    </row>
    <row r="303" spans="1:20" x14ac:dyDescent="0.25">
      <c r="A303" s="5">
        <v>44290</v>
      </c>
      <c r="B303">
        <v>1.0547</v>
      </c>
      <c r="C303">
        <v>1.3549</v>
      </c>
      <c r="D303">
        <v>1.0484</v>
      </c>
      <c r="E303">
        <v>1.2974000000000001</v>
      </c>
      <c r="F303">
        <v>13178506.66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0.62479608482871196</v>
      </c>
      <c r="Q303">
        <f t="shared" si="965"/>
        <v>8233879.3650571052</v>
      </c>
      <c r="R303">
        <f t="shared" si="966"/>
        <v>-60092108.578413956</v>
      </c>
      <c r="S303">
        <f t="shared" si="967"/>
        <v>-600.92108578413956</v>
      </c>
      <c r="T303">
        <f t="shared" si="968"/>
        <v>-0.60092108578413961</v>
      </c>
    </row>
    <row r="304" spans="1:20" x14ac:dyDescent="0.25">
      <c r="A304" s="5">
        <v>44289</v>
      </c>
      <c r="B304">
        <v>1.1160000000000001</v>
      </c>
      <c r="C304">
        <v>1.1697</v>
      </c>
      <c r="D304">
        <v>1.0321</v>
      </c>
      <c r="E304">
        <v>1.0548999999999999</v>
      </c>
      <c r="F304">
        <v>5831204.2800000003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-0.66860465116279155</v>
      </c>
      <c r="Q304">
        <f t="shared" si="965"/>
        <v>-3898770.3034883775</v>
      </c>
      <c r="R304">
        <f t="shared" si="966"/>
        <v>-68325987.943471059</v>
      </c>
      <c r="S304">
        <f t="shared" si="967"/>
        <v>-683.25987943471057</v>
      </c>
      <c r="T304">
        <f t="shared" si="968"/>
        <v>-0.68325987943471056</v>
      </c>
    </row>
    <row r="305" spans="1:20" x14ac:dyDescent="0.25">
      <c r="A305" s="5">
        <v>44288</v>
      </c>
      <c r="B305">
        <v>1.0929</v>
      </c>
      <c r="C305">
        <v>1.1499999999999999</v>
      </c>
      <c r="D305">
        <v>1.0576000000000001</v>
      </c>
      <c r="E305">
        <v>1.1163000000000001</v>
      </c>
      <c r="F305">
        <v>4130886.83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0.27056277056277256</v>
      </c>
      <c r="Q305">
        <f t="shared" si="965"/>
        <v>1117664.1856060689</v>
      </c>
      <c r="R305">
        <f t="shared" si="966"/>
        <v>-64427217.639982678</v>
      </c>
      <c r="S305">
        <f t="shared" si="967"/>
        <v>-644.27217639982678</v>
      </c>
      <c r="T305">
        <f t="shared" si="968"/>
        <v>-0.64427217639982681</v>
      </c>
    </row>
    <row r="306" spans="1:20" x14ac:dyDescent="0.25">
      <c r="A306" s="5">
        <v>44287</v>
      </c>
      <c r="B306">
        <v>1.0909</v>
      </c>
      <c r="C306">
        <v>1.2199</v>
      </c>
      <c r="D306">
        <v>1.0749</v>
      </c>
      <c r="E306">
        <v>1.0929</v>
      </c>
      <c r="F306">
        <v>8467990.1300000008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-0.75172413793103432</v>
      </c>
      <c r="Q306">
        <f t="shared" si="965"/>
        <v>-6365592.5804827577</v>
      </c>
      <c r="R306">
        <f t="shared" si="966"/>
        <v>-65544881.825588748</v>
      </c>
      <c r="S306">
        <f t="shared" si="967"/>
        <v>-655.44881825588743</v>
      </c>
      <c r="T306">
        <f t="shared" si="968"/>
        <v>-0.65544881825588741</v>
      </c>
    </row>
    <row r="307" spans="1:20" x14ac:dyDescent="0.25">
      <c r="A307" s="5">
        <v>44286</v>
      </c>
      <c r="B307">
        <v>1.0921000000000001</v>
      </c>
      <c r="C307">
        <v>1.135</v>
      </c>
      <c r="D307">
        <v>1.0134000000000001</v>
      </c>
      <c r="E307">
        <v>1.091</v>
      </c>
      <c r="F307">
        <v>5657324.5599999996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0.27631578947368313</v>
      </c>
      <c r="Q307">
        <f t="shared" si="965"/>
        <v>1563208.1021052569</v>
      </c>
      <c r="R307">
        <f t="shared" si="966"/>
        <v>-59179289.245105989</v>
      </c>
      <c r="S307">
        <f t="shared" si="967"/>
        <v>-591.79289245105986</v>
      </c>
      <c r="T307">
        <f t="shared" si="968"/>
        <v>-0.59179289245105982</v>
      </c>
    </row>
    <row r="308" spans="1:20" x14ac:dyDescent="0.25">
      <c r="A308" s="5">
        <v>44285</v>
      </c>
      <c r="B308">
        <v>1.0682</v>
      </c>
      <c r="C308">
        <v>1.1687000000000001</v>
      </c>
      <c r="D308">
        <v>1.0306</v>
      </c>
      <c r="E308">
        <v>1.0929</v>
      </c>
      <c r="F308">
        <v>10977545.869999999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-9.775524981897217E-2</v>
      </c>
      <c r="Q308">
        <f t="shared" si="965"/>
        <v>-1073112.7389210761</v>
      </c>
      <c r="R308">
        <f t="shared" si="966"/>
        <v>-60742497.347211249</v>
      </c>
      <c r="S308">
        <f t="shared" si="967"/>
        <v>-607.42497347211247</v>
      </c>
      <c r="T308">
        <f t="shared" si="968"/>
        <v>-0.60742497347211244</v>
      </c>
    </row>
    <row r="309" spans="1:20" x14ac:dyDescent="0.25">
      <c r="A309" s="5">
        <v>44284</v>
      </c>
      <c r="B309">
        <v>0.92800000000000005</v>
      </c>
      <c r="C309">
        <v>1.1539999999999999</v>
      </c>
      <c r="D309">
        <v>0.88660000000000005</v>
      </c>
      <c r="E309">
        <v>1.0674999999999999</v>
      </c>
      <c r="F309">
        <v>14258983.43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0.35302916978309601</v>
      </c>
      <c r="Q309">
        <f t="shared" si="965"/>
        <v>5033837.0822438225</v>
      </c>
      <c r="R309">
        <f t="shared" si="966"/>
        <v>-59669384.608290173</v>
      </c>
      <c r="S309">
        <f t="shared" si="967"/>
        <v>-596.6938460829017</v>
      </c>
      <c r="T309">
        <f t="shared" si="968"/>
        <v>-0.59669384608290166</v>
      </c>
    </row>
    <row r="310" spans="1:20" x14ac:dyDescent="0.25">
      <c r="A310" s="5">
        <v>44283</v>
      </c>
      <c r="B310">
        <v>0.90110000000000001</v>
      </c>
      <c r="C310">
        <v>0.94989999999999997</v>
      </c>
      <c r="D310">
        <v>0.88549999999999995</v>
      </c>
      <c r="E310">
        <v>0.92589999999999995</v>
      </c>
      <c r="F310">
        <v>5122156.16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0.25465838509316718</v>
      </c>
      <c r="Q310">
        <f t="shared" si="965"/>
        <v>1304400.0159006184</v>
      </c>
      <c r="R310">
        <f t="shared" si="966"/>
        <v>-64703221.690533996</v>
      </c>
      <c r="S310">
        <f t="shared" si="967"/>
        <v>-647.03221690533996</v>
      </c>
      <c r="T310">
        <f t="shared" si="968"/>
        <v>-0.64703221690533996</v>
      </c>
    </row>
    <row r="311" spans="1:20" x14ac:dyDescent="0.25">
      <c r="A311" s="5">
        <v>44282</v>
      </c>
      <c r="B311">
        <v>0.87119999999999997</v>
      </c>
      <c r="C311">
        <v>0.92630000000000001</v>
      </c>
      <c r="D311">
        <v>0.81369999999999998</v>
      </c>
      <c r="E311">
        <v>0.90149999999999997</v>
      </c>
      <c r="F311">
        <v>4770496.59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0.55950266429840079</v>
      </c>
      <c r="Q311">
        <f t="shared" si="965"/>
        <v>2669105.5521314358</v>
      </c>
      <c r="R311">
        <f t="shared" si="966"/>
        <v>-66007621.706434615</v>
      </c>
      <c r="S311">
        <f t="shared" si="967"/>
        <v>-660.07621706434611</v>
      </c>
      <c r="T311">
        <f t="shared" si="968"/>
        <v>-0.66007621706434616</v>
      </c>
    </row>
    <row r="312" spans="1:20" x14ac:dyDescent="0.25">
      <c r="A312" s="5">
        <v>44281</v>
      </c>
      <c r="B312">
        <v>0.79530000000000001</v>
      </c>
      <c r="C312">
        <v>0.88009999999999999</v>
      </c>
      <c r="D312">
        <v>0.79159999999999997</v>
      </c>
      <c r="E312">
        <v>0.86829999999999996</v>
      </c>
      <c r="F312">
        <v>4104485.31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0.73333333333333262</v>
      </c>
      <c r="Q312">
        <f t="shared" si="965"/>
        <v>3009955.8939999971</v>
      </c>
      <c r="R312">
        <f t="shared" si="966"/>
        <v>-68676727.258566052</v>
      </c>
      <c r="S312">
        <f t="shared" si="967"/>
        <v>-686.76727258566052</v>
      </c>
      <c r="T312">
        <f t="shared" si="968"/>
        <v>-0.6867672725856605</v>
      </c>
    </row>
    <row r="313" spans="1:20" x14ac:dyDescent="0.25">
      <c r="A313" s="5">
        <v>44280</v>
      </c>
      <c r="B313">
        <v>0.86029999999999995</v>
      </c>
      <c r="C313">
        <v>0.86529999999999996</v>
      </c>
      <c r="D313">
        <v>0.77439999999999998</v>
      </c>
      <c r="E313">
        <v>0.79569999999999996</v>
      </c>
      <c r="F313">
        <v>5110000.96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-0.53135313531353157</v>
      </c>
      <c r="Q313">
        <f t="shared" si="965"/>
        <v>-2715215.0315511562</v>
      </c>
      <c r="R313">
        <f t="shared" si="966"/>
        <v>-71686683.152566046</v>
      </c>
      <c r="S313">
        <f t="shared" si="967"/>
        <v>-716.86683152566047</v>
      </c>
      <c r="T313">
        <f t="shared" si="968"/>
        <v>-0.71686683152566044</v>
      </c>
    </row>
    <row r="314" spans="1:20" x14ac:dyDescent="0.25">
      <c r="A314" s="5">
        <v>44279</v>
      </c>
      <c r="B314">
        <v>0.95499999999999996</v>
      </c>
      <c r="C314">
        <v>1.0353000000000001</v>
      </c>
      <c r="D314">
        <v>0.83499999999999996</v>
      </c>
      <c r="E314">
        <v>0.86</v>
      </c>
      <c r="F314">
        <v>9620439.3300000001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-0.75037443834248618</v>
      </c>
      <c r="Q314">
        <f t="shared" si="965"/>
        <v>-7218931.7588567138</v>
      </c>
      <c r="R314">
        <f t="shared" si="966"/>
        <v>-68971468.121014893</v>
      </c>
      <c r="S314">
        <f t="shared" si="967"/>
        <v>-689.71468121014891</v>
      </c>
      <c r="T314">
        <f t="shared" si="968"/>
        <v>-0.68971468121014889</v>
      </c>
    </row>
    <row r="315" spans="1:20" x14ac:dyDescent="0.25">
      <c r="A315" s="5">
        <v>44278</v>
      </c>
      <c r="B315">
        <v>0.88100000000000001</v>
      </c>
      <c r="C315">
        <v>0.98260000000000003</v>
      </c>
      <c r="D315">
        <v>0.82410000000000005</v>
      </c>
      <c r="E315">
        <v>0.9526</v>
      </c>
      <c r="F315">
        <v>7596750.1100000003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0.62145110410094595</v>
      </c>
      <c r="Q315">
        <f t="shared" si="965"/>
        <v>4721008.7434384832</v>
      </c>
      <c r="R315">
        <f t="shared" si="966"/>
        <v>-61752536.362158187</v>
      </c>
      <c r="S315">
        <f t="shared" si="967"/>
        <v>-617.52536362158185</v>
      </c>
      <c r="T315">
        <f t="shared" si="968"/>
        <v>-0.61752536362158184</v>
      </c>
    </row>
    <row r="316" spans="1:20" x14ac:dyDescent="0.25">
      <c r="A316" s="5">
        <v>44277</v>
      </c>
      <c r="B316">
        <v>0.83689999999999998</v>
      </c>
      <c r="C316">
        <v>0.95150000000000001</v>
      </c>
      <c r="D316">
        <v>0.82299999999999995</v>
      </c>
      <c r="E316">
        <v>0.88470000000000004</v>
      </c>
      <c r="F316">
        <v>7609646.9199999999</v>
      </c>
      <c r="G316">
        <v>0</v>
      </c>
      <c r="L316" t="s">
        <v>8</v>
      </c>
      <c r="M316" t="s">
        <v>7</v>
      </c>
      <c r="N316" t="s">
        <v>8</v>
      </c>
      <c r="P316">
        <f t="shared" si="964"/>
        <v>-3.9688715953306461E-2</v>
      </c>
      <c r="Q316">
        <f t="shared" si="965"/>
        <v>-302017.11511283339</v>
      </c>
      <c r="R316">
        <f t="shared" si="966"/>
        <v>-66473545.105596669</v>
      </c>
      <c r="S316">
        <f t="shared" si="967"/>
        <v>-664.73545105596668</v>
      </c>
      <c r="T316">
        <f t="shared" si="968"/>
        <v>-0.66473545105596665</v>
      </c>
    </row>
    <row r="317" spans="1:20" x14ac:dyDescent="0.25">
      <c r="A317" s="5">
        <v>44276</v>
      </c>
      <c r="B317">
        <v>0.89429999999999998</v>
      </c>
      <c r="C317">
        <v>0.91220000000000001</v>
      </c>
      <c r="D317">
        <v>0.81279999999999997</v>
      </c>
      <c r="E317">
        <v>0.83950000000000002</v>
      </c>
      <c r="F317">
        <v>4603992.1900000004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-0.46277665995975764</v>
      </c>
      <c r="Q317">
        <f t="shared" si="965"/>
        <v>-2130620.1281690099</v>
      </c>
      <c r="R317">
        <f t="shared" si="966"/>
        <v>-66171527.990483835</v>
      </c>
      <c r="S317">
        <f t="shared" si="967"/>
        <v>-661.71527990483833</v>
      </c>
      <c r="T317">
        <f t="shared" si="968"/>
        <v>-0.66171527990483836</v>
      </c>
    </row>
    <row r="318" spans="1:20" x14ac:dyDescent="0.25">
      <c r="A318" s="5">
        <v>44275</v>
      </c>
      <c r="B318">
        <v>0.86360000000000003</v>
      </c>
      <c r="C318">
        <v>0.98</v>
      </c>
      <c r="D318">
        <v>0.8518</v>
      </c>
      <c r="E318">
        <v>0.89239999999999997</v>
      </c>
      <c r="F318">
        <v>7552353.1200000001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-0.36661466458658387</v>
      </c>
      <c r="Q318">
        <f t="shared" si="965"/>
        <v>-2768803.4059282402</v>
      </c>
      <c r="R318">
        <f t="shared" si="966"/>
        <v>-64040907.862314828</v>
      </c>
      <c r="S318">
        <f t="shared" si="967"/>
        <v>-640.40907862314828</v>
      </c>
      <c r="T318">
        <f t="shared" si="968"/>
        <v>-0.64040907862314822</v>
      </c>
    </row>
    <row r="319" spans="1:20" x14ac:dyDescent="0.25">
      <c r="A319" s="5">
        <v>44274</v>
      </c>
      <c r="B319">
        <v>0.86950000000000005</v>
      </c>
      <c r="C319">
        <v>0.89700000000000002</v>
      </c>
      <c r="D319">
        <v>0.83809999999999996</v>
      </c>
      <c r="E319">
        <v>0.86299999999999999</v>
      </c>
      <c r="F319">
        <v>3056230.75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-0.15449915110356516</v>
      </c>
      <c r="Q319">
        <f t="shared" si="965"/>
        <v>-472185.05645161227</v>
      </c>
      <c r="R319">
        <f t="shared" si="966"/>
        <v>-61272104.456386589</v>
      </c>
      <c r="S319">
        <f t="shared" si="967"/>
        <v>-612.72104456386592</v>
      </c>
      <c r="T319">
        <f t="shared" si="968"/>
        <v>-0.61272104456386589</v>
      </c>
    </row>
    <row r="320" spans="1:20" x14ac:dyDescent="0.25">
      <c r="A320" s="5">
        <v>44273</v>
      </c>
      <c r="B320">
        <v>0.89490000000000003</v>
      </c>
      <c r="C320">
        <v>0.91339999999999999</v>
      </c>
      <c r="D320">
        <v>0.86609999999999998</v>
      </c>
      <c r="E320">
        <v>0.86950000000000005</v>
      </c>
      <c r="F320">
        <v>2704011.78</v>
      </c>
      <c r="G320">
        <v>0</v>
      </c>
      <c r="L320" t="s">
        <v>7</v>
      </c>
      <c r="M320" t="s">
        <v>8</v>
      </c>
      <c r="N320" t="s">
        <v>8</v>
      </c>
      <c r="P320">
        <f t="shared" si="964"/>
        <v>-0.85623678646934165</v>
      </c>
      <c r="Q320">
        <f t="shared" si="965"/>
        <v>-2315274.3570824442</v>
      </c>
      <c r="R320">
        <f t="shared" si="966"/>
        <v>-60799919.399934977</v>
      </c>
      <c r="S320">
        <f t="shared" si="967"/>
        <v>-607.99919399934981</v>
      </c>
      <c r="T320">
        <f t="shared" si="968"/>
        <v>-0.60799919399934976</v>
      </c>
    </row>
    <row r="321" spans="1:20" x14ac:dyDescent="0.25">
      <c r="A321" s="5">
        <v>44272</v>
      </c>
      <c r="B321">
        <v>0.88349999999999995</v>
      </c>
      <c r="C321">
        <v>0.97250000000000003</v>
      </c>
      <c r="D321">
        <v>0.86880000000000002</v>
      </c>
      <c r="E321">
        <v>0.89329999999999998</v>
      </c>
      <c r="F321">
        <v>6920880.1900000004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-0.52748312439730061</v>
      </c>
      <c r="Q321">
        <f t="shared" si="965"/>
        <v>-3650647.5062005837</v>
      </c>
      <c r="R321">
        <f t="shared" si="966"/>
        <v>-58484645.042852536</v>
      </c>
      <c r="S321">
        <f t="shared" si="967"/>
        <v>-584.84645042852537</v>
      </c>
      <c r="T321">
        <f t="shared" si="968"/>
        <v>-0.58484645042852534</v>
      </c>
    </row>
    <row r="322" spans="1:20" x14ac:dyDescent="0.25">
      <c r="A322" s="5">
        <v>44271</v>
      </c>
      <c r="B322">
        <v>0.8821</v>
      </c>
      <c r="C322">
        <v>0.90610000000000002</v>
      </c>
      <c r="D322">
        <v>0.78990000000000005</v>
      </c>
      <c r="E322">
        <v>0.88500000000000001</v>
      </c>
      <c r="F322">
        <v>6319026.8200000003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0.63683304647160044</v>
      </c>
      <c r="Q322">
        <f t="shared" si="965"/>
        <v>4024165.1005163495</v>
      </c>
      <c r="R322">
        <f t="shared" si="966"/>
        <v>-54833997.536651954</v>
      </c>
      <c r="S322">
        <f t="shared" si="967"/>
        <v>-548.33997536651952</v>
      </c>
      <c r="T322">
        <f t="shared" si="968"/>
        <v>-0.54833997536651957</v>
      </c>
    </row>
    <row r="323" spans="1:20" x14ac:dyDescent="0.25">
      <c r="A323" s="5">
        <v>44270</v>
      </c>
      <c r="B323">
        <v>0.83260000000000001</v>
      </c>
      <c r="C323">
        <v>0.97030000000000005</v>
      </c>
      <c r="D323">
        <v>0.82210000000000005</v>
      </c>
      <c r="E323">
        <v>0.88129999999999997</v>
      </c>
      <c r="F323">
        <v>9142934.25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-0.2010796221322548</v>
      </c>
      <c r="Q323">
        <f t="shared" si="965"/>
        <v>-1838457.7641700504</v>
      </c>
      <c r="R323">
        <f t="shared" si="966"/>
        <v>-58858162.637168303</v>
      </c>
      <c r="S323">
        <f t="shared" si="967"/>
        <v>-588.581626371683</v>
      </c>
      <c r="T323">
        <f t="shared" si="968"/>
        <v>-0.58858162637168299</v>
      </c>
    </row>
    <row r="324" spans="1:20" x14ac:dyDescent="0.25">
      <c r="A324" s="5">
        <v>44269</v>
      </c>
      <c r="B324">
        <v>0.8881</v>
      </c>
      <c r="C324">
        <v>0.89590000000000003</v>
      </c>
      <c r="D324">
        <v>0.81299999999999994</v>
      </c>
      <c r="E324">
        <v>0.83220000000000005</v>
      </c>
      <c r="F324">
        <v>4461747.3099999996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-0.53679131483715115</v>
      </c>
      <c r="Q324">
        <f t="shared" si="965"/>
        <v>-2395027.205006022</v>
      </c>
      <c r="R324">
        <f t="shared" si="966"/>
        <v>-57019704.872998253</v>
      </c>
      <c r="S324">
        <f t="shared" si="967"/>
        <v>-570.1970487299825</v>
      </c>
      <c r="T324">
        <f t="shared" si="968"/>
        <v>-0.57019704872998245</v>
      </c>
    </row>
    <row r="325" spans="1:20" x14ac:dyDescent="0.25">
      <c r="A325" s="5">
        <v>44268</v>
      </c>
      <c r="B325">
        <v>0.96989999999999998</v>
      </c>
      <c r="C325">
        <v>0.97</v>
      </c>
      <c r="D325">
        <v>0.88129999999999997</v>
      </c>
      <c r="E325">
        <v>0.88600000000000001</v>
      </c>
      <c r="F325">
        <v>6700438.7300000004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-0.89402480270574891</v>
      </c>
      <c r="Q325">
        <f t="shared" si="965"/>
        <v>-5990358.4136302089</v>
      </c>
      <c r="R325">
        <f t="shared" si="966"/>
        <v>-54624677.667992227</v>
      </c>
      <c r="S325">
        <f t="shared" si="967"/>
        <v>-546.24677667992228</v>
      </c>
      <c r="T325">
        <f t="shared" si="968"/>
        <v>-0.54624677667992227</v>
      </c>
    </row>
    <row r="326" spans="1:20" x14ac:dyDescent="0.25">
      <c r="A326" s="5">
        <v>44267</v>
      </c>
      <c r="B326">
        <v>0.81820000000000004</v>
      </c>
      <c r="C326">
        <v>1.081</v>
      </c>
      <c r="D326">
        <v>0.8</v>
      </c>
      <c r="E326">
        <v>0.97019999999999995</v>
      </c>
      <c r="F326">
        <v>17154665.699999999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0.21138790035587157</v>
      </c>
      <c r="Q326">
        <f t="shared" ref="Q326:Q389" si="970">F326*P326</f>
        <v>3626288.7636298877</v>
      </c>
      <c r="R326">
        <f t="shared" ref="R326:R389" si="971">R327+Q326</f>
        <v>-48634319.254362017</v>
      </c>
      <c r="S326">
        <f t="shared" ref="S326:S389" si="972">R326/100000</f>
        <v>-486.34319254362015</v>
      </c>
      <c r="T326">
        <f t="shared" ref="T326:T389" si="973">S326/1000</f>
        <v>-0.48634319254362013</v>
      </c>
    </row>
    <row r="327" spans="1:20" x14ac:dyDescent="0.25">
      <c r="A327" s="5">
        <v>44266</v>
      </c>
      <c r="B327">
        <v>0.78669999999999995</v>
      </c>
      <c r="C327">
        <v>0.85199999999999998</v>
      </c>
      <c r="D327">
        <v>0.75090000000000001</v>
      </c>
      <c r="E327">
        <v>0.81820000000000004</v>
      </c>
      <c r="F327">
        <v>10861576.18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0.33135509396637086</v>
      </c>
      <c r="Q327">
        <f t="shared" si="970"/>
        <v>3599038.5957467952</v>
      </c>
      <c r="R327">
        <f t="shared" si="971"/>
        <v>-52260608.017991908</v>
      </c>
      <c r="S327">
        <f t="shared" si="972"/>
        <v>-522.6060801799191</v>
      </c>
      <c r="T327">
        <f t="shared" si="973"/>
        <v>-0.52260608017991905</v>
      </c>
    </row>
    <row r="328" spans="1:20" x14ac:dyDescent="0.25">
      <c r="A328" s="5">
        <v>44265</v>
      </c>
      <c r="B328">
        <v>0.68149999999999999</v>
      </c>
      <c r="C328">
        <v>0.88949999999999996</v>
      </c>
      <c r="D328">
        <v>0.63590000000000002</v>
      </c>
      <c r="E328">
        <v>0.78669999999999995</v>
      </c>
      <c r="F328">
        <v>16758272.039999999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0.18927444794952658</v>
      </c>
      <c r="Q328">
        <f t="shared" si="970"/>
        <v>3171912.6889589867</v>
      </c>
      <c r="R328">
        <f t="shared" si="971"/>
        <v>-55859646.613738701</v>
      </c>
      <c r="S328">
        <f t="shared" si="972"/>
        <v>-558.59646613738698</v>
      </c>
      <c r="T328">
        <f t="shared" si="973"/>
        <v>-0.558596466137387</v>
      </c>
    </row>
    <row r="329" spans="1:20" x14ac:dyDescent="0.25">
      <c r="A329" s="5">
        <v>44264</v>
      </c>
      <c r="B329">
        <v>0.72160000000000002</v>
      </c>
      <c r="C329">
        <v>0.73380000000000001</v>
      </c>
      <c r="D329">
        <v>0.65229999999999999</v>
      </c>
      <c r="E329">
        <v>0.68359999999999999</v>
      </c>
      <c r="F329">
        <v>5839121.6699999999</v>
      </c>
      <c r="G329">
        <v>0</v>
      </c>
      <c r="L329" t="s">
        <v>7</v>
      </c>
      <c r="M329" t="s">
        <v>8</v>
      </c>
      <c r="N329" t="s">
        <v>8</v>
      </c>
      <c r="P329">
        <f t="shared" si="969"/>
        <v>-0.23190184049079784</v>
      </c>
      <c r="Q329">
        <f t="shared" si="970"/>
        <v>-1354103.0621227012</v>
      </c>
      <c r="R329">
        <f t="shared" si="971"/>
        <v>-59031559.302697688</v>
      </c>
      <c r="S329">
        <f t="shared" si="972"/>
        <v>-590.3155930269769</v>
      </c>
      <c r="T329">
        <f t="shared" si="973"/>
        <v>-0.59031559302697689</v>
      </c>
    </row>
    <row r="330" spans="1:20" x14ac:dyDescent="0.25">
      <c r="A330" s="5">
        <v>44263</v>
      </c>
      <c r="B330">
        <v>0.65069999999999995</v>
      </c>
      <c r="C330">
        <v>0.76959999999999995</v>
      </c>
      <c r="D330">
        <v>0.62219999999999998</v>
      </c>
      <c r="E330">
        <v>0.72189999999999999</v>
      </c>
      <c r="F330">
        <v>11147056.98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0.35278154681139795</v>
      </c>
      <c r="Q330">
        <f t="shared" si="970"/>
        <v>3932476.0037991903</v>
      </c>
      <c r="R330">
        <f t="shared" si="971"/>
        <v>-57677456.240574986</v>
      </c>
      <c r="S330">
        <f t="shared" si="972"/>
        <v>-576.77456240574986</v>
      </c>
      <c r="T330">
        <f t="shared" si="973"/>
        <v>-0.57677456240574987</v>
      </c>
    </row>
    <row r="331" spans="1:20" x14ac:dyDescent="0.25">
      <c r="A331" s="5">
        <v>44262</v>
      </c>
      <c r="B331">
        <v>0.57609999999999995</v>
      </c>
      <c r="C331">
        <v>0.69430000000000003</v>
      </c>
      <c r="D331">
        <v>0.55279999999999996</v>
      </c>
      <c r="E331">
        <v>0.6502</v>
      </c>
      <c r="F331">
        <v>6182805.1500000004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0.37667844522968191</v>
      </c>
      <c r="Q331">
        <f t="shared" si="970"/>
        <v>2328929.4310600706</v>
      </c>
      <c r="R331">
        <f t="shared" si="971"/>
        <v>-61609932.244374178</v>
      </c>
      <c r="S331">
        <f t="shared" si="972"/>
        <v>-616.09932244374181</v>
      </c>
      <c r="T331">
        <f t="shared" si="973"/>
        <v>-0.61609932244374177</v>
      </c>
    </row>
    <row r="332" spans="1:20" x14ac:dyDescent="0.25">
      <c r="A332" s="5">
        <v>44261</v>
      </c>
      <c r="B332">
        <v>0.56379999999999997</v>
      </c>
      <c r="C332">
        <v>0.58789999999999998</v>
      </c>
      <c r="D332">
        <v>0.53400000000000003</v>
      </c>
      <c r="E332">
        <v>0.57630000000000003</v>
      </c>
      <c r="F332">
        <v>1737585.94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0.56957328385899986</v>
      </c>
      <c r="Q332">
        <f t="shared" si="970"/>
        <v>989682.52983302705</v>
      </c>
      <c r="R332">
        <f t="shared" si="971"/>
        <v>-63938861.675434247</v>
      </c>
      <c r="S332">
        <f t="shared" si="972"/>
        <v>-639.38861675434248</v>
      </c>
      <c r="T332">
        <f t="shared" si="973"/>
        <v>-0.63938861675434244</v>
      </c>
    </row>
    <row r="333" spans="1:20" x14ac:dyDescent="0.25">
      <c r="A333" s="5">
        <v>44260</v>
      </c>
      <c r="B333">
        <v>0.53100000000000003</v>
      </c>
      <c r="C333">
        <v>0.57130000000000003</v>
      </c>
      <c r="D333">
        <v>0.50019999999999998</v>
      </c>
      <c r="E333">
        <v>0.5625</v>
      </c>
      <c r="F333">
        <v>2950003.27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0.75246132208157457</v>
      </c>
      <c r="Q333">
        <f t="shared" si="970"/>
        <v>2219763.3606891683</v>
      </c>
      <c r="R333">
        <f t="shared" si="971"/>
        <v>-64928544.205267273</v>
      </c>
      <c r="S333">
        <f t="shared" si="972"/>
        <v>-649.28544205267269</v>
      </c>
      <c r="T333">
        <f t="shared" si="973"/>
        <v>-0.64928544205267269</v>
      </c>
    </row>
    <row r="334" spans="1:20" x14ac:dyDescent="0.25">
      <c r="A334" s="5">
        <v>44259</v>
      </c>
      <c r="B334">
        <v>0.59160000000000001</v>
      </c>
      <c r="C334">
        <v>0.6</v>
      </c>
      <c r="D334">
        <v>0.52300000000000002</v>
      </c>
      <c r="E334">
        <v>0.53149999999999997</v>
      </c>
      <c r="F334">
        <v>3422549.4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-0.77922077922078037</v>
      </c>
      <c r="Q334">
        <f t="shared" si="970"/>
        <v>-2666921.6103896145</v>
      </c>
      <c r="R334">
        <f t="shared" si="971"/>
        <v>-67148307.565956444</v>
      </c>
      <c r="S334">
        <f t="shared" si="972"/>
        <v>-671.48307565956441</v>
      </c>
      <c r="T334">
        <f t="shared" si="973"/>
        <v>-0.67148307565956444</v>
      </c>
    </row>
    <row r="335" spans="1:20" x14ac:dyDescent="0.25">
      <c r="A335" s="5">
        <v>44258</v>
      </c>
      <c r="B335">
        <v>0.54259999999999997</v>
      </c>
      <c r="C335">
        <v>0.59789999999999999</v>
      </c>
      <c r="D335">
        <v>0.53879999999999995</v>
      </c>
      <c r="E335">
        <v>0.59440000000000004</v>
      </c>
      <c r="F335">
        <v>3226528.84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0.88155668358714234</v>
      </c>
      <c r="Q335">
        <f t="shared" si="970"/>
        <v>2844368.0636886694</v>
      </c>
      <c r="R335">
        <f t="shared" si="971"/>
        <v>-64481385.955566823</v>
      </c>
      <c r="S335">
        <f t="shared" si="972"/>
        <v>-644.81385955566827</v>
      </c>
      <c r="T335">
        <f t="shared" si="973"/>
        <v>-0.64481385955566828</v>
      </c>
    </row>
    <row r="336" spans="1:20" x14ac:dyDescent="0.25">
      <c r="A336" s="5">
        <v>44257</v>
      </c>
      <c r="B336">
        <v>0.54200000000000004</v>
      </c>
      <c r="C336">
        <v>0.57999999999999996</v>
      </c>
      <c r="D336">
        <v>0.51529999999999998</v>
      </c>
      <c r="E336">
        <v>0.54190000000000005</v>
      </c>
      <c r="F336">
        <v>3599981.15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-0.17774343122101774</v>
      </c>
      <c r="Q336">
        <f t="shared" si="970"/>
        <v>-639873.00193198537</v>
      </c>
      <c r="R336">
        <f t="shared" si="971"/>
        <v>-67325754.019255489</v>
      </c>
      <c r="S336">
        <f t="shared" si="972"/>
        <v>-673.25754019255487</v>
      </c>
      <c r="T336">
        <f t="shared" si="973"/>
        <v>-0.6732575401925549</v>
      </c>
    </row>
    <row r="337" spans="1:20" x14ac:dyDescent="0.25">
      <c r="A337" s="5">
        <v>44256</v>
      </c>
      <c r="B337">
        <v>0.49009999999999998</v>
      </c>
      <c r="C337">
        <v>0.56000000000000005</v>
      </c>
      <c r="D337">
        <v>0.48809999999999998</v>
      </c>
      <c r="E337">
        <v>0.54200000000000004</v>
      </c>
      <c r="F337">
        <v>3833048.39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0.49930458970792774</v>
      </c>
      <c r="Q337">
        <f t="shared" si="970"/>
        <v>1913858.6536995831</v>
      </c>
      <c r="R337">
        <f t="shared" si="971"/>
        <v>-66685881.017323501</v>
      </c>
      <c r="S337">
        <f t="shared" si="972"/>
        <v>-666.85881017323504</v>
      </c>
      <c r="T337">
        <f t="shared" si="973"/>
        <v>-0.66685881017323501</v>
      </c>
    </row>
    <row r="338" spans="1:20" x14ac:dyDescent="0.25">
      <c r="A338" s="5">
        <v>44255</v>
      </c>
      <c r="B338">
        <v>0.49220000000000003</v>
      </c>
      <c r="C338">
        <v>0.51949999999999996</v>
      </c>
      <c r="D338">
        <v>0.436</v>
      </c>
      <c r="E338">
        <v>0.48720000000000002</v>
      </c>
      <c r="F338">
        <v>3295649.02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0.22634730538922265</v>
      </c>
      <c r="Q338">
        <f t="shared" si="970"/>
        <v>745961.2751856324</v>
      </c>
      <c r="R338">
        <f t="shared" si="971"/>
        <v>-68599739.671023086</v>
      </c>
      <c r="S338">
        <f t="shared" si="972"/>
        <v>-685.99739671023087</v>
      </c>
      <c r="T338">
        <f t="shared" si="973"/>
        <v>-0.68599739671023086</v>
      </c>
    </row>
    <row r="339" spans="1:20" x14ac:dyDescent="0.25">
      <c r="A339" s="5">
        <v>44254</v>
      </c>
      <c r="B339">
        <v>0.47820000000000001</v>
      </c>
      <c r="C339">
        <v>0.5292</v>
      </c>
      <c r="D339">
        <v>0.4753</v>
      </c>
      <c r="E339">
        <v>0.4919</v>
      </c>
      <c r="F339">
        <v>2932425.38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-0.38404452690166968</v>
      </c>
      <c r="Q339">
        <f t="shared" si="970"/>
        <v>-1126181.9177365489</v>
      </c>
      <c r="R339">
        <f t="shared" si="971"/>
        <v>-69345700.946208715</v>
      </c>
      <c r="S339">
        <f t="shared" si="972"/>
        <v>-693.45700946208717</v>
      </c>
      <c r="T339">
        <f t="shared" si="973"/>
        <v>-0.69345700946208721</v>
      </c>
    </row>
    <row r="340" spans="1:20" x14ac:dyDescent="0.25">
      <c r="A340" s="5">
        <v>44253</v>
      </c>
      <c r="B340">
        <v>0.45989999999999998</v>
      </c>
      <c r="C340">
        <v>0.51370000000000005</v>
      </c>
      <c r="D340">
        <v>0.41599999999999998</v>
      </c>
      <c r="E340">
        <v>0.4773</v>
      </c>
      <c r="F340">
        <v>3213957.77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0.2548618219037867</v>
      </c>
      <c r="Q340">
        <f t="shared" si="970"/>
        <v>819115.13278403145</v>
      </c>
      <c r="R340">
        <f t="shared" si="971"/>
        <v>-68219519.02847217</v>
      </c>
      <c r="S340">
        <f t="shared" si="972"/>
        <v>-682.19519028472166</v>
      </c>
      <c r="T340">
        <f t="shared" si="973"/>
        <v>-0.68219519028472164</v>
      </c>
    </row>
    <row r="341" spans="1:20" x14ac:dyDescent="0.25">
      <c r="A341" s="5">
        <v>44252</v>
      </c>
      <c r="B341">
        <v>0.50190000000000001</v>
      </c>
      <c r="C341">
        <v>0.53900000000000003</v>
      </c>
      <c r="D341">
        <v>0.45490000000000003</v>
      </c>
      <c r="E341">
        <v>0.46050000000000002</v>
      </c>
      <c r="F341">
        <v>2980932.77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-0.86682520808561248</v>
      </c>
      <c r="Q341">
        <f t="shared" si="970"/>
        <v>-2583947.6686444711</v>
      </c>
      <c r="R341">
        <f t="shared" si="971"/>
        <v>-69038634.161256209</v>
      </c>
      <c r="S341">
        <f t="shared" si="972"/>
        <v>-690.38634161256209</v>
      </c>
      <c r="T341">
        <f t="shared" si="973"/>
        <v>-0.69038634161256207</v>
      </c>
    </row>
    <row r="342" spans="1:20" x14ac:dyDescent="0.25">
      <c r="A342" s="5">
        <v>44251</v>
      </c>
      <c r="B342">
        <v>0.48780000000000001</v>
      </c>
      <c r="C342">
        <v>0.54659999999999997</v>
      </c>
      <c r="D342">
        <v>0.45610000000000001</v>
      </c>
      <c r="E342">
        <v>0.50129999999999997</v>
      </c>
      <c r="F342">
        <v>3414912.13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-1.1049723756910998E-3</v>
      </c>
      <c r="Q342">
        <f t="shared" si="970"/>
        <v>-3773.3835690624537</v>
      </c>
      <c r="R342">
        <f t="shared" si="971"/>
        <v>-66454686.492611736</v>
      </c>
      <c r="S342">
        <f t="shared" si="972"/>
        <v>-664.54686492611734</v>
      </c>
      <c r="T342">
        <f t="shared" si="973"/>
        <v>-0.66454686492611736</v>
      </c>
    </row>
    <row r="343" spans="1:20" x14ac:dyDescent="0.25">
      <c r="A343" s="5">
        <v>44250</v>
      </c>
      <c r="B343">
        <v>0.60529999999999995</v>
      </c>
      <c r="C343">
        <v>0.60609999999999997</v>
      </c>
      <c r="D343">
        <v>0.42970000000000003</v>
      </c>
      <c r="E343">
        <v>0.4859</v>
      </c>
      <c r="F343">
        <v>6350950.1500000004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-0.36281179138322006</v>
      </c>
      <c r="Q343">
        <f t="shared" si="970"/>
        <v>-2304199.6009070305</v>
      </c>
      <c r="R343">
        <f t="shared" si="971"/>
        <v>-66450913.109042674</v>
      </c>
      <c r="S343">
        <f t="shared" si="972"/>
        <v>-664.50913109042676</v>
      </c>
      <c r="T343">
        <f t="shared" si="973"/>
        <v>-0.66450913109042675</v>
      </c>
    </row>
    <row r="344" spans="1:20" x14ac:dyDescent="0.25">
      <c r="A344" s="5">
        <v>44249</v>
      </c>
      <c r="B344">
        <v>0.68330000000000002</v>
      </c>
      <c r="C344">
        <v>0.6925</v>
      </c>
      <c r="D344">
        <v>0.51700000000000002</v>
      </c>
      <c r="E344">
        <v>0.60540000000000005</v>
      </c>
      <c r="F344">
        <v>5023316.0199999996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7.407407407407857E-3</v>
      </c>
      <c r="Q344">
        <f t="shared" si="970"/>
        <v>37209.748296298552</v>
      </c>
      <c r="R344">
        <f t="shared" si="971"/>
        <v>-64146713.508135647</v>
      </c>
      <c r="S344">
        <f t="shared" si="972"/>
        <v>-641.46713508135645</v>
      </c>
      <c r="T344">
        <f t="shared" si="973"/>
        <v>-0.64146713508135644</v>
      </c>
    </row>
    <row r="345" spans="1:20" x14ac:dyDescent="0.25">
      <c r="A345" s="5">
        <v>44248</v>
      </c>
      <c r="B345">
        <v>0.65</v>
      </c>
      <c r="C345">
        <v>0.70879999999999999</v>
      </c>
      <c r="D345">
        <v>0.64419999999999999</v>
      </c>
      <c r="E345">
        <v>0.68179999999999996</v>
      </c>
      <c r="F345">
        <v>2881947.38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0.16408668730650069</v>
      </c>
      <c r="Q345">
        <f t="shared" si="970"/>
        <v>472889.19857584889</v>
      </c>
      <c r="R345">
        <f t="shared" si="971"/>
        <v>-64183923.256431945</v>
      </c>
      <c r="S345">
        <f t="shared" si="972"/>
        <v>-641.83923256431945</v>
      </c>
      <c r="T345">
        <f t="shared" si="973"/>
        <v>-0.64183923256431941</v>
      </c>
    </row>
    <row r="346" spans="1:20" x14ac:dyDescent="0.25">
      <c r="A346" s="5">
        <v>44247</v>
      </c>
      <c r="B346">
        <v>0.71679999999999999</v>
      </c>
      <c r="C346">
        <v>0.749</v>
      </c>
      <c r="D346">
        <v>0.61499999999999999</v>
      </c>
      <c r="E346">
        <v>0.65</v>
      </c>
      <c r="F346">
        <v>4551403.72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-0.47761194029850701</v>
      </c>
      <c r="Q346">
        <f t="shared" si="970"/>
        <v>-2173804.7617910425</v>
      </c>
      <c r="R346">
        <f t="shared" si="971"/>
        <v>-64656812.455007792</v>
      </c>
      <c r="S346">
        <f t="shared" si="972"/>
        <v>-646.56812455007787</v>
      </c>
      <c r="T346">
        <f t="shared" si="973"/>
        <v>-0.64656812455007784</v>
      </c>
    </row>
    <row r="347" spans="1:20" x14ac:dyDescent="0.25">
      <c r="A347" s="5">
        <v>44246</v>
      </c>
      <c r="B347">
        <v>0.73019999999999996</v>
      </c>
      <c r="C347">
        <v>0.73899999999999999</v>
      </c>
      <c r="D347">
        <v>0.69269999999999998</v>
      </c>
      <c r="E347">
        <v>0.71679999999999999</v>
      </c>
      <c r="F347">
        <v>3513058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4.1036717062635258E-2</v>
      </c>
      <c r="Q347">
        <f t="shared" si="970"/>
        <v>144164.36717062729</v>
      </c>
      <c r="R347">
        <f t="shared" si="971"/>
        <v>-62483007.693216749</v>
      </c>
      <c r="S347">
        <f t="shared" si="972"/>
        <v>-624.83007693216746</v>
      </c>
      <c r="T347">
        <f t="shared" si="973"/>
        <v>-0.62483007693216741</v>
      </c>
    </row>
    <row r="348" spans="1:20" x14ac:dyDescent="0.25">
      <c r="A348" s="5">
        <v>44245</v>
      </c>
      <c r="B348">
        <v>0.6623</v>
      </c>
      <c r="C348">
        <v>0.749</v>
      </c>
      <c r="D348">
        <v>0.66039999999999999</v>
      </c>
      <c r="E348">
        <v>0.7278</v>
      </c>
      <c r="F348">
        <v>3934282.57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0.5214446952595938</v>
      </c>
      <c r="Q348">
        <f t="shared" si="970"/>
        <v>2051510.7757787814</v>
      </c>
      <c r="R348">
        <f t="shared" si="971"/>
        <v>-62627172.060387373</v>
      </c>
      <c r="S348">
        <f t="shared" si="972"/>
        <v>-626.27172060387375</v>
      </c>
      <c r="T348">
        <f t="shared" si="973"/>
        <v>-0.62627172060387371</v>
      </c>
    </row>
    <row r="349" spans="1:20" x14ac:dyDescent="0.25">
      <c r="A349" s="5">
        <v>44244</v>
      </c>
      <c r="B349">
        <v>0.64439999999999997</v>
      </c>
      <c r="C349">
        <v>0.72</v>
      </c>
      <c r="D349">
        <v>0.5948</v>
      </c>
      <c r="E349">
        <v>0.66210000000000002</v>
      </c>
      <c r="F349">
        <v>4490397.9800000004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7.5079872204473458E-2</v>
      </c>
      <c r="Q349">
        <f t="shared" si="970"/>
        <v>337138.50648562581</v>
      </c>
      <c r="R349">
        <f t="shared" si="971"/>
        <v>-64678682.836166151</v>
      </c>
      <c r="S349">
        <f t="shared" si="972"/>
        <v>-646.78682836166149</v>
      </c>
      <c r="T349">
        <f t="shared" si="973"/>
        <v>-0.64678682836166146</v>
      </c>
    </row>
    <row r="350" spans="1:20" x14ac:dyDescent="0.25">
      <c r="A350" s="5">
        <v>44243</v>
      </c>
      <c r="B350">
        <v>0.66710000000000003</v>
      </c>
      <c r="C350">
        <v>0.72350000000000003</v>
      </c>
      <c r="D350">
        <v>0.62</v>
      </c>
      <c r="E350">
        <v>0.64439999999999997</v>
      </c>
      <c r="F350">
        <v>4806692.57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-0.52850241545893784</v>
      </c>
      <c r="Q350">
        <f t="shared" si="970"/>
        <v>-2540348.6336135296</v>
      </c>
      <c r="R350">
        <f t="shared" si="971"/>
        <v>-65015821.342651777</v>
      </c>
      <c r="S350">
        <f t="shared" si="972"/>
        <v>-650.15821342651782</v>
      </c>
      <c r="T350">
        <f t="shared" si="973"/>
        <v>-0.65015821342651781</v>
      </c>
    </row>
    <row r="351" spans="1:20" x14ac:dyDescent="0.25">
      <c r="A351" s="5">
        <v>44242</v>
      </c>
      <c r="B351">
        <v>0.71409999999999996</v>
      </c>
      <c r="C351">
        <v>0.78</v>
      </c>
      <c r="D351">
        <v>0.58360000000000001</v>
      </c>
      <c r="E351">
        <v>0.66900000000000004</v>
      </c>
      <c r="F351">
        <v>10506770.27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-0.13034623217922583</v>
      </c>
      <c r="Q351">
        <f t="shared" si="970"/>
        <v>-1369517.9170672072</v>
      </c>
      <c r="R351">
        <f t="shared" si="971"/>
        <v>-62475472.70903825</v>
      </c>
      <c r="S351">
        <f t="shared" si="972"/>
        <v>-624.75472709038252</v>
      </c>
      <c r="T351">
        <f t="shared" si="973"/>
        <v>-0.62475472709038249</v>
      </c>
    </row>
    <row r="352" spans="1:20" x14ac:dyDescent="0.25">
      <c r="A352" s="5">
        <v>44241</v>
      </c>
      <c r="B352">
        <v>0.76359999999999995</v>
      </c>
      <c r="C352">
        <v>0.81530000000000002</v>
      </c>
      <c r="D352">
        <v>0.63570000000000004</v>
      </c>
      <c r="E352">
        <v>0.71519999999999995</v>
      </c>
      <c r="F352">
        <v>10346169.1</v>
      </c>
      <c r="G352">
        <v>0</v>
      </c>
      <c r="L352" t="s">
        <v>8</v>
      </c>
      <c r="M352" t="s">
        <v>7</v>
      </c>
      <c r="N352" t="s">
        <v>8</v>
      </c>
      <c r="P352">
        <f t="shared" si="969"/>
        <v>-0.11469933184855331</v>
      </c>
      <c r="Q352">
        <f t="shared" si="970"/>
        <v>-1186698.6829621482</v>
      </c>
      <c r="R352">
        <f t="shared" si="971"/>
        <v>-61105954.791971043</v>
      </c>
      <c r="S352">
        <f t="shared" si="972"/>
        <v>-611.05954791971044</v>
      </c>
      <c r="T352">
        <f t="shared" si="973"/>
        <v>-0.6110595479197104</v>
      </c>
    </row>
    <row r="353" spans="1:20" x14ac:dyDescent="0.25">
      <c r="A353" s="5">
        <v>44240</v>
      </c>
      <c r="B353">
        <v>0.66279999999999994</v>
      </c>
      <c r="C353">
        <v>0.8</v>
      </c>
      <c r="D353">
        <v>0.60050000000000003</v>
      </c>
      <c r="E353">
        <v>0.76229999999999998</v>
      </c>
      <c r="F353">
        <v>8479955.8000000007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0.62205513784461086</v>
      </c>
      <c r="Q353">
        <f t="shared" si="970"/>
        <v>5275000.0740852077</v>
      </c>
      <c r="R353">
        <f t="shared" si="971"/>
        <v>-59919256.109008893</v>
      </c>
      <c r="S353">
        <f t="shared" si="972"/>
        <v>-599.19256109008893</v>
      </c>
      <c r="T353">
        <f t="shared" si="973"/>
        <v>-0.59919256109008889</v>
      </c>
    </row>
    <row r="354" spans="1:20" x14ac:dyDescent="0.25">
      <c r="A354" s="5">
        <v>44239</v>
      </c>
      <c r="B354">
        <v>0.64</v>
      </c>
      <c r="C354">
        <v>0.68989999999999996</v>
      </c>
      <c r="D354">
        <v>0.60770000000000002</v>
      </c>
      <c r="E354">
        <v>0.66310000000000002</v>
      </c>
      <c r="F354">
        <v>6032341.5099999998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0.34793187347931986</v>
      </c>
      <c r="Q354">
        <f t="shared" si="970"/>
        <v>2098843.8830413693</v>
      </c>
      <c r="R354">
        <f t="shared" si="971"/>
        <v>-65194256.183094099</v>
      </c>
      <c r="S354">
        <f t="shared" si="972"/>
        <v>-651.94256183094103</v>
      </c>
      <c r="T354">
        <f t="shared" si="973"/>
        <v>-0.65194256183094101</v>
      </c>
    </row>
    <row r="355" spans="1:20" x14ac:dyDescent="0.25">
      <c r="A355" s="5">
        <v>44238</v>
      </c>
      <c r="B355">
        <v>0.58579999999999999</v>
      </c>
      <c r="C355">
        <v>0.6704</v>
      </c>
      <c r="D355">
        <v>0.55349999999999999</v>
      </c>
      <c r="E355">
        <v>0.63790000000000002</v>
      </c>
      <c r="F355">
        <v>11233757.300000001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0.44396920444824683</v>
      </c>
      <c r="Q355">
        <f t="shared" si="970"/>
        <v>4987442.2914456856</v>
      </c>
      <c r="R355">
        <f t="shared" si="971"/>
        <v>-67293100.066135466</v>
      </c>
      <c r="S355">
        <f t="shared" si="972"/>
        <v>-672.93100066135469</v>
      </c>
      <c r="T355">
        <f t="shared" si="973"/>
        <v>-0.67293100066135469</v>
      </c>
    </row>
    <row r="356" spans="1:20" x14ac:dyDescent="0.25">
      <c r="A356" s="5">
        <v>44237</v>
      </c>
      <c r="B356">
        <v>0.48649999999999999</v>
      </c>
      <c r="C356">
        <v>0.62</v>
      </c>
      <c r="D356">
        <v>0.43319999999999997</v>
      </c>
      <c r="E356">
        <v>0.58650000000000002</v>
      </c>
      <c r="F356">
        <v>12477700.199999999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0.64132762312633862</v>
      </c>
      <c r="Q356">
        <f t="shared" si="970"/>
        <v>8002293.8113490399</v>
      </c>
      <c r="R356">
        <f t="shared" si="971"/>
        <v>-72280542.357581154</v>
      </c>
      <c r="S356">
        <f t="shared" si="972"/>
        <v>-722.80542357581157</v>
      </c>
      <c r="T356">
        <f t="shared" si="973"/>
        <v>-0.72280542357581157</v>
      </c>
    </row>
    <row r="357" spans="1:20" x14ac:dyDescent="0.25">
      <c r="A357" s="5">
        <v>44236</v>
      </c>
      <c r="B357">
        <v>0.4254</v>
      </c>
      <c r="C357">
        <v>0.499</v>
      </c>
      <c r="D357">
        <v>0.41799999999999998</v>
      </c>
      <c r="E357">
        <v>0.48509999999999998</v>
      </c>
      <c r="F357">
        <v>5247411.96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0.65679012345678967</v>
      </c>
      <c r="Q357">
        <f t="shared" si="970"/>
        <v>3446448.3490370344</v>
      </c>
      <c r="R357">
        <f t="shared" si="971"/>
        <v>-80282836.168930188</v>
      </c>
      <c r="S357">
        <f t="shared" si="972"/>
        <v>-802.82836168930191</v>
      </c>
      <c r="T357">
        <f t="shared" si="973"/>
        <v>-0.80282836168930194</v>
      </c>
    </row>
    <row r="358" spans="1:20" x14ac:dyDescent="0.25">
      <c r="A358" s="5">
        <v>44235</v>
      </c>
      <c r="B358">
        <v>0.38719999999999999</v>
      </c>
      <c r="C358">
        <v>0.44990000000000002</v>
      </c>
      <c r="D358">
        <v>0.38390000000000002</v>
      </c>
      <c r="E358">
        <v>0.4254</v>
      </c>
      <c r="F358">
        <v>5913266.1299999999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0.25757575757575696</v>
      </c>
      <c r="Q358">
        <f t="shared" si="970"/>
        <v>1523114.0031818144</v>
      </c>
      <c r="R358">
        <f t="shared" si="971"/>
        <v>-83729284.517967224</v>
      </c>
      <c r="S358">
        <f t="shared" si="972"/>
        <v>-837.29284517967221</v>
      </c>
      <c r="T358">
        <f t="shared" si="973"/>
        <v>-0.83729284517967217</v>
      </c>
    </row>
    <row r="359" spans="1:20" x14ac:dyDescent="0.25">
      <c r="A359" s="5">
        <v>44234</v>
      </c>
      <c r="B359">
        <v>0.4007</v>
      </c>
      <c r="C359">
        <v>0.40699999999999997</v>
      </c>
      <c r="D359">
        <v>0.37009999999999998</v>
      </c>
      <c r="E359">
        <v>0.38650000000000001</v>
      </c>
      <c r="F359">
        <v>1801164.65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-0.11111111111110944</v>
      </c>
      <c r="Q359">
        <f t="shared" si="970"/>
        <v>-200129.40555555254</v>
      </c>
      <c r="R359">
        <f t="shared" si="971"/>
        <v>-85252398.521149039</v>
      </c>
      <c r="S359">
        <f t="shared" si="972"/>
        <v>-852.52398521149041</v>
      </c>
      <c r="T359">
        <f t="shared" si="973"/>
        <v>-0.85252398521149042</v>
      </c>
    </row>
    <row r="360" spans="1:20" x14ac:dyDescent="0.25">
      <c r="A360" s="5">
        <v>44233</v>
      </c>
      <c r="B360">
        <v>0.4073</v>
      </c>
      <c r="C360">
        <v>0.40970000000000001</v>
      </c>
      <c r="D360">
        <v>0.37909999999999999</v>
      </c>
      <c r="E360">
        <v>0.40260000000000001</v>
      </c>
      <c r="F360">
        <v>3150258.93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0.53594771241830119</v>
      </c>
      <c r="Q360">
        <f t="shared" si="970"/>
        <v>1688374.0670588254</v>
      </c>
      <c r="R360">
        <f t="shared" si="971"/>
        <v>-85052269.115593493</v>
      </c>
      <c r="S360">
        <f t="shared" si="972"/>
        <v>-850.52269115593492</v>
      </c>
      <c r="T360">
        <f t="shared" si="973"/>
        <v>-0.85052269115593493</v>
      </c>
    </row>
    <row r="361" spans="1:20" x14ac:dyDescent="0.25">
      <c r="A361" s="5">
        <v>44232</v>
      </c>
      <c r="B361">
        <v>0.38429999999999997</v>
      </c>
      <c r="C361">
        <v>0.43459999999999999</v>
      </c>
      <c r="D361">
        <v>0.38109999999999999</v>
      </c>
      <c r="E361">
        <v>0.4073</v>
      </c>
      <c r="F361">
        <v>4422070.9800000004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-2.0560747663551215E-2</v>
      </c>
      <c r="Q361">
        <f t="shared" si="970"/>
        <v>-90921.085570092633</v>
      </c>
      <c r="R361">
        <f t="shared" si="971"/>
        <v>-86740643.182652324</v>
      </c>
      <c r="S361">
        <f t="shared" si="972"/>
        <v>-867.4064318265232</v>
      </c>
      <c r="T361">
        <f t="shared" si="973"/>
        <v>-0.86740643182652322</v>
      </c>
    </row>
    <row r="362" spans="1:20" x14ac:dyDescent="0.25">
      <c r="A362" s="5">
        <v>44231</v>
      </c>
      <c r="B362">
        <v>0.3911</v>
      </c>
      <c r="C362">
        <v>0.4</v>
      </c>
      <c r="D362">
        <v>0.34</v>
      </c>
      <c r="E362">
        <v>0.38150000000000001</v>
      </c>
      <c r="F362">
        <v>4844573.59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0.38333333333333275</v>
      </c>
      <c r="Q362">
        <f t="shared" si="970"/>
        <v>1857086.5428333303</v>
      </c>
      <c r="R362">
        <f t="shared" si="971"/>
        <v>-86649722.097082227</v>
      </c>
      <c r="S362">
        <f t="shared" si="972"/>
        <v>-866.49722097082224</v>
      </c>
      <c r="T362">
        <f t="shared" si="973"/>
        <v>-0.86649722097082227</v>
      </c>
    </row>
    <row r="363" spans="1:20" x14ac:dyDescent="0.25">
      <c r="A363" s="5">
        <v>44230</v>
      </c>
      <c r="B363">
        <v>0.36899999999999999</v>
      </c>
      <c r="C363">
        <v>0.40949999999999998</v>
      </c>
      <c r="D363">
        <v>0.35610000000000003</v>
      </c>
      <c r="E363">
        <v>0.39100000000000001</v>
      </c>
      <c r="F363">
        <v>6153887.2000000002</v>
      </c>
      <c r="G363">
        <v>0</v>
      </c>
      <c r="L363" t="s">
        <v>7</v>
      </c>
      <c r="M363" t="s">
        <v>7</v>
      </c>
      <c r="N363" t="s">
        <v>8</v>
      </c>
      <c r="P363">
        <f t="shared" si="969"/>
        <v>0.30711610486891466</v>
      </c>
      <c r="Q363">
        <f t="shared" si="970"/>
        <v>1889957.8666666716</v>
      </c>
      <c r="R363">
        <f t="shared" si="971"/>
        <v>-88506808.639915556</v>
      </c>
      <c r="S363">
        <f t="shared" si="972"/>
        <v>-885.0680863991555</v>
      </c>
      <c r="T363">
        <f t="shared" si="973"/>
        <v>-0.88506808639915546</v>
      </c>
    </row>
    <row r="364" spans="1:20" x14ac:dyDescent="0.25">
      <c r="A364" s="5">
        <v>44229</v>
      </c>
      <c r="B364">
        <v>0.35599999999999998</v>
      </c>
      <c r="C364">
        <v>0.46</v>
      </c>
      <c r="D364">
        <v>0.35149999999999998</v>
      </c>
      <c r="E364">
        <v>0.36770000000000003</v>
      </c>
      <c r="F364">
        <v>20649109.379999999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-0.70138248847926188</v>
      </c>
      <c r="Q364">
        <f t="shared" si="970"/>
        <v>-14482923.721824868</v>
      </c>
      <c r="R364">
        <f t="shared" si="971"/>
        <v>-90396766.50658223</v>
      </c>
      <c r="S364">
        <f t="shared" si="972"/>
        <v>-903.9676650658223</v>
      </c>
      <c r="T364">
        <f t="shared" si="973"/>
        <v>-0.90396766506582227</v>
      </c>
    </row>
    <row r="365" spans="1:20" x14ac:dyDescent="0.25">
      <c r="A365" s="5">
        <v>44228</v>
      </c>
      <c r="B365">
        <v>0.30009999999999998</v>
      </c>
      <c r="C365">
        <v>0.375</v>
      </c>
      <c r="D365">
        <v>0.29199999999999998</v>
      </c>
      <c r="E365">
        <v>0.35680000000000001</v>
      </c>
      <c r="F365">
        <v>6247355.7800000003</v>
      </c>
      <c r="G365">
        <v>0</v>
      </c>
      <c r="L365" t="s">
        <v>7</v>
      </c>
      <c r="M365" t="s">
        <v>8</v>
      </c>
      <c r="N365" t="s">
        <v>7</v>
      </c>
      <c r="P365">
        <f t="shared" si="969"/>
        <v>0.56144578313253035</v>
      </c>
      <c r="Q365">
        <f t="shared" si="970"/>
        <v>3507551.5584096401</v>
      </c>
      <c r="R365">
        <f t="shared" si="971"/>
        <v>-75913842.784757361</v>
      </c>
      <c r="S365">
        <f t="shared" si="972"/>
        <v>-759.13842784757355</v>
      </c>
      <c r="T365">
        <f t="shared" si="973"/>
        <v>-0.75913842784757357</v>
      </c>
    </row>
    <row r="366" spans="1:20" x14ac:dyDescent="0.25">
      <c r="A366" s="5">
        <v>44227</v>
      </c>
      <c r="B366">
        <v>0.3135</v>
      </c>
      <c r="C366">
        <v>0.32379999999999998</v>
      </c>
      <c r="D366">
        <v>0.29330000000000001</v>
      </c>
      <c r="E366">
        <v>0.29859999999999998</v>
      </c>
      <c r="F366">
        <v>2610342.2000000002</v>
      </c>
      <c r="G366">
        <v>0</v>
      </c>
      <c r="L366" t="s">
        <v>7</v>
      </c>
      <c r="M366" t="s">
        <v>8</v>
      </c>
      <c r="N366" t="s">
        <v>7</v>
      </c>
      <c r="P366">
        <f t="shared" si="969"/>
        <v>-0.65245901639344417</v>
      </c>
      <c r="Q366">
        <f t="shared" si="970"/>
        <v>-1703141.3042622993</v>
      </c>
      <c r="R366">
        <f t="shared" si="971"/>
        <v>-79421394.343167007</v>
      </c>
      <c r="S366">
        <f t="shared" si="972"/>
        <v>-794.21394343167003</v>
      </c>
      <c r="T366">
        <f t="shared" si="973"/>
        <v>-0.79421394343167007</v>
      </c>
    </row>
    <row r="367" spans="1:20" x14ac:dyDescent="0.25">
      <c r="A367" s="5">
        <v>44226</v>
      </c>
      <c r="B367">
        <v>0.31530000000000002</v>
      </c>
      <c r="C367">
        <v>0.34</v>
      </c>
      <c r="D367">
        <v>0.3054</v>
      </c>
      <c r="E367">
        <v>0.31209999999999999</v>
      </c>
      <c r="F367">
        <v>3621130.2400000002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-0.61271676300578148</v>
      </c>
      <c r="Q367">
        <f t="shared" si="970"/>
        <v>-2218727.1990751489</v>
      </c>
      <c r="R367">
        <f t="shared" si="971"/>
        <v>-77718253.038904712</v>
      </c>
      <c r="S367">
        <f t="shared" si="972"/>
        <v>-777.18253038904709</v>
      </c>
      <c r="T367">
        <f t="shared" si="973"/>
        <v>-0.77718253038904705</v>
      </c>
    </row>
    <row r="368" spans="1:20" x14ac:dyDescent="0.25">
      <c r="A368" s="5">
        <v>44225</v>
      </c>
      <c r="B368">
        <v>0.30199999999999999</v>
      </c>
      <c r="C368">
        <v>0.33239999999999997</v>
      </c>
      <c r="D368">
        <v>0.28639999999999999</v>
      </c>
      <c r="E368">
        <v>0.315</v>
      </c>
      <c r="F368">
        <v>3649130.57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0.24347826086956623</v>
      </c>
      <c r="Q368">
        <f t="shared" si="970"/>
        <v>888483.96486956882</v>
      </c>
      <c r="R368">
        <f t="shared" si="971"/>
        <v>-75499525.839829564</v>
      </c>
      <c r="S368">
        <f t="shared" si="972"/>
        <v>-754.99525839829562</v>
      </c>
      <c r="T368">
        <f t="shared" si="973"/>
        <v>-0.75499525839829562</v>
      </c>
    </row>
    <row r="369" spans="1:20" x14ac:dyDescent="0.25">
      <c r="A369" s="5">
        <v>44224</v>
      </c>
      <c r="B369">
        <v>0.28749999999999998</v>
      </c>
      <c r="C369">
        <v>0.32850000000000001</v>
      </c>
      <c r="D369">
        <v>0.28000000000000003</v>
      </c>
      <c r="E369">
        <v>0.30199999999999999</v>
      </c>
      <c r="F369">
        <v>3093523.34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-9.2783505154640428E-2</v>
      </c>
      <c r="Q369">
        <f t="shared" si="970"/>
        <v>-287027.93876289047</v>
      </c>
      <c r="R369">
        <f t="shared" si="971"/>
        <v>-76388009.804699138</v>
      </c>
      <c r="S369">
        <f t="shared" si="972"/>
        <v>-763.88009804699141</v>
      </c>
      <c r="T369">
        <f t="shared" si="973"/>
        <v>-0.76388009804699142</v>
      </c>
    </row>
    <row r="370" spans="1:20" x14ac:dyDescent="0.25">
      <c r="A370" s="5">
        <v>44223</v>
      </c>
      <c r="B370">
        <v>0.3241</v>
      </c>
      <c r="C370">
        <v>0.32440000000000002</v>
      </c>
      <c r="D370">
        <v>0.27450000000000002</v>
      </c>
      <c r="E370">
        <v>0.28620000000000001</v>
      </c>
      <c r="F370">
        <v>2453763.9700000002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-0.53106212424849741</v>
      </c>
      <c r="Q370">
        <f t="shared" si="970"/>
        <v>-1303101.1063126263</v>
      </c>
      <c r="R370">
        <f t="shared" si="971"/>
        <v>-76100981.865936249</v>
      </c>
      <c r="S370">
        <f t="shared" si="972"/>
        <v>-761.00981865936251</v>
      </c>
      <c r="T370">
        <f t="shared" si="973"/>
        <v>-0.76100981865936246</v>
      </c>
    </row>
    <row r="371" spans="1:20" x14ac:dyDescent="0.25">
      <c r="A371" s="5">
        <v>44222</v>
      </c>
      <c r="B371">
        <v>0.32419999999999999</v>
      </c>
      <c r="C371">
        <v>0.33329999999999999</v>
      </c>
      <c r="D371">
        <v>0.3</v>
      </c>
      <c r="E371">
        <v>0.32450000000000001</v>
      </c>
      <c r="F371">
        <v>3274854.49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0.47147147147147295</v>
      </c>
      <c r="Q371">
        <f t="shared" si="970"/>
        <v>1544000.4652552602</v>
      </c>
      <c r="R371">
        <f t="shared" si="971"/>
        <v>-74797880.759623617</v>
      </c>
      <c r="S371">
        <f t="shared" si="972"/>
        <v>-747.97880759623615</v>
      </c>
      <c r="T371">
        <f t="shared" si="973"/>
        <v>-0.74797880759623614</v>
      </c>
    </row>
    <row r="372" spans="1:20" x14ac:dyDescent="0.25">
      <c r="A372" s="5">
        <v>44221</v>
      </c>
      <c r="B372">
        <v>0.34860000000000002</v>
      </c>
      <c r="C372">
        <v>0.37209999999999999</v>
      </c>
      <c r="D372">
        <v>0.31890000000000002</v>
      </c>
      <c r="E372">
        <v>0.32590000000000002</v>
      </c>
      <c r="F372">
        <v>4939561.0599999996</v>
      </c>
      <c r="G372">
        <v>0</v>
      </c>
      <c r="L372" t="s">
        <v>7</v>
      </c>
      <c r="M372" t="s">
        <v>7</v>
      </c>
      <c r="N372" t="s">
        <v>7</v>
      </c>
      <c r="P372">
        <f t="shared" si="969"/>
        <v>-0.73684210526315752</v>
      </c>
      <c r="Q372">
        <f t="shared" si="970"/>
        <v>-3639676.5705263135</v>
      </c>
      <c r="R372">
        <f t="shared" si="971"/>
        <v>-76341881.224878877</v>
      </c>
      <c r="S372">
        <f t="shared" si="972"/>
        <v>-763.41881224878875</v>
      </c>
      <c r="T372">
        <f t="shared" si="973"/>
        <v>-0.76341881224878871</v>
      </c>
    </row>
    <row r="373" spans="1:20" x14ac:dyDescent="0.25">
      <c r="A373" s="5">
        <v>44220</v>
      </c>
      <c r="B373">
        <v>0.38779999999999998</v>
      </c>
      <c r="C373">
        <v>0.3962</v>
      </c>
      <c r="D373">
        <v>0.3251</v>
      </c>
      <c r="E373">
        <v>0.34770000000000001</v>
      </c>
      <c r="F373">
        <v>10348597.550000001</v>
      </c>
      <c r="G373">
        <v>0</v>
      </c>
      <c r="L373" t="s">
        <v>7</v>
      </c>
      <c r="M373" t="s">
        <v>7</v>
      </c>
      <c r="N373" t="s">
        <v>7</v>
      </c>
      <c r="P373">
        <f t="shared" si="969"/>
        <v>-0.36427566807313616</v>
      </c>
      <c r="Q373">
        <f t="shared" si="970"/>
        <v>-3769742.2861462706</v>
      </c>
      <c r="R373">
        <f t="shared" si="971"/>
        <v>-72702204.654352561</v>
      </c>
      <c r="S373">
        <f t="shared" si="972"/>
        <v>-727.02204654352556</v>
      </c>
      <c r="T373">
        <f t="shared" si="973"/>
        <v>-0.72702204654352554</v>
      </c>
    </row>
    <row r="374" spans="1:20" x14ac:dyDescent="0.25">
      <c r="A374" s="5">
        <v>44219</v>
      </c>
      <c r="B374">
        <v>0.31280000000000002</v>
      </c>
      <c r="C374">
        <v>0.496</v>
      </c>
      <c r="D374">
        <v>0.3014</v>
      </c>
      <c r="E374">
        <v>0.38790000000000002</v>
      </c>
      <c r="F374">
        <v>25118651.859999999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-0.1109969167523122</v>
      </c>
      <c r="Q374">
        <f t="shared" si="970"/>
        <v>-2788092.909434732</v>
      </c>
      <c r="R374">
        <f t="shared" si="971"/>
        <v>-68932462.368206292</v>
      </c>
      <c r="S374">
        <f t="shared" si="972"/>
        <v>-689.32462368206291</v>
      </c>
      <c r="T374">
        <f t="shared" si="973"/>
        <v>-0.68932462368206293</v>
      </c>
    </row>
    <row r="375" spans="1:20" x14ac:dyDescent="0.25">
      <c r="A375" s="5">
        <v>44218</v>
      </c>
      <c r="B375">
        <v>0.26579999999999998</v>
      </c>
      <c r="C375">
        <v>0.32769999999999999</v>
      </c>
      <c r="D375">
        <v>0.24479999999999999</v>
      </c>
      <c r="E375">
        <v>0.31359999999999999</v>
      </c>
      <c r="F375">
        <v>3975476.41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0.65983112183353432</v>
      </c>
      <c r="Q375">
        <f t="shared" si="970"/>
        <v>2623143.0594330519</v>
      </c>
      <c r="R375">
        <f t="shared" si="971"/>
        <v>-66144369.458771564</v>
      </c>
      <c r="S375">
        <f t="shared" si="972"/>
        <v>-661.44369458771564</v>
      </c>
      <c r="T375">
        <f t="shared" si="973"/>
        <v>-0.66144369458771568</v>
      </c>
    </row>
    <row r="376" spans="1:20" x14ac:dyDescent="0.25">
      <c r="A376" s="5">
        <v>44217</v>
      </c>
      <c r="B376">
        <v>0.29480000000000001</v>
      </c>
      <c r="C376">
        <v>0.29980000000000001</v>
      </c>
      <c r="D376">
        <v>0.25769999999999998</v>
      </c>
      <c r="E376">
        <v>0.26619999999999999</v>
      </c>
      <c r="F376">
        <v>3114885.48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-0.59619952494061745</v>
      </c>
      <c r="Q376">
        <f t="shared" si="970"/>
        <v>-1857093.2434204272</v>
      </c>
      <c r="R376">
        <f t="shared" si="971"/>
        <v>-68767512.518204615</v>
      </c>
      <c r="S376">
        <f t="shared" si="972"/>
        <v>-687.67512518204614</v>
      </c>
      <c r="T376">
        <f t="shared" si="973"/>
        <v>-0.6876751251820461</v>
      </c>
    </row>
    <row r="377" spans="1:20" x14ac:dyDescent="0.25">
      <c r="A377" s="5">
        <v>44216</v>
      </c>
      <c r="B377">
        <v>0.31490000000000001</v>
      </c>
      <c r="C377">
        <v>0.31769999999999998</v>
      </c>
      <c r="D377">
        <v>0.26250000000000001</v>
      </c>
      <c r="E377">
        <v>0.29480000000000001</v>
      </c>
      <c r="F377">
        <v>3377562.52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0.17028985507246422</v>
      </c>
      <c r="Q377">
        <f t="shared" si="970"/>
        <v>575164.63202898705</v>
      </c>
      <c r="R377">
        <f t="shared" si="971"/>
        <v>-66910419.274784185</v>
      </c>
      <c r="S377">
        <f t="shared" si="972"/>
        <v>-669.10419274784181</v>
      </c>
      <c r="T377">
        <f t="shared" si="973"/>
        <v>-0.66910419274784183</v>
      </c>
    </row>
    <row r="378" spans="1:20" x14ac:dyDescent="0.25">
      <c r="A378" s="5">
        <v>44215</v>
      </c>
      <c r="B378">
        <v>0.29060000000000002</v>
      </c>
      <c r="C378">
        <v>0.33</v>
      </c>
      <c r="D378">
        <v>0.28720000000000001</v>
      </c>
      <c r="E378">
        <v>0.31480000000000002</v>
      </c>
      <c r="F378">
        <v>4368314.6100000003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0.28971962616822478</v>
      </c>
      <c r="Q378">
        <f t="shared" si="970"/>
        <v>1265586.4757943947</v>
      </c>
      <c r="R378">
        <f t="shared" si="971"/>
        <v>-67485583.906813174</v>
      </c>
      <c r="S378">
        <f t="shared" si="972"/>
        <v>-674.85583906813179</v>
      </c>
      <c r="T378">
        <f t="shared" si="973"/>
        <v>-0.67485583906813174</v>
      </c>
    </row>
    <row r="379" spans="1:20" x14ac:dyDescent="0.25">
      <c r="A379" s="5">
        <v>44214</v>
      </c>
      <c r="B379">
        <v>0.28039999999999998</v>
      </c>
      <c r="C379">
        <v>0.29139999999999999</v>
      </c>
      <c r="D379">
        <v>0.26600000000000001</v>
      </c>
      <c r="E379">
        <v>0.29060000000000002</v>
      </c>
      <c r="F379">
        <v>2207417.4300000002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0.93700787401575059</v>
      </c>
      <c r="Q379">
        <f t="shared" si="970"/>
        <v>2068367.5131496121</v>
      </c>
      <c r="R379">
        <f t="shared" si="971"/>
        <v>-68751170.382607564</v>
      </c>
      <c r="S379">
        <f t="shared" si="972"/>
        <v>-687.51170382607563</v>
      </c>
      <c r="T379">
        <f t="shared" si="973"/>
        <v>-0.68751170382607563</v>
      </c>
    </row>
    <row r="380" spans="1:20" x14ac:dyDescent="0.25">
      <c r="A380" s="5">
        <v>44213</v>
      </c>
      <c r="B380">
        <v>0.27160000000000001</v>
      </c>
      <c r="C380">
        <v>0.28310000000000002</v>
      </c>
      <c r="D380">
        <v>0.25280000000000002</v>
      </c>
      <c r="E380">
        <v>0.28039999999999998</v>
      </c>
      <c r="F380">
        <v>2188458.11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0.8217821782178194</v>
      </c>
      <c r="Q380">
        <f t="shared" si="970"/>
        <v>1798435.8725742521</v>
      </c>
      <c r="R380">
        <f t="shared" si="971"/>
        <v>-70819537.895757183</v>
      </c>
      <c r="S380">
        <f t="shared" si="972"/>
        <v>-708.19537895757185</v>
      </c>
      <c r="T380">
        <f t="shared" si="973"/>
        <v>-0.7081953789575719</v>
      </c>
    </row>
    <row r="381" spans="1:20" x14ac:dyDescent="0.25">
      <c r="A381" s="5">
        <v>44212</v>
      </c>
      <c r="B381">
        <v>0.2596</v>
      </c>
      <c r="C381">
        <v>0.27939999999999998</v>
      </c>
      <c r="D381">
        <v>0.2555</v>
      </c>
      <c r="E381">
        <v>0.26939999999999997</v>
      </c>
      <c r="F381">
        <v>2152968.35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0.16317991631799009</v>
      </c>
      <c r="Q381">
        <f t="shared" si="970"/>
        <v>351321.19518828118</v>
      </c>
      <c r="R381">
        <f t="shared" si="971"/>
        <v>-72617973.768331438</v>
      </c>
      <c r="S381">
        <f t="shared" si="972"/>
        <v>-726.17973768331433</v>
      </c>
      <c r="T381">
        <f t="shared" si="973"/>
        <v>-0.72617973768331434</v>
      </c>
    </row>
    <row r="382" spans="1:20" x14ac:dyDescent="0.25">
      <c r="A382" s="5">
        <v>44211</v>
      </c>
      <c r="B382">
        <v>0.25480000000000003</v>
      </c>
      <c r="C382">
        <v>0.27179999999999999</v>
      </c>
      <c r="D382">
        <v>0.23599999999999999</v>
      </c>
      <c r="E382">
        <v>0.2596</v>
      </c>
      <c r="F382">
        <v>2150408.14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0.31843575418994474</v>
      </c>
      <c r="Q382">
        <f t="shared" si="970"/>
        <v>684766.83787709638</v>
      </c>
      <c r="R382">
        <f t="shared" si="971"/>
        <v>-72969294.963519722</v>
      </c>
      <c r="S382">
        <f t="shared" si="972"/>
        <v>-729.69294963519724</v>
      </c>
      <c r="T382">
        <f t="shared" si="973"/>
        <v>-0.72969294963519726</v>
      </c>
    </row>
    <row r="383" spans="1:20" x14ac:dyDescent="0.25">
      <c r="A383" s="5">
        <v>44210</v>
      </c>
      <c r="B383">
        <v>0.26179999999999998</v>
      </c>
      <c r="C383">
        <v>0.27179999999999999</v>
      </c>
      <c r="D383">
        <v>0.25059999999999999</v>
      </c>
      <c r="E383">
        <v>0.25359999999999999</v>
      </c>
      <c r="F383">
        <v>1751185.7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-0.71698113207547143</v>
      </c>
      <c r="Q383">
        <f t="shared" si="970"/>
        <v>-1255567.1056603768</v>
      </c>
      <c r="R383">
        <f t="shared" si="971"/>
        <v>-73654061.801396817</v>
      </c>
      <c r="S383">
        <f t="shared" si="972"/>
        <v>-736.54061801396813</v>
      </c>
      <c r="T383">
        <f t="shared" si="973"/>
        <v>-0.73654061801396808</v>
      </c>
    </row>
    <row r="384" spans="1:20" x14ac:dyDescent="0.25">
      <c r="A384" s="5">
        <v>44209</v>
      </c>
      <c r="B384">
        <v>0.2422</v>
      </c>
      <c r="C384">
        <v>0.26269999999999999</v>
      </c>
      <c r="D384">
        <v>0.23100000000000001</v>
      </c>
      <c r="E384">
        <v>0.25969999999999999</v>
      </c>
      <c r="F384">
        <v>1418772.74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0.81072555205047292</v>
      </c>
      <c r="Q384">
        <f t="shared" si="970"/>
        <v>1150235.312870662</v>
      </c>
      <c r="R384">
        <f t="shared" si="971"/>
        <v>-72398494.695736438</v>
      </c>
      <c r="S384">
        <f t="shared" si="972"/>
        <v>-723.9849469573644</v>
      </c>
      <c r="T384">
        <f t="shared" si="973"/>
        <v>-0.72398494695736437</v>
      </c>
    </row>
    <row r="385" spans="1:20" x14ac:dyDescent="0.25">
      <c r="A385" s="5">
        <v>44208</v>
      </c>
      <c r="B385">
        <v>0.2397</v>
      </c>
      <c r="C385">
        <v>0.2666</v>
      </c>
      <c r="D385">
        <v>0.22889999999999999</v>
      </c>
      <c r="E385">
        <v>0.24210000000000001</v>
      </c>
      <c r="F385">
        <v>2031523.58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-0.2997347480106094</v>
      </c>
      <c r="Q385">
        <f t="shared" si="970"/>
        <v>-608918.2083289111</v>
      </c>
      <c r="R385">
        <f t="shared" si="971"/>
        <v>-73548730.008607104</v>
      </c>
      <c r="S385">
        <f t="shared" si="972"/>
        <v>-735.48730008607106</v>
      </c>
      <c r="T385">
        <f t="shared" si="973"/>
        <v>-0.73548730008607111</v>
      </c>
    </row>
    <row r="386" spans="1:20" x14ac:dyDescent="0.25">
      <c r="A386" s="5">
        <v>44207</v>
      </c>
      <c r="B386">
        <v>0.27150000000000002</v>
      </c>
      <c r="C386">
        <v>0.27279999999999999</v>
      </c>
      <c r="D386">
        <v>0.2026</v>
      </c>
      <c r="E386">
        <v>0.2397</v>
      </c>
      <c r="F386">
        <v>3568189.4399999999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5.6980056980057044E-2</v>
      </c>
      <c r="Q386">
        <f t="shared" si="970"/>
        <v>203315.63760683784</v>
      </c>
      <c r="R386">
        <f t="shared" si="971"/>
        <v>-72939811.800278187</v>
      </c>
      <c r="S386">
        <f t="shared" si="972"/>
        <v>-729.39811800278187</v>
      </c>
      <c r="T386">
        <f t="shared" si="973"/>
        <v>-0.72939811800278187</v>
      </c>
    </row>
    <row r="387" spans="1:20" x14ac:dyDescent="0.25">
      <c r="A387" s="5">
        <v>44206</v>
      </c>
      <c r="B387">
        <v>0.27539999999999998</v>
      </c>
      <c r="C387">
        <v>0.29970000000000002</v>
      </c>
      <c r="D387">
        <v>0.253</v>
      </c>
      <c r="E387">
        <v>0.27160000000000001</v>
      </c>
      <c r="F387">
        <v>3724197.65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-0.20342612419700223</v>
      </c>
      <c r="Q387">
        <f t="shared" si="970"/>
        <v>-757599.09368308389</v>
      </c>
      <c r="R387">
        <f t="shared" si="971"/>
        <v>-73143127.437885031</v>
      </c>
      <c r="S387">
        <f t="shared" si="972"/>
        <v>-731.43127437885028</v>
      </c>
      <c r="T387">
        <f t="shared" si="973"/>
        <v>-0.73143127437885025</v>
      </c>
    </row>
    <row r="388" spans="1:20" x14ac:dyDescent="0.25">
      <c r="A388" s="5">
        <v>44205</v>
      </c>
      <c r="B388">
        <v>0.24879999999999999</v>
      </c>
      <c r="C388">
        <v>0.28670000000000001</v>
      </c>
      <c r="D388">
        <v>0.24229999999999999</v>
      </c>
      <c r="E388">
        <v>0.27529999999999999</v>
      </c>
      <c r="F388">
        <v>2624487.9500000002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0.48648648648648579</v>
      </c>
      <c r="Q388">
        <f t="shared" si="970"/>
        <v>1276777.92162162</v>
      </c>
      <c r="R388">
        <f t="shared" si="971"/>
        <v>-72385528.344201952</v>
      </c>
      <c r="S388">
        <f t="shared" si="972"/>
        <v>-723.85528344201953</v>
      </c>
      <c r="T388">
        <f t="shared" si="973"/>
        <v>-0.72385528344201955</v>
      </c>
    </row>
    <row r="389" spans="1:20" x14ac:dyDescent="0.25">
      <c r="A389" s="5">
        <v>44204</v>
      </c>
      <c r="B389">
        <v>0.25040000000000001</v>
      </c>
      <c r="C389">
        <v>0.2641</v>
      </c>
      <c r="D389">
        <v>0.23</v>
      </c>
      <c r="E389">
        <v>0.24890000000000001</v>
      </c>
      <c r="F389">
        <v>2221131.41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0.10850439882697976</v>
      </c>
      <c r="Q389">
        <f t="shared" si="970"/>
        <v>241002.52835777192</v>
      </c>
      <c r="R389">
        <f t="shared" si="971"/>
        <v>-73662306.265823573</v>
      </c>
      <c r="S389">
        <f t="shared" si="972"/>
        <v>-736.62306265823577</v>
      </c>
      <c r="T389">
        <f t="shared" si="973"/>
        <v>-0.73662306265823574</v>
      </c>
    </row>
    <row r="390" spans="1:20" x14ac:dyDescent="0.25">
      <c r="A390" s="5">
        <v>44203</v>
      </c>
      <c r="B390">
        <v>0.25679999999999997</v>
      </c>
      <c r="C390">
        <v>0.28899999999999998</v>
      </c>
      <c r="D390">
        <v>0.24199999999999999</v>
      </c>
      <c r="E390">
        <v>0.25040000000000001</v>
      </c>
      <c r="F390">
        <v>3512050.83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-0.64255319148936085</v>
      </c>
      <c r="Q390">
        <f t="shared" ref="Q390:Q453" si="975">F390*P390</f>
        <v>-2256679.4694893588</v>
      </c>
      <c r="R390">
        <f t="shared" ref="R390:R453" si="976">R391+Q390</f>
        <v>-73903308.794181347</v>
      </c>
      <c r="S390">
        <f t="shared" ref="S390:S453" si="977">R390/100000</f>
        <v>-739.03308794181351</v>
      </c>
      <c r="T390">
        <f t="shared" ref="T390:T453" si="978">S390/1000</f>
        <v>-0.73903308794181355</v>
      </c>
    </row>
    <row r="391" spans="1:20" x14ac:dyDescent="0.25">
      <c r="A391" s="5">
        <v>44202</v>
      </c>
      <c r="B391">
        <v>0.23219999999999999</v>
      </c>
      <c r="C391">
        <v>0.26500000000000001</v>
      </c>
      <c r="D391">
        <v>0.22900000000000001</v>
      </c>
      <c r="E391">
        <v>0.25509999999999999</v>
      </c>
      <c r="F391">
        <v>3308612.46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0.44999999999999896</v>
      </c>
      <c r="Q391">
        <f t="shared" si="975"/>
        <v>1488875.6069999966</v>
      </c>
      <c r="R391">
        <f t="shared" si="976"/>
        <v>-71646629.324691981</v>
      </c>
      <c r="S391">
        <f t="shared" si="977"/>
        <v>-716.4662932469198</v>
      </c>
      <c r="T391">
        <f t="shared" si="978"/>
        <v>-0.71646629324691979</v>
      </c>
    </row>
    <row r="392" spans="1:20" x14ac:dyDescent="0.25">
      <c r="A392" s="5">
        <v>44201</v>
      </c>
      <c r="B392">
        <v>0.21629999999999999</v>
      </c>
      <c r="C392">
        <v>0.24</v>
      </c>
      <c r="D392">
        <v>0.20760000000000001</v>
      </c>
      <c r="E392">
        <v>0.23219999999999999</v>
      </c>
      <c r="F392">
        <v>1948502.82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0.51851851851851816</v>
      </c>
      <c r="Q392">
        <f t="shared" si="975"/>
        <v>1010334.7955555549</v>
      </c>
      <c r="R392">
        <f t="shared" si="976"/>
        <v>-73135504.931691974</v>
      </c>
      <c r="S392">
        <f t="shared" si="977"/>
        <v>-731.35504931691969</v>
      </c>
      <c r="T392">
        <f t="shared" si="978"/>
        <v>-0.73135504931691964</v>
      </c>
    </row>
    <row r="393" spans="1:20" x14ac:dyDescent="0.25">
      <c r="A393" s="5">
        <v>44200</v>
      </c>
      <c r="B393">
        <v>0.21920000000000001</v>
      </c>
      <c r="C393">
        <v>0.23280000000000001</v>
      </c>
      <c r="D393">
        <v>0.19800000000000001</v>
      </c>
      <c r="E393">
        <v>0.21629999999999999</v>
      </c>
      <c r="F393">
        <v>1873550.5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5.1724137931033573E-2</v>
      </c>
      <c r="Q393">
        <f t="shared" si="975"/>
        <v>96907.784482756921</v>
      </c>
      <c r="R393">
        <f t="shared" si="976"/>
        <v>-74145839.727247536</v>
      </c>
      <c r="S393">
        <f t="shared" si="977"/>
        <v>-741.45839727247539</v>
      </c>
      <c r="T393">
        <f t="shared" si="978"/>
        <v>-0.74145839727247542</v>
      </c>
    </row>
    <row r="394" spans="1:20" x14ac:dyDescent="0.25">
      <c r="A394" s="5">
        <v>44199</v>
      </c>
      <c r="B394">
        <v>0.2054</v>
      </c>
      <c r="C394">
        <v>0.22600000000000001</v>
      </c>
      <c r="D394">
        <v>0.20430000000000001</v>
      </c>
      <c r="E394">
        <v>0.22</v>
      </c>
      <c r="F394">
        <v>1435882.55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0.44700460829493033</v>
      </c>
      <c r="Q394">
        <f t="shared" si="975"/>
        <v>641846.11682027578</v>
      </c>
      <c r="R394">
        <f t="shared" si="976"/>
        <v>-74242747.511730298</v>
      </c>
      <c r="S394">
        <f t="shared" si="977"/>
        <v>-742.42747511730295</v>
      </c>
      <c r="T394">
        <f t="shared" si="978"/>
        <v>-0.74242747511730289</v>
      </c>
    </row>
    <row r="395" spans="1:20" x14ac:dyDescent="0.25">
      <c r="A395" s="5">
        <v>44198</v>
      </c>
      <c r="B395">
        <v>0.21099999999999999</v>
      </c>
      <c r="C395">
        <v>0.21340000000000001</v>
      </c>
      <c r="D395">
        <v>0.19889999999999999</v>
      </c>
      <c r="E395">
        <v>0.20580000000000001</v>
      </c>
      <c r="F395">
        <v>1007518.39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-4.8275862068963983E-2</v>
      </c>
      <c r="Q395">
        <f t="shared" si="975"/>
        <v>-48638.818827584662</v>
      </c>
      <c r="R395">
        <f t="shared" si="976"/>
        <v>-74884593.628550574</v>
      </c>
      <c r="S395">
        <f t="shared" si="977"/>
        <v>-748.84593628550579</v>
      </c>
      <c r="T395">
        <f t="shared" si="978"/>
        <v>-0.74884593628550578</v>
      </c>
    </row>
    <row r="396" spans="1:20" x14ac:dyDescent="0.25">
      <c r="A396" s="5">
        <v>44197</v>
      </c>
      <c r="B396">
        <v>0.2092</v>
      </c>
      <c r="C396">
        <v>0.222</v>
      </c>
      <c r="D396">
        <v>0.2077</v>
      </c>
      <c r="E396">
        <v>0.21249999999999999</v>
      </c>
      <c r="F396">
        <v>899196.51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-0.3286713286713292</v>
      </c>
      <c r="Q396">
        <f t="shared" si="975"/>
        <v>-295540.11167832214</v>
      </c>
      <c r="R396">
        <f t="shared" si="976"/>
        <v>-74835954.80972299</v>
      </c>
      <c r="S396">
        <f t="shared" si="977"/>
        <v>-748.35954809722989</v>
      </c>
      <c r="T396">
        <f t="shared" si="978"/>
        <v>-0.74835954809722993</v>
      </c>
    </row>
    <row r="397" spans="1:20" x14ac:dyDescent="0.25">
      <c r="A397" s="5">
        <v>44196</v>
      </c>
      <c r="B397">
        <v>0.20349999999999999</v>
      </c>
      <c r="C397">
        <v>0.2152</v>
      </c>
      <c r="D397">
        <v>0.2</v>
      </c>
      <c r="E397">
        <v>0.2112</v>
      </c>
      <c r="F397">
        <v>760776.8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0.47368421052631504</v>
      </c>
      <c r="Q397">
        <f t="shared" si="975"/>
        <v>360367.95789473632</v>
      </c>
      <c r="R397">
        <f t="shared" si="976"/>
        <v>-74540414.698044673</v>
      </c>
      <c r="S397">
        <f t="shared" si="977"/>
        <v>-745.40414698044674</v>
      </c>
      <c r="T397">
        <f t="shared" si="978"/>
        <v>-0.74540414698044677</v>
      </c>
    </row>
    <row r="398" spans="1:20" x14ac:dyDescent="0.25">
      <c r="A398" s="5">
        <v>44195</v>
      </c>
      <c r="B398">
        <v>0.21679999999999999</v>
      </c>
      <c r="C398">
        <v>0.2172</v>
      </c>
      <c r="D398">
        <v>0.2</v>
      </c>
      <c r="E398">
        <v>0.20319999999999999</v>
      </c>
      <c r="F398">
        <v>1079625.6499999999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-0.62790697674418816</v>
      </c>
      <c r="Q398">
        <f t="shared" si="975"/>
        <v>-677904.47790697892</v>
      </c>
      <c r="R398">
        <f t="shared" si="976"/>
        <v>-74900782.655939415</v>
      </c>
      <c r="S398">
        <f t="shared" si="977"/>
        <v>-749.00782655939418</v>
      </c>
      <c r="T398">
        <f t="shared" si="978"/>
        <v>-0.74900782655939413</v>
      </c>
    </row>
    <row r="399" spans="1:20" x14ac:dyDescent="0.25">
      <c r="A399" s="5">
        <v>44194</v>
      </c>
      <c r="B399">
        <v>0.23050000000000001</v>
      </c>
      <c r="C399">
        <v>0.2346</v>
      </c>
      <c r="D399">
        <v>0.2009</v>
      </c>
      <c r="E399">
        <v>0.21640000000000001</v>
      </c>
      <c r="F399">
        <v>2122812.85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-8.0118694362017198E-2</v>
      </c>
      <c r="Q399">
        <f t="shared" si="975"/>
        <v>-170076.99391691267</v>
      </c>
      <c r="R399">
        <f t="shared" si="976"/>
        <v>-74222878.178032443</v>
      </c>
      <c r="S399">
        <f t="shared" si="977"/>
        <v>-742.22878178032443</v>
      </c>
      <c r="T399">
        <f t="shared" si="978"/>
        <v>-0.74222878178032448</v>
      </c>
    </row>
    <row r="400" spans="1:20" x14ac:dyDescent="0.25">
      <c r="A400" s="5">
        <v>44193</v>
      </c>
      <c r="B400">
        <v>0.2303</v>
      </c>
      <c r="C400">
        <v>0.23880000000000001</v>
      </c>
      <c r="D400">
        <v>0.223</v>
      </c>
      <c r="E400">
        <v>0.22850000000000001</v>
      </c>
      <c r="F400">
        <v>1454404.16</v>
      </c>
      <c r="G400">
        <v>0</v>
      </c>
      <c r="L400" t="s">
        <v>7</v>
      </c>
      <c r="M400" t="s">
        <v>8</v>
      </c>
      <c r="N400" t="s">
        <v>7</v>
      </c>
      <c r="P400">
        <f t="shared" si="974"/>
        <v>-0.30379746835443011</v>
      </c>
      <c r="Q400">
        <f t="shared" si="975"/>
        <v>-441844.30177215149</v>
      </c>
      <c r="R400">
        <f t="shared" si="976"/>
        <v>-74052801.184115529</v>
      </c>
      <c r="S400">
        <f t="shared" si="977"/>
        <v>-740.52801184115526</v>
      </c>
      <c r="T400">
        <f t="shared" si="978"/>
        <v>-0.74052801184115524</v>
      </c>
    </row>
    <row r="401" spans="1:20" x14ac:dyDescent="0.25">
      <c r="A401" s="5">
        <v>44192</v>
      </c>
      <c r="B401">
        <v>0.23100000000000001</v>
      </c>
      <c r="C401">
        <v>0.25850000000000001</v>
      </c>
      <c r="D401">
        <v>0.22500000000000001</v>
      </c>
      <c r="E401">
        <v>0.2296</v>
      </c>
      <c r="F401">
        <v>2258657.38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-0.72537313432835859</v>
      </c>
      <c r="Q401">
        <f t="shared" si="975"/>
        <v>-1638369.3831044785</v>
      </c>
      <c r="R401">
        <f t="shared" si="976"/>
        <v>-73610956.882343382</v>
      </c>
      <c r="S401">
        <f t="shared" si="977"/>
        <v>-736.10956882343385</v>
      </c>
      <c r="T401">
        <f t="shared" si="978"/>
        <v>-0.73610956882343381</v>
      </c>
    </row>
    <row r="402" spans="1:20" x14ac:dyDescent="0.25">
      <c r="A402" s="5">
        <v>44191</v>
      </c>
      <c r="B402">
        <v>0.24129999999999999</v>
      </c>
      <c r="C402">
        <v>0.24340000000000001</v>
      </c>
      <c r="D402">
        <v>0.22359999999999999</v>
      </c>
      <c r="E402">
        <v>0.23100000000000001</v>
      </c>
      <c r="F402">
        <v>724196.33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-0.25252525252525121</v>
      </c>
      <c r="Q402">
        <f t="shared" si="975"/>
        <v>-182877.86111111013</v>
      </c>
      <c r="R402">
        <f t="shared" si="976"/>
        <v>-71972587.499238908</v>
      </c>
      <c r="S402">
        <f t="shared" si="977"/>
        <v>-719.72587499238909</v>
      </c>
      <c r="T402">
        <f t="shared" si="978"/>
        <v>-0.71972587499238905</v>
      </c>
    </row>
    <row r="403" spans="1:20" x14ac:dyDescent="0.25">
      <c r="A403" s="5">
        <v>44190</v>
      </c>
      <c r="B403">
        <v>0.24759999999999999</v>
      </c>
      <c r="C403">
        <v>0.25130000000000002</v>
      </c>
      <c r="D403">
        <v>0.2356</v>
      </c>
      <c r="E403">
        <v>0.2414</v>
      </c>
      <c r="F403">
        <v>1193553.49</v>
      </c>
      <c r="G403">
        <v>0</v>
      </c>
      <c r="L403" t="s">
        <v>7</v>
      </c>
      <c r="M403" t="s">
        <v>7</v>
      </c>
      <c r="N403" t="s">
        <v>7</v>
      </c>
      <c r="P403">
        <f t="shared" si="974"/>
        <v>-0.26114649681528757</v>
      </c>
      <c r="Q403">
        <f t="shared" si="975"/>
        <v>-311692.31267516036</v>
      </c>
      <c r="R403">
        <f t="shared" si="976"/>
        <v>-71789709.638127804</v>
      </c>
      <c r="S403">
        <f t="shared" si="977"/>
        <v>-717.89709638127806</v>
      </c>
      <c r="T403">
        <f t="shared" si="978"/>
        <v>-0.71789709638127808</v>
      </c>
    </row>
    <row r="404" spans="1:20" x14ac:dyDescent="0.25">
      <c r="A404" s="5">
        <v>44189</v>
      </c>
      <c r="B404">
        <v>0.22620000000000001</v>
      </c>
      <c r="C404">
        <v>0.25030000000000002</v>
      </c>
      <c r="D404">
        <v>0.21809999999999999</v>
      </c>
      <c r="E404">
        <v>0.24759999999999999</v>
      </c>
      <c r="F404">
        <v>651121.15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0.83229813664596064</v>
      </c>
      <c r="Q404">
        <f t="shared" si="975"/>
        <v>541926.919875775</v>
      </c>
      <c r="R404">
        <f t="shared" si="976"/>
        <v>-71478017.325452641</v>
      </c>
      <c r="S404">
        <f t="shared" si="977"/>
        <v>-714.7801732545264</v>
      </c>
      <c r="T404">
        <f t="shared" si="978"/>
        <v>-0.71478017325452636</v>
      </c>
    </row>
    <row r="405" spans="1:20" x14ac:dyDescent="0.25">
      <c r="A405" s="5">
        <v>44188</v>
      </c>
      <c r="B405">
        <v>0.26500000000000001</v>
      </c>
      <c r="C405">
        <v>0.27450000000000002</v>
      </c>
      <c r="D405">
        <v>0.2175</v>
      </c>
      <c r="E405">
        <v>0.22620000000000001</v>
      </c>
      <c r="F405">
        <v>1900133.47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-0.69473684210526276</v>
      </c>
      <c r="Q405">
        <f t="shared" si="975"/>
        <v>-1320092.7265263151</v>
      </c>
      <c r="R405">
        <f t="shared" si="976"/>
        <v>-72019944.245328411</v>
      </c>
      <c r="S405">
        <f t="shared" si="977"/>
        <v>-720.19944245328406</v>
      </c>
      <c r="T405">
        <f t="shared" si="978"/>
        <v>-0.72019944245328404</v>
      </c>
    </row>
    <row r="406" spans="1:20" x14ac:dyDescent="0.25">
      <c r="A406" s="5">
        <v>44187</v>
      </c>
      <c r="B406">
        <v>0.2717</v>
      </c>
      <c r="C406">
        <v>0.27660000000000001</v>
      </c>
      <c r="D406">
        <v>0.2442</v>
      </c>
      <c r="E406">
        <v>0.2646</v>
      </c>
      <c r="F406">
        <v>1983166.52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0.25925925925925886</v>
      </c>
      <c r="Q406">
        <f t="shared" si="975"/>
        <v>514154.28296296217</v>
      </c>
      <c r="R406">
        <f t="shared" si="976"/>
        <v>-70699851.518802091</v>
      </c>
      <c r="S406">
        <f t="shared" si="977"/>
        <v>-706.99851518802086</v>
      </c>
      <c r="T406">
        <f t="shared" si="978"/>
        <v>-0.70699851518802082</v>
      </c>
    </row>
    <row r="407" spans="1:20" x14ac:dyDescent="0.25">
      <c r="A407" s="5">
        <v>44186</v>
      </c>
      <c r="B407">
        <v>0.29409999999999997</v>
      </c>
      <c r="C407">
        <v>0.32129999999999997</v>
      </c>
      <c r="D407">
        <v>0.26540000000000002</v>
      </c>
      <c r="E407">
        <v>0.27239999999999998</v>
      </c>
      <c r="F407">
        <v>4236093.7300000004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-0.74955277280858834</v>
      </c>
      <c r="Q407">
        <f t="shared" si="975"/>
        <v>-3175175.8011985761</v>
      </c>
      <c r="R407">
        <f t="shared" si="976"/>
        <v>-71214005.801765054</v>
      </c>
      <c r="S407">
        <f t="shared" si="977"/>
        <v>-712.14005801765052</v>
      </c>
      <c r="T407">
        <f t="shared" si="978"/>
        <v>-0.71214005801765057</v>
      </c>
    </row>
    <row r="408" spans="1:20" x14ac:dyDescent="0.25">
      <c r="A408" s="5">
        <v>44185</v>
      </c>
      <c r="B408">
        <v>0.2893</v>
      </c>
      <c r="C408">
        <v>0.31990000000000002</v>
      </c>
      <c r="D408">
        <v>0.28320000000000001</v>
      </c>
      <c r="E408">
        <v>0.29399999999999998</v>
      </c>
      <c r="F408">
        <v>1849943.44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-0.41144414168937476</v>
      </c>
      <c r="Q408">
        <f t="shared" si="975"/>
        <v>-761148.39084468933</v>
      </c>
      <c r="R408">
        <f t="shared" si="976"/>
        <v>-68038830.000566483</v>
      </c>
      <c r="S408">
        <f t="shared" si="977"/>
        <v>-680.38830000566486</v>
      </c>
      <c r="T408">
        <f t="shared" si="978"/>
        <v>-0.68038830000566486</v>
      </c>
    </row>
    <row r="409" spans="1:20" x14ac:dyDescent="0.25">
      <c r="A409" s="5">
        <v>44184</v>
      </c>
      <c r="B409">
        <v>0.27639999999999998</v>
      </c>
      <c r="C409">
        <v>0.31490000000000001</v>
      </c>
      <c r="D409">
        <v>0.27629999999999999</v>
      </c>
      <c r="E409">
        <v>0.28939999999999999</v>
      </c>
      <c r="F409">
        <v>2282744.31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-0.32124352331606254</v>
      </c>
      <c r="Q409">
        <f t="shared" si="975"/>
        <v>-733316.82497409417</v>
      </c>
      <c r="R409">
        <f t="shared" si="976"/>
        <v>-67277681.609721795</v>
      </c>
      <c r="S409">
        <f t="shared" si="977"/>
        <v>-672.77681609721799</v>
      </c>
      <c r="T409">
        <f t="shared" si="978"/>
        <v>-0.67277681609721796</v>
      </c>
    </row>
    <row r="410" spans="1:20" x14ac:dyDescent="0.25">
      <c r="A410" s="5">
        <v>44183</v>
      </c>
      <c r="B410">
        <v>0.27360000000000001</v>
      </c>
      <c r="C410">
        <v>0.28599999999999998</v>
      </c>
      <c r="D410">
        <v>0.2666</v>
      </c>
      <c r="E410">
        <v>0.27710000000000001</v>
      </c>
      <c r="F410">
        <v>1222602.44</v>
      </c>
      <c r="G410">
        <v>0</v>
      </c>
      <c r="L410" t="s">
        <v>7</v>
      </c>
      <c r="M410" t="s">
        <v>7</v>
      </c>
      <c r="N410" t="s">
        <v>8</v>
      </c>
      <c r="P410">
        <f t="shared" si="974"/>
        <v>8.2474226804126194E-2</v>
      </c>
      <c r="Q410">
        <f t="shared" si="975"/>
        <v>100833.19092783808</v>
      </c>
      <c r="R410">
        <f t="shared" si="976"/>
        <v>-66544364.784747697</v>
      </c>
      <c r="S410">
        <f t="shared" si="977"/>
        <v>-665.443647847477</v>
      </c>
      <c r="T410">
        <f t="shared" si="978"/>
        <v>-0.665443647847477</v>
      </c>
    </row>
    <row r="411" spans="1:20" x14ac:dyDescent="0.25">
      <c r="A411" s="5">
        <v>44182</v>
      </c>
      <c r="B411">
        <v>0.29630000000000001</v>
      </c>
      <c r="C411">
        <v>0.30249999999999999</v>
      </c>
      <c r="D411">
        <v>0.27100000000000002</v>
      </c>
      <c r="E411">
        <v>0.27439999999999998</v>
      </c>
      <c r="F411">
        <v>2100190.11</v>
      </c>
      <c r="G411">
        <v>0</v>
      </c>
      <c r="L411" t="s">
        <v>8</v>
      </c>
      <c r="M411" t="s">
        <v>7</v>
      </c>
      <c r="N411" t="s">
        <v>8</v>
      </c>
      <c r="P411">
        <f t="shared" si="974"/>
        <v>-0.78412698412698656</v>
      </c>
      <c r="Q411">
        <f t="shared" si="975"/>
        <v>-1646815.7370476241</v>
      </c>
      <c r="R411">
        <f t="shared" si="976"/>
        <v>-66645197.975675538</v>
      </c>
      <c r="S411">
        <f t="shared" si="977"/>
        <v>-666.45197975675535</v>
      </c>
      <c r="T411">
        <f t="shared" si="978"/>
        <v>-0.6664519797567553</v>
      </c>
    </row>
    <row r="412" spans="1:20" x14ac:dyDescent="0.25">
      <c r="A412" s="5">
        <v>44181</v>
      </c>
      <c r="B412">
        <v>0.26850000000000002</v>
      </c>
      <c r="C412">
        <v>0.29799999999999999</v>
      </c>
      <c r="D412">
        <v>0.26200000000000001</v>
      </c>
      <c r="E412">
        <v>0.29630000000000001</v>
      </c>
      <c r="F412">
        <v>2048195.14</v>
      </c>
      <c r="G412">
        <v>0</v>
      </c>
      <c r="L412" t="s">
        <v>8</v>
      </c>
      <c r="M412" t="s">
        <v>7</v>
      </c>
      <c r="N412" t="s">
        <v>8</v>
      </c>
      <c r="P412">
        <f t="shared" si="974"/>
        <v>0.90555555555555667</v>
      </c>
      <c r="Q412">
        <f t="shared" si="975"/>
        <v>1854754.487888891</v>
      </c>
      <c r="R412">
        <f t="shared" si="976"/>
        <v>-64998382.238627911</v>
      </c>
      <c r="S412">
        <f t="shared" si="977"/>
        <v>-649.98382238627914</v>
      </c>
      <c r="T412">
        <f t="shared" si="978"/>
        <v>-0.64998382238627916</v>
      </c>
    </row>
    <row r="413" spans="1:20" x14ac:dyDescent="0.25">
      <c r="A413" s="5">
        <v>44180</v>
      </c>
      <c r="B413">
        <v>0.28089999999999998</v>
      </c>
      <c r="C413">
        <v>0.28110000000000002</v>
      </c>
      <c r="D413">
        <v>0.26069999999999999</v>
      </c>
      <c r="E413">
        <v>0.2681</v>
      </c>
      <c r="F413">
        <v>1434823.59</v>
      </c>
      <c r="G413">
        <v>0</v>
      </c>
      <c r="L413" t="s">
        <v>7</v>
      </c>
      <c r="M413" t="s">
        <v>7</v>
      </c>
      <c r="N413" t="s">
        <v>8</v>
      </c>
      <c r="P413">
        <f t="shared" si="974"/>
        <v>-0.27450980392156793</v>
      </c>
      <c r="Q413">
        <f t="shared" si="975"/>
        <v>-393873.14235294022</v>
      </c>
      <c r="R413">
        <f t="shared" si="976"/>
        <v>-66853136.726516798</v>
      </c>
      <c r="S413">
        <f t="shared" si="977"/>
        <v>-668.531367265168</v>
      </c>
      <c r="T413">
        <f t="shared" si="978"/>
        <v>-0.66853136726516804</v>
      </c>
    </row>
    <row r="414" spans="1:20" x14ac:dyDescent="0.25">
      <c r="A414" s="5">
        <v>44179</v>
      </c>
      <c r="B414">
        <v>0.25829999999999997</v>
      </c>
      <c r="C414">
        <v>0.34250000000000003</v>
      </c>
      <c r="D414">
        <v>0.25380000000000003</v>
      </c>
      <c r="E414">
        <v>0.28089999999999998</v>
      </c>
      <c r="F414">
        <v>8078506.7999999998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-0.38895152198421745</v>
      </c>
      <c r="Q414">
        <f t="shared" si="975"/>
        <v>-3142147.51521985</v>
      </c>
      <c r="R414">
        <f t="shared" si="976"/>
        <v>-66459263.584163859</v>
      </c>
      <c r="S414">
        <f t="shared" si="977"/>
        <v>-664.59263584163864</v>
      </c>
      <c r="T414">
        <f t="shared" si="978"/>
        <v>-0.66459263584163863</v>
      </c>
    </row>
    <row r="415" spans="1:20" x14ac:dyDescent="0.25">
      <c r="A415" s="5">
        <v>44178</v>
      </c>
      <c r="B415">
        <v>0.25940000000000002</v>
      </c>
      <c r="C415">
        <v>0.26979999999999998</v>
      </c>
      <c r="D415">
        <v>0.25440000000000002</v>
      </c>
      <c r="E415">
        <v>0.2591</v>
      </c>
      <c r="F415">
        <v>814553.41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-0.38961038961039074</v>
      </c>
      <c r="Q415">
        <f t="shared" si="975"/>
        <v>-317358.47142857237</v>
      </c>
      <c r="R415">
        <f t="shared" si="976"/>
        <v>-63317116.068944007</v>
      </c>
      <c r="S415">
        <f t="shared" si="977"/>
        <v>-633.17116068944006</v>
      </c>
      <c r="T415">
        <f t="shared" si="978"/>
        <v>-0.63317116068944002</v>
      </c>
    </row>
    <row r="416" spans="1:20" x14ac:dyDescent="0.25">
      <c r="A416" s="5">
        <v>44177</v>
      </c>
      <c r="B416">
        <v>0.24829999999999999</v>
      </c>
      <c r="C416">
        <v>0.26500000000000001</v>
      </c>
      <c r="D416">
        <v>0.24829999999999999</v>
      </c>
      <c r="E416">
        <v>0.26050000000000001</v>
      </c>
      <c r="F416">
        <v>904431.19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0.46107784431137744</v>
      </c>
      <c r="Q416">
        <f t="shared" si="975"/>
        <v>417013.18341317383</v>
      </c>
      <c r="R416">
        <f t="shared" si="976"/>
        <v>-62999757.597515434</v>
      </c>
      <c r="S416">
        <f t="shared" si="977"/>
        <v>-629.99757597515429</v>
      </c>
      <c r="T416">
        <f t="shared" si="978"/>
        <v>-0.62999757597515427</v>
      </c>
    </row>
    <row r="417" spans="1:20" x14ac:dyDescent="0.25">
      <c r="A417" s="5">
        <v>44176</v>
      </c>
      <c r="B417">
        <v>0.26340000000000002</v>
      </c>
      <c r="C417">
        <v>0.26400000000000001</v>
      </c>
      <c r="D417">
        <v>0.24379999999999999</v>
      </c>
      <c r="E417">
        <v>0.24829999999999999</v>
      </c>
      <c r="F417">
        <v>833616.64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-0.55445544554455461</v>
      </c>
      <c r="Q417">
        <f t="shared" si="975"/>
        <v>-462203.28554455459</v>
      </c>
      <c r="R417">
        <f t="shared" si="976"/>
        <v>-63416770.780928604</v>
      </c>
      <c r="S417">
        <f t="shared" si="977"/>
        <v>-634.16770780928607</v>
      </c>
      <c r="T417">
        <f t="shared" si="978"/>
        <v>-0.63416770780928611</v>
      </c>
    </row>
    <row r="418" spans="1:20" x14ac:dyDescent="0.25">
      <c r="A418" s="5">
        <v>44175</v>
      </c>
      <c r="B418">
        <v>0.28739999999999999</v>
      </c>
      <c r="C418">
        <v>0.28999999999999998</v>
      </c>
      <c r="D418">
        <v>0.25650000000000001</v>
      </c>
      <c r="E418">
        <v>0.26340000000000002</v>
      </c>
      <c r="F418">
        <v>1256967.49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-0.58805970149253595</v>
      </c>
      <c r="Q418">
        <f t="shared" si="975"/>
        <v>-739171.92695522215</v>
      </c>
      <c r="R418">
        <f t="shared" si="976"/>
        <v>-62954567.495384052</v>
      </c>
      <c r="S418">
        <f t="shared" si="977"/>
        <v>-629.54567495384049</v>
      </c>
      <c r="T418">
        <f t="shared" si="978"/>
        <v>-0.62954567495384051</v>
      </c>
    </row>
    <row r="419" spans="1:20" x14ac:dyDescent="0.25">
      <c r="A419" s="5">
        <v>44174</v>
      </c>
      <c r="B419">
        <v>0.26769999999999999</v>
      </c>
      <c r="C419">
        <v>0.29470000000000002</v>
      </c>
      <c r="D419">
        <v>0.25650000000000001</v>
      </c>
      <c r="E419">
        <v>0.28749999999999998</v>
      </c>
      <c r="F419">
        <v>3119218.56</v>
      </c>
      <c r="G419">
        <v>0</v>
      </c>
      <c r="L419" t="s">
        <v>7</v>
      </c>
      <c r="M419" t="s">
        <v>8</v>
      </c>
      <c r="N419" t="s">
        <v>8</v>
      </c>
      <c r="P419">
        <f t="shared" si="974"/>
        <v>0.62303664921465773</v>
      </c>
      <c r="Q419">
        <f t="shared" si="975"/>
        <v>1943387.4797905697</v>
      </c>
      <c r="R419">
        <f t="shared" si="976"/>
        <v>-62215395.568428829</v>
      </c>
      <c r="S419">
        <f t="shared" si="977"/>
        <v>-622.15395568428835</v>
      </c>
      <c r="T419">
        <f t="shared" si="978"/>
        <v>-0.62215395568428833</v>
      </c>
    </row>
    <row r="420" spans="1:20" x14ac:dyDescent="0.25">
      <c r="A420" s="5">
        <v>44173</v>
      </c>
      <c r="B420">
        <v>0.25580000000000003</v>
      </c>
      <c r="C420">
        <v>0.30320000000000003</v>
      </c>
      <c r="D420">
        <v>0.24979999999999999</v>
      </c>
      <c r="E420">
        <v>0.26740000000000003</v>
      </c>
      <c r="F420">
        <v>2746837.93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-0.34082397003745235</v>
      </c>
      <c r="Q420">
        <f t="shared" si="975"/>
        <v>-936188.20835205773</v>
      </c>
      <c r="R420">
        <f t="shared" si="976"/>
        <v>-64158783.048219398</v>
      </c>
      <c r="S420">
        <f t="shared" si="977"/>
        <v>-641.58783048219402</v>
      </c>
      <c r="T420">
        <f t="shared" si="978"/>
        <v>-0.64158783048219403</v>
      </c>
    </row>
    <row r="421" spans="1:20" x14ac:dyDescent="0.25">
      <c r="A421" s="5">
        <v>44172</v>
      </c>
      <c r="B421">
        <v>0.2581</v>
      </c>
      <c r="C421">
        <v>0.26740000000000003</v>
      </c>
      <c r="D421">
        <v>0.25130000000000002</v>
      </c>
      <c r="E421">
        <v>0.25640000000000002</v>
      </c>
      <c r="F421">
        <v>668774.63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-0.36645962732919352</v>
      </c>
      <c r="Q421">
        <f t="shared" si="975"/>
        <v>-245078.90167701928</v>
      </c>
      <c r="R421">
        <f t="shared" si="976"/>
        <v>-63222594.839867339</v>
      </c>
      <c r="S421">
        <f t="shared" si="977"/>
        <v>-632.22594839867338</v>
      </c>
      <c r="T421">
        <f t="shared" si="978"/>
        <v>-0.63222594839867341</v>
      </c>
    </row>
    <row r="422" spans="1:20" x14ac:dyDescent="0.25">
      <c r="A422" s="5">
        <v>44171</v>
      </c>
      <c r="B422">
        <v>0.2641</v>
      </c>
      <c r="C422">
        <v>0.26619999999999999</v>
      </c>
      <c r="D422">
        <v>0.253</v>
      </c>
      <c r="E422">
        <v>0.2581</v>
      </c>
      <c r="F422">
        <v>301046.53999999998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-0.22727272727272765</v>
      </c>
      <c r="Q422">
        <f t="shared" si="975"/>
        <v>-68419.668181818299</v>
      </c>
      <c r="R422">
        <f t="shared" si="976"/>
        <v>-62977515.938190319</v>
      </c>
      <c r="S422">
        <f t="shared" si="977"/>
        <v>-629.77515938190322</v>
      </c>
      <c r="T422">
        <f t="shared" si="978"/>
        <v>-0.6297751593819032</v>
      </c>
    </row>
    <row r="423" spans="1:20" x14ac:dyDescent="0.25">
      <c r="A423" s="5">
        <v>44170</v>
      </c>
      <c r="B423">
        <v>0.2437</v>
      </c>
      <c r="C423">
        <v>0.27139999999999997</v>
      </c>
      <c r="D423">
        <v>0.2399</v>
      </c>
      <c r="E423">
        <v>0.2641</v>
      </c>
      <c r="F423">
        <v>605437.22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0.53650793650793782</v>
      </c>
      <c r="Q423">
        <f t="shared" si="975"/>
        <v>324821.87358730234</v>
      </c>
      <c r="R423">
        <f t="shared" si="976"/>
        <v>-62909096.270008497</v>
      </c>
      <c r="S423">
        <f t="shared" si="977"/>
        <v>-629.09096270008502</v>
      </c>
      <c r="T423">
        <f t="shared" si="978"/>
        <v>-0.62909096270008502</v>
      </c>
    </row>
    <row r="424" spans="1:20" x14ac:dyDescent="0.25">
      <c r="A424" s="5">
        <v>44169</v>
      </c>
      <c r="B424">
        <v>0.2596</v>
      </c>
      <c r="C424">
        <v>0.2782</v>
      </c>
      <c r="D424">
        <v>0.24160000000000001</v>
      </c>
      <c r="E424">
        <v>0.24440000000000001</v>
      </c>
      <c r="F424">
        <v>1079093.3999999999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-0.84699453551912585</v>
      </c>
      <c r="Q424">
        <f t="shared" si="975"/>
        <v>-913986.21311475418</v>
      </c>
      <c r="R424">
        <f t="shared" si="976"/>
        <v>-63233918.1435958</v>
      </c>
      <c r="S424">
        <f t="shared" si="977"/>
        <v>-632.33918143595804</v>
      </c>
      <c r="T424">
        <f t="shared" si="978"/>
        <v>-0.63233918143595802</v>
      </c>
    </row>
    <row r="425" spans="1:20" x14ac:dyDescent="0.25">
      <c r="A425" s="5">
        <v>44168</v>
      </c>
      <c r="B425">
        <v>0.2571</v>
      </c>
      <c r="C425">
        <v>0.2621</v>
      </c>
      <c r="D425">
        <v>0.2465</v>
      </c>
      <c r="E425">
        <v>0.25869999999999999</v>
      </c>
      <c r="F425">
        <v>613772.74</v>
      </c>
      <c r="G425">
        <v>0</v>
      </c>
      <c r="L425" t="s">
        <v>7</v>
      </c>
      <c r="M425" t="s">
        <v>8</v>
      </c>
      <c r="N425" t="s">
        <v>7</v>
      </c>
      <c r="P425">
        <f t="shared" si="974"/>
        <v>0.56410256410256232</v>
      </c>
      <c r="Q425">
        <f t="shared" si="975"/>
        <v>346230.77641025529</v>
      </c>
      <c r="R425">
        <f t="shared" si="976"/>
        <v>-62319931.930481046</v>
      </c>
      <c r="S425">
        <f t="shared" si="977"/>
        <v>-623.1993193048105</v>
      </c>
      <c r="T425">
        <f t="shared" si="978"/>
        <v>-0.62319931930481054</v>
      </c>
    </row>
    <row r="426" spans="1:20" x14ac:dyDescent="0.25">
      <c r="A426" s="5">
        <v>44167</v>
      </c>
      <c r="B426">
        <v>0.25240000000000001</v>
      </c>
      <c r="C426">
        <v>0.26700000000000002</v>
      </c>
      <c r="D426">
        <v>0.24959999999999999</v>
      </c>
      <c r="E426">
        <v>0.25719999999999998</v>
      </c>
      <c r="F426">
        <v>679691.35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-0.12643678160919725</v>
      </c>
      <c r="Q426">
        <f t="shared" si="975"/>
        <v>-85937.986781610452</v>
      </c>
      <c r="R426">
        <f t="shared" si="976"/>
        <v>-62666162.706891298</v>
      </c>
      <c r="S426">
        <f t="shared" si="977"/>
        <v>-626.66162706891294</v>
      </c>
      <c r="T426">
        <f t="shared" si="978"/>
        <v>-0.62666162706891293</v>
      </c>
    </row>
    <row r="427" spans="1:20" x14ac:dyDescent="0.25">
      <c r="A427" s="5">
        <v>44166</v>
      </c>
      <c r="B427">
        <v>0.26469999999999999</v>
      </c>
      <c r="C427">
        <v>0.27079999999999999</v>
      </c>
      <c r="D427">
        <v>0.2394</v>
      </c>
      <c r="E427">
        <v>0.25240000000000001</v>
      </c>
      <c r="F427">
        <v>1310332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-0.17197452229299245</v>
      </c>
      <c r="Q427">
        <f t="shared" si="975"/>
        <v>-225343.7197452214</v>
      </c>
      <c r="R427">
        <f t="shared" si="976"/>
        <v>-62580224.720109686</v>
      </c>
      <c r="S427">
        <f t="shared" si="977"/>
        <v>-625.80224720109686</v>
      </c>
      <c r="T427">
        <f t="shared" si="978"/>
        <v>-0.6258022472010969</v>
      </c>
    </row>
    <row r="428" spans="1:20" x14ac:dyDescent="0.25">
      <c r="A428" s="5">
        <v>44165</v>
      </c>
      <c r="B428">
        <v>0.25030000000000002</v>
      </c>
      <c r="C428">
        <v>0.26690000000000003</v>
      </c>
      <c r="D428">
        <v>0.2457</v>
      </c>
      <c r="E428">
        <v>0.2636</v>
      </c>
      <c r="F428">
        <v>872091.73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0.68867924528301683</v>
      </c>
      <c r="Q428">
        <f t="shared" si="975"/>
        <v>600591.47443396051</v>
      </c>
      <c r="R428">
        <f t="shared" si="976"/>
        <v>-62354881.000364468</v>
      </c>
      <c r="S428">
        <f t="shared" si="977"/>
        <v>-623.54881000364469</v>
      </c>
      <c r="T428">
        <f t="shared" si="978"/>
        <v>-0.6235488100036447</v>
      </c>
    </row>
    <row r="429" spans="1:20" x14ac:dyDescent="0.25">
      <c r="A429" s="5">
        <v>44164</v>
      </c>
      <c r="B429">
        <v>0.25940000000000002</v>
      </c>
      <c r="C429">
        <v>0.26500000000000001</v>
      </c>
      <c r="D429">
        <v>0.24779999999999999</v>
      </c>
      <c r="E429">
        <v>0.25030000000000002</v>
      </c>
      <c r="F429">
        <v>495049.61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-0.70930232558139217</v>
      </c>
      <c r="Q429">
        <f t="shared" si="975"/>
        <v>-351139.83965116122</v>
      </c>
      <c r="R429">
        <f t="shared" si="976"/>
        <v>-62955472.474798426</v>
      </c>
      <c r="S429">
        <f t="shared" si="977"/>
        <v>-629.55472474798421</v>
      </c>
      <c r="T429">
        <f t="shared" si="978"/>
        <v>-0.62955472474798424</v>
      </c>
    </row>
    <row r="430" spans="1:20" x14ac:dyDescent="0.25">
      <c r="A430" s="5">
        <v>44163</v>
      </c>
      <c r="B430">
        <v>0.26</v>
      </c>
      <c r="C430">
        <v>0.27029999999999998</v>
      </c>
      <c r="D430">
        <v>0.2482</v>
      </c>
      <c r="E430">
        <v>0.2596</v>
      </c>
      <c r="F430">
        <v>563254.14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3.1674208144796684E-2</v>
      </c>
      <c r="Q430">
        <f t="shared" si="975"/>
        <v>17840.628868778451</v>
      </c>
      <c r="R430">
        <f t="shared" si="976"/>
        <v>-62604332.635147266</v>
      </c>
      <c r="S430">
        <f t="shared" si="977"/>
        <v>-626.04332635147261</v>
      </c>
      <c r="T430">
        <f t="shared" si="978"/>
        <v>-0.62604332635147264</v>
      </c>
    </row>
    <row r="431" spans="1:20" x14ac:dyDescent="0.25">
      <c r="A431" s="5">
        <v>44162</v>
      </c>
      <c r="B431">
        <v>0.24759999999999999</v>
      </c>
      <c r="C431">
        <v>0.26900000000000002</v>
      </c>
      <c r="D431">
        <v>0.23719999999999999</v>
      </c>
      <c r="E431">
        <v>0.25890000000000002</v>
      </c>
      <c r="F431">
        <v>637136.30000000005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0.36477987421383706</v>
      </c>
      <c r="Q431">
        <f t="shared" si="975"/>
        <v>232414.49937106957</v>
      </c>
      <c r="R431">
        <f t="shared" si="976"/>
        <v>-62622173.264016047</v>
      </c>
      <c r="S431">
        <f t="shared" si="977"/>
        <v>-626.22173264016044</v>
      </c>
      <c r="T431">
        <f t="shared" si="978"/>
        <v>-0.62622173264016046</v>
      </c>
    </row>
    <row r="432" spans="1:20" x14ac:dyDescent="0.25">
      <c r="A432" s="5">
        <v>44161</v>
      </c>
      <c r="B432">
        <v>0.28570000000000001</v>
      </c>
      <c r="C432">
        <v>0.29499999999999998</v>
      </c>
      <c r="D432">
        <v>0.21310000000000001</v>
      </c>
      <c r="E432">
        <v>0.2475</v>
      </c>
      <c r="F432">
        <v>1783606.88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-0.15995115995116002</v>
      </c>
      <c r="Q432">
        <f t="shared" si="975"/>
        <v>-285289.98935286945</v>
      </c>
      <c r="R432">
        <f t="shared" si="976"/>
        <v>-62854587.763387114</v>
      </c>
      <c r="S432">
        <f t="shared" si="977"/>
        <v>-628.5458776338711</v>
      </c>
      <c r="T432">
        <f t="shared" si="978"/>
        <v>-0.62854587763387115</v>
      </c>
    </row>
    <row r="433" spans="1:20" x14ac:dyDescent="0.25">
      <c r="A433" s="5">
        <v>44160</v>
      </c>
      <c r="B433">
        <v>0.2828</v>
      </c>
      <c r="C433">
        <v>0.32429999999999998</v>
      </c>
      <c r="D433">
        <v>0.27100000000000002</v>
      </c>
      <c r="E433">
        <v>0.28449999999999998</v>
      </c>
      <c r="F433">
        <v>2355609.27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-0.49343339587242152</v>
      </c>
      <c r="Q433">
        <f t="shared" si="975"/>
        <v>-1162336.281444656</v>
      </c>
      <c r="R433">
        <f t="shared" si="976"/>
        <v>-62569297.774034247</v>
      </c>
      <c r="S433">
        <f t="shared" si="977"/>
        <v>-625.69297774034249</v>
      </c>
      <c r="T433">
        <f t="shared" si="978"/>
        <v>-0.62569297774034249</v>
      </c>
    </row>
    <row r="434" spans="1:20" x14ac:dyDescent="0.25">
      <c r="A434" s="5">
        <v>44159</v>
      </c>
      <c r="B434">
        <v>0.27129999999999999</v>
      </c>
      <c r="C434">
        <v>0.29420000000000002</v>
      </c>
      <c r="D434">
        <v>0.26669999999999999</v>
      </c>
      <c r="E434">
        <v>0.28220000000000001</v>
      </c>
      <c r="F434">
        <v>1725990.09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0.12727272727272726</v>
      </c>
      <c r="Q434">
        <f t="shared" si="975"/>
        <v>219671.46599999999</v>
      </c>
      <c r="R434">
        <f t="shared" si="976"/>
        <v>-61406961.492589593</v>
      </c>
      <c r="S434">
        <f t="shared" si="977"/>
        <v>-614.06961492589596</v>
      </c>
      <c r="T434">
        <f t="shared" si="978"/>
        <v>-0.61406961492589596</v>
      </c>
    </row>
    <row r="435" spans="1:20" x14ac:dyDescent="0.25">
      <c r="A435" s="5">
        <v>44158</v>
      </c>
      <c r="B435">
        <v>0.25490000000000002</v>
      </c>
      <c r="C435">
        <v>0.27589999999999998</v>
      </c>
      <c r="D435">
        <v>0.25019999999999998</v>
      </c>
      <c r="E435">
        <v>0.27150000000000002</v>
      </c>
      <c r="F435">
        <v>1636751.19</v>
      </c>
      <c r="G435">
        <v>0</v>
      </c>
      <c r="L435" t="s">
        <v>7</v>
      </c>
      <c r="M435" t="s">
        <v>8</v>
      </c>
      <c r="N435" t="s">
        <v>7</v>
      </c>
      <c r="P435">
        <f t="shared" si="974"/>
        <v>0.65758754863813551</v>
      </c>
      <c r="Q435">
        <f t="shared" si="975"/>
        <v>1076307.202762651</v>
      </c>
      <c r="R435">
        <f t="shared" si="976"/>
        <v>-61626632.958589591</v>
      </c>
      <c r="S435">
        <f t="shared" si="977"/>
        <v>-616.26632958589596</v>
      </c>
      <c r="T435">
        <f t="shared" si="978"/>
        <v>-0.616266329585896</v>
      </c>
    </row>
    <row r="436" spans="1:20" x14ac:dyDescent="0.25">
      <c r="A436" s="5">
        <v>44157</v>
      </c>
      <c r="B436">
        <v>0.2485</v>
      </c>
      <c r="C436">
        <v>0.27079999999999999</v>
      </c>
      <c r="D436">
        <v>0.2351</v>
      </c>
      <c r="E436">
        <v>0.25319999999999998</v>
      </c>
      <c r="F436">
        <v>2173184.7400000002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1.4005602240895601E-2</v>
      </c>
      <c r="Q436">
        <f t="shared" si="975"/>
        <v>30436.761064424129</v>
      </c>
      <c r="R436">
        <f t="shared" si="976"/>
        <v>-62702940.16135224</v>
      </c>
      <c r="S436">
        <f t="shared" si="977"/>
        <v>-627.0294016135224</v>
      </c>
      <c r="T436">
        <f t="shared" si="978"/>
        <v>-0.62702940161352239</v>
      </c>
    </row>
    <row r="437" spans="1:20" x14ac:dyDescent="0.25">
      <c r="A437" s="5">
        <v>44156</v>
      </c>
      <c r="B437">
        <v>0.2321</v>
      </c>
      <c r="C437">
        <v>0.2555</v>
      </c>
      <c r="D437">
        <v>0.22689999999999999</v>
      </c>
      <c r="E437">
        <v>0.24979999999999999</v>
      </c>
      <c r="F437">
        <v>1760330.8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0.60139860139860091</v>
      </c>
      <c r="Q437">
        <f t="shared" si="975"/>
        <v>1058660.4811188802</v>
      </c>
      <c r="R437">
        <f t="shared" si="976"/>
        <v>-62733376.922416665</v>
      </c>
      <c r="S437">
        <f t="shared" si="977"/>
        <v>-627.33376922416664</v>
      </c>
      <c r="T437">
        <f t="shared" si="978"/>
        <v>-0.62733376922416662</v>
      </c>
    </row>
    <row r="438" spans="1:20" x14ac:dyDescent="0.25">
      <c r="A438" s="5">
        <v>44155</v>
      </c>
      <c r="B438">
        <v>0.22409999999999999</v>
      </c>
      <c r="C438">
        <v>0.2409</v>
      </c>
      <c r="D438">
        <v>0.22339999999999999</v>
      </c>
      <c r="E438">
        <v>0.23169999999999999</v>
      </c>
      <c r="F438">
        <v>692319.86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-5.1428571428572066E-2</v>
      </c>
      <c r="Q438">
        <f t="shared" si="975"/>
        <v>-35605.021371429015</v>
      </c>
      <c r="R438">
        <f t="shared" si="976"/>
        <v>-63792037.403535545</v>
      </c>
      <c r="S438">
        <f t="shared" si="977"/>
        <v>-637.92037403535539</v>
      </c>
      <c r="T438">
        <f t="shared" si="978"/>
        <v>-0.6379203740353554</v>
      </c>
    </row>
    <row r="439" spans="1:20" x14ac:dyDescent="0.25">
      <c r="A439" s="5">
        <v>44154</v>
      </c>
      <c r="B439">
        <v>0.2336</v>
      </c>
      <c r="C439">
        <v>0.23899999999999999</v>
      </c>
      <c r="D439">
        <v>0.2228</v>
      </c>
      <c r="E439">
        <v>0.2233</v>
      </c>
      <c r="F439">
        <v>595281.71</v>
      </c>
      <c r="G439">
        <v>0</v>
      </c>
      <c r="L439" t="s">
        <v>8</v>
      </c>
      <c r="M439" t="s">
        <v>7</v>
      </c>
      <c r="N439" t="s">
        <v>7</v>
      </c>
      <c r="P439">
        <f t="shared" si="974"/>
        <v>-0.93827160493827155</v>
      </c>
      <c r="Q439">
        <f t="shared" si="975"/>
        <v>-558535.92543209868</v>
      </c>
      <c r="R439">
        <f t="shared" si="976"/>
        <v>-63756432.382164113</v>
      </c>
      <c r="S439">
        <f t="shared" si="977"/>
        <v>-637.5643238216411</v>
      </c>
      <c r="T439">
        <f t="shared" si="978"/>
        <v>-0.63756432382164108</v>
      </c>
    </row>
    <row r="440" spans="1:20" x14ac:dyDescent="0.25">
      <c r="A440" s="5">
        <v>44153</v>
      </c>
      <c r="B440">
        <v>0.2427</v>
      </c>
      <c r="C440">
        <v>0.2442</v>
      </c>
      <c r="D440">
        <v>0.22</v>
      </c>
      <c r="E440">
        <v>0.2344</v>
      </c>
      <c r="F440">
        <v>1282752.17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0.1900826446280989</v>
      </c>
      <c r="Q440">
        <f t="shared" si="975"/>
        <v>243828.92487603269</v>
      </c>
      <c r="R440">
        <f t="shared" si="976"/>
        <v>-63197896.456732012</v>
      </c>
      <c r="S440">
        <f t="shared" si="977"/>
        <v>-631.97896456732008</v>
      </c>
      <c r="T440">
        <f t="shared" si="978"/>
        <v>-0.63197896456732006</v>
      </c>
    </row>
    <row r="441" spans="1:20" x14ac:dyDescent="0.25">
      <c r="A441" s="5">
        <v>44152</v>
      </c>
      <c r="B441">
        <v>0.247</v>
      </c>
      <c r="C441">
        <v>0.25209999999999999</v>
      </c>
      <c r="D441">
        <v>0.23749999999999999</v>
      </c>
      <c r="E441">
        <v>0.24299999999999999</v>
      </c>
      <c r="F441">
        <v>1062391.58</v>
      </c>
      <c r="G441">
        <v>0</v>
      </c>
      <c r="L441" t="s">
        <v>8</v>
      </c>
      <c r="M441" t="s">
        <v>7</v>
      </c>
      <c r="N441" t="s">
        <v>7</v>
      </c>
      <c r="P441">
        <f t="shared" si="974"/>
        <v>-0.24657534246575286</v>
      </c>
      <c r="Q441">
        <f t="shared" si="975"/>
        <v>-261959.5676712323</v>
      </c>
      <c r="R441">
        <f t="shared" si="976"/>
        <v>-63441725.381608047</v>
      </c>
      <c r="S441">
        <f t="shared" si="977"/>
        <v>-634.41725381608046</v>
      </c>
      <c r="T441">
        <f t="shared" si="978"/>
        <v>-0.6344172538160805</v>
      </c>
    </row>
    <row r="442" spans="1:20" x14ac:dyDescent="0.25">
      <c r="A442" s="5">
        <v>44151</v>
      </c>
      <c r="B442">
        <v>0.24049999999999999</v>
      </c>
      <c r="C442">
        <v>0.25309999999999999</v>
      </c>
      <c r="D442">
        <v>0.2354</v>
      </c>
      <c r="E442">
        <v>0.247</v>
      </c>
      <c r="F442">
        <v>805555.09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0.31073446327683657</v>
      </c>
      <c r="Q442">
        <f t="shared" si="975"/>
        <v>250313.72853107378</v>
      </c>
      <c r="R442">
        <f t="shared" si="976"/>
        <v>-63179765.813936815</v>
      </c>
      <c r="S442">
        <f t="shared" si="977"/>
        <v>-631.7976581393682</v>
      </c>
      <c r="T442">
        <f t="shared" si="978"/>
        <v>-0.63179765813936817</v>
      </c>
    </row>
    <row r="443" spans="1:20" x14ac:dyDescent="0.25">
      <c r="A443" s="5">
        <v>44150</v>
      </c>
      <c r="B443">
        <v>0.23810000000000001</v>
      </c>
      <c r="C443">
        <v>0.26319999999999999</v>
      </c>
      <c r="D443">
        <v>0.2321</v>
      </c>
      <c r="E443">
        <v>0.2407</v>
      </c>
      <c r="F443">
        <v>2453403.5099999998</v>
      </c>
      <c r="G443">
        <v>0</v>
      </c>
      <c r="L443" t="s">
        <v>8</v>
      </c>
      <c r="M443" t="s">
        <v>7</v>
      </c>
      <c r="N443" t="s">
        <v>7</v>
      </c>
      <c r="P443">
        <f t="shared" si="974"/>
        <v>-0.44694533762057881</v>
      </c>
      <c r="Q443">
        <f t="shared" si="975"/>
        <v>-1096537.2600964629</v>
      </c>
      <c r="R443">
        <f t="shared" si="976"/>
        <v>-63430079.542467885</v>
      </c>
      <c r="S443">
        <f t="shared" si="977"/>
        <v>-634.30079542467888</v>
      </c>
      <c r="T443">
        <f t="shared" si="978"/>
        <v>-0.63430079542467888</v>
      </c>
    </row>
    <row r="444" spans="1:20" x14ac:dyDescent="0.25">
      <c r="A444" s="5">
        <v>44149</v>
      </c>
      <c r="B444">
        <v>0.24540000000000001</v>
      </c>
      <c r="C444">
        <v>0.25219999999999998</v>
      </c>
      <c r="D444">
        <v>0.2301</v>
      </c>
      <c r="E444">
        <v>0.23769999999999999</v>
      </c>
      <c r="F444">
        <v>843590.49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-0.31221719457013553</v>
      </c>
      <c r="Q444">
        <f t="shared" si="975"/>
        <v>-263383.45615384594</v>
      </c>
      <c r="R444">
        <f t="shared" si="976"/>
        <v>-62333542.282371424</v>
      </c>
      <c r="S444">
        <f t="shared" si="977"/>
        <v>-623.33542282371423</v>
      </c>
      <c r="T444">
        <f t="shared" si="978"/>
        <v>-0.62333542282371424</v>
      </c>
    </row>
    <row r="445" spans="1:20" x14ac:dyDescent="0.25">
      <c r="A445" s="5">
        <v>44148</v>
      </c>
      <c r="B445">
        <v>0.2422</v>
      </c>
      <c r="C445">
        <v>0.25559999999999999</v>
      </c>
      <c r="D445">
        <v>0.23910000000000001</v>
      </c>
      <c r="E445">
        <v>0.246</v>
      </c>
      <c r="F445">
        <v>1881766.03</v>
      </c>
      <c r="G445">
        <v>0</v>
      </c>
      <c r="L445" t="s">
        <v>7</v>
      </c>
      <c r="M445" t="s">
        <v>7</v>
      </c>
      <c r="N445" t="s">
        <v>7</v>
      </c>
      <c r="P445">
        <f t="shared" si="974"/>
        <v>-0.16363636363636425</v>
      </c>
      <c r="Q445">
        <f t="shared" si="975"/>
        <v>-307925.3503636375</v>
      </c>
      <c r="R445">
        <f t="shared" si="976"/>
        <v>-62070158.826217577</v>
      </c>
      <c r="S445">
        <f t="shared" si="977"/>
        <v>-620.70158826217573</v>
      </c>
      <c r="T445">
        <f t="shared" si="978"/>
        <v>-0.6207015882621757</v>
      </c>
    </row>
    <row r="446" spans="1:20" x14ac:dyDescent="0.25">
      <c r="A446" s="5">
        <v>44147</v>
      </c>
      <c r="B446">
        <v>0.29149999999999998</v>
      </c>
      <c r="C446">
        <v>0.31</v>
      </c>
      <c r="D446">
        <v>0.24049999999999999</v>
      </c>
      <c r="E446">
        <v>0.24210000000000001</v>
      </c>
      <c r="F446">
        <v>3617478.09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-0.95395683453237357</v>
      </c>
      <c r="Q446">
        <f t="shared" si="975"/>
        <v>-3450917.9477266166</v>
      </c>
      <c r="R446">
        <f t="shared" si="976"/>
        <v>-61762233.475853942</v>
      </c>
      <c r="S446">
        <f t="shared" si="977"/>
        <v>-617.62233475853941</v>
      </c>
      <c r="T446">
        <f t="shared" si="978"/>
        <v>-0.61762233475853945</v>
      </c>
    </row>
    <row r="447" spans="1:20" x14ac:dyDescent="0.25">
      <c r="A447" s="5">
        <v>44146</v>
      </c>
      <c r="B447">
        <v>0.22700000000000001</v>
      </c>
      <c r="C447">
        <v>0.3619</v>
      </c>
      <c r="D447">
        <v>0.22639999999999999</v>
      </c>
      <c r="E447">
        <v>0.2908</v>
      </c>
      <c r="F447">
        <v>10169808.050000001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-4.9446494464944528E-2</v>
      </c>
      <c r="Q447">
        <f t="shared" si="975"/>
        <v>-502861.35745387332</v>
      </c>
      <c r="R447">
        <f t="shared" si="976"/>
        <v>-58311315.528127328</v>
      </c>
      <c r="S447">
        <f t="shared" si="977"/>
        <v>-583.11315528127329</v>
      </c>
      <c r="T447">
        <f t="shared" si="978"/>
        <v>-0.58311315528127328</v>
      </c>
    </row>
    <row r="448" spans="1:20" x14ac:dyDescent="0.25">
      <c r="A448" s="5">
        <v>44145</v>
      </c>
      <c r="B448">
        <v>0.2072</v>
      </c>
      <c r="C448">
        <v>0.23799999999999999</v>
      </c>
      <c r="D448">
        <v>0.2056</v>
      </c>
      <c r="E448">
        <v>0.2286</v>
      </c>
      <c r="F448">
        <v>869175.13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0.41975308641975334</v>
      </c>
      <c r="Q448">
        <f t="shared" si="975"/>
        <v>364838.94345679035</v>
      </c>
      <c r="R448">
        <f t="shared" si="976"/>
        <v>-57808454.170673452</v>
      </c>
      <c r="S448">
        <f t="shared" si="977"/>
        <v>-578.08454170673451</v>
      </c>
      <c r="T448">
        <f t="shared" si="978"/>
        <v>-0.57808454170673451</v>
      </c>
    </row>
    <row r="449" spans="1:20" x14ac:dyDescent="0.25">
      <c r="A449" s="5">
        <v>44144</v>
      </c>
      <c r="B449">
        <v>0.21240000000000001</v>
      </c>
      <c r="C449">
        <v>0.21440000000000001</v>
      </c>
      <c r="D449">
        <v>0.2</v>
      </c>
      <c r="E449">
        <v>0.2072</v>
      </c>
      <c r="F449">
        <v>397473.57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-1.9274705288631193E-15</v>
      </c>
      <c r="Q449">
        <f t="shared" si="975"/>
        <v>-7.6611859217701205E-10</v>
      </c>
      <c r="R449">
        <f t="shared" si="976"/>
        <v>-58173293.114130244</v>
      </c>
      <c r="S449">
        <f t="shared" si="977"/>
        <v>-581.7329311413024</v>
      </c>
      <c r="T449">
        <f t="shared" si="978"/>
        <v>-0.58173293114130242</v>
      </c>
    </row>
    <row r="450" spans="1:20" x14ac:dyDescent="0.25">
      <c r="A450" s="5">
        <v>44143</v>
      </c>
      <c r="B450">
        <v>0.19980000000000001</v>
      </c>
      <c r="C450">
        <v>0.2147</v>
      </c>
      <c r="D450">
        <v>0.19789999999999999</v>
      </c>
      <c r="E450">
        <v>0.21149999999999999</v>
      </c>
      <c r="F450">
        <v>422546.84</v>
      </c>
      <c r="G450">
        <v>0</v>
      </c>
      <c r="L450" t="s">
        <v>8</v>
      </c>
      <c r="M450" t="s">
        <v>8</v>
      </c>
      <c r="N450" t="s">
        <v>7</v>
      </c>
      <c r="P450">
        <f t="shared" si="974"/>
        <v>0.61904761904761829</v>
      </c>
      <c r="Q450">
        <f t="shared" si="975"/>
        <v>261576.61523809494</v>
      </c>
      <c r="R450">
        <f t="shared" si="976"/>
        <v>-58173293.114130244</v>
      </c>
      <c r="S450">
        <f t="shared" si="977"/>
        <v>-581.7329311413024</v>
      </c>
      <c r="T450">
        <f t="shared" si="978"/>
        <v>-0.58173293114130242</v>
      </c>
    </row>
    <row r="451" spans="1:20" x14ac:dyDescent="0.25">
      <c r="A451" s="5">
        <v>44142</v>
      </c>
      <c r="B451">
        <v>0.21729999999999999</v>
      </c>
      <c r="C451">
        <v>0.2278</v>
      </c>
      <c r="D451">
        <v>0.19159999999999999</v>
      </c>
      <c r="E451">
        <v>0.19969999999999999</v>
      </c>
      <c r="F451">
        <v>1224669.57</v>
      </c>
      <c r="G451">
        <v>0</v>
      </c>
      <c r="L451" t="s">
        <v>7</v>
      </c>
      <c r="M451" t="s">
        <v>8</v>
      </c>
      <c r="N451" t="s">
        <v>7</v>
      </c>
      <c r="P451">
        <f t="shared" si="974"/>
        <v>-0.55248618784530423</v>
      </c>
      <c r="Q451">
        <f t="shared" si="975"/>
        <v>-676613.02209944802</v>
      </c>
      <c r="R451">
        <f t="shared" si="976"/>
        <v>-58434869.729368336</v>
      </c>
      <c r="S451">
        <f t="shared" si="977"/>
        <v>-584.34869729368336</v>
      </c>
      <c r="T451">
        <f t="shared" si="978"/>
        <v>-0.58434869729368333</v>
      </c>
    </row>
    <row r="452" spans="1:20" x14ac:dyDescent="0.25">
      <c r="A452" s="5">
        <v>44141</v>
      </c>
      <c r="B452">
        <v>0.2059</v>
      </c>
      <c r="C452">
        <v>0.21970000000000001</v>
      </c>
      <c r="D452">
        <v>0.20380000000000001</v>
      </c>
      <c r="E452">
        <v>0.21690000000000001</v>
      </c>
      <c r="F452">
        <v>862428.77</v>
      </c>
      <c r="G452">
        <v>0</v>
      </c>
      <c r="L452" t="s">
        <v>7</v>
      </c>
      <c r="M452" t="s">
        <v>7</v>
      </c>
      <c r="N452" t="s">
        <v>7</v>
      </c>
      <c r="P452">
        <f t="shared" si="974"/>
        <v>0.64779874213836508</v>
      </c>
      <c r="Q452">
        <f t="shared" si="975"/>
        <v>558680.27238993743</v>
      </c>
      <c r="R452">
        <f t="shared" si="976"/>
        <v>-57758256.707268886</v>
      </c>
      <c r="S452">
        <f t="shared" si="977"/>
        <v>-577.5825670726889</v>
      </c>
      <c r="T452">
        <f t="shared" si="978"/>
        <v>-0.57758256707268896</v>
      </c>
    </row>
    <row r="453" spans="1:20" x14ac:dyDescent="0.25">
      <c r="A453" s="5">
        <v>44140</v>
      </c>
      <c r="B453">
        <v>0.1933</v>
      </c>
      <c r="C453">
        <v>0.2198</v>
      </c>
      <c r="D453">
        <v>0.18859999999999999</v>
      </c>
      <c r="E453">
        <v>0.2041</v>
      </c>
      <c r="F453">
        <v>640577.88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-6.4102564102557031E-3</v>
      </c>
      <c r="Q453">
        <f t="shared" si="975"/>
        <v>-4106.2684615380085</v>
      </c>
      <c r="R453">
        <f t="shared" si="976"/>
        <v>-58316936.979658827</v>
      </c>
      <c r="S453">
        <f t="shared" si="977"/>
        <v>-583.16936979658828</v>
      </c>
      <c r="T453">
        <f t="shared" si="978"/>
        <v>-0.58316936979658829</v>
      </c>
    </row>
    <row r="454" spans="1:20" x14ac:dyDescent="0.25">
      <c r="A454" s="5">
        <v>44139</v>
      </c>
      <c r="B454">
        <v>0.20039999999999999</v>
      </c>
      <c r="C454">
        <v>0.20069999999999999</v>
      </c>
      <c r="D454">
        <v>0.18820000000000001</v>
      </c>
      <c r="E454">
        <v>0.19289999999999999</v>
      </c>
      <c r="F454">
        <v>291293.09000000003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-0.24800000000000189</v>
      </c>
      <c r="Q454">
        <f t="shared" ref="Q454:Q517" si="980">F454*P454</f>
        <v>-72240.686320000561</v>
      </c>
      <c r="R454">
        <f t="shared" ref="R454:R517" si="981">R455+Q454</f>
        <v>-58312830.711197287</v>
      </c>
      <c r="S454">
        <f t="shared" ref="S454:S517" si="982">R454/100000</f>
        <v>-583.12830711197284</v>
      </c>
      <c r="T454">
        <f t="shared" ref="T454:T517" si="983">S454/1000</f>
        <v>-0.58312830711197283</v>
      </c>
    </row>
    <row r="455" spans="1:20" x14ac:dyDescent="0.25">
      <c r="A455" s="5">
        <v>44138</v>
      </c>
      <c r="B455">
        <v>0.20830000000000001</v>
      </c>
      <c r="C455">
        <v>0.2107</v>
      </c>
      <c r="D455">
        <v>0.2</v>
      </c>
      <c r="E455">
        <v>0.20030000000000001</v>
      </c>
      <c r="F455">
        <v>294871.3</v>
      </c>
      <c r="G455">
        <v>0</v>
      </c>
      <c r="L455" t="s">
        <v>7</v>
      </c>
      <c r="M455" t="s">
        <v>8</v>
      </c>
      <c r="N455" t="s">
        <v>7</v>
      </c>
      <c r="P455">
        <f t="shared" si="979"/>
        <v>-0.9439252336448607</v>
      </c>
      <c r="Q455">
        <f t="shared" si="980"/>
        <v>-278336.4607476638</v>
      </c>
      <c r="R455">
        <f t="shared" si="981"/>
        <v>-58240590.024877287</v>
      </c>
      <c r="S455">
        <f t="shared" si="982"/>
        <v>-582.40590024877292</v>
      </c>
      <c r="T455">
        <f t="shared" si="983"/>
        <v>-0.58240590024877292</v>
      </c>
    </row>
    <row r="456" spans="1:20" x14ac:dyDescent="0.25">
      <c r="A456" s="5">
        <v>44137</v>
      </c>
      <c r="B456">
        <v>0.2114</v>
      </c>
      <c r="C456">
        <v>0.23499999999999999</v>
      </c>
      <c r="D456">
        <v>0.20030000000000001</v>
      </c>
      <c r="E456">
        <v>0.20849999999999999</v>
      </c>
      <c r="F456">
        <v>1810431.22</v>
      </c>
      <c r="G456">
        <v>0</v>
      </c>
      <c r="L456" t="s">
        <v>7</v>
      </c>
      <c r="M456" t="s">
        <v>8</v>
      </c>
      <c r="N456" t="s">
        <v>7</v>
      </c>
      <c r="P456">
        <f t="shared" si="979"/>
        <v>-0.52737752161383344</v>
      </c>
      <c r="Q456">
        <f t="shared" si="980"/>
        <v>-954780.72985590878</v>
      </c>
      <c r="R456">
        <f t="shared" si="981"/>
        <v>-57962253.564129621</v>
      </c>
      <c r="S456">
        <f t="shared" si="982"/>
        <v>-579.62253564129617</v>
      </c>
      <c r="T456">
        <f t="shared" si="983"/>
        <v>-0.57962253564129618</v>
      </c>
    </row>
    <row r="457" spans="1:20" x14ac:dyDescent="0.25">
      <c r="A457" s="5">
        <v>44136</v>
      </c>
      <c r="B457">
        <v>0.19650000000000001</v>
      </c>
      <c r="C457">
        <v>0.23499999999999999</v>
      </c>
      <c r="D457">
        <v>0.19570000000000001</v>
      </c>
      <c r="E457">
        <v>0.2114</v>
      </c>
      <c r="F457">
        <v>998424.84</v>
      </c>
      <c r="G457">
        <v>0</v>
      </c>
      <c r="L457" t="s">
        <v>8</v>
      </c>
      <c r="M457" t="s">
        <v>8</v>
      </c>
      <c r="N457" t="s">
        <v>7</v>
      </c>
      <c r="P457">
        <f t="shared" si="979"/>
        <v>-0.20101781170483449</v>
      </c>
      <c r="Q457">
        <f t="shared" si="980"/>
        <v>-200701.17648854951</v>
      </c>
      <c r="R457">
        <f t="shared" si="981"/>
        <v>-57007472.834273711</v>
      </c>
      <c r="S457">
        <f t="shared" si="982"/>
        <v>-570.0747283427371</v>
      </c>
      <c r="T457">
        <f t="shared" si="983"/>
        <v>-0.57007472834273709</v>
      </c>
    </row>
    <row r="458" spans="1:20" x14ac:dyDescent="0.25">
      <c r="A458" s="5">
        <v>44135</v>
      </c>
      <c r="B458">
        <v>0.19470000000000001</v>
      </c>
      <c r="C458">
        <v>0.20749999999999999</v>
      </c>
      <c r="D458">
        <v>0.1946</v>
      </c>
      <c r="E458">
        <v>0.19650000000000001</v>
      </c>
      <c r="F458">
        <v>167878.7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-0.70542635658914521</v>
      </c>
      <c r="Q458">
        <f t="shared" si="980"/>
        <v>-118426.05968992214</v>
      </c>
      <c r="R458">
        <f t="shared" si="981"/>
        <v>-56806771.657785162</v>
      </c>
      <c r="S458">
        <f t="shared" si="982"/>
        <v>-568.06771657785157</v>
      </c>
      <c r="T458">
        <f t="shared" si="983"/>
        <v>-0.5680677165778516</v>
      </c>
    </row>
    <row r="459" spans="1:20" x14ac:dyDescent="0.25">
      <c r="A459" s="5">
        <v>44134</v>
      </c>
      <c r="B459">
        <v>0.20050000000000001</v>
      </c>
      <c r="C459">
        <v>0.20430000000000001</v>
      </c>
      <c r="D459">
        <v>0.18990000000000001</v>
      </c>
      <c r="E459">
        <v>0.19489999999999999</v>
      </c>
      <c r="F459">
        <v>297392.59999999998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-0.30555555555555863</v>
      </c>
      <c r="Q459">
        <f t="shared" si="980"/>
        <v>-90869.961111112018</v>
      </c>
      <c r="R459">
        <f t="shared" si="981"/>
        <v>-56688345.598095238</v>
      </c>
      <c r="S459">
        <f t="shared" si="982"/>
        <v>-566.88345598095236</v>
      </c>
      <c r="T459">
        <f t="shared" si="983"/>
        <v>-0.56688345598095236</v>
      </c>
    </row>
    <row r="460" spans="1:20" x14ac:dyDescent="0.25">
      <c r="A460" s="5">
        <v>44133</v>
      </c>
      <c r="B460">
        <v>0.21279999999999999</v>
      </c>
      <c r="C460">
        <v>0.23469999999999999</v>
      </c>
      <c r="D460">
        <v>0.2006</v>
      </c>
      <c r="E460">
        <v>0.2016</v>
      </c>
      <c r="F460">
        <v>517335.38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-0.94134897360703806</v>
      </c>
      <c r="Q460">
        <f t="shared" si="980"/>
        <v>-486993.12897360703</v>
      </c>
      <c r="R460">
        <f t="shared" si="981"/>
        <v>-56597475.636984125</v>
      </c>
      <c r="S460">
        <f t="shared" si="982"/>
        <v>-565.9747563698412</v>
      </c>
      <c r="T460">
        <f t="shared" si="983"/>
        <v>-0.56597475636984118</v>
      </c>
    </row>
    <row r="461" spans="1:20" x14ac:dyDescent="0.25">
      <c r="A461" s="5">
        <v>44132</v>
      </c>
      <c r="B461">
        <v>0.23200000000000001</v>
      </c>
      <c r="C461">
        <v>0.2359</v>
      </c>
      <c r="D461">
        <v>0.2094</v>
      </c>
      <c r="E461">
        <v>0.21279999999999999</v>
      </c>
      <c r="F461">
        <v>376307.02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-0.74339622641509528</v>
      </c>
      <c r="Q461">
        <f t="shared" si="980"/>
        <v>-279745.21864150983</v>
      </c>
      <c r="R461">
        <f t="shared" si="981"/>
        <v>-56110482.508010514</v>
      </c>
      <c r="S461">
        <f t="shared" si="982"/>
        <v>-561.10482508010512</v>
      </c>
      <c r="T461">
        <f t="shared" si="983"/>
        <v>-0.56110482508010506</v>
      </c>
    </row>
    <row r="462" spans="1:20" x14ac:dyDescent="0.25">
      <c r="A462" s="5">
        <v>44131</v>
      </c>
      <c r="B462">
        <v>0.23369999999999999</v>
      </c>
      <c r="C462">
        <v>0.23480000000000001</v>
      </c>
      <c r="D462">
        <v>0.2276</v>
      </c>
      <c r="E462">
        <v>0.2329</v>
      </c>
      <c r="F462">
        <v>293043.95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0.47222222222221955</v>
      </c>
      <c r="Q462">
        <f t="shared" si="980"/>
        <v>138381.86527777699</v>
      </c>
      <c r="R462">
        <f t="shared" si="981"/>
        <v>-55830737.289369002</v>
      </c>
      <c r="S462">
        <f t="shared" si="982"/>
        <v>-558.30737289369006</v>
      </c>
      <c r="T462">
        <f t="shared" si="983"/>
        <v>-0.55830737289369003</v>
      </c>
    </row>
    <row r="463" spans="1:20" x14ac:dyDescent="0.25">
      <c r="A463" s="5">
        <v>44130</v>
      </c>
      <c r="B463">
        <v>0.23549999999999999</v>
      </c>
      <c r="C463">
        <v>0.24390000000000001</v>
      </c>
      <c r="D463">
        <v>0.2321</v>
      </c>
      <c r="E463">
        <v>0.2336</v>
      </c>
      <c r="F463">
        <v>352783.13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-0.74576271186440668</v>
      </c>
      <c r="Q463">
        <f t="shared" si="980"/>
        <v>-263092.50372881355</v>
      </c>
      <c r="R463">
        <f t="shared" si="981"/>
        <v>-55969119.154646777</v>
      </c>
      <c r="S463">
        <f t="shared" si="982"/>
        <v>-559.69119154646773</v>
      </c>
      <c r="T463">
        <f t="shared" si="983"/>
        <v>-0.55969119154646774</v>
      </c>
    </row>
    <row r="464" spans="1:20" x14ac:dyDescent="0.25">
      <c r="A464" s="5">
        <v>44129</v>
      </c>
      <c r="B464">
        <v>0.24479999999999999</v>
      </c>
      <c r="C464">
        <v>0.2472</v>
      </c>
      <c r="D464">
        <v>0.23469999999999999</v>
      </c>
      <c r="E464">
        <v>0.23549999999999999</v>
      </c>
      <c r="F464">
        <v>246110.25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-0.87200000000000089</v>
      </c>
      <c r="Q464">
        <f t="shared" si="980"/>
        <v>-214608.13800000021</v>
      </c>
      <c r="R464">
        <f t="shared" si="981"/>
        <v>-55706026.650917962</v>
      </c>
      <c r="S464">
        <f t="shared" si="982"/>
        <v>-557.06026650917966</v>
      </c>
      <c r="T464">
        <f t="shared" si="983"/>
        <v>-0.55706026650917961</v>
      </c>
    </row>
    <row r="465" spans="1:20" x14ac:dyDescent="0.25">
      <c r="A465" s="5">
        <v>44128</v>
      </c>
      <c r="B465">
        <v>0.2392</v>
      </c>
      <c r="C465">
        <v>0.24690000000000001</v>
      </c>
      <c r="D465">
        <v>0.23699999999999999</v>
      </c>
      <c r="E465">
        <v>0.24540000000000001</v>
      </c>
      <c r="F465">
        <v>267543.40999999997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0.69696969696969735</v>
      </c>
      <c r="Q465">
        <f t="shared" si="980"/>
        <v>186469.64939393947</v>
      </c>
      <c r="R465">
        <f t="shared" si="981"/>
        <v>-55491418.512917966</v>
      </c>
      <c r="S465">
        <f t="shared" si="982"/>
        <v>-554.9141851291796</v>
      </c>
      <c r="T465">
        <f t="shared" si="983"/>
        <v>-0.55491418512917956</v>
      </c>
    </row>
    <row r="466" spans="1:20" x14ac:dyDescent="0.25">
      <c r="A466" s="5">
        <v>44127</v>
      </c>
      <c r="B466">
        <v>0.24540000000000001</v>
      </c>
      <c r="C466">
        <v>0.24829999999999999</v>
      </c>
      <c r="D466">
        <v>0.2389</v>
      </c>
      <c r="E466">
        <v>0.23980000000000001</v>
      </c>
      <c r="F466">
        <v>313388.21000000002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-0.80851063829786962</v>
      </c>
      <c r="Q466">
        <f t="shared" si="980"/>
        <v>-253377.70170212683</v>
      </c>
      <c r="R466">
        <f t="shared" si="981"/>
        <v>-55677888.162311904</v>
      </c>
      <c r="S466">
        <f t="shared" si="982"/>
        <v>-556.77888162311899</v>
      </c>
      <c r="T466">
        <f t="shared" si="983"/>
        <v>-0.55677888162311895</v>
      </c>
    </row>
    <row r="467" spans="1:20" x14ac:dyDescent="0.25">
      <c r="A467" s="5">
        <v>44126</v>
      </c>
      <c r="B467">
        <v>0.24299999999999999</v>
      </c>
      <c r="C467">
        <v>0.25169999999999998</v>
      </c>
      <c r="D467">
        <v>0.24099999999999999</v>
      </c>
      <c r="E467">
        <v>0.246</v>
      </c>
      <c r="F467">
        <v>235354.58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-6.5420560747661616E-2</v>
      </c>
      <c r="Q467">
        <f t="shared" si="980"/>
        <v>-15397.028598130384</v>
      </c>
      <c r="R467">
        <f t="shared" si="981"/>
        <v>-55424510.460609779</v>
      </c>
      <c r="S467">
        <f t="shared" si="982"/>
        <v>-554.24510460609781</v>
      </c>
      <c r="T467">
        <f t="shared" si="983"/>
        <v>-0.55424510460609777</v>
      </c>
    </row>
    <row r="468" spans="1:20" x14ac:dyDescent="0.25">
      <c r="A468" s="5">
        <v>44125</v>
      </c>
      <c r="B468">
        <v>0.2329</v>
      </c>
      <c r="C468">
        <v>0.2482</v>
      </c>
      <c r="D468">
        <v>0.23230000000000001</v>
      </c>
      <c r="E468">
        <v>0.24399999999999999</v>
      </c>
      <c r="F468">
        <v>387473.79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0.4716981132075459</v>
      </c>
      <c r="Q468">
        <f t="shared" si="980"/>
        <v>182770.65566037685</v>
      </c>
      <c r="R468">
        <f t="shared" si="981"/>
        <v>-55409113.432011649</v>
      </c>
      <c r="S468">
        <f t="shared" si="982"/>
        <v>-554.09113432011645</v>
      </c>
      <c r="T468">
        <f t="shared" si="983"/>
        <v>-0.55409113432011647</v>
      </c>
    </row>
    <row r="469" spans="1:20" x14ac:dyDescent="0.25">
      <c r="A469" s="5">
        <v>44124</v>
      </c>
      <c r="B469">
        <v>0.25090000000000001</v>
      </c>
      <c r="C469">
        <v>0.25090000000000001</v>
      </c>
      <c r="D469">
        <v>0.23169999999999999</v>
      </c>
      <c r="E469">
        <v>0.2339</v>
      </c>
      <c r="F469">
        <v>419539.15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-0.77083333333333282</v>
      </c>
      <c r="Q469">
        <f t="shared" si="980"/>
        <v>-323394.76145833312</v>
      </c>
      <c r="R469">
        <f t="shared" si="981"/>
        <v>-55591884.087672025</v>
      </c>
      <c r="S469">
        <f t="shared" si="982"/>
        <v>-555.9188408767202</v>
      </c>
      <c r="T469">
        <f t="shared" si="983"/>
        <v>-0.55591884087672017</v>
      </c>
    </row>
    <row r="470" spans="1:20" x14ac:dyDescent="0.25">
      <c r="A470" s="5">
        <v>44123</v>
      </c>
      <c r="B470">
        <v>0.25430000000000003</v>
      </c>
      <c r="C470">
        <v>0.25679999999999997</v>
      </c>
      <c r="D470">
        <v>0.249</v>
      </c>
      <c r="E470">
        <v>0.25119999999999998</v>
      </c>
      <c r="F470">
        <v>185997.01</v>
      </c>
      <c r="G470">
        <v>0</v>
      </c>
      <c r="L470" t="s">
        <v>7</v>
      </c>
      <c r="M470" t="s">
        <v>8</v>
      </c>
      <c r="N470" t="s">
        <v>8</v>
      </c>
      <c r="P470">
        <f t="shared" si="979"/>
        <v>-0.43589743589743918</v>
      </c>
      <c r="Q470">
        <f t="shared" si="980"/>
        <v>-81075.61974359036</v>
      </c>
      <c r="R470">
        <f t="shared" si="981"/>
        <v>-55268489.326213695</v>
      </c>
      <c r="S470">
        <f t="shared" si="982"/>
        <v>-552.68489326213694</v>
      </c>
      <c r="T470">
        <f t="shared" si="983"/>
        <v>-0.55268489326213699</v>
      </c>
    </row>
    <row r="471" spans="1:20" x14ac:dyDescent="0.25">
      <c r="A471" s="5">
        <v>44122</v>
      </c>
      <c r="B471">
        <v>0.24829999999999999</v>
      </c>
      <c r="C471">
        <v>0.25669999999999998</v>
      </c>
      <c r="D471">
        <v>0.248</v>
      </c>
      <c r="E471">
        <v>0.25419999999999998</v>
      </c>
      <c r="F471">
        <v>172203.48</v>
      </c>
      <c r="G471">
        <v>0</v>
      </c>
      <c r="L471" t="s">
        <v>7</v>
      </c>
      <c r="M471" t="s">
        <v>8</v>
      </c>
      <c r="N471" t="s">
        <v>8</v>
      </c>
      <c r="P471">
        <f t="shared" si="979"/>
        <v>0.42528735632183762</v>
      </c>
      <c r="Q471">
        <f t="shared" si="980"/>
        <v>73235.962758620444</v>
      </c>
      <c r="R471">
        <f t="shared" si="981"/>
        <v>-55187413.706470102</v>
      </c>
      <c r="S471">
        <f t="shared" si="982"/>
        <v>-551.87413706470102</v>
      </c>
      <c r="T471">
        <f t="shared" si="983"/>
        <v>-0.55187413706470101</v>
      </c>
    </row>
    <row r="472" spans="1:20" x14ac:dyDescent="0.25">
      <c r="A472" s="5">
        <v>44121</v>
      </c>
      <c r="B472">
        <v>0.24929999999999999</v>
      </c>
      <c r="C472">
        <v>0.25209999999999999</v>
      </c>
      <c r="D472">
        <v>0.24790000000000001</v>
      </c>
      <c r="E472">
        <v>0.24840000000000001</v>
      </c>
      <c r="F472">
        <v>112764.05</v>
      </c>
      <c r="G472">
        <v>0</v>
      </c>
      <c r="L472" t="s">
        <v>7</v>
      </c>
      <c r="M472" t="s">
        <v>8</v>
      </c>
      <c r="N472" t="s">
        <v>8</v>
      </c>
      <c r="P472">
        <f t="shared" si="979"/>
        <v>-0.76190476190476064</v>
      </c>
      <c r="Q472">
        <f t="shared" si="980"/>
        <v>-85915.466666666529</v>
      </c>
      <c r="R472">
        <f t="shared" si="981"/>
        <v>-55260649.669228725</v>
      </c>
      <c r="S472">
        <f t="shared" si="982"/>
        <v>-552.60649669228724</v>
      </c>
      <c r="T472">
        <f t="shared" si="983"/>
        <v>-0.55260649669228723</v>
      </c>
    </row>
    <row r="473" spans="1:20" x14ac:dyDescent="0.25">
      <c r="A473" s="5">
        <v>44120</v>
      </c>
      <c r="B473">
        <v>0.26889999999999997</v>
      </c>
      <c r="C473">
        <v>0.26889999999999997</v>
      </c>
      <c r="D473">
        <v>0.2492</v>
      </c>
      <c r="E473">
        <v>0.24940000000000001</v>
      </c>
      <c r="F473">
        <v>473145.77</v>
      </c>
      <c r="G473">
        <v>0</v>
      </c>
      <c r="L473" t="s">
        <v>7</v>
      </c>
      <c r="M473" t="s">
        <v>8</v>
      </c>
      <c r="N473" t="s">
        <v>8</v>
      </c>
      <c r="P473">
        <f t="shared" si="979"/>
        <v>-0.9796954314720806</v>
      </c>
      <c r="Q473">
        <f t="shared" si="980"/>
        <v>-463538.74928933982</v>
      </c>
      <c r="R473">
        <f t="shared" si="981"/>
        <v>-55174734.202562056</v>
      </c>
      <c r="S473">
        <f t="shared" si="982"/>
        <v>-551.74734202562058</v>
      </c>
      <c r="T473">
        <f t="shared" si="983"/>
        <v>-0.55174734202562059</v>
      </c>
    </row>
    <row r="474" spans="1:20" x14ac:dyDescent="0.25">
      <c r="A474" s="5">
        <v>44119</v>
      </c>
      <c r="B474">
        <v>0.25940000000000002</v>
      </c>
      <c r="C474">
        <v>0.2747</v>
      </c>
      <c r="D474">
        <v>0.25719999999999998</v>
      </c>
      <c r="E474">
        <v>0.26869999999999999</v>
      </c>
      <c r="F474">
        <v>336786.73</v>
      </c>
      <c r="G474">
        <v>0</v>
      </c>
      <c r="L474" t="s">
        <v>7</v>
      </c>
      <c r="M474" t="s">
        <v>8</v>
      </c>
      <c r="N474" t="s">
        <v>8</v>
      </c>
      <c r="P474">
        <f t="shared" si="979"/>
        <v>0.31428571428571428</v>
      </c>
      <c r="Q474">
        <f t="shared" si="980"/>
        <v>105847.25799999999</v>
      </c>
      <c r="R474">
        <f t="shared" si="981"/>
        <v>-54711195.453272715</v>
      </c>
      <c r="S474">
        <f t="shared" si="982"/>
        <v>-547.11195453272717</v>
      </c>
      <c r="T474">
        <f t="shared" si="983"/>
        <v>-0.54711195453272721</v>
      </c>
    </row>
    <row r="475" spans="1:20" x14ac:dyDescent="0.25">
      <c r="A475" s="5">
        <v>44118</v>
      </c>
      <c r="B475">
        <v>0.26640000000000003</v>
      </c>
      <c r="C475">
        <v>0.26939999999999997</v>
      </c>
      <c r="D475">
        <v>0.25779999999999997</v>
      </c>
      <c r="E475">
        <v>0.26140000000000002</v>
      </c>
      <c r="F475">
        <v>153475.51999999999</v>
      </c>
      <c r="G475">
        <v>0</v>
      </c>
      <c r="L475" t="s">
        <v>7</v>
      </c>
      <c r="M475" t="s">
        <v>8</v>
      </c>
      <c r="N475" t="s">
        <v>8</v>
      </c>
      <c r="P475">
        <f t="shared" si="979"/>
        <v>-0.37931034482757797</v>
      </c>
      <c r="Q475">
        <f t="shared" si="980"/>
        <v>-58214.852413791836</v>
      </c>
      <c r="R475">
        <f t="shared" si="981"/>
        <v>-54817042.711272717</v>
      </c>
      <c r="S475">
        <f t="shared" si="982"/>
        <v>-548.17042711272711</v>
      </c>
      <c r="T475">
        <f t="shared" si="983"/>
        <v>-0.54817042711272712</v>
      </c>
    </row>
    <row r="476" spans="1:20" x14ac:dyDescent="0.25">
      <c r="A476" s="5">
        <v>44117</v>
      </c>
      <c r="B476">
        <v>0.27410000000000001</v>
      </c>
      <c r="C476">
        <v>0.27439999999999998</v>
      </c>
      <c r="D476">
        <v>0.26400000000000001</v>
      </c>
      <c r="E476">
        <v>0.26640000000000003</v>
      </c>
      <c r="F476">
        <v>346835.87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-0.53846153846153433</v>
      </c>
      <c r="Q476">
        <f t="shared" si="980"/>
        <v>-186757.77615384472</v>
      </c>
      <c r="R476">
        <f t="shared" si="981"/>
        <v>-54758827.858858928</v>
      </c>
      <c r="S476">
        <f t="shared" si="982"/>
        <v>-547.58827858858933</v>
      </c>
      <c r="T476">
        <f t="shared" si="983"/>
        <v>-0.54758827858858938</v>
      </c>
    </row>
    <row r="477" spans="1:20" x14ac:dyDescent="0.25">
      <c r="A477" s="5">
        <v>44116</v>
      </c>
      <c r="B477">
        <v>0.27229999999999999</v>
      </c>
      <c r="C477">
        <v>0.28029999999999999</v>
      </c>
      <c r="D477">
        <v>0.26790000000000003</v>
      </c>
      <c r="E477">
        <v>0.2727</v>
      </c>
      <c r="F477">
        <v>338641.39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-0.22580645161290583</v>
      </c>
      <c r="Q477">
        <f t="shared" si="980"/>
        <v>-76467.410645162177</v>
      </c>
      <c r="R477">
        <f t="shared" si="981"/>
        <v>-54572070.082705081</v>
      </c>
      <c r="S477">
        <f t="shared" si="982"/>
        <v>-545.72070082705079</v>
      </c>
      <c r="T477">
        <f t="shared" si="983"/>
        <v>-0.54572070082705082</v>
      </c>
    </row>
    <row r="478" spans="1:20" x14ac:dyDescent="0.25">
      <c r="A478" s="5">
        <v>44115</v>
      </c>
      <c r="B478">
        <v>0.27639999999999998</v>
      </c>
      <c r="C478">
        <v>0.27810000000000001</v>
      </c>
      <c r="D478">
        <v>0.26879999999999998</v>
      </c>
      <c r="E478">
        <v>0.27300000000000002</v>
      </c>
      <c r="F478">
        <v>225551.31</v>
      </c>
      <c r="G478">
        <v>0</v>
      </c>
      <c r="L478" t="s">
        <v>8</v>
      </c>
      <c r="M478" t="s">
        <v>8</v>
      </c>
      <c r="N478" t="s">
        <v>8</v>
      </c>
      <c r="P478">
        <f t="shared" si="979"/>
        <v>-9.6774193548382084E-2</v>
      </c>
      <c r="Q478">
        <f t="shared" si="980"/>
        <v>-21827.546129031129</v>
      </c>
      <c r="R478">
        <f t="shared" si="981"/>
        <v>-54495602.672059916</v>
      </c>
      <c r="S478">
        <f t="shared" si="982"/>
        <v>-544.9560267205992</v>
      </c>
      <c r="T478">
        <f t="shared" si="983"/>
        <v>-0.54495602672059917</v>
      </c>
    </row>
    <row r="479" spans="1:20" x14ac:dyDescent="0.25">
      <c r="A479" s="5">
        <v>44114</v>
      </c>
      <c r="B479">
        <v>0.27189999999999998</v>
      </c>
      <c r="C479">
        <v>0.2823</v>
      </c>
      <c r="D479">
        <v>0.27139999999999997</v>
      </c>
      <c r="E479">
        <v>0.27779999999999999</v>
      </c>
      <c r="F479">
        <v>474466.14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0.17431192660550543</v>
      </c>
      <c r="Q479">
        <f t="shared" si="980"/>
        <v>82705.106972477472</v>
      </c>
      <c r="R479">
        <f t="shared" si="981"/>
        <v>-54473775.125930883</v>
      </c>
      <c r="S479">
        <f t="shared" si="982"/>
        <v>-544.73775125930888</v>
      </c>
      <c r="T479">
        <f t="shared" si="983"/>
        <v>-0.5447377512593089</v>
      </c>
    </row>
    <row r="480" spans="1:20" x14ac:dyDescent="0.25">
      <c r="A480" s="5">
        <v>44113</v>
      </c>
      <c r="B480">
        <v>0.2601</v>
      </c>
      <c r="C480">
        <v>0.27379999999999999</v>
      </c>
      <c r="D480">
        <v>0.25769999999999998</v>
      </c>
      <c r="E480">
        <v>0.27189999999999998</v>
      </c>
      <c r="F480">
        <v>243884.14</v>
      </c>
      <c r="G480">
        <v>0</v>
      </c>
      <c r="L480" t="s">
        <v>8</v>
      </c>
      <c r="M480" t="s">
        <v>7</v>
      </c>
      <c r="N480" t="s">
        <v>8</v>
      </c>
      <c r="P480">
        <f t="shared" si="979"/>
        <v>0.76397515527950155</v>
      </c>
      <c r="Q480">
        <f t="shared" si="980"/>
        <v>186321.4237267077</v>
      </c>
      <c r="R480">
        <f t="shared" si="981"/>
        <v>-54556480.232903361</v>
      </c>
      <c r="S480">
        <f t="shared" si="982"/>
        <v>-545.56480232903357</v>
      </c>
      <c r="T480">
        <f t="shared" si="983"/>
        <v>-0.54556480232903359</v>
      </c>
    </row>
    <row r="481" spans="1:20" x14ac:dyDescent="0.25">
      <c r="A481" s="5">
        <v>44112</v>
      </c>
      <c r="B481">
        <v>0.25829999999999997</v>
      </c>
      <c r="C481">
        <v>0.26540000000000002</v>
      </c>
      <c r="D481">
        <v>0.2492</v>
      </c>
      <c r="E481">
        <v>0.25990000000000002</v>
      </c>
      <c r="F481">
        <v>160364.07</v>
      </c>
      <c r="G481">
        <v>0</v>
      </c>
      <c r="L481" t="s">
        <v>8</v>
      </c>
      <c r="M481" t="s">
        <v>7</v>
      </c>
      <c r="N481" t="s">
        <v>8</v>
      </c>
      <c r="P481">
        <f t="shared" si="979"/>
        <v>0.32098765432098791</v>
      </c>
      <c r="Q481">
        <f t="shared" si="980"/>
        <v>51474.886666666709</v>
      </c>
      <c r="R481">
        <f t="shared" si="981"/>
        <v>-54742801.656630069</v>
      </c>
      <c r="S481">
        <f t="shared" si="982"/>
        <v>-547.4280165663007</v>
      </c>
      <c r="T481">
        <f t="shared" si="983"/>
        <v>-0.54742801656630069</v>
      </c>
    </row>
    <row r="482" spans="1:20" x14ac:dyDescent="0.25">
      <c r="A482" s="5">
        <v>44111</v>
      </c>
      <c r="B482">
        <v>0.24909999999999999</v>
      </c>
      <c r="C482">
        <v>0.26029999999999998</v>
      </c>
      <c r="D482">
        <v>0.24229999999999999</v>
      </c>
      <c r="E482">
        <v>0.25950000000000001</v>
      </c>
      <c r="F482">
        <v>181442.35</v>
      </c>
      <c r="G482">
        <v>0</v>
      </c>
      <c r="L482" t="s">
        <v>7</v>
      </c>
      <c r="M482" t="s">
        <v>7</v>
      </c>
      <c r="N482" t="s">
        <v>8</v>
      </c>
      <c r="P482">
        <f t="shared" si="979"/>
        <v>0.91111111111111465</v>
      </c>
      <c r="Q482">
        <f t="shared" si="980"/>
        <v>165314.14111111176</v>
      </c>
      <c r="R482">
        <f t="shared" si="981"/>
        <v>-54794276.543296732</v>
      </c>
      <c r="S482">
        <f t="shared" si="982"/>
        <v>-547.94276543296735</v>
      </c>
      <c r="T482">
        <f t="shared" si="983"/>
        <v>-0.54794276543296738</v>
      </c>
    </row>
    <row r="483" spans="1:20" x14ac:dyDescent="0.25">
      <c r="A483" s="5">
        <v>44110</v>
      </c>
      <c r="B483">
        <v>0.27150000000000002</v>
      </c>
      <c r="C483">
        <v>0.2732</v>
      </c>
      <c r="D483">
        <v>0.2462</v>
      </c>
      <c r="E483">
        <v>0.24970000000000001</v>
      </c>
      <c r="F483">
        <v>314571.59999999998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-0.74074074074074048</v>
      </c>
      <c r="Q483">
        <f t="shared" si="980"/>
        <v>-233015.99999999991</v>
      </c>
      <c r="R483">
        <f t="shared" si="981"/>
        <v>-54959590.684407845</v>
      </c>
      <c r="S483">
        <f t="shared" si="982"/>
        <v>-549.5959068440784</v>
      </c>
      <c r="T483">
        <f t="shared" si="983"/>
        <v>-0.54959590684407844</v>
      </c>
    </row>
    <row r="484" spans="1:20" x14ac:dyDescent="0.25">
      <c r="A484" s="5">
        <v>44109</v>
      </c>
      <c r="B484">
        <v>0.27910000000000001</v>
      </c>
      <c r="C484">
        <v>0.28179999999999999</v>
      </c>
      <c r="D484">
        <v>0.27039999999999997</v>
      </c>
      <c r="E484">
        <v>0.2712</v>
      </c>
      <c r="F484">
        <v>170563.41</v>
      </c>
      <c r="G484">
        <v>0</v>
      </c>
      <c r="L484" t="s">
        <v>7</v>
      </c>
      <c r="M484" t="s">
        <v>8</v>
      </c>
      <c r="N484" t="s">
        <v>8</v>
      </c>
      <c r="P484">
        <f t="shared" si="979"/>
        <v>-0.85964912280701378</v>
      </c>
      <c r="Q484">
        <f t="shared" si="980"/>
        <v>-146624.68578947303</v>
      </c>
      <c r="R484">
        <f t="shared" si="981"/>
        <v>-54726574.684407845</v>
      </c>
      <c r="S484">
        <f t="shared" si="982"/>
        <v>-547.26574684407842</v>
      </c>
      <c r="T484">
        <f t="shared" si="983"/>
        <v>-0.54726574684407847</v>
      </c>
    </row>
    <row r="485" spans="1:20" x14ac:dyDescent="0.25">
      <c r="A485" s="5">
        <v>44108</v>
      </c>
      <c r="B485">
        <v>0.27760000000000001</v>
      </c>
      <c r="C485">
        <v>0.28179999999999999</v>
      </c>
      <c r="D485">
        <v>0.26950000000000002</v>
      </c>
      <c r="E485">
        <v>0.28010000000000002</v>
      </c>
      <c r="F485">
        <v>109134.81</v>
      </c>
      <c r="G485">
        <v>0</v>
      </c>
      <c r="L485" t="s">
        <v>7</v>
      </c>
      <c r="M485" t="s">
        <v>8</v>
      </c>
      <c r="N485" t="s">
        <v>8</v>
      </c>
      <c r="P485">
        <f t="shared" si="979"/>
        <v>0.72357723577236055</v>
      </c>
      <c r="Q485">
        <f t="shared" si="980"/>
        <v>78967.464146341765</v>
      </c>
      <c r="R485">
        <f t="shared" si="981"/>
        <v>-54579949.998618372</v>
      </c>
      <c r="S485">
        <f t="shared" si="982"/>
        <v>-545.79949998618372</v>
      </c>
      <c r="T485">
        <f t="shared" si="983"/>
        <v>-0.54579949998618371</v>
      </c>
    </row>
    <row r="486" spans="1:20" x14ac:dyDescent="0.25">
      <c r="A486" s="5">
        <v>44107</v>
      </c>
      <c r="B486">
        <v>0.26779999999999998</v>
      </c>
      <c r="C486">
        <v>0.3</v>
      </c>
      <c r="D486">
        <v>0.26440000000000002</v>
      </c>
      <c r="E486">
        <v>0.27829999999999999</v>
      </c>
      <c r="F486">
        <v>905496.29</v>
      </c>
      <c r="G486">
        <v>0</v>
      </c>
      <c r="L486" t="s">
        <v>8</v>
      </c>
      <c r="M486" t="s">
        <v>8</v>
      </c>
      <c r="N486" t="s">
        <v>8</v>
      </c>
      <c r="P486">
        <f t="shared" si="979"/>
        <v>-0.21910112359550665</v>
      </c>
      <c r="Q486">
        <f t="shared" si="980"/>
        <v>-198395.25455056273</v>
      </c>
      <c r="R486">
        <f t="shared" si="981"/>
        <v>-54658917.46276471</v>
      </c>
      <c r="S486">
        <f t="shared" si="982"/>
        <v>-546.58917462764714</v>
      </c>
      <c r="T486">
        <f t="shared" si="983"/>
        <v>-0.54658917462764711</v>
      </c>
    </row>
    <row r="487" spans="1:20" x14ac:dyDescent="0.25">
      <c r="A487" s="5">
        <v>44106</v>
      </c>
      <c r="B487">
        <v>0.2747</v>
      </c>
      <c r="C487">
        <v>0.27800000000000002</v>
      </c>
      <c r="D487">
        <v>0.251</v>
      </c>
      <c r="E487">
        <v>0.2671</v>
      </c>
      <c r="F487">
        <v>553005.42000000004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0.19259259259259176</v>
      </c>
      <c r="Q487">
        <f t="shared" si="980"/>
        <v>106504.74755555511</v>
      </c>
      <c r="R487">
        <f t="shared" si="981"/>
        <v>-54460522.208214149</v>
      </c>
      <c r="S487">
        <f t="shared" si="982"/>
        <v>-544.60522208214149</v>
      </c>
      <c r="T487">
        <f t="shared" si="983"/>
        <v>-0.54460522208214146</v>
      </c>
    </row>
    <row r="488" spans="1:20" x14ac:dyDescent="0.25">
      <c r="A488" s="5">
        <v>44105</v>
      </c>
      <c r="B488">
        <v>0.2777</v>
      </c>
      <c r="C488">
        <v>0.315</v>
      </c>
      <c r="D488">
        <v>0.26989999999999997</v>
      </c>
      <c r="E488">
        <v>0.27550000000000002</v>
      </c>
      <c r="F488">
        <v>1355958.53</v>
      </c>
      <c r="G488">
        <v>0</v>
      </c>
      <c r="L488" t="s">
        <v>7</v>
      </c>
      <c r="M488" t="s">
        <v>7</v>
      </c>
      <c r="N488" t="s">
        <v>8</v>
      </c>
      <c r="P488">
        <f t="shared" si="979"/>
        <v>-0.75166297117516423</v>
      </c>
      <c r="Q488">
        <f t="shared" si="980"/>
        <v>-1019223.8174501081</v>
      </c>
      <c r="R488">
        <f t="shared" si="981"/>
        <v>-54567026.955769703</v>
      </c>
      <c r="S488">
        <f t="shared" si="982"/>
        <v>-545.670269557697</v>
      </c>
      <c r="T488">
        <f t="shared" si="983"/>
        <v>-0.54567026955769704</v>
      </c>
    </row>
    <row r="489" spans="1:20" x14ac:dyDescent="0.25">
      <c r="A489" s="5">
        <v>44104</v>
      </c>
      <c r="B489">
        <v>0.28410000000000002</v>
      </c>
      <c r="C489">
        <v>0.28420000000000001</v>
      </c>
      <c r="D489">
        <v>0.27100000000000002</v>
      </c>
      <c r="E489">
        <v>0.27779999999999999</v>
      </c>
      <c r="F489">
        <v>442893.2</v>
      </c>
      <c r="G489">
        <v>0</v>
      </c>
      <c r="L489" t="s">
        <v>7</v>
      </c>
      <c r="M489" t="s">
        <v>7</v>
      </c>
      <c r="N489" t="s">
        <v>8</v>
      </c>
      <c r="P489">
        <f t="shared" si="979"/>
        <v>3.0303030303026991E-2</v>
      </c>
      <c r="Q489">
        <f t="shared" si="980"/>
        <v>13421.006060604594</v>
      </c>
      <c r="R489">
        <f t="shared" si="981"/>
        <v>-53547803.138319597</v>
      </c>
      <c r="S489">
        <f t="shared" si="982"/>
        <v>-535.47803138319591</v>
      </c>
      <c r="T489">
        <f t="shared" si="983"/>
        <v>-0.53547803138319594</v>
      </c>
    </row>
    <row r="490" spans="1:20" x14ac:dyDescent="0.25">
      <c r="A490" s="5">
        <v>44103</v>
      </c>
      <c r="B490">
        <v>0.29509999999999997</v>
      </c>
      <c r="C490">
        <v>0.31369999999999998</v>
      </c>
      <c r="D490">
        <v>0.27229999999999999</v>
      </c>
      <c r="E490">
        <v>0.28399999999999997</v>
      </c>
      <c r="F490">
        <v>1387771.49</v>
      </c>
      <c r="G490">
        <v>0</v>
      </c>
      <c r="L490" t="s">
        <v>7</v>
      </c>
      <c r="M490" t="s">
        <v>7</v>
      </c>
      <c r="N490" t="s">
        <v>8</v>
      </c>
      <c r="P490">
        <f t="shared" si="979"/>
        <v>-0.43478260869565266</v>
      </c>
      <c r="Q490">
        <f t="shared" si="980"/>
        <v>-603378.90869565285</v>
      </c>
      <c r="R490">
        <f t="shared" si="981"/>
        <v>-53561224.144380204</v>
      </c>
      <c r="S490">
        <f t="shared" si="982"/>
        <v>-535.61224144380208</v>
      </c>
      <c r="T490">
        <f t="shared" si="983"/>
        <v>-0.53561224144380204</v>
      </c>
    </row>
    <row r="491" spans="1:20" x14ac:dyDescent="0.25">
      <c r="A491" s="5">
        <v>44102</v>
      </c>
      <c r="B491">
        <v>0.26279999999999998</v>
      </c>
      <c r="C491">
        <v>0.33439999999999998</v>
      </c>
      <c r="D491">
        <v>0.26229999999999998</v>
      </c>
      <c r="E491">
        <v>0.29699999999999999</v>
      </c>
      <c r="F491">
        <v>2234152.86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-3.7447988904299311E-2</v>
      </c>
      <c r="Q491">
        <f t="shared" si="980"/>
        <v>-83664.531511788562</v>
      </c>
      <c r="R491">
        <f t="shared" si="981"/>
        <v>-52957845.235684551</v>
      </c>
      <c r="S491">
        <f t="shared" si="982"/>
        <v>-529.57845235684556</v>
      </c>
      <c r="T491">
        <f t="shared" si="983"/>
        <v>-0.52957845235684553</v>
      </c>
    </row>
    <row r="492" spans="1:20" x14ac:dyDescent="0.25">
      <c r="A492" s="5">
        <v>44101</v>
      </c>
      <c r="B492">
        <v>0.25950000000000001</v>
      </c>
      <c r="C492">
        <v>0.26519999999999999</v>
      </c>
      <c r="D492">
        <v>0.24660000000000001</v>
      </c>
      <c r="E492">
        <v>0.26229999999999998</v>
      </c>
      <c r="F492">
        <v>240460.85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0.68817204301075086</v>
      </c>
      <c r="Q492">
        <f t="shared" si="980"/>
        <v>165478.43440860172</v>
      </c>
      <c r="R492">
        <f t="shared" si="981"/>
        <v>-52874180.70417276</v>
      </c>
      <c r="S492">
        <f t="shared" si="982"/>
        <v>-528.74180704172761</v>
      </c>
      <c r="T492">
        <f t="shared" si="983"/>
        <v>-0.52874180704172757</v>
      </c>
    </row>
    <row r="493" spans="1:20" x14ac:dyDescent="0.25">
      <c r="A493" s="5">
        <v>44100</v>
      </c>
      <c r="B493">
        <v>0.25509999999999999</v>
      </c>
      <c r="C493">
        <v>0.2621</v>
      </c>
      <c r="D493">
        <v>0.25359999999999999</v>
      </c>
      <c r="E493">
        <v>0.25969999999999999</v>
      </c>
      <c r="F493">
        <v>250993.2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0.43529411764705622</v>
      </c>
      <c r="Q493">
        <f t="shared" si="980"/>
        <v>109255.86352941112</v>
      </c>
      <c r="R493">
        <f t="shared" si="981"/>
        <v>-53039659.138581365</v>
      </c>
      <c r="S493">
        <f t="shared" si="982"/>
        <v>-530.39659138581362</v>
      </c>
      <c r="T493">
        <f t="shared" si="983"/>
        <v>-0.53039659138581363</v>
      </c>
    </row>
    <row r="494" spans="1:20" x14ac:dyDescent="0.25">
      <c r="A494" s="5">
        <v>44099</v>
      </c>
      <c r="B494">
        <v>0.26040000000000002</v>
      </c>
      <c r="C494">
        <v>0.26119999999999999</v>
      </c>
      <c r="D494">
        <v>0.24129999999999999</v>
      </c>
      <c r="E494">
        <v>0.25530000000000003</v>
      </c>
      <c r="F494">
        <v>788513.23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0.40703517587940097</v>
      </c>
      <c r="Q494">
        <f t="shared" si="980"/>
        <v>320952.62125628453</v>
      </c>
      <c r="R494">
        <f t="shared" si="981"/>
        <v>-53148915.002110779</v>
      </c>
      <c r="S494">
        <f t="shared" si="982"/>
        <v>-531.48915002110778</v>
      </c>
      <c r="T494">
        <f t="shared" si="983"/>
        <v>-0.53148915002110775</v>
      </c>
    </row>
    <row r="495" spans="1:20" x14ac:dyDescent="0.25">
      <c r="A495" s="5">
        <v>44098</v>
      </c>
      <c r="B495">
        <v>0.2465</v>
      </c>
      <c r="C495">
        <v>0.26200000000000001</v>
      </c>
      <c r="D495">
        <v>0.24310000000000001</v>
      </c>
      <c r="E495">
        <v>0.26150000000000001</v>
      </c>
      <c r="F495">
        <v>664414.49</v>
      </c>
      <c r="G495">
        <v>0</v>
      </c>
      <c r="L495" t="s">
        <v>7</v>
      </c>
      <c r="M495" t="s">
        <v>8</v>
      </c>
      <c r="N495" t="s">
        <v>7</v>
      </c>
      <c r="P495">
        <f t="shared" si="979"/>
        <v>0.94708994708994709</v>
      </c>
      <c r="Q495">
        <f t="shared" si="980"/>
        <v>629260.28417989414</v>
      </c>
      <c r="R495">
        <f t="shared" si="981"/>
        <v>-53469867.623367064</v>
      </c>
      <c r="S495">
        <f t="shared" si="982"/>
        <v>-534.69867623367065</v>
      </c>
      <c r="T495">
        <f t="shared" si="983"/>
        <v>-0.53469867623367062</v>
      </c>
    </row>
    <row r="496" spans="1:20" x14ac:dyDescent="0.25">
      <c r="A496" s="5">
        <v>44097</v>
      </c>
      <c r="B496">
        <v>0.24959999999999999</v>
      </c>
      <c r="C496">
        <v>0.28810000000000002</v>
      </c>
      <c r="D496">
        <v>0.24</v>
      </c>
      <c r="E496">
        <v>0.2452</v>
      </c>
      <c r="F496">
        <v>977138</v>
      </c>
      <c r="G496">
        <v>0</v>
      </c>
      <c r="L496" t="s">
        <v>8</v>
      </c>
      <c r="M496" t="s">
        <v>8</v>
      </c>
      <c r="N496" t="s">
        <v>7</v>
      </c>
      <c r="P496">
        <f t="shared" si="979"/>
        <v>-0.78378378378378355</v>
      </c>
      <c r="Q496">
        <f t="shared" si="980"/>
        <v>-765864.9189189187</v>
      </c>
      <c r="R496">
        <f t="shared" si="981"/>
        <v>-54099127.90754696</v>
      </c>
      <c r="S496">
        <f t="shared" si="982"/>
        <v>-540.99127907546961</v>
      </c>
      <c r="T496">
        <f t="shared" si="983"/>
        <v>-0.54099127907546962</v>
      </c>
    </row>
    <row r="497" spans="1:20" x14ac:dyDescent="0.25">
      <c r="A497" s="5">
        <v>44096</v>
      </c>
      <c r="B497">
        <v>0.2424</v>
      </c>
      <c r="C497">
        <v>0.25269999999999998</v>
      </c>
      <c r="D497">
        <v>0.23430000000000001</v>
      </c>
      <c r="E497">
        <v>0.24959999999999999</v>
      </c>
      <c r="F497">
        <v>345750.42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0.66304347826086996</v>
      </c>
      <c r="Q497">
        <f t="shared" si="980"/>
        <v>229247.56108695664</v>
      </c>
      <c r="R497">
        <f t="shared" si="981"/>
        <v>-53333262.988628045</v>
      </c>
      <c r="S497">
        <f t="shared" si="982"/>
        <v>-533.33262988628042</v>
      </c>
      <c r="T497">
        <f t="shared" si="983"/>
        <v>-0.53333262988628038</v>
      </c>
    </row>
    <row r="498" spans="1:20" x14ac:dyDescent="0.25">
      <c r="A498" s="5">
        <v>44095</v>
      </c>
      <c r="B498">
        <v>0.26290000000000002</v>
      </c>
      <c r="C498">
        <v>0.27200000000000002</v>
      </c>
      <c r="D498">
        <v>0.2306</v>
      </c>
      <c r="E498">
        <v>0.2424</v>
      </c>
      <c r="F498">
        <v>689609.43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-0.42995169082125606</v>
      </c>
      <c r="Q498">
        <f t="shared" si="980"/>
        <v>-296498.74043478264</v>
      </c>
      <c r="R498">
        <f t="shared" si="981"/>
        <v>-53562510.549715005</v>
      </c>
      <c r="S498">
        <f t="shared" si="982"/>
        <v>-535.62510549715</v>
      </c>
      <c r="T498">
        <f t="shared" si="983"/>
        <v>-0.53562510549715003</v>
      </c>
    </row>
    <row r="499" spans="1:20" x14ac:dyDescent="0.25">
      <c r="A499" s="5">
        <v>44094</v>
      </c>
      <c r="B499">
        <v>0.26889999999999997</v>
      </c>
      <c r="C499">
        <v>0.2712</v>
      </c>
      <c r="D499">
        <v>0.2555</v>
      </c>
      <c r="E499">
        <v>0.26329999999999998</v>
      </c>
      <c r="F499">
        <v>425337.9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-6.3694267515951941E-3</v>
      </c>
      <c r="Q499">
        <f t="shared" si="980"/>
        <v>-2709.1585987273215</v>
      </c>
      <c r="R499">
        <f t="shared" si="981"/>
        <v>-53266011.809280224</v>
      </c>
      <c r="S499">
        <f t="shared" si="982"/>
        <v>-532.66011809280224</v>
      </c>
      <c r="T499">
        <f t="shared" si="983"/>
        <v>-0.53266011809280223</v>
      </c>
    </row>
    <row r="500" spans="1:20" x14ac:dyDescent="0.25">
      <c r="A500" s="5">
        <v>44093</v>
      </c>
      <c r="B500">
        <v>0.26840000000000003</v>
      </c>
      <c r="C500">
        <v>0.27950000000000003</v>
      </c>
      <c r="D500">
        <v>0.26250000000000001</v>
      </c>
      <c r="E500">
        <v>0.26779999999999998</v>
      </c>
      <c r="F500">
        <v>637425.68999999994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-0.37647058823529805</v>
      </c>
      <c r="Q500">
        <f t="shared" si="980"/>
        <v>-239972.02447059072</v>
      </c>
      <c r="R500">
        <f t="shared" si="981"/>
        <v>-53263302.650681496</v>
      </c>
      <c r="S500">
        <f t="shared" si="982"/>
        <v>-532.63302650681499</v>
      </c>
      <c r="T500">
        <f t="shared" si="983"/>
        <v>-0.53263302650681499</v>
      </c>
    </row>
    <row r="501" spans="1:20" x14ac:dyDescent="0.25">
      <c r="A501" s="5">
        <v>44092</v>
      </c>
      <c r="B501">
        <v>0.26719999999999999</v>
      </c>
      <c r="C501">
        <v>0.2787</v>
      </c>
      <c r="D501">
        <v>0.2641</v>
      </c>
      <c r="E501">
        <v>0.26800000000000002</v>
      </c>
      <c r="F501">
        <v>449064.26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-0.46575342465753233</v>
      </c>
      <c r="Q501">
        <f t="shared" si="980"/>
        <v>-209153.21698630051</v>
      </c>
      <c r="R501">
        <f t="shared" si="981"/>
        <v>-53023330.626210906</v>
      </c>
      <c r="S501">
        <f t="shared" si="982"/>
        <v>-530.23330626210907</v>
      </c>
      <c r="T501">
        <f t="shared" si="983"/>
        <v>-0.53023330626210907</v>
      </c>
    </row>
    <row r="502" spans="1:20" x14ac:dyDescent="0.25">
      <c r="A502" s="5">
        <v>44091</v>
      </c>
      <c r="B502">
        <v>0.2767</v>
      </c>
      <c r="C502">
        <v>0.2843</v>
      </c>
      <c r="D502">
        <v>0.26300000000000001</v>
      </c>
      <c r="E502">
        <v>0.26700000000000002</v>
      </c>
      <c r="F502">
        <v>581328.52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-0.62441314553990557</v>
      </c>
      <c r="Q502">
        <f t="shared" si="980"/>
        <v>-362989.16976525792</v>
      </c>
      <c r="R502">
        <f t="shared" si="981"/>
        <v>-52814177.409224607</v>
      </c>
      <c r="S502">
        <f t="shared" si="982"/>
        <v>-528.14177409224612</v>
      </c>
      <c r="T502">
        <f t="shared" si="983"/>
        <v>-0.52814177409224616</v>
      </c>
    </row>
    <row r="503" spans="1:20" x14ac:dyDescent="0.25">
      <c r="A503" s="5">
        <v>44090</v>
      </c>
      <c r="B503">
        <v>0.27339999999999998</v>
      </c>
      <c r="C503">
        <v>0.28560000000000002</v>
      </c>
      <c r="D503">
        <v>0.2611</v>
      </c>
      <c r="E503">
        <v>0.27779999999999999</v>
      </c>
      <c r="F503">
        <v>697079.63</v>
      </c>
      <c r="G503">
        <v>0</v>
      </c>
      <c r="L503" t="s">
        <v>8</v>
      </c>
      <c r="M503" t="s">
        <v>7</v>
      </c>
      <c r="N503" t="s">
        <v>7</v>
      </c>
      <c r="P503">
        <f t="shared" si="979"/>
        <v>0.36326530612244717</v>
      </c>
      <c r="Q503">
        <f t="shared" si="980"/>
        <v>253224.84518367221</v>
      </c>
      <c r="R503">
        <f t="shared" si="981"/>
        <v>-52451188.239459351</v>
      </c>
      <c r="S503">
        <f t="shared" si="982"/>
        <v>-524.5118823945935</v>
      </c>
      <c r="T503">
        <f t="shared" si="983"/>
        <v>-0.52451188239459345</v>
      </c>
    </row>
    <row r="504" spans="1:20" x14ac:dyDescent="0.25">
      <c r="A504" s="5">
        <v>44089</v>
      </c>
      <c r="B504">
        <v>0.29709999999999998</v>
      </c>
      <c r="C504">
        <v>0.29949999999999999</v>
      </c>
      <c r="D504">
        <v>0.26479999999999998</v>
      </c>
      <c r="E504">
        <v>0.27400000000000002</v>
      </c>
      <c r="F504">
        <v>1032506.78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-0.46974063400576144</v>
      </c>
      <c r="Q504">
        <f t="shared" si="980"/>
        <v>-485010.38945244724</v>
      </c>
      <c r="R504">
        <f t="shared" si="981"/>
        <v>-52704413.084643021</v>
      </c>
      <c r="S504">
        <f t="shared" si="982"/>
        <v>-527.04413084643022</v>
      </c>
      <c r="T504">
        <f t="shared" si="983"/>
        <v>-0.5270441308464302</v>
      </c>
    </row>
    <row r="505" spans="1:20" x14ac:dyDescent="0.25">
      <c r="A505" s="5">
        <v>44088</v>
      </c>
      <c r="B505">
        <v>0.30030000000000001</v>
      </c>
      <c r="C505">
        <v>0.30890000000000001</v>
      </c>
      <c r="D505">
        <v>0.29249999999999998</v>
      </c>
      <c r="E505">
        <v>0.29899999999999999</v>
      </c>
      <c r="F505">
        <v>567308.55000000005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-0.20731707317073225</v>
      </c>
      <c r="Q505">
        <f t="shared" si="980"/>
        <v>-117612.74817073203</v>
      </c>
      <c r="R505">
        <f t="shared" si="981"/>
        <v>-52219402.695190571</v>
      </c>
      <c r="S505">
        <f t="shared" si="982"/>
        <v>-522.1940269519057</v>
      </c>
      <c r="T505">
        <f t="shared" si="983"/>
        <v>-0.52219402695190564</v>
      </c>
    </row>
    <row r="506" spans="1:20" x14ac:dyDescent="0.25">
      <c r="A506" s="5">
        <v>44087</v>
      </c>
      <c r="B506">
        <v>0.33169999999999999</v>
      </c>
      <c r="C506">
        <v>0.3327</v>
      </c>
      <c r="D506">
        <v>0.29449999999999998</v>
      </c>
      <c r="E506">
        <v>0.30099999999999999</v>
      </c>
      <c r="F506">
        <v>500060.71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-0.65968586387434536</v>
      </c>
      <c r="Q506">
        <f t="shared" si="980"/>
        <v>-329882.98146596848</v>
      </c>
      <c r="R506">
        <f t="shared" si="981"/>
        <v>-52101789.947019838</v>
      </c>
      <c r="S506">
        <f t="shared" si="982"/>
        <v>-521.01789947019836</v>
      </c>
      <c r="T506">
        <f t="shared" si="983"/>
        <v>-0.52101789947019839</v>
      </c>
    </row>
    <row r="507" spans="1:20" x14ac:dyDescent="0.25">
      <c r="A507" s="5">
        <v>44086</v>
      </c>
      <c r="B507">
        <v>0.33760000000000001</v>
      </c>
      <c r="C507">
        <v>0.3397</v>
      </c>
      <c r="D507">
        <v>0.3201</v>
      </c>
      <c r="E507">
        <v>0.33179999999999998</v>
      </c>
      <c r="F507">
        <v>632751.55000000005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0.19387755102040657</v>
      </c>
      <c r="Q507">
        <f t="shared" si="980"/>
        <v>122676.32091836636</v>
      </c>
      <c r="R507">
        <f t="shared" si="981"/>
        <v>-51771906.965553872</v>
      </c>
      <c r="S507">
        <f t="shared" si="982"/>
        <v>-517.71906965553876</v>
      </c>
      <c r="T507">
        <f t="shared" si="983"/>
        <v>-0.51771906965553871</v>
      </c>
    </row>
    <row r="508" spans="1:20" x14ac:dyDescent="0.25">
      <c r="A508" s="5">
        <v>44085</v>
      </c>
      <c r="B508">
        <v>0.32750000000000001</v>
      </c>
      <c r="C508">
        <v>0.34</v>
      </c>
      <c r="D508">
        <v>0.31769999999999998</v>
      </c>
      <c r="E508">
        <v>0.33960000000000001</v>
      </c>
      <c r="F508">
        <v>405513.03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0.9641255605381156</v>
      </c>
      <c r="Q508">
        <f t="shared" si="980"/>
        <v>390965.4773542597</v>
      </c>
      <c r="R508">
        <f t="shared" si="981"/>
        <v>-51894583.286472239</v>
      </c>
      <c r="S508">
        <f t="shared" si="982"/>
        <v>-518.94583286472243</v>
      </c>
      <c r="T508">
        <f t="shared" si="983"/>
        <v>-0.5189458328647224</v>
      </c>
    </row>
    <row r="509" spans="1:20" x14ac:dyDescent="0.25">
      <c r="A509" s="5">
        <v>44084</v>
      </c>
      <c r="B509">
        <v>0.31380000000000002</v>
      </c>
      <c r="C509">
        <v>0.32950000000000002</v>
      </c>
      <c r="D509">
        <v>0.308</v>
      </c>
      <c r="E509">
        <v>0.32619999999999999</v>
      </c>
      <c r="F509">
        <v>577679.68000000005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0.69302325581395141</v>
      </c>
      <c r="Q509">
        <f t="shared" si="980"/>
        <v>400345.45265116164</v>
      </c>
      <c r="R509">
        <f t="shared" si="981"/>
        <v>-52285548.763826497</v>
      </c>
      <c r="S509">
        <f t="shared" si="982"/>
        <v>-522.855487638265</v>
      </c>
      <c r="T509">
        <f t="shared" si="983"/>
        <v>-0.52285548763826495</v>
      </c>
    </row>
    <row r="510" spans="1:20" x14ac:dyDescent="0.25">
      <c r="A510" s="5">
        <v>44083</v>
      </c>
      <c r="B510">
        <v>0.29749999999999999</v>
      </c>
      <c r="C510">
        <v>0.3196</v>
      </c>
      <c r="D510">
        <v>0.29060000000000002</v>
      </c>
      <c r="E510">
        <v>0.3145</v>
      </c>
      <c r="F510">
        <v>285220.08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0.64827586206896559</v>
      </c>
      <c r="Q510">
        <f t="shared" si="980"/>
        <v>184901.29324137935</v>
      </c>
      <c r="R510">
        <f t="shared" si="981"/>
        <v>-52685894.216477655</v>
      </c>
      <c r="S510">
        <f t="shared" si="982"/>
        <v>-526.85894216477652</v>
      </c>
      <c r="T510">
        <f t="shared" si="983"/>
        <v>-0.52685894216477647</v>
      </c>
    </row>
    <row r="511" spans="1:20" x14ac:dyDescent="0.25">
      <c r="A511" s="5">
        <v>44082</v>
      </c>
      <c r="B511">
        <v>0.30480000000000002</v>
      </c>
      <c r="C511">
        <v>0.3196</v>
      </c>
      <c r="D511">
        <v>0.28939999999999999</v>
      </c>
      <c r="E511">
        <v>0.29709999999999998</v>
      </c>
      <c r="F511">
        <v>725642.83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-0.49006622516556403</v>
      </c>
      <c r="Q511">
        <f t="shared" si="980"/>
        <v>-355613.04251655709</v>
      </c>
      <c r="R511">
        <f t="shared" si="981"/>
        <v>-52870795.509719037</v>
      </c>
      <c r="S511">
        <f t="shared" si="982"/>
        <v>-528.70795509719039</v>
      </c>
      <c r="T511">
        <f t="shared" si="983"/>
        <v>-0.52870795509719037</v>
      </c>
    </row>
    <row r="512" spans="1:20" x14ac:dyDescent="0.25">
      <c r="A512" s="5">
        <v>44081</v>
      </c>
      <c r="B512">
        <v>0.30909999999999999</v>
      </c>
      <c r="C512">
        <v>0.31080000000000002</v>
      </c>
      <c r="D512">
        <v>0.27650000000000002</v>
      </c>
      <c r="E512">
        <v>0.30480000000000002</v>
      </c>
      <c r="F512">
        <v>418971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0.65014577259475181</v>
      </c>
      <c r="Q512">
        <f t="shared" si="980"/>
        <v>272392.22448979574</v>
      </c>
      <c r="R512">
        <f t="shared" si="981"/>
        <v>-52515182.467202477</v>
      </c>
      <c r="S512">
        <f t="shared" si="982"/>
        <v>-525.15182467202476</v>
      </c>
      <c r="T512">
        <f t="shared" si="983"/>
        <v>-0.52515182467202481</v>
      </c>
    </row>
    <row r="513" spans="1:20" x14ac:dyDescent="0.25">
      <c r="A513" s="5">
        <v>44080</v>
      </c>
      <c r="B513">
        <v>0.29420000000000002</v>
      </c>
      <c r="C513">
        <v>0.31940000000000002</v>
      </c>
      <c r="D513">
        <v>0.27379999999999999</v>
      </c>
      <c r="E513">
        <v>0.30959999999999999</v>
      </c>
      <c r="F513">
        <v>820929.2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0.57017543859649011</v>
      </c>
      <c r="Q513">
        <f t="shared" si="980"/>
        <v>468073.6666666657</v>
      </c>
      <c r="R513">
        <f t="shared" si="981"/>
        <v>-52787574.69169227</v>
      </c>
      <c r="S513">
        <f t="shared" si="982"/>
        <v>-527.87574691692271</v>
      </c>
      <c r="T513">
        <f t="shared" si="983"/>
        <v>-0.52787574691692274</v>
      </c>
    </row>
    <row r="514" spans="1:20" x14ac:dyDescent="0.25">
      <c r="A514" s="5">
        <v>44079</v>
      </c>
      <c r="B514">
        <v>0.34310000000000002</v>
      </c>
      <c r="C514">
        <v>0.35560000000000003</v>
      </c>
      <c r="D514">
        <v>0.27079999999999999</v>
      </c>
      <c r="E514">
        <v>0.29549999999999998</v>
      </c>
      <c r="F514">
        <v>965888.25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-0.41745283018867951</v>
      </c>
      <c r="Q514">
        <f t="shared" si="980"/>
        <v>-403212.78360849083</v>
      </c>
      <c r="R514">
        <f t="shared" si="981"/>
        <v>-53255648.358358935</v>
      </c>
      <c r="S514">
        <f t="shared" si="982"/>
        <v>-532.5564835835894</v>
      </c>
      <c r="T514">
        <f t="shared" si="983"/>
        <v>-0.53255648358358942</v>
      </c>
    </row>
    <row r="515" spans="1:20" x14ac:dyDescent="0.25">
      <c r="A515" s="5">
        <v>44078</v>
      </c>
      <c r="B515">
        <v>0.32329999999999998</v>
      </c>
      <c r="C515">
        <v>0.35310000000000002</v>
      </c>
      <c r="D515">
        <v>0.3125</v>
      </c>
      <c r="E515">
        <v>0.34229999999999999</v>
      </c>
      <c r="F515">
        <v>970458.35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0.46798029556650123</v>
      </c>
      <c r="Q515">
        <f t="shared" si="980"/>
        <v>454155.38546797907</v>
      </c>
      <c r="R515">
        <f t="shared" si="981"/>
        <v>-52852435.574750446</v>
      </c>
      <c r="S515">
        <f t="shared" si="982"/>
        <v>-528.5243557475045</v>
      </c>
      <c r="T515">
        <f t="shared" si="983"/>
        <v>-0.52852435574750445</v>
      </c>
    </row>
    <row r="516" spans="1:20" x14ac:dyDescent="0.25">
      <c r="A516" s="5">
        <v>44077</v>
      </c>
      <c r="B516">
        <v>0.43419999999999997</v>
      </c>
      <c r="C516">
        <v>0.44219999999999998</v>
      </c>
      <c r="D516">
        <v>0.32079999999999997</v>
      </c>
      <c r="E516">
        <v>0.32329999999999998</v>
      </c>
      <c r="F516">
        <v>1848814.19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-0.95881383855024704</v>
      </c>
      <c r="Q516">
        <f t="shared" si="980"/>
        <v>-1772668.6302800658</v>
      </c>
      <c r="R516">
        <f t="shared" si="981"/>
        <v>-53306590.960218422</v>
      </c>
      <c r="S516">
        <f t="shared" si="982"/>
        <v>-533.06590960218421</v>
      </c>
      <c r="T516">
        <f t="shared" si="983"/>
        <v>-0.53306590960218425</v>
      </c>
    </row>
    <row r="517" spans="1:20" x14ac:dyDescent="0.25">
      <c r="A517" s="5">
        <v>44076</v>
      </c>
      <c r="B517">
        <v>0.45429999999999998</v>
      </c>
      <c r="C517">
        <v>0.46379999999999999</v>
      </c>
      <c r="D517">
        <v>0.42059999999999997</v>
      </c>
      <c r="E517">
        <v>0.43519999999999998</v>
      </c>
      <c r="F517">
        <v>637794.43999999994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-0.32407407407407424</v>
      </c>
      <c r="Q517">
        <f t="shared" si="980"/>
        <v>-206692.64259259269</v>
      </c>
      <c r="R517">
        <f t="shared" si="981"/>
        <v>-51533922.32993836</v>
      </c>
      <c r="S517">
        <f t="shared" si="982"/>
        <v>-515.33922329938355</v>
      </c>
      <c r="T517">
        <f t="shared" si="983"/>
        <v>-0.51533922329938353</v>
      </c>
    </row>
    <row r="518" spans="1:20" x14ac:dyDescent="0.25">
      <c r="A518" s="5">
        <v>44075</v>
      </c>
      <c r="B518">
        <v>0.46210000000000001</v>
      </c>
      <c r="C518">
        <v>0.46739999999999998</v>
      </c>
      <c r="D518">
        <v>0.44929999999999998</v>
      </c>
      <c r="E518">
        <v>0.45490000000000003</v>
      </c>
      <c r="F518">
        <v>399194.4</v>
      </c>
      <c r="G518">
        <v>0</v>
      </c>
      <c r="L518" t="s">
        <v>7</v>
      </c>
      <c r="M518" t="s">
        <v>8</v>
      </c>
      <c r="N518" t="s">
        <v>7</v>
      </c>
      <c r="P518">
        <f t="shared" ref="P518:P581" si="984">IF(C518=D518,0,((E518-D518)-(C518-E518))/(C518-D518))</f>
        <v>-0.38121546961325437</v>
      </c>
      <c r="Q518">
        <f t="shared" ref="Q518:Q581" si="985">F518*P518</f>
        <v>-152179.08066298132</v>
      </c>
      <c r="R518">
        <f t="shared" ref="R518:R581" si="986">R519+Q518</f>
        <v>-51327229.687345766</v>
      </c>
      <c r="S518">
        <f t="shared" ref="S518:S581" si="987">R518/100000</f>
        <v>-513.27229687345766</v>
      </c>
      <c r="T518">
        <f t="shared" ref="T518:T581" si="988">S518/1000</f>
        <v>-0.51327229687345766</v>
      </c>
    </row>
    <row r="519" spans="1:20" x14ac:dyDescent="0.25">
      <c r="A519" s="5">
        <v>44074</v>
      </c>
      <c r="B519">
        <v>0.46939999999999998</v>
      </c>
      <c r="C519">
        <v>0.47439999999999999</v>
      </c>
      <c r="D519">
        <v>0.46160000000000001</v>
      </c>
      <c r="E519">
        <v>0.46229999999999999</v>
      </c>
      <c r="F519">
        <v>449977.85</v>
      </c>
      <c r="G519">
        <v>0</v>
      </c>
      <c r="L519" t="s">
        <v>7</v>
      </c>
      <c r="M519" t="s">
        <v>8</v>
      </c>
      <c r="N519" t="s">
        <v>7</v>
      </c>
      <c r="P519">
        <f t="shared" si="984"/>
        <v>-0.89062500000000322</v>
      </c>
      <c r="Q519">
        <f t="shared" si="985"/>
        <v>-400761.52265625144</v>
      </c>
      <c r="R519">
        <f t="shared" si="986"/>
        <v>-51175050.606682785</v>
      </c>
      <c r="S519">
        <f t="shared" si="987"/>
        <v>-511.75050606682782</v>
      </c>
      <c r="T519">
        <f t="shared" si="988"/>
        <v>-0.51175050606682781</v>
      </c>
    </row>
    <row r="520" spans="1:20" x14ac:dyDescent="0.25">
      <c r="A520" s="5">
        <v>44073</v>
      </c>
      <c r="B520">
        <v>0.50029999999999997</v>
      </c>
      <c r="C520">
        <v>0.50149999999999995</v>
      </c>
      <c r="D520">
        <v>0.46750000000000003</v>
      </c>
      <c r="E520">
        <v>0.46920000000000001</v>
      </c>
      <c r="F520">
        <v>641887.61</v>
      </c>
      <c r="G520">
        <v>0</v>
      </c>
      <c r="L520" t="s">
        <v>7</v>
      </c>
      <c r="M520" t="s">
        <v>8</v>
      </c>
      <c r="N520" t="s">
        <v>7</v>
      </c>
      <c r="P520">
        <f t="shared" si="984"/>
        <v>-0.90000000000000102</v>
      </c>
      <c r="Q520">
        <f t="shared" si="985"/>
        <v>-577698.84900000063</v>
      </c>
      <c r="R520">
        <f t="shared" si="986"/>
        <v>-50774289.08402653</v>
      </c>
      <c r="S520">
        <f t="shared" si="987"/>
        <v>-507.74289084026532</v>
      </c>
      <c r="T520">
        <f t="shared" si="988"/>
        <v>-0.50774289084026536</v>
      </c>
    </row>
    <row r="521" spans="1:20" x14ac:dyDescent="0.25">
      <c r="A521" s="5">
        <v>44072</v>
      </c>
      <c r="B521">
        <v>0.45100000000000001</v>
      </c>
      <c r="C521">
        <v>0.51259999999999994</v>
      </c>
      <c r="D521">
        <v>0.4446</v>
      </c>
      <c r="E521">
        <v>0.50029999999999997</v>
      </c>
      <c r="F521">
        <v>1967780.69</v>
      </c>
      <c r="G521">
        <v>0</v>
      </c>
      <c r="L521" t="s">
        <v>8</v>
      </c>
      <c r="M521" t="s">
        <v>8</v>
      </c>
      <c r="N521" t="s">
        <v>7</v>
      </c>
      <c r="P521">
        <f t="shared" si="984"/>
        <v>0.63823529411764746</v>
      </c>
      <c r="Q521">
        <f t="shared" si="985"/>
        <v>1255907.0874411771</v>
      </c>
      <c r="R521">
        <f t="shared" si="986"/>
        <v>-50196590.235026531</v>
      </c>
      <c r="S521">
        <f t="shared" si="987"/>
        <v>-501.96590235026531</v>
      </c>
      <c r="T521">
        <f t="shared" si="988"/>
        <v>-0.50196590235026528</v>
      </c>
    </row>
    <row r="522" spans="1:20" x14ac:dyDescent="0.25">
      <c r="A522" s="5">
        <v>44071</v>
      </c>
      <c r="B522">
        <v>0.43330000000000002</v>
      </c>
      <c r="C522">
        <v>0.45440000000000003</v>
      </c>
      <c r="D522">
        <v>0.43159999999999998</v>
      </c>
      <c r="E522">
        <v>0.4521</v>
      </c>
      <c r="F522">
        <v>253930.66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0.79824561403508598</v>
      </c>
      <c r="Q522">
        <f t="shared" si="985"/>
        <v>202699.03561403466</v>
      </c>
      <c r="R522">
        <f t="shared" si="986"/>
        <v>-51452497.322467707</v>
      </c>
      <c r="S522">
        <f t="shared" si="987"/>
        <v>-514.52497322467707</v>
      </c>
      <c r="T522">
        <f t="shared" si="988"/>
        <v>-0.51452497322467705</v>
      </c>
    </row>
    <row r="523" spans="1:20" x14ac:dyDescent="0.25">
      <c r="A523" s="5">
        <v>44070</v>
      </c>
      <c r="B523">
        <v>0.45</v>
      </c>
      <c r="C523">
        <v>0.45500000000000002</v>
      </c>
      <c r="D523">
        <v>0.41980000000000001</v>
      </c>
      <c r="E523">
        <v>0.433</v>
      </c>
      <c r="F523">
        <v>1148671.6200000001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-0.25000000000000078</v>
      </c>
      <c r="Q523">
        <f t="shared" si="985"/>
        <v>-287167.9050000009</v>
      </c>
      <c r="R523">
        <f t="shared" si="986"/>
        <v>-51655196.358081743</v>
      </c>
      <c r="S523">
        <f t="shared" si="987"/>
        <v>-516.55196358081741</v>
      </c>
      <c r="T523">
        <f t="shared" si="988"/>
        <v>-0.51655196358081745</v>
      </c>
    </row>
    <row r="524" spans="1:20" x14ac:dyDescent="0.25">
      <c r="A524" s="5">
        <v>44069</v>
      </c>
      <c r="B524">
        <v>0.4461</v>
      </c>
      <c r="C524">
        <v>0.4607</v>
      </c>
      <c r="D524">
        <v>0.43890000000000001</v>
      </c>
      <c r="E524">
        <v>0.44869999999999999</v>
      </c>
      <c r="F524">
        <v>593539.59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-0.10091743119266224</v>
      </c>
      <c r="Q524">
        <f t="shared" si="985"/>
        <v>-59898.490733945953</v>
      </c>
      <c r="R524">
        <f t="shared" si="986"/>
        <v>-51368028.453081742</v>
      </c>
      <c r="S524">
        <f t="shared" si="987"/>
        <v>-513.6802845308174</v>
      </c>
      <c r="T524">
        <f t="shared" si="988"/>
        <v>-0.51368028453081738</v>
      </c>
    </row>
    <row r="525" spans="1:20" x14ac:dyDescent="0.25">
      <c r="A525" s="5">
        <v>44068</v>
      </c>
      <c r="B525">
        <v>0.48430000000000001</v>
      </c>
      <c r="C525">
        <v>0.4869</v>
      </c>
      <c r="D525">
        <v>0.43099999999999999</v>
      </c>
      <c r="E525">
        <v>0.44679999999999997</v>
      </c>
      <c r="F525">
        <v>820603.01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-0.434704830053668</v>
      </c>
      <c r="Q525">
        <f t="shared" si="985"/>
        <v>-356720.09200357844</v>
      </c>
      <c r="R525">
        <f t="shared" si="986"/>
        <v>-51308129.962347798</v>
      </c>
      <c r="S525">
        <f t="shared" si="987"/>
        <v>-513.081299623478</v>
      </c>
      <c r="T525">
        <f t="shared" si="988"/>
        <v>-0.51308129962347804</v>
      </c>
    </row>
    <row r="526" spans="1:20" x14ac:dyDescent="0.25">
      <c r="A526" s="5">
        <v>44067</v>
      </c>
      <c r="B526">
        <v>0.47939999999999999</v>
      </c>
      <c r="C526">
        <v>0.48920000000000002</v>
      </c>
      <c r="D526">
        <v>0.47299999999999998</v>
      </c>
      <c r="E526">
        <v>0.48680000000000001</v>
      </c>
      <c r="F526">
        <v>421047.51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0.70370370370370294</v>
      </c>
      <c r="Q526">
        <f t="shared" si="985"/>
        <v>296292.69222222193</v>
      </c>
      <c r="R526">
        <f t="shared" si="986"/>
        <v>-50951409.870344222</v>
      </c>
      <c r="S526">
        <f t="shared" si="987"/>
        <v>-509.51409870344224</v>
      </c>
      <c r="T526">
        <f t="shared" si="988"/>
        <v>-0.50951409870344222</v>
      </c>
    </row>
    <row r="527" spans="1:20" x14ac:dyDescent="0.25">
      <c r="A527" s="5">
        <v>44066</v>
      </c>
      <c r="B527">
        <v>0.48320000000000002</v>
      </c>
      <c r="C527">
        <v>0.48320000000000002</v>
      </c>
      <c r="D527">
        <v>0.46579999999999999</v>
      </c>
      <c r="E527">
        <v>0.47939999999999999</v>
      </c>
      <c r="F527">
        <v>468138.88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0.56321839080459546</v>
      </c>
      <c r="Q527">
        <f t="shared" si="985"/>
        <v>263664.42666666565</v>
      </c>
      <c r="R527">
        <f t="shared" si="986"/>
        <v>-51247702.562566444</v>
      </c>
      <c r="S527">
        <f t="shared" si="987"/>
        <v>-512.4770256256644</v>
      </c>
      <c r="T527">
        <f t="shared" si="988"/>
        <v>-0.51247702562566444</v>
      </c>
    </row>
    <row r="528" spans="1:20" x14ac:dyDescent="0.25">
      <c r="A528" s="5">
        <v>44065</v>
      </c>
      <c r="B528">
        <v>0.46989999999999998</v>
      </c>
      <c r="C528">
        <v>0.48449999999999999</v>
      </c>
      <c r="D528">
        <v>0.45179999999999998</v>
      </c>
      <c r="E528">
        <v>0.4844</v>
      </c>
      <c r="F528">
        <v>611315.81000000006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0.99388379204893029</v>
      </c>
      <c r="Q528">
        <f t="shared" si="985"/>
        <v>607576.87538226345</v>
      </c>
      <c r="R528">
        <f t="shared" si="986"/>
        <v>-51511366.989233106</v>
      </c>
      <c r="S528">
        <f t="shared" si="987"/>
        <v>-515.11366989233102</v>
      </c>
      <c r="T528">
        <f t="shared" si="988"/>
        <v>-0.51511366989233098</v>
      </c>
    </row>
    <row r="529" spans="1:20" x14ac:dyDescent="0.25">
      <c r="A529" s="5">
        <v>44064</v>
      </c>
      <c r="B529">
        <v>0.50109999999999999</v>
      </c>
      <c r="C529">
        <v>0.53300000000000003</v>
      </c>
      <c r="D529">
        <v>0.46779999999999999</v>
      </c>
      <c r="E529">
        <v>0.4698</v>
      </c>
      <c r="F529">
        <v>1268375.52</v>
      </c>
      <c r="G529">
        <v>0</v>
      </c>
      <c r="L529" t="s">
        <v>8</v>
      </c>
      <c r="M529" t="s">
        <v>7</v>
      </c>
      <c r="N529" t="s">
        <v>8</v>
      </c>
      <c r="P529">
        <f t="shared" si="984"/>
        <v>-0.93865030674846628</v>
      </c>
      <c r="Q529">
        <f t="shared" si="985"/>
        <v>-1190561.0709202455</v>
      </c>
      <c r="R529">
        <f t="shared" si="986"/>
        <v>-52118943.864615373</v>
      </c>
      <c r="S529">
        <f t="shared" si="987"/>
        <v>-521.18943864615369</v>
      </c>
      <c r="T529">
        <f t="shared" si="988"/>
        <v>-0.52118943864615364</v>
      </c>
    </row>
    <row r="530" spans="1:20" x14ac:dyDescent="0.25">
      <c r="A530" s="5">
        <v>44063</v>
      </c>
      <c r="B530">
        <v>0.48139999999999999</v>
      </c>
      <c r="C530">
        <v>0.50700000000000001</v>
      </c>
      <c r="D530">
        <v>0.46650000000000003</v>
      </c>
      <c r="E530">
        <v>0.50129999999999997</v>
      </c>
      <c r="F530">
        <v>728913.33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0.71851851851851645</v>
      </c>
      <c r="Q530">
        <f t="shared" si="985"/>
        <v>523737.72599999845</v>
      </c>
      <c r="R530">
        <f t="shared" si="986"/>
        <v>-50928382.793695129</v>
      </c>
      <c r="S530">
        <f t="shared" si="987"/>
        <v>-509.2838279369513</v>
      </c>
      <c r="T530">
        <f t="shared" si="988"/>
        <v>-0.50928382793695126</v>
      </c>
    </row>
    <row r="531" spans="1:20" x14ac:dyDescent="0.25">
      <c r="A531" s="5">
        <v>44062</v>
      </c>
      <c r="B531">
        <v>0.53300000000000003</v>
      </c>
      <c r="C531">
        <v>0.53990000000000005</v>
      </c>
      <c r="D531">
        <v>0.4642</v>
      </c>
      <c r="E531">
        <v>0.48010000000000003</v>
      </c>
      <c r="F531">
        <v>1155707.6100000001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-0.57992073976221892</v>
      </c>
      <c r="Q531">
        <f t="shared" si="985"/>
        <v>-670218.81214002601</v>
      </c>
      <c r="R531">
        <f t="shared" si="986"/>
        <v>-51452120.519695126</v>
      </c>
      <c r="S531">
        <f t="shared" si="987"/>
        <v>-514.5212051969512</v>
      </c>
      <c r="T531">
        <f t="shared" si="988"/>
        <v>-0.51452120519695121</v>
      </c>
    </row>
    <row r="532" spans="1:20" x14ac:dyDescent="0.25">
      <c r="A532" s="5">
        <v>44061</v>
      </c>
      <c r="B532">
        <v>0.50849999999999995</v>
      </c>
      <c r="C532">
        <v>0.55330000000000001</v>
      </c>
      <c r="D532">
        <v>0.50590000000000002</v>
      </c>
      <c r="E532">
        <v>0.53200000000000003</v>
      </c>
      <c r="F532">
        <v>1334377.94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0.10126582278481069</v>
      </c>
      <c r="Q532">
        <f t="shared" si="985"/>
        <v>135126.88000000076</v>
      </c>
      <c r="R532">
        <f t="shared" si="986"/>
        <v>-50781901.7075551</v>
      </c>
      <c r="S532">
        <f t="shared" si="987"/>
        <v>-507.81901707555102</v>
      </c>
      <c r="T532">
        <f t="shared" si="988"/>
        <v>-0.50781901707555099</v>
      </c>
    </row>
    <row r="533" spans="1:20" x14ac:dyDescent="0.25">
      <c r="A533" s="5">
        <v>44060</v>
      </c>
      <c r="B533">
        <v>0.50849999999999995</v>
      </c>
      <c r="C533">
        <v>0.51639999999999997</v>
      </c>
      <c r="D533">
        <v>0.49919999999999998</v>
      </c>
      <c r="E533">
        <v>0.50880000000000003</v>
      </c>
      <c r="F533">
        <v>823882.14</v>
      </c>
      <c r="G533">
        <v>0</v>
      </c>
      <c r="L533" t="s">
        <v>7</v>
      </c>
      <c r="M533" t="s">
        <v>8</v>
      </c>
      <c r="N533" t="s">
        <v>8</v>
      </c>
      <c r="P533">
        <f t="shared" si="984"/>
        <v>0.11627906976744846</v>
      </c>
      <c r="Q533">
        <f t="shared" si="985"/>
        <v>95800.248837214749</v>
      </c>
      <c r="R533">
        <f t="shared" si="986"/>
        <v>-50917028.587555103</v>
      </c>
      <c r="S533">
        <f t="shared" si="987"/>
        <v>-509.17028587555103</v>
      </c>
      <c r="T533">
        <f t="shared" si="988"/>
        <v>-0.50917028587555102</v>
      </c>
    </row>
    <row r="534" spans="1:20" x14ac:dyDescent="0.25">
      <c r="A534" s="5">
        <v>44059</v>
      </c>
      <c r="B534">
        <v>0.4945</v>
      </c>
      <c r="C534">
        <v>0.50849999999999995</v>
      </c>
      <c r="D534">
        <v>0.48880000000000001</v>
      </c>
      <c r="E534">
        <v>0.50849999999999995</v>
      </c>
      <c r="F534">
        <v>444377.19</v>
      </c>
      <c r="G534">
        <v>0</v>
      </c>
      <c r="L534" t="s">
        <v>7</v>
      </c>
      <c r="M534" t="s">
        <v>8</v>
      </c>
      <c r="N534" t="s">
        <v>8</v>
      </c>
      <c r="P534">
        <f t="shared" si="984"/>
        <v>1</v>
      </c>
      <c r="Q534">
        <f t="shared" si="985"/>
        <v>444377.19</v>
      </c>
      <c r="R534">
        <f t="shared" si="986"/>
        <v>-51012828.836392321</v>
      </c>
      <c r="S534">
        <f t="shared" si="987"/>
        <v>-510.12828836392322</v>
      </c>
      <c r="T534">
        <f t="shared" si="988"/>
        <v>-0.51012828836392321</v>
      </c>
    </row>
    <row r="535" spans="1:20" x14ac:dyDescent="0.25">
      <c r="A535" s="5">
        <v>44058</v>
      </c>
      <c r="B535">
        <v>0.50949999999999995</v>
      </c>
      <c r="C535">
        <v>0.51029999999999998</v>
      </c>
      <c r="D535">
        <v>0.49170000000000003</v>
      </c>
      <c r="E535">
        <v>0.49469999999999997</v>
      </c>
      <c r="F535">
        <v>816524.76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-0.67741935483871452</v>
      </c>
      <c r="Q535">
        <f t="shared" si="985"/>
        <v>-553129.67612903623</v>
      </c>
      <c r="R535">
        <f t="shared" si="986"/>
        <v>-51457206.026392318</v>
      </c>
      <c r="S535">
        <f t="shared" si="987"/>
        <v>-514.57206026392316</v>
      </c>
      <c r="T535">
        <f t="shared" si="988"/>
        <v>-0.51457206026392321</v>
      </c>
    </row>
    <row r="536" spans="1:20" x14ac:dyDescent="0.25">
      <c r="A536" s="5">
        <v>44057</v>
      </c>
      <c r="B536">
        <v>0.51390000000000002</v>
      </c>
      <c r="C536">
        <v>0.51480000000000004</v>
      </c>
      <c r="D536">
        <v>0.50139999999999996</v>
      </c>
      <c r="E536">
        <v>0.50960000000000005</v>
      </c>
      <c r="F536">
        <v>558377.02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0.22388059701493254</v>
      </c>
      <c r="Q536">
        <f t="shared" si="985"/>
        <v>125009.78059701894</v>
      </c>
      <c r="R536">
        <f t="shared" si="986"/>
        <v>-50904076.350263283</v>
      </c>
      <c r="S536">
        <f t="shared" si="987"/>
        <v>-509.04076350263284</v>
      </c>
      <c r="T536">
        <f t="shared" si="988"/>
        <v>-0.50904076350263283</v>
      </c>
    </row>
    <row r="537" spans="1:20" x14ac:dyDescent="0.25">
      <c r="A537" s="5">
        <v>44056</v>
      </c>
      <c r="B537">
        <v>0.52849999999999997</v>
      </c>
      <c r="C537">
        <v>0.54330000000000001</v>
      </c>
      <c r="D537">
        <v>0.49740000000000001</v>
      </c>
      <c r="E537">
        <v>0.51200000000000001</v>
      </c>
      <c r="F537">
        <v>1397878.68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-0.36383442265795196</v>
      </c>
      <c r="Q537">
        <f t="shared" si="985"/>
        <v>-508596.38248365995</v>
      </c>
      <c r="R537">
        <f t="shared" si="986"/>
        <v>-51029086.130860299</v>
      </c>
      <c r="S537">
        <f t="shared" si="987"/>
        <v>-510.29086130860298</v>
      </c>
      <c r="T537">
        <f t="shared" si="988"/>
        <v>-0.51029086130860302</v>
      </c>
    </row>
    <row r="538" spans="1:20" x14ac:dyDescent="0.25">
      <c r="A538" s="5">
        <v>44055</v>
      </c>
      <c r="B538">
        <v>0.52810000000000001</v>
      </c>
      <c r="C538">
        <v>0.53449999999999998</v>
      </c>
      <c r="D538">
        <v>0.49780000000000002</v>
      </c>
      <c r="E538">
        <v>0.52910000000000001</v>
      </c>
      <c r="F538">
        <v>980169.32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0.70572207084468841</v>
      </c>
      <c r="Q538">
        <f t="shared" si="985"/>
        <v>691727.12228883</v>
      </c>
      <c r="R538">
        <f t="shared" si="986"/>
        <v>-50520489.748376638</v>
      </c>
      <c r="S538">
        <f t="shared" si="987"/>
        <v>-505.20489748376639</v>
      </c>
      <c r="T538">
        <f t="shared" si="988"/>
        <v>-0.5052048974837664</v>
      </c>
    </row>
    <row r="539" spans="1:20" x14ac:dyDescent="0.25">
      <c r="A539" s="5">
        <v>44054</v>
      </c>
      <c r="B539">
        <v>0.56379999999999997</v>
      </c>
      <c r="C539">
        <v>0.5746</v>
      </c>
      <c r="D539">
        <v>0.505</v>
      </c>
      <c r="E539">
        <v>0.52810000000000001</v>
      </c>
      <c r="F539">
        <v>1813401.87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-0.33620689655172381</v>
      </c>
      <c r="Q539">
        <f t="shared" si="985"/>
        <v>-609678.21491379256</v>
      </c>
      <c r="R539">
        <f t="shared" si="986"/>
        <v>-51212216.870665468</v>
      </c>
      <c r="S539">
        <f t="shared" si="987"/>
        <v>-512.12216870665463</v>
      </c>
      <c r="T539">
        <f t="shared" si="988"/>
        <v>-0.51212216870665461</v>
      </c>
    </row>
    <row r="540" spans="1:20" x14ac:dyDescent="0.25">
      <c r="A540" s="5">
        <v>44053</v>
      </c>
      <c r="B540">
        <v>0.52180000000000004</v>
      </c>
      <c r="C540">
        <v>0.56410000000000005</v>
      </c>
      <c r="D540">
        <v>0.49780000000000002</v>
      </c>
      <c r="E540">
        <v>0.56410000000000005</v>
      </c>
      <c r="F540">
        <v>1528451.35</v>
      </c>
      <c r="G540">
        <v>0</v>
      </c>
      <c r="L540" t="s">
        <v>8</v>
      </c>
      <c r="M540" t="s">
        <v>8</v>
      </c>
      <c r="N540" t="s">
        <v>7</v>
      </c>
      <c r="P540">
        <f t="shared" si="984"/>
        <v>1</v>
      </c>
      <c r="Q540">
        <f t="shared" si="985"/>
        <v>1528451.35</v>
      </c>
      <c r="R540">
        <f t="shared" si="986"/>
        <v>-50602538.655751675</v>
      </c>
      <c r="S540">
        <f t="shared" si="987"/>
        <v>-506.02538655751675</v>
      </c>
      <c r="T540">
        <f t="shared" si="988"/>
        <v>-0.50602538655751672</v>
      </c>
    </row>
    <row r="541" spans="1:20" x14ac:dyDescent="0.25">
      <c r="A541" s="5">
        <v>44052</v>
      </c>
      <c r="B541">
        <v>0.53029999999999999</v>
      </c>
      <c r="C541">
        <v>0.54400000000000004</v>
      </c>
      <c r="D541">
        <v>0.51359999999999995</v>
      </c>
      <c r="E541">
        <v>0.52180000000000004</v>
      </c>
      <c r="F541">
        <v>820795.67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-0.46052631578946901</v>
      </c>
      <c r="Q541">
        <f t="shared" si="985"/>
        <v>-377998.00592104881</v>
      </c>
      <c r="R541">
        <f t="shared" si="986"/>
        <v>-52130990.005751677</v>
      </c>
      <c r="S541">
        <f t="shared" si="987"/>
        <v>-521.30990005751676</v>
      </c>
      <c r="T541">
        <f t="shared" si="988"/>
        <v>-0.52130990005751676</v>
      </c>
    </row>
    <row r="542" spans="1:20" x14ac:dyDescent="0.25">
      <c r="A542" s="5">
        <v>44051</v>
      </c>
      <c r="B542">
        <v>0.495</v>
      </c>
      <c r="C542">
        <v>0.53169999999999995</v>
      </c>
      <c r="D542">
        <v>0.49170000000000003</v>
      </c>
      <c r="E542">
        <v>0.53149999999999997</v>
      </c>
      <c r="F542">
        <v>952896.03</v>
      </c>
      <c r="G542">
        <v>0</v>
      </c>
      <c r="L542" t="s">
        <v>8</v>
      </c>
      <c r="M542" t="s">
        <v>8</v>
      </c>
      <c r="N542" t="s">
        <v>7</v>
      </c>
      <c r="P542">
        <f t="shared" si="984"/>
        <v>0.9900000000000011</v>
      </c>
      <c r="Q542">
        <f t="shared" si="985"/>
        <v>943367.06970000104</v>
      </c>
      <c r="R542">
        <f t="shared" si="986"/>
        <v>-51752991.999830626</v>
      </c>
      <c r="S542">
        <f t="shared" si="987"/>
        <v>-517.52991999830624</v>
      </c>
      <c r="T542">
        <f t="shared" si="988"/>
        <v>-0.51752991999830622</v>
      </c>
    </row>
    <row r="543" spans="1:20" x14ac:dyDescent="0.25">
      <c r="A543" s="5">
        <v>44050</v>
      </c>
      <c r="B543">
        <v>0.4879</v>
      </c>
      <c r="C543">
        <v>0.51480000000000004</v>
      </c>
      <c r="D543">
        <v>0.48</v>
      </c>
      <c r="E543">
        <v>0.49390000000000001</v>
      </c>
      <c r="F543">
        <v>1627816.99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-0.20114942528735619</v>
      </c>
      <c r="Q543">
        <f t="shared" si="985"/>
        <v>-327434.45201149402</v>
      </c>
      <c r="R543">
        <f t="shared" si="986"/>
        <v>-52696359.069530629</v>
      </c>
      <c r="S543">
        <f t="shared" si="987"/>
        <v>-526.96359069530627</v>
      </c>
      <c r="T543">
        <f t="shared" si="988"/>
        <v>-0.52696359069530629</v>
      </c>
    </row>
    <row r="544" spans="1:20" x14ac:dyDescent="0.25">
      <c r="A544" s="5">
        <v>44049</v>
      </c>
      <c r="B544">
        <v>0.46989999999999998</v>
      </c>
      <c r="C544">
        <v>0.4889</v>
      </c>
      <c r="D544">
        <v>0.4698</v>
      </c>
      <c r="E544">
        <v>0.4879</v>
      </c>
      <c r="F544">
        <v>704002.43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0.89528795811518314</v>
      </c>
      <c r="Q544">
        <f t="shared" si="985"/>
        <v>630284.89806282718</v>
      </c>
      <c r="R544">
        <f t="shared" si="986"/>
        <v>-52368924.617519133</v>
      </c>
      <c r="S544">
        <f t="shared" si="987"/>
        <v>-523.68924617519133</v>
      </c>
      <c r="T544">
        <f t="shared" si="988"/>
        <v>-0.5236892461751913</v>
      </c>
    </row>
    <row r="545" spans="1:20" x14ac:dyDescent="0.25">
      <c r="A545" s="5">
        <v>44048</v>
      </c>
      <c r="B545">
        <v>0.46200000000000002</v>
      </c>
      <c r="C545">
        <v>0.48199999999999998</v>
      </c>
      <c r="D545">
        <v>0.43819999999999998</v>
      </c>
      <c r="E545">
        <v>0.47070000000000001</v>
      </c>
      <c r="F545">
        <v>1141192.96</v>
      </c>
      <c r="G545">
        <v>0</v>
      </c>
      <c r="L545" t="s">
        <v>8</v>
      </c>
      <c r="M545" t="s">
        <v>8</v>
      </c>
      <c r="N545" t="s">
        <v>7</v>
      </c>
      <c r="P545">
        <f t="shared" si="984"/>
        <v>0.48401826484018379</v>
      </c>
      <c r="Q545">
        <f t="shared" si="985"/>
        <v>552358.23634703329</v>
      </c>
      <c r="R545">
        <f t="shared" si="986"/>
        <v>-52999209.515581958</v>
      </c>
      <c r="S545">
        <f t="shared" si="987"/>
        <v>-529.99209515581958</v>
      </c>
      <c r="T545">
        <f t="shared" si="988"/>
        <v>-0.52999209515581958</v>
      </c>
    </row>
    <row r="546" spans="1:20" x14ac:dyDescent="0.25">
      <c r="A546" s="5">
        <v>44047</v>
      </c>
      <c r="B546">
        <v>0.46460000000000001</v>
      </c>
      <c r="C546">
        <v>0.47289999999999999</v>
      </c>
      <c r="D546">
        <v>0.45240000000000002</v>
      </c>
      <c r="E546">
        <v>0.46210000000000001</v>
      </c>
      <c r="F546">
        <v>413000.4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-5.3658536585365457E-2</v>
      </c>
      <c r="Q546">
        <f t="shared" si="985"/>
        <v>-22160.997073170569</v>
      </c>
      <c r="R546">
        <f t="shared" si="986"/>
        <v>-53551567.751928993</v>
      </c>
      <c r="S546">
        <f t="shared" si="987"/>
        <v>-535.51567751928997</v>
      </c>
      <c r="T546">
        <f t="shared" si="988"/>
        <v>-0.53551567751928997</v>
      </c>
    </row>
    <row r="547" spans="1:20" x14ac:dyDescent="0.25">
      <c r="A547" s="5">
        <v>44046</v>
      </c>
      <c r="B547">
        <v>0.44729999999999998</v>
      </c>
      <c r="C547">
        <v>0.47470000000000001</v>
      </c>
      <c r="D547">
        <v>0.44330000000000003</v>
      </c>
      <c r="E547">
        <v>0.46460000000000001</v>
      </c>
      <c r="F547">
        <v>823889.64</v>
      </c>
      <c r="G547">
        <v>0</v>
      </c>
      <c r="L547" t="s">
        <v>7</v>
      </c>
      <c r="M547" t="s">
        <v>8</v>
      </c>
      <c r="N547" t="s">
        <v>7</v>
      </c>
      <c r="P547">
        <f t="shared" si="984"/>
        <v>0.35668789808917178</v>
      </c>
      <c r="Q547">
        <f t="shared" si="985"/>
        <v>293871.46394904441</v>
      </c>
      <c r="R547">
        <f t="shared" si="986"/>
        <v>-53529406.754855819</v>
      </c>
      <c r="S547">
        <f t="shared" si="987"/>
        <v>-535.29406754855825</v>
      </c>
      <c r="T547">
        <f t="shared" si="988"/>
        <v>-0.53529406754855824</v>
      </c>
    </row>
    <row r="548" spans="1:20" x14ac:dyDescent="0.25">
      <c r="A548" s="5">
        <v>44045</v>
      </c>
      <c r="B548">
        <v>0.46500000000000002</v>
      </c>
      <c r="C548">
        <v>0.4909</v>
      </c>
      <c r="D548">
        <v>0.4229</v>
      </c>
      <c r="E548">
        <v>0.44719999999999999</v>
      </c>
      <c r="F548">
        <v>1784202.58</v>
      </c>
      <c r="G548">
        <v>0</v>
      </c>
      <c r="L548" t="s">
        <v>8</v>
      </c>
      <c r="M548" t="s">
        <v>8</v>
      </c>
      <c r="N548" t="s">
        <v>7</v>
      </c>
      <c r="P548">
        <f t="shared" si="984"/>
        <v>-0.2852941176470592</v>
      </c>
      <c r="Q548">
        <f t="shared" si="985"/>
        <v>-509022.50076470658</v>
      </c>
      <c r="R548">
        <f t="shared" si="986"/>
        <v>-53823278.218804866</v>
      </c>
      <c r="S548">
        <f t="shared" si="987"/>
        <v>-538.23278218804865</v>
      </c>
      <c r="T548">
        <f t="shared" si="988"/>
        <v>-0.5382327821880486</v>
      </c>
    </row>
    <row r="549" spans="1:20" x14ac:dyDescent="0.25">
      <c r="A549" s="5">
        <v>44044</v>
      </c>
      <c r="B549">
        <v>0.43730000000000002</v>
      </c>
      <c r="C549">
        <v>0.46610000000000001</v>
      </c>
      <c r="D549">
        <v>0.43219999999999997</v>
      </c>
      <c r="E549">
        <v>0.4652</v>
      </c>
      <c r="F549">
        <v>943780.84</v>
      </c>
      <c r="G549">
        <v>0</v>
      </c>
      <c r="L549" t="s">
        <v>8</v>
      </c>
      <c r="M549" t="s">
        <v>7</v>
      </c>
      <c r="N549" t="s">
        <v>7</v>
      </c>
      <c r="P549">
        <f t="shared" si="984"/>
        <v>0.946902654867256</v>
      </c>
      <c r="Q549">
        <f t="shared" si="985"/>
        <v>893668.58300884895</v>
      </c>
      <c r="R549">
        <f t="shared" si="986"/>
        <v>-53314255.718040161</v>
      </c>
      <c r="S549">
        <f t="shared" si="987"/>
        <v>-533.14255718040158</v>
      </c>
      <c r="T549">
        <f t="shared" si="988"/>
        <v>-0.5331425571804016</v>
      </c>
    </row>
    <row r="550" spans="1:20" x14ac:dyDescent="0.25">
      <c r="A550" s="5">
        <v>44043</v>
      </c>
      <c r="B550">
        <v>0.43769999999999998</v>
      </c>
      <c r="C550">
        <v>0.45369999999999999</v>
      </c>
      <c r="D550">
        <v>0.43419999999999997</v>
      </c>
      <c r="E550">
        <v>0.43730000000000002</v>
      </c>
      <c r="F550">
        <v>651675.21</v>
      </c>
      <c r="G550">
        <v>0</v>
      </c>
      <c r="L550" t="s">
        <v>8</v>
      </c>
      <c r="M550" t="s">
        <v>7</v>
      </c>
      <c r="N550" t="s">
        <v>7</v>
      </c>
      <c r="P550">
        <f t="shared" si="984"/>
        <v>-0.68205128205127752</v>
      </c>
      <c r="Q550">
        <f t="shared" si="985"/>
        <v>-444475.91246153548</v>
      </c>
      <c r="R550">
        <f t="shared" si="986"/>
        <v>-54207924.301049009</v>
      </c>
      <c r="S550">
        <f t="shared" si="987"/>
        <v>-542.07924301049013</v>
      </c>
      <c r="T550">
        <f t="shared" si="988"/>
        <v>-0.54207924301049015</v>
      </c>
    </row>
    <row r="551" spans="1:20" x14ac:dyDescent="0.25">
      <c r="A551" s="5">
        <v>44042</v>
      </c>
      <c r="B551">
        <v>0.44</v>
      </c>
      <c r="C551">
        <v>0.4466</v>
      </c>
      <c r="D551">
        <v>0.43440000000000001</v>
      </c>
      <c r="E551">
        <v>0.43880000000000002</v>
      </c>
      <c r="F551">
        <v>489601</v>
      </c>
      <c r="G551">
        <v>0</v>
      </c>
      <c r="L551" t="s">
        <v>8</v>
      </c>
      <c r="M551" t="s">
        <v>7</v>
      </c>
      <c r="N551" t="s">
        <v>7</v>
      </c>
      <c r="P551">
        <f t="shared" si="984"/>
        <v>-0.2786885245901608</v>
      </c>
      <c r="Q551">
        <f t="shared" si="985"/>
        <v>-136446.18032786733</v>
      </c>
      <c r="R551">
        <f t="shared" si="986"/>
        <v>-53763448.388587475</v>
      </c>
      <c r="S551">
        <f t="shared" si="987"/>
        <v>-537.63448388587472</v>
      </c>
      <c r="T551">
        <f t="shared" si="988"/>
        <v>-0.53763448388587476</v>
      </c>
    </row>
    <row r="552" spans="1:20" x14ac:dyDescent="0.25">
      <c r="A552" s="5">
        <v>44041</v>
      </c>
      <c r="B552">
        <v>0.44769999999999999</v>
      </c>
      <c r="C552">
        <v>0.45079999999999998</v>
      </c>
      <c r="D552">
        <v>0.43430000000000002</v>
      </c>
      <c r="E552">
        <v>0.44009999999999999</v>
      </c>
      <c r="F552">
        <v>725541.18</v>
      </c>
      <c r="G552">
        <v>0</v>
      </c>
      <c r="L552" t="s">
        <v>8</v>
      </c>
      <c r="M552" t="s">
        <v>7</v>
      </c>
      <c r="N552" t="s">
        <v>7</v>
      </c>
      <c r="P552">
        <f t="shared" si="984"/>
        <v>-0.29696969696969866</v>
      </c>
      <c r="Q552">
        <f t="shared" si="985"/>
        <v>-215463.74436363761</v>
      </c>
      <c r="R552">
        <f t="shared" si="986"/>
        <v>-53627002.208259605</v>
      </c>
      <c r="S552">
        <f t="shared" si="987"/>
        <v>-536.27002208259603</v>
      </c>
      <c r="T552">
        <f t="shared" si="988"/>
        <v>-0.536270022082596</v>
      </c>
    </row>
    <row r="553" spans="1:20" x14ac:dyDescent="0.25">
      <c r="A553" s="5">
        <v>44040</v>
      </c>
      <c r="B553">
        <v>0.42009999999999997</v>
      </c>
      <c r="C553">
        <v>0.45169999999999999</v>
      </c>
      <c r="D553">
        <v>0.4158</v>
      </c>
      <c r="E553">
        <v>0.4471</v>
      </c>
      <c r="F553">
        <v>830909.97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0.74373259052924823</v>
      </c>
      <c r="Q553">
        <f t="shared" si="985"/>
        <v>617974.82448467996</v>
      </c>
      <c r="R553">
        <f t="shared" si="986"/>
        <v>-53411538.463895969</v>
      </c>
      <c r="S553">
        <f t="shared" si="987"/>
        <v>-534.11538463895965</v>
      </c>
      <c r="T553">
        <f t="shared" si="988"/>
        <v>-0.53411538463895969</v>
      </c>
    </row>
    <row r="554" spans="1:20" x14ac:dyDescent="0.25">
      <c r="A554" s="5">
        <v>44039</v>
      </c>
      <c r="B554">
        <v>0.45689999999999997</v>
      </c>
      <c r="C554">
        <v>0.4834</v>
      </c>
      <c r="D554">
        <v>0.40899999999999997</v>
      </c>
      <c r="E554">
        <v>0.42149999999999999</v>
      </c>
      <c r="F554">
        <v>1891837.17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-0.66397849462365577</v>
      </c>
      <c r="Q554">
        <f t="shared" si="985"/>
        <v>-1256139.196209677</v>
      </c>
      <c r="R554">
        <f t="shared" si="986"/>
        <v>-54029513.288380653</v>
      </c>
      <c r="S554">
        <f t="shared" si="987"/>
        <v>-540.29513288380656</v>
      </c>
      <c r="T554">
        <f t="shared" si="988"/>
        <v>-0.54029513288380659</v>
      </c>
    </row>
    <row r="555" spans="1:20" x14ac:dyDescent="0.25">
      <c r="A555" s="5">
        <v>44038</v>
      </c>
      <c r="B555">
        <v>0.48010000000000003</v>
      </c>
      <c r="C555">
        <v>0.48980000000000001</v>
      </c>
      <c r="D555">
        <v>0.439</v>
      </c>
      <c r="E555">
        <v>0.45939999999999998</v>
      </c>
      <c r="F555">
        <v>2099468.87</v>
      </c>
      <c r="G555">
        <v>0</v>
      </c>
      <c r="L555" t="s">
        <v>7</v>
      </c>
      <c r="M555" t="s">
        <v>8</v>
      </c>
      <c r="N555" t="s">
        <v>7</v>
      </c>
      <c r="P555">
        <f t="shared" si="984"/>
        <v>-0.19685039370078863</v>
      </c>
      <c r="Q555">
        <f t="shared" si="985"/>
        <v>-413281.27362204983</v>
      </c>
      <c r="R555">
        <f t="shared" si="986"/>
        <v>-52773374.092170976</v>
      </c>
      <c r="S555">
        <f t="shared" si="987"/>
        <v>-527.7337409217098</v>
      </c>
      <c r="T555">
        <f t="shared" si="988"/>
        <v>-0.52773374092170977</v>
      </c>
    </row>
    <row r="556" spans="1:20" x14ac:dyDescent="0.25">
      <c r="A556" s="5">
        <v>44037</v>
      </c>
      <c r="B556">
        <v>0.47970000000000002</v>
      </c>
      <c r="C556">
        <v>0.49959999999999999</v>
      </c>
      <c r="D556">
        <v>0.47860000000000003</v>
      </c>
      <c r="E556">
        <v>0.48039999999999999</v>
      </c>
      <c r="F556">
        <v>799107.89</v>
      </c>
      <c r="G556">
        <v>0</v>
      </c>
      <c r="L556" t="s">
        <v>7</v>
      </c>
      <c r="M556" t="s">
        <v>8</v>
      </c>
      <c r="N556" t="s">
        <v>7</v>
      </c>
      <c r="P556">
        <f t="shared" si="984"/>
        <v>-0.82857142857143129</v>
      </c>
      <c r="Q556">
        <f t="shared" si="985"/>
        <v>-662117.96600000223</v>
      </c>
      <c r="R556">
        <f t="shared" si="986"/>
        <v>-52360092.818548925</v>
      </c>
      <c r="S556">
        <f t="shared" si="987"/>
        <v>-523.60092818548924</v>
      </c>
      <c r="T556">
        <f t="shared" si="988"/>
        <v>-0.5236009281854892</v>
      </c>
    </row>
    <row r="557" spans="1:20" x14ac:dyDescent="0.25">
      <c r="A557" s="5">
        <v>44036</v>
      </c>
      <c r="B557">
        <v>0.4929</v>
      </c>
      <c r="C557">
        <v>0.52310000000000001</v>
      </c>
      <c r="D557">
        <v>0.47939999999999999</v>
      </c>
      <c r="E557">
        <v>0.48139999999999999</v>
      </c>
      <c r="F557">
        <v>1940704.07</v>
      </c>
      <c r="G557">
        <v>0</v>
      </c>
      <c r="L557" t="s">
        <v>8</v>
      </c>
      <c r="M557" t="s">
        <v>8</v>
      </c>
      <c r="N557" t="s">
        <v>7</v>
      </c>
      <c r="P557">
        <f t="shared" si="984"/>
        <v>-0.90846681922196793</v>
      </c>
      <c r="Q557">
        <f t="shared" si="985"/>
        <v>-1763065.2535240275</v>
      </c>
      <c r="R557">
        <f t="shared" si="986"/>
        <v>-51697974.85254892</v>
      </c>
      <c r="S557">
        <f t="shared" si="987"/>
        <v>-516.97974852548919</v>
      </c>
      <c r="T557">
        <f t="shared" si="988"/>
        <v>-0.51697974852548922</v>
      </c>
    </row>
    <row r="558" spans="1:20" x14ac:dyDescent="0.25">
      <c r="A558" s="5">
        <v>44035</v>
      </c>
      <c r="B558">
        <v>0.4672</v>
      </c>
      <c r="C558">
        <v>0.504</v>
      </c>
      <c r="D558">
        <v>0.4612</v>
      </c>
      <c r="E558">
        <v>0.49280000000000002</v>
      </c>
      <c r="F558">
        <v>1923906.33</v>
      </c>
      <c r="G558">
        <v>0</v>
      </c>
      <c r="L558" t="s">
        <v>8</v>
      </c>
      <c r="M558" t="s">
        <v>7</v>
      </c>
      <c r="N558" t="s">
        <v>7</v>
      </c>
      <c r="P558">
        <f t="shared" si="984"/>
        <v>0.4766355140186922</v>
      </c>
      <c r="Q558">
        <f t="shared" si="985"/>
        <v>917002.08252336574</v>
      </c>
      <c r="R558">
        <f t="shared" si="986"/>
        <v>-49934909.599024892</v>
      </c>
      <c r="S558">
        <f t="shared" si="987"/>
        <v>-499.34909599024894</v>
      </c>
      <c r="T558">
        <f t="shared" si="988"/>
        <v>-0.49934909599024896</v>
      </c>
    </row>
    <row r="559" spans="1:20" x14ac:dyDescent="0.25">
      <c r="A559" s="5">
        <v>44034</v>
      </c>
      <c r="B559">
        <v>0.45050000000000001</v>
      </c>
      <c r="C559">
        <v>0.48699999999999999</v>
      </c>
      <c r="D559">
        <v>0.44929999999999998</v>
      </c>
      <c r="E559">
        <v>0.46729999999999999</v>
      </c>
      <c r="F559">
        <v>1599712.56</v>
      </c>
      <c r="G559">
        <v>0</v>
      </c>
      <c r="L559" t="s">
        <v>8</v>
      </c>
      <c r="M559" t="s">
        <v>7</v>
      </c>
      <c r="N559" t="s">
        <v>7</v>
      </c>
      <c r="P559">
        <f t="shared" si="984"/>
        <v>-4.5092838196285907E-2</v>
      </c>
      <c r="Q559">
        <f t="shared" si="985"/>
        <v>-72135.579628646316</v>
      </c>
      <c r="R559">
        <f t="shared" si="986"/>
        <v>-50851911.68154826</v>
      </c>
      <c r="S559">
        <f t="shared" si="987"/>
        <v>-508.51911681548262</v>
      </c>
      <c r="T559">
        <f t="shared" si="988"/>
        <v>-0.50851911681548256</v>
      </c>
    </row>
    <row r="560" spans="1:20" x14ac:dyDescent="0.25">
      <c r="A560" s="5">
        <v>44033</v>
      </c>
      <c r="B560">
        <v>0.46610000000000001</v>
      </c>
      <c r="C560">
        <v>0.46870000000000001</v>
      </c>
      <c r="D560">
        <v>0.44230000000000003</v>
      </c>
      <c r="E560">
        <v>0.45190000000000002</v>
      </c>
      <c r="F560">
        <v>802477.66</v>
      </c>
      <c r="G560">
        <v>0</v>
      </c>
      <c r="L560" t="s">
        <v>7</v>
      </c>
      <c r="M560" t="s">
        <v>7</v>
      </c>
      <c r="N560" t="s">
        <v>7</v>
      </c>
      <c r="P560">
        <f t="shared" si="984"/>
        <v>-0.27272727272727232</v>
      </c>
      <c r="Q560">
        <f t="shared" si="985"/>
        <v>-218857.54363636332</v>
      </c>
      <c r="R560">
        <f t="shared" si="986"/>
        <v>-50779776.101919614</v>
      </c>
      <c r="S560">
        <f t="shared" si="987"/>
        <v>-507.79776101919612</v>
      </c>
      <c r="T560">
        <f t="shared" si="988"/>
        <v>-0.50779776101919616</v>
      </c>
    </row>
    <row r="561" spans="1:104" x14ac:dyDescent="0.25">
      <c r="A561" s="5">
        <v>44032</v>
      </c>
      <c r="B561">
        <v>0.46410000000000001</v>
      </c>
      <c r="C561">
        <v>0.48559999999999998</v>
      </c>
      <c r="D561">
        <v>0.45800000000000002</v>
      </c>
      <c r="E561">
        <v>0.46610000000000001</v>
      </c>
      <c r="F561">
        <v>1295893.7</v>
      </c>
      <c r="G561">
        <v>0</v>
      </c>
      <c r="L561" t="s">
        <v>7</v>
      </c>
      <c r="M561" t="s">
        <v>7</v>
      </c>
      <c r="N561" t="s">
        <v>7</v>
      </c>
      <c r="P561">
        <f t="shared" si="984"/>
        <v>-0.41304347826086896</v>
      </c>
      <c r="Q561">
        <f t="shared" si="985"/>
        <v>-535260.44130434701</v>
      </c>
      <c r="R561">
        <f t="shared" si="986"/>
        <v>-50560918.558283247</v>
      </c>
      <c r="S561">
        <f t="shared" si="987"/>
        <v>-505.60918558283248</v>
      </c>
      <c r="T561">
        <f t="shared" si="988"/>
        <v>-0.50560918558283252</v>
      </c>
      <c r="CZ561" t="s">
        <v>7</v>
      </c>
    </row>
    <row r="562" spans="1:104" x14ac:dyDescent="0.25">
      <c r="A562" s="5">
        <v>44031</v>
      </c>
      <c r="B562">
        <v>0.47370000000000001</v>
      </c>
      <c r="C562">
        <v>0.4773</v>
      </c>
      <c r="D562">
        <v>0.45500000000000002</v>
      </c>
      <c r="E562">
        <v>0.4642</v>
      </c>
      <c r="F562">
        <v>877363.32</v>
      </c>
      <c r="G562">
        <v>0</v>
      </c>
      <c r="L562" t="s">
        <v>7</v>
      </c>
      <c r="M562" t="s">
        <v>7</v>
      </c>
      <c r="N562" t="s">
        <v>7</v>
      </c>
      <c r="P562">
        <f t="shared" si="984"/>
        <v>-0.17488789237668237</v>
      </c>
      <c r="Q562">
        <f t="shared" si="985"/>
        <v>-153440.22188340873</v>
      </c>
      <c r="R562">
        <f t="shared" si="986"/>
        <v>-50025658.116978899</v>
      </c>
      <c r="S562">
        <f t="shared" si="987"/>
        <v>-500.256581169789</v>
      </c>
      <c r="T562">
        <f t="shared" si="988"/>
        <v>-0.50025658116978899</v>
      </c>
      <c r="CZ562" t="s">
        <v>7</v>
      </c>
    </row>
    <row r="563" spans="1:104" x14ac:dyDescent="0.25">
      <c r="A563" s="5">
        <v>44030</v>
      </c>
      <c r="B563">
        <v>0.44519999999999998</v>
      </c>
      <c r="C563">
        <v>0.495</v>
      </c>
      <c r="D563">
        <v>0.44479999999999997</v>
      </c>
      <c r="E563">
        <v>0.47339999999999999</v>
      </c>
      <c r="F563">
        <v>1971655.69</v>
      </c>
      <c r="G563">
        <v>0</v>
      </c>
      <c r="L563" t="s">
        <v>8</v>
      </c>
      <c r="M563" t="s">
        <v>7</v>
      </c>
      <c r="N563" t="s">
        <v>7</v>
      </c>
      <c r="P563">
        <f t="shared" si="984"/>
        <v>0.13944223107569728</v>
      </c>
      <c r="Q563">
        <f t="shared" si="985"/>
        <v>274932.06832669338</v>
      </c>
      <c r="R563">
        <f t="shared" si="986"/>
        <v>-49872217.89509549</v>
      </c>
      <c r="S563">
        <f t="shared" si="987"/>
        <v>-498.72217895095491</v>
      </c>
      <c r="T563">
        <f t="shared" si="988"/>
        <v>-0.49872217895095489</v>
      </c>
      <c r="CZ563" t="s">
        <v>7</v>
      </c>
    </row>
    <row r="564" spans="1:104" x14ac:dyDescent="0.25">
      <c r="A564" s="5">
        <v>44029</v>
      </c>
      <c r="B564">
        <v>0.438</v>
      </c>
      <c r="C564">
        <v>0.45579999999999998</v>
      </c>
      <c r="D564">
        <v>0.42970000000000003</v>
      </c>
      <c r="E564">
        <v>0.44629999999999997</v>
      </c>
      <c r="F564">
        <v>952320.08</v>
      </c>
      <c r="G564">
        <v>0</v>
      </c>
      <c r="L564" t="s">
        <v>7</v>
      </c>
      <c r="M564" t="s">
        <v>7</v>
      </c>
      <c r="N564" t="s">
        <v>7</v>
      </c>
      <c r="P564">
        <f t="shared" si="984"/>
        <v>0.2720306513409943</v>
      </c>
      <c r="Q564">
        <f t="shared" si="985"/>
        <v>259060.2516475078</v>
      </c>
      <c r="R564">
        <f t="shared" si="986"/>
        <v>-50147149.963422187</v>
      </c>
      <c r="S564">
        <f t="shared" si="987"/>
        <v>-501.47149963422186</v>
      </c>
      <c r="T564">
        <f t="shared" si="988"/>
        <v>-0.50147149963422188</v>
      </c>
    </row>
    <row r="565" spans="1:104" x14ac:dyDescent="0.25">
      <c r="A565" s="5">
        <v>44028</v>
      </c>
      <c r="B565">
        <v>0.4667</v>
      </c>
      <c r="C565">
        <v>0.47</v>
      </c>
      <c r="D565">
        <v>0.433</v>
      </c>
      <c r="E565">
        <v>0.439</v>
      </c>
      <c r="F565">
        <v>1141166.01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-0.67567567567567521</v>
      </c>
      <c r="Q565">
        <f t="shared" si="985"/>
        <v>-771058.11486486439</v>
      </c>
      <c r="R565">
        <f t="shared" si="986"/>
        <v>-50406210.215069696</v>
      </c>
      <c r="S565">
        <f t="shared" si="987"/>
        <v>-504.06210215069694</v>
      </c>
      <c r="T565">
        <f t="shared" si="988"/>
        <v>-0.50406210215069691</v>
      </c>
    </row>
    <row r="566" spans="1:104" x14ac:dyDescent="0.25">
      <c r="A566" s="5">
        <v>44027</v>
      </c>
      <c r="B566">
        <v>0.48570000000000002</v>
      </c>
      <c r="C566">
        <v>0.48580000000000001</v>
      </c>
      <c r="D566">
        <v>0.46410000000000001</v>
      </c>
      <c r="E566">
        <v>0.46479999999999999</v>
      </c>
      <c r="F566">
        <v>704303.2</v>
      </c>
      <c r="G566">
        <v>0</v>
      </c>
      <c r="L566" t="s">
        <v>7</v>
      </c>
      <c r="M566" t="s">
        <v>7</v>
      </c>
      <c r="N566" t="s">
        <v>7</v>
      </c>
      <c r="P566">
        <f t="shared" si="984"/>
        <v>-0.93548387096774388</v>
      </c>
      <c r="Q566">
        <f t="shared" si="985"/>
        <v>-658864.28387096908</v>
      </c>
      <c r="R566">
        <f t="shared" si="986"/>
        <v>-49635152.100204833</v>
      </c>
      <c r="S566">
        <f t="shared" si="987"/>
        <v>-496.35152100204834</v>
      </c>
      <c r="T566">
        <f t="shared" si="988"/>
        <v>-0.49635152100204832</v>
      </c>
    </row>
    <row r="567" spans="1:104" x14ac:dyDescent="0.25">
      <c r="A567" s="5">
        <v>44026</v>
      </c>
      <c r="B567">
        <v>0.46789999999999998</v>
      </c>
      <c r="C567">
        <v>0.49690000000000001</v>
      </c>
      <c r="D567">
        <v>0.46110000000000001</v>
      </c>
      <c r="E567">
        <v>0.48580000000000001</v>
      </c>
      <c r="F567">
        <v>1930665.55</v>
      </c>
      <c r="G567">
        <v>0</v>
      </c>
      <c r="L567" t="s">
        <v>7</v>
      </c>
      <c r="M567" t="s">
        <v>7</v>
      </c>
      <c r="N567" t="s">
        <v>7</v>
      </c>
      <c r="P567">
        <f t="shared" si="984"/>
        <v>0.37988826815642462</v>
      </c>
      <c r="Q567">
        <f t="shared" si="985"/>
        <v>733437.19217877102</v>
      </c>
      <c r="R567">
        <f t="shared" si="986"/>
        <v>-48976287.81633386</v>
      </c>
      <c r="S567">
        <f t="shared" si="987"/>
        <v>-489.7628781633386</v>
      </c>
      <c r="T567">
        <f t="shared" si="988"/>
        <v>-0.48976287816333858</v>
      </c>
    </row>
    <row r="568" spans="1:104" x14ac:dyDescent="0.25">
      <c r="A568" s="5">
        <v>44025</v>
      </c>
      <c r="B568">
        <v>0.51780000000000004</v>
      </c>
      <c r="C568">
        <v>0.51990000000000003</v>
      </c>
      <c r="D568">
        <v>0.46500000000000002</v>
      </c>
      <c r="E568">
        <v>0.46739999999999998</v>
      </c>
      <c r="F568">
        <v>2334301.4900000002</v>
      </c>
      <c r="G568">
        <v>0</v>
      </c>
      <c r="L568" t="s">
        <v>7</v>
      </c>
      <c r="M568" t="s">
        <v>7</v>
      </c>
      <c r="N568" t="s">
        <v>7</v>
      </c>
      <c r="P568">
        <f t="shared" si="984"/>
        <v>-0.91256830601093053</v>
      </c>
      <c r="Q568">
        <f t="shared" si="985"/>
        <v>-2130209.5564480913</v>
      </c>
      <c r="R568">
        <f t="shared" si="986"/>
        <v>-49709725.008512631</v>
      </c>
      <c r="S568">
        <f t="shared" si="987"/>
        <v>-497.09725008512629</v>
      </c>
      <c r="T568">
        <f t="shared" si="988"/>
        <v>-0.49709725008512629</v>
      </c>
    </row>
    <row r="569" spans="1:104" x14ac:dyDescent="0.25">
      <c r="A569" s="5">
        <v>44024</v>
      </c>
      <c r="B569">
        <v>0.55810000000000004</v>
      </c>
      <c r="C569">
        <v>0.56599999999999995</v>
      </c>
      <c r="D569">
        <v>0.5081</v>
      </c>
      <c r="E569">
        <v>0.51770000000000005</v>
      </c>
      <c r="F569">
        <v>3460290.14</v>
      </c>
      <c r="G569">
        <v>0</v>
      </c>
      <c r="L569" t="s">
        <v>7</v>
      </c>
      <c r="M569" t="s">
        <v>7</v>
      </c>
      <c r="N569" t="s">
        <v>7</v>
      </c>
      <c r="P569">
        <f t="shared" si="984"/>
        <v>-0.66839378238341762</v>
      </c>
      <c r="Q569">
        <f t="shared" si="985"/>
        <v>-2312836.4148186459</v>
      </c>
      <c r="R569">
        <f t="shared" si="986"/>
        <v>-47579515.452064537</v>
      </c>
      <c r="S569">
        <f t="shared" si="987"/>
        <v>-475.79515452064538</v>
      </c>
      <c r="T569">
        <f t="shared" si="988"/>
        <v>-0.47579515452064536</v>
      </c>
    </row>
    <row r="570" spans="1:104" x14ac:dyDescent="0.25">
      <c r="A570" s="5">
        <v>44023</v>
      </c>
      <c r="B570">
        <v>0.53249999999999997</v>
      </c>
      <c r="C570">
        <v>0.5665</v>
      </c>
      <c r="D570">
        <v>0.51890000000000003</v>
      </c>
      <c r="E570">
        <v>0.55800000000000005</v>
      </c>
      <c r="F570">
        <v>1778600.98</v>
      </c>
      <c r="G570">
        <v>0</v>
      </c>
      <c r="L570" t="s">
        <v>8</v>
      </c>
      <c r="M570" t="s">
        <v>7</v>
      </c>
      <c r="N570" t="s">
        <v>7</v>
      </c>
      <c r="P570">
        <f t="shared" si="984"/>
        <v>0.64285714285714468</v>
      </c>
      <c r="Q570">
        <f t="shared" si="985"/>
        <v>1143386.3442857175</v>
      </c>
      <c r="R570">
        <f t="shared" si="986"/>
        <v>-45266679.037245892</v>
      </c>
      <c r="S570">
        <f t="shared" si="987"/>
        <v>-452.66679037245893</v>
      </c>
      <c r="T570">
        <f t="shared" si="988"/>
        <v>-0.45266679037245894</v>
      </c>
    </row>
    <row r="571" spans="1:104" x14ac:dyDescent="0.25">
      <c r="A571" s="5">
        <v>44022</v>
      </c>
      <c r="B571">
        <v>0.55979999999999996</v>
      </c>
      <c r="C571">
        <v>0.56940000000000002</v>
      </c>
      <c r="D571">
        <v>0.5091</v>
      </c>
      <c r="E571">
        <v>0.53249999999999997</v>
      </c>
      <c r="F571">
        <v>1904642.76</v>
      </c>
      <c r="G571">
        <v>0</v>
      </c>
      <c r="L571" t="s">
        <v>7</v>
      </c>
      <c r="M571" t="s">
        <v>7</v>
      </c>
      <c r="N571" t="s">
        <v>7</v>
      </c>
      <c r="P571">
        <f t="shared" si="984"/>
        <v>-0.22388059701492641</v>
      </c>
      <c r="Q571">
        <f t="shared" si="985"/>
        <v>-426412.5582089572</v>
      </c>
      <c r="R571">
        <f t="shared" si="986"/>
        <v>-46410065.381531611</v>
      </c>
      <c r="S571">
        <f t="shared" si="987"/>
        <v>-464.10065381531609</v>
      </c>
      <c r="T571">
        <f t="shared" si="988"/>
        <v>-0.46410065381531607</v>
      </c>
    </row>
    <row r="572" spans="1:104" x14ac:dyDescent="0.25">
      <c r="A572" s="5">
        <v>44021</v>
      </c>
      <c r="B572">
        <v>0.57899999999999996</v>
      </c>
      <c r="C572">
        <v>0.58499999999999996</v>
      </c>
      <c r="D572">
        <v>0.53500000000000003</v>
      </c>
      <c r="E572">
        <v>0.56330000000000002</v>
      </c>
      <c r="F572">
        <v>2731138.04</v>
      </c>
      <c r="G572">
        <v>0</v>
      </c>
      <c r="L572" t="s">
        <v>7</v>
      </c>
      <c r="M572" t="s">
        <v>7</v>
      </c>
      <c r="N572" t="s">
        <v>8</v>
      </c>
      <c r="P572">
        <f t="shared" si="984"/>
        <v>0.13200000000000117</v>
      </c>
      <c r="Q572">
        <f t="shared" si="985"/>
        <v>360510.2212800032</v>
      </c>
      <c r="R572">
        <f t="shared" si="986"/>
        <v>-45983652.823322654</v>
      </c>
      <c r="S572">
        <f t="shared" si="987"/>
        <v>-459.83652823322655</v>
      </c>
      <c r="T572">
        <f t="shared" si="988"/>
        <v>-0.45983652823322657</v>
      </c>
    </row>
    <row r="573" spans="1:104" x14ac:dyDescent="0.25">
      <c r="A573" s="5">
        <v>44020</v>
      </c>
      <c r="B573">
        <v>0.61499999999999999</v>
      </c>
      <c r="C573">
        <v>0.63260000000000005</v>
      </c>
      <c r="D573">
        <v>0.56769999999999998</v>
      </c>
      <c r="E573">
        <v>0.57699999999999996</v>
      </c>
      <c r="F573">
        <v>2986891.43</v>
      </c>
      <c r="G573">
        <v>0</v>
      </c>
      <c r="L573" t="s">
        <v>7</v>
      </c>
      <c r="M573" t="s">
        <v>7</v>
      </c>
      <c r="N573" t="s">
        <v>8</v>
      </c>
      <c r="P573">
        <f t="shared" si="984"/>
        <v>-0.71340523882896867</v>
      </c>
      <c r="Q573">
        <f t="shared" si="985"/>
        <v>-2130863.9939753497</v>
      </c>
      <c r="R573">
        <f t="shared" si="986"/>
        <v>-46344163.044602655</v>
      </c>
      <c r="S573">
        <f t="shared" si="987"/>
        <v>-463.44163044602652</v>
      </c>
      <c r="T573">
        <f t="shared" si="988"/>
        <v>-0.46344163044602654</v>
      </c>
    </row>
    <row r="574" spans="1:104" x14ac:dyDescent="0.25">
      <c r="A574" s="5">
        <v>44019</v>
      </c>
      <c r="B574">
        <v>0.66659999999999997</v>
      </c>
      <c r="C574">
        <v>0.7097</v>
      </c>
      <c r="D574">
        <v>0.59519999999999995</v>
      </c>
      <c r="E574">
        <v>0.6149</v>
      </c>
      <c r="F574">
        <v>4047211.37</v>
      </c>
      <c r="G574">
        <v>0</v>
      </c>
      <c r="L574" t="s">
        <v>7</v>
      </c>
      <c r="M574" t="s">
        <v>7</v>
      </c>
      <c r="N574" t="s">
        <v>8</v>
      </c>
      <c r="P574">
        <f t="shared" si="984"/>
        <v>-0.65589519650654948</v>
      </c>
      <c r="Q574">
        <f t="shared" si="985"/>
        <v>-2654546.4968296913</v>
      </c>
      <c r="R574">
        <f t="shared" si="986"/>
        <v>-44213299.050627306</v>
      </c>
      <c r="S574">
        <f t="shared" si="987"/>
        <v>-442.13299050627307</v>
      </c>
      <c r="T574">
        <f t="shared" si="988"/>
        <v>-0.44213299050627308</v>
      </c>
    </row>
    <row r="575" spans="1:104" x14ac:dyDescent="0.25">
      <c r="A575" s="5">
        <v>44018</v>
      </c>
      <c r="B575">
        <v>0.62519999999999998</v>
      </c>
      <c r="C575">
        <v>0.72</v>
      </c>
      <c r="D575">
        <v>0.61409999999999998</v>
      </c>
      <c r="E575">
        <v>0.66659999999999997</v>
      </c>
      <c r="F575">
        <v>3527948.87</v>
      </c>
      <c r="G575">
        <v>0</v>
      </c>
      <c r="L575" t="s">
        <v>8</v>
      </c>
      <c r="M575" t="s">
        <v>8</v>
      </c>
      <c r="N575" t="s">
        <v>8</v>
      </c>
      <c r="P575">
        <f t="shared" si="984"/>
        <v>-8.4985835694052127E-3</v>
      </c>
      <c r="Q575">
        <f t="shared" si="985"/>
        <v>-29982.568300283689</v>
      </c>
      <c r="R575">
        <f t="shared" si="986"/>
        <v>-41558752.553797618</v>
      </c>
      <c r="S575">
        <f t="shared" si="987"/>
        <v>-415.58752553797615</v>
      </c>
      <c r="T575">
        <f t="shared" si="988"/>
        <v>-0.41558752553797612</v>
      </c>
    </row>
    <row r="576" spans="1:104" x14ac:dyDescent="0.25">
      <c r="A576" s="5">
        <v>44017</v>
      </c>
      <c r="B576">
        <v>0.56399999999999995</v>
      </c>
      <c r="C576">
        <v>0.63219999999999998</v>
      </c>
      <c r="D576">
        <v>0.56200000000000006</v>
      </c>
      <c r="E576">
        <v>0.62519999999999998</v>
      </c>
      <c r="F576">
        <v>3022785.95</v>
      </c>
      <c r="G576">
        <v>0</v>
      </c>
      <c r="L576" t="s">
        <v>8</v>
      </c>
      <c r="M576" t="s">
        <v>8</v>
      </c>
      <c r="N576" t="s">
        <v>8</v>
      </c>
      <c r="P576">
        <f t="shared" si="984"/>
        <v>0.80056980056980021</v>
      </c>
      <c r="Q576">
        <f t="shared" si="985"/>
        <v>2419951.1451566941</v>
      </c>
      <c r="R576">
        <f t="shared" si="986"/>
        <v>-41528769.985497333</v>
      </c>
      <c r="S576">
        <f t="shared" si="987"/>
        <v>-415.28769985497331</v>
      </c>
      <c r="T576">
        <f t="shared" si="988"/>
        <v>-0.41528769985497332</v>
      </c>
    </row>
    <row r="577" spans="1:20" x14ac:dyDescent="0.25">
      <c r="A577" s="5">
        <v>44016</v>
      </c>
      <c r="B577">
        <v>0.56840000000000002</v>
      </c>
      <c r="C577">
        <v>0.57509999999999994</v>
      </c>
      <c r="D577">
        <v>0.5534</v>
      </c>
      <c r="E577">
        <v>0.56279999999999997</v>
      </c>
      <c r="F577">
        <v>641696.65</v>
      </c>
      <c r="G577">
        <v>0</v>
      </c>
      <c r="L577" t="s">
        <v>8</v>
      </c>
      <c r="M577" t="s">
        <v>8</v>
      </c>
      <c r="N577" t="s">
        <v>8</v>
      </c>
      <c r="P577">
        <f t="shared" si="984"/>
        <v>-0.13364055299539271</v>
      </c>
      <c r="Q577">
        <f t="shared" si="985"/>
        <v>-85756.695161290976</v>
      </c>
      <c r="R577">
        <f t="shared" si="986"/>
        <v>-43948721.13065403</v>
      </c>
      <c r="S577">
        <f t="shared" si="987"/>
        <v>-439.4872113065403</v>
      </c>
      <c r="T577">
        <f t="shared" si="988"/>
        <v>-0.43948721130654028</v>
      </c>
    </row>
    <row r="578" spans="1:20" x14ac:dyDescent="0.25">
      <c r="A578" s="5">
        <v>44015</v>
      </c>
      <c r="B578">
        <v>0.5252</v>
      </c>
      <c r="C578">
        <v>0.58260000000000001</v>
      </c>
      <c r="D578">
        <v>0.51800000000000002</v>
      </c>
      <c r="E578">
        <v>0.56969999999999998</v>
      </c>
      <c r="F578">
        <v>1397725.7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0.6006191950464389</v>
      </c>
      <c r="Q578">
        <f t="shared" si="985"/>
        <v>839500.88482972037</v>
      </c>
      <c r="R578">
        <f t="shared" si="986"/>
        <v>-43862964.435492739</v>
      </c>
      <c r="S578">
        <f t="shared" si="987"/>
        <v>-438.62964435492739</v>
      </c>
      <c r="T578">
        <f t="shared" si="988"/>
        <v>-0.43862964435492741</v>
      </c>
    </row>
    <row r="579" spans="1:20" x14ac:dyDescent="0.25">
      <c r="A579" s="5">
        <v>44014</v>
      </c>
      <c r="B579">
        <v>0.55130000000000001</v>
      </c>
      <c r="C579">
        <v>0.55959999999999999</v>
      </c>
      <c r="D579">
        <v>0.5</v>
      </c>
      <c r="E579">
        <v>0.52510000000000001</v>
      </c>
      <c r="F579">
        <v>1388286.68</v>
      </c>
      <c r="G579">
        <v>0</v>
      </c>
      <c r="L579" t="s">
        <v>7</v>
      </c>
      <c r="M579" t="s">
        <v>8</v>
      </c>
      <c r="N579" t="s">
        <v>8</v>
      </c>
      <c r="P579">
        <f t="shared" si="984"/>
        <v>-0.15771812080536857</v>
      </c>
      <c r="Q579">
        <f t="shared" si="985"/>
        <v>-218957.96630872405</v>
      </c>
      <c r="R579">
        <f t="shared" si="986"/>
        <v>-44702465.320322461</v>
      </c>
      <c r="S579">
        <f t="shared" si="987"/>
        <v>-447.0246532032246</v>
      </c>
      <c r="T579">
        <f t="shared" si="988"/>
        <v>-0.4470246532032246</v>
      </c>
    </row>
    <row r="580" spans="1:20" x14ac:dyDescent="0.25">
      <c r="A580" s="5">
        <v>44013</v>
      </c>
      <c r="B580">
        <v>0.51819999999999999</v>
      </c>
      <c r="C580">
        <v>0.55389999999999995</v>
      </c>
      <c r="D580">
        <v>0.49709999999999999</v>
      </c>
      <c r="E580">
        <v>0.55130000000000001</v>
      </c>
      <c r="F580">
        <v>1720568.39</v>
      </c>
      <c r="G580">
        <v>0</v>
      </c>
      <c r="L580" t="s">
        <v>8</v>
      </c>
      <c r="M580" t="s">
        <v>8</v>
      </c>
      <c r="N580" t="s">
        <v>8</v>
      </c>
      <c r="P580">
        <f t="shared" si="984"/>
        <v>0.90845070422535434</v>
      </c>
      <c r="Q580">
        <f t="shared" si="985"/>
        <v>1563051.565563384</v>
      </c>
      <c r="R580">
        <f t="shared" si="986"/>
        <v>-44483507.354013741</v>
      </c>
      <c r="S580">
        <f t="shared" si="987"/>
        <v>-444.83507354013739</v>
      </c>
      <c r="T580">
        <f t="shared" si="988"/>
        <v>-0.4448350735401374</v>
      </c>
    </row>
    <row r="581" spans="1:20" x14ac:dyDescent="0.25">
      <c r="A581" s="5">
        <v>44012</v>
      </c>
      <c r="B581">
        <v>0.50990000000000002</v>
      </c>
      <c r="C581">
        <v>0.5323</v>
      </c>
      <c r="D581">
        <v>0.50860000000000005</v>
      </c>
      <c r="E581">
        <v>0.52070000000000005</v>
      </c>
      <c r="F581">
        <v>916842.24</v>
      </c>
      <c r="G581">
        <v>0</v>
      </c>
      <c r="L581" t="s">
        <v>8</v>
      </c>
      <c r="M581" t="s">
        <v>8</v>
      </c>
      <c r="N581" t="s">
        <v>8</v>
      </c>
      <c r="P581">
        <f t="shared" si="984"/>
        <v>2.109704641350452E-2</v>
      </c>
      <c r="Q581">
        <f t="shared" si="985"/>
        <v>19342.663291141449</v>
      </c>
      <c r="R581">
        <f t="shared" si="986"/>
        <v>-46046558.919577122</v>
      </c>
      <c r="S581">
        <f t="shared" si="987"/>
        <v>-460.4655891957712</v>
      </c>
      <c r="T581">
        <f t="shared" si="988"/>
        <v>-0.46046558919577119</v>
      </c>
    </row>
    <row r="582" spans="1:20" x14ac:dyDescent="0.25">
      <c r="A582" s="5">
        <v>44011</v>
      </c>
      <c r="B582">
        <v>0.52690000000000003</v>
      </c>
      <c r="C582">
        <v>0.53469999999999995</v>
      </c>
      <c r="D582">
        <v>0.49540000000000001</v>
      </c>
      <c r="E582">
        <v>0.51270000000000004</v>
      </c>
      <c r="F582">
        <v>1227458.31</v>
      </c>
      <c r="G582">
        <v>0</v>
      </c>
      <c r="L582" t="s">
        <v>7</v>
      </c>
      <c r="M582" t="s">
        <v>8</v>
      </c>
      <c r="N582" t="s">
        <v>8</v>
      </c>
      <c r="P582">
        <f t="shared" ref="P582:P645" si="989">IF(C582=D582,0,((E582-D582)-(C582-E582))/(C582-D582))</f>
        <v>-0.11959287531806304</v>
      </c>
      <c r="Q582">
        <f t="shared" ref="Q582:Q645" si="990">F582*P582</f>
        <v>-146795.26862595038</v>
      </c>
      <c r="R582">
        <f t="shared" ref="R582:R645" si="991">R583+Q582</f>
        <v>-46065901.582868263</v>
      </c>
      <c r="S582">
        <f t="shared" ref="S582:S645" si="992">R582/100000</f>
        <v>-460.65901582868264</v>
      </c>
      <c r="T582">
        <f t="shared" ref="T582:T645" si="993">S582/1000</f>
        <v>-0.46065901582868263</v>
      </c>
    </row>
    <row r="583" spans="1:20" x14ac:dyDescent="0.25">
      <c r="A583" s="5">
        <v>44010</v>
      </c>
      <c r="B583">
        <v>0.46339999999999998</v>
      </c>
      <c r="C583">
        <v>0.54269999999999996</v>
      </c>
      <c r="D583">
        <v>0.45610000000000001</v>
      </c>
      <c r="E583">
        <v>0.52669999999999995</v>
      </c>
      <c r="F583">
        <v>2584662.63</v>
      </c>
      <c r="G583">
        <v>0</v>
      </c>
      <c r="L583" t="s">
        <v>8</v>
      </c>
      <c r="M583" t="s">
        <v>8</v>
      </c>
      <c r="N583" t="s">
        <v>8</v>
      </c>
      <c r="P583">
        <f t="shared" si="989"/>
        <v>0.63048498845265533</v>
      </c>
      <c r="Q583">
        <f t="shared" si="990"/>
        <v>1629590.9884295596</v>
      </c>
      <c r="R583">
        <f t="shared" si="991"/>
        <v>-45919106.314242311</v>
      </c>
      <c r="S583">
        <f t="shared" si="992"/>
        <v>-459.1910631424231</v>
      </c>
      <c r="T583">
        <f t="shared" si="993"/>
        <v>-0.45919106314242308</v>
      </c>
    </row>
    <row r="584" spans="1:20" x14ac:dyDescent="0.25">
      <c r="A584" s="5">
        <v>44009</v>
      </c>
      <c r="B584">
        <v>0.49199999999999999</v>
      </c>
      <c r="C584">
        <v>0.50580000000000003</v>
      </c>
      <c r="D584">
        <v>0.4511</v>
      </c>
      <c r="E584">
        <v>0.46339999999999998</v>
      </c>
      <c r="F584">
        <v>1400749.03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-0.55027422303473594</v>
      </c>
      <c r="Q584">
        <f t="shared" si="990"/>
        <v>-770796.08414991002</v>
      </c>
      <c r="R584">
        <f t="shared" si="991"/>
        <v>-47548697.302671872</v>
      </c>
      <c r="S584">
        <f t="shared" si="992"/>
        <v>-475.48697302671872</v>
      </c>
      <c r="T584">
        <f t="shared" si="993"/>
        <v>-0.47548697302671872</v>
      </c>
    </row>
    <row r="585" spans="1:20" x14ac:dyDescent="0.25">
      <c r="A585" s="5">
        <v>44008</v>
      </c>
      <c r="B585">
        <v>0.50429999999999997</v>
      </c>
      <c r="C585">
        <v>0.52100000000000002</v>
      </c>
      <c r="D585">
        <v>0.47660000000000002</v>
      </c>
      <c r="E585">
        <v>0.49199999999999999</v>
      </c>
      <c r="F585">
        <v>1087965.77</v>
      </c>
      <c r="G585">
        <v>0</v>
      </c>
      <c r="L585" t="s">
        <v>8</v>
      </c>
      <c r="M585" t="s">
        <v>7</v>
      </c>
      <c r="N585" t="s">
        <v>8</v>
      </c>
      <c r="P585">
        <f t="shared" si="989"/>
        <v>-0.30630630630630762</v>
      </c>
      <c r="Q585">
        <f t="shared" si="990"/>
        <v>-333250.77639639785</v>
      </c>
      <c r="R585">
        <f t="shared" si="991"/>
        <v>-46777901.21852196</v>
      </c>
      <c r="S585">
        <f t="shared" si="992"/>
        <v>-467.77901218521959</v>
      </c>
      <c r="T585">
        <f t="shared" si="993"/>
        <v>-0.46777901218521961</v>
      </c>
    </row>
    <row r="586" spans="1:20" x14ac:dyDescent="0.25">
      <c r="A586" s="5">
        <v>44007</v>
      </c>
      <c r="B586">
        <v>0.50439999999999996</v>
      </c>
      <c r="C586">
        <v>0.50800000000000001</v>
      </c>
      <c r="D586">
        <v>0.46500000000000002</v>
      </c>
      <c r="E586">
        <v>0.50270000000000004</v>
      </c>
      <c r="F586">
        <v>1662190.22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0.75348837209302444</v>
      </c>
      <c r="Q586">
        <f t="shared" si="990"/>
        <v>1252441.0029767461</v>
      </c>
      <c r="R586">
        <f t="shared" si="991"/>
        <v>-46444650.442125559</v>
      </c>
      <c r="S586">
        <f t="shared" si="992"/>
        <v>-464.44650442125561</v>
      </c>
      <c r="T586">
        <f t="shared" si="993"/>
        <v>-0.46444650442125562</v>
      </c>
    </row>
    <row r="587" spans="1:20" x14ac:dyDescent="0.25">
      <c r="A587" s="5">
        <v>44006</v>
      </c>
      <c r="B587">
        <v>0.53349999999999997</v>
      </c>
      <c r="C587">
        <v>0.57989999999999997</v>
      </c>
      <c r="D587">
        <v>0.48049999999999998</v>
      </c>
      <c r="E587">
        <v>0.50460000000000005</v>
      </c>
      <c r="F587">
        <v>3078288.46</v>
      </c>
      <c r="G587">
        <v>0</v>
      </c>
      <c r="L587" t="s">
        <v>8</v>
      </c>
      <c r="M587" t="s">
        <v>8</v>
      </c>
      <c r="N587" t="s">
        <v>8</v>
      </c>
      <c r="P587">
        <f t="shared" si="989"/>
        <v>-0.51509054325955594</v>
      </c>
      <c r="Q587">
        <f t="shared" si="990"/>
        <v>-1585597.2751710219</v>
      </c>
      <c r="R587">
        <f t="shared" si="991"/>
        <v>-47697091.445102304</v>
      </c>
      <c r="S587">
        <f t="shared" si="992"/>
        <v>-476.97091445102302</v>
      </c>
      <c r="T587">
        <f t="shared" si="993"/>
        <v>-0.47697091445102302</v>
      </c>
    </row>
    <row r="588" spans="1:20" x14ac:dyDescent="0.25">
      <c r="A588" s="5">
        <v>44005</v>
      </c>
      <c r="B588">
        <v>0.46250000000000002</v>
      </c>
      <c r="C588">
        <v>0.55520000000000003</v>
      </c>
      <c r="D588">
        <v>0.46089999999999998</v>
      </c>
      <c r="E588">
        <v>0.53349999999999997</v>
      </c>
      <c r="F588">
        <v>3400821.4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0.53976670201484533</v>
      </c>
      <c r="Q588">
        <f t="shared" si="990"/>
        <v>1835650.1512195091</v>
      </c>
      <c r="R588">
        <f t="shared" si="991"/>
        <v>-46111494.169931285</v>
      </c>
      <c r="S588">
        <f t="shared" si="992"/>
        <v>-461.11494169931285</v>
      </c>
      <c r="T588">
        <f t="shared" si="993"/>
        <v>-0.46111494169931283</v>
      </c>
    </row>
    <row r="589" spans="1:20" x14ac:dyDescent="0.25">
      <c r="A589" s="5">
        <v>44004</v>
      </c>
      <c r="B589">
        <v>0.41249999999999998</v>
      </c>
      <c r="C589">
        <v>0.46250000000000002</v>
      </c>
      <c r="D589">
        <v>0.41039999999999999</v>
      </c>
      <c r="E589">
        <v>0.46250000000000002</v>
      </c>
      <c r="F589">
        <v>1200977.99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1</v>
      </c>
      <c r="Q589">
        <f t="shared" si="990"/>
        <v>1200977.99</v>
      </c>
      <c r="R589">
        <f t="shared" si="991"/>
        <v>-47947144.321150795</v>
      </c>
      <c r="S589">
        <f t="shared" si="992"/>
        <v>-479.47144321150796</v>
      </c>
      <c r="T589">
        <f t="shared" si="993"/>
        <v>-0.47947144321150797</v>
      </c>
    </row>
    <row r="590" spans="1:20" x14ac:dyDescent="0.25">
      <c r="A590" s="5">
        <v>44003</v>
      </c>
      <c r="B590">
        <v>0.4042</v>
      </c>
      <c r="C590">
        <v>0.43769999999999998</v>
      </c>
      <c r="D590">
        <v>0.4042</v>
      </c>
      <c r="E590">
        <v>0.41249999999999998</v>
      </c>
      <c r="F590">
        <v>982869.53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-0.50447761194029972</v>
      </c>
      <c r="Q590">
        <f t="shared" si="990"/>
        <v>-495835.67334328481</v>
      </c>
      <c r="R590">
        <f t="shared" si="991"/>
        <v>-49148122.311150797</v>
      </c>
      <c r="S590">
        <f t="shared" si="992"/>
        <v>-491.48122311150797</v>
      </c>
      <c r="T590">
        <f t="shared" si="993"/>
        <v>-0.49148122311150799</v>
      </c>
    </row>
    <row r="591" spans="1:20" x14ac:dyDescent="0.25">
      <c r="A591" s="5">
        <v>44002</v>
      </c>
      <c r="B591">
        <v>0.41</v>
      </c>
      <c r="C591">
        <v>0.42749999999999999</v>
      </c>
      <c r="D591">
        <v>0.39419999999999999</v>
      </c>
      <c r="E591">
        <v>0.40639999999999998</v>
      </c>
      <c r="F591">
        <v>751023.11</v>
      </c>
      <c r="G591">
        <v>0</v>
      </c>
      <c r="L591" t="s">
        <v>8</v>
      </c>
      <c r="M591" t="s">
        <v>8</v>
      </c>
      <c r="N591" t="s">
        <v>8</v>
      </c>
      <c r="P591">
        <f t="shared" si="989"/>
        <v>-0.26726726726726785</v>
      </c>
      <c r="Q591">
        <f t="shared" si="990"/>
        <v>-200723.8942642647</v>
      </c>
      <c r="R591">
        <f t="shared" si="991"/>
        <v>-48652286.637807511</v>
      </c>
      <c r="S591">
        <f t="shared" si="992"/>
        <v>-486.52286637807509</v>
      </c>
      <c r="T591">
        <f t="shared" si="993"/>
        <v>-0.48652286637807507</v>
      </c>
    </row>
    <row r="592" spans="1:20" x14ac:dyDescent="0.25">
      <c r="A592" s="5">
        <v>44001</v>
      </c>
      <c r="B592">
        <v>0.39200000000000002</v>
      </c>
      <c r="C592">
        <v>0.41799999999999998</v>
      </c>
      <c r="D592">
        <v>0.376</v>
      </c>
      <c r="E592">
        <v>0.40770000000000001</v>
      </c>
      <c r="F592">
        <v>663161.43000000005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0.50952380952381049</v>
      </c>
      <c r="Q592">
        <f t="shared" si="990"/>
        <v>337896.53814285778</v>
      </c>
      <c r="R592">
        <f t="shared" si="991"/>
        <v>-48451562.743543245</v>
      </c>
      <c r="S592">
        <f t="shared" si="992"/>
        <v>-484.51562743543246</v>
      </c>
      <c r="T592">
        <f t="shared" si="993"/>
        <v>-0.48451562743543247</v>
      </c>
    </row>
    <row r="593" spans="1:20" x14ac:dyDescent="0.25">
      <c r="A593" s="5">
        <v>44000</v>
      </c>
      <c r="B593">
        <v>0.40710000000000002</v>
      </c>
      <c r="C593">
        <v>0.41170000000000001</v>
      </c>
      <c r="D593">
        <v>0.3775</v>
      </c>
      <c r="E593">
        <v>0.39200000000000002</v>
      </c>
      <c r="F593">
        <v>968387.87</v>
      </c>
      <c r="G593">
        <v>0</v>
      </c>
      <c r="L593" t="s">
        <v>7</v>
      </c>
      <c r="M593" t="s">
        <v>8</v>
      </c>
      <c r="N593" t="s">
        <v>8</v>
      </c>
      <c r="P593">
        <f t="shared" si="989"/>
        <v>-0.15204678362573043</v>
      </c>
      <c r="Q593">
        <f t="shared" si="990"/>
        <v>-147240.26093567198</v>
      </c>
      <c r="R593">
        <f t="shared" si="991"/>
        <v>-48789459.281686105</v>
      </c>
      <c r="S593">
        <f t="shared" si="992"/>
        <v>-487.89459281686106</v>
      </c>
      <c r="T593">
        <f t="shared" si="993"/>
        <v>-0.48789459281686104</v>
      </c>
    </row>
    <row r="594" spans="1:20" x14ac:dyDescent="0.25">
      <c r="A594" s="5">
        <v>43999</v>
      </c>
      <c r="B594">
        <v>0.37019999999999997</v>
      </c>
      <c r="C594">
        <v>0.43280000000000002</v>
      </c>
      <c r="D594">
        <v>0.36680000000000001</v>
      </c>
      <c r="E594">
        <v>0.40710000000000002</v>
      </c>
      <c r="F594">
        <v>2270193.9500000002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0.22121212121212122</v>
      </c>
      <c r="Q594">
        <f t="shared" si="990"/>
        <v>502194.41924242431</v>
      </c>
      <c r="R594">
        <f t="shared" si="991"/>
        <v>-48642219.020750433</v>
      </c>
      <c r="S594">
        <f t="shared" si="992"/>
        <v>-486.42219020750434</v>
      </c>
      <c r="T594">
        <f t="shared" si="993"/>
        <v>-0.48642219020750432</v>
      </c>
    </row>
    <row r="595" spans="1:20" x14ac:dyDescent="0.25">
      <c r="A595" s="5">
        <v>43998</v>
      </c>
      <c r="B595">
        <v>0.35639999999999999</v>
      </c>
      <c r="C595">
        <v>0.37159999999999999</v>
      </c>
      <c r="D595">
        <v>0.35099999999999998</v>
      </c>
      <c r="E595">
        <v>0.3695</v>
      </c>
      <c r="F595">
        <v>509860.87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0.79611650485436991</v>
      </c>
      <c r="Q595">
        <f t="shared" si="990"/>
        <v>405908.65378640825</v>
      </c>
      <c r="R595">
        <f t="shared" si="991"/>
        <v>-49144413.43999286</v>
      </c>
      <c r="S595">
        <f t="shared" si="992"/>
        <v>-491.4441343999286</v>
      </c>
      <c r="T595">
        <f t="shared" si="993"/>
        <v>-0.49144413439992862</v>
      </c>
    </row>
    <row r="596" spans="1:20" x14ac:dyDescent="0.25">
      <c r="A596" s="5">
        <v>43997</v>
      </c>
      <c r="B596">
        <v>0.35099999999999998</v>
      </c>
      <c r="C596">
        <v>0.3619</v>
      </c>
      <c r="D596">
        <v>0.31309999999999999</v>
      </c>
      <c r="E596">
        <v>0.35639999999999999</v>
      </c>
      <c r="F596">
        <v>1391063.2</v>
      </c>
      <c r="G596">
        <v>0</v>
      </c>
      <c r="L596" t="s">
        <v>7</v>
      </c>
      <c r="M596" t="s">
        <v>8</v>
      </c>
      <c r="N596" t="s">
        <v>8</v>
      </c>
      <c r="P596">
        <f t="shared" si="989"/>
        <v>0.77459016393442603</v>
      </c>
      <c r="Q596">
        <f t="shared" si="990"/>
        <v>1077503.8721311472</v>
      </c>
      <c r="R596">
        <f t="shared" si="991"/>
        <v>-49550322.093779266</v>
      </c>
      <c r="S596">
        <f t="shared" si="992"/>
        <v>-495.50322093779266</v>
      </c>
      <c r="T596">
        <f t="shared" si="993"/>
        <v>-0.49550322093779264</v>
      </c>
    </row>
    <row r="597" spans="1:20" x14ac:dyDescent="0.25">
      <c r="A597" s="5">
        <v>43996</v>
      </c>
      <c r="B597">
        <v>0.35289999999999999</v>
      </c>
      <c r="C597">
        <v>0.37490000000000001</v>
      </c>
      <c r="D597">
        <v>0.34599999999999997</v>
      </c>
      <c r="E597">
        <v>0.35339999999999999</v>
      </c>
      <c r="F597">
        <v>834291.07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-0.48788927335640081</v>
      </c>
      <c r="Q597">
        <f t="shared" si="990"/>
        <v>-407041.66391003411</v>
      </c>
      <c r="R597">
        <f t="shared" si="991"/>
        <v>-50627825.965910412</v>
      </c>
      <c r="S597">
        <f t="shared" si="992"/>
        <v>-506.27825965910415</v>
      </c>
      <c r="T597">
        <f t="shared" si="993"/>
        <v>-0.50627825965910411</v>
      </c>
    </row>
    <row r="598" spans="1:20" x14ac:dyDescent="0.25">
      <c r="A598" s="5">
        <v>43995</v>
      </c>
      <c r="B598">
        <v>0.34849999999999998</v>
      </c>
      <c r="C598">
        <v>0.3589</v>
      </c>
      <c r="D598">
        <v>0.34310000000000002</v>
      </c>
      <c r="E598">
        <v>0.35299999999999998</v>
      </c>
      <c r="F598">
        <v>790894.55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0.25316455696202234</v>
      </c>
      <c r="Q598">
        <f t="shared" si="990"/>
        <v>200226.46835442804</v>
      </c>
      <c r="R598">
        <f t="shared" si="991"/>
        <v>-50220784.302000381</v>
      </c>
      <c r="S598">
        <f t="shared" si="992"/>
        <v>-502.20784302000379</v>
      </c>
      <c r="T598">
        <f t="shared" si="993"/>
        <v>-0.50220784302000376</v>
      </c>
    </row>
    <row r="599" spans="1:20" x14ac:dyDescent="0.25">
      <c r="A599" s="5">
        <v>43994</v>
      </c>
      <c r="B599">
        <v>0.3332</v>
      </c>
      <c r="C599">
        <v>0.3528</v>
      </c>
      <c r="D599">
        <v>0.31059999999999999</v>
      </c>
      <c r="E599">
        <v>0.34839999999999999</v>
      </c>
      <c r="F599">
        <v>1162460.3400000001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0.79146919431279561</v>
      </c>
      <c r="Q599">
        <f t="shared" si="990"/>
        <v>920051.54872037855</v>
      </c>
      <c r="R599">
        <f t="shared" si="991"/>
        <v>-50421010.770354807</v>
      </c>
      <c r="S599">
        <f t="shared" si="992"/>
        <v>-504.21010770354809</v>
      </c>
      <c r="T599">
        <f t="shared" si="993"/>
        <v>-0.50421010770354813</v>
      </c>
    </row>
    <row r="600" spans="1:20" x14ac:dyDescent="0.25">
      <c r="A600" s="5">
        <v>43993</v>
      </c>
      <c r="B600">
        <v>0.34210000000000002</v>
      </c>
      <c r="C600">
        <v>0.3629</v>
      </c>
      <c r="D600">
        <v>0.31</v>
      </c>
      <c r="E600">
        <v>0.3362</v>
      </c>
      <c r="F600">
        <v>1646502.77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-9.4517958412098386E-3</v>
      </c>
      <c r="Q600">
        <f t="shared" si="990"/>
        <v>-15562.408034026479</v>
      </c>
      <c r="R600">
        <f t="shared" si="991"/>
        <v>-51341062.31907519</v>
      </c>
      <c r="S600">
        <f t="shared" si="992"/>
        <v>-513.41062319075195</v>
      </c>
      <c r="T600">
        <f t="shared" si="993"/>
        <v>-0.51341062319075192</v>
      </c>
    </row>
    <row r="601" spans="1:20" x14ac:dyDescent="0.25">
      <c r="A601" s="5">
        <v>43992</v>
      </c>
      <c r="B601">
        <v>0.34699999999999998</v>
      </c>
      <c r="C601">
        <v>0.34939999999999999</v>
      </c>
      <c r="D601">
        <v>0.33860000000000001</v>
      </c>
      <c r="E601">
        <v>0.34429999999999999</v>
      </c>
      <c r="F601">
        <v>906792.2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5.5555555555554699E-2</v>
      </c>
      <c r="Q601">
        <f t="shared" si="990"/>
        <v>50377.344444443668</v>
      </c>
      <c r="R601">
        <f t="shared" si="991"/>
        <v>-51325499.911041163</v>
      </c>
      <c r="S601">
        <f t="shared" si="992"/>
        <v>-513.25499911041163</v>
      </c>
      <c r="T601">
        <f t="shared" si="993"/>
        <v>-0.51325499911041161</v>
      </c>
    </row>
    <row r="602" spans="1:20" x14ac:dyDescent="0.25">
      <c r="A602" s="5">
        <v>43991</v>
      </c>
      <c r="B602">
        <v>0.35160000000000002</v>
      </c>
      <c r="C602">
        <v>0.35610000000000003</v>
      </c>
      <c r="D602">
        <v>0.34189999999999998</v>
      </c>
      <c r="E602">
        <v>0.34710000000000002</v>
      </c>
      <c r="F602">
        <v>647741.74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-0.26760563380281394</v>
      </c>
      <c r="Q602">
        <f t="shared" si="990"/>
        <v>-173339.33887323752</v>
      </c>
      <c r="R602">
        <f t="shared" si="991"/>
        <v>-51375877.255485609</v>
      </c>
      <c r="S602">
        <f t="shared" si="992"/>
        <v>-513.75877255485614</v>
      </c>
      <c r="T602">
        <f t="shared" si="993"/>
        <v>-0.51375877255485614</v>
      </c>
    </row>
    <row r="603" spans="1:20" x14ac:dyDescent="0.25">
      <c r="A603" s="5">
        <v>43990</v>
      </c>
      <c r="B603">
        <v>0.33539999999999998</v>
      </c>
      <c r="C603">
        <v>0.37619999999999998</v>
      </c>
      <c r="D603">
        <v>0.33160000000000001</v>
      </c>
      <c r="E603">
        <v>0.35160000000000002</v>
      </c>
      <c r="F603">
        <v>1461836.85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-0.10313901345291346</v>
      </c>
      <c r="Q603">
        <f t="shared" si="990"/>
        <v>-150772.41053811464</v>
      </c>
      <c r="R603">
        <f t="shared" si="991"/>
        <v>-51202537.916612372</v>
      </c>
      <c r="S603">
        <f t="shared" si="992"/>
        <v>-512.02537916612368</v>
      </c>
      <c r="T603">
        <f t="shared" si="993"/>
        <v>-0.51202537916612367</v>
      </c>
    </row>
    <row r="604" spans="1:20" x14ac:dyDescent="0.25">
      <c r="A604" s="5">
        <v>43989</v>
      </c>
      <c r="B604">
        <v>0.32890000000000003</v>
      </c>
      <c r="C604">
        <v>0.34179999999999999</v>
      </c>
      <c r="D604">
        <v>0.31080000000000002</v>
      </c>
      <c r="E604">
        <v>0.33750000000000002</v>
      </c>
      <c r="F604">
        <v>577535.65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0.72258064516129195</v>
      </c>
      <c r="Q604">
        <f t="shared" si="990"/>
        <v>417316.08258064609</v>
      </c>
      <c r="R604">
        <f t="shared" si="991"/>
        <v>-51051765.506074257</v>
      </c>
      <c r="S604">
        <f t="shared" si="992"/>
        <v>-510.51765506074258</v>
      </c>
      <c r="T604">
        <f t="shared" si="993"/>
        <v>-0.51051765506074254</v>
      </c>
    </row>
    <row r="605" spans="1:20" x14ac:dyDescent="0.25">
      <c r="A605" s="5">
        <v>43988</v>
      </c>
      <c r="B605">
        <v>0.32379999999999998</v>
      </c>
      <c r="C605">
        <v>0.34839999999999999</v>
      </c>
      <c r="D605">
        <v>0.31830000000000003</v>
      </c>
      <c r="E605">
        <v>0.32979999999999998</v>
      </c>
      <c r="F605">
        <v>545745.21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-0.23588039867109833</v>
      </c>
      <c r="Q605">
        <f t="shared" si="990"/>
        <v>-128730.59770764227</v>
      </c>
      <c r="R605">
        <f t="shared" si="991"/>
        <v>-51469081.588654906</v>
      </c>
      <c r="S605">
        <f t="shared" si="992"/>
        <v>-514.6908158865491</v>
      </c>
      <c r="T605">
        <f t="shared" si="993"/>
        <v>-0.51469081588654908</v>
      </c>
    </row>
    <row r="606" spans="1:20" x14ac:dyDescent="0.25">
      <c r="A606" s="5">
        <v>43987</v>
      </c>
      <c r="B606">
        <v>0.33160000000000001</v>
      </c>
      <c r="C606">
        <v>0.3422</v>
      </c>
      <c r="D606">
        <v>0.3206</v>
      </c>
      <c r="E606">
        <v>0.32379999999999998</v>
      </c>
      <c r="F606">
        <v>399412.4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-0.70370370370370561</v>
      </c>
      <c r="Q606">
        <f t="shared" si="990"/>
        <v>-281067.98518518597</v>
      </c>
      <c r="R606">
        <f t="shared" si="991"/>
        <v>-51340350.990947261</v>
      </c>
      <c r="S606">
        <f t="shared" si="992"/>
        <v>-513.40350990947263</v>
      </c>
      <c r="T606">
        <f t="shared" si="993"/>
        <v>-0.51340350990947259</v>
      </c>
    </row>
    <row r="607" spans="1:20" x14ac:dyDescent="0.25">
      <c r="A607" s="5">
        <v>43986</v>
      </c>
      <c r="B607">
        <v>0.32490000000000002</v>
      </c>
      <c r="C607">
        <v>0.35</v>
      </c>
      <c r="D607">
        <v>0.32300000000000001</v>
      </c>
      <c r="E607">
        <v>0.33129999999999998</v>
      </c>
      <c r="F607">
        <v>1147132.03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-0.38518518518518641</v>
      </c>
      <c r="Q607">
        <f t="shared" si="990"/>
        <v>-441858.26340740884</v>
      </c>
      <c r="R607">
        <f t="shared" si="991"/>
        <v>-51059283.005762078</v>
      </c>
      <c r="S607">
        <f t="shared" si="992"/>
        <v>-510.5928300576208</v>
      </c>
      <c r="T607">
        <f t="shared" si="993"/>
        <v>-0.51059283005762079</v>
      </c>
    </row>
    <row r="608" spans="1:20" x14ac:dyDescent="0.25">
      <c r="A608" s="5">
        <v>43985</v>
      </c>
      <c r="B608">
        <v>0.30990000000000001</v>
      </c>
      <c r="C608">
        <v>0.32640000000000002</v>
      </c>
      <c r="D608">
        <v>0.30309999999999998</v>
      </c>
      <c r="E608">
        <v>0.32490000000000002</v>
      </c>
      <c r="F608">
        <v>562736.11</v>
      </c>
      <c r="G608">
        <v>0</v>
      </c>
      <c r="L608" t="s">
        <v>8</v>
      </c>
      <c r="M608" t="s">
        <v>7</v>
      </c>
      <c r="N608" t="s">
        <v>8</v>
      </c>
      <c r="P608">
        <f t="shared" si="989"/>
        <v>0.87124463519313322</v>
      </c>
      <c r="Q608">
        <f t="shared" si="990"/>
        <v>490280.81686695287</v>
      </c>
      <c r="R608">
        <f t="shared" si="991"/>
        <v>-50617424.742354669</v>
      </c>
      <c r="S608">
        <f t="shared" si="992"/>
        <v>-506.17424742354666</v>
      </c>
      <c r="T608">
        <f t="shared" si="993"/>
        <v>-0.50617424742354666</v>
      </c>
    </row>
    <row r="609" spans="1:20" x14ac:dyDescent="0.25">
      <c r="A609" s="5">
        <v>43984</v>
      </c>
      <c r="B609">
        <v>0.32050000000000001</v>
      </c>
      <c r="C609">
        <v>0.3337</v>
      </c>
      <c r="D609">
        <v>0.28739999999999999</v>
      </c>
      <c r="E609">
        <v>0.30990000000000001</v>
      </c>
      <c r="F609">
        <v>1029160.69</v>
      </c>
      <c r="G609">
        <v>0</v>
      </c>
      <c r="L609" t="s">
        <v>7</v>
      </c>
      <c r="M609" t="s">
        <v>7</v>
      </c>
      <c r="N609" t="s">
        <v>8</v>
      </c>
      <c r="P609">
        <f t="shared" si="989"/>
        <v>-2.8077753779696926E-2</v>
      </c>
      <c r="Q609">
        <f t="shared" si="990"/>
        <v>-28896.520453562993</v>
      </c>
      <c r="R609">
        <f t="shared" si="991"/>
        <v>-51107705.559221618</v>
      </c>
      <c r="S609">
        <f t="shared" si="992"/>
        <v>-511.0770555922162</v>
      </c>
      <c r="T609">
        <f t="shared" si="993"/>
        <v>-0.51107705559221617</v>
      </c>
    </row>
    <row r="610" spans="1:20" x14ac:dyDescent="0.25">
      <c r="A610" s="5">
        <v>43983</v>
      </c>
      <c r="B610">
        <v>0.31390000000000001</v>
      </c>
      <c r="C610">
        <v>0.32529999999999998</v>
      </c>
      <c r="D610">
        <v>0.30980000000000002</v>
      </c>
      <c r="E610">
        <v>0.32100000000000001</v>
      </c>
      <c r="F610">
        <v>724840.92</v>
      </c>
      <c r="G610">
        <v>0</v>
      </c>
      <c r="L610" t="s">
        <v>7</v>
      </c>
      <c r="M610" t="s">
        <v>7</v>
      </c>
      <c r="N610" t="s">
        <v>8</v>
      </c>
      <c r="P610">
        <f t="shared" si="989"/>
        <v>0.44516129032258295</v>
      </c>
      <c r="Q610">
        <f t="shared" si="990"/>
        <v>322671.11922580813</v>
      </c>
      <c r="R610">
        <f t="shared" si="991"/>
        <v>-51078809.038768053</v>
      </c>
      <c r="S610">
        <f t="shared" si="992"/>
        <v>-510.78809038768054</v>
      </c>
      <c r="T610">
        <f t="shared" si="993"/>
        <v>-0.51078809038768058</v>
      </c>
    </row>
    <row r="611" spans="1:20" x14ac:dyDescent="0.25">
      <c r="A611" s="5">
        <v>43982</v>
      </c>
      <c r="B611">
        <v>0.32519999999999999</v>
      </c>
      <c r="C611">
        <v>0.33910000000000001</v>
      </c>
      <c r="D611">
        <v>0.31</v>
      </c>
      <c r="E611">
        <v>0.31159999999999999</v>
      </c>
      <c r="F611">
        <v>1132455.44</v>
      </c>
      <c r="G611">
        <v>0</v>
      </c>
      <c r="L611" t="s">
        <v>7</v>
      </c>
      <c r="M611" t="s">
        <v>7</v>
      </c>
      <c r="N611" t="s">
        <v>8</v>
      </c>
      <c r="P611">
        <f t="shared" si="989"/>
        <v>-0.89003436426116911</v>
      </c>
      <c r="Q611">
        <f t="shared" si="990"/>
        <v>-1007924.2575945025</v>
      </c>
      <c r="R611">
        <f t="shared" si="991"/>
        <v>-51401480.157993861</v>
      </c>
      <c r="S611">
        <f t="shared" si="992"/>
        <v>-514.01480157993865</v>
      </c>
      <c r="T611">
        <f t="shared" si="993"/>
        <v>-0.51401480157993862</v>
      </c>
    </row>
    <row r="612" spans="1:20" x14ac:dyDescent="0.25">
      <c r="A612" s="5">
        <v>43981</v>
      </c>
      <c r="B612">
        <v>0.32169999999999999</v>
      </c>
      <c r="C612">
        <v>0.35</v>
      </c>
      <c r="D612">
        <v>0.31440000000000001</v>
      </c>
      <c r="E612">
        <v>0.32379999999999998</v>
      </c>
      <c r="F612">
        <v>1868014.59</v>
      </c>
      <c r="G612">
        <v>0</v>
      </c>
      <c r="L612" t="s">
        <v>7</v>
      </c>
      <c r="M612" t="s">
        <v>8</v>
      </c>
      <c r="N612" t="s">
        <v>8</v>
      </c>
      <c r="P612">
        <f t="shared" si="989"/>
        <v>-0.47191011235955205</v>
      </c>
      <c r="Q612">
        <f t="shared" si="990"/>
        <v>-881534.97505618259</v>
      </c>
      <c r="R612">
        <f t="shared" si="991"/>
        <v>-50393555.900399357</v>
      </c>
      <c r="S612">
        <f t="shared" si="992"/>
        <v>-503.93555900399355</v>
      </c>
      <c r="T612">
        <f t="shared" si="993"/>
        <v>-0.50393555900399356</v>
      </c>
    </row>
    <row r="613" spans="1:20" x14ac:dyDescent="0.25">
      <c r="A613" s="5">
        <v>43980</v>
      </c>
      <c r="B613">
        <v>0.27950000000000003</v>
      </c>
      <c r="C613">
        <v>0.373</v>
      </c>
      <c r="D613">
        <v>0.2782</v>
      </c>
      <c r="E613">
        <v>0.3226</v>
      </c>
      <c r="F613">
        <v>5435864.4500000002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-6.3291139240506389E-2</v>
      </c>
      <c r="Q613">
        <f t="shared" si="990"/>
        <v>-344042.05379746872</v>
      </c>
      <c r="R613">
        <f t="shared" si="991"/>
        <v>-49512020.925343178</v>
      </c>
      <c r="S613">
        <f t="shared" si="992"/>
        <v>-495.12020925343177</v>
      </c>
      <c r="T613">
        <f t="shared" si="993"/>
        <v>-0.49512020925343175</v>
      </c>
    </row>
    <row r="614" spans="1:20" x14ac:dyDescent="0.25">
      <c r="A614" s="5">
        <v>43979</v>
      </c>
      <c r="B614">
        <v>0.27</v>
      </c>
      <c r="C614">
        <v>0.29780000000000001</v>
      </c>
      <c r="D614">
        <v>0.26250000000000001</v>
      </c>
      <c r="E614">
        <v>0.2797</v>
      </c>
      <c r="F614">
        <v>1368827.57</v>
      </c>
      <c r="G614">
        <v>0</v>
      </c>
      <c r="L614" t="s">
        <v>7</v>
      </c>
      <c r="M614" t="s">
        <v>8</v>
      </c>
      <c r="N614" t="s">
        <v>8</v>
      </c>
      <c r="P614">
        <f t="shared" si="989"/>
        <v>-2.5495750708215636E-2</v>
      </c>
      <c r="Q614">
        <f t="shared" si="990"/>
        <v>-34899.28648725259</v>
      </c>
      <c r="R614">
        <f t="shared" si="991"/>
        <v>-49167978.87154571</v>
      </c>
      <c r="S614">
        <f t="shared" si="992"/>
        <v>-491.67978871545711</v>
      </c>
      <c r="T614">
        <f t="shared" si="993"/>
        <v>-0.49167978871545709</v>
      </c>
    </row>
    <row r="615" spans="1:20" x14ac:dyDescent="0.25">
      <c r="A615" s="5">
        <v>43978</v>
      </c>
      <c r="B615">
        <v>0.25719999999999998</v>
      </c>
      <c r="C615">
        <v>0.29420000000000002</v>
      </c>
      <c r="D615">
        <v>0.25559999999999999</v>
      </c>
      <c r="E615">
        <v>0.26800000000000002</v>
      </c>
      <c r="F615">
        <v>1738231.89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-0.35751295336787486</v>
      </c>
      <c r="Q615">
        <f t="shared" si="990"/>
        <v>-621440.41663212294</v>
      </c>
      <c r="R615">
        <f t="shared" si="991"/>
        <v>-49133079.585058458</v>
      </c>
      <c r="S615">
        <f t="shared" si="992"/>
        <v>-491.33079585058459</v>
      </c>
      <c r="T615">
        <f t="shared" si="993"/>
        <v>-0.49133079585058459</v>
      </c>
    </row>
    <row r="616" spans="1:20" x14ac:dyDescent="0.25">
      <c r="A616" s="5">
        <v>43977</v>
      </c>
      <c r="B616">
        <v>0.2417</v>
      </c>
      <c r="C616">
        <v>0.25869999999999999</v>
      </c>
      <c r="D616">
        <v>0.23860000000000001</v>
      </c>
      <c r="E616">
        <v>0.25719999999999998</v>
      </c>
      <c r="F616">
        <v>1007232.78</v>
      </c>
      <c r="G616">
        <v>0</v>
      </c>
      <c r="L616" t="s">
        <v>8</v>
      </c>
      <c r="M616" t="s">
        <v>8</v>
      </c>
      <c r="N616" t="s">
        <v>7</v>
      </c>
      <c r="P616">
        <f t="shared" si="989"/>
        <v>0.8507462686567161</v>
      </c>
      <c r="Q616">
        <f t="shared" si="990"/>
        <v>856899.52925373102</v>
      </c>
      <c r="R616">
        <f t="shared" si="991"/>
        <v>-48511639.168426335</v>
      </c>
      <c r="S616">
        <f t="shared" si="992"/>
        <v>-485.11639168426336</v>
      </c>
      <c r="T616">
        <f t="shared" si="993"/>
        <v>-0.48511639168426335</v>
      </c>
    </row>
    <row r="617" spans="1:20" x14ac:dyDescent="0.25">
      <c r="A617" s="5">
        <v>43976</v>
      </c>
      <c r="B617">
        <v>0.22500000000000001</v>
      </c>
      <c r="C617">
        <v>0.24179999999999999</v>
      </c>
      <c r="D617">
        <v>0.22370000000000001</v>
      </c>
      <c r="E617">
        <v>0.23949999999999999</v>
      </c>
      <c r="F617">
        <v>519389.97</v>
      </c>
      <c r="G617">
        <v>0</v>
      </c>
      <c r="L617" t="s">
        <v>8</v>
      </c>
      <c r="M617" t="s">
        <v>8</v>
      </c>
      <c r="N617" t="s">
        <v>7</v>
      </c>
      <c r="P617">
        <f t="shared" si="989"/>
        <v>0.74585635359116031</v>
      </c>
      <c r="Q617">
        <f t="shared" si="990"/>
        <v>387390.30911602214</v>
      </c>
      <c r="R617">
        <f t="shared" si="991"/>
        <v>-49368538.697680064</v>
      </c>
      <c r="S617">
        <f t="shared" si="992"/>
        <v>-493.68538697680066</v>
      </c>
      <c r="T617">
        <f t="shared" si="993"/>
        <v>-0.49368538697680064</v>
      </c>
    </row>
    <row r="618" spans="1:20" x14ac:dyDescent="0.25">
      <c r="A618" s="5">
        <v>43975</v>
      </c>
      <c r="B618">
        <v>0.2344</v>
      </c>
      <c r="C618">
        <v>0.2445</v>
      </c>
      <c r="D618">
        <v>0.2258</v>
      </c>
      <c r="E618">
        <v>0.22589999999999999</v>
      </c>
      <c r="F618">
        <v>344113.06</v>
      </c>
      <c r="G618">
        <v>0</v>
      </c>
      <c r="L618" t="s">
        <v>7</v>
      </c>
      <c r="M618" t="s">
        <v>8</v>
      </c>
      <c r="N618" t="s">
        <v>7</v>
      </c>
      <c r="P618">
        <f t="shared" si="989"/>
        <v>-0.98930481283422578</v>
      </c>
      <c r="Q618">
        <f t="shared" si="990"/>
        <v>-340432.70641711273</v>
      </c>
      <c r="R618">
        <f t="shared" si="991"/>
        <v>-49755929.006796084</v>
      </c>
      <c r="S618">
        <f t="shared" si="992"/>
        <v>-497.55929006796083</v>
      </c>
      <c r="T618">
        <f t="shared" si="993"/>
        <v>-0.49755929006796085</v>
      </c>
    </row>
    <row r="619" spans="1:20" x14ac:dyDescent="0.25">
      <c r="A619" s="5">
        <v>43974</v>
      </c>
      <c r="B619">
        <v>0.24260000000000001</v>
      </c>
      <c r="C619">
        <v>0.24590000000000001</v>
      </c>
      <c r="D619">
        <v>0.22919999999999999</v>
      </c>
      <c r="E619">
        <v>0.23419999999999999</v>
      </c>
      <c r="F619">
        <v>576076.26</v>
      </c>
      <c r="G619">
        <v>0</v>
      </c>
      <c r="L619" t="s">
        <v>7</v>
      </c>
      <c r="M619" t="s">
        <v>8</v>
      </c>
      <c r="N619" t="s">
        <v>7</v>
      </c>
      <c r="P619">
        <f t="shared" si="989"/>
        <v>-0.40119760479041938</v>
      </c>
      <c r="Q619">
        <f t="shared" si="990"/>
        <v>-231120.41568862289</v>
      </c>
      <c r="R619">
        <f t="shared" si="991"/>
        <v>-49415496.300378971</v>
      </c>
      <c r="S619">
        <f t="shared" si="992"/>
        <v>-494.1549630037897</v>
      </c>
      <c r="T619">
        <f t="shared" si="993"/>
        <v>-0.49415496300378969</v>
      </c>
    </row>
    <row r="620" spans="1:20" x14ac:dyDescent="0.25">
      <c r="A620" s="5">
        <v>43973</v>
      </c>
      <c r="B620">
        <v>0.21970000000000001</v>
      </c>
      <c r="C620">
        <v>0.254</v>
      </c>
      <c r="D620">
        <v>0.21970000000000001</v>
      </c>
      <c r="E620">
        <v>0.24260000000000001</v>
      </c>
      <c r="F620">
        <v>1094115.44</v>
      </c>
      <c r="G620">
        <v>0</v>
      </c>
      <c r="L620" t="s">
        <v>8</v>
      </c>
      <c r="M620" t="s">
        <v>8</v>
      </c>
      <c r="N620" t="s">
        <v>7</v>
      </c>
      <c r="P620">
        <f t="shared" si="989"/>
        <v>0.33527696793002948</v>
      </c>
      <c r="Q620">
        <f t="shared" si="990"/>
        <v>366831.70728863007</v>
      </c>
      <c r="R620">
        <f t="shared" si="991"/>
        <v>-49184375.884690344</v>
      </c>
      <c r="S620">
        <f t="shared" si="992"/>
        <v>-491.84375884690343</v>
      </c>
      <c r="T620">
        <f t="shared" si="993"/>
        <v>-0.4918437588469034</v>
      </c>
    </row>
    <row r="621" spans="1:20" x14ac:dyDescent="0.25">
      <c r="A621" s="5">
        <v>43972</v>
      </c>
      <c r="B621">
        <v>0.224</v>
      </c>
      <c r="C621">
        <v>0.2329</v>
      </c>
      <c r="D621">
        <v>0.21260000000000001</v>
      </c>
      <c r="E621">
        <v>0.21970000000000001</v>
      </c>
      <c r="F621">
        <v>390972.05</v>
      </c>
      <c r="G621">
        <v>0</v>
      </c>
      <c r="L621" t="s">
        <v>7</v>
      </c>
      <c r="M621" t="s">
        <v>8</v>
      </c>
      <c r="N621" t="s">
        <v>7</v>
      </c>
      <c r="P621">
        <f t="shared" si="989"/>
        <v>-0.30049261083743839</v>
      </c>
      <c r="Q621">
        <f t="shared" si="990"/>
        <v>-117484.2120689655</v>
      </c>
      <c r="R621">
        <f t="shared" si="991"/>
        <v>-49551207.591978975</v>
      </c>
      <c r="S621">
        <f t="shared" si="992"/>
        <v>-495.51207591978977</v>
      </c>
      <c r="T621">
        <f t="shared" si="993"/>
        <v>-0.49551207591978974</v>
      </c>
    </row>
    <row r="622" spans="1:20" x14ac:dyDescent="0.25">
      <c r="A622" s="5">
        <v>43971</v>
      </c>
      <c r="B622">
        <v>0.22570000000000001</v>
      </c>
      <c r="C622">
        <v>0.23569999999999999</v>
      </c>
      <c r="D622">
        <v>0.22070000000000001</v>
      </c>
      <c r="E622">
        <v>0.224</v>
      </c>
      <c r="F622">
        <v>678646.04</v>
      </c>
      <c r="G622">
        <v>0</v>
      </c>
      <c r="L622" t="s">
        <v>8</v>
      </c>
      <c r="M622" t="s">
        <v>8</v>
      </c>
      <c r="N622" t="s">
        <v>7</v>
      </c>
      <c r="P622">
        <f t="shared" si="989"/>
        <v>-0.55999999999999994</v>
      </c>
      <c r="Q622">
        <f t="shared" si="990"/>
        <v>-380041.78239999997</v>
      </c>
      <c r="R622">
        <f t="shared" si="991"/>
        <v>-49433723.379910007</v>
      </c>
      <c r="S622">
        <f t="shared" si="992"/>
        <v>-494.33723379910009</v>
      </c>
      <c r="T622">
        <f t="shared" si="993"/>
        <v>-0.49433723379910011</v>
      </c>
    </row>
    <row r="623" spans="1:20" x14ac:dyDescent="0.25">
      <c r="A623" s="5">
        <v>43970</v>
      </c>
      <c r="B623">
        <v>0.22439999999999999</v>
      </c>
      <c r="C623">
        <v>0.2288</v>
      </c>
      <c r="D623">
        <v>0.221</v>
      </c>
      <c r="E623">
        <v>0.22420000000000001</v>
      </c>
      <c r="F623">
        <v>331026.32</v>
      </c>
      <c r="G623">
        <v>0</v>
      </c>
      <c r="L623" t="s">
        <v>8</v>
      </c>
      <c r="M623" t="s">
        <v>8</v>
      </c>
      <c r="N623" t="s">
        <v>7</v>
      </c>
      <c r="P623">
        <f t="shared" si="989"/>
        <v>-0.17948717948717749</v>
      </c>
      <c r="Q623">
        <f t="shared" si="990"/>
        <v>-59414.98051281985</v>
      </c>
      <c r="R623">
        <f t="shared" si="991"/>
        <v>-49053681.59751001</v>
      </c>
      <c r="S623">
        <f t="shared" si="992"/>
        <v>-490.53681597510013</v>
      </c>
      <c r="T623">
        <f t="shared" si="993"/>
        <v>-0.49053681597510013</v>
      </c>
    </row>
    <row r="624" spans="1:20" x14ac:dyDescent="0.25">
      <c r="A624" s="5">
        <v>43969</v>
      </c>
      <c r="B624">
        <v>0.22420000000000001</v>
      </c>
      <c r="C624">
        <v>0.22839999999999999</v>
      </c>
      <c r="D624">
        <v>0.22</v>
      </c>
      <c r="E624">
        <v>0.22450000000000001</v>
      </c>
      <c r="F624">
        <v>232498.58</v>
      </c>
      <c r="G624">
        <v>0</v>
      </c>
      <c r="L624" t="s">
        <v>8</v>
      </c>
      <c r="M624" t="s">
        <v>8</v>
      </c>
      <c r="N624" t="s">
        <v>7</v>
      </c>
      <c r="P624">
        <f t="shared" si="989"/>
        <v>7.1428571428573548E-2</v>
      </c>
      <c r="Q624">
        <f t="shared" si="990"/>
        <v>16607.04142857192</v>
      </c>
      <c r="R624">
        <f t="shared" si="991"/>
        <v>-48994266.61699719</v>
      </c>
      <c r="S624">
        <f t="shared" si="992"/>
        <v>-489.94266616997191</v>
      </c>
      <c r="T624">
        <f t="shared" si="993"/>
        <v>-0.4899426661699719</v>
      </c>
    </row>
    <row r="625" spans="1:20" x14ac:dyDescent="0.25">
      <c r="A625" s="5">
        <v>43968</v>
      </c>
      <c r="B625">
        <v>0.21829999999999999</v>
      </c>
      <c r="C625">
        <v>0.22869999999999999</v>
      </c>
      <c r="D625">
        <v>0.2157</v>
      </c>
      <c r="E625">
        <v>0.22450000000000001</v>
      </c>
      <c r="F625">
        <v>258856.01</v>
      </c>
      <c r="G625">
        <v>0</v>
      </c>
      <c r="L625" t="s">
        <v>8</v>
      </c>
      <c r="M625" t="s">
        <v>8</v>
      </c>
      <c r="N625" t="s">
        <v>7</v>
      </c>
      <c r="P625">
        <f t="shared" si="989"/>
        <v>0.35384615384615586</v>
      </c>
      <c r="Q625">
        <f t="shared" si="990"/>
        <v>91595.203538462069</v>
      </c>
      <c r="R625">
        <f t="shared" si="991"/>
        <v>-49010873.658425763</v>
      </c>
      <c r="S625">
        <f t="shared" si="992"/>
        <v>-490.10873658425766</v>
      </c>
      <c r="T625">
        <f t="shared" si="993"/>
        <v>-0.49010873658425763</v>
      </c>
    </row>
    <row r="626" spans="1:20" x14ac:dyDescent="0.25">
      <c r="A626" s="5">
        <v>43967</v>
      </c>
      <c r="B626">
        <v>0.21410000000000001</v>
      </c>
      <c r="C626">
        <v>0.2223</v>
      </c>
      <c r="D626">
        <v>0.21260000000000001</v>
      </c>
      <c r="E626">
        <v>0.21829999999999999</v>
      </c>
      <c r="F626">
        <v>222240.65</v>
      </c>
      <c r="G626">
        <v>0</v>
      </c>
      <c r="L626" t="s">
        <v>8</v>
      </c>
      <c r="M626" t="s">
        <v>8</v>
      </c>
      <c r="N626" t="s">
        <v>7</v>
      </c>
      <c r="P626">
        <f t="shared" si="989"/>
        <v>0.17525773195876099</v>
      </c>
      <c r="Q626">
        <f t="shared" si="990"/>
        <v>38949.392268040814</v>
      </c>
      <c r="R626">
        <f t="shared" si="991"/>
        <v>-49102468.861964226</v>
      </c>
      <c r="S626">
        <f t="shared" si="992"/>
        <v>-491.02468861964223</v>
      </c>
      <c r="T626">
        <f t="shared" si="993"/>
        <v>-0.49102468861964221</v>
      </c>
    </row>
    <row r="627" spans="1:20" x14ac:dyDescent="0.25">
      <c r="A627" s="5">
        <v>43966</v>
      </c>
      <c r="B627">
        <v>0.21820000000000001</v>
      </c>
      <c r="C627">
        <v>0.21829999999999999</v>
      </c>
      <c r="D627">
        <v>0.21129999999999999</v>
      </c>
      <c r="E627">
        <v>0.21410000000000001</v>
      </c>
      <c r="F627">
        <v>270944.28000000003</v>
      </c>
      <c r="G627">
        <v>0</v>
      </c>
      <c r="L627" t="s">
        <v>8</v>
      </c>
      <c r="M627" t="s">
        <v>8</v>
      </c>
      <c r="N627" t="s">
        <v>7</v>
      </c>
      <c r="P627">
        <f t="shared" si="989"/>
        <v>-0.19999999999999366</v>
      </c>
      <c r="Q627">
        <f t="shared" si="990"/>
        <v>-54188.85599999829</v>
      </c>
      <c r="R627">
        <f t="shared" si="991"/>
        <v>-49141418.254232265</v>
      </c>
      <c r="S627">
        <f t="shared" si="992"/>
        <v>-491.41418254232264</v>
      </c>
      <c r="T627">
        <f t="shared" si="993"/>
        <v>-0.49141418254232261</v>
      </c>
    </row>
    <row r="628" spans="1:20" x14ac:dyDescent="0.25">
      <c r="A628" s="5">
        <v>43965</v>
      </c>
      <c r="B628">
        <v>0.21659999999999999</v>
      </c>
      <c r="C628">
        <v>0.2223</v>
      </c>
      <c r="D628">
        <v>0.21299999999999999</v>
      </c>
      <c r="E628">
        <v>0.21659999999999999</v>
      </c>
      <c r="F628">
        <v>240395.68</v>
      </c>
      <c r="G628">
        <v>0</v>
      </c>
      <c r="L628" t="s">
        <v>8</v>
      </c>
      <c r="M628" t="s">
        <v>8</v>
      </c>
      <c r="N628" t="s">
        <v>7</v>
      </c>
      <c r="P628">
        <f t="shared" si="989"/>
        <v>-0.22580645161290516</v>
      </c>
      <c r="Q628">
        <f t="shared" si="990"/>
        <v>-54282.895483871434</v>
      </c>
      <c r="R628">
        <f t="shared" si="991"/>
        <v>-49087229.398232266</v>
      </c>
      <c r="S628">
        <f t="shared" si="992"/>
        <v>-490.87229398232267</v>
      </c>
      <c r="T628">
        <f t="shared" si="993"/>
        <v>-0.49087229398232268</v>
      </c>
    </row>
    <row r="629" spans="1:20" x14ac:dyDescent="0.25">
      <c r="A629" s="5">
        <v>43964</v>
      </c>
      <c r="B629">
        <v>0.2039</v>
      </c>
      <c r="C629">
        <v>0.22189999999999999</v>
      </c>
      <c r="D629">
        <v>0.2039</v>
      </c>
      <c r="E629">
        <v>0.215</v>
      </c>
      <c r="F629">
        <v>523501.97</v>
      </c>
      <c r="G629">
        <v>0</v>
      </c>
      <c r="L629" t="s">
        <v>8</v>
      </c>
      <c r="M629" t="s">
        <v>8</v>
      </c>
      <c r="N629" t="s">
        <v>7</v>
      </c>
      <c r="P629">
        <f t="shared" si="989"/>
        <v>0.233333333333334</v>
      </c>
      <c r="Q629">
        <f t="shared" si="990"/>
        <v>122150.45966666701</v>
      </c>
      <c r="R629">
        <f t="shared" si="991"/>
        <v>-49032946.502748393</v>
      </c>
      <c r="S629">
        <f t="shared" si="992"/>
        <v>-490.32946502748393</v>
      </c>
      <c r="T629">
        <f t="shared" si="993"/>
        <v>-0.49032946502748392</v>
      </c>
    </row>
    <row r="630" spans="1:20" x14ac:dyDescent="0.25">
      <c r="A630" s="5">
        <v>43963</v>
      </c>
      <c r="B630">
        <v>0.18870000000000001</v>
      </c>
      <c r="C630">
        <v>0.21029999999999999</v>
      </c>
      <c r="D630">
        <v>0.188</v>
      </c>
      <c r="E630">
        <v>0.20480000000000001</v>
      </c>
      <c r="F630">
        <v>334261.37</v>
      </c>
      <c r="G630">
        <v>0</v>
      </c>
      <c r="L630" t="s">
        <v>8</v>
      </c>
      <c r="M630" t="s">
        <v>8</v>
      </c>
      <c r="N630" t="s">
        <v>7</v>
      </c>
      <c r="P630">
        <f t="shared" si="989"/>
        <v>0.50672645739910493</v>
      </c>
      <c r="Q630">
        <f t="shared" si="990"/>
        <v>169379.07986547146</v>
      </c>
      <c r="R630">
        <f t="shared" si="991"/>
        <v>-49155096.962415062</v>
      </c>
      <c r="S630">
        <f t="shared" si="992"/>
        <v>-491.55096962415064</v>
      </c>
      <c r="T630">
        <f t="shared" si="993"/>
        <v>-0.49155096962415062</v>
      </c>
    </row>
    <row r="631" spans="1:20" x14ac:dyDescent="0.25">
      <c r="A631" s="5">
        <v>43962</v>
      </c>
      <c r="B631">
        <v>0.20030000000000001</v>
      </c>
      <c r="C631">
        <v>0.20080000000000001</v>
      </c>
      <c r="D631">
        <v>0.1804</v>
      </c>
      <c r="E631">
        <v>0.19009999999999999</v>
      </c>
      <c r="F631">
        <v>266684.52</v>
      </c>
      <c r="G631">
        <v>0</v>
      </c>
      <c r="L631" t="s">
        <v>7</v>
      </c>
      <c r="M631" t="s">
        <v>7</v>
      </c>
      <c r="N631" t="s">
        <v>7</v>
      </c>
      <c r="P631">
        <f t="shared" si="989"/>
        <v>-4.9019607843138656E-2</v>
      </c>
      <c r="Q631">
        <f t="shared" si="990"/>
        <v>-13072.770588235669</v>
      </c>
      <c r="R631">
        <f t="shared" si="991"/>
        <v>-49324476.042280532</v>
      </c>
      <c r="S631">
        <f t="shared" si="992"/>
        <v>-493.24476042280531</v>
      </c>
      <c r="T631">
        <f t="shared" si="993"/>
        <v>-0.4932447604228053</v>
      </c>
    </row>
    <row r="632" spans="1:20" x14ac:dyDescent="0.25">
      <c r="A632" s="5">
        <v>43961</v>
      </c>
      <c r="B632">
        <v>0.22370000000000001</v>
      </c>
      <c r="C632">
        <v>0.22500000000000001</v>
      </c>
      <c r="D632">
        <v>0.19</v>
      </c>
      <c r="E632">
        <v>0.19789999999999999</v>
      </c>
      <c r="F632">
        <v>583711.81999999995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-0.54857142857142915</v>
      </c>
      <c r="Q632">
        <f t="shared" si="990"/>
        <v>-320207.62697142886</v>
      </c>
      <c r="R632">
        <f t="shared" si="991"/>
        <v>-49311403.271692298</v>
      </c>
      <c r="S632">
        <f t="shared" si="992"/>
        <v>-493.11403271692296</v>
      </c>
      <c r="T632">
        <f t="shared" si="993"/>
        <v>-0.49311403271692295</v>
      </c>
    </row>
    <row r="633" spans="1:20" x14ac:dyDescent="0.25">
      <c r="A633" s="5">
        <v>43960</v>
      </c>
      <c r="B633">
        <v>0.2298</v>
      </c>
      <c r="C633">
        <v>0.2319</v>
      </c>
      <c r="D633">
        <v>0.221</v>
      </c>
      <c r="E633">
        <v>0.22259999999999999</v>
      </c>
      <c r="F633">
        <v>374054.09</v>
      </c>
      <c r="G633">
        <v>0</v>
      </c>
      <c r="L633" t="s">
        <v>8</v>
      </c>
      <c r="M633" t="s">
        <v>7</v>
      </c>
      <c r="N633" t="s">
        <v>8</v>
      </c>
      <c r="P633">
        <f t="shared" si="989"/>
        <v>-0.70642201834862539</v>
      </c>
      <c r="Q633">
        <f t="shared" si="990"/>
        <v>-264240.04522935837</v>
      </c>
      <c r="R633">
        <f t="shared" si="991"/>
        <v>-48991195.644720867</v>
      </c>
      <c r="S633">
        <f t="shared" si="992"/>
        <v>-489.91195644720869</v>
      </c>
      <c r="T633">
        <f t="shared" si="993"/>
        <v>-0.4899119564472087</v>
      </c>
    </row>
    <row r="634" spans="1:20" x14ac:dyDescent="0.25">
      <c r="A634" s="5">
        <v>43959</v>
      </c>
      <c r="B634">
        <v>0.21820000000000001</v>
      </c>
      <c r="C634">
        <v>0.2326</v>
      </c>
      <c r="D634">
        <v>0.2155</v>
      </c>
      <c r="E634">
        <v>0.2298</v>
      </c>
      <c r="F634">
        <v>512491.77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0.6725146198830414</v>
      </c>
      <c r="Q634">
        <f t="shared" si="990"/>
        <v>344658.20789473708</v>
      </c>
      <c r="R634">
        <f t="shared" si="991"/>
        <v>-48726955.599491507</v>
      </c>
      <c r="S634">
        <f t="shared" si="992"/>
        <v>-487.26955599491509</v>
      </c>
      <c r="T634">
        <f t="shared" si="993"/>
        <v>-0.48726955599491512</v>
      </c>
    </row>
    <row r="635" spans="1:20" x14ac:dyDescent="0.25">
      <c r="A635" s="5">
        <v>43958</v>
      </c>
      <c r="B635">
        <v>0.218</v>
      </c>
      <c r="C635">
        <v>0.22489999999999999</v>
      </c>
      <c r="D635">
        <v>0.21260000000000001</v>
      </c>
      <c r="E635">
        <v>0.2185</v>
      </c>
      <c r="F635">
        <v>276038.53000000003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-4.0650406504065151E-2</v>
      </c>
      <c r="Q635">
        <f t="shared" si="990"/>
        <v>-11221.078455284583</v>
      </c>
      <c r="R635">
        <f t="shared" si="991"/>
        <v>-49071613.807386242</v>
      </c>
      <c r="S635">
        <f t="shared" si="992"/>
        <v>-490.7161380738624</v>
      </c>
      <c r="T635">
        <f t="shared" si="993"/>
        <v>-0.49071613807386238</v>
      </c>
    </row>
    <row r="636" spans="1:20" x14ac:dyDescent="0.25">
      <c r="A636" s="5">
        <v>43957</v>
      </c>
      <c r="B636">
        <v>0.21779999999999999</v>
      </c>
      <c r="C636">
        <v>0.22489999999999999</v>
      </c>
      <c r="D636">
        <v>0.215</v>
      </c>
      <c r="E636">
        <v>0.218</v>
      </c>
      <c r="F636">
        <v>284380.13</v>
      </c>
      <c r="G636">
        <v>0</v>
      </c>
      <c r="L636" t="s">
        <v>7</v>
      </c>
      <c r="M636" t="s">
        <v>7</v>
      </c>
      <c r="N636" t="s">
        <v>8</v>
      </c>
      <c r="P636">
        <f t="shared" si="989"/>
        <v>-0.39393939393939292</v>
      </c>
      <c r="Q636">
        <f t="shared" si="990"/>
        <v>-112028.53606060578</v>
      </c>
      <c r="R636">
        <f t="shared" si="991"/>
        <v>-49060392.728930958</v>
      </c>
      <c r="S636">
        <f t="shared" si="992"/>
        <v>-490.60392728930958</v>
      </c>
      <c r="T636">
        <f t="shared" si="993"/>
        <v>-0.49060392728930957</v>
      </c>
    </row>
    <row r="637" spans="1:20" x14ac:dyDescent="0.25">
      <c r="A637" s="5">
        <v>43956</v>
      </c>
      <c r="B637">
        <v>0.21590000000000001</v>
      </c>
      <c r="C637">
        <v>0.23630000000000001</v>
      </c>
      <c r="D637">
        <v>0.21390000000000001</v>
      </c>
      <c r="E637">
        <v>0.21909999999999999</v>
      </c>
      <c r="F637">
        <v>506752.39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-0.53571428571428736</v>
      </c>
      <c r="Q637">
        <f t="shared" si="990"/>
        <v>-271474.49464285799</v>
      </c>
      <c r="R637">
        <f t="shared" si="991"/>
        <v>-48948364.192870349</v>
      </c>
      <c r="S637">
        <f t="shared" si="992"/>
        <v>-489.48364192870349</v>
      </c>
      <c r="T637">
        <f t="shared" si="993"/>
        <v>-0.48948364192870347</v>
      </c>
    </row>
    <row r="638" spans="1:20" x14ac:dyDescent="0.25">
      <c r="A638" s="5">
        <v>43955</v>
      </c>
      <c r="B638">
        <v>0.2185</v>
      </c>
      <c r="C638">
        <v>0.22059999999999999</v>
      </c>
      <c r="D638">
        <v>0.20499999999999999</v>
      </c>
      <c r="E638">
        <v>0.21590000000000001</v>
      </c>
      <c r="F638">
        <v>518070.05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0.39743589743589985</v>
      </c>
      <c r="Q638">
        <f t="shared" si="990"/>
        <v>205899.63525641151</v>
      </c>
      <c r="R638">
        <f t="shared" si="991"/>
        <v>-48676889.698227488</v>
      </c>
      <c r="S638">
        <f t="shared" si="992"/>
        <v>-486.7688969822749</v>
      </c>
      <c r="T638">
        <f t="shared" si="993"/>
        <v>-0.48676889698227488</v>
      </c>
    </row>
    <row r="639" spans="1:20" x14ac:dyDescent="0.25">
      <c r="A639" s="5">
        <v>43954</v>
      </c>
      <c r="B639">
        <v>0.22750000000000001</v>
      </c>
      <c r="C639">
        <v>0.23910000000000001</v>
      </c>
      <c r="D639">
        <v>0.215</v>
      </c>
      <c r="E639">
        <v>0.21859999999999999</v>
      </c>
      <c r="F639">
        <v>549816.55000000005</v>
      </c>
      <c r="G639">
        <v>0</v>
      </c>
      <c r="L639" t="s">
        <v>7</v>
      </c>
      <c r="M639" t="s">
        <v>7</v>
      </c>
      <c r="N639" t="s">
        <v>8</v>
      </c>
      <c r="P639">
        <f t="shared" si="989"/>
        <v>-0.70124481327800903</v>
      </c>
      <c r="Q639">
        <f t="shared" si="990"/>
        <v>-385556.00394190912</v>
      </c>
      <c r="R639">
        <f t="shared" si="991"/>
        <v>-48882789.333483897</v>
      </c>
      <c r="S639">
        <f t="shared" si="992"/>
        <v>-488.82789333483896</v>
      </c>
      <c r="T639">
        <f t="shared" si="993"/>
        <v>-0.48882789333483895</v>
      </c>
    </row>
    <row r="640" spans="1:20" x14ac:dyDescent="0.25">
      <c r="A640" s="5">
        <v>43953</v>
      </c>
      <c r="B640">
        <v>0.2261</v>
      </c>
      <c r="C640">
        <v>0.2354</v>
      </c>
      <c r="D640">
        <v>0.22370000000000001</v>
      </c>
      <c r="E640">
        <v>0.2276</v>
      </c>
      <c r="F640">
        <v>645447.07999999996</v>
      </c>
      <c r="G640">
        <v>0</v>
      </c>
      <c r="L640" t="s">
        <v>7</v>
      </c>
      <c r="M640" t="s">
        <v>7</v>
      </c>
      <c r="N640" t="s">
        <v>8</v>
      </c>
      <c r="P640">
        <f t="shared" si="989"/>
        <v>-0.33333333333333492</v>
      </c>
      <c r="Q640">
        <f t="shared" si="990"/>
        <v>-215149.02666666769</v>
      </c>
      <c r="R640">
        <f t="shared" si="991"/>
        <v>-48497233.329541989</v>
      </c>
      <c r="S640">
        <f t="shared" si="992"/>
        <v>-484.9723332954199</v>
      </c>
      <c r="T640">
        <f t="shared" si="993"/>
        <v>-0.48497233329541989</v>
      </c>
    </row>
    <row r="641" spans="1:20" x14ac:dyDescent="0.25">
      <c r="A641" s="5">
        <v>43952</v>
      </c>
      <c r="B641">
        <v>0.21940000000000001</v>
      </c>
      <c r="C641">
        <v>0.2293</v>
      </c>
      <c r="D641">
        <v>0.21829999999999999</v>
      </c>
      <c r="E641">
        <v>0.2268</v>
      </c>
      <c r="F641">
        <v>742139.17</v>
      </c>
      <c r="G641">
        <v>0</v>
      </c>
      <c r="L641" t="s">
        <v>7</v>
      </c>
      <c r="M641" t="s">
        <v>7</v>
      </c>
      <c r="N641" t="s">
        <v>8</v>
      </c>
      <c r="P641">
        <f t="shared" si="989"/>
        <v>0.54545454545454541</v>
      </c>
      <c r="Q641">
        <f t="shared" si="990"/>
        <v>404803.18363636365</v>
      </c>
      <c r="R641">
        <f t="shared" si="991"/>
        <v>-48282084.302875318</v>
      </c>
      <c r="S641">
        <f t="shared" si="992"/>
        <v>-482.82084302875319</v>
      </c>
      <c r="T641">
        <f t="shared" si="993"/>
        <v>-0.48282084302875317</v>
      </c>
    </row>
    <row r="642" spans="1:20" x14ac:dyDescent="0.25">
      <c r="A642" s="5">
        <v>43951</v>
      </c>
      <c r="B642">
        <v>0.21940000000000001</v>
      </c>
      <c r="C642">
        <v>0.2621</v>
      </c>
      <c r="D642">
        <v>0.20710000000000001</v>
      </c>
      <c r="E642">
        <v>0.21990000000000001</v>
      </c>
      <c r="F642">
        <v>2457347.4500000002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-0.53454545454545432</v>
      </c>
      <c r="Q642">
        <f t="shared" si="990"/>
        <v>-1313563.9096363632</v>
      </c>
      <c r="R642">
        <f t="shared" si="991"/>
        <v>-48686887.486511685</v>
      </c>
      <c r="S642">
        <f t="shared" si="992"/>
        <v>-486.86887486511682</v>
      </c>
      <c r="T642">
        <f t="shared" si="993"/>
        <v>-0.48686887486511682</v>
      </c>
    </row>
    <row r="643" spans="1:20" x14ac:dyDescent="0.25">
      <c r="A643" s="5">
        <v>43950</v>
      </c>
      <c r="B643">
        <v>0.21290000000000001</v>
      </c>
      <c r="C643">
        <v>0.2258</v>
      </c>
      <c r="D643">
        <v>0.2112</v>
      </c>
      <c r="E643">
        <v>0.21940000000000001</v>
      </c>
      <c r="F643">
        <v>521343.75</v>
      </c>
      <c r="G643">
        <v>0</v>
      </c>
      <c r="L643" t="s">
        <v>8</v>
      </c>
      <c r="M643" t="s">
        <v>7</v>
      </c>
      <c r="N643" t="s">
        <v>8</v>
      </c>
      <c r="P643">
        <f t="shared" si="989"/>
        <v>0.12328767123287833</v>
      </c>
      <c r="Q643">
        <f t="shared" si="990"/>
        <v>64275.256849315912</v>
      </c>
      <c r="R643">
        <f t="shared" si="991"/>
        <v>-47373323.576875322</v>
      </c>
      <c r="S643">
        <f t="shared" si="992"/>
        <v>-473.73323576875322</v>
      </c>
      <c r="T643">
        <f t="shared" si="993"/>
        <v>-0.4737332357687532</v>
      </c>
    </row>
    <row r="644" spans="1:20" x14ac:dyDescent="0.25">
      <c r="A644" s="5">
        <v>43949</v>
      </c>
      <c r="B644">
        <v>0.2074</v>
      </c>
      <c r="C644">
        <v>0.21540000000000001</v>
      </c>
      <c r="D644">
        <v>0.2036</v>
      </c>
      <c r="E644">
        <v>0.21290000000000001</v>
      </c>
      <c r="F644">
        <v>575197.54</v>
      </c>
      <c r="G644">
        <v>0</v>
      </c>
      <c r="L644" t="s">
        <v>7</v>
      </c>
      <c r="M644" t="s">
        <v>7</v>
      </c>
      <c r="N644" t="s">
        <v>8</v>
      </c>
      <c r="P644">
        <f t="shared" si="989"/>
        <v>0.57627118644067776</v>
      </c>
      <c r="Q644">
        <f t="shared" si="990"/>
        <v>331469.7688135592</v>
      </c>
      <c r="R644">
        <f t="shared" si="991"/>
        <v>-47437598.83372464</v>
      </c>
      <c r="S644">
        <f t="shared" si="992"/>
        <v>-474.37598833724638</v>
      </c>
      <c r="T644">
        <f t="shared" si="993"/>
        <v>-0.47437598833724637</v>
      </c>
    </row>
    <row r="645" spans="1:20" x14ac:dyDescent="0.25">
      <c r="A645" s="5">
        <v>43948</v>
      </c>
      <c r="B645">
        <v>0.21179999999999999</v>
      </c>
      <c r="C645">
        <v>0.21460000000000001</v>
      </c>
      <c r="D645">
        <v>0.2019</v>
      </c>
      <c r="E645">
        <v>0.20680000000000001</v>
      </c>
      <c r="F645">
        <v>435523.7</v>
      </c>
      <c r="G645">
        <v>0</v>
      </c>
      <c r="L645" t="s">
        <v>7</v>
      </c>
      <c r="M645" t="s">
        <v>7</v>
      </c>
      <c r="N645" t="s">
        <v>8</v>
      </c>
      <c r="P645">
        <f t="shared" si="989"/>
        <v>-0.22834645669291198</v>
      </c>
      <c r="Q645">
        <f t="shared" si="990"/>
        <v>-99450.293700786788</v>
      </c>
      <c r="R645">
        <f t="shared" si="991"/>
        <v>-47769068.602538198</v>
      </c>
      <c r="S645">
        <f t="shared" si="992"/>
        <v>-477.69068602538198</v>
      </c>
      <c r="T645">
        <f t="shared" si="993"/>
        <v>-0.47769068602538201</v>
      </c>
    </row>
    <row r="646" spans="1:20" x14ac:dyDescent="0.25">
      <c r="A646" s="5">
        <v>43947</v>
      </c>
      <c r="B646">
        <v>0.2097</v>
      </c>
      <c r="C646">
        <v>0.21340000000000001</v>
      </c>
      <c r="D646">
        <v>0.20649999999999999</v>
      </c>
      <c r="E646">
        <v>0.21179999999999999</v>
      </c>
      <c r="F646">
        <v>287000.28000000003</v>
      </c>
      <c r="G646">
        <v>0</v>
      </c>
      <c r="L646" t="s">
        <v>7</v>
      </c>
      <c r="M646" t="s">
        <v>7</v>
      </c>
      <c r="N646" t="s">
        <v>8</v>
      </c>
      <c r="P646">
        <f t="shared" ref="P646:P709" si="994">IF(C646=D646,0,((E646-D646)-(C646-E646))/(C646-D646))</f>
        <v>0.53623188405796696</v>
      </c>
      <c r="Q646">
        <f t="shared" ref="Q646:Q709" si="995">F646*P646</f>
        <v>153898.70086956405</v>
      </c>
      <c r="R646">
        <f t="shared" ref="R646:R709" si="996">R647+Q646</f>
        <v>-47669618.308837414</v>
      </c>
      <c r="S646">
        <f t="shared" ref="S646:S709" si="997">R646/100000</f>
        <v>-476.69618308837414</v>
      </c>
      <c r="T646">
        <f t="shared" ref="T646:T709" si="998">S646/1000</f>
        <v>-0.47669618308837414</v>
      </c>
    </row>
    <row r="647" spans="1:20" x14ac:dyDescent="0.25">
      <c r="A647" s="5">
        <v>43946</v>
      </c>
      <c r="B647">
        <v>0.21060000000000001</v>
      </c>
      <c r="C647">
        <v>0.21609999999999999</v>
      </c>
      <c r="D647">
        <v>0.2069</v>
      </c>
      <c r="E647">
        <v>0.21110000000000001</v>
      </c>
      <c r="F647">
        <v>645399.85</v>
      </c>
      <c r="G647">
        <v>0</v>
      </c>
      <c r="L647" t="s">
        <v>7</v>
      </c>
      <c r="M647" t="s">
        <v>7</v>
      </c>
      <c r="N647" t="s">
        <v>8</v>
      </c>
      <c r="P647">
        <f t="shared" si="994"/>
        <v>-8.6956521739127018E-2</v>
      </c>
      <c r="Q647">
        <f t="shared" si="995"/>
        <v>-56121.726086954317</v>
      </c>
      <c r="R647">
        <f t="shared" si="996"/>
        <v>-47823517.009706981</v>
      </c>
      <c r="S647">
        <f t="shared" si="997"/>
        <v>-478.23517009706984</v>
      </c>
      <c r="T647">
        <f t="shared" si="998"/>
        <v>-0.47823517009706984</v>
      </c>
    </row>
    <row r="648" spans="1:20" x14ac:dyDescent="0.25">
      <c r="A648" s="5">
        <v>43945</v>
      </c>
      <c r="B648">
        <v>0.2031</v>
      </c>
      <c r="C648">
        <v>0.2198</v>
      </c>
      <c r="D648">
        <v>0.2031</v>
      </c>
      <c r="E648">
        <v>0.21099999999999999</v>
      </c>
      <c r="F648">
        <v>971160.94</v>
      </c>
      <c r="G648">
        <v>0</v>
      </c>
      <c r="L648" t="s">
        <v>7</v>
      </c>
      <c r="M648" t="s">
        <v>7</v>
      </c>
      <c r="N648" t="s">
        <v>8</v>
      </c>
      <c r="P648">
        <f t="shared" si="994"/>
        <v>-5.3892215568863013E-2</v>
      </c>
      <c r="Q648">
        <f t="shared" si="995"/>
        <v>-52338.014730539639</v>
      </c>
      <c r="R648">
        <f t="shared" si="996"/>
        <v>-47767395.28362003</v>
      </c>
      <c r="S648">
        <f t="shared" si="997"/>
        <v>-477.67395283620027</v>
      </c>
      <c r="T648">
        <f t="shared" si="998"/>
        <v>-0.47767395283620029</v>
      </c>
    </row>
    <row r="649" spans="1:20" x14ac:dyDescent="0.25">
      <c r="A649" s="5">
        <v>43944</v>
      </c>
      <c r="B649">
        <v>0.19500000000000001</v>
      </c>
      <c r="C649">
        <v>0.26500000000000001</v>
      </c>
      <c r="D649">
        <v>0.18790000000000001</v>
      </c>
      <c r="E649">
        <v>0.2031</v>
      </c>
      <c r="F649">
        <v>2952492.09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-0.60570687418936475</v>
      </c>
      <c r="Q649">
        <f t="shared" si="995"/>
        <v>-1788344.7549027244</v>
      </c>
      <c r="R649">
        <f t="shared" si="996"/>
        <v>-47715057.268889487</v>
      </c>
      <c r="S649">
        <f t="shared" si="997"/>
        <v>-477.15057268889484</v>
      </c>
      <c r="T649">
        <f t="shared" si="998"/>
        <v>-0.47715057268889483</v>
      </c>
    </row>
    <row r="650" spans="1:20" x14ac:dyDescent="0.25">
      <c r="A650" s="5">
        <v>43943</v>
      </c>
      <c r="B650">
        <v>0.18609999999999999</v>
      </c>
      <c r="C650">
        <v>0.19819999999999999</v>
      </c>
      <c r="D650">
        <v>0.18440000000000001</v>
      </c>
      <c r="E650">
        <v>0.19500000000000001</v>
      </c>
      <c r="F650">
        <v>308763.42</v>
      </c>
      <c r="G650">
        <v>0</v>
      </c>
      <c r="L650" t="s">
        <v>8</v>
      </c>
      <c r="M650" t="s">
        <v>7</v>
      </c>
      <c r="N650" t="s">
        <v>8</v>
      </c>
      <c r="P650">
        <f t="shared" si="994"/>
        <v>0.53623188405797306</v>
      </c>
      <c r="Q650">
        <f t="shared" si="995"/>
        <v>165568.79043478324</v>
      </c>
      <c r="R650">
        <f t="shared" si="996"/>
        <v>-45926712.513986759</v>
      </c>
      <c r="S650">
        <f t="shared" si="997"/>
        <v>-459.26712513986757</v>
      </c>
      <c r="T650">
        <f t="shared" si="998"/>
        <v>-0.45926712513986756</v>
      </c>
    </row>
    <row r="651" spans="1:20" x14ac:dyDescent="0.25">
      <c r="A651" s="5">
        <v>43942</v>
      </c>
      <c r="B651">
        <v>0.187</v>
      </c>
      <c r="C651">
        <v>0.18940000000000001</v>
      </c>
      <c r="D651">
        <v>0.184</v>
      </c>
      <c r="E651">
        <v>0.18609999999999999</v>
      </c>
      <c r="F651">
        <v>114610.56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-0.22222222222222793</v>
      </c>
      <c r="Q651">
        <f t="shared" si="995"/>
        <v>-25469.013333333987</v>
      </c>
      <c r="R651">
        <f t="shared" si="996"/>
        <v>-46092281.304421544</v>
      </c>
      <c r="S651">
        <f t="shared" si="997"/>
        <v>-460.92281304421545</v>
      </c>
      <c r="T651">
        <f t="shared" si="998"/>
        <v>-0.46092281304421545</v>
      </c>
    </row>
    <row r="652" spans="1:20" x14ac:dyDescent="0.25">
      <c r="A652" s="5">
        <v>43941</v>
      </c>
      <c r="B652">
        <v>0.19539999999999999</v>
      </c>
      <c r="C652">
        <v>0.2036</v>
      </c>
      <c r="D652">
        <v>0.18240000000000001</v>
      </c>
      <c r="E652">
        <v>0.18870000000000001</v>
      </c>
      <c r="F652">
        <v>317896.81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-0.40566037735849048</v>
      </c>
      <c r="Q652">
        <f t="shared" si="995"/>
        <v>-128958.13990566035</v>
      </c>
      <c r="R652">
        <f t="shared" si="996"/>
        <v>-46066812.291088209</v>
      </c>
      <c r="S652">
        <f t="shared" si="997"/>
        <v>-460.66812291088206</v>
      </c>
      <c r="T652">
        <f t="shared" si="998"/>
        <v>-0.46066812291088205</v>
      </c>
    </row>
    <row r="653" spans="1:20" x14ac:dyDescent="0.25">
      <c r="A653" s="5">
        <v>43940</v>
      </c>
      <c r="B653">
        <v>0.20480000000000001</v>
      </c>
      <c r="C653">
        <v>0.20480000000000001</v>
      </c>
      <c r="D653">
        <v>0.19500000000000001</v>
      </c>
      <c r="E653">
        <v>0.19600000000000001</v>
      </c>
      <c r="F653">
        <v>302217.06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-0.79591836734693866</v>
      </c>
      <c r="Q653">
        <f t="shared" si="995"/>
        <v>-240540.10897959181</v>
      </c>
      <c r="R653">
        <f t="shared" si="996"/>
        <v>-45937854.151182547</v>
      </c>
      <c r="S653">
        <f t="shared" si="997"/>
        <v>-459.37854151182546</v>
      </c>
      <c r="T653">
        <f t="shared" si="998"/>
        <v>-0.45937854151182544</v>
      </c>
    </row>
    <row r="654" spans="1:20" x14ac:dyDescent="0.25">
      <c r="A654" s="5">
        <v>43939</v>
      </c>
      <c r="B654">
        <v>0.19739999999999999</v>
      </c>
      <c r="C654">
        <v>0.2056</v>
      </c>
      <c r="D654">
        <v>0.19719999999999999</v>
      </c>
      <c r="E654">
        <v>0.2049</v>
      </c>
      <c r="F654">
        <v>261083.63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0.83333333333333226</v>
      </c>
      <c r="Q654">
        <f t="shared" si="995"/>
        <v>217569.69166666639</v>
      </c>
      <c r="R654">
        <f t="shared" si="996"/>
        <v>-45697314.042202957</v>
      </c>
      <c r="S654">
        <f t="shared" si="997"/>
        <v>-456.97314042202959</v>
      </c>
      <c r="T654">
        <f t="shared" si="998"/>
        <v>-0.45697314042202958</v>
      </c>
    </row>
    <row r="655" spans="1:20" x14ac:dyDescent="0.25">
      <c r="A655" s="5">
        <v>43938</v>
      </c>
      <c r="B655">
        <v>0.19670000000000001</v>
      </c>
      <c r="C655">
        <v>0.19889999999999999</v>
      </c>
      <c r="D655">
        <v>0.19389999999999999</v>
      </c>
      <c r="E655">
        <v>0.19550000000000001</v>
      </c>
      <c r="F655">
        <v>203810.87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-0.35999999999999333</v>
      </c>
      <c r="Q655">
        <f t="shared" si="995"/>
        <v>-73371.913199998642</v>
      </c>
      <c r="R655">
        <f t="shared" si="996"/>
        <v>-45914883.73386962</v>
      </c>
      <c r="S655">
        <f t="shared" si="997"/>
        <v>-459.14883733869618</v>
      </c>
      <c r="T655">
        <f t="shared" si="998"/>
        <v>-0.45914883733869616</v>
      </c>
    </row>
    <row r="656" spans="1:20" x14ac:dyDescent="0.25">
      <c r="A656" s="5">
        <v>43937</v>
      </c>
      <c r="B656">
        <v>0.1842</v>
      </c>
      <c r="C656">
        <v>0.20780000000000001</v>
      </c>
      <c r="D656">
        <v>0.1802</v>
      </c>
      <c r="E656">
        <v>0.1978</v>
      </c>
      <c r="F656">
        <v>735025.61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0.27536231884057943</v>
      </c>
      <c r="Q656">
        <f t="shared" si="995"/>
        <v>202398.3563768114</v>
      </c>
      <c r="R656">
        <f t="shared" si="996"/>
        <v>-45841511.820669621</v>
      </c>
      <c r="S656">
        <f t="shared" si="997"/>
        <v>-458.41511820669621</v>
      </c>
      <c r="T656">
        <f t="shared" si="998"/>
        <v>-0.45841511820669623</v>
      </c>
    </row>
    <row r="657" spans="1:20" x14ac:dyDescent="0.25">
      <c r="A657" s="5">
        <v>43936</v>
      </c>
      <c r="B657">
        <v>0.19600000000000001</v>
      </c>
      <c r="C657">
        <v>0.19980000000000001</v>
      </c>
      <c r="D657">
        <v>0.18429999999999999</v>
      </c>
      <c r="E657">
        <v>0.18609999999999999</v>
      </c>
      <c r="F657">
        <v>218234.78</v>
      </c>
      <c r="G657">
        <v>0</v>
      </c>
      <c r="L657" t="s">
        <v>7</v>
      </c>
      <c r="M657" t="s">
        <v>8</v>
      </c>
      <c r="N657" t="s">
        <v>8</v>
      </c>
      <c r="P657">
        <f t="shared" si="994"/>
        <v>-0.76774193548387171</v>
      </c>
      <c r="Q657">
        <f t="shared" si="995"/>
        <v>-167547.99238709692</v>
      </c>
      <c r="R657">
        <f t="shared" si="996"/>
        <v>-46043910.177046433</v>
      </c>
      <c r="S657">
        <f t="shared" si="997"/>
        <v>-460.43910177046433</v>
      </c>
      <c r="T657">
        <f t="shared" si="998"/>
        <v>-0.46043910177046432</v>
      </c>
    </row>
    <row r="658" spans="1:20" x14ac:dyDescent="0.25">
      <c r="A658" s="5">
        <v>43935</v>
      </c>
      <c r="B658">
        <v>0.1968</v>
      </c>
      <c r="C658">
        <v>0.2</v>
      </c>
      <c r="D658">
        <v>0.19289999999999999</v>
      </c>
      <c r="E658">
        <v>0.19750000000000001</v>
      </c>
      <c r="F658">
        <v>263110.83</v>
      </c>
      <c r="G658">
        <v>0</v>
      </c>
      <c r="L658" t="s">
        <v>8</v>
      </c>
      <c r="M658" t="s">
        <v>8</v>
      </c>
      <c r="N658" t="s">
        <v>8</v>
      </c>
      <c r="P658">
        <f t="shared" si="994"/>
        <v>0.2957746478873256</v>
      </c>
      <c r="Q658">
        <f t="shared" si="995"/>
        <v>77821.513098591997</v>
      </c>
      <c r="R658">
        <f t="shared" si="996"/>
        <v>-45876362.184659339</v>
      </c>
      <c r="S658">
        <f t="shared" si="997"/>
        <v>-458.76362184659337</v>
      </c>
      <c r="T658">
        <f t="shared" si="998"/>
        <v>-0.45876362184659336</v>
      </c>
    </row>
    <row r="659" spans="1:20" x14ac:dyDescent="0.25">
      <c r="A659" s="5">
        <v>43934</v>
      </c>
      <c r="B659">
        <v>0.19409999999999999</v>
      </c>
      <c r="C659">
        <v>0.19839999999999999</v>
      </c>
      <c r="D659">
        <v>0.18410000000000001</v>
      </c>
      <c r="E659">
        <v>0.19500000000000001</v>
      </c>
      <c r="F659">
        <v>317377.84999999998</v>
      </c>
      <c r="G659">
        <v>0</v>
      </c>
      <c r="L659" t="s">
        <v>7</v>
      </c>
      <c r="M659" t="s">
        <v>8</v>
      </c>
      <c r="N659" t="s">
        <v>8</v>
      </c>
      <c r="P659">
        <f t="shared" si="994"/>
        <v>0.5244755244755257</v>
      </c>
      <c r="Q659">
        <f t="shared" si="995"/>
        <v>166456.91433566471</v>
      </c>
      <c r="R659">
        <f t="shared" si="996"/>
        <v>-45954183.69775793</v>
      </c>
      <c r="S659">
        <f t="shared" si="997"/>
        <v>-459.54183697757929</v>
      </c>
      <c r="T659">
        <f t="shared" si="998"/>
        <v>-0.45954183697757928</v>
      </c>
    </row>
    <row r="660" spans="1:20" x14ac:dyDescent="0.25">
      <c r="A660" s="5">
        <v>43933</v>
      </c>
      <c r="B660">
        <v>0.1976</v>
      </c>
      <c r="C660">
        <v>0.20399999999999999</v>
      </c>
      <c r="D660">
        <v>0.19409999999999999</v>
      </c>
      <c r="E660">
        <v>0.19409999999999999</v>
      </c>
      <c r="F660">
        <v>323367.26</v>
      </c>
      <c r="G660">
        <v>0</v>
      </c>
      <c r="L660" t="s">
        <v>7</v>
      </c>
      <c r="M660" t="s">
        <v>8</v>
      </c>
      <c r="N660" t="s">
        <v>8</v>
      </c>
      <c r="P660">
        <f t="shared" si="994"/>
        <v>-1</v>
      </c>
      <c r="Q660">
        <f t="shared" si="995"/>
        <v>-323367.26</v>
      </c>
      <c r="R660">
        <f t="shared" si="996"/>
        <v>-46120640.612093598</v>
      </c>
      <c r="S660">
        <f t="shared" si="997"/>
        <v>-461.20640612093598</v>
      </c>
      <c r="T660">
        <f t="shared" si="998"/>
        <v>-0.461206406120936</v>
      </c>
    </row>
    <row r="661" spans="1:20" x14ac:dyDescent="0.25">
      <c r="A661" s="5">
        <v>43932</v>
      </c>
      <c r="B661">
        <v>0.1913</v>
      </c>
      <c r="C661">
        <v>0.21</v>
      </c>
      <c r="D661">
        <v>0.1913</v>
      </c>
      <c r="E661">
        <v>0.1981</v>
      </c>
      <c r="F661">
        <v>923858.86</v>
      </c>
      <c r="G661">
        <v>0</v>
      </c>
      <c r="L661" t="s">
        <v>8</v>
      </c>
      <c r="M661" t="s">
        <v>8</v>
      </c>
      <c r="N661" t="s">
        <v>8</v>
      </c>
      <c r="P661">
        <f t="shared" si="994"/>
        <v>-0.27272727272727249</v>
      </c>
      <c r="Q661">
        <f t="shared" si="995"/>
        <v>-251961.50727272703</v>
      </c>
      <c r="R661">
        <f t="shared" si="996"/>
        <v>-45797273.3520936</v>
      </c>
      <c r="S661">
        <f t="shared" si="997"/>
        <v>-457.972733520936</v>
      </c>
      <c r="T661">
        <f t="shared" si="998"/>
        <v>-0.45797273352093598</v>
      </c>
    </row>
    <row r="662" spans="1:20" x14ac:dyDescent="0.25">
      <c r="A662" s="5">
        <v>43931</v>
      </c>
      <c r="B662">
        <v>0.20200000000000001</v>
      </c>
      <c r="C662">
        <v>0.216</v>
      </c>
      <c r="D662">
        <v>0.17480000000000001</v>
      </c>
      <c r="E662">
        <v>0.1903</v>
      </c>
      <c r="F662">
        <v>1577399.64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-0.24757281553398103</v>
      </c>
      <c r="Q662">
        <f t="shared" si="995"/>
        <v>-390521.27009708807</v>
      </c>
      <c r="R662">
        <f t="shared" si="996"/>
        <v>-45545311.844820872</v>
      </c>
      <c r="S662">
        <f t="shared" si="997"/>
        <v>-455.45311844820873</v>
      </c>
      <c r="T662">
        <f t="shared" si="998"/>
        <v>-0.45545311844820874</v>
      </c>
    </row>
    <row r="663" spans="1:20" x14ac:dyDescent="0.25">
      <c r="A663" s="5">
        <v>43930</v>
      </c>
      <c r="B663">
        <v>0.20730000000000001</v>
      </c>
      <c r="C663">
        <v>0.20930000000000001</v>
      </c>
      <c r="D663">
        <v>0.19259999999999999</v>
      </c>
      <c r="E663">
        <v>0.20200000000000001</v>
      </c>
      <c r="F663">
        <v>1009208.58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0.12574850299401294</v>
      </c>
      <c r="Q663">
        <f t="shared" si="995"/>
        <v>126906.46814371354</v>
      </c>
      <c r="R663">
        <f t="shared" si="996"/>
        <v>-45154790.57472378</v>
      </c>
      <c r="S663">
        <f t="shared" si="997"/>
        <v>-451.54790574723779</v>
      </c>
      <c r="T663">
        <f t="shared" si="998"/>
        <v>-0.4515479057472378</v>
      </c>
    </row>
    <row r="664" spans="1:20" x14ac:dyDescent="0.25">
      <c r="A664" s="5">
        <v>43929</v>
      </c>
      <c r="B664">
        <v>0.20610000000000001</v>
      </c>
      <c r="C664">
        <v>0.21479999999999999</v>
      </c>
      <c r="D664">
        <v>0.20130000000000001</v>
      </c>
      <c r="E664">
        <v>0.20780000000000001</v>
      </c>
      <c r="F664">
        <v>609464.19999999995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-3.7037037037035057E-2</v>
      </c>
      <c r="Q664">
        <f t="shared" si="995"/>
        <v>-22572.74814814694</v>
      </c>
      <c r="R664">
        <f t="shared" si="996"/>
        <v>-45281697.042867497</v>
      </c>
      <c r="S664">
        <f t="shared" si="997"/>
        <v>-452.81697042867495</v>
      </c>
      <c r="T664">
        <f t="shared" si="998"/>
        <v>-0.45281697042867497</v>
      </c>
    </row>
    <row r="665" spans="1:20" x14ac:dyDescent="0.25">
      <c r="A665" s="5">
        <v>43928</v>
      </c>
      <c r="B665">
        <v>0.2031</v>
      </c>
      <c r="C665">
        <v>0.23</v>
      </c>
      <c r="D665">
        <v>0.19869999999999999</v>
      </c>
      <c r="E665">
        <v>0.20610000000000001</v>
      </c>
      <c r="F665">
        <v>1776311.91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-0.52715654952076596</v>
      </c>
      <c r="Q665">
        <f t="shared" si="995"/>
        <v>-936394.45734824135</v>
      </c>
      <c r="R665">
        <f t="shared" si="996"/>
        <v>-45259124.294719353</v>
      </c>
      <c r="S665">
        <f t="shared" si="997"/>
        <v>-452.59124294719351</v>
      </c>
      <c r="T665">
        <f t="shared" si="998"/>
        <v>-0.4525912429471935</v>
      </c>
    </row>
    <row r="666" spans="1:20" x14ac:dyDescent="0.25">
      <c r="A666" s="5">
        <v>43927</v>
      </c>
      <c r="B666">
        <v>0.1963</v>
      </c>
      <c r="C666">
        <v>0.2036</v>
      </c>
      <c r="D666">
        <v>0.1951</v>
      </c>
      <c r="E666">
        <v>0.20330000000000001</v>
      </c>
      <c r="F666">
        <v>659288.63</v>
      </c>
      <c r="G666">
        <v>0</v>
      </c>
      <c r="L666" t="s">
        <v>7</v>
      </c>
      <c r="M666" t="s">
        <v>7</v>
      </c>
      <c r="N666" t="s">
        <v>8</v>
      </c>
      <c r="P666">
        <f t="shared" si="994"/>
        <v>0.92941176470588371</v>
      </c>
      <c r="Q666">
        <f t="shared" si="995"/>
        <v>612750.60905882448</v>
      </c>
      <c r="R666">
        <f t="shared" si="996"/>
        <v>-44322729.837371111</v>
      </c>
      <c r="S666">
        <f t="shared" si="997"/>
        <v>-443.22729837371111</v>
      </c>
      <c r="T666">
        <f t="shared" si="998"/>
        <v>-0.44322729837371111</v>
      </c>
    </row>
    <row r="667" spans="1:20" x14ac:dyDescent="0.25">
      <c r="A667" s="5">
        <v>43926</v>
      </c>
      <c r="B667">
        <v>0.19769999999999999</v>
      </c>
      <c r="C667">
        <v>0.20480000000000001</v>
      </c>
      <c r="D667">
        <v>0.19259999999999999</v>
      </c>
      <c r="E667">
        <v>0.1961</v>
      </c>
      <c r="F667">
        <v>369084.91</v>
      </c>
      <c r="G667">
        <v>0</v>
      </c>
      <c r="L667" t="s">
        <v>7</v>
      </c>
      <c r="M667" t="s">
        <v>7</v>
      </c>
      <c r="N667" t="s">
        <v>8</v>
      </c>
      <c r="P667">
        <f t="shared" si="994"/>
        <v>-0.42622950819672156</v>
      </c>
      <c r="Q667">
        <f t="shared" si="995"/>
        <v>-157314.87967213124</v>
      </c>
      <c r="R667">
        <f t="shared" si="996"/>
        <v>-44935480.446429938</v>
      </c>
      <c r="S667">
        <f t="shared" si="997"/>
        <v>-449.35480446429938</v>
      </c>
      <c r="T667">
        <f t="shared" si="998"/>
        <v>-0.44935480446429937</v>
      </c>
    </row>
    <row r="668" spans="1:20" x14ac:dyDescent="0.25">
      <c r="A668" s="5">
        <v>43925</v>
      </c>
      <c r="B668">
        <v>0.19670000000000001</v>
      </c>
      <c r="C668">
        <v>0.2006</v>
      </c>
      <c r="D668">
        <v>0.19</v>
      </c>
      <c r="E668">
        <v>0.19589999999999999</v>
      </c>
      <c r="F668">
        <v>440108.08</v>
      </c>
      <c r="G668">
        <v>0</v>
      </c>
      <c r="L668" t="s">
        <v>7</v>
      </c>
      <c r="M668" t="s">
        <v>7</v>
      </c>
      <c r="N668" t="s">
        <v>8</v>
      </c>
      <c r="P668">
        <f t="shared" si="994"/>
        <v>0.11320754716980934</v>
      </c>
      <c r="Q668">
        <f t="shared" si="995"/>
        <v>49823.556226414221</v>
      </c>
      <c r="R668">
        <f t="shared" si="996"/>
        <v>-44778165.566757806</v>
      </c>
      <c r="S668">
        <f t="shared" si="997"/>
        <v>-447.78165566757804</v>
      </c>
      <c r="T668">
        <f t="shared" si="998"/>
        <v>-0.44778165566757805</v>
      </c>
    </row>
    <row r="669" spans="1:20" x14ac:dyDescent="0.25">
      <c r="A669" s="5">
        <v>43924</v>
      </c>
      <c r="B669">
        <v>0.1981</v>
      </c>
      <c r="C669">
        <v>0.20180000000000001</v>
      </c>
      <c r="D669">
        <v>0.1903</v>
      </c>
      <c r="E669">
        <v>0.19700000000000001</v>
      </c>
      <c r="F669">
        <v>816971.22</v>
      </c>
      <c r="G669">
        <v>0</v>
      </c>
      <c r="L669" t="s">
        <v>7</v>
      </c>
      <c r="M669" t="s">
        <v>7</v>
      </c>
      <c r="N669" t="s">
        <v>8</v>
      </c>
      <c r="P669">
        <f t="shared" si="994"/>
        <v>0.16521739130434879</v>
      </c>
      <c r="Q669">
        <f t="shared" si="995"/>
        <v>134977.85373913121</v>
      </c>
      <c r="R669">
        <f t="shared" si="996"/>
        <v>-44827989.122984223</v>
      </c>
      <c r="S669">
        <f t="shared" si="997"/>
        <v>-448.27989122984224</v>
      </c>
      <c r="T669">
        <f t="shared" si="998"/>
        <v>-0.44827989122984224</v>
      </c>
    </row>
    <row r="670" spans="1:20" x14ac:dyDescent="0.25">
      <c r="A670" s="5">
        <v>43923</v>
      </c>
      <c r="B670">
        <v>0.20619999999999999</v>
      </c>
      <c r="C670">
        <v>0.20960000000000001</v>
      </c>
      <c r="D670">
        <v>0.19289999999999999</v>
      </c>
      <c r="E670">
        <v>0.19850000000000001</v>
      </c>
      <c r="F670">
        <v>1473542.82</v>
      </c>
      <c r="G670">
        <v>0</v>
      </c>
      <c r="L670" t="s">
        <v>8</v>
      </c>
      <c r="M670" t="s">
        <v>7</v>
      </c>
      <c r="N670" t="s">
        <v>8</v>
      </c>
      <c r="P670">
        <f t="shared" si="994"/>
        <v>-0.32934131736526767</v>
      </c>
      <c r="Q670">
        <f t="shared" si="995"/>
        <v>-485298.53353293153</v>
      </c>
      <c r="R670">
        <f t="shared" si="996"/>
        <v>-44962966.976723351</v>
      </c>
      <c r="S670">
        <f t="shared" si="997"/>
        <v>-449.62966976723351</v>
      </c>
      <c r="T670">
        <f t="shared" si="998"/>
        <v>-0.44962966976723351</v>
      </c>
    </row>
    <row r="671" spans="1:20" x14ac:dyDescent="0.25">
      <c r="A671" s="5">
        <v>43922</v>
      </c>
      <c r="B671">
        <v>0.20080000000000001</v>
      </c>
      <c r="C671">
        <v>0.2099</v>
      </c>
      <c r="D671">
        <v>0.18479999999999999</v>
      </c>
      <c r="E671">
        <v>0.20699999999999999</v>
      </c>
      <c r="F671">
        <v>1893522.77</v>
      </c>
      <c r="G671">
        <v>0</v>
      </c>
      <c r="L671" t="s">
        <v>7</v>
      </c>
      <c r="M671" t="s">
        <v>7</v>
      </c>
      <c r="N671" t="s">
        <v>8</v>
      </c>
      <c r="P671">
        <f t="shared" si="994"/>
        <v>0.76892430278884361</v>
      </c>
      <c r="Q671">
        <f t="shared" si="995"/>
        <v>1455975.6757370499</v>
      </c>
      <c r="R671">
        <f t="shared" si="996"/>
        <v>-44477668.443190418</v>
      </c>
      <c r="S671">
        <f t="shared" si="997"/>
        <v>-444.77668443190419</v>
      </c>
      <c r="T671">
        <f t="shared" si="998"/>
        <v>-0.44477668443190421</v>
      </c>
    </row>
    <row r="672" spans="1:20" x14ac:dyDescent="0.25">
      <c r="A672" s="5">
        <v>43921</v>
      </c>
      <c r="B672">
        <v>0.20549999999999999</v>
      </c>
      <c r="C672">
        <v>0.22309999999999999</v>
      </c>
      <c r="D672">
        <v>0.1988</v>
      </c>
      <c r="E672">
        <v>0.2009</v>
      </c>
      <c r="F672">
        <v>2587607.11</v>
      </c>
      <c r="G672">
        <v>0</v>
      </c>
      <c r="L672" t="s">
        <v>7</v>
      </c>
      <c r="M672" t="s">
        <v>8</v>
      </c>
      <c r="N672" t="s">
        <v>8</v>
      </c>
      <c r="P672">
        <f t="shared" si="994"/>
        <v>-0.82716049382716117</v>
      </c>
      <c r="Q672">
        <f t="shared" si="995"/>
        <v>-2140366.3749382733</v>
      </c>
      <c r="R672">
        <f t="shared" si="996"/>
        <v>-45933644.118927471</v>
      </c>
      <c r="S672">
        <f t="shared" si="997"/>
        <v>-459.33644118927469</v>
      </c>
      <c r="T672">
        <f t="shared" si="998"/>
        <v>-0.45933644118927469</v>
      </c>
    </row>
    <row r="673" spans="1:20" x14ac:dyDescent="0.25">
      <c r="A673" s="5">
        <v>43920</v>
      </c>
      <c r="B673">
        <v>0.1537</v>
      </c>
      <c r="C673">
        <v>0.2298</v>
      </c>
      <c r="D673">
        <v>0.15240000000000001</v>
      </c>
      <c r="E673">
        <v>0.20549999999999999</v>
      </c>
      <c r="F673">
        <v>6698846.0999999996</v>
      </c>
      <c r="G673">
        <v>0</v>
      </c>
      <c r="L673" t="s">
        <v>8</v>
      </c>
      <c r="M673" t="s">
        <v>8</v>
      </c>
      <c r="N673" t="s">
        <v>8</v>
      </c>
      <c r="P673">
        <f t="shared" si="994"/>
        <v>0.3720930232558135</v>
      </c>
      <c r="Q673">
        <f t="shared" si="995"/>
        <v>2492593.8976744153</v>
      </c>
      <c r="R673">
        <f t="shared" si="996"/>
        <v>-43793277.743989199</v>
      </c>
      <c r="S673">
        <f t="shared" si="997"/>
        <v>-437.93277743989199</v>
      </c>
      <c r="T673">
        <f t="shared" si="998"/>
        <v>-0.43793277743989201</v>
      </c>
    </row>
    <row r="674" spans="1:20" x14ac:dyDescent="0.25">
      <c r="A674" s="5">
        <v>43919</v>
      </c>
      <c r="B674">
        <v>0.1704</v>
      </c>
      <c r="C674">
        <v>0.1704</v>
      </c>
      <c r="D674">
        <v>0.15329999999999999</v>
      </c>
      <c r="E674">
        <v>0.15329999999999999</v>
      </c>
      <c r="F674">
        <v>398316.46</v>
      </c>
      <c r="G674">
        <v>0</v>
      </c>
      <c r="L674" t="s">
        <v>7</v>
      </c>
      <c r="M674" t="s">
        <v>7</v>
      </c>
      <c r="N674" t="s">
        <v>7</v>
      </c>
      <c r="P674">
        <f t="shared" si="994"/>
        <v>-1</v>
      </c>
      <c r="Q674">
        <f t="shared" si="995"/>
        <v>-398316.46</v>
      </c>
      <c r="R674">
        <f t="shared" si="996"/>
        <v>-46285871.641663611</v>
      </c>
      <c r="S674">
        <f t="shared" si="997"/>
        <v>-462.85871641663613</v>
      </c>
      <c r="T674">
        <f t="shared" si="998"/>
        <v>-0.46285871641663612</v>
      </c>
    </row>
    <row r="675" spans="1:20" x14ac:dyDescent="0.25">
      <c r="A675" s="5">
        <v>43918</v>
      </c>
      <c r="B675">
        <v>0.17469999999999999</v>
      </c>
      <c r="C675">
        <v>0.17499999999999999</v>
      </c>
      <c r="D675">
        <v>0.1603</v>
      </c>
      <c r="E675">
        <v>0.16969999999999999</v>
      </c>
      <c r="F675">
        <v>1388172.43</v>
      </c>
      <c r="G675">
        <v>0</v>
      </c>
      <c r="L675" t="s">
        <v>7</v>
      </c>
      <c r="M675" t="s">
        <v>7</v>
      </c>
      <c r="N675" t="s">
        <v>7</v>
      </c>
      <c r="P675">
        <f t="shared" si="994"/>
        <v>0.27891156462584998</v>
      </c>
      <c r="Q675">
        <f t="shared" si="995"/>
        <v>387177.34442176821</v>
      </c>
      <c r="R675">
        <f t="shared" si="996"/>
        <v>-45887555.18166361</v>
      </c>
      <c r="S675">
        <f t="shared" si="997"/>
        <v>-458.87555181663612</v>
      </c>
      <c r="T675">
        <f t="shared" si="998"/>
        <v>-0.45887555181663614</v>
      </c>
    </row>
    <row r="676" spans="1:20" x14ac:dyDescent="0.25">
      <c r="A676" s="5">
        <v>43917</v>
      </c>
      <c r="B676">
        <v>0.2099</v>
      </c>
      <c r="C676">
        <v>0.23069999999999999</v>
      </c>
      <c r="D676">
        <v>0.17349999999999999</v>
      </c>
      <c r="E676">
        <v>0.1749</v>
      </c>
      <c r="F676">
        <v>5856223.4800000004</v>
      </c>
      <c r="G676">
        <v>0</v>
      </c>
      <c r="L676" t="s">
        <v>7</v>
      </c>
      <c r="M676" t="s">
        <v>7</v>
      </c>
      <c r="N676" t="s">
        <v>7</v>
      </c>
      <c r="P676">
        <f t="shared" si="994"/>
        <v>-0.9510489510489506</v>
      </c>
      <c r="Q676">
        <f t="shared" si="995"/>
        <v>-5569555.197762236</v>
      </c>
      <c r="R676">
        <f t="shared" si="996"/>
        <v>-46274732.526085377</v>
      </c>
      <c r="S676">
        <f t="shared" si="997"/>
        <v>-462.74732526085376</v>
      </c>
      <c r="T676">
        <f t="shared" si="998"/>
        <v>-0.46274732526085377</v>
      </c>
    </row>
    <row r="677" spans="1:20" x14ac:dyDescent="0.25">
      <c r="A677" s="5">
        <v>43916</v>
      </c>
      <c r="B677">
        <v>0.14549999999999999</v>
      </c>
      <c r="C677">
        <v>0.29499999999999998</v>
      </c>
      <c r="D677">
        <v>0.14149999999999999</v>
      </c>
      <c r="E677">
        <v>0.2099</v>
      </c>
      <c r="F677">
        <v>5891043.3099999996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-0.10879478827361541</v>
      </c>
      <c r="Q677">
        <f t="shared" si="995"/>
        <v>-640914.80962214852</v>
      </c>
      <c r="R677">
        <f t="shared" si="996"/>
        <v>-40705177.328323141</v>
      </c>
      <c r="S677">
        <f t="shared" si="997"/>
        <v>-407.0517732832314</v>
      </c>
      <c r="T677">
        <f t="shared" si="998"/>
        <v>-0.40705177328323139</v>
      </c>
    </row>
    <row r="678" spans="1:20" x14ac:dyDescent="0.25">
      <c r="A678" s="5">
        <v>43915</v>
      </c>
      <c r="B678">
        <v>0.1489</v>
      </c>
      <c r="C678">
        <v>0.155</v>
      </c>
      <c r="D678">
        <v>0.1416</v>
      </c>
      <c r="E678">
        <v>0.14580000000000001</v>
      </c>
      <c r="F678">
        <v>164718.63</v>
      </c>
      <c r="G678">
        <v>0</v>
      </c>
      <c r="L678" t="s">
        <v>8</v>
      </c>
      <c r="M678" t="s">
        <v>7</v>
      </c>
      <c r="N678" t="s">
        <v>8</v>
      </c>
      <c r="P678">
        <f t="shared" si="994"/>
        <v>-0.37313432835820737</v>
      </c>
      <c r="Q678">
        <f t="shared" si="995"/>
        <v>-61462.175373134065</v>
      </c>
      <c r="R678">
        <f t="shared" si="996"/>
        <v>-40064262.518700995</v>
      </c>
      <c r="S678">
        <f t="shared" si="997"/>
        <v>-400.64262518700997</v>
      </c>
      <c r="T678">
        <f t="shared" si="998"/>
        <v>-0.40064262518700999</v>
      </c>
    </row>
    <row r="679" spans="1:20" x14ac:dyDescent="0.25">
      <c r="A679" s="5">
        <v>43914</v>
      </c>
      <c r="B679">
        <v>0.14940000000000001</v>
      </c>
      <c r="C679">
        <v>0.1517</v>
      </c>
      <c r="D679">
        <v>0.14269999999999999</v>
      </c>
      <c r="E679">
        <v>0.1489</v>
      </c>
      <c r="F679">
        <v>417077.26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0.37777777777777899</v>
      </c>
      <c r="Q679">
        <f t="shared" si="995"/>
        <v>157562.52044444496</v>
      </c>
      <c r="R679">
        <f t="shared" si="996"/>
        <v>-40002800.343327858</v>
      </c>
      <c r="S679">
        <f t="shared" si="997"/>
        <v>-400.02800343327857</v>
      </c>
      <c r="T679">
        <f t="shared" si="998"/>
        <v>-0.40002800343327855</v>
      </c>
    </row>
    <row r="680" spans="1:20" x14ac:dyDescent="0.25">
      <c r="A680" s="5">
        <v>43913</v>
      </c>
      <c r="B680">
        <v>0.13739999999999999</v>
      </c>
      <c r="C680">
        <v>0.15</v>
      </c>
      <c r="D680">
        <v>0.1351</v>
      </c>
      <c r="E680">
        <v>0.1487</v>
      </c>
      <c r="F680">
        <v>339305.64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0.82550335570469857</v>
      </c>
      <c r="Q680">
        <f t="shared" si="995"/>
        <v>280097.94442953041</v>
      </c>
      <c r="R680">
        <f t="shared" si="996"/>
        <v>-40160362.863772303</v>
      </c>
      <c r="S680">
        <f t="shared" si="997"/>
        <v>-401.60362863772303</v>
      </c>
      <c r="T680">
        <f t="shared" si="998"/>
        <v>-0.40160362863772303</v>
      </c>
    </row>
    <row r="681" spans="1:20" x14ac:dyDescent="0.25">
      <c r="A681" s="5">
        <v>43912</v>
      </c>
      <c r="B681">
        <v>0.1492</v>
      </c>
      <c r="C681">
        <v>0.15590000000000001</v>
      </c>
      <c r="D681">
        <v>0.13750000000000001</v>
      </c>
      <c r="E681">
        <v>0.1391</v>
      </c>
      <c r="F681">
        <v>385002.95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-0.82608695652174013</v>
      </c>
      <c r="Q681">
        <f t="shared" si="995"/>
        <v>-318045.91521739168</v>
      </c>
      <c r="R681">
        <f t="shared" si="996"/>
        <v>-40440460.808201835</v>
      </c>
      <c r="S681">
        <f t="shared" si="997"/>
        <v>-404.40460808201834</v>
      </c>
      <c r="T681">
        <f t="shared" si="998"/>
        <v>-0.40440460808201834</v>
      </c>
    </row>
    <row r="682" spans="1:20" x14ac:dyDescent="0.25">
      <c r="A682" s="5">
        <v>43911</v>
      </c>
      <c r="B682">
        <v>0.1525</v>
      </c>
      <c r="C682">
        <v>0.15970000000000001</v>
      </c>
      <c r="D682">
        <v>0.1444</v>
      </c>
      <c r="E682">
        <v>0.1517</v>
      </c>
      <c r="F682">
        <v>276697.59000000003</v>
      </c>
      <c r="G682">
        <v>0</v>
      </c>
      <c r="L682" t="s">
        <v>7</v>
      </c>
      <c r="M682" t="s">
        <v>8</v>
      </c>
      <c r="N682" t="s">
        <v>8</v>
      </c>
      <c r="P682">
        <f t="shared" si="994"/>
        <v>-4.5751633986928483E-2</v>
      </c>
      <c r="Q682">
        <f t="shared" si="995"/>
        <v>-12659.366862745204</v>
      </c>
      <c r="R682">
        <f t="shared" si="996"/>
        <v>-40122414.892984442</v>
      </c>
      <c r="S682">
        <f t="shared" si="997"/>
        <v>-401.22414892984443</v>
      </c>
      <c r="T682">
        <f t="shared" si="998"/>
        <v>-0.40122414892984443</v>
      </c>
    </row>
    <row r="683" spans="1:20" x14ac:dyDescent="0.25">
      <c r="A683" s="5">
        <v>43910</v>
      </c>
      <c r="B683">
        <v>0.1502</v>
      </c>
      <c r="C683">
        <v>0.17230000000000001</v>
      </c>
      <c r="D683">
        <v>0.13500000000000001</v>
      </c>
      <c r="E683">
        <v>0.1525</v>
      </c>
      <c r="F683">
        <v>774841.97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-6.1662198391421563E-2</v>
      </c>
      <c r="Q683">
        <f t="shared" si="995"/>
        <v>-47778.459276139911</v>
      </c>
      <c r="R683">
        <f t="shared" si="996"/>
        <v>-40109755.526121698</v>
      </c>
      <c r="S683">
        <f t="shared" si="997"/>
        <v>-401.097555261217</v>
      </c>
      <c r="T683">
        <f t="shared" si="998"/>
        <v>-0.40109755526121699</v>
      </c>
    </row>
    <row r="684" spans="1:20" x14ac:dyDescent="0.25">
      <c r="A684" s="5">
        <v>43909</v>
      </c>
      <c r="B684">
        <v>0.13159999999999999</v>
      </c>
      <c r="C684">
        <v>0.15859999999999999</v>
      </c>
      <c r="D684">
        <v>0.1295</v>
      </c>
      <c r="E684">
        <v>0.14960000000000001</v>
      </c>
      <c r="F684">
        <v>957562.6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0.38144329896907325</v>
      </c>
      <c r="Q684">
        <f t="shared" si="995"/>
        <v>365255.83711340307</v>
      </c>
      <c r="R684">
        <f t="shared" si="996"/>
        <v>-40061977.066845559</v>
      </c>
      <c r="S684">
        <f t="shared" si="997"/>
        <v>-400.6197706684556</v>
      </c>
      <c r="T684">
        <f t="shared" si="998"/>
        <v>-0.40061977066845561</v>
      </c>
    </row>
    <row r="685" spans="1:20" x14ac:dyDescent="0.25">
      <c r="A685" s="5">
        <v>43908</v>
      </c>
      <c r="B685">
        <v>0.1265</v>
      </c>
      <c r="C685">
        <v>0.13869999999999999</v>
      </c>
      <c r="D685">
        <v>0.1192</v>
      </c>
      <c r="E685">
        <v>0.13059999999999999</v>
      </c>
      <c r="F685">
        <v>364153.73</v>
      </c>
      <c r="G685">
        <v>0</v>
      </c>
      <c r="L685" t="s">
        <v>8</v>
      </c>
      <c r="M685" t="s">
        <v>8</v>
      </c>
      <c r="N685" t="s">
        <v>8</v>
      </c>
      <c r="P685">
        <f t="shared" si="994"/>
        <v>0.16923076923076918</v>
      </c>
      <c r="Q685">
        <f t="shared" si="995"/>
        <v>61626.015846153823</v>
      </c>
      <c r="R685">
        <f t="shared" si="996"/>
        <v>-40427232.903958961</v>
      </c>
      <c r="S685">
        <f t="shared" si="997"/>
        <v>-404.27232903958964</v>
      </c>
      <c r="T685">
        <f t="shared" si="998"/>
        <v>-0.40427232903958965</v>
      </c>
    </row>
    <row r="686" spans="1:20" x14ac:dyDescent="0.25">
      <c r="A686" s="5">
        <v>43907</v>
      </c>
      <c r="B686">
        <v>0.1157</v>
      </c>
      <c r="C686">
        <v>0.1353</v>
      </c>
      <c r="D686">
        <v>0.1145</v>
      </c>
      <c r="E686">
        <v>0.1283</v>
      </c>
      <c r="F686">
        <v>344410.45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0.32692307692307632</v>
      </c>
      <c r="Q686">
        <f t="shared" si="995"/>
        <v>112595.72403846134</v>
      </c>
      <c r="R686">
        <f t="shared" si="996"/>
        <v>-40488858.919805117</v>
      </c>
      <c r="S686">
        <f t="shared" si="997"/>
        <v>-404.88858919805119</v>
      </c>
      <c r="T686">
        <f t="shared" si="998"/>
        <v>-0.40488858919805121</v>
      </c>
    </row>
    <row r="687" spans="1:20" x14ac:dyDescent="0.25">
      <c r="A687" s="5">
        <v>43906</v>
      </c>
      <c r="B687">
        <v>0.12870000000000001</v>
      </c>
      <c r="C687">
        <v>0.13869999999999999</v>
      </c>
      <c r="D687">
        <v>0.1021</v>
      </c>
      <c r="E687">
        <v>0.114</v>
      </c>
      <c r="F687">
        <v>715322.94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-0.3497267759562836</v>
      </c>
      <c r="Q687">
        <f t="shared" si="995"/>
        <v>-250167.58557377008</v>
      </c>
      <c r="R687">
        <f t="shared" si="996"/>
        <v>-40601454.643843576</v>
      </c>
      <c r="S687">
        <f t="shared" si="997"/>
        <v>-406.01454643843579</v>
      </c>
      <c r="T687">
        <f t="shared" si="998"/>
        <v>-0.40601454643843576</v>
      </c>
    </row>
    <row r="688" spans="1:20" x14ac:dyDescent="0.25">
      <c r="A688" s="5">
        <v>43905</v>
      </c>
      <c r="B688">
        <v>0.12509999999999999</v>
      </c>
      <c r="C688">
        <v>0.1396</v>
      </c>
      <c r="D688">
        <v>0.125</v>
      </c>
      <c r="E688">
        <v>0.13170000000000001</v>
      </c>
      <c r="F688">
        <v>264867.63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-8.2191780821916346E-2</v>
      </c>
      <c r="Q688">
        <f t="shared" si="995"/>
        <v>-21769.942191780436</v>
      </c>
      <c r="R688">
        <f t="shared" si="996"/>
        <v>-40351287.058269806</v>
      </c>
      <c r="S688">
        <f t="shared" si="997"/>
        <v>-403.51287058269804</v>
      </c>
      <c r="T688">
        <f t="shared" si="998"/>
        <v>-0.40351287058269802</v>
      </c>
    </row>
    <row r="689" spans="1:20" x14ac:dyDescent="0.25">
      <c r="A689" s="5">
        <v>43904</v>
      </c>
      <c r="B689">
        <v>0.1328</v>
      </c>
      <c r="C689">
        <v>0.1358</v>
      </c>
      <c r="D689">
        <v>0.1246</v>
      </c>
      <c r="E689">
        <v>0.12620000000000001</v>
      </c>
      <c r="F689">
        <v>248592.35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-0.71428571428571352</v>
      </c>
      <c r="Q689">
        <f t="shared" si="995"/>
        <v>-177565.96428571409</v>
      </c>
      <c r="R689">
        <f t="shared" si="996"/>
        <v>-40329517.116078027</v>
      </c>
      <c r="S689">
        <f t="shared" si="997"/>
        <v>-403.29517116078028</v>
      </c>
      <c r="T689">
        <f t="shared" si="998"/>
        <v>-0.40329517116078029</v>
      </c>
    </row>
    <row r="690" spans="1:20" x14ac:dyDescent="0.25">
      <c r="A690" s="5">
        <v>43903</v>
      </c>
      <c r="B690">
        <v>0.1196</v>
      </c>
      <c r="C690">
        <v>0.14929999999999999</v>
      </c>
      <c r="D690">
        <v>0.09</v>
      </c>
      <c r="E690">
        <v>0.13420000000000001</v>
      </c>
      <c r="F690">
        <v>822862.24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0.49072512647554883</v>
      </c>
      <c r="Q690">
        <f t="shared" si="995"/>
        <v>403799.17679595342</v>
      </c>
      <c r="R690">
        <f t="shared" si="996"/>
        <v>-40151951.15179231</v>
      </c>
      <c r="S690">
        <f t="shared" si="997"/>
        <v>-401.51951151792309</v>
      </c>
      <c r="T690">
        <f t="shared" si="998"/>
        <v>-0.40151951151792309</v>
      </c>
    </row>
    <row r="691" spans="1:20" x14ac:dyDescent="0.25">
      <c r="A691" s="5">
        <v>43902</v>
      </c>
      <c r="B691">
        <v>0.2243</v>
      </c>
      <c r="C691">
        <v>0.2243</v>
      </c>
      <c r="D691">
        <v>0.10680000000000001</v>
      </c>
      <c r="E691">
        <v>0.11840000000000001</v>
      </c>
      <c r="F691">
        <v>1189007.76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-0.80255319148936166</v>
      </c>
      <c r="Q691">
        <f t="shared" si="995"/>
        <v>-954241.97249361698</v>
      </c>
      <c r="R691">
        <f t="shared" si="996"/>
        <v>-40555750.328588262</v>
      </c>
      <c r="S691">
        <f t="shared" si="997"/>
        <v>-405.5575032858826</v>
      </c>
      <c r="T691">
        <f t="shared" si="998"/>
        <v>-0.40555750328588258</v>
      </c>
    </row>
    <row r="692" spans="1:20" x14ac:dyDescent="0.25">
      <c r="A692" s="5">
        <v>43901</v>
      </c>
      <c r="B692">
        <v>0.23130000000000001</v>
      </c>
      <c r="C692">
        <v>0.2329</v>
      </c>
      <c r="D692">
        <v>0.2172</v>
      </c>
      <c r="E692">
        <v>0.22509999999999999</v>
      </c>
      <c r="F692">
        <v>308165.73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6.3694267515916588E-3</v>
      </c>
      <c r="Q692">
        <f t="shared" si="995"/>
        <v>1962.8390445857722</v>
      </c>
      <c r="R692">
        <f t="shared" si="996"/>
        <v>-39601508.356094643</v>
      </c>
      <c r="S692">
        <f t="shared" si="997"/>
        <v>-396.01508356094644</v>
      </c>
      <c r="T692">
        <f t="shared" si="998"/>
        <v>-0.39601508356094645</v>
      </c>
    </row>
    <row r="693" spans="1:20" x14ac:dyDescent="0.25">
      <c r="A693" s="5">
        <v>43900</v>
      </c>
      <c r="B693">
        <v>0.23050000000000001</v>
      </c>
      <c r="C693">
        <v>0.24249999999999999</v>
      </c>
      <c r="D693">
        <v>0.2243</v>
      </c>
      <c r="E693">
        <v>0.2303</v>
      </c>
      <c r="F693">
        <v>254977.36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-0.34065934065933984</v>
      </c>
      <c r="Q693">
        <f t="shared" si="995"/>
        <v>-86860.419340659122</v>
      </c>
      <c r="R693">
        <f t="shared" si="996"/>
        <v>-39603471.195139229</v>
      </c>
      <c r="S693">
        <f t="shared" si="997"/>
        <v>-396.0347119513923</v>
      </c>
      <c r="T693">
        <f t="shared" si="998"/>
        <v>-0.39603471195139228</v>
      </c>
    </row>
    <row r="694" spans="1:20" x14ac:dyDescent="0.25">
      <c r="A694" s="5">
        <v>43899</v>
      </c>
      <c r="B694">
        <v>0.22689999999999999</v>
      </c>
      <c r="C694">
        <v>0.23860000000000001</v>
      </c>
      <c r="D694">
        <v>0.2099</v>
      </c>
      <c r="E694">
        <v>0.23069999999999999</v>
      </c>
      <c r="F694">
        <v>598601.79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0.44947735191637511</v>
      </c>
      <c r="Q694">
        <f t="shared" si="995"/>
        <v>269057.94742160209</v>
      </c>
      <c r="R694">
        <f t="shared" si="996"/>
        <v>-39516610.775798567</v>
      </c>
      <c r="S694">
        <f t="shared" si="997"/>
        <v>-395.16610775798569</v>
      </c>
      <c r="T694">
        <f t="shared" si="998"/>
        <v>-0.39516610775798566</v>
      </c>
    </row>
    <row r="695" spans="1:20" x14ac:dyDescent="0.25">
      <c r="A695" s="5">
        <v>43898</v>
      </c>
      <c r="B695">
        <v>0.26690000000000003</v>
      </c>
      <c r="C695">
        <v>0.26690000000000003</v>
      </c>
      <c r="D695">
        <v>0.2243</v>
      </c>
      <c r="E695">
        <v>0.2266</v>
      </c>
      <c r="F695">
        <v>530113.02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-0.89201877934272322</v>
      </c>
      <c r="Q695">
        <f t="shared" si="995"/>
        <v>-472870.76901408465</v>
      </c>
      <c r="R695">
        <f t="shared" si="996"/>
        <v>-39785668.72322017</v>
      </c>
      <c r="S695">
        <f t="shared" si="997"/>
        <v>-397.85668723220169</v>
      </c>
      <c r="T695">
        <f t="shared" si="998"/>
        <v>-0.39785668723220169</v>
      </c>
    </row>
    <row r="696" spans="1:20" x14ac:dyDescent="0.25">
      <c r="A696" s="5">
        <v>43897</v>
      </c>
      <c r="B696">
        <v>0.27500000000000002</v>
      </c>
      <c r="C696">
        <v>0.29949999999999999</v>
      </c>
      <c r="D696">
        <v>0.2636</v>
      </c>
      <c r="E696">
        <v>0.26750000000000002</v>
      </c>
      <c r="F696">
        <v>750322.1</v>
      </c>
      <c r="G696">
        <v>0</v>
      </c>
      <c r="L696" t="s">
        <v>8</v>
      </c>
      <c r="M696" t="s">
        <v>8</v>
      </c>
      <c r="N696" t="s">
        <v>7</v>
      </c>
      <c r="P696">
        <f t="shared" si="994"/>
        <v>-0.78272980501392664</v>
      </c>
      <c r="Q696">
        <f t="shared" si="995"/>
        <v>-587299.47103063995</v>
      </c>
      <c r="R696">
        <f t="shared" si="996"/>
        <v>-39312797.954206087</v>
      </c>
      <c r="S696">
        <f t="shared" si="997"/>
        <v>-393.12797954206087</v>
      </c>
      <c r="T696">
        <f t="shared" si="998"/>
        <v>-0.39312797954206086</v>
      </c>
    </row>
    <row r="697" spans="1:20" x14ac:dyDescent="0.25">
      <c r="A697" s="5">
        <v>43896</v>
      </c>
      <c r="B697">
        <v>0.2697</v>
      </c>
      <c r="C697">
        <v>0.27779999999999999</v>
      </c>
      <c r="D697">
        <v>0.26279999999999998</v>
      </c>
      <c r="E697">
        <v>0.27479999999999999</v>
      </c>
      <c r="F697">
        <v>168992.01</v>
      </c>
      <c r="G697">
        <v>0</v>
      </c>
      <c r="L697" t="s">
        <v>8</v>
      </c>
      <c r="M697" t="s">
        <v>7</v>
      </c>
      <c r="N697" t="s">
        <v>7</v>
      </c>
      <c r="P697">
        <f t="shared" si="994"/>
        <v>0.6</v>
      </c>
      <c r="Q697">
        <f t="shared" si="995"/>
        <v>101395.20600000001</v>
      </c>
      <c r="R697">
        <f t="shared" si="996"/>
        <v>-38725498.483175449</v>
      </c>
      <c r="S697">
        <f t="shared" si="997"/>
        <v>-387.25498483175448</v>
      </c>
      <c r="T697">
        <f t="shared" si="998"/>
        <v>-0.38725498483175447</v>
      </c>
    </row>
    <row r="698" spans="1:20" x14ac:dyDescent="0.25">
      <c r="A698" s="5">
        <v>43895</v>
      </c>
      <c r="B698">
        <v>0.26519999999999999</v>
      </c>
      <c r="C698">
        <v>0.27779999999999999</v>
      </c>
      <c r="D698">
        <v>0.26390000000000002</v>
      </c>
      <c r="E698">
        <v>0.26800000000000002</v>
      </c>
      <c r="F698">
        <v>322855.32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-0.41007194244604289</v>
      </c>
      <c r="Q698">
        <f t="shared" si="995"/>
        <v>-132393.90820143875</v>
      </c>
      <c r="R698">
        <f t="shared" si="996"/>
        <v>-38826893.689175449</v>
      </c>
      <c r="S698">
        <f t="shared" si="997"/>
        <v>-388.26893689175449</v>
      </c>
      <c r="T698">
        <f t="shared" si="998"/>
        <v>-0.38826893689175451</v>
      </c>
    </row>
    <row r="699" spans="1:20" x14ac:dyDescent="0.25">
      <c r="A699" s="5">
        <v>43894</v>
      </c>
      <c r="B699">
        <v>0.2535</v>
      </c>
      <c r="C699">
        <v>0.26519999999999999</v>
      </c>
      <c r="D699">
        <v>0.2535</v>
      </c>
      <c r="E699">
        <v>0.2631</v>
      </c>
      <c r="F699">
        <v>122515.19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0.64102564102564219</v>
      </c>
      <c r="Q699">
        <f t="shared" si="995"/>
        <v>78535.378205128349</v>
      </c>
      <c r="R699">
        <f t="shared" si="996"/>
        <v>-38694499.780974008</v>
      </c>
      <c r="S699">
        <f t="shared" si="997"/>
        <v>-386.94499780974007</v>
      </c>
      <c r="T699">
        <f t="shared" si="998"/>
        <v>-0.38694499780974007</v>
      </c>
    </row>
    <row r="700" spans="1:20" x14ac:dyDescent="0.25">
      <c r="A700" s="5">
        <v>43893</v>
      </c>
      <c r="B700">
        <v>0.25950000000000001</v>
      </c>
      <c r="C700">
        <v>0.2651</v>
      </c>
      <c r="D700">
        <v>0.25109999999999999</v>
      </c>
      <c r="E700">
        <v>0.255</v>
      </c>
      <c r="F700">
        <v>105841.79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-0.44285714285714128</v>
      </c>
      <c r="Q700">
        <f t="shared" si="995"/>
        <v>-46872.792714285548</v>
      </c>
      <c r="R700">
        <f t="shared" si="996"/>
        <v>-38773035.159179136</v>
      </c>
      <c r="S700">
        <f t="shared" si="997"/>
        <v>-387.73035159179136</v>
      </c>
      <c r="T700">
        <f t="shared" si="998"/>
        <v>-0.38773035159179137</v>
      </c>
    </row>
    <row r="701" spans="1:20" x14ac:dyDescent="0.25">
      <c r="A701" s="5">
        <v>43892</v>
      </c>
      <c r="B701">
        <v>0.2407</v>
      </c>
      <c r="C701">
        <v>0.2631</v>
      </c>
      <c r="D701">
        <v>0.23830000000000001</v>
      </c>
      <c r="E701">
        <v>0.26140000000000002</v>
      </c>
      <c r="F701">
        <v>200274.42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0.86290322580645318</v>
      </c>
      <c r="Q701">
        <f t="shared" si="995"/>
        <v>172817.44306451644</v>
      </c>
      <c r="R701">
        <f t="shared" si="996"/>
        <v>-38726162.366464853</v>
      </c>
      <c r="S701">
        <f t="shared" si="997"/>
        <v>-387.26162366464854</v>
      </c>
      <c r="T701">
        <f t="shared" si="998"/>
        <v>-0.38726162366464856</v>
      </c>
    </row>
    <row r="702" spans="1:20" x14ac:dyDescent="0.25">
      <c r="A702" s="5">
        <v>43891</v>
      </c>
      <c r="B702">
        <v>0.23949999999999999</v>
      </c>
      <c r="C702">
        <v>0.25330000000000003</v>
      </c>
      <c r="D702">
        <v>0.23730000000000001</v>
      </c>
      <c r="E702">
        <v>0.24229999999999999</v>
      </c>
      <c r="F702">
        <v>234225.73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-0.37500000000000344</v>
      </c>
      <c r="Q702">
        <f t="shared" si="995"/>
        <v>-87834.648750000808</v>
      </c>
      <c r="R702">
        <f t="shared" si="996"/>
        <v>-38898979.809529372</v>
      </c>
      <c r="S702">
        <f t="shared" si="997"/>
        <v>-388.98979809529374</v>
      </c>
      <c r="T702">
        <f t="shared" si="998"/>
        <v>-0.38898979809529372</v>
      </c>
    </row>
    <row r="703" spans="1:20" x14ac:dyDescent="0.25">
      <c r="A703" s="5">
        <v>43890</v>
      </c>
      <c r="B703">
        <v>0.24859999999999999</v>
      </c>
      <c r="C703">
        <v>0.25819999999999999</v>
      </c>
      <c r="D703">
        <v>0.23949999999999999</v>
      </c>
      <c r="E703">
        <v>0.23949999999999999</v>
      </c>
      <c r="F703">
        <v>201482.93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-1</v>
      </c>
      <c r="Q703">
        <f t="shared" si="995"/>
        <v>-201482.93</v>
      </c>
      <c r="R703">
        <f t="shared" si="996"/>
        <v>-38811145.160779372</v>
      </c>
      <c r="S703">
        <f t="shared" si="997"/>
        <v>-388.1114516077937</v>
      </c>
      <c r="T703">
        <f t="shared" si="998"/>
        <v>-0.3881114516077937</v>
      </c>
    </row>
    <row r="704" spans="1:20" x14ac:dyDescent="0.25">
      <c r="A704" s="5">
        <v>43889</v>
      </c>
      <c r="B704">
        <v>0.25380000000000003</v>
      </c>
      <c r="C704">
        <v>0.26140000000000002</v>
      </c>
      <c r="D704">
        <v>0.23669999999999999</v>
      </c>
      <c r="E704">
        <v>0.25159999999999999</v>
      </c>
      <c r="F704">
        <v>352669.1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0.20647773279352064</v>
      </c>
      <c r="Q704">
        <f t="shared" si="995"/>
        <v>72818.316194331404</v>
      </c>
      <c r="R704">
        <f t="shared" si="996"/>
        <v>-38609662.230779372</v>
      </c>
      <c r="S704">
        <f t="shared" si="997"/>
        <v>-386.09662230779372</v>
      </c>
      <c r="T704">
        <f t="shared" si="998"/>
        <v>-0.38609662230779374</v>
      </c>
    </row>
    <row r="705" spans="1:20" x14ac:dyDescent="0.25">
      <c r="A705" s="5">
        <v>43888</v>
      </c>
      <c r="B705">
        <v>0.25659999999999999</v>
      </c>
      <c r="C705">
        <v>0.2767</v>
      </c>
      <c r="D705">
        <v>0.249</v>
      </c>
      <c r="E705">
        <v>0.2555</v>
      </c>
      <c r="F705">
        <v>610536.14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-0.53068592057761699</v>
      </c>
      <c r="Q705">
        <f t="shared" si="995"/>
        <v>-324002.93350180483</v>
      </c>
      <c r="R705">
        <f t="shared" si="996"/>
        <v>-38682480.546973705</v>
      </c>
      <c r="S705">
        <f t="shared" si="997"/>
        <v>-386.82480546973704</v>
      </c>
      <c r="T705">
        <f t="shared" si="998"/>
        <v>-0.38682480546973702</v>
      </c>
    </row>
    <row r="706" spans="1:20" x14ac:dyDescent="0.25">
      <c r="A706" s="5">
        <v>43887</v>
      </c>
      <c r="B706">
        <v>0.27510000000000001</v>
      </c>
      <c r="C706">
        <v>0.27889999999999998</v>
      </c>
      <c r="D706">
        <v>0.23480000000000001</v>
      </c>
      <c r="E706">
        <v>0.25900000000000001</v>
      </c>
      <c r="F706">
        <v>626961.19999999995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9.7505668934241008E-2</v>
      </c>
      <c r="Q706">
        <f t="shared" si="995"/>
        <v>61132.271201814459</v>
      </c>
      <c r="R706">
        <f t="shared" si="996"/>
        <v>-38358477.613471903</v>
      </c>
      <c r="S706">
        <f t="shared" si="997"/>
        <v>-383.58477613471905</v>
      </c>
      <c r="T706">
        <f t="shared" si="998"/>
        <v>-0.38358477613471903</v>
      </c>
    </row>
    <row r="707" spans="1:20" x14ac:dyDescent="0.25">
      <c r="A707" s="5">
        <v>43886</v>
      </c>
      <c r="B707">
        <v>0.30790000000000001</v>
      </c>
      <c r="C707">
        <v>0.30790000000000001</v>
      </c>
      <c r="D707">
        <v>0.27500000000000002</v>
      </c>
      <c r="E707">
        <v>0.2752</v>
      </c>
      <c r="F707">
        <v>235582.91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-0.98784194528875513</v>
      </c>
      <c r="Q707">
        <f t="shared" si="995"/>
        <v>-232718.68009118573</v>
      </c>
      <c r="R707">
        <f t="shared" si="996"/>
        <v>-38419609.884673715</v>
      </c>
      <c r="S707">
        <f t="shared" si="997"/>
        <v>-384.19609884673713</v>
      </c>
      <c r="T707">
        <f t="shared" si="998"/>
        <v>-0.38419609884673711</v>
      </c>
    </row>
    <row r="708" spans="1:20" x14ac:dyDescent="0.25">
      <c r="A708" s="5">
        <v>43885</v>
      </c>
      <c r="B708">
        <v>0.32700000000000001</v>
      </c>
      <c r="C708">
        <v>0.3286</v>
      </c>
      <c r="D708">
        <v>0.3</v>
      </c>
      <c r="E708">
        <v>0.30790000000000001</v>
      </c>
      <c r="F708">
        <v>301491.36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-0.44755244755244655</v>
      </c>
      <c r="Q708">
        <f t="shared" si="995"/>
        <v>-134933.19608391577</v>
      </c>
      <c r="R708">
        <f t="shared" si="996"/>
        <v>-38186891.204582527</v>
      </c>
      <c r="S708">
        <f t="shared" si="997"/>
        <v>-381.86891204582525</v>
      </c>
      <c r="T708">
        <f t="shared" si="998"/>
        <v>-0.38186891204582524</v>
      </c>
    </row>
    <row r="709" spans="1:20" x14ac:dyDescent="0.25">
      <c r="A709" s="5">
        <v>43884</v>
      </c>
      <c r="B709">
        <v>0.31430000000000002</v>
      </c>
      <c r="C709">
        <v>0.32729999999999998</v>
      </c>
      <c r="D709">
        <v>0.31419999999999998</v>
      </c>
      <c r="E709">
        <v>0.32700000000000001</v>
      </c>
      <c r="F709">
        <v>152683.91</v>
      </c>
      <c r="G709">
        <v>0</v>
      </c>
      <c r="L709" t="s">
        <v>7</v>
      </c>
      <c r="M709" t="s">
        <v>7</v>
      </c>
      <c r="N709" t="s">
        <v>7</v>
      </c>
      <c r="P709">
        <f t="shared" si="994"/>
        <v>0.95419847328244778</v>
      </c>
      <c r="Q709">
        <f t="shared" si="995"/>
        <v>145690.75381679466</v>
      </c>
      <c r="R709">
        <f t="shared" si="996"/>
        <v>-38051958.008498609</v>
      </c>
      <c r="S709">
        <f t="shared" si="997"/>
        <v>-380.5195800849861</v>
      </c>
      <c r="T709">
        <f t="shared" si="998"/>
        <v>-0.3805195800849861</v>
      </c>
    </row>
    <row r="710" spans="1:20" x14ac:dyDescent="0.25">
      <c r="A710" s="5">
        <v>43883</v>
      </c>
      <c r="B710">
        <v>0.32469999999999999</v>
      </c>
      <c r="C710">
        <v>0.32479999999999998</v>
      </c>
      <c r="D710">
        <v>0.30909999999999999</v>
      </c>
      <c r="E710">
        <v>0.31530000000000002</v>
      </c>
      <c r="F710">
        <v>111197.38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-0.21019108280254242</v>
      </c>
      <c r="Q710">
        <f t="shared" ref="Q710:Q766" si="1000">F710*P710</f>
        <v>-23372.697707005776</v>
      </c>
      <c r="R710">
        <f t="shared" ref="R710:R766" si="1001">R711+Q710</f>
        <v>-38197648.762315407</v>
      </c>
      <c r="S710">
        <f t="shared" ref="S710:S766" si="1002">R710/100000</f>
        <v>-381.97648762315407</v>
      </c>
      <c r="T710">
        <f t="shared" ref="T710:T766" si="1003">S710/1000</f>
        <v>-0.38197648762315406</v>
      </c>
    </row>
    <row r="711" spans="1:20" x14ac:dyDescent="0.25">
      <c r="A711" s="5">
        <v>43882</v>
      </c>
      <c r="B711">
        <v>0.31459999999999999</v>
      </c>
      <c r="C711">
        <v>0.3347</v>
      </c>
      <c r="D711">
        <v>0.31280000000000002</v>
      </c>
      <c r="E711">
        <v>0.32490000000000002</v>
      </c>
      <c r="F711">
        <v>212821.83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0.10502283105022954</v>
      </c>
      <c r="Q711">
        <f t="shared" si="1000"/>
        <v>22351.151095890673</v>
      </c>
      <c r="R711">
        <f t="shared" si="1001"/>
        <v>-38174276.064608403</v>
      </c>
      <c r="S711">
        <f t="shared" si="1002"/>
        <v>-381.74276064608404</v>
      </c>
      <c r="T711">
        <f t="shared" si="1003"/>
        <v>-0.38174276064608403</v>
      </c>
    </row>
    <row r="712" spans="1:20" x14ac:dyDescent="0.25">
      <c r="A712" s="5">
        <v>43881</v>
      </c>
      <c r="B712">
        <v>0.31809999999999999</v>
      </c>
      <c r="C712">
        <v>0.35299999999999998</v>
      </c>
      <c r="D712">
        <v>0.3</v>
      </c>
      <c r="E712">
        <v>0.31469999999999998</v>
      </c>
      <c r="F712">
        <v>367898.36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-0.44528301886792476</v>
      </c>
      <c r="Q712">
        <f t="shared" si="1000"/>
        <v>-163818.89237735857</v>
      </c>
      <c r="R712">
        <f t="shared" si="1001"/>
        <v>-38196627.215704292</v>
      </c>
      <c r="S712">
        <f t="shared" si="1002"/>
        <v>-381.96627215704291</v>
      </c>
      <c r="T712">
        <f t="shared" si="1003"/>
        <v>-0.38196627215704293</v>
      </c>
    </row>
    <row r="713" spans="1:20" x14ac:dyDescent="0.25">
      <c r="A713" s="5">
        <v>43880</v>
      </c>
      <c r="B713">
        <v>0.34720000000000001</v>
      </c>
      <c r="C713">
        <v>0.35649999999999998</v>
      </c>
      <c r="D713">
        <v>0.31630000000000003</v>
      </c>
      <c r="E713">
        <v>0.31630000000000003</v>
      </c>
      <c r="F713">
        <v>275783.36</v>
      </c>
      <c r="G713">
        <v>0</v>
      </c>
      <c r="L713" t="s">
        <v>7</v>
      </c>
      <c r="M713" t="s">
        <v>8</v>
      </c>
      <c r="N713" t="s">
        <v>7</v>
      </c>
      <c r="P713">
        <f t="shared" si="999"/>
        <v>-1</v>
      </c>
      <c r="Q713">
        <f t="shared" si="1000"/>
        <v>-275783.36</v>
      </c>
      <c r="R713">
        <f t="shared" si="1001"/>
        <v>-38032808.32332693</v>
      </c>
      <c r="S713">
        <f t="shared" si="1002"/>
        <v>-380.3280832332693</v>
      </c>
      <c r="T713">
        <f t="shared" si="1003"/>
        <v>-0.38032808323326928</v>
      </c>
    </row>
    <row r="714" spans="1:20" x14ac:dyDescent="0.25">
      <c r="A714" s="5">
        <v>43879</v>
      </c>
      <c r="B714">
        <v>0.32529999999999998</v>
      </c>
      <c r="C714">
        <v>0.36199999999999999</v>
      </c>
      <c r="D714">
        <v>0.31059999999999999</v>
      </c>
      <c r="E714">
        <v>0.3473</v>
      </c>
      <c r="F714">
        <v>566641.02</v>
      </c>
      <c r="G714">
        <v>0</v>
      </c>
      <c r="L714" t="s">
        <v>8</v>
      </c>
      <c r="M714" t="s">
        <v>8</v>
      </c>
      <c r="N714" t="s">
        <v>7</v>
      </c>
      <c r="P714">
        <f t="shared" si="999"/>
        <v>0.428015564202335</v>
      </c>
      <c r="Q714">
        <f t="shared" si="1000"/>
        <v>242531.1758754866</v>
      </c>
      <c r="R714">
        <f t="shared" si="1001"/>
        <v>-37757024.963326931</v>
      </c>
      <c r="S714">
        <f t="shared" si="1002"/>
        <v>-377.57024963326933</v>
      </c>
      <c r="T714">
        <f t="shared" si="1003"/>
        <v>-0.37757024963326935</v>
      </c>
    </row>
    <row r="715" spans="1:20" x14ac:dyDescent="0.25">
      <c r="A715" s="5">
        <v>43878</v>
      </c>
      <c r="B715">
        <v>0.33839999999999998</v>
      </c>
      <c r="C715">
        <v>0.34300000000000003</v>
      </c>
      <c r="D715">
        <v>0.30270000000000002</v>
      </c>
      <c r="E715">
        <v>0.32390000000000002</v>
      </c>
      <c r="F715">
        <v>1092542.8600000001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5.2109181141438976E-2</v>
      </c>
      <c r="Q715">
        <f t="shared" si="1000"/>
        <v>56931.513796525811</v>
      </c>
      <c r="R715">
        <f t="shared" si="1001"/>
        <v>-37999556.139202416</v>
      </c>
      <c r="S715">
        <f t="shared" si="1002"/>
        <v>-379.99556139202417</v>
      </c>
      <c r="T715">
        <f t="shared" si="1003"/>
        <v>-0.37999556139202417</v>
      </c>
    </row>
    <row r="716" spans="1:20" x14ac:dyDescent="0.25">
      <c r="A716" s="5">
        <v>43877</v>
      </c>
      <c r="B716">
        <v>0.37090000000000001</v>
      </c>
      <c r="C716">
        <v>0.3871</v>
      </c>
      <c r="D716">
        <v>0.3211</v>
      </c>
      <c r="E716">
        <v>0.34189999999999998</v>
      </c>
      <c r="F716">
        <v>680083.59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-0.36969696969697019</v>
      </c>
      <c r="Q716">
        <f t="shared" si="1000"/>
        <v>-251424.84236363668</v>
      </c>
      <c r="R716">
        <f t="shared" si="1001"/>
        <v>-38056487.652998939</v>
      </c>
      <c r="S716">
        <f t="shared" si="1002"/>
        <v>-380.56487652998942</v>
      </c>
      <c r="T716">
        <f t="shared" si="1003"/>
        <v>-0.38056487652998944</v>
      </c>
    </row>
    <row r="717" spans="1:20" x14ac:dyDescent="0.25">
      <c r="A717" s="5">
        <v>43876</v>
      </c>
      <c r="B717">
        <v>0.42709999999999998</v>
      </c>
      <c r="C717">
        <v>0.43669999999999998</v>
      </c>
      <c r="D717">
        <v>0.35310000000000002</v>
      </c>
      <c r="E717">
        <v>0.36880000000000002</v>
      </c>
      <c r="F717">
        <v>713715.47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-0.62440191387559807</v>
      </c>
      <c r="Q717">
        <f t="shared" si="1000"/>
        <v>-445645.30543062196</v>
      </c>
      <c r="R717">
        <f t="shared" si="1001"/>
        <v>-37805062.810635306</v>
      </c>
      <c r="S717">
        <f t="shared" si="1002"/>
        <v>-378.05062810635309</v>
      </c>
      <c r="T717">
        <f t="shared" si="1003"/>
        <v>-0.37805062810635309</v>
      </c>
    </row>
    <row r="718" spans="1:20" x14ac:dyDescent="0.25">
      <c r="A718" s="5">
        <v>43875</v>
      </c>
      <c r="B718">
        <v>0.38969999999999999</v>
      </c>
      <c r="C718">
        <v>0.43180000000000002</v>
      </c>
      <c r="D718">
        <v>0.38619999999999999</v>
      </c>
      <c r="E718">
        <v>0.42709999999999998</v>
      </c>
      <c r="F718">
        <v>410616.61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0.79385964912280549</v>
      </c>
      <c r="Q718">
        <f t="shared" si="1000"/>
        <v>325971.95793859585</v>
      </c>
      <c r="R718">
        <f t="shared" si="1001"/>
        <v>-37359417.505204685</v>
      </c>
      <c r="S718">
        <f t="shared" si="1002"/>
        <v>-373.59417505204686</v>
      </c>
      <c r="T718">
        <f t="shared" si="1003"/>
        <v>-0.37359417505204684</v>
      </c>
    </row>
    <row r="719" spans="1:20" x14ac:dyDescent="0.25">
      <c r="A719" s="5">
        <v>43874</v>
      </c>
      <c r="B719">
        <v>0.39629999999999999</v>
      </c>
      <c r="C719">
        <v>0.41449999999999998</v>
      </c>
      <c r="D719">
        <v>0.38350000000000001</v>
      </c>
      <c r="E719">
        <v>0.39100000000000001</v>
      </c>
      <c r="F719">
        <v>493833.83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-0.51612903225806361</v>
      </c>
      <c r="Q719">
        <f t="shared" si="1000"/>
        <v>-254881.97677419311</v>
      </c>
      <c r="R719">
        <f t="shared" si="1001"/>
        <v>-37685389.463143282</v>
      </c>
      <c r="S719">
        <f t="shared" si="1002"/>
        <v>-376.85389463143281</v>
      </c>
      <c r="T719">
        <f t="shared" si="1003"/>
        <v>-0.37685389463143282</v>
      </c>
    </row>
    <row r="720" spans="1:20" x14ac:dyDescent="0.25">
      <c r="A720" s="5">
        <v>43873</v>
      </c>
      <c r="B720">
        <v>0.36680000000000001</v>
      </c>
      <c r="C720">
        <v>0.40029999999999999</v>
      </c>
      <c r="D720">
        <v>0.36649999999999999</v>
      </c>
      <c r="E720">
        <v>0.39760000000000001</v>
      </c>
      <c r="F720">
        <v>810434.94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0.84023668639053373</v>
      </c>
      <c r="Q720">
        <f t="shared" si="1000"/>
        <v>680957.16852071101</v>
      </c>
      <c r="R720">
        <f t="shared" si="1001"/>
        <v>-37430507.486369088</v>
      </c>
      <c r="S720">
        <f t="shared" si="1002"/>
        <v>-374.30507486369089</v>
      </c>
      <c r="T720">
        <f t="shared" si="1003"/>
        <v>-0.37430507486369091</v>
      </c>
    </row>
    <row r="721" spans="1:20" x14ac:dyDescent="0.25">
      <c r="A721" s="5">
        <v>43872</v>
      </c>
      <c r="B721">
        <v>0.34599999999999997</v>
      </c>
      <c r="C721">
        <v>0.38369999999999999</v>
      </c>
      <c r="D721">
        <v>0.33650000000000002</v>
      </c>
      <c r="E721">
        <v>0.36680000000000001</v>
      </c>
      <c r="F721">
        <v>968434.21</v>
      </c>
      <c r="G721">
        <v>0</v>
      </c>
      <c r="L721" t="s">
        <v>7</v>
      </c>
      <c r="M721" t="s">
        <v>8</v>
      </c>
      <c r="N721" t="s">
        <v>8</v>
      </c>
      <c r="P721">
        <f t="shared" si="999"/>
        <v>0.28389830508474645</v>
      </c>
      <c r="Q721">
        <f t="shared" si="1000"/>
        <v>274936.83080508542</v>
      </c>
      <c r="R721">
        <f t="shared" si="1001"/>
        <v>-38111464.6548898</v>
      </c>
      <c r="S721">
        <f t="shared" si="1002"/>
        <v>-381.11464654889801</v>
      </c>
      <c r="T721">
        <f t="shared" si="1003"/>
        <v>-0.38111464654889798</v>
      </c>
    </row>
    <row r="722" spans="1:20" x14ac:dyDescent="0.25">
      <c r="A722" s="5">
        <v>43871</v>
      </c>
      <c r="B722">
        <v>0.3624</v>
      </c>
      <c r="C722">
        <v>0.36599999999999999</v>
      </c>
      <c r="D722">
        <v>0.33979999999999999</v>
      </c>
      <c r="E722">
        <v>0.34610000000000002</v>
      </c>
      <c r="F722">
        <v>452556.42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-0.51908396946564672</v>
      </c>
      <c r="Q722">
        <f t="shared" si="1000"/>
        <v>-234914.7829007624</v>
      </c>
      <c r="R722">
        <f t="shared" si="1001"/>
        <v>-38386401.485694885</v>
      </c>
      <c r="S722">
        <f t="shared" si="1002"/>
        <v>-383.86401485694887</v>
      </c>
      <c r="T722">
        <f t="shared" si="1003"/>
        <v>-0.38386401485694888</v>
      </c>
    </row>
    <row r="723" spans="1:20" x14ac:dyDescent="0.25">
      <c r="A723" s="5">
        <v>43870</v>
      </c>
      <c r="B723">
        <v>0.34699999999999998</v>
      </c>
      <c r="C723">
        <v>0.38250000000000001</v>
      </c>
      <c r="D723">
        <v>0.33960000000000001</v>
      </c>
      <c r="E723">
        <v>0.3609</v>
      </c>
      <c r="F723">
        <v>877091.1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-6.9930069930075178E-3</v>
      </c>
      <c r="Q723">
        <f t="shared" si="1000"/>
        <v>-6133.5041958046559</v>
      </c>
      <c r="R723">
        <f t="shared" si="1001"/>
        <v>-38151486.70279412</v>
      </c>
      <c r="S723">
        <f t="shared" si="1002"/>
        <v>-381.51486702794119</v>
      </c>
      <c r="T723">
        <f t="shared" si="1003"/>
        <v>-0.38151486702794118</v>
      </c>
    </row>
    <row r="724" spans="1:20" x14ac:dyDescent="0.25">
      <c r="A724" s="5">
        <v>43869</v>
      </c>
      <c r="B724">
        <v>0.34720000000000001</v>
      </c>
      <c r="C724">
        <v>0.35099999999999998</v>
      </c>
      <c r="D724">
        <v>0.33119999999999999</v>
      </c>
      <c r="E724">
        <v>0.34820000000000001</v>
      </c>
      <c r="F724">
        <v>288131.32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0.71717171717172001</v>
      </c>
      <c r="Q724">
        <f t="shared" si="1000"/>
        <v>206639.63353535437</v>
      </c>
      <c r="R724">
        <f t="shared" si="1001"/>
        <v>-38145353.198598318</v>
      </c>
      <c r="S724">
        <f t="shared" si="1002"/>
        <v>-381.4535319859832</v>
      </c>
      <c r="T724">
        <f t="shared" si="1003"/>
        <v>-0.3814535319859832</v>
      </c>
    </row>
    <row r="725" spans="1:20" x14ac:dyDescent="0.25">
      <c r="A725" s="5">
        <v>43868</v>
      </c>
      <c r="B725">
        <v>0.35870000000000002</v>
      </c>
      <c r="C725">
        <v>0.36680000000000001</v>
      </c>
      <c r="D725">
        <v>0.33900000000000002</v>
      </c>
      <c r="E725">
        <v>0.3448</v>
      </c>
      <c r="F725">
        <v>870631.21</v>
      </c>
      <c r="G725">
        <v>0</v>
      </c>
      <c r="L725" t="s">
        <v>7</v>
      </c>
      <c r="M725" t="s">
        <v>8</v>
      </c>
      <c r="N725" t="s">
        <v>8</v>
      </c>
      <c r="P725">
        <f t="shared" si="999"/>
        <v>-0.58273381294964222</v>
      </c>
      <c r="Q725">
        <f t="shared" si="1000"/>
        <v>-507346.24467626063</v>
      </c>
      <c r="R725">
        <f t="shared" si="1001"/>
        <v>-38351992.832133673</v>
      </c>
      <c r="S725">
        <f t="shared" si="1002"/>
        <v>-383.51992832133675</v>
      </c>
      <c r="T725">
        <f t="shared" si="1003"/>
        <v>-0.38351992832133674</v>
      </c>
    </row>
    <row r="726" spans="1:20" x14ac:dyDescent="0.25">
      <c r="A726" s="5">
        <v>43867</v>
      </c>
      <c r="B726">
        <v>0.34460000000000002</v>
      </c>
      <c r="C726">
        <v>0.37259999999999999</v>
      </c>
      <c r="D726">
        <v>0.33800000000000002</v>
      </c>
      <c r="E726">
        <v>0.3579</v>
      </c>
      <c r="F726">
        <v>598016.17000000004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0.15028901734104011</v>
      </c>
      <c r="Q726">
        <f t="shared" si="1000"/>
        <v>89875.262543352394</v>
      </c>
      <c r="R726">
        <f t="shared" si="1001"/>
        <v>-37844646.587457411</v>
      </c>
      <c r="S726">
        <f t="shared" si="1002"/>
        <v>-378.44646587457413</v>
      </c>
      <c r="T726">
        <f t="shared" si="1003"/>
        <v>-0.37844646587457414</v>
      </c>
    </row>
    <row r="727" spans="1:20" x14ac:dyDescent="0.25">
      <c r="A727" s="5">
        <v>43866</v>
      </c>
      <c r="B727">
        <v>0.33129999999999998</v>
      </c>
      <c r="C727">
        <v>0.34760000000000002</v>
      </c>
      <c r="D727">
        <v>0.32519999999999999</v>
      </c>
      <c r="E727">
        <v>0.3427</v>
      </c>
      <c r="F727">
        <v>607832.17000000004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0.56249999999999922</v>
      </c>
      <c r="Q727">
        <f t="shared" si="1000"/>
        <v>341905.59562499955</v>
      </c>
      <c r="R727">
        <f t="shared" si="1001"/>
        <v>-37934521.850000761</v>
      </c>
      <c r="S727">
        <f t="shared" si="1002"/>
        <v>-379.3452185000076</v>
      </c>
      <c r="T727">
        <f t="shared" si="1003"/>
        <v>-0.37934521850000763</v>
      </c>
    </row>
    <row r="728" spans="1:20" x14ac:dyDescent="0.25">
      <c r="A728" s="5">
        <v>43865</v>
      </c>
      <c r="B728">
        <v>0.30599999999999999</v>
      </c>
      <c r="C728">
        <v>0.34189999999999998</v>
      </c>
      <c r="D728">
        <v>0.30580000000000002</v>
      </c>
      <c r="E728">
        <v>0.33210000000000001</v>
      </c>
      <c r="F728">
        <v>967895.95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0.45706371191135819</v>
      </c>
      <c r="Q728">
        <f t="shared" si="1000"/>
        <v>442390.11565097031</v>
      </c>
      <c r="R728">
        <f t="shared" si="1001"/>
        <v>-38276427.44562576</v>
      </c>
      <c r="S728">
        <f t="shared" si="1002"/>
        <v>-382.76427445625762</v>
      </c>
      <c r="T728">
        <f t="shared" si="1003"/>
        <v>-0.3827642744562576</v>
      </c>
    </row>
    <row r="729" spans="1:20" x14ac:dyDescent="0.25">
      <c r="A729" s="5">
        <v>43864</v>
      </c>
      <c r="B729">
        <v>0.30880000000000002</v>
      </c>
      <c r="C729">
        <v>0.31569999999999998</v>
      </c>
      <c r="D729">
        <v>0.29930000000000001</v>
      </c>
      <c r="E729">
        <v>0.3054</v>
      </c>
      <c r="F729">
        <v>330871.44</v>
      </c>
      <c r="G729">
        <v>0</v>
      </c>
      <c r="L729" t="s">
        <v>8</v>
      </c>
      <c r="M729" t="s">
        <v>8</v>
      </c>
      <c r="N729" t="s">
        <v>7</v>
      </c>
      <c r="P729">
        <f t="shared" si="999"/>
        <v>-0.2560975609756091</v>
      </c>
      <c r="Q729">
        <f t="shared" si="1000"/>
        <v>-84735.368780487581</v>
      </c>
      <c r="R729">
        <f t="shared" si="1001"/>
        <v>-38718817.561276726</v>
      </c>
      <c r="S729">
        <f t="shared" si="1002"/>
        <v>-387.18817561276728</v>
      </c>
      <c r="T729">
        <f t="shared" si="1003"/>
        <v>-0.3871881756127673</v>
      </c>
    </row>
    <row r="730" spans="1:20" x14ac:dyDescent="0.25">
      <c r="A730" s="5">
        <v>43863</v>
      </c>
      <c r="B730">
        <v>0.29139999999999999</v>
      </c>
      <c r="C730">
        <v>0.31509999999999999</v>
      </c>
      <c r="D730">
        <v>0.28549999999999998</v>
      </c>
      <c r="E730">
        <v>0.30759999999999998</v>
      </c>
      <c r="F730">
        <v>504183.97</v>
      </c>
      <c r="G730">
        <v>0</v>
      </c>
      <c r="L730" t="s">
        <v>8</v>
      </c>
      <c r="M730" t="s">
        <v>8</v>
      </c>
      <c r="N730" t="s">
        <v>7</v>
      </c>
      <c r="P730">
        <f t="shared" si="999"/>
        <v>0.49324324324324303</v>
      </c>
      <c r="Q730">
        <f t="shared" si="1000"/>
        <v>248685.33655405394</v>
      </c>
      <c r="R730">
        <f t="shared" si="1001"/>
        <v>-38634082.19249624</v>
      </c>
      <c r="S730">
        <f t="shared" si="1002"/>
        <v>-386.34082192496243</v>
      </c>
      <c r="T730">
        <f t="shared" si="1003"/>
        <v>-0.38634082192496244</v>
      </c>
    </row>
    <row r="731" spans="1:20" x14ac:dyDescent="0.25">
      <c r="A731" s="5">
        <v>43862</v>
      </c>
      <c r="B731">
        <v>0.28260000000000002</v>
      </c>
      <c r="C731">
        <v>0.29649999999999999</v>
      </c>
      <c r="D731">
        <v>0.28139999999999998</v>
      </c>
      <c r="E731">
        <v>0.2908</v>
      </c>
      <c r="F731">
        <v>299955.24</v>
      </c>
      <c r="G731">
        <v>0</v>
      </c>
      <c r="L731" t="s">
        <v>8</v>
      </c>
      <c r="M731" t="s">
        <v>8</v>
      </c>
      <c r="N731" t="s">
        <v>7</v>
      </c>
      <c r="P731">
        <f t="shared" si="999"/>
        <v>0.24503311258278385</v>
      </c>
      <c r="Q731">
        <f t="shared" si="1000"/>
        <v>73498.966092715942</v>
      </c>
      <c r="R731">
        <f t="shared" si="1001"/>
        <v>-38882767.529050291</v>
      </c>
      <c r="S731">
        <f t="shared" si="1002"/>
        <v>-388.8276752905029</v>
      </c>
      <c r="T731">
        <f t="shared" si="1003"/>
        <v>-0.38882767529050288</v>
      </c>
    </row>
    <row r="732" spans="1:20" x14ac:dyDescent="0.25">
      <c r="A732" s="5">
        <v>43861</v>
      </c>
      <c r="B732">
        <v>0.27900000000000003</v>
      </c>
      <c r="C732">
        <v>0.29749999999999999</v>
      </c>
      <c r="D732">
        <v>0.27389999999999998</v>
      </c>
      <c r="E732">
        <v>0.28149999999999997</v>
      </c>
      <c r="F732">
        <v>368665.32</v>
      </c>
      <c r="G732">
        <v>0</v>
      </c>
      <c r="L732" t="s">
        <v>7</v>
      </c>
      <c r="M732" t="s">
        <v>8</v>
      </c>
      <c r="N732" t="s">
        <v>7</v>
      </c>
      <c r="P732">
        <f t="shared" si="999"/>
        <v>-0.35593220338983117</v>
      </c>
      <c r="Q732">
        <f t="shared" si="1000"/>
        <v>-131219.8596610172</v>
      </c>
      <c r="R732">
        <f t="shared" si="1001"/>
        <v>-38956266.495143004</v>
      </c>
      <c r="S732">
        <f t="shared" si="1002"/>
        <v>-389.56266495143007</v>
      </c>
      <c r="T732">
        <f t="shared" si="1003"/>
        <v>-0.38956266495143005</v>
      </c>
    </row>
    <row r="733" spans="1:20" x14ac:dyDescent="0.25">
      <c r="A733" s="5">
        <v>43860</v>
      </c>
      <c r="B733">
        <v>0.27160000000000001</v>
      </c>
      <c r="C733">
        <v>0.29649999999999999</v>
      </c>
      <c r="D733">
        <v>0.26950000000000002</v>
      </c>
      <c r="E733">
        <v>0.27860000000000001</v>
      </c>
      <c r="F733">
        <v>461793.76</v>
      </c>
      <c r="G733">
        <v>0</v>
      </c>
      <c r="L733" t="s">
        <v>8</v>
      </c>
      <c r="M733" t="s">
        <v>8</v>
      </c>
      <c r="N733" t="s">
        <v>7</v>
      </c>
      <c r="P733">
        <f t="shared" si="999"/>
        <v>-0.32592592592592534</v>
      </c>
      <c r="Q733">
        <f t="shared" si="1000"/>
        <v>-150510.55881481455</v>
      </c>
      <c r="R733">
        <f t="shared" si="1001"/>
        <v>-38825046.635481983</v>
      </c>
      <c r="S733">
        <f t="shared" si="1002"/>
        <v>-388.25046635481982</v>
      </c>
      <c r="T733">
        <f t="shared" si="1003"/>
        <v>-0.3882504663548198</v>
      </c>
    </row>
    <row r="734" spans="1:20" x14ac:dyDescent="0.25">
      <c r="A734" s="5">
        <v>43859</v>
      </c>
      <c r="B734">
        <v>0.27329999999999999</v>
      </c>
      <c r="C734">
        <v>0.28000000000000003</v>
      </c>
      <c r="D734">
        <v>0.26600000000000001</v>
      </c>
      <c r="E734">
        <v>0.2717</v>
      </c>
      <c r="F734">
        <v>261280.47</v>
      </c>
      <c r="G734">
        <v>0</v>
      </c>
      <c r="L734" t="s">
        <v>8</v>
      </c>
      <c r="M734" t="s">
        <v>8</v>
      </c>
      <c r="N734" t="s">
        <v>7</v>
      </c>
      <c r="P734">
        <f t="shared" si="999"/>
        <v>-0.18571428571428888</v>
      </c>
      <c r="Q734">
        <f t="shared" si="1000"/>
        <v>-48523.515857143684</v>
      </c>
      <c r="R734">
        <f t="shared" si="1001"/>
        <v>-38674536.076667167</v>
      </c>
      <c r="S734">
        <f t="shared" si="1002"/>
        <v>-386.74536076667169</v>
      </c>
      <c r="T734">
        <f t="shared" si="1003"/>
        <v>-0.38674536076667171</v>
      </c>
    </row>
    <row r="735" spans="1:20" x14ac:dyDescent="0.25">
      <c r="A735" s="5">
        <v>43858</v>
      </c>
      <c r="B735">
        <v>0.27039999999999997</v>
      </c>
      <c r="C735">
        <v>0.2752</v>
      </c>
      <c r="D735">
        <v>0.26540000000000002</v>
      </c>
      <c r="E735">
        <v>0.27329999999999999</v>
      </c>
      <c r="F735">
        <v>147810.96</v>
      </c>
      <c r="G735">
        <v>0</v>
      </c>
      <c r="L735" t="s">
        <v>8</v>
      </c>
      <c r="M735" t="s">
        <v>8</v>
      </c>
      <c r="N735" t="s">
        <v>7</v>
      </c>
      <c r="P735">
        <f t="shared" si="999"/>
        <v>0.61224489795918013</v>
      </c>
      <c r="Q735">
        <f t="shared" si="1000"/>
        <v>90496.506122448453</v>
      </c>
      <c r="R735">
        <f t="shared" si="1001"/>
        <v>-38626012.560810022</v>
      </c>
      <c r="S735">
        <f t="shared" si="1002"/>
        <v>-386.26012560810022</v>
      </c>
      <c r="T735">
        <f t="shared" si="1003"/>
        <v>-0.38626012560810025</v>
      </c>
    </row>
    <row r="736" spans="1:20" x14ac:dyDescent="0.25">
      <c r="A736" s="5">
        <v>43857</v>
      </c>
      <c r="B736">
        <v>0.26850000000000002</v>
      </c>
      <c r="C736">
        <v>0.2767</v>
      </c>
      <c r="D736">
        <v>0.26229999999999998</v>
      </c>
      <c r="E736">
        <v>0.27039999999999997</v>
      </c>
      <c r="F736">
        <v>265664.77</v>
      </c>
      <c r="G736">
        <v>0</v>
      </c>
      <c r="L736" t="s">
        <v>8</v>
      </c>
      <c r="M736" t="s">
        <v>8</v>
      </c>
      <c r="N736" t="s">
        <v>7</v>
      </c>
      <c r="P736">
        <f t="shared" si="999"/>
        <v>0.12499999999999759</v>
      </c>
      <c r="Q736">
        <f t="shared" si="1000"/>
        <v>33208.096249999362</v>
      </c>
      <c r="R736">
        <f t="shared" si="1001"/>
        <v>-38716509.06693247</v>
      </c>
      <c r="S736">
        <f t="shared" si="1002"/>
        <v>-387.16509066932468</v>
      </c>
      <c r="T736">
        <f t="shared" si="1003"/>
        <v>-0.3871650906693247</v>
      </c>
    </row>
    <row r="737" spans="1:20" x14ac:dyDescent="0.25">
      <c r="A737" s="5">
        <v>43856</v>
      </c>
      <c r="B737">
        <v>0.26069999999999999</v>
      </c>
      <c r="C737">
        <v>0.2712</v>
      </c>
      <c r="D737">
        <v>0.25979999999999998</v>
      </c>
      <c r="E737">
        <v>0.26840000000000003</v>
      </c>
      <c r="F737">
        <v>183829.53</v>
      </c>
      <c r="G737">
        <v>0</v>
      </c>
      <c r="L737" t="s">
        <v>8</v>
      </c>
      <c r="M737" t="s">
        <v>8</v>
      </c>
      <c r="N737" t="s">
        <v>7</v>
      </c>
      <c r="P737">
        <f t="shared" si="999"/>
        <v>0.50877192982456776</v>
      </c>
      <c r="Q737">
        <f t="shared" si="1000"/>
        <v>93527.304736843274</v>
      </c>
      <c r="R737">
        <f t="shared" si="1001"/>
        <v>-38749717.163182467</v>
      </c>
      <c r="S737">
        <f t="shared" si="1002"/>
        <v>-387.4971716318247</v>
      </c>
      <c r="T737">
        <f t="shared" si="1003"/>
        <v>-0.38749717163182468</v>
      </c>
    </row>
    <row r="738" spans="1:20" x14ac:dyDescent="0.25">
      <c r="A738" s="5">
        <v>43855</v>
      </c>
      <c r="B738">
        <v>0.26679999999999998</v>
      </c>
      <c r="C738">
        <v>0.27</v>
      </c>
      <c r="D738">
        <v>0.25719999999999998</v>
      </c>
      <c r="E738">
        <v>0.26240000000000002</v>
      </c>
      <c r="F738">
        <v>132032.01</v>
      </c>
      <c r="G738">
        <v>0</v>
      </c>
      <c r="L738" t="s">
        <v>8</v>
      </c>
      <c r="M738" t="s">
        <v>8</v>
      </c>
      <c r="N738" t="s">
        <v>7</v>
      </c>
      <c r="P738">
        <f t="shared" si="999"/>
        <v>-0.1874999999999962</v>
      </c>
      <c r="Q738">
        <f t="shared" si="1000"/>
        <v>-24756.0018749995</v>
      </c>
      <c r="R738">
        <f t="shared" si="1001"/>
        <v>-38843244.467919312</v>
      </c>
      <c r="S738">
        <f t="shared" si="1002"/>
        <v>-388.43244467919311</v>
      </c>
      <c r="T738">
        <f t="shared" si="1003"/>
        <v>-0.38843244467919313</v>
      </c>
    </row>
    <row r="739" spans="1:20" x14ac:dyDescent="0.25">
      <c r="A739" s="5">
        <v>43854</v>
      </c>
      <c r="B739">
        <v>0.25890000000000002</v>
      </c>
      <c r="C739">
        <v>0.27079999999999999</v>
      </c>
      <c r="D739">
        <v>0.2462</v>
      </c>
      <c r="E739">
        <v>0.26829999999999998</v>
      </c>
      <c r="F739">
        <v>242140.87</v>
      </c>
      <c r="G739">
        <v>0</v>
      </c>
      <c r="L739" t="s">
        <v>7</v>
      </c>
      <c r="M739" t="s">
        <v>8</v>
      </c>
      <c r="N739" t="s">
        <v>7</v>
      </c>
      <c r="P739">
        <f t="shared" si="999"/>
        <v>0.79674796747967447</v>
      </c>
      <c r="Q739">
        <f t="shared" si="1000"/>
        <v>192925.24601626009</v>
      </c>
      <c r="R739">
        <f t="shared" si="1001"/>
        <v>-38818488.466044314</v>
      </c>
      <c r="S739">
        <f t="shared" si="1002"/>
        <v>-388.18488466044312</v>
      </c>
      <c r="T739">
        <f t="shared" si="1003"/>
        <v>-0.3881848846604431</v>
      </c>
    </row>
    <row r="740" spans="1:20" x14ac:dyDescent="0.25">
      <c r="A740" s="5">
        <v>43853</v>
      </c>
      <c r="B740">
        <v>0.2757</v>
      </c>
      <c r="C740">
        <v>0.27700000000000002</v>
      </c>
      <c r="D740">
        <v>0.25600000000000001</v>
      </c>
      <c r="E740">
        <v>0.25750000000000001</v>
      </c>
      <c r="F740">
        <v>249661.86</v>
      </c>
      <c r="G740">
        <v>0</v>
      </c>
      <c r="L740" t="s">
        <v>7</v>
      </c>
      <c r="M740" t="s">
        <v>8</v>
      </c>
      <c r="N740" t="s">
        <v>7</v>
      </c>
      <c r="P740">
        <f t="shared" si="999"/>
        <v>-0.8571428571428571</v>
      </c>
      <c r="Q740">
        <f t="shared" si="1000"/>
        <v>-213995.87999999998</v>
      </c>
      <c r="R740">
        <f t="shared" si="1001"/>
        <v>-39011413.712060571</v>
      </c>
      <c r="S740">
        <f t="shared" si="1002"/>
        <v>-390.11413712060573</v>
      </c>
      <c r="T740">
        <f t="shared" si="1003"/>
        <v>-0.39011413712060572</v>
      </c>
    </row>
    <row r="741" spans="1:20" x14ac:dyDescent="0.25">
      <c r="A741" s="5">
        <v>43852</v>
      </c>
      <c r="B741">
        <v>0.27150000000000002</v>
      </c>
      <c r="C741">
        <v>0.28249999999999997</v>
      </c>
      <c r="D741">
        <v>0.26960000000000001</v>
      </c>
      <c r="E741">
        <v>0.2757</v>
      </c>
      <c r="F741">
        <v>250476.56</v>
      </c>
      <c r="G741">
        <v>0</v>
      </c>
      <c r="L741" t="s">
        <v>8</v>
      </c>
      <c r="M741" t="s">
        <v>8</v>
      </c>
      <c r="N741" t="s">
        <v>7</v>
      </c>
      <c r="P741">
        <f t="shared" si="999"/>
        <v>-5.4263565891471334E-2</v>
      </c>
      <c r="Q741">
        <f t="shared" si="1000"/>
        <v>-13591.751317829074</v>
      </c>
      <c r="R741">
        <f t="shared" si="1001"/>
        <v>-38797417.832060568</v>
      </c>
      <c r="S741">
        <f t="shared" si="1002"/>
        <v>-387.97417832060569</v>
      </c>
      <c r="T741">
        <f t="shared" si="1003"/>
        <v>-0.38797417832060571</v>
      </c>
    </row>
    <row r="742" spans="1:20" x14ac:dyDescent="0.25">
      <c r="A742" s="5">
        <v>43851</v>
      </c>
      <c r="B742">
        <v>0.26169999999999999</v>
      </c>
      <c r="C742">
        <v>0.27500000000000002</v>
      </c>
      <c r="D742">
        <v>0.26029999999999998</v>
      </c>
      <c r="E742">
        <v>0.27039999999999997</v>
      </c>
      <c r="F742">
        <v>156990.13</v>
      </c>
      <c r="G742">
        <v>0</v>
      </c>
      <c r="L742" t="s">
        <v>8</v>
      </c>
      <c r="M742" t="s">
        <v>8</v>
      </c>
      <c r="N742" t="s">
        <v>7</v>
      </c>
      <c r="P742">
        <f t="shared" si="999"/>
        <v>0.37414965986394094</v>
      </c>
      <c r="Q742">
        <f t="shared" si="1000"/>
        <v>58737.803741495874</v>
      </c>
      <c r="R742">
        <f t="shared" si="1001"/>
        <v>-38783826.080742739</v>
      </c>
      <c r="S742">
        <f t="shared" si="1002"/>
        <v>-387.83826080742739</v>
      </c>
      <c r="T742">
        <f t="shared" si="1003"/>
        <v>-0.38783826080742739</v>
      </c>
    </row>
    <row r="743" spans="1:20" x14ac:dyDescent="0.25">
      <c r="A743" s="5">
        <v>43850</v>
      </c>
      <c r="B743">
        <v>0.2616</v>
      </c>
      <c r="C743">
        <v>0.26629999999999998</v>
      </c>
      <c r="D743">
        <v>0.25190000000000001</v>
      </c>
      <c r="E743">
        <v>0.26350000000000001</v>
      </c>
      <c r="F743">
        <v>236136.14</v>
      </c>
      <c r="G743">
        <v>0</v>
      </c>
      <c r="L743" t="s">
        <v>8</v>
      </c>
      <c r="M743" t="s">
        <v>8</v>
      </c>
      <c r="N743" t="s">
        <v>7</v>
      </c>
      <c r="P743">
        <f t="shared" si="999"/>
        <v>0.61111111111111449</v>
      </c>
      <c r="Q743">
        <f t="shared" si="1000"/>
        <v>144305.41888888969</v>
      </c>
      <c r="R743">
        <f t="shared" si="1001"/>
        <v>-38842563.884484231</v>
      </c>
      <c r="S743">
        <f t="shared" si="1002"/>
        <v>-388.4256388448423</v>
      </c>
      <c r="T743">
        <f t="shared" si="1003"/>
        <v>-0.38842563884484227</v>
      </c>
    </row>
    <row r="744" spans="1:20" x14ac:dyDescent="0.25">
      <c r="A744" s="5">
        <v>43849</v>
      </c>
      <c r="B744">
        <v>0.27560000000000001</v>
      </c>
      <c r="C744">
        <v>0.28179999999999999</v>
      </c>
      <c r="D744">
        <v>0.24510000000000001</v>
      </c>
      <c r="E744">
        <v>0.26179999999999998</v>
      </c>
      <c r="F744">
        <v>433361.28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-8.9918256130791671E-2</v>
      </c>
      <c r="Q744">
        <f t="shared" si="1000"/>
        <v>-38967.09057220773</v>
      </c>
      <c r="R744">
        <f t="shared" si="1001"/>
        <v>-38986869.303373121</v>
      </c>
      <c r="S744">
        <f t="shared" si="1002"/>
        <v>-389.86869303373123</v>
      </c>
      <c r="T744">
        <f t="shared" si="1003"/>
        <v>-0.38986869303373123</v>
      </c>
    </row>
    <row r="745" spans="1:20" x14ac:dyDescent="0.25">
      <c r="A745" s="5">
        <v>43848</v>
      </c>
      <c r="B745">
        <v>0.26769999999999999</v>
      </c>
      <c r="C745">
        <v>0.28389999999999999</v>
      </c>
      <c r="D745">
        <v>0.25629999999999997</v>
      </c>
      <c r="E745">
        <v>0.27539999999999998</v>
      </c>
      <c r="F745">
        <v>414777.99</v>
      </c>
      <c r="G745">
        <v>0</v>
      </c>
      <c r="L745" t="s">
        <v>8</v>
      </c>
      <c r="M745" t="s">
        <v>8</v>
      </c>
      <c r="N745" t="s">
        <v>7</v>
      </c>
      <c r="P745">
        <f t="shared" si="999"/>
        <v>0.38405797101449252</v>
      </c>
      <c r="Q745">
        <f t="shared" si="1000"/>
        <v>159298.79326086945</v>
      </c>
      <c r="R745">
        <f t="shared" si="1001"/>
        <v>-38947902.212800913</v>
      </c>
      <c r="S745">
        <f t="shared" si="1002"/>
        <v>-389.47902212800915</v>
      </c>
      <c r="T745">
        <f t="shared" si="1003"/>
        <v>-0.38947902212800917</v>
      </c>
    </row>
    <row r="746" spans="1:20" x14ac:dyDescent="0.25">
      <c r="A746" s="5">
        <v>43847</v>
      </c>
      <c r="B746">
        <v>0.25840000000000002</v>
      </c>
      <c r="C746">
        <v>0.27039999999999997</v>
      </c>
      <c r="D746">
        <v>0.25580000000000003</v>
      </c>
      <c r="E746">
        <v>0.26919999999999999</v>
      </c>
      <c r="F746">
        <v>533227.09</v>
      </c>
      <c r="G746">
        <v>0</v>
      </c>
      <c r="L746" t="s">
        <v>8</v>
      </c>
      <c r="M746" t="s">
        <v>8</v>
      </c>
      <c r="N746" t="s">
        <v>7</v>
      </c>
      <c r="P746">
        <f t="shared" si="999"/>
        <v>0.83561643835616672</v>
      </c>
      <c r="Q746">
        <f t="shared" si="1000"/>
        <v>445573.32178082311</v>
      </c>
      <c r="R746">
        <f t="shared" si="1001"/>
        <v>-39107201.006061785</v>
      </c>
      <c r="S746">
        <f t="shared" si="1002"/>
        <v>-391.07201006061786</v>
      </c>
      <c r="T746">
        <f t="shared" si="1003"/>
        <v>-0.39107201006061787</v>
      </c>
    </row>
    <row r="747" spans="1:20" x14ac:dyDescent="0.25">
      <c r="A747" s="5">
        <v>43846</v>
      </c>
      <c r="B747">
        <v>0.25779999999999997</v>
      </c>
      <c r="C747">
        <v>0.27</v>
      </c>
      <c r="D747">
        <v>0.2447</v>
      </c>
      <c r="E747">
        <v>0.25850000000000001</v>
      </c>
      <c r="F747">
        <v>617779.12</v>
      </c>
      <c r="G747">
        <v>0</v>
      </c>
      <c r="L747" t="s">
        <v>7</v>
      </c>
      <c r="M747" t="s">
        <v>8</v>
      </c>
      <c r="N747" t="s">
        <v>7</v>
      </c>
      <c r="P747">
        <f t="shared" si="999"/>
        <v>9.0909090909090703E-2</v>
      </c>
      <c r="Q747">
        <f t="shared" si="1000"/>
        <v>56161.738181818051</v>
      </c>
      <c r="R747">
        <f t="shared" si="1001"/>
        <v>-39552774.327842608</v>
      </c>
      <c r="S747">
        <f t="shared" si="1002"/>
        <v>-395.5277432784261</v>
      </c>
      <c r="T747">
        <f t="shared" si="1003"/>
        <v>-0.3955277432784261</v>
      </c>
    </row>
    <row r="748" spans="1:20" x14ac:dyDescent="0.25">
      <c r="A748" s="5">
        <v>43845</v>
      </c>
      <c r="B748">
        <v>0.2467</v>
      </c>
      <c r="C748">
        <v>0.27539999999999998</v>
      </c>
      <c r="D748">
        <v>0.24390000000000001</v>
      </c>
      <c r="E748">
        <v>0.25840000000000002</v>
      </c>
      <c r="F748">
        <v>740569.13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-7.9365079365077737E-2</v>
      </c>
      <c r="Q748">
        <f t="shared" si="1000"/>
        <v>-58775.327777776569</v>
      </c>
      <c r="R748">
        <f t="shared" si="1001"/>
        <v>-39608936.066024423</v>
      </c>
      <c r="S748">
        <f t="shared" si="1002"/>
        <v>-396.08936066024421</v>
      </c>
      <c r="T748">
        <f t="shared" si="1003"/>
        <v>-0.39608936066024419</v>
      </c>
    </row>
    <row r="749" spans="1:20" x14ac:dyDescent="0.25">
      <c r="A749" s="5">
        <v>43844</v>
      </c>
      <c r="B749">
        <v>0.23449999999999999</v>
      </c>
      <c r="C749">
        <v>0.2485</v>
      </c>
      <c r="D749">
        <v>0.23250000000000001</v>
      </c>
      <c r="E749">
        <v>0.24610000000000001</v>
      </c>
      <c r="F749">
        <v>638344.89</v>
      </c>
      <c r="G749">
        <v>0</v>
      </c>
      <c r="L749" t="s">
        <v>8</v>
      </c>
      <c r="M749" t="s">
        <v>7</v>
      </c>
      <c r="N749" t="s">
        <v>7</v>
      </c>
      <c r="P749">
        <f t="shared" si="999"/>
        <v>0.70000000000000151</v>
      </c>
      <c r="Q749">
        <f t="shared" si="1000"/>
        <v>446841.423000001</v>
      </c>
      <c r="R749">
        <f t="shared" si="1001"/>
        <v>-39550160.73824665</v>
      </c>
      <c r="S749">
        <f t="shared" si="1002"/>
        <v>-395.50160738246649</v>
      </c>
      <c r="T749">
        <f t="shared" si="1003"/>
        <v>-0.39550160738246648</v>
      </c>
    </row>
    <row r="750" spans="1:20" x14ac:dyDescent="0.25">
      <c r="A750" s="5">
        <v>43843</v>
      </c>
      <c r="B750">
        <v>0.23860000000000001</v>
      </c>
      <c r="C750">
        <v>0.2387</v>
      </c>
      <c r="D750">
        <v>0.22700000000000001</v>
      </c>
      <c r="E750">
        <v>0.23480000000000001</v>
      </c>
      <c r="F750">
        <v>330909.74</v>
      </c>
      <c r="G750">
        <v>0</v>
      </c>
      <c r="L750" t="s">
        <v>8</v>
      </c>
      <c r="M750" t="s">
        <v>7</v>
      </c>
      <c r="N750" t="s">
        <v>7</v>
      </c>
      <c r="P750">
        <f t="shared" si="999"/>
        <v>0.33333333333333492</v>
      </c>
      <c r="Q750">
        <f t="shared" si="1000"/>
        <v>110303.2466666672</v>
      </c>
      <c r="R750">
        <f t="shared" si="1001"/>
        <v>-39997002.16124665</v>
      </c>
      <c r="S750">
        <f t="shared" si="1002"/>
        <v>-399.9700216124665</v>
      </c>
      <c r="T750">
        <f t="shared" si="1003"/>
        <v>-0.39997002161246648</v>
      </c>
    </row>
    <row r="751" spans="1:20" x14ac:dyDescent="0.25">
      <c r="A751" s="5">
        <v>43842</v>
      </c>
      <c r="B751">
        <v>0.23350000000000001</v>
      </c>
      <c r="C751">
        <v>0.24</v>
      </c>
      <c r="D751">
        <v>0.2316</v>
      </c>
      <c r="E751">
        <v>0.2382</v>
      </c>
      <c r="F751">
        <v>235977.07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0.57142857142857195</v>
      </c>
      <c r="Q751">
        <f t="shared" si="1000"/>
        <v>134844.04000000012</v>
      </c>
      <c r="R751">
        <f t="shared" si="1001"/>
        <v>-40107305.40791332</v>
      </c>
      <c r="S751">
        <f t="shared" si="1002"/>
        <v>-401.07305407913321</v>
      </c>
      <c r="T751">
        <f t="shared" si="1003"/>
        <v>-0.40107305407913324</v>
      </c>
    </row>
    <row r="752" spans="1:20" x14ac:dyDescent="0.25">
      <c r="A752" s="5">
        <v>43841</v>
      </c>
      <c r="B752">
        <v>0.22639999999999999</v>
      </c>
      <c r="C752">
        <v>0.24210000000000001</v>
      </c>
      <c r="D752">
        <v>0.2261</v>
      </c>
      <c r="E752">
        <v>0.2339</v>
      </c>
      <c r="F752">
        <v>293205.43</v>
      </c>
      <c r="G752">
        <v>0</v>
      </c>
      <c r="L752" t="s">
        <v>8</v>
      </c>
      <c r="M752" t="s">
        <v>7</v>
      </c>
      <c r="N752" t="s">
        <v>7</v>
      </c>
      <c r="P752">
        <f t="shared" si="999"/>
        <v>-2.5000000000000695E-2</v>
      </c>
      <c r="Q752">
        <f t="shared" si="1000"/>
        <v>-7330.1357500002041</v>
      </c>
      <c r="R752">
        <f t="shared" si="1001"/>
        <v>-40242149.447913319</v>
      </c>
      <c r="S752">
        <f t="shared" si="1002"/>
        <v>-402.42149447913317</v>
      </c>
      <c r="T752">
        <f t="shared" si="1003"/>
        <v>-0.40242149447913317</v>
      </c>
    </row>
    <row r="753" spans="1:20" x14ac:dyDescent="0.25">
      <c r="A753" s="5">
        <v>43840</v>
      </c>
      <c r="B753">
        <v>0.22450000000000001</v>
      </c>
      <c r="C753">
        <v>0.23139999999999999</v>
      </c>
      <c r="D753">
        <v>0.22059999999999999</v>
      </c>
      <c r="E753">
        <v>0.22789999999999999</v>
      </c>
      <c r="F753">
        <v>151686.09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0.35185185185185153</v>
      </c>
      <c r="Q753">
        <f t="shared" si="1000"/>
        <v>53371.031666666619</v>
      </c>
      <c r="R753">
        <f t="shared" si="1001"/>
        <v>-40234819.312163316</v>
      </c>
      <c r="S753">
        <f t="shared" si="1002"/>
        <v>-402.34819312163313</v>
      </c>
      <c r="T753">
        <f t="shared" si="1003"/>
        <v>-0.40234819312163311</v>
      </c>
    </row>
    <row r="754" spans="1:20" x14ac:dyDescent="0.25">
      <c r="A754" s="5">
        <v>43839</v>
      </c>
      <c r="B754">
        <v>0.22389999999999999</v>
      </c>
      <c r="C754">
        <v>0.2361</v>
      </c>
      <c r="D754">
        <v>0.22109999999999999</v>
      </c>
      <c r="E754">
        <v>0.22600000000000001</v>
      </c>
      <c r="F754">
        <v>319953.55</v>
      </c>
      <c r="G754">
        <v>0</v>
      </c>
      <c r="L754" t="s">
        <v>8</v>
      </c>
      <c r="M754" t="s">
        <v>7</v>
      </c>
      <c r="N754" t="s">
        <v>7</v>
      </c>
      <c r="P754">
        <f t="shared" si="999"/>
        <v>-0.34666666666666518</v>
      </c>
      <c r="Q754">
        <f t="shared" si="1000"/>
        <v>-110917.23066666619</v>
      </c>
      <c r="R754">
        <f t="shared" si="1001"/>
        <v>-40288190.343829982</v>
      </c>
      <c r="S754">
        <f t="shared" si="1002"/>
        <v>-402.88190343829984</v>
      </c>
      <c r="T754">
        <f t="shared" si="1003"/>
        <v>-0.40288190343829983</v>
      </c>
    </row>
    <row r="755" spans="1:20" x14ac:dyDescent="0.25">
      <c r="A755" s="5">
        <v>43838</v>
      </c>
      <c r="B755">
        <v>0.23</v>
      </c>
      <c r="C755">
        <v>0.2334</v>
      </c>
      <c r="D755">
        <v>0.22059999999999999</v>
      </c>
      <c r="E755">
        <v>0.22509999999999999</v>
      </c>
      <c r="F755">
        <v>475291.1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-0.29687499999999972</v>
      </c>
      <c r="Q755">
        <f t="shared" si="1000"/>
        <v>-141102.04531249986</v>
      </c>
      <c r="R755">
        <f t="shared" si="1001"/>
        <v>-40177273.113163315</v>
      </c>
      <c r="S755">
        <f t="shared" si="1002"/>
        <v>-401.77273113163312</v>
      </c>
      <c r="T755">
        <f t="shared" si="1003"/>
        <v>-0.40177273113163314</v>
      </c>
    </row>
    <row r="756" spans="1:20" x14ac:dyDescent="0.25">
      <c r="A756" s="5">
        <v>43837</v>
      </c>
      <c r="B756">
        <v>0.24510000000000001</v>
      </c>
      <c r="C756">
        <v>0.2472</v>
      </c>
      <c r="D756">
        <v>0.22919999999999999</v>
      </c>
      <c r="E756">
        <v>0.23</v>
      </c>
      <c r="F756">
        <v>404224.87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-0.91111111111110865</v>
      </c>
      <c r="Q756">
        <f t="shared" si="1000"/>
        <v>-368293.77044444345</v>
      </c>
      <c r="R756">
        <f t="shared" si="1001"/>
        <v>-40036171.067850813</v>
      </c>
      <c r="S756">
        <f t="shared" si="1002"/>
        <v>-400.36171067850813</v>
      </c>
      <c r="T756">
        <f t="shared" si="1003"/>
        <v>-0.40036171067850812</v>
      </c>
    </row>
    <row r="757" spans="1:20" x14ac:dyDescent="0.25">
      <c r="A757" s="5">
        <v>43836</v>
      </c>
      <c r="B757">
        <v>0.23449999999999999</v>
      </c>
      <c r="C757">
        <v>0.24560000000000001</v>
      </c>
      <c r="D757">
        <v>0.2331</v>
      </c>
      <c r="E757">
        <v>0.24560000000000001</v>
      </c>
      <c r="F757">
        <v>303253.99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1</v>
      </c>
      <c r="Q757">
        <f t="shared" si="1000"/>
        <v>303253.99</v>
      </c>
      <c r="R757">
        <f t="shared" si="1001"/>
        <v>-39667877.297406368</v>
      </c>
      <c r="S757">
        <f t="shared" si="1002"/>
        <v>-396.67877297406369</v>
      </c>
      <c r="T757">
        <f t="shared" si="1003"/>
        <v>-0.39667877297406368</v>
      </c>
    </row>
    <row r="758" spans="1:20" x14ac:dyDescent="0.25">
      <c r="A758" s="5">
        <v>43835</v>
      </c>
      <c r="B758">
        <v>0.23369999999999999</v>
      </c>
      <c r="C758">
        <v>0.2407</v>
      </c>
      <c r="D758">
        <v>0.2293</v>
      </c>
      <c r="E758">
        <v>0.23400000000000001</v>
      </c>
      <c r="F758">
        <v>212512.08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-0.1754385964912259</v>
      </c>
      <c r="Q758">
        <f t="shared" si="1000"/>
        <v>-37282.821052631116</v>
      </c>
      <c r="R758">
        <f t="shared" si="1001"/>
        <v>-39971131.28740637</v>
      </c>
      <c r="S758">
        <f t="shared" si="1002"/>
        <v>-399.71131287406371</v>
      </c>
      <c r="T758">
        <f t="shared" si="1003"/>
        <v>-0.3997113128740637</v>
      </c>
    </row>
    <row r="759" spans="1:20" x14ac:dyDescent="0.25">
      <c r="A759" s="5">
        <v>43834</v>
      </c>
      <c r="B759">
        <v>0.22889999999999999</v>
      </c>
      <c r="C759">
        <v>0.23549999999999999</v>
      </c>
      <c r="D759">
        <v>0.22589999999999999</v>
      </c>
      <c r="E759">
        <v>0.23369999999999999</v>
      </c>
      <c r="F759">
        <v>229768.52</v>
      </c>
      <c r="G759">
        <v>0</v>
      </c>
      <c r="L759" t="s">
        <v>7</v>
      </c>
      <c r="M759" t="s">
        <v>7</v>
      </c>
      <c r="N759" t="s">
        <v>7</v>
      </c>
      <c r="P759">
        <f t="shared" si="999"/>
        <v>0.62500000000000078</v>
      </c>
      <c r="Q759">
        <f t="shared" si="1000"/>
        <v>143605.32500000019</v>
      </c>
      <c r="R759">
        <f t="shared" si="1001"/>
        <v>-39933848.466353737</v>
      </c>
      <c r="S759">
        <f t="shared" si="1002"/>
        <v>-399.33848466353737</v>
      </c>
      <c r="T759">
        <f t="shared" si="1003"/>
        <v>-0.39933848466353739</v>
      </c>
    </row>
    <row r="760" spans="1:20" x14ac:dyDescent="0.25">
      <c r="A760" s="5">
        <v>43833</v>
      </c>
      <c r="B760">
        <v>0.2205</v>
      </c>
      <c r="C760">
        <v>0.2311</v>
      </c>
      <c r="D760">
        <v>0.21929999999999999</v>
      </c>
      <c r="E760">
        <v>0.22839999999999999</v>
      </c>
      <c r="F760">
        <v>346864.84</v>
      </c>
      <c r="G760">
        <v>0</v>
      </c>
      <c r="L760" t="s">
        <v>7</v>
      </c>
      <c r="M760" t="s">
        <v>7</v>
      </c>
      <c r="N760" t="s">
        <v>7</v>
      </c>
      <c r="P760">
        <f t="shared" si="999"/>
        <v>0.54237288135593109</v>
      </c>
      <c r="Q760">
        <f t="shared" si="1000"/>
        <v>188130.08271186403</v>
      </c>
      <c r="R760">
        <f t="shared" si="1001"/>
        <v>-40077453.79135374</v>
      </c>
      <c r="S760">
        <f t="shared" si="1002"/>
        <v>-400.77453791353742</v>
      </c>
      <c r="T760">
        <f t="shared" si="1003"/>
        <v>-0.4007745379135374</v>
      </c>
    </row>
    <row r="761" spans="1:20" x14ac:dyDescent="0.25">
      <c r="A761" s="5">
        <v>43832</v>
      </c>
      <c r="B761">
        <v>0.23119999999999999</v>
      </c>
      <c r="C761">
        <v>0.23369999999999999</v>
      </c>
      <c r="D761">
        <v>0.22</v>
      </c>
      <c r="E761">
        <v>0.22070000000000001</v>
      </c>
      <c r="F761">
        <v>291720.31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-0.8978102189781012</v>
      </c>
      <c r="Q761">
        <f t="shared" si="1000"/>
        <v>-261909.47540145955</v>
      </c>
      <c r="R761">
        <f t="shared" si="1001"/>
        <v>-40265583.8740656</v>
      </c>
      <c r="S761">
        <f t="shared" si="1002"/>
        <v>-402.65583874065601</v>
      </c>
      <c r="T761">
        <f t="shared" si="1003"/>
        <v>-0.40265583874065602</v>
      </c>
    </row>
    <row r="762" spans="1:20" x14ac:dyDescent="0.25">
      <c r="A762" s="5">
        <v>43831</v>
      </c>
      <c r="B762">
        <v>0.22270000000000001</v>
      </c>
      <c r="C762">
        <v>0.2351</v>
      </c>
      <c r="D762">
        <v>0.2205</v>
      </c>
      <c r="E762">
        <v>0.23080000000000001</v>
      </c>
      <c r="F762">
        <v>355236.58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0.41095890410958935</v>
      </c>
      <c r="Q762">
        <f t="shared" si="1000"/>
        <v>145987.63561643846</v>
      </c>
      <c r="R762">
        <f t="shared" si="1001"/>
        <v>-40003674.398664139</v>
      </c>
      <c r="S762">
        <f t="shared" si="1002"/>
        <v>-400.0367439866414</v>
      </c>
      <c r="T762">
        <f t="shared" si="1003"/>
        <v>-0.40003674398664141</v>
      </c>
    </row>
    <row r="763" spans="1:20" x14ac:dyDescent="0.25">
      <c r="A763" s="5">
        <v>43830</v>
      </c>
      <c r="B763">
        <v>0.2389</v>
      </c>
      <c r="C763">
        <v>0.24049999999999999</v>
      </c>
      <c r="D763">
        <v>0.22009999999999999</v>
      </c>
      <c r="E763">
        <v>0.22209999999999999</v>
      </c>
      <c r="F763">
        <v>442528.51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-0.80392156862745079</v>
      </c>
      <c r="Q763">
        <f t="shared" si="1000"/>
        <v>-355758.21392156853</v>
      </c>
      <c r="R763">
        <f t="shared" si="1001"/>
        <v>-40149662.034280576</v>
      </c>
      <c r="S763">
        <f t="shared" si="1002"/>
        <v>-401.49662034280578</v>
      </c>
      <c r="T763">
        <f t="shared" si="1003"/>
        <v>-0.40149662034280581</v>
      </c>
    </row>
    <row r="764" spans="1:20" x14ac:dyDescent="0.25">
      <c r="A764" s="5">
        <v>43829</v>
      </c>
      <c r="B764">
        <v>0.2462</v>
      </c>
      <c r="C764">
        <v>0.25180000000000002</v>
      </c>
      <c r="D764">
        <v>0.23810000000000001</v>
      </c>
      <c r="E764">
        <v>0.23930000000000001</v>
      </c>
      <c r="F764">
        <v>412844.78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-0.8248175182481744</v>
      </c>
      <c r="Q764">
        <f t="shared" si="1000"/>
        <v>-340521.60686131357</v>
      </c>
      <c r="R764">
        <f t="shared" si="1001"/>
        <v>-39793903.820359007</v>
      </c>
      <c r="S764">
        <f t="shared" si="1002"/>
        <v>-397.93903820359009</v>
      </c>
      <c r="T764">
        <f t="shared" si="1003"/>
        <v>-0.39793903820359011</v>
      </c>
    </row>
    <row r="765" spans="1:20" x14ac:dyDescent="0.25">
      <c r="A765" s="5">
        <v>43828</v>
      </c>
      <c r="B765">
        <v>0.25190000000000001</v>
      </c>
      <c r="C765">
        <v>0.25309999999999999</v>
      </c>
      <c r="D765">
        <v>0.24340000000000001</v>
      </c>
      <c r="E765">
        <v>0.24629999999999999</v>
      </c>
      <c r="F765">
        <v>401377.15</v>
      </c>
      <c r="G765">
        <v>0</v>
      </c>
      <c r="L765" t="s">
        <v>7</v>
      </c>
      <c r="M765" t="s">
        <v>7</v>
      </c>
      <c r="N765" t="s">
        <v>7</v>
      </c>
      <c r="P765">
        <f t="shared" si="999"/>
        <v>-0.40206185567010516</v>
      </c>
      <c r="Q765">
        <f t="shared" si="1000"/>
        <v>-161378.44175257816</v>
      </c>
      <c r="R765">
        <f t="shared" si="1001"/>
        <v>-39453382.213497691</v>
      </c>
      <c r="S765">
        <f t="shared" si="1002"/>
        <v>-394.5338221349769</v>
      </c>
      <c r="T765">
        <f t="shared" si="1003"/>
        <v>-0.3945338221349769</v>
      </c>
    </row>
    <row r="766" spans="1:20" x14ac:dyDescent="0.25">
      <c r="A766" s="5">
        <v>43827</v>
      </c>
      <c r="B766">
        <v>0.26939999999999997</v>
      </c>
      <c r="C766">
        <v>0.26960000000000001</v>
      </c>
      <c r="D766">
        <v>0.24929999999999999</v>
      </c>
      <c r="E766">
        <v>0.25169999999999998</v>
      </c>
      <c r="F766">
        <v>1080034.3400000001</v>
      </c>
      <c r="G766">
        <v>0</v>
      </c>
      <c r="L766" t="s">
        <v>7</v>
      </c>
      <c r="M766" t="s">
        <v>7</v>
      </c>
      <c r="N766" t="s">
        <v>7</v>
      </c>
      <c r="P766">
        <f t="shared" si="999"/>
        <v>-0.76354679802955827</v>
      </c>
      <c r="Q766">
        <f t="shared" si="1000"/>
        <v>-824656.76206896733</v>
      </c>
      <c r="R766">
        <f t="shared" si="1001"/>
        <v>-39292003.771745116</v>
      </c>
      <c r="S766">
        <f t="shared" si="1002"/>
        <v>-392.92003771745118</v>
      </c>
      <c r="T766">
        <f t="shared" si="1003"/>
        <v>-0.39292003771745115</v>
      </c>
    </row>
    <row r="767" spans="1:20" x14ac:dyDescent="0.25">
      <c r="A767" s="5">
        <v>43826</v>
      </c>
      <c r="B767">
        <v>0.2276</v>
      </c>
      <c r="C767">
        <v>0.3</v>
      </c>
      <c r="D767">
        <v>0.2276</v>
      </c>
      <c r="E767">
        <v>0.26960000000000001</v>
      </c>
      <c r="F767">
        <v>3335192.91</v>
      </c>
      <c r="G767">
        <v>0</v>
      </c>
      <c r="L767" t="s">
        <v>8</v>
      </c>
      <c r="M767" t="s">
        <v>8</v>
      </c>
      <c r="N767" t="s">
        <v>7</v>
      </c>
      <c r="P767">
        <f t="shared" ref="P767:P830" si="1004">IF(C767=D767,0,((E767-D767)-(C767-E767))/(C767-D767))</f>
        <v>0.16022099447513852</v>
      </c>
      <c r="Q767">
        <f t="shared" ref="Q767:Q830" si="1005">F767*P767</f>
        <v>534367.92480663117</v>
      </c>
      <c r="R767">
        <f t="shared" ref="R767:R830" si="1006">R768+Q767</f>
        <v>-38467347.009676151</v>
      </c>
      <c r="S767">
        <f t="shared" ref="S767:S830" si="1007">R767/100000</f>
        <v>-384.67347009676149</v>
      </c>
      <c r="T767">
        <f t="shared" ref="T767:T830" si="1008">S767/1000</f>
        <v>-0.38467347009676151</v>
      </c>
    </row>
    <row r="768" spans="1:20" x14ac:dyDescent="0.25">
      <c r="A768" s="5">
        <v>43825</v>
      </c>
      <c r="B768">
        <v>0.2303</v>
      </c>
      <c r="C768">
        <v>0.23580000000000001</v>
      </c>
      <c r="D768">
        <v>0.22750000000000001</v>
      </c>
      <c r="E768">
        <v>0.2278</v>
      </c>
      <c r="F768">
        <v>235309.46</v>
      </c>
      <c r="G768">
        <v>0</v>
      </c>
      <c r="L768" t="s">
        <v>7</v>
      </c>
      <c r="M768" t="s">
        <v>7</v>
      </c>
      <c r="N768" t="s">
        <v>7</v>
      </c>
      <c r="P768">
        <f t="shared" si="1004"/>
        <v>-0.9277108433734953</v>
      </c>
      <c r="Q768">
        <f t="shared" si="1005"/>
        <v>-218299.13759036176</v>
      </c>
      <c r="R768">
        <f t="shared" si="1006"/>
        <v>-39001714.934482783</v>
      </c>
      <c r="S768">
        <f t="shared" si="1007"/>
        <v>-390.01714934482783</v>
      </c>
      <c r="T768">
        <f t="shared" si="1008"/>
        <v>-0.39001714934482784</v>
      </c>
    </row>
    <row r="769" spans="1:20" x14ac:dyDescent="0.25">
      <c r="A769" s="5">
        <v>43824</v>
      </c>
      <c r="B769">
        <v>0.23899999999999999</v>
      </c>
      <c r="C769">
        <v>0.24</v>
      </c>
      <c r="D769">
        <v>0.22800000000000001</v>
      </c>
      <c r="E769">
        <v>0.2303</v>
      </c>
      <c r="F769">
        <v>274035.11</v>
      </c>
      <c r="G769">
        <v>0</v>
      </c>
      <c r="L769" t="s">
        <v>7</v>
      </c>
      <c r="M769" t="s">
        <v>7</v>
      </c>
      <c r="N769" t="s">
        <v>7</v>
      </c>
      <c r="P769">
        <f t="shared" si="1004"/>
        <v>-0.6166666666666667</v>
      </c>
      <c r="Q769">
        <f t="shared" si="1005"/>
        <v>-168988.31783333333</v>
      </c>
      <c r="R769">
        <f t="shared" si="1006"/>
        <v>-38783415.796892419</v>
      </c>
      <c r="S769">
        <f t="shared" si="1007"/>
        <v>-387.83415796892422</v>
      </c>
      <c r="T769">
        <f t="shared" si="1008"/>
        <v>-0.38783415796892423</v>
      </c>
    </row>
    <row r="770" spans="1:20" x14ac:dyDescent="0.25">
      <c r="A770" s="5">
        <v>43823</v>
      </c>
      <c r="B770">
        <v>0.23760000000000001</v>
      </c>
      <c r="C770">
        <v>0.25130000000000002</v>
      </c>
      <c r="D770">
        <v>0.2316</v>
      </c>
      <c r="E770">
        <v>0.2389</v>
      </c>
      <c r="F770">
        <v>410488.53</v>
      </c>
      <c r="G770">
        <v>0</v>
      </c>
      <c r="L770" t="s">
        <v>8</v>
      </c>
      <c r="M770" t="s">
        <v>7</v>
      </c>
      <c r="N770" t="s">
        <v>7</v>
      </c>
      <c r="P770">
        <f t="shared" si="1004"/>
        <v>-0.25888324873096524</v>
      </c>
      <c r="Q770">
        <f t="shared" si="1005"/>
        <v>-106268.6042131983</v>
      </c>
      <c r="R770">
        <f t="shared" si="1006"/>
        <v>-38614427.479059085</v>
      </c>
      <c r="S770">
        <f t="shared" si="1007"/>
        <v>-386.14427479059083</v>
      </c>
      <c r="T770">
        <f t="shared" si="1008"/>
        <v>-0.38614427479059082</v>
      </c>
    </row>
    <row r="771" spans="1:20" x14ac:dyDescent="0.25">
      <c r="A771" s="5">
        <v>43822</v>
      </c>
      <c r="B771">
        <v>0.24560000000000001</v>
      </c>
      <c r="C771">
        <v>0.24740000000000001</v>
      </c>
      <c r="D771">
        <v>0.23</v>
      </c>
      <c r="E771">
        <v>0.23769999999999999</v>
      </c>
      <c r="F771">
        <v>443433.8</v>
      </c>
      <c r="G771">
        <v>0</v>
      </c>
      <c r="L771" t="s">
        <v>7</v>
      </c>
      <c r="M771" t="s">
        <v>7</v>
      </c>
      <c r="N771" t="s">
        <v>7</v>
      </c>
      <c r="P771">
        <f t="shared" si="1004"/>
        <v>-0.11494252873563389</v>
      </c>
      <c r="Q771">
        <f t="shared" si="1005"/>
        <v>-50969.402298851332</v>
      </c>
      <c r="R771">
        <f t="shared" si="1006"/>
        <v>-38508158.874845885</v>
      </c>
      <c r="S771">
        <f t="shared" si="1007"/>
        <v>-385.08158874845884</v>
      </c>
      <c r="T771">
        <f t="shared" si="1008"/>
        <v>-0.38508158874845883</v>
      </c>
    </row>
    <row r="772" spans="1:20" x14ac:dyDescent="0.25">
      <c r="A772" s="5">
        <v>43821</v>
      </c>
      <c r="B772">
        <v>0.23830000000000001</v>
      </c>
      <c r="C772">
        <v>0.24579999999999999</v>
      </c>
      <c r="D772">
        <v>0.23569999999999999</v>
      </c>
      <c r="E772">
        <v>0.24510000000000001</v>
      </c>
      <c r="F772">
        <v>271973.74</v>
      </c>
      <c r="G772">
        <v>0</v>
      </c>
      <c r="L772" t="s">
        <v>7</v>
      </c>
      <c r="M772" t="s">
        <v>7</v>
      </c>
      <c r="N772" t="s">
        <v>7</v>
      </c>
      <c r="P772">
        <f t="shared" si="1004"/>
        <v>0.86138613861386559</v>
      </c>
      <c r="Q772">
        <f t="shared" si="1005"/>
        <v>234274.40970297143</v>
      </c>
      <c r="R772">
        <f t="shared" si="1006"/>
        <v>-38457189.472547032</v>
      </c>
      <c r="S772">
        <f t="shared" si="1007"/>
        <v>-384.57189472547032</v>
      </c>
      <c r="T772">
        <f t="shared" si="1008"/>
        <v>-0.38457189472547032</v>
      </c>
    </row>
    <row r="773" spans="1:20" x14ac:dyDescent="0.25">
      <c r="A773" s="5">
        <v>43820</v>
      </c>
      <c r="B773">
        <v>0.25180000000000002</v>
      </c>
      <c r="C773">
        <v>0.25409999999999999</v>
      </c>
      <c r="D773">
        <v>0.2369</v>
      </c>
      <c r="E773">
        <v>0.23930000000000001</v>
      </c>
      <c r="F773">
        <v>316608.34999999998</v>
      </c>
      <c r="G773">
        <v>0</v>
      </c>
      <c r="L773" t="s">
        <v>7</v>
      </c>
      <c r="M773" t="s">
        <v>7</v>
      </c>
      <c r="N773" t="s">
        <v>7</v>
      </c>
      <c r="P773">
        <f t="shared" si="1004"/>
        <v>-0.72093023255813793</v>
      </c>
      <c r="Q773">
        <f t="shared" si="1005"/>
        <v>-228252.53139534831</v>
      </c>
      <c r="R773">
        <f t="shared" si="1006"/>
        <v>-38691463.882250004</v>
      </c>
      <c r="S773">
        <f t="shared" si="1007"/>
        <v>-386.91463882250002</v>
      </c>
      <c r="T773">
        <f t="shared" si="1008"/>
        <v>-0.38691463882250005</v>
      </c>
    </row>
    <row r="774" spans="1:20" x14ac:dyDescent="0.25">
      <c r="A774" s="5">
        <v>43819</v>
      </c>
      <c r="B774">
        <v>0.24840000000000001</v>
      </c>
      <c r="C774">
        <v>0.25769999999999998</v>
      </c>
      <c r="D774">
        <v>0.2445</v>
      </c>
      <c r="E774">
        <v>0.25169999999999998</v>
      </c>
      <c r="F774">
        <v>224723.08</v>
      </c>
      <c r="G774">
        <v>0</v>
      </c>
      <c r="L774" t="s">
        <v>8</v>
      </c>
      <c r="M774" t="s">
        <v>7</v>
      </c>
      <c r="N774" t="s">
        <v>7</v>
      </c>
      <c r="P774">
        <f t="shared" si="1004"/>
        <v>9.0909090909089385E-2</v>
      </c>
      <c r="Q774">
        <f t="shared" si="1005"/>
        <v>20429.370909090565</v>
      </c>
      <c r="R774">
        <f t="shared" si="1006"/>
        <v>-38463211.350854658</v>
      </c>
      <c r="S774">
        <f t="shared" si="1007"/>
        <v>-384.63211350854658</v>
      </c>
      <c r="T774">
        <f t="shared" si="1008"/>
        <v>-0.38463211350854659</v>
      </c>
    </row>
    <row r="775" spans="1:20" x14ac:dyDescent="0.25">
      <c r="A775" s="5">
        <v>43818</v>
      </c>
      <c r="B775">
        <v>0.25740000000000002</v>
      </c>
      <c r="C775">
        <v>0.2601</v>
      </c>
      <c r="D775">
        <v>0.2394</v>
      </c>
      <c r="E775">
        <v>0.2487</v>
      </c>
      <c r="F775">
        <v>345360.8</v>
      </c>
      <c r="G775">
        <v>0</v>
      </c>
      <c r="L775" t="s">
        <v>8</v>
      </c>
      <c r="M775" t="s">
        <v>7</v>
      </c>
      <c r="N775" t="s">
        <v>7</v>
      </c>
      <c r="P775">
        <f t="shared" si="1004"/>
        <v>-0.10144927536231842</v>
      </c>
      <c r="Q775">
        <f t="shared" si="1005"/>
        <v>-35036.602898550576</v>
      </c>
      <c r="R775">
        <f t="shared" si="1006"/>
        <v>-38483640.721763745</v>
      </c>
      <c r="S775">
        <f t="shared" si="1007"/>
        <v>-384.83640721763743</v>
      </c>
      <c r="T775">
        <f t="shared" si="1008"/>
        <v>-0.38483640721763746</v>
      </c>
    </row>
    <row r="776" spans="1:20" x14ac:dyDescent="0.25">
      <c r="A776" s="5">
        <v>43817</v>
      </c>
      <c r="B776">
        <v>0.2422</v>
      </c>
      <c r="C776">
        <v>0.26269999999999999</v>
      </c>
      <c r="D776">
        <v>0.2281</v>
      </c>
      <c r="E776">
        <v>0.25690000000000002</v>
      </c>
      <c r="F776">
        <v>292685.8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0.66473988439306508</v>
      </c>
      <c r="Q776">
        <f t="shared" si="1005"/>
        <v>194559.92485549176</v>
      </c>
      <c r="R776">
        <f t="shared" si="1006"/>
        <v>-38448604.118865192</v>
      </c>
      <c r="S776">
        <f t="shared" si="1007"/>
        <v>-384.48604118865194</v>
      </c>
      <c r="T776">
        <f t="shared" si="1008"/>
        <v>-0.38448604118865193</v>
      </c>
    </row>
    <row r="777" spans="1:20" x14ac:dyDescent="0.25">
      <c r="A777" s="5">
        <v>43816</v>
      </c>
      <c r="B777">
        <v>0.26369999999999999</v>
      </c>
      <c r="C777">
        <v>0.27339999999999998</v>
      </c>
      <c r="D777">
        <v>0.2379</v>
      </c>
      <c r="E777">
        <v>0.23930000000000001</v>
      </c>
      <c r="F777">
        <v>180910.5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-0.9211267605633795</v>
      </c>
      <c r="Q777">
        <f t="shared" si="1005"/>
        <v>-166641.50281690128</v>
      </c>
      <c r="R777">
        <f t="shared" si="1006"/>
        <v>-38643164.043720685</v>
      </c>
      <c r="S777">
        <f t="shared" si="1007"/>
        <v>-386.43164043720685</v>
      </c>
      <c r="T777">
        <f t="shared" si="1008"/>
        <v>-0.38643164043720685</v>
      </c>
    </row>
    <row r="778" spans="1:20" x14ac:dyDescent="0.25">
      <c r="A778" s="5">
        <v>43815</v>
      </c>
      <c r="B778">
        <v>0.27939999999999998</v>
      </c>
      <c r="C778">
        <v>0.28100000000000003</v>
      </c>
      <c r="D778">
        <v>0.25619999999999998</v>
      </c>
      <c r="E778">
        <v>0.2636</v>
      </c>
      <c r="F778">
        <v>204193.55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-0.40322580645161255</v>
      </c>
      <c r="Q778">
        <f t="shared" si="1005"/>
        <v>-82336.10887096767</v>
      </c>
      <c r="R778">
        <f t="shared" si="1006"/>
        <v>-38476522.540903784</v>
      </c>
      <c r="S778">
        <f t="shared" si="1007"/>
        <v>-384.76522540903784</v>
      </c>
      <c r="T778">
        <f t="shared" si="1008"/>
        <v>-0.38476522540903785</v>
      </c>
    </row>
    <row r="779" spans="1:20" x14ac:dyDescent="0.25">
      <c r="A779" s="5">
        <v>43814</v>
      </c>
      <c r="B779">
        <v>0.27360000000000001</v>
      </c>
      <c r="C779">
        <v>0.28439999999999999</v>
      </c>
      <c r="D779">
        <v>0.27039999999999997</v>
      </c>
      <c r="E779">
        <v>0.27939999999999998</v>
      </c>
      <c r="F779">
        <v>161698.01</v>
      </c>
      <c r="G779">
        <v>0</v>
      </c>
      <c r="L779" t="s">
        <v>7</v>
      </c>
      <c r="M779" t="s">
        <v>8</v>
      </c>
      <c r="N779" t="s">
        <v>7</v>
      </c>
      <c r="P779">
        <f t="shared" si="1004"/>
        <v>0.2857142857142857</v>
      </c>
      <c r="Q779">
        <f t="shared" si="1005"/>
        <v>46199.431428571428</v>
      </c>
      <c r="R779">
        <f t="shared" si="1006"/>
        <v>-38394186.432032816</v>
      </c>
      <c r="S779">
        <f t="shared" si="1007"/>
        <v>-383.94186432032814</v>
      </c>
      <c r="T779">
        <f t="shared" si="1008"/>
        <v>-0.38394186432032812</v>
      </c>
    </row>
    <row r="780" spans="1:20" x14ac:dyDescent="0.25">
      <c r="A780" s="5">
        <v>43813</v>
      </c>
      <c r="B780">
        <v>0.27950000000000003</v>
      </c>
      <c r="C780">
        <v>0.28749999999999998</v>
      </c>
      <c r="D780">
        <v>0.26900000000000002</v>
      </c>
      <c r="E780">
        <v>0.27329999999999999</v>
      </c>
      <c r="F780">
        <v>344159.02</v>
      </c>
      <c r="G780">
        <v>0</v>
      </c>
      <c r="L780" t="s">
        <v>7</v>
      </c>
      <c r="M780" t="s">
        <v>8</v>
      </c>
      <c r="N780" t="s">
        <v>7</v>
      </c>
      <c r="P780">
        <f t="shared" si="1004"/>
        <v>-0.53513513513513733</v>
      </c>
      <c r="Q780">
        <f t="shared" si="1005"/>
        <v>-184171.58367567643</v>
      </c>
      <c r="R780">
        <f t="shared" si="1006"/>
        <v>-38440385.86346139</v>
      </c>
      <c r="S780">
        <f t="shared" si="1007"/>
        <v>-384.40385863461393</v>
      </c>
      <c r="T780">
        <f t="shared" si="1008"/>
        <v>-0.3844038586346139</v>
      </c>
    </row>
    <row r="781" spans="1:20" x14ac:dyDescent="0.25">
      <c r="A781" s="5">
        <v>43812</v>
      </c>
      <c r="B781">
        <v>0.27889999999999998</v>
      </c>
      <c r="C781">
        <v>0.28399999999999997</v>
      </c>
      <c r="D781">
        <v>0.27539999999999998</v>
      </c>
      <c r="E781">
        <v>0.27929999999999999</v>
      </c>
      <c r="F781">
        <v>178657.52</v>
      </c>
      <c r="G781">
        <v>0</v>
      </c>
      <c r="L781" t="s">
        <v>7</v>
      </c>
      <c r="M781" t="s">
        <v>8</v>
      </c>
      <c r="N781" t="s">
        <v>7</v>
      </c>
      <c r="P781">
        <f t="shared" si="1004"/>
        <v>-9.302325581394974E-2</v>
      </c>
      <c r="Q781">
        <f t="shared" si="1005"/>
        <v>-16619.30418604584</v>
      </c>
      <c r="R781">
        <f t="shared" si="1006"/>
        <v>-38256214.279785715</v>
      </c>
      <c r="S781">
        <f t="shared" si="1007"/>
        <v>-382.56214279785718</v>
      </c>
      <c r="T781">
        <f t="shared" si="1008"/>
        <v>-0.38256214279785716</v>
      </c>
    </row>
    <row r="782" spans="1:20" x14ac:dyDescent="0.25">
      <c r="A782" s="5">
        <v>43811</v>
      </c>
      <c r="B782">
        <v>0.28170000000000001</v>
      </c>
      <c r="C782">
        <v>0.2838</v>
      </c>
      <c r="D782">
        <v>0.27400000000000002</v>
      </c>
      <c r="E782">
        <v>0.27829999999999999</v>
      </c>
      <c r="F782">
        <v>122880.87</v>
      </c>
      <c r="G782">
        <v>0</v>
      </c>
      <c r="L782" t="s">
        <v>7</v>
      </c>
      <c r="M782" t="s">
        <v>8</v>
      </c>
      <c r="N782" t="s">
        <v>7</v>
      </c>
      <c r="P782">
        <f t="shared" si="1004"/>
        <v>-0.12244897959184055</v>
      </c>
      <c r="Q782">
        <f t="shared" si="1005"/>
        <v>-15046.637142857611</v>
      </c>
      <c r="R782">
        <f t="shared" si="1006"/>
        <v>-38239594.975599669</v>
      </c>
      <c r="S782">
        <f t="shared" si="1007"/>
        <v>-382.3959497559967</v>
      </c>
      <c r="T782">
        <f t="shared" si="1008"/>
        <v>-0.38239594975599672</v>
      </c>
    </row>
    <row r="783" spans="1:20" x14ac:dyDescent="0.25">
      <c r="A783" s="5">
        <v>43810</v>
      </c>
      <c r="B783">
        <v>0.2802</v>
      </c>
      <c r="C783">
        <v>0.28870000000000001</v>
      </c>
      <c r="D783">
        <v>0.27679999999999999</v>
      </c>
      <c r="E783">
        <v>0.28149999999999997</v>
      </c>
      <c r="F783">
        <v>153283.49</v>
      </c>
      <c r="G783">
        <v>0</v>
      </c>
      <c r="L783" t="s">
        <v>7</v>
      </c>
      <c r="M783" t="s">
        <v>8</v>
      </c>
      <c r="N783" t="s">
        <v>7</v>
      </c>
      <c r="P783">
        <f t="shared" si="1004"/>
        <v>-0.21008403361344985</v>
      </c>
      <c r="Q783">
        <f t="shared" si="1005"/>
        <v>-32202.413865546903</v>
      </c>
      <c r="R783">
        <f t="shared" si="1006"/>
        <v>-38224548.33845681</v>
      </c>
      <c r="S783">
        <f t="shared" si="1007"/>
        <v>-382.2454833845681</v>
      </c>
      <c r="T783">
        <f t="shared" si="1008"/>
        <v>-0.3822454833845681</v>
      </c>
    </row>
    <row r="784" spans="1:20" x14ac:dyDescent="0.25">
      <c r="A784" s="5">
        <v>43809</v>
      </c>
      <c r="B784">
        <v>0.30049999999999999</v>
      </c>
      <c r="C784">
        <v>0.30149999999999999</v>
      </c>
      <c r="D784">
        <v>0.27100000000000002</v>
      </c>
      <c r="E784">
        <v>0.2802</v>
      </c>
      <c r="F784">
        <v>382525.12</v>
      </c>
      <c r="G784">
        <v>0</v>
      </c>
      <c r="L784" t="s">
        <v>7</v>
      </c>
      <c r="M784" t="s">
        <v>8</v>
      </c>
      <c r="N784" t="s">
        <v>7</v>
      </c>
      <c r="P784">
        <f t="shared" si="1004"/>
        <v>-0.39672131147541018</v>
      </c>
      <c r="Q784">
        <f t="shared" si="1005"/>
        <v>-151755.86727868865</v>
      </c>
      <c r="R784">
        <f t="shared" si="1006"/>
        <v>-38192345.924591266</v>
      </c>
      <c r="S784">
        <f t="shared" si="1007"/>
        <v>-381.92345924591268</v>
      </c>
      <c r="T784">
        <f t="shared" si="1008"/>
        <v>-0.3819234592459127</v>
      </c>
    </row>
    <row r="785" spans="1:20" x14ac:dyDescent="0.25">
      <c r="A785" s="5">
        <v>43808</v>
      </c>
      <c r="B785">
        <v>0.30840000000000001</v>
      </c>
      <c r="C785">
        <v>0.315</v>
      </c>
      <c r="D785">
        <v>0.29709999999999998</v>
      </c>
      <c r="E785">
        <v>0.3019</v>
      </c>
      <c r="F785">
        <v>347879.61</v>
      </c>
      <c r="G785">
        <v>0</v>
      </c>
      <c r="L785" t="s">
        <v>8</v>
      </c>
      <c r="M785" t="s">
        <v>8</v>
      </c>
      <c r="N785" t="s">
        <v>7</v>
      </c>
      <c r="P785">
        <f t="shared" si="1004"/>
        <v>-0.46368715083798667</v>
      </c>
      <c r="Q785">
        <f t="shared" si="1005"/>
        <v>-161307.30519552997</v>
      </c>
      <c r="R785">
        <f t="shared" si="1006"/>
        <v>-38040590.057312578</v>
      </c>
      <c r="S785">
        <f t="shared" si="1007"/>
        <v>-380.40590057312579</v>
      </c>
      <c r="T785">
        <f t="shared" si="1008"/>
        <v>-0.38040590057312579</v>
      </c>
    </row>
    <row r="786" spans="1:20" x14ac:dyDescent="0.25">
      <c r="A786" s="5">
        <v>43807</v>
      </c>
      <c r="B786">
        <v>0.3004</v>
      </c>
      <c r="C786">
        <v>0.31519999999999998</v>
      </c>
      <c r="D786">
        <v>0.29020000000000001</v>
      </c>
      <c r="E786">
        <v>0.30840000000000001</v>
      </c>
      <c r="F786">
        <v>546348.18999999994</v>
      </c>
      <c r="G786">
        <v>0</v>
      </c>
      <c r="L786" t="s">
        <v>8</v>
      </c>
      <c r="M786" t="s">
        <v>8</v>
      </c>
      <c r="N786" t="s">
        <v>7</v>
      </c>
      <c r="P786">
        <f t="shared" si="1004"/>
        <v>0.45600000000000146</v>
      </c>
      <c r="Q786">
        <f t="shared" si="1005"/>
        <v>249134.77464000077</v>
      </c>
      <c r="R786">
        <f t="shared" si="1006"/>
        <v>-37879282.752117045</v>
      </c>
      <c r="S786">
        <f t="shared" si="1007"/>
        <v>-378.79282752117047</v>
      </c>
      <c r="T786">
        <f t="shared" si="1008"/>
        <v>-0.37879282752117044</v>
      </c>
    </row>
    <row r="787" spans="1:20" x14ac:dyDescent="0.25">
      <c r="A787" s="5">
        <v>43806</v>
      </c>
      <c r="B787">
        <v>0.2959</v>
      </c>
      <c r="C787">
        <v>0.30890000000000001</v>
      </c>
      <c r="D787">
        <v>0.28899999999999998</v>
      </c>
      <c r="E787">
        <v>0.3004</v>
      </c>
      <c r="F787">
        <v>430338.92</v>
      </c>
      <c r="G787">
        <v>0</v>
      </c>
      <c r="L787" t="s">
        <v>8</v>
      </c>
      <c r="M787" t="s">
        <v>8</v>
      </c>
      <c r="N787" t="s">
        <v>7</v>
      </c>
      <c r="P787">
        <f t="shared" si="1004"/>
        <v>0.14572864321608087</v>
      </c>
      <c r="Q787">
        <f t="shared" si="1005"/>
        <v>62712.706934673566</v>
      </c>
      <c r="R787">
        <f t="shared" si="1006"/>
        <v>-38128417.526757047</v>
      </c>
      <c r="S787">
        <f t="shared" si="1007"/>
        <v>-381.28417526757045</v>
      </c>
      <c r="T787">
        <f t="shared" si="1008"/>
        <v>-0.38128417526757047</v>
      </c>
    </row>
    <row r="788" spans="1:20" x14ac:dyDescent="0.25">
      <c r="A788" s="5">
        <v>43805</v>
      </c>
      <c r="B788">
        <v>0.29089999999999999</v>
      </c>
      <c r="C788">
        <v>0.2959</v>
      </c>
      <c r="D788">
        <v>0.2858</v>
      </c>
      <c r="E788">
        <v>0.29570000000000002</v>
      </c>
      <c r="F788">
        <v>128167.32</v>
      </c>
      <c r="G788">
        <v>0</v>
      </c>
      <c r="L788" t="s">
        <v>7</v>
      </c>
      <c r="M788" t="s">
        <v>8</v>
      </c>
      <c r="N788" t="s">
        <v>7</v>
      </c>
      <c r="P788">
        <f t="shared" si="1004"/>
        <v>0.9603960396039648</v>
      </c>
      <c r="Q788">
        <f t="shared" si="1005"/>
        <v>123091.38653465404</v>
      </c>
      <c r="R788">
        <f t="shared" si="1006"/>
        <v>-38191130.233691722</v>
      </c>
      <c r="S788">
        <f t="shared" si="1007"/>
        <v>-381.91130233691723</v>
      </c>
      <c r="T788">
        <f t="shared" si="1008"/>
        <v>-0.38191130233691722</v>
      </c>
    </row>
    <row r="789" spans="1:20" x14ac:dyDescent="0.25">
      <c r="A789" s="5">
        <v>43804</v>
      </c>
      <c r="B789">
        <v>0.2893</v>
      </c>
      <c r="C789">
        <v>0.31</v>
      </c>
      <c r="D789">
        <v>0.28349999999999997</v>
      </c>
      <c r="E789">
        <v>0.29239999999999999</v>
      </c>
      <c r="F789">
        <v>158161</v>
      </c>
      <c r="G789">
        <v>0</v>
      </c>
      <c r="L789" t="s">
        <v>8</v>
      </c>
      <c r="M789" t="s">
        <v>8</v>
      </c>
      <c r="N789" t="s">
        <v>7</v>
      </c>
      <c r="P789">
        <f t="shared" si="1004"/>
        <v>-0.32830188679245198</v>
      </c>
      <c r="Q789">
        <f t="shared" si="1005"/>
        <v>-51924.554716980994</v>
      </c>
      <c r="R789">
        <f t="shared" si="1006"/>
        <v>-38314221.620226376</v>
      </c>
      <c r="S789">
        <f t="shared" si="1007"/>
        <v>-383.14221620226374</v>
      </c>
      <c r="T789">
        <f t="shared" si="1008"/>
        <v>-0.38314221620226374</v>
      </c>
    </row>
    <row r="790" spans="1:20" x14ac:dyDescent="0.25">
      <c r="A790" s="5">
        <v>43803</v>
      </c>
      <c r="B790">
        <v>0.30099999999999999</v>
      </c>
      <c r="C790">
        <v>0.31090000000000001</v>
      </c>
      <c r="D790">
        <v>0.28370000000000001</v>
      </c>
      <c r="E790">
        <v>0.28920000000000001</v>
      </c>
      <c r="F790">
        <v>197323.74</v>
      </c>
      <c r="G790">
        <v>0</v>
      </c>
      <c r="L790" t="s">
        <v>7</v>
      </c>
      <c r="M790" t="s">
        <v>8</v>
      </c>
      <c r="N790" t="s">
        <v>7</v>
      </c>
      <c r="P790">
        <f t="shared" si="1004"/>
        <v>-0.59558823529411731</v>
      </c>
      <c r="Q790">
        <f t="shared" si="1005"/>
        <v>-117523.69808823522</v>
      </c>
      <c r="R790">
        <f t="shared" si="1006"/>
        <v>-38262297.065509394</v>
      </c>
      <c r="S790">
        <f t="shared" si="1007"/>
        <v>-382.62297065509392</v>
      </c>
      <c r="T790">
        <f t="shared" si="1008"/>
        <v>-0.38262297065509393</v>
      </c>
    </row>
    <row r="791" spans="1:20" x14ac:dyDescent="0.25">
      <c r="A791" s="5">
        <v>43802</v>
      </c>
      <c r="B791">
        <v>0.3019</v>
      </c>
      <c r="C791">
        <v>0.30840000000000001</v>
      </c>
      <c r="D791">
        <v>0.29499999999999998</v>
      </c>
      <c r="E791">
        <v>0.30120000000000002</v>
      </c>
      <c r="F791">
        <v>160993.76</v>
      </c>
      <c r="G791">
        <v>0</v>
      </c>
      <c r="L791" t="s">
        <v>7</v>
      </c>
      <c r="M791" t="s">
        <v>8</v>
      </c>
      <c r="N791" t="s">
        <v>7</v>
      </c>
      <c r="P791">
        <f t="shared" si="1004"/>
        <v>-7.4626865671637593E-2</v>
      </c>
      <c r="Q791">
        <f t="shared" si="1005"/>
        <v>-12014.459701491862</v>
      </c>
      <c r="R791">
        <f t="shared" si="1006"/>
        <v>-38144773.367421158</v>
      </c>
      <c r="S791">
        <f t="shared" si="1007"/>
        <v>-381.44773367421158</v>
      </c>
      <c r="T791">
        <f t="shared" si="1008"/>
        <v>-0.38144773367421159</v>
      </c>
    </row>
    <row r="792" spans="1:20" x14ac:dyDescent="0.25">
      <c r="A792" s="5">
        <v>43801</v>
      </c>
      <c r="B792">
        <v>0.31380000000000002</v>
      </c>
      <c r="C792">
        <v>0.3175</v>
      </c>
      <c r="D792">
        <v>0.30059999999999998</v>
      </c>
      <c r="E792">
        <v>0.30249999999999999</v>
      </c>
      <c r="F792">
        <v>276659.69</v>
      </c>
      <c r="G792">
        <v>0</v>
      </c>
      <c r="L792" t="s">
        <v>7</v>
      </c>
      <c r="M792" t="s">
        <v>8</v>
      </c>
      <c r="N792" t="s">
        <v>7</v>
      </c>
      <c r="P792">
        <f t="shared" si="1004"/>
        <v>-0.77514792899408169</v>
      </c>
      <c r="Q792">
        <f t="shared" si="1005"/>
        <v>-214452.18573964466</v>
      </c>
      <c r="R792">
        <f t="shared" si="1006"/>
        <v>-38132758.907719664</v>
      </c>
      <c r="S792">
        <f t="shared" si="1007"/>
        <v>-381.32758907719665</v>
      </c>
      <c r="T792">
        <f t="shared" si="1008"/>
        <v>-0.38132758907719666</v>
      </c>
    </row>
    <row r="793" spans="1:20" x14ac:dyDescent="0.25">
      <c r="A793" s="5">
        <v>43800</v>
      </c>
      <c r="B793">
        <v>0.30840000000000001</v>
      </c>
      <c r="C793">
        <v>0.32350000000000001</v>
      </c>
      <c r="D793">
        <v>0.29339999999999999</v>
      </c>
      <c r="E793">
        <v>0.31309999999999999</v>
      </c>
      <c r="F793">
        <v>442236.12</v>
      </c>
      <c r="G793">
        <v>0</v>
      </c>
      <c r="L793" t="s">
        <v>8</v>
      </c>
      <c r="M793" t="s">
        <v>8</v>
      </c>
      <c r="N793" t="s">
        <v>7</v>
      </c>
      <c r="P793">
        <f t="shared" si="1004"/>
        <v>0.30897009966777311</v>
      </c>
      <c r="Q793">
        <f t="shared" si="1005"/>
        <v>136637.73807308928</v>
      </c>
      <c r="R793">
        <f t="shared" si="1006"/>
        <v>-37918306.72198002</v>
      </c>
      <c r="S793">
        <f t="shared" si="1007"/>
        <v>-379.18306721980019</v>
      </c>
      <c r="T793">
        <f t="shared" si="1008"/>
        <v>-0.37918306721980022</v>
      </c>
    </row>
    <row r="794" spans="1:20" x14ac:dyDescent="0.25">
      <c r="A794" s="5">
        <v>43799</v>
      </c>
      <c r="B794">
        <v>0.31469999999999998</v>
      </c>
      <c r="C794">
        <v>0.32</v>
      </c>
      <c r="D794">
        <v>0.2974</v>
      </c>
      <c r="E794">
        <v>0.308</v>
      </c>
      <c r="F794">
        <v>160201.85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-6.1946902654867776E-2</v>
      </c>
      <c r="Q794">
        <f t="shared" si="1005"/>
        <v>-9924.0084070797293</v>
      </c>
      <c r="R794">
        <f t="shared" si="1006"/>
        <v>-38054944.460053109</v>
      </c>
      <c r="S794">
        <f t="shared" si="1007"/>
        <v>-380.5494446005311</v>
      </c>
      <c r="T794">
        <f t="shared" si="1008"/>
        <v>-0.38054944460053108</v>
      </c>
    </row>
    <row r="795" spans="1:20" x14ac:dyDescent="0.25">
      <c r="A795" s="5">
        <v>43798</v>
      </c>
      <c r="B795">
        <v>0.30199999999999999</v>
      </c>
      <c r="C795">
        <v>0.32</v>
      </c>
      <c r="D795">
        <v>0.30109999999999998</v>
      </c>
      <c r="E795">
        <v>0.31509999999999999</v>
      </c>
      <c r="F795">
        <v>324853.92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0.48148148148148062</v>
      </c>
      <c r="Q795">
        <f t="shared" si="1005"/>
        <v>156411.14666666638</v>
      </c>
      <c r="R795">
        <f t="shared" si="1006"/>
        <v>-38045020.45164603</v>
      </c>
      <c r="S795">
        <f t="shared" si="1007"/>
        <v>-380.4502045164603</v>
      </c>
      <c r="T795">
        <f t="shared" si="1008"/>
        <v>-0.38045020451646028</v>
      </c>
    </row>
    <row r="796" spans="1:20" x14ac:dyDescent="0.25">
      <c r="A796" s="5">
        <v>43797</v>
      </c>
      <c r="B796">
        <v>0.29599999999999999</v>
      </c>
      <c r="C796">
        <v>0.31519999999999998</v>
      </c>
      <c r="D796">
        <v>0.29470000000000002</v>
      </c>
      <c r="E796">
        <v>0.30399999999999999</v>
      </c>
      <c r="F796">
        <v>183061.02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-9.2682926829269083E-2</v>
      </c>
      <c r="Q796">
        <f t="shared" si="1005"/>
        <v>-16966.631121951363</v>
      </c>
      <c r="R796">
        <f t="shared" si="1006"/>
        <v>-38201431.598312698</v>
      </c>
      <c r="S796">
        <f t="shared" si="1007"/>
        <v>-382.01431598312701</v>
      </c>
      <c r="T796">
        <f t="shared" si="1008"/>
        <v>-0.38201431598312702</v>
      </c>
    </row>
    <row r="797" spans="1:20" x14ac:dyDescent="0.25">
      <c r="A797" s="5">
        <v>43796</v>
      </c>
      <c r="B797">
        <v>0.29420000000000002</v>
      </c>
      <c r="C797">
        <v>0.30359999999999998</v>
      </c>
      <c r="D797">
        <v>0.2772</v>
      </c>
      <c r="E797">
        <v>0.29680000000000001</v>
      </c>
      <c r="F797">
        <v>249430.32</v>
      </c>
      <c r="G797">
        <v>0</v>
      </c>
      <c r="L797" t="s">
        <v>7</v>
      </c>
      <c r="M797" t="s">
        <v>7</v>
      </c>
      <c r="N797" t="s">
        <v>7</v>
      </c>
      <c r="P797">
        <f t="shared" si="1004"/>
        <v>0.48484848484848653</v>
      </c>
      <c r="Q797">
        <f t="shared" si="1005"/>
        <v>120935.91272727316</v>
      </c>
      <c r="R797">
        <f t="shared" si="1006"/>
        <v>-38184464.96719075</v>
      </c>
      <c r="S797">
        <f t="shared" si="1007"/>
        <v>-381.84464967190752</v>
      </c>
      <c r="T797">
        <f t="shared" si="1008"/>
        <v>-0.38184464967190751</v>
      </c>
    </row>
    <row r="798" spans="1:20" x14ac:dyDescent="0.25">
      <c r="A798" s="5">
        <v>43795</v>
      </c>
      <c r="B798">
        <v>0.2858</v>
      </c>
      <c r="C798">
        <v>0.30669999999999997</v>
      </c>
      <c r="D798">
        <v>0.27989999999999998</v>
      </c>
      <c r="E798">
        <v>0.2954</v>
      </c>
      <c r="F798">
        <v>169962.19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0.15671641791044919</v>
      </c>
      <c r="Q798">
        <f t="shared" si="1005"/>
        <v>26635.865597015167</v>
      </c>
      <c r="R798">
        <f t="shared" si="1006"/>
        <v>-38305400.879918024</v>
      </c>
      <c r="S798">
        <f t="shared" si="1007"/>
        <v>-383.05400879918022</v>
      </c>
      <c r="T798">
        <f t="shared" si="1008"/>
        <v>-0.38305400879918022</v>
      </c>
    </row>
    <row r="799" spans="1:20" x14ac:dyDescent="0.25">
      <c r="A799" s="5">
        <v>43794</v>
      </c>
      <c r="B799">
        <v>0.2828</v>
      </c>
      <c r="C799">
        <v>0.30049999999999999</v>
      </c>
      <c r="D799">
        <v>0.2576</v>
      </c>
      <c r="E799">
        <v>0.28170000000000001</v>
      </c>
      <c r="F799">
        <v>312258.58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0.12354312354312419</v>
      </c>
      <c r="Q799">
        <f t="shared" si="1005"/>
        <v>38577.400326340532</v>
      </c>
      <c r="R799">
        <f t="shared" si="1006"/>
        <v>-38332036.745515041</v>
      </c>
      <c r="S799">
        <f t="shared" si="1007"/>
        <v>-383.3203674551504</v>
      </c>
      <c r="T799">
        <f t="shared" si="1008"/>
        <v>-0.38332036745515041</v>
      </c>
    </row>
    <row r="800" spans="1:20" x14ac:dyDescent="0.25">
      <c r="A800" s="5">
        <v>43793</v>
      </c>
      <c r="B800">
        <v>0.31459999999999999</v>
      </c>
      <c r="C800">
        <v>0.31659999999999999</v>
      </c>
      <c r="D800">
        <v>0.28010000000000002</v>
      </c>
      <c r="E800">
        <v>0.28610000000000002</v>
      </c>
      <c r="F800">
        <v>213218.48</v>
      </c>
      <c r="G800">
        <v>0</v>
      </c>
      <c r="L800" t="s">
        <v>7</v>
      </c>
      <c r="M800" t="s">
        <v>8</v>
      </c>
      <c r="N800" t="s">
        <v>7</v>
      </c>
      <c r="P800">
        <f t="shared" si="1004"/>
        <v>-0.67123287671232823</v>
      </c>
      <c r="Q800">
        <f t="shared" si="1005"/>
        <v>-143119.25369863003</v>
      </c>
      <c r="R800">
        <f t="shared" si="1006"/>
        <v>-38370614.145841382</v>
      </c>
      <c r="S800">
        <f t="shared" si="1007"/>
        <v>-383.70614145841381</v>
      </c>
      <c r="T800">
        <f t="shared" si="1008"/>
        <v>-0.38370614145841381</v>
      </c>
    </row>
    <row r="801" spans="1:20" x14ac:dyDescent="0.25">
      <c r="A801" s="5">
        <v>43792</v>
      </c>
      <c r="B801">
        <v>0.29010000000000002</v>
      </c>
      <c r="C801">
        <v>0.31850000000000001</v>
      </c>
      <c r="D801">
        <v>0.28089999999999998</v>
      </c>
      <c r="E801">
        <v>0.313</v>
      </c>
      <c r="F801">
        <v>265127.5</v>
      </c>
      <c r="G801">
        <v>0</v>
      </c>
      <c r="L801" t="s">
        <v>8</v>
      </c>
      <c r="M801" t="s">
        <v>8</v>
      </c>
      <c r="N801" t="s">
        <v>7</v>
      </c>
      <c r="P801">
        <f t="shared" si="1004"/>
        <v>0.70744680851063824</v>
      </c>
      <c r="Q801">
        <f t="shared" si="1005"/>
        <v>187563.60372340423</v>
      </c>
      <c r="R801">
        <f t="shared" si="1006"/>
        <v>-38227494.89214275</v>
      </c>
      <c r="S801">
        <f t="shared" si="1007"/>
        <v>-382.27494892142749</v>
      </c>
      <c r="T801">
        <f t="shared" si="1008"/>
        <v>-0.38227494892142749</v>
      </c>
    </row>
    <row r="802" spans="1:20" x14ac:dyDescent="0.25">
      <c r="A802" s="5">
        <v>43791</v>
      </c>
      <c r="B802">
        <v>0.308</v>
      </c>
      <c r="C802">
        <v>0.31869999999999998</v>
      </c>
      <c r="D802">
        <v>0.26269999999999999</v>
      </c>
      <c r="E802">
        <v>0.28599999999999998</v>
      </c>
      <c r="F802">
        <v>354845.72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-0.16785714285714323</v>
      </c>
      <c r="Q802">
        <f t="shared" si="1005"/>
        <v>-59563.388714285844</v>
      </c>
      <c r="R802">
        <f t="shared" si="1006"/>
        <v>-38415058.495866157</v>
      </c>
      <c r="S802">
        <f t="shared" si="1007"/>
        <v>-384.15058495866157</v>
      </c>
      <c r="T802">
        <f t="shared" si="1008"/>
        <v>-0.38415058495866156</v>
      </c>
    </row>
    <row r="803" spans="1:20" x14ac:dyDescent="0.25">
      <c r="A803" s="5">
        <v>43790</v>
      </c>
      <c r="B803">
        <v>0.33700000000000002</v>
      </c>
      <c r="C803">
        <v>0.34329999999999999</v>
      </c>
      <c r="D803">
        <v>0.29770000000000002</v>
      </c>
      <c r="E803">
        <v>0.31080000000000002</v>
      </c>
      <c r="F803">
        <v>427522.93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-0.42543859649122773</v>
      </c>
      <c r="Q803">
        <f t="shared" si="1005"/>
        <v>-181884.75530701739</v>
      </c>
      <c r="R803">
        <f t="shared" si="1006"/>
        <v>-38355495.107151873</v>
      </c>
      <c r="S803">
        <f t="shared" si="1007"/>
        <v>-383.55495107151876</v>
      </c>
      <c r="T803">
        <f t="shared" si="1008"/>
        <v>-0.38355495107151877</v>
      </c>
    </row>
    <row r="804" spans="1:20" x14ac:dyDescent="0.25">
      <c r="A804" s="5">
        <v>43789</v>
      </c>
      <c r="B804">
        <v>0.34799999999999998</v>
      </c>
      <c r="C804">
        <v>0.35</v>
      </c>
      <c r="D804">
        <v>0.33450000000000002</v>
      </c>
      <c r="E804">
        <v>0.33750000000000002</v>
      </c>
      <c r="F804">
        <v>230211.06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-0.61290322580645018</v>
      </c>
      <c r="Q804">
        <f t="shared" si="1005"/>
        <v>-141097.10129032226</v>
      </c>
      <c r="R804">
        <f t="shared" si="1006"/>
        <v>-38173610.351844855</v>
      </c>
      <c r="S804">
        <f t="shared" si="1007"/>
        <v>-381.73610351844854</v>
      </c>
      <c r="T804">
        <f t="shared" si="1008"/>
        <v>-0.38173610351844856</v>
      </c>
    </row>
    <row r="805" spans="1:20" x14ac:dyDescent="0.25">
      <c r="A805" s="5">
        <v>43788</v>
      </c>
      <c r="B805">
        <v>0.35749999999999998</v>
      </c>
      <c r="C805">
        <v>0.36099999999999999</v>
      </c>
      <c r="D805">
        <v>0.34229999999999999</v>
      </c>
      <c r="E805">
        <v>0.34799999999999998</v>
      </c>
      <c r="F805">
        <v>419596.14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-0.39037433155080381</v>
      </c>
      <c r="Q805">
        <f t="shared" si="1005"/>
        <v>-163799.56267379751</v>
      </c>
      <c r="R805">
        <f t="shared" si="1006"/>
        <v>-38032513.250554532</v>
      </c>
      <c r="S805">
        <f t="shared" si="1007"/>
        <v>-380.3251325055453</v>
      </c>
      <c r="T805">
        <f t="shared" si="1008"/>
        <v>-0.38032513250554528</v>
      </c>
    </row>
    <row r="806" spans="1:20" x14ac:dyDescent="0.25">
      <c r="A806" s="5">
        <v>43787</v>
      </c>
      <c r="B806">
        <v>0.38950000000000001</v>
      </c>
      <c r="C806">
        <v>0.39219999999999999</v>
      </c>
      <c r="D806">
        <v>0.35020000000000001</v>
      </c>
      <c r="E806">
        <v>0.35749999999999998</v>
      </c>
      <c r="F806">
        <v>351498.55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-0.6523809523809535</v>
      </c>
      <c r="Q806">
        <f t="shared" si="1005"/>
        <v>-229310.95880952419</v>
      </c>
      <c r="R806">
        <f t="shared" si="1006"/>
        <v>-37868713.687880732</v>
      </c>
      <c r="S806">
        <f t="shared" si="1007"/>
        <v>-378.68713687880734</v>
      </c>
      <c r="T806">
        <f t="shared" si="1008"/>
        <v>-0.37868713687880734</v>
      </c>
    </row>
    <row r="807" spans="1:20" x14ac:dyDescent="0.25">
      <c r="A807" s="5">
        <v>43786</v>
      </c>
      <c r="B807">
        <v>0.38690000000000002</v>
      </c>
      <c r="C807">
        <v>0.39839999999999998</v>
      </c>
      <c r="D807">
        <v>0.38579999999999998</v>
      </c>
      <c r="E807">
        <v>0.39119999999999999</v>
      </c>
      <c r="F807">
        <v>259069.83</v>
      </c>
      <c r="G807">
        <v>0</v>
      </c>
      <c r="L807" t="s">
        <v>7</v>
      </c>
      <c r="M807" t="s">
        <v>7</v>
      </c>
      <c r="N807" t="s">
        <v>8</v>
      </c>
      <c r="P807">
        <f t="shared" si="1004"/>
        <v>-0.14285714285714035</v>
      </c>
      <c r="Q807">
        <f t="shared" si="1005"/>
        <v>-37009.975714285065</v>
      </c>
      <c r="R807">
        <f t="shared" si="1006"/>
        <v>-37639402.729071207</v>
      </c>
      <c r="S807">
        <f t="shared" si="1007"/>
        <v>-376.39402729071207</v>
      </c>
      <c r="T807">
        <f t="shared" si="1008"/>
        <v>-0.37639402729071209</v>
      </c>
    </row>
    <row r="808" spans="1:20" x14ac:dyDescent="0.25">
      <c r="A808" s="5">
        <v>43785</v>
      </c>
      <c r="B808">
        <v>0.38900000000000001</v>
      </c>
      <c r="C808">
        <v>0.39219999999999999</v>
      </c>
      <c r="D808">
        <v>0.38229999999999997</v>
      </c>
      <c r="E808">
        <v>0.38869999999999999</v>
      </c>
      <c r="F808">
        <v>273311.78000000003</v>
      </c>
      <c r="G808">
        <v>0</v>
      </c>
      <c r="L808" t="s">
        <v>7</v>
      </c>
      <c r="M808" t="s">
        <v>7</v>
      </c>
      <c r="N808" t="s">
        <v>8</v>
      </c>
      <c r="P808">
        <f t="shared" si="1004"/>
        <v>0.29292929292929371</v>
      </c>
      <c r="Q808">
        <f t="shared" si="1005"/>
        <v>80061.026464646682</v>
      </c>
      <c r="R808">
        <f t="shared" si="1006"/>
        <v>-37602392.753356919</v>
      </c>
      <c r="S808">
        <f t="shared" si="1007"/>
        <v>-376.02392753356918</v>
      </c>
      <c r="T808">
        <f t="shared" si="1008"/>
        <v>-0.37602392753356917</v>
      </c>
    </row>
    <row r="809" spans="1:20" x14ac:dyDescent="0.25">
      <c r="A809" s="5">
        <v>43784</v>
      </c>
      <c r="B809">
        <v>0.40860000000000002</v>
      </c>
      <c r="C809">
        <v>0.41499999999999998</v>
      </c>
      <c r="D809">
        <v>0.38200000000000001</v>
      </c>
      <c r="E809">
        <v>0.38900000000000001</v>
      </c>
      <c r="F809">
        <v>706961.05</v>
      </c>
      <c r="G809">
        <v>0</v>
      </c>
      <c r="L809" t="s">
        <v>7</v>
      </c>
      <c r="M809" t="s">
        <v>7</v>
      </c>
      <c r="N809" t="s">
        <v>8</v>
      </c>
      <c r="P809">
        <f t="shared" si="1004"/>
        <v>-0.57575757575757502</v>
      </c>
      <c r="Q809">
        <f t="shared" si="1005"/>
        <v>-407038.18030302983</v>
      </c>
      <c r="R809">
        <f t="shared" si="1006"/>
        <v>-37682453.779821567</v>
      </c>
      <c r="S809">
        <f t="shared" si="1007"/>
        <v>-376.82453779821566</v>
      </c>
      <c r="T809">
        <f t="shared" si="1008"/>
        <v>-0.37682453779821568</v>
      </c>
    </row>
    <row r="810" spans="1:20" x14ac:dyDescent="0.25">
      <c r="A810" s="5">
        <v>43783</v>
      </c>
      <c r="B810">
        <v>0.42049999999999998</v>
      </c>
      <c r="C810">
        <v>0.43430000000000002</v>
      </c>
      <c r="D810">
        <v>0.4052</v>
      </c>
      <c r="E810">
        <v>0.40870000000000001</v>
      </c>
      <c r="F810">
        <v>543931.52</v>
      </c>
      <c r="G810">
        <v>0</v>
      </c>
      <c r="L810" t="s">
        <v>7</v>
      </c>
      <c r="M810" t="s">
        <v>7</v>
      </c>
      <c r="N810" t="s">
        <v>8</v>
      </c>
      <c r="P810">
        <f t="shared" si="1004"/>
        <v>-0.7594501718213057</v>
      </c>
      <c r="Q810">
        <f t="shared" si="1005"/>
        <v>-413088.88632302399</v>
      </c>
      <c r="R810">
        <f t="shared" si="1006"/>
        <v>-37275415.599518538</v>
      </c>
      <c r="S810">
        <f t="shared" si="1007"/>
        <v>-372.75415599518539</v>
      </c>
      <c r="T810">
        <f t="shared" si="1008"/>
        <v>-0.37275415599518541</v>
      </c>
    </row>
    <row r="811" spans="1:20" x14ac:dyDescent="0.25">
      <c r="A811" s="5">
        <v>43782</v>
      </c>
      <c r="B811">
        <v>0.40799999999999997</v>
      </c>
      <c r="C811">
        <v>0.43990000000000001</v>
      </c>
      <c r="D811">
        <v>0.40350000000000003</v>
      </c>
      <c r="E811">
        <v>0.42120000000000002</v>
      </c>
      <c r="F811">
        <v>932323.33</v>
      </c>
      <c r="G811">
        <v>0</v>
      </c>
      <c r="L811" t="s">
        <v>8</v>
      </c>
      <c r="M811" t="s">
        <v>7</v>
      </c>
      <c r="N811" t="s">
        <v>8</v>
      </c>
      <c r="P811">
        <f t="shared" si="1004"/>
        <v>-2.7472527472527507E-2</v>
      </c>
      <c r="Q811">
        <f t="shared" si="1005"/>
        <v>-25613.278296703327</v>
      </c>
      <c r="R811">
        <f t="shared" si="1006"/>
        <v>-36862326.71319551</v>
      </c>
      <c r="S811">
        <f t="shared" si="1007"/>
        <v>-368.62326713195512</v>
      </c>
      <c r="T811">
        <f t="shared" si="1008"/>
        <v>-0.36862326713195509</v>
      </c>
    </row>
    <row r="812" spans="1:20" x14ac:dyDescent="0.25">
      <c r="A812" s="5">
        <v>43781</v>
      </c>
      <c r="B812">
        <v>0.39169999999999999</v>
      </c>
      <c r="C812">
        <v>0.43180000000000002</v>
      </c>
      <c r="D812">
        <v>0.38879999999999998</v>
      </c>
      <c r="E812">
        <v>0.40760000000000002</v>
      </c>
      <c r="F812">
        <v>1832038.07</v>
      </c>
      <c r="G812">
        <v>0</v>
      </c>
      <c r="L812" t="s">
        <v>8</v>
      </c>
      <c r="M812" t="s">
        <v>7</v>
      </c>
      <c r="N812" t="s">
        <v>8</v>
      </c>
      <c r="P812">
        <f t="shared" si="1004"/>
        <v>-0.12558139534883617</v>
      </c>
      <c r="Q812">
        <f t="shared" si="1005"/>
        <v>-230069.89716278881</v>
      </c>
      <c r="R812">
        <f t="shared" si="1006"/>
        <v>-36836713.434898809</v>
      </c>
      <c r="S812">
        <f t="shared" si="1007"/>
        <v>-368.36713434898809</v>
      </c>
      <c r="T812">
        <f t="shared" si="1008"/>
        <v>-0.3683671343489881</v>
      </c>
    </row>
    <row r="813" spans="1:20" x14ac:dyDescent="0.25">
      <c r="A813" s="5">
        <v>43780</v>
      </c>
      <c r="B813">
        <v>0.40279999999999999</v>
      </c>
      <c r="C813">
        <v>0.40279999999999999</v>
      </c>
      <c r="D813">
        <v>0.37990000000000002</v>
      </c>
      <c r="E813">
        <v>0.39329999999999998</v>
      </c>
      <c r="F813">
        <v>271288.23</v>
      </c>
      <c r="G813">
        <v>0</v>
      </c>
      <c r="L813" t="s">
        <v>7</v>
      </c>
      <c r="M813" t="s">
        <v>7</v>
      </c>
      <c r="N813" t="s">
        <v>8</v>
      </c>
      <c r="P813">
        <f t="shared" si="1004"/>
        <v>0.1703056768558936</v>
      </c>
      <c r="Q813">
        <f t="shared" si="1005"/>
        <v>46201.925633187333</v>
      </c>
      <c r="R813">
        <f t="shared" si="1006"/>
        <v>-36606643.537736021</v>
      </c>
      <c r="S813">
        <f t="shared" si="1007"/>
        <v>-366.06643537736022</v>
      </c>
      <c r="T813">
        <f t="shared" si="1008"/>
        <v>-0.36606643537736022</v>
      </c>
    </row>
    <row r="814" spans="1:20" x14ac:dyDescent="0.25">
      <c r="A814" s="5">
        <v>43779</v>
      </c>
      <c r="B814">
        <v>0.39429999999999998</v>
      </c>
      <c r="C814">
        <v>0.42399999999999999</v>
      </c>
      <c r="D814">
        <v>0.39269999999999999</v>
      </c>
      <c r="E814">
        <v>0.40200000000000002</v>
      </c>
      <c r="F814">
        <v>390764.83</v>
      </c>
      <c r="G814">
        <v>0</v>
      </c>
      <c r="L814" t="s">
        <v>8</v>
      </c>
      <c r="M814" t="s">
        <v>7</v>
      </c>
      <c r="N814" t="s">
        <v>8</v>
      </c>
      <c r="P814">
        <f t="shared" si="1004"/>
        <v>-0.40575079872204267</v>
      </c>
      <c r="Q814">
        <f t="shared" si="1005"/>
        <v>-158553.14188498323</v>
      </c>
      <c r="R814">
        <f t="shared" si="1006"/>
        <v>-36652845.463369206</v>
      </c>
      <c r="S814">
        <f t="shared" si="1007"/>
        <v>-366.52845463369204</v>
      </c>
      <c r="T814">
        <f t="shared" si="1008"/>
        <v>-0.36652845463369205</v>
      </c>
    </row>
    <row r="815" spans="1:20" x14ac:dyDescent="0.25">
      <c r="A815" s="5">
        <v>43778</v>
      </c>
      <c r="B815">
        <v>0.39190000000000003</v>
      </c>
      <c r="C815">
        <v>0.40479999999999999</v>
      </c>
      <c r="D815">
        <v>0.38819999999999999</v>
      </c>
      <c r="E815">
        <v>0.39610000000000001</v>
      </c>
      <c r="F815">
        <v>154168.04</v>
      </c>
      <c r="G815">
        <v>0</v>
      </c>
      <c r="L815" t="s">
        <v>7</v>
      </c>
      <c r="M815" t="s">
        <v>7</v>
      </c>
      <c r="N815" t="s">
        <v>8</v>
      </c>
      <c r="P815">
        <f t="shared" si="1004"/>
        <v>-4.8192771084335374E-2</v>
      </c>
      <c r="Q815">
        <f t="shared" si="1005"/>
        <v>-7429.7850602406597</v>
      </c>
      <c r="R815">
        <f t="shared" si="1006"/>
        <v>-36494292.321484223</v>
      </c>
      <c r="S815">
        <f t="shared" si="1007"/>
        <v>-364.94292321484221</v>
      </c>
      <c r="T815">
        <f t="shared" si="1008"/>
        <v>-0.36494292321484223</v>
      </c>
    </row>
    <row r="816" spans="1:20" x14ac:dyDescent="0.25">
      <c r="A816" s="5">
        <v>43777</v>
      </c>
      <c r="B816">
        <v>0.4083</v>
      </c>
      <c r="C816">
        <v>0.41439999999999999</v>
      </c>
      <c r="D816">
        <v>0.38390000000000002</v>
      </c>
      <c r="E816">
        <v>0.39190000000000003</v>
      </c>
      <c r="F816">
        <v>400016.4</v>
      </c>
      <c r="G816">
        <v>0</v>
      </c>
      <c r="L816" t="s">
        <v>7</v>
      </c>
      <c r="M816" t="s">
        <v>7</v>
      </c>
      <c r="N816" t="s">
        <v>8</v>
      </c>
      <c r="P816">
        <f t="shared" si="1004"/>
        <v>-0.4754098360655728</v>
      </c>
      <c r="Q816">
        <f t="shared" si="1005"/>
        <v>-190171.73114754062</v>
      </c>
      <c r="R816">
        <f t="shared" si="1006"/>
        <v>-36486862.536423981</v>
      </c>
      <c r="S816">
        <f t="shared" si="1007"/>
        <v>-364.86862536423979</v>
      </c>
      <c r="T816">
        <f t="shared" si="1008"/>
        <v>-0.36486862536423981</v>
      </c>
    </row>
    <row r="817" spans="1:20" x14ac:dyDescent="0.25">
      <c r="A817" s="5">
        <v>43776</v>
      </c>
      <c r="B817">
        <v>0.41610000000000003</v>
      </c>
      <c r="C817">
        <v>0.41860000000000003</v>
      </c>
      <c r="D817">
        <v>0.4</v>
      </c>
      <c r="E817">
        <v>0.4083</v>
      </c>
      <c r="F817">
        <v>442576.2</v>
      </c>
      <c r="G817">
        <v>0</v>
      </c>
      <c r="L817" t="s">
        <v>8</v>
      </c>
      <c r="M817" t="s">
        <v>7</v>
      </c>
      <c r="N817" t="s">
        <v>8</v>
      </c>
      <c r="P817">
        <f t="shared" si="1004"/>
        <v>-0.10752688172043316</v>
      </c>
      <c r="Q817">
        <f t="shared" si="1005"/>
        <v>-47588.83870967877</v>
      </c>
      <c r="R817">
        <f t="shared" si="1006"/>
        <v>-36296690.805276439</v>
      </c>
      <c r="S817">
        <f t="shared" si="1007"/>
        <v>-362.96690805276438</v>
      </c>
      <c r="T817">
        <f t="shared" si="1008"/>
        <v>-0.36296690805276438</v>
      </c>
    </row>
    <row r="818" spans="1:20" x14ac:dyDescent="0.25">
      <c r="A818" s="5">
        <v>43775</v>
      </c>
      <c r="B818">
        <v>0.40429999999999999</v>
      </c>
      <c r="C818">
        <v>0.42080000000000001</v>
      </c>
      <c r="D818">
        <v>0.40160000000000001</v>
      </c>
      <c r="E818">
        <v>0.4153</v>
      </c>
      <c r="F818">
        <v>937119.86</v>
      </c>
      <c r="G818">
        <v>0</v>
      </c>
      <c r="L818" t="s">
        <v>8</v>
      </c>
      <c r="M818" t="s">
        <v>7</v>
      </c>
      <c r="N818" t="s">
        <v>8</v>
      </c>
      <c r="P818">
        <f t="shared" si="1004"/>
        <v>0.42708333333333265</v>
      </c>
      <c r="Q818">
        <f t="shared" si="1005"/>
        <v>400228.27354166604</v>
      </c>
      <c r="R818">
        <f t="shared" si="1006"/>
        <v>-36249101.966566756</v>
      </c>
      <c r="S818">
        <f t="shared" si="1007"/>
        <v>-362.49101966566758</v>
      </c>
      <c r="T818">
        <f t="shared" si="1008"/>
        <v>-0.3624910196656676</v>
      </c>
    </row>
    <row r="819" spans="1:20" x14ac:dyDescent="0.25">
      <c r="A819" s="5">
        <v>43774</v>
      </c>
      <c r="B819">
        <v>0.40810000000000002</v>
      </c>
      <c r="C819">
        <v>0.40810000000000002</v>
      </c>
      <c r="D819">
        <v>0.39</v>
      </c>
      <c r="E819">
        <v>0.40439999999999998</v>
      </c>
      <c r="F819">
        <v>630952.74</v>
      </c>
      <c r="G819">
        <v>0</v>
      </c>
      <c r="L819" t="s">
        <v>7</v>
      </c>
      <c r="M819" t="s">
        <v>7</v>
      </c>
      <c r="N819" t="s">
        <v>8</v>
      </c>
      <c r="P819">
        <f t="shared" si="1004"/>
        <v>0.59116022099447119</v>
      </c>
      <c r="Q819">
        <f t="shared" si="1005"/>
        <v>372994.16121546709</v>
      </c>
      <c r="R819">
        <f t="shared" si="1006"/>
        <v>-36649330.240108423</v>
      </c>
      <c r="S819">
        <f t="shared" si="1007"/>
        <v>-366.49330240108424</v>
      </c>
      <c r="T819">
        <f t="shared" si="1008"/>
        <v>-0.36649330240108424</v>
      </c>
    </row>
    <row r="820" spans="1:20" x14ac:dyDescent="0.25">
      <c r="A820" s="5">
        <v>43773</v>
      </c>
      <c r="B820">
        <v>0.41239999999999999</v>
      </c>
      <c r="C820">
        <v>0.42</v>
      </c>
      <c r="D820">
        <v>0.40500000000000003</v>
      </c>
      <c r="E820">
        <v>0.40810000000000002</v>
      </c>
      <c r="F820">
        <v>427724.9</v>
      </c>
      <c r="G820">
        <v>0</v>
      </c>
      <c r="L820" t="s">
        <v>7</v>
      </c>
      <c r="M820" t="s">
        <v>7</v>
      </c>
      <c r="N820" t="s">
        <v>8</v>
      </c>
      <c r="P820">
        <f t="shared" si="1004"/>
        <v>-0.58666666666666667</v>
      </c>
      <c r="Q820">
        <f t="shared" si="1005"/>
        <v>-250931.94133333335</v>
      </c>
      <c r="R820">
        <f t="shared" si="1006"/>
        <v>-37022324.401323892</v>
      </c>
      <c r="S820">
        <f t="shared" si="1007"/>
        <v>-370.22324401323891</v>
      </c>
      <c r="T820">
        <f t="shared" si="1008"/>
        <v>-0.37022324401323892</v>
      </c>
    </row>
    <row r="821" spans="1:20" x14ac:dyDescent="0.25">
      <c r="A821" s="5">
        <v>43772</v>
      </c>
      <c r="B821">
        <v>0.43930000000000002</v>
      </c>
      <c r="C821">
        <v>0.44130000000000003</v>
      </c>
      <c r="D821">
        <v>0.40500000000000003</v>
      </c>
      <c r="E821">
        <v>0.41110000000000002</v>
      </c>
      <c r="F821">
        <v>511916.04</v>
      </c>
      <c r="G821">
        <v>0</v>
      </c>
      <c r="L821" t="s">
        <v>7</v>
      </c>
      <c r="M821" t="s">
        <v>7</v>
      </c>
      <c r="N821" t="s">
        <v>8</v>
      </c>
      <c r="P821">
        <f t="shared" si="1004"/>
        <v>-0.66391184573002782</v>
      </c>
      <c r="Q821">
        <f t="shared" si="1005"/>
        <v>-339867.12297520676</v>
      </c>
      <c r="R821">
        <f t="shared" si="1006"/>
        <v>-36771392.459990561</v>
      </c>
      <c r="S821">
        <f t="shared" si="1007"/>
        <v>-367.71392459990562</v>
      </c>
      <c r="T821">
        <f t="shared" si="1008"/>
        <v>-0.36771392459990565</v>
      </c>
    </row>
    <row r="822" spans="1:20" x14ac:dyDescent="0.25">
      <c r="A822" s="5">
        <v>43771</v>
      </c>
      <c r="B822">
        <v>0.41930000000000001</v>
      </c>
      <c r="C822">
        <v>0.44650000000000001</v>
      </c>
      <c r="D822">
        <v>0.41549999999999998</v>
      </c>
      <c r="E822">
        <v>0.43930000000000002</v>
      </c>
      <c r="F822">
        <v>379268.16</v>
      </c>
      <c r="G822">
        <v>0</v>
      </c>
      <c r="L822" t="s">
        <v>8</v>
      </c>
      <c r="M822" t="s">
        <v>7</v>
      </c>
      <c r="N822" t="s">
        <v>8</v>
      </c>
      <c r="P822">
        <f t="shared" si="1004"/>
        <v>0.53548387096774341</v>
      </c>
      <c r="Q822">
        <f t="shared" si="1005"/>
        <v>203091.98245161344</v>
      </c>
      <c r="R822">
        <f t="shared" si="1006"/>
        <v>-36431525.337015353</v>
      </c>
      <c r="S822">
        <f t="shared" si="1007"/>
        <v>-364.31525337015353</v>
      </c>
      <c r="T822">
        <f t="shared" si="1008"/>
        <v>-0.36431525337015352</v>
      </c>
    </row>
    <row r="823" spans="1:20" x14ac:dyDescent="0.25">
      <c r="A823" s="5">
        <v>43770</v>
      </c>
      <c r="B823">
        <v>0.4173</v>
      </c>
      <c r="C823">
        <v>0.42349999999999999</v>
      </c>
      <c r="D823">
        <v>0.4093</v>
      </c>
      <c r="E823">
        <v>0.41799999999999998</v>
      </c>
      <c r="F823">
        <v>210266.49</v>
      </c>
      <c r="G823">
        <v>0</v>
      </c>
      <c r="L823" t="s">
        <v>7</v>
      </c>
      <c r="M823" t="s">
        <v>7</v>
      </c>
      <c r="N823" t="s">
        <v>8</v>
      </c>
      <c r="P823">
        <f t="shared" si="1004"/>
        <v>0.22535211267605512</v>
      </c>
      <c r="Q823">
        <f t="shared" si="1005"/>
        <v>47383.997746478613</v>
      </c>
      <c r="R823">
        <f t="shared" si="1006"/>
        <v>-36634617.319466963</v>
      </c>
      <c r="S823">
        <f t="shared" si="1007"/>
        <v>-366.34617319466963</v>
      </c>
      <c r="T823">
        <f t="shared" si="1008"/>
        <v>-0.36634617319466961</v>
      </c>
    </row>
    <row r="824" spans="1:20" x14ac:dyDescent="0.25">
      <c r="A824" s="5">
        <v>43769</v>
      </c>
      <c r="B824">
        <v>0.4299</v>
      </c>
      <c r="C824">
        <v>0.44319999999999998</v>
      </c>
      <c r="D824">
        <v>0.4037</v>
      </c>
      <c r="E824">
        <v>0.41610000000000003</v>
      </c>
      <c r="F824">
        <v>671546.88</v>
      </c>
      <c r="G824">
        <v>0</v>
      </c>
      <c r="L824" t="s">
        <v>7</v>
      </c>
      <c r="M824" t="s">
        <v>7</v>
      </c>
      <c r="N824" t="s">
        <v>8</v>
      </c>
      <c r="P824">
        <f t="shared" si="1004"/>
        <v>-0.37215189873417576</v>
      </c>
      <c r="Q824">
        <f t="shared" si="1005"/>
        <v>-249917.44648101169</v>
      </c>
      <c r="R824">
        <f t="shared" si="1006"/>
        <v>-36682001.317213438</v>
      </c>
      <c r="S824">
        <f t="shared" si="1007"/>
        <v>-366.8200131721344</v>
      </c>
      <c r="T824">
        <f t="shared" si="1008"/>
        <v>-0.36682001317213442</v>
      </c>
    </row>
    <row r="825" spans="1:20" x14ac:dyDescent="0.25">
      <c r="A825" s="5">
        <v>43768</v>
      </c>
      <c r="B825">
        <v>0.40629999999999999</v>
      </c>
      <c r="C825">
        <v>0.45300000000000001</v>
      </c>
      <c r="D825">
        <v>0.39810000000000001</v>
      </c>
      <c r="E825">
        <v>0.43009999999999998</v>
      </c>
      <c r="F825">
        <v>1384845.59</v>
      </c>
      <c r="G825">
        <v>0</v>
      </c>
      <c r="L825" t="s">
        <v>8</v>
      </c>
      <c r="M825" t="s">
        <v>7</v>
      </c>
      <c r="N825" t="s">
        <v>8</v>
      </c>
      <c r="P825">
        <f t="shared" si="1004"/>
        <v>0.16575591985427943</v>
      </c>
      <c r="Q825">
        <f t="shared" si="1005"/>
        <v>229546.35462659231</v>
      </c>
      <c r="R825">
        <f t="shared" si="1006"/>
        <v>-36432083.870732427</v>
      </c>
      <c r="S825">
        <f t="shared" si="1007"/>
        <v>-364.32083870732424</v>
      </c>
      <c r="T825">
        <f t="shared" si="1008"/>
        <v>-0.36432083870732423</v>
      </c>
    </row>
    <row r="826" spans="1:20" x14ac:dyDescent="0.25">
      <c r="A826" s="5">
        <v>43767</v>
      </c>
      <c r="B826">
        <v>0.39079999999999998</v>
      </c>
      <c r="C826">
        <v>0.42730000000000001</v>
      </c>
      <c r="D826">
        <v>0.37990000000000002</v>
      </c>
      <c r="E826">
        <v>0.4052</v>
      </c>
      <c r="F826">
        <v>850152.79</v>
      </c>
      <c r="G826">
        <v>0</v>
      </c>
      <c r="L826" t="s">
        <v>7</v>
      </c>
      <c r="M826" t="s">
        <v>7</v>
      </c>
      <c r="N826" t="s">
        <v>8</v>
      </c>
      <c r="P826">
        <f t="shared" si="1004"/>
        <v>6.7510548523206343E-2</v>
      </c>
      <c r="Q826">
        <f t="shared" si="1005"/>
        <v>57394.281181434257</v>
      </c>
      <c r="R826">
        <f t="shared" si="1006"/>
        <v>-36661630.225359023</v>
      </c>
      <c r="S826">
        <f t="shared" si="1007"/>
        <v>-366.61630225359022</v>
      </c>
      <c r="T826">
        <f t="shared" si="1008"/>
        <v>-0.36661630225359021</v>
      </c>
    </row>
    <row r="827" spans="1:20" x14ac:dyDescent="0.25">
      <c r="A827" s="5">
        <v>43766</v>
      </c>
      <c r="B827">
        <v>0.376</v>
      </c>
      <c r="C827">
        <v>0.47549999999999998</v>
      </c>
      <c r="D827">
        <v>0.36919999999999997</v>
      </c>
      <c r="E827">
        <v>0.39129999999999998</v>
      </c>
      <c r="F827">
        <v>2263383.75</v>
      </c>
      <c r="G827">
        <v>0</v>
      </c>
      <c r="L827" t="s">
        <v>8</v>
      </c>
      <c r="M827" t="s">
        <v>8</v>
      </c>
      <c r="N827" t="s">
        <v>8</v>
      </c>
      <c r="P827">
        <f t="shared" si="1004"/>
        <v>-0.58419567262464711</v>
      </c>
      <c r="Q827">
        <f t="shared" si="1005"/>
        <v>-1322258.992238946</v>
      </c>
      <c r="R827">
        <f t="shared" si="1006"/>
        <v>-36719024.506540455</v>
      </c>
      <c r="S827">
        <f t="shared" si="1007"/>
        <v>-367.19024506540455</v>
      </c>
      <c r="T827">
        <f t="shared" si="1008"/>
        <v>-0.36719024506540454</v>
      </c>
    </row>
    <row r="828" spans="1:20" x14ac:dyDescent="0.25">
      <c r="A828" s="5">
        <v>43765</v>
      </c>
      <c r="B828">
        <v>0.31119999999999998</v>
      </c>
      <c r="C828">
        <v>0.41</v>
      </c>
      <c r="D828">
        <v>0.30869999999999997</v>
      </c>
      <c r="E828">
        <v>0.377</v>
      </c>
      <c r="F828">
        <v>1869925.98</v>
      </c>
      <c r="G828">
        <v>0</v>
      </c>
      <c r="L828" t="s">
        <v>8</v>
      </c>
      <c r="M828" t="s">
        <v>8</v>
      </c>
      <c r="N828" t="s">
        <v>8</v>
      </c>
      <c r="P828">
        <f t="shared" si="1004"/>
        <v>0.34846989141164908</v>
      </c>
      <c r="Q828">
        <f t="shared" si="1005"/>
        <v>651612.90319842147</v>
      </c>
      <c r="R828">
        <f t="shared" si="1006"/>
        <v>-35396765.514301509</v>
      </c>
      <c r="S828">
        <f t="shared" si="1007"/>
        <v>-353.96765514301507</v>
      </c>
      <c r="T828">
        <f t="shared" si="1008"/>
        <v>-0.35396765514301509</v>
      </c>
    </row>
    <row r="829" spans="1:20" x14ac:dyDescent="0.25">
      <c r="A829" s="5">
        <v>43764</v>
      </c>
      <c r="B829">
        <v>0.3291</v>
      </c>
      <c r="C829">
        <v>0.34549999999999997</v>
      </c>
      <c r="D829">
        <v>0.30599999999999999</v>
      </c>
      <c r="E829">
        <v>0.31359999999999999</v>
      </c>
      <c r="F829">
        <v>550970.07999999996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-0.61518987341772158</v>
      </c>
      <c r="Q829">
        <f t="shared" si="1005"/>
        <v>-338951.21377215191</v>
      </c>
      <c r="R829">
        <f t="shared" si="1006"/>
        <v>-36048378.41749993</v>
      </c>
      <c r="S829">
        <f t="shared" si="1007"/>
        <v>-360.4837841749993</v>
      </c>
      <c r="T829">
        <f t="shared" si="1008"/>
        <v>-0.36048378417499932</v>
      </c>
    </row>
    <row r="830" spans="1:20" x14ac:dyDescent="0.25">
      <c r="A830" s="5">
        <v>43763</v>
      </c>
      <c r="B830">
        <v>0.29559999999999997</v>
      </c>
      <c r="C830">
        <v>0.33339999999999997</v>
      </c>
      <c r="D830">
        <v>0.29499999999999998</v>
      </c>
      <c r="E830">
        <v>0.3291</v>
      </c>
      <c r="F830">
        <v>189291.73</v>
      </c>
      <c r="G830">
        <v>0</v>
      </c>
      <c r="L830" t="s">
        <v>8</v>
      </c>
      <c r="M830" t="s">
        <v>8</v>
      </c>
      <c r="N830" t="s">
        <v>7</v>
      </c>
      <c r="P830">
        <f t="shared" si="1004"/>
        <v>0.77604166666666818</v>
      </c>
      <c r="Q830">
        <f t="shared" si="1005"/>
        <v>146898.26963541697</v>
      </c>
      <c r="R830">
        <f t="shared" si="1006"/>
        <v>-35709427.203727774</v>
      </c>
      <c r="S830">
        <f t="shared" si="1007"/>
        <v>-357.09427203727773</v>
      </c>
      <c r="T830">
        <f t="shared" si="1008"/>
        <v>-0.35709427203727773</v>
      </c>
    </row>
    <row r="831" spans="1:20" x14ac:dyDescent="0.25">
      <c r="A831" s="5">
        <v>43762</v>
      </c>
      <c r="B831">
        <v>0.29480000000000001</v>
      </c>
      <c r="C831">
        <v>0.3054</v>
      </c>
      <c r="D831">
        <v>0.2918</v>
      </c>
      <c r="E831">
        <v>0.29549999999999998</v>
      </c>
      <c r="F831">
        <v>91043.43</v>
      </c>
      <c r="G831">
        <v>0</v>
      </c>
      <c r="L831" t="s">
        <v>8</v>
      </c>
      <c r="M831" t="s">
        <v>7</v>
      </c>
      <c r="N831" t="s">
        <v>7</v>
      </c>
      <c r="P831">
        <f t="shared" ref="P831:P894" si="1009">IF(C831=D831,0,((E831-D831)-(C831-E831))/(C831-D831))</f>
        <v>-0.45588235294117929</v>
      </c>
      <c r="Q831">
        <f t="shared" ref="Q831:Q894" si="1010">F831*P831</f>
        <v>-41505.093088235546</v>
      </c>
      <c r="R831">
        <f t="shared" ref="R831:R894" si="1011">R832+Q831</f>
        <v>-35856325.473363191</v>
      </c>
      <c r="S831">
        <f t="shared" ref="S831:S894" si="1012">R831/100000</f>
        <v>-358.56325473363194</v>
      </c>
      <c r="T831">
        <f t="shared" ref="T831:T894" si="1013">S831/1000</f>
        <v>-0.35856325473363193</v>
      </c>
    </row>
    <row r="832" spans="1:20" x14ac:dyDescent="0.25">
      <c r="A832" s="5">
        <v>43761</v>
      </c>
      <c r="B832">
        <v>0.32229999999999998</v>
      </c>
      <c r="C832">
        <v>0.32479999999999998</v>
      </c>
      <c r="D832">
        <v>0.27950000000000003</v>
      </c>
      <c r="E832">
        <v>0.2944</v>
      </c>
      <c r="F832">
        <v>120171.17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-0.34216335540838921</v>
      </c>
      <c r="Q832">
        <f t="shared" si="1010"/>
        <v>-41118.170750551959</v>
      </c>
      <c r="R832">
        <f t="shared" si="1011"/>
        <v>-35814820.380274959</v>
      </c>
      <c r="S832">
        <f t="shared" si="1012"/>
        <v>-358.14820380274961</v>
      </c>
      <c r="T832">
        <f t="shared" si="1013"/>
        <v>-0.35814820380274959</v>
      </c>
    </row>
    <row r="833" spans="1:20" x14ac:dyDescent="0.25">
      <c r="A833" s="5">
        <v>43760</v>
      </c>
      <c r="B833">
        <v>0.3286</v>
      </c>
      <c r="C833">
        <v>0.33400000000000002</v>
      </c>
      <c r="D833">
        <v>0.32219999999999999</v>
      </c>
      <c r="E833">
        <v>0.32500000000000001</v>
      </c>
      <c r="F833">
        <v>68855.02</v>
      </c>
      <c r="G833">
        <v>0</v>
      </c>
      <c r="L833" t="s">
        <v>7</v>
      </c>
      <c r="M833" t="s">
        <v>7</v>
      </c>
      <c r="N833" t="s">
        <v>8</v>
      </c>
      <c r="P833">
        <f t="shared" si="1009"/>
        <v>-0.52542372881355648</v>
      </c>
      <c r="Q833">
        <f t="shared" si="1010"/>
        <v>-36178.061355932012</v>
      </c>
      <c r="R833">
        <f t="shared" si="1011"/>
        <v>-35773702.209524408</v>
      </c>
      <c r="S833">
        <f t="shared" si="1012"/>
        <v>-357.73702209524407</v>
      </c>
      <c r="T833">
        <f t="shared" si="1013"/>
        <v>-0.35773702209524405</v>
      </c>
    </row>
    <row r="834" spans="1:20" x14ac:dyDescent="0.25">
      <c r="A834" s="5">
        <v>43759</v>
      </c>
      <c r="B834">
        <v>0.3246</v>
      </c>
      <c r="C834">
        <v>0.33429999999999999</v>
      </c>
      <c r="D834">
        <v>0.3196</v>
      </c>
      <c r="E834">
        <v>0.32929999999999998</v>
      </c>
      <c r="F834">
        <v>125673.79</v>
      </c>
      <c r="G834">
        <v>0</v>
      </c>
      <c r="L834" t="s">
        <v>7</v>
      </c>
      <c r="M834" t="s">
        <v>7</v>
      </c>
      <c r="N834" t="s">
        <v>8</v>
      </c>
      <c r="P834">
        <f t="shared" si="1009"/>
        <v>0.31972789115646155</v>
      </c>
      <c r="Q834">
        <f t="shared" si="1010"/>
        <v>40181.415850340003</v>
      </c>
      <c r="R834">
        <f t="shared" si="1011"/>
        <v>-35737524.148168474</v>
      </c>
      <c r="S834">
        <f t="shared" si="1012"/>
        <v>-357.37524148168472</v>
      </c>
      <c r="T834">
        <f t="shared" si="1013"/>
        <v>-0.3573752414816847</v>
      </c>
    </row>
    <row r="835" spans="1:20" x14ac:dyDescent="0.25">
      <c r="A835" s="5">
        <v>43758</v>
      </c>
      <c r="B835">
        <v>0.31790000000000002</v>
      </c>
      <c r="C835">
        <v>0.32869999999999999</v>
      </c>
      <c r="D835">
        <v>0.31159999999999999</v>
      </c>
      <c r="E835">
        <v>0.32200000000000001</v>
      </c>
      <c r="F835">
        <v>144865.07</v>
      </c>
      <c r="G835">
        <v>0</v>
      </c>
      <c r="L835" t="s">
        <v>7</v>
      </c>
      <c r="M835" t="s">
        <v>7</v>
      </c>
      <c r="N835" t="s">
        <v>8</v>
      </c>
      <c r="P835">
        <f t="shared" si="1009"/>
        <v>0.21637426900585005</v>
      </c>
      <c r="Q835">
        <f t="shared" si="1010"/>
        <v>31345.0736257313</v>
      </c>
      <c r="R835">
        <f t="shared" si="1011"/>
        <v>-35777705.564018816</v>
      </c>
      <c r="S835">
        <f t="shared" si="1012"/>
        <v>-357.77705564018817</v>
      </c>
      <c r="T835">
        <f t="shared" si="1013"/>
        <v>-0.35777705564018819</v>
      </c>
    </row>
    <row r="836" spans="1:20" x14ac:dyDescent="0.25">
      <c r="A836" s="5">
        <v>43757</v>
      </c>
      <c r="B836">
        <v>0.32369999999999999</v>
      </c>
      <c r="C836">
        <v>0.32469999999999999</v>
      </c>
      <c r="D836">
        <v>0.314</v>
      </c>
      <c r="E836">
        <v>0.3165</v>
      </c>
      <c r="F836">
        <v>251320.6</v>
      </c>
      <c r="G836">
        <v>0</v>
      </c>
      <c r="L836" t="s">
        <v>7</v>
      </c>
      <c r="M836" t="s">
        <v>7</v>
      </c>
      <c r="N836" t="s">
        <v>8</v>
      </c>
      <c r="P836">
        <f t="shared" si="1009"/>
        <v>-0.53271028037383084</v>
      </c>
      <c r="Q836">
        <f t="shared" si="1010"/>
        <v>-133881.06728971939</v>
      </c>
      <c r="R836">
        <f t="shared" si="1011"/>
        <v>-35809050.637644544</v>
      </c>
      <c r="S836">
        <f t="shared" si="1012"/>
        <v>-358.09050637644543</v>
      </c>
      <c r="T836">
        <f t="shared" si="1013"/>
        <v>-0.35809050637644541</v>
      </c>
    </row>
    <row r="837" spans="1:20" x14ac:dyDescent="0.25">
      <c r="A837" s="5">
        <v>43756</v>
      </c>
      <c r="B837">
        <v>0.3301</v>
      </c>
      <c r="C837">
        <v>0.34970000000000001</v>
      </c>
      <c r="D837">
        <v>0.3216</v>
      </c>
      <c r="E837">
        <v>0.3251</v>
      </c>
      <c r="F837">
        <v>390811.75</v>
      </c>
      <c r="G837">
        <v>0</v>
      </c>
      <c r="L837" t="s">
        <v>7</v>
      </c>
      <c r="M837" t="s">
        <v>7</v>
      </c>
      <c r="N837" t="s">
        <v>8</v>
      </c>
      <c r="P837">
        <f t="shared" si="1009"/>
        <v>-0.7508896797153024</v>
      </c>
      <c r="Q837">
        <f t="shared" si="1010"/>
        <v>-293456.50978647685</v>
      </c>
      <c r="R837">
        <f t="shared" si="1011"/>
        <v>-35675169.570354827</v>
      </c>
      <c r="S837">
        <f t="shared" si="1012"/>
        <v>-356.75169570354825</v>
      </c>
      <c r="T837">
        <f t="shared" si="1013"/>
        <v>-0.35675169570354825</v>
      </c>
    </row>
    <row r="838" spans="1:20" x14ac:dyDescent="0.25">
      <c r="A838" s="5">
        <v>43755</v>
      </c>
      <c r="B838">
        <v>0.3261</v>
      </c>
      <c r="C838">
        <v>0.34549999999999997</v>
      </c>
      <c r="D838">
        <v>0.32340000000000002</v>
      </c>
      <c r="E838">
        <v>0.33339999999999997</v>
      </c>
      <c r="F838">
        <v>346073.96</v>
      </c>
      <c r="G838">
        <v>0</v>
      </c>
      <c r="L838" t="s">
        <v>8</v>
      </c>
      <c r="M838" t="s">
        <v>7</v>
      </c>
      <c r="N838" t="s">
        <v>8</v>
      </c>
      <c r="P838">
        <f t="shared" si="1009"/>
        <v>-9.5022624434391439E-2</v>
      </c>
      <c r="Q838">
        <f t="shared" si="1010"/>
        <v>-32884.855927602606</v>
      </c>
      <c r="R838">
        <f t="shared" si="1011"/>
        <v>-35381713.060568348</v>
      </c>
      <c r="S838">
        <f t="shared" si="1012"/>
        <v>-353.81713060568347</v>
      </c>
      <c r="T838">
        <f t="shared" si="1013"/>
        <v>-0.35381713060568348</v>
      </c>
    </row>
    <row r="839" spans="1:20" x14ac:dyDescent="0.25">
      <c r="A839" s="5">
        <v>43754</v>
      </c>
      <c r="B839">
        <v>0.33660000000000001</v>
      </c>
      <c r="C839">
        <v>0.35549999999999998</v>
      </c>
      <c r="D839">
        <v>0.32219999999999999</v>
      </c>
      <c r="E839">
        <v>0.32529999999999998</v>
      </c>
      <c r="F839">
        <v>230729</v>
      </c>
      <c r="G839">
        <v>0</v>
      </c>
      <c r="L839" t="s">
        <v>7</v>
      </c>
      <c r="M839" t="s">
        <v>7</v>
      </c>
      <c r="N839" t="s">
        <v>8</v>
      </c>
      <c r="P839">
        <f t="shared" si="1009"/>
        <v>-0.81381381381381435</v>
      </c>
      <c r="Q839">
        <f t="shared" si="1010"/>
        <v>-187770.44744744757</v>
      </c>
      <c r="R839">
        <f t="shared" si="1011"/>
        <v>-35348828.204640746</v>
      </c>
      <c r="S839">
        <f t="shared" si="1012"/>
        <v>-353.48828204640745</v>
      </c>
      <c r="T839">
        <f t="shared" si="1013"/>
        <v>-0.35348828204640748</v>
      </c>
    </row>
    <row r="840" spans="1:20" x14ac:dyDescent="0.25">
      <c r="A840" s="5">
        <v>43753</v>
      </c>
      <c r="B840">
        <v>0.34810000000000002</v>
      </c>
      <c r="C840">
        <v>0.35859999999999997</v>
      </c>
      <c r="D840">
        <v>0.33339999999999997</v>
      </c>
      <c r="E840">
        <v>0.33539999999999998</v>
      </c>
      <c r="F840">
        <v>212526.78</v>
      </c>
      <c r="G840">
        <v>0</v>
      </c>
      <c r="L840" t="s">
        <v>7</v>
      </c>
      <c r="M840" t="s">
        <v>7</v>
      </c>
      <c r="N840" t="s">
        <v>8</v>
      </c>
      <c r="P840">
        <f t="shared" si="1009"/>
        <v>-0.84126984126984117</v>
      </c>
      <c r="Q840">
        <f t="shared" si="1010"/>
        <v>-178792.37047619047</v>
      </c>
      <c r="R840">
        <f t="shared" si="1011"/>
        <v>-35161057.757193297</v>
      </c>
      <c r="S840">
        <f t="shared" si="1012"/>
        <v>-351.61057757193299</v>
      </c>
      <c r="T840">
        <f t="shared" si="1013"/>
        <v>-0.35161057757193298</v>
      </c>
    </row>
    <row r="841" spans="1:20" x14ac:dyDescent="0.25">
      <c r="A841" s="5">
        <v>43752</v>
      </c>
      <c r="B841">
        <v>0.35049999999999998</v>
      </c>
      <c r="C841">
        <v>0.35389999999999999</v>
      </c>
      <c r="D841">
        <v>0.34420000000000001</v>
      </c>
      <c r="E841">
        <v>0.34810000000000002</v>
      </c>
      <c r="F841">
        <v>118228.61</v>
      </c>
      <c r="G841">
        <v>0</v>
      </c>
      <c r="L841" t="s">
        <v>7</v>
      </c>
      <c r="M841" t="s">
        <v>7</v>
      </c>
      <c r="N841" t="s">
        <v>8</v>
      </c>
      <c r="P841">
        <f t="shared" si="1009"/>
        <v>-0.19587628865978968</v>
      </c>
      <c r="Q841">
        <f t="shared" si="1010"/>
        <v>-23158.181340205698</v>
      </c>
      <c r="R841">
        <f t="shared" si="1011"/>
        <v>-34982265.386717103</v>
      </c>
      <c r="S841">
        <f t="shared" si="1012"/>
        <v>-349.82265386717103</v>
      </c>
      <c r="T841">
        <f t="shared" si="1013"/>
        <v>-0.34982265386717104</v>
      </c>
    </row>
    <row r="842" spans="1:20" x14ac:dyDescent="0.25">
      <c r="A842" s="5">
        <v>43751</v>
      </c>
      <c r="B842">
        <v>0.36070000000000002</v>
      </c>
      <c r="C842">
        <v>0.36459999999999998</v>
      </c>
      <c r="D842">
        <v>0.34150000000000003</v>
      </c>
      <c r="E842">
        <v>0.35320000000000001</v>
      </c>
      <c r="F842">
        <v>107824.43</v>
      </c>
      <c r="G842">
        <v>0</v>
      </c>
      <c r="L842" t="s">
        <v>7</v>
      </c>
      <c r="M842" t="s">
        <v>7</v>
      </c>
      <c r="N842" t="s">
        <v>8</v>
      </c>
      <c r="P842">
        <f t="shared" si="1009"/>
        <v>1.2987012987013985E-2</v>
      </c>
      <c r="Q842">
        <f t="shared" si="1010"/>
        <v>1400.3172727273802</v>
      </c>
      <c r="R842">
        <f t="shared" si="1011"/>
        <v>-34959107.205376901</v>
      </c>
      <c r="S842">
        <f t="shared" si="1012"/>
        <v>-349.59107205376898</v>
      </c>
      <c r="T842">
        <f t="shared" si="1013"/>
        <v>-0.34959107205376899</v>
      </c>
    </row>
    <row r="843" spans="1:20" x14ac:dyDescent="0.25">
      <c r="A843" s="5">
        <v>43750</v>
      </c>
      <c r="B843">
        <v>0.35210000000000002</v>
      </c>
      <c r="C843">
        <v>0.36670000000000003</v>
      </c>
      <c r="D843">
        <v>0.3498</v>
      </c>
      <c r="E843">
        <v>0.36280000000000001</v>
      </c>
      <c r="F843">
        <v>216147.09</v>
      </c>
      <c r="G843">
        <v>0</v>
      </c>
      <c r="L843" t="s">
        <v>7</v>
      </c>
      <c r="M843" t="s">
        <v>8</v>
      </c>
      <c r="N843" t="s">
        <v>8</v>
      </c>
      <c r="P843">
        <f t="shared" si="1009"/>
        <v>0.53846153846153744</v>
      </c>
      <c r="Q843">
        <f t="shared" si="1010"/>
        <v>116386.89461538439</v>
      </c>
      <c r="R843">
        <f t="shared" si="1011"/>
        <v>-34960507.522649631</v>
      </c>
      <c r="S843">
        <f t="shared" si="1012"/>
        <v>-349.6050752264963</v>
      </c>
      <c r="T843">
        <f t="shared" si="1013"/>
        <v>-0.34960507522649631</v>
      </c>
    </row>
    <row r="844" spans="1:20" x14ac:dyDescent="0.25">
      <c r="A844" s="5">
        <v>43749</v>
      </c>
      <c r="B844">
        <v>0.36840000000000001</v>
      </c>
      <c r="C844">
        <v>0.36930000000000002</v>
      </c>
      <c r="D844">
        <v>0.34610000000000002</v>
      </c>
      <c r="E844">
        <v>0.35199999999999998</v>
      </c>
      <c r="F844">
        <v>193700.7</v>
      </c>
      <c r="G844">
        <v>0</v>
      </c>
      <c r="L844" t="s">
        <v>7</v>
      </c>
      <c r="M844" t="s">
        <v>8</v>
      </c>
      <c r="N844" t="s">
        <v>8</v>
      </c>
      <c r="P844">
        <f t="shared" si="1009"/>
        <v>-0.49137931034483096</v>
      </c>
      <c r="Q844">
        <f t="shared" si="1010"/>
        <v>-95180.516379310997</v>
      </c>
      <c r="R844">
        <f t="shared" si="1011"/>
        <v>-35076894.417265013</v>
      </c>
      <c r="S844">
        <f t="shared" si="1012"/>
        <v>-350.76894417265015</v>
      </c>
      <c r="T844">
        <f t="shared" si="1013"/>
        <v>-0.35076894417265014</v>
      </c>
    </row>
    <row r="845" spans="1:20" x14ac:dyDescent="0.25">
      <c r="A845" s="5">
        <v>43748</v>
      </c>
      <c r="B845">
        <v>0.38109999999999999</v>
      </c>
      <c r="C845">
        <v>0.38419999999999999</v>
      </c>
      <c r="D845">
        <v>0.36420000000000002</v>
      </c>
      <c r="E845">
        <v>0.36969999999999997</v>
      </c>
      <c r="F845">
        <v>179377.55</v>
      </c>
      <c r="G845">
        <v>0</v>
      </c>
      <c r="L845" t="s">
        <v>7</v>
      </c>
      <c r="M845" t="s">
        <v>8</v>
      </c>
      <c r="N845" t="s">
        <v>8</v>
      </c>
      <c r="P845">
        <f t="shared" si="1009"/>
        <v>-0.45000000000000401</v>
      </c>
      <c r="Q845">
        <f t="shared" si="1010"/>
        <v>-80719.897500000719</v>
      </c>
      <c r="R845">
        <f t="shared" si="1011"/>
        <v>-34981713.900885701</v>
      </c>
      <c r="S845">
        <f t="shared" si="1012"/>
        <v>-349.817139008857</v>
      </c>
      <c r="T845">
        <f t="shared" si="1013"/>
        <v>-0.34981713900885703</v>
      </c>
    </row>
    <row r="846" spans="1:20" x14ac:dyDescent="0.25">
      <c r="A846" s="5">
        <v>43747</v>
      </c>
      <c r="B846">
        <v>0.37309999999999999</v>
      </c>
      <c r="C846">
        <v>0.39950000000000002</v>
      </c>
      <c r="D846">
        <v>0.37</v>
      </c>
      <c r="E846">
        <v>0.38269999999999998</v>
      </c>
      <c r="F846">
        <v>310531.19</v>
      </c>
      <c r="G846">
        <v>0</v>
      </c>
      <c r="L846" t="s">
        <v>8</v>
      </c>
      <c r="M846" t="s">
        <v>8</v>
      </c>
      <c r="N846" t="s">
        <v>8</v>
      </c>
      <c r="P846">
        <f t="shared" si="1009"/>
        <v>-0.13898305084745913</v>
      </c>
      <c r="Q846">
        <f t="shared" si="1010"/>
        <v>-43158.572169491992</v>
      </c>
      <c r="R846">
        <f t="shared" si="1011"/>
        <v>-34900994.0033857</v>
      </c>
      <c r="S846">
        <f t="shared" si="1012"/>
        <v>-349.00994003385699</v>
      </c>
      <c r="T846">
        <f t="shared" si="1013"/>
        <v>-0.34900994003385699</v>
      </c>
    </row>
    <row r="847" spans="1:20" x14ac:dyDescent="0.25">
      <c r="A847" s="5">
        <v>43746</v>
      </c>
      <c r="B847">
        <v>0.37330000000000002</v>
      </c>
      <c r="C847">
        <v>0.38</v>
      </c>
      <c r="D847">
        <v>0.36530000000000001</v>
      </c>
      <c r="E847">
        <v>0.37269999999999998</v>
      </c>
      <c r="F847">
        <v>101354.04</v>
      </c>
      <c r="G847">
        <v>0</v>
      </c>
      <c r="L847" t="s">
        <v>8</v>
      </c>
      <c r="M847" t="s">
        <v>8</v>
      </c>
      <c r="N847" t="s">
        <v>8</v>
      </c>
      <c r="P847">
        <f t="shared" si="1009"/>
        <v>6.8027210884308532E-3</v>
      </c>
      <c r="Q847">
        <f t="shared" si="1010"/>
        <v>689.48326530566419</v>
      </c>
      <c r="R847">
        <f t="shared" si="1011"/>
        <v>-34857835.43121621</v>
      </c>
      <c r="S847">
        <f t="shared" si="1012"/>
        <v>-348.57835431216211</v>
      </c>
      <c r="T847">
        <f t="shared" si="1013"/>
        <v>-0.34857835431216211</v>
      </c>
    </row>
    <row r="848" spans="1:20" x14ac:dyDescent="0.25">
      <c r="A848" s="5">
        <v>43745</v>
      </c>
      <c r="B848">
        <v>0.35149999999999998</v>
      </c>
      <c r="C848">
        <v>0.37819999999999998</v>
      </c>
      <c r="D848">
        <v>0.34200000000000003</v>
      </c>
      <c r="E848">
        <v>0.37330000000000002</v>
      </c>
      <c r="F848">
        <v>161763.76</v>
      </c>
      <c r="G848">
        <v>0</v>
      </c>
      <c r="L848" t="s">
        <v>8</v>
      </c>
      <c r="M848" t="s">
        <v>8</v>
      </c>
      <c r="N848" t="s">
        <v>8</v>
      </c>
      <c r="P848">
        <f t="shared" si="1009"/>
        <v>0.72928176795580302</v>
      </c>
      <c r="Q848">
        <f t="shared" si="1010"/>
        <v>117971.36088397821</v>
      </c>
      <c r="R848">
        <f t="shared" si="1011"/>
        <v>-34858524.914481513</v>
      </c>
      <c r="S848">
        <f t="shared" si="1012"/>
        <v>-348.58524914481512</v>
      </c>
      <c r="T848">
        <f t="shared" si="1013"/>
        <v>-0.34858524914481515</v>
      </c>
    </row>
    <row r="849" spans="1:20" x14ac:dyDescent="0.25">
      <c r="A849" s="5">
        <v>43744</v>
      </c>
      <c r="B849">
        <v>0.37969999999999998</v>
      </c>
      <c r="C849">
        <v>0.3821</v>
      </c>
      <c r="D849">
        <v>0.34039999999999998</v>
      </c>
      <c r="E849">
        <v>0.34910000000000002</v>
      </c>
      <c r="F849">
        <v>152405.49</v>
      </c>
      <c r="G849">
        <v>0</v>
      </c>
      <c r="L849" t="s">
        <v>7</v>
      </c>
      <c r="M849" t="s">
        <v>8</v>
      </c>
      <c r="N849" t="s">
        <v>8</v>
      </c>
      <c r="P849">
        <f t="shared" si="1009"/>
        <v>-0.58273381294963844</v>
      </c>
      <c r="Q849">
        <f t="shared" si="1010"/>
        <v>-88811.832302157985</v>
      </c>
      <c r="R849">
        <f t="shared" si="1011"/>
        <v>-34976496.275365494</v>
      </c>
      <c r="S849">
        <f t="shared" si="1012"/>
        <v>-349.76496275365497</v>
      </c>
      <c r="T849">
        <f t="shared" si="1013"/>
        <v>-0.34976496275365498</v>
      </c>
    </row>
    <row r="850" spans="1:20" x14ac:dyDescent="0.25">
      <c r="A850" s="5">
        <v>43743</v>
      </c>
      <c r="B850">
        <v>0.38519999999999999</v>
      </c>
      <c r="C850">
        <v>0.38879999999999998</v>
      </c>
      <c r="D850">
        <v>0.36899999999999999</v>
      </c>
      <c r="E850">
        <v>0.3785</v>
      </c>
      <c r="F850">
        <v>123600.89</v>
      </c>
      <c r="G850">
        <v>0</v>
      </c>
      <c r="L850" t="s">
        <v>7</v>
      </c>
      <c r="M850" t="s">
        <v>8</v>
      </c>
      <c r="N850" t="s">
        <v>8</v>
      </c>
      <c r="P850">
        <f t="shared" si="1009"/>
        <v>-4.0404040404038791E-2</v>
      </c>
      <c r="Q850">
        <f t="shared" si="1010"/>
        <v>-4993.9753535351538</v>
      </c>
      <c r="R850">
        <f t="shared" si="1011"/>
        <v>-34887684.443063334</v>
      </c>
      <c r="S850">
        <f t="shared" si="1012"/>
        <v>-348.87684443063335</v>
      </c>
      <c r="T850">
        <f t="shared" si="1013"/>
        <v>-0.34887684443063338</v>
      </c>
    </row>
    <row r="851" spans="1:20" x14ac:dyDescent="0.25">
      <c r="A851" s="5">
        <v>43742</v>
      </c>
      <c r="B851">
        <v>0.36890000000000001</v>
      </c>
      <c r="C851">
        <v>0.3957</v>
      </c>
      <c r="D851">
        <v>0.36</v>
      </c>
      <c r="E851">
        <v>0.38440000000000002</v>
      </c>
      <c r="F851">
        <v>162830.44</v>
      </c>
      <c r="G851">
        <v>0</v>
      </c>
      <c r="L851" t="s">
        <v>8</v>
      </c>
      <c r="M851" t="s">
        <v>8</v>
      </c>
      <c r="N851" t="s">
        <v>8</v>
      </c>
      <c r="P851">
        <f t="shared" si="1009"/>
        <v>0.36694677871148607</v>
      </c>
      <c r="Q851">
        <f t="shared" si="1010"/>
        <v>59750.105434173907</v>
      </c>
      <c r="R851">
        <f t="shared" si="1011"/>
        <v>-34882690.467709802</v>
      </c>
      <c r="S851">
        <f t="shared" si="1012"/>
        <v>-348.82690467709801</v>
      </c>
      <c r="T851">
        <f t="shared" si="1013"/>
        <v>-0.34882690467709804</v>
      </c>
    </row>
    <row r="852" spans="1:20" x14ac:dyDescent="0.25">
      <c r="A852" s="5">
        <v>43741</v>
      </c>
      <c r="B852">
        <v>0.36799999999999999</v>
      </c>
      <c r="C852">
        <v>0.3795</v>
      </c>
      <c r="D852">
        <v>0.35809999999999997</v>
      </c>
      <c r="E852">
        <v>0.36969999999999997</v>
      </c>
      <c r="F852">
        <v>116801.45</v>
      </c>
      <c r="G852">
        <v>0</v>
      </c>
      <c r="L852" t="s">
        <v>8</v>
      </c>
      <c r="M852" t="s">
        <v>8</v>
      </c>
      <c r="N852" t="s">
        <v>8</v>
      </c>
      <c r="P852">
        <f t="shared" si="1009"/>
        <v>8.411214953270868E-2</v>
      </c>
      <c r="Q852">
        <f t="shared" si="1010"/>
        <v>9824.4210280371954</v>
      </c>
      <c r="R852">
        <f t="shared" si="1011"/>
        <v>-34942440.573143974</v>
      </c>
      <c r="S852">
        <f t="shared" si="1012"/>
        <v>-349.42440573143972</v>
      </c>
      <c r="T852">
        <f t="shared" si="1013"/>
        <v>-0.34942440573143974</v>
      </c>
    </row>
    <row r="853" spans="1:20" x14ac:dyDescent="0.25">
      <c r="A853" s="5">
        <v>43740</v>
      </c>
      <c r="B853">
        <v>0.37080000000000002</v>
      </c>
      <c r="C853">
        <v>0.37080000000000002</v>
      </c>
      <c r="D853">
        <v>0.35610000000000003</v>
      </c>
      <c r="E853">
        <v>0.36980000000000002</v>
      </c>
      <c r="F853">
        <v>145330.98000000001</v>
      </c>
      <c r="G853">
        <v>0</v>
      </c>
      <c r="L853" t="s">
        <v>7</v>
      </c>
      <c r="M853" t="s">
        <v>8</v>
      </c>
      <c r="N853" t="s">
        <v>8</v>
      </c>
      <c r="P853">
        <f t="shared" si="1009"/>
        <v>0.86394557823129237</v>
      </c>
      <c r="Q853">
        <f t="shared" si="1010"/>
        <v>125558.05755102039</v>
      </c>
      <c r="R853">
        <f t="shared" si="1011"/>
        <v>-34952264.994172014</v>
      </c>
      <c r="S853">
        <f t="shared" si="1012"/>
        <v>-349.52264994172015</v>
      </c>
      <c r="T853">
        <f t="shared" si="1013"/>
        <v>-0.34952264994172016</v>
      </c>
    </row>
    <row r="854" spans="1:20" x14ac:dyDescent="0.25">
      <c r="A854" s="5">
        <v>43739</v>
      </c>
      <c r="B854">
        <v>0.3654</v>
      </c>
      <c r="C854">
        <v>0.38369999999999999</v>
      </c>
      <c r="D854">
        <v>0.3589</v>
      </c>
      <c r="E854">
        <v>0.37090000000000001</v>
      </c>
      <c r="F854">
        <v>328383.34999999998</v>
      </c>
      <c r="G854">
        <v>0</v>
      </c>
      <c r="L854" t="s">
        <v>8</v>
      </c>
      <c r="M854" t="s">
        <v>8</v>
      </c>
      <c r="N854" t="s">
        <v>8</v>
      </c>
      <c r="P854">
        <f t="shared" si="1009"/>
        <v>-3.2258064516127734E-2</v>
      </c>
      <c r="Q854">
        <f t="shared" si="1010"/>
        <v>-10593.011290322154</v>
      </c>
      <c r="R854">
        <f t="shared" si="1011"/>
        <v>-35077823.051723033</v>
      </c>
      <c r="S854">
        <f t="shared" si="1012"/>
        <v>-350.77823051723033</v>
      </c>
      <c r="T854">
        <f t="shared" si="1013"/>
        <v>-0.35077823051723034</v>
      </c>
    </row>
    <row r="855" spans="1:20" x14ac:dyDescent="0.25">
      <c r="A855" s="5">
        <v>43738</v>
      </c>
      <c r="B855">
        <v>0.33789999999999998</v>
      </c>
      <c r="C855">
        <v>0.38080000000000003</v>
      </c>
      <c r="D855">
        <v>0.32269999999999999</v>
      </c>
      <c r="E855">
        <v>0.36709999999999998</v>
      </c>
      <c r="F855">
        <v>537366.12</v>
      </c>
      <c r="G855">
        <v>0</v>
      </c>
      <c r="L855" t="s">
        <v>8</v>
      </c>
      <c r="M855" t="s">
        <v>8</v>
      </c>
      <c r="N855" t="s">
        <v>8</v>
      </c>
      <c r="P855">
        <f t="shared" si="1009"/>
        <v>0.52839931153184039</v>
      </c>
      <c r="Q855">
        <f t="shared" si="1010"/>
        <v>283943.88784853631</v>
      </c>
      <c r="R855">
        <f t="shared" si="1011"/>
        <v>-35067230.040432714</v>
      </c>
      <c r="S855">
        <f t="shared" si="1012"/>
        <v>-350.67230040432713</v>
      </c>
      <c r="T855">
        <f t="shared" si="1013"/>
        <v>-0.35067230040432712</v>
      </c>
    </row>
    <row r="856" spans="1:20" x14ac:dyDescent="0.25">
      <c r="A856" s="5">
        <v>43737</v>
      </c>
      <c r="B856">
        <v>0.3427</v>
      </c>
      <c r="C856">
        <v>0.34399999999999997</v>
      </c>
      <c r="D856">
        <v>0.3236</v>
      </c>
      <c r="E856">
        <v>0.33789999999999998</v>
      </c>
      <c r="F856">
        <v>123391.65</v>
      </c>
      <c r="G856">
        <v>0</v>
      </c>
      <c r="L856" t="s">
        <v>8</v>
      </c>
      <c r="M856" t="s">
        <v>8</v>
      </c>
      <c r="N856" t="s">
        <v>8</v>
      </c>
      <c r="P856">
        <f t="shared" si="1009"/>
        <v>0.40196078431372528</v>
      </c>
      <c r="Q856">
        <f t="shared" si="1010"/>
        <v>49598.604411764682</v>
      </c>
      <c r="R856">
        <f t="shared" si="1011"/>
        <v>-35351173.928281248</v>
      </c>
      <c r="S856">
        <f t="shared" si="1012"/>
        <v>-353.51173928281247</v>
      </c>
      <c r="T856">
        <f t="shared" si="1013"/>
        <v>-0.35351173928281249</v>
      </c>
    </row>
    <row r="857" spans="1:20" x14ac:dyDescent="0.25">
      <c r="A857" s="5">
        <v>43736</v>
      </c>
      <c r="B857">
        <v>0.34060000000000001</v>
      </c>
      <c r="C857">
        <v>0.3483</v>
      </c>
      <c r="D857">
        <v>0.33550000000000002</v>
      </c>
      <c r="E857">
        <v>0.34300000000000003</v>
      </c>
      <c r="F857">
        <v>98749.81</v>
      </c>
      <c r="G857">
        <v>0</v>
      </c>
      <c r="L857" t="s">
        <v>8</v>
      </c>
      <c r="M857" t="s">
        <v>8</v>
      </c>
      <c r="N857" t="s">
        <v>8</v>
      </c>
      <c r="P857">
        <f t="shared" si="1009"/>
        <v>0.17187500000000305</v>
      </c>
      <c r="Q857">
        <f t="shared" si="1010"/>
        <v>16972.623593750301</v>
      </c>
      <c r="R857">
        <f t="shared" si="1011"/>
        <v>-35400772.532693014</v>
      </c>
      <c r="S857">
        <f t="shared" si="1012"/>
        <v>-354.00772532693014</v>
      </c>
      <c r="T857">
        <f t="shared" si="1013"/>
        <v>-0.35400772532693014</v>
      </c>
    </row>
    <row r="858" spans="1:20" x14ac:dyDescent="0.25">
      <c r="A858" s="5">
        <v>43735</v>
      </c>
      <c r="B858">
        <v>0.32690000000000002</v>
      </c>
      <c r="C858">
        <v>0.3417</v>
      </c>
      <c r="D858">
        <v>0.31740000000000002</v>
      </c>
      <c r="E858">
        <v>0.3417</v>
      </c>
      <c r="F858">
        <v>147066.96</v>
      </c>
      <c r="G858">
        <v>0</v>
      </c>
      <c r="L858" t="s">
        <v>8</v>
      </c>
      <c r="M858" t="s">
        <v>8</v>
      </c>
      <c r="N858" t="s">
        <v>8</v>
      </c>
      <c r="P858">
        <f t="shared" si="1009"/>
        <v>1</v>
      </c>
      <c r="Q858">
        <f t="shared" si="1010"/>
        <v>147066.96</v>
      </c>
      <c r="R858">
        <f t="shared" si="1011"/>
        <v>-35417745.156286761</v>
      </c>
      <c r="S858">
        <f t="shared" si="1012"/>
        <v>-354.17745156286759</v>
      </c>
      <c r="T858">
        <f t="shared" si="1013"/>
        <v>-0.35417745156286756</v>
      </c>
    </row>
    <row r="859" spans="1:20" x14ac:dyDescent="0.25">
      <c r="A859" s="5">
        <v>43734</v>
      </c>
      <c r="B859">
        <v>0.34050000000000002</v>
      </c>
      <c r="C859">
        <v>0.3528</v>
      </c>
      <c r="D859">
        <v>0.30299999999999999</v>
      </c>
      <c r="E859">
        <v>0.32879999999999998</v>
      </c>
      <c r="F859">
        <v>145088</v>
      </c>
      <c r="G859">
        <v>0</v>
      </c>
      <c r="L859" t="s">
        <v>7</v>
      </c>
      <c r="M859" t="s">
        <v>8</v>
      </c>
      <c r="N859" t="s">
        <v>8</v>
      </c>
      <c r="P859">
        <f t="shared" si="1009"/>
        <v>3.6144578313252365E-2</v>
      </c>
      <c r="Q859">
        <f t="shared" si="1010"/>
        <v>5244.1445783131594</v>
      </c>
      <c r="R859">
        <f t="shared" si="1011"/>
        <v>-35564812.116286762</v>
      </c>
      <c r="S859">
        <f t="shared" si="1012"/>
        <v>-355.6481211628676</v>
      </c>
      <c r="T859">
        <f t="shared" si="1013"/>
        <v>-0.35564812116286759</v>
      </c>
    </row>
    <row r="860" spans="1:20" x14ac:dyDescent="0.25">
      <c r="A860" s="5">
        <v>43733</v>
      </c>
      <c r="B860">
        <v>0.32850000000000001</v>
      </c>
      <c r="C860">
        <v>0.35020000000000001</v>
      </c>
      <c r="D860">
        <v>0.31969999999999998</v>
      </c>
      <c r="E860">
        <v>0.3372</v>
      </c>
      <c r="F860">
        <v>176233.47</v>
      </c>
      <c r="G860">
        <v>0</v>
      </c>
      <c r="L860" t="s">
        <v>8</v>
      </c>
      <c r="M860" t="s">
        <v>8</v>
      </c>
      <c r="N860" t="s">
        <v>7</v>
      </c>
      <c r="P860">
        <f t="shared" si="1009"/>
        <v>0.14754098360655737</v>
      </c>
      <c r="Q860">
        <f t="shared" si="1010"/>
        <v>26001.659508196721</v>
      </c>
      <c r="R860">
        <f t="shared" si="1011"/>
        <v>-35570056.260865077</v>
      </c>
      <c r="S860">
        <f t="shared" si="1012"/>
        <v>-355.70056260865078</v>
      </c>
      <c r="T860">
        <f t="shared" si="1013"/>
        <v>-0.35570056260865079</v>
      </c>
    </row>
    <row r="861" spans="1:20" x14ac:dyDescent="0.25">
      <c r="A861" s="5">
        <v>43732</v>
      </c>
      <c r="B861">
        <v>0.39789999999999998</v>
      </c>
      <c r="C861">
        <v>0.40179999999999999</v>
      </c>
      <c r="D861">
        <v>0.25340000000000001</v>
      </c>
      <c r="E861">
        <v>0.3286</v>
      </c>
      <c r="F861">
        <v>317889.38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1.3477088948787077E-2</v>
      </c>
      <c r="Q861">
        <f t="shared" si="1010"/>
        <v>4284.2234501347757</v>
      </c>
      <c r="R861">
        <f t="shared" si="1011"/>
        <v>-35596057.920373276</v>
      </c>
      <c r="S861">
        <f t="shared" si="1012"/>
        <v>-355.96057920373278</v>
      </c>
      <c r="T861">
        <f t="shared" si="1013"/>
        <v>-0.35596057920373275</v>
      </c>
    </row>
    <row r="862" spans="1:20" x14ac:dyDescent="0.25">
      <c r="A862" s="5">
        <v>43731</v>
      </c>
      <c r="B862">
        <v>0.4103</v>
      </c>
      <c r="C862">
        <v>0.42199999999999999</v>
      </c>
      <c r="D862">
        <v>0.3977</v>
      </c>
      <c r="E862">
        <v>0.39789999999999998</v>
      </c>
      <c r="F862">
        <v>151608.67000000001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-0.98353909465020761</v>
      </c>
      <c r="Q862">
        <f t="shared" si="1010"/>
        <v>-149113.05403292211</v>
      </c>
      <c r="R862">
        <f t="shared" si="1011"/>
        <v>-35600342.143823408</v>
      </c>
      <c r="S862">
        <f t="shared" si="1012"/>
        <v>-356.00342143823406</v>
      </c>
      <c r="T862">
        <f t="shared" si="1013"/>
        <v>-0.35600342143823405</v>
      </c>
    </row>
    <row r="863" spans="1:20" x14ac:dyDescent="0.25">
      <c r="A863" s="5">
        <v>43730</v>
      </c>
      <c r="B863">
        <v>0.41789999999999999</v>
      </c>
      <c r="C863">
        <v>0.41789999999999999</v>
      </c>
      <c r="D863">
        <v>0.40229999999999999</v>
      </c>
      <c r="E863">
        <v>0.41289999999999999</v>
      </c>
      <c r="F863">
        <v>162598.24</v>
      </c>
      <c r="G863">
        <v>0</v>
      </c>
      <c r="L863" t="s">
        <v>7</v>
      </c>
      <c r="M863" t="s">
        <v>7</v>
      </c>
      <c r="N863" t="s">
        <v>7</v>
      </c>
      <c r="P863">
        <f t="shared" si="1009"/>
        <v>0.35897435897435853</v>
      </c>
      <c r="Q863">
        <f t="shared" si="1010"/>
        <v>58368.598974358902</v>
      </c>
      <c r="R863">
        <f t="shared" si="1011"/>
        <v>-35451229.089790486</v>
      </c>
      <c r="S863">
        <f t="shared" si="1012"/>
        <v>-354.51229089790485</v>
      </c>
      <c r="T863">
        <f t="shared" si="1013"/>
        <v>-0.35451229089790487</v>
      </c>
    </row>
    <row r="864" spans="1:20" x14ac:dyDescent="0.25">
      <c r="A864" s="5">
        <v>43729</v>
      </c>
      <c r="B864">
        <v>0.43219999999999997</v>
      </c>
      <c r="C864">
        <v>0.43419999999999997</v>
      </c>
      <c r="D864">
        <v>0.4148</v>
      </c>
      <c r="E864">
        <v>0.41799999999999998</v>
      </c>
      <c r="F864">
        <v>79496.95</v>
      </c>
      <c r="G864">
        <v>0</v>
      </c>
      <c r="L864" t="s">
        <v>7</v>
      </c>
      <c r="M864" t="s">
        <v>7</v>
      </c>
      <c r="N864" t="s">
        <v>7</v>
      </c>
      <c r="P864">
        <f t="shared" si="1009"/>
        <v>-0.67010309278350666</v>
      </c>
      <c r="Q864">
        <f t="shared" si="1010"/>
        <v>-53271.152061855784</v>
      </c>
      <c r="R864">
        <f t="shared" si="1011"/>
        <v>-35509597.688764848</v>
      </c>
      <c r="S864">
        <f t="shared" si="1012"/>
        <v>-355.09597688764848</v>
      </c>
      <c r="T864">
        <f t="shared" si="1013"/>
        <v>-0.35509597688764849</v>
      </c>
    </row>
    <row r="865" spans="1:20" x14ac:dyDescent="0.25">
      <c r="A865" s="5">
        <v>43728</v>
      </c>
      <c r="B865">
        <v>0.432</v>
      </c>
      <c r="C865">
        <v>0.44990000000000002</v>
      </c>
      <c r="D865">
        <v>0.4234</v>
      </c>
      <c r="E865">
        <v>0.43240000000000001</v>
      </c>
      <c r="F865">
        <v>98680.88</v>
      </c>
      <c r="G865">
        <v>0</v>
      </c>
      <c r="L865" t="s">
        <v>8</v>
      </c>
      <c r="M865" t="s">
        <v>7</v>
      </c>
      <c r="N865" t="s">
        <v>7</v>
      </c>
      <c r="P865">
        <f t="shared" si="1009"/>
        <v>-0.32075471698113206</v>
      </c>
      <c r="Q865">
        <f t="shared" si="1010"/>
        <v>-31652.357735849055</v>
      </c>
      <c r="R865">
        <f t="shared" si="1011"/>
        <v>-35456326.536702991</v>
      </c>
      <c r="S865">
        <f t="shared" si="1012"/>
        <v>-354.56326536702989</v>
      </c>
      <c r="T865">
        <f t="shared" si="1013"/>
        <v>-0.35456326536702987</v>
      </c>
    </row>
    <row r="866" spans="1:20" x14ac:dyDescent="0.25">
      <c r="A866" s="5">
        <v>43727</v>
      </c>
      <c r="B866">
        <v>0.45179999999999998</v>
      </c>
      <c r="C866">
        <v>0.45219999999999999</v>
      </c>
      <c r="D866">
        <v>0.40870000000000001</v>
      </c>
      <c r="E866">
        <v>0.4335</v>
      </c>
      <c r="F866">
        <v>316454.95</v>
      </c>
      <c r="G866">
        <v>0</v>
      </c>
      <c r="L866" t="s">
        <v>7</v>
      </c>
      <c r="M866" t="s">
        <v>7</v>
      </c>
      <c r="N866" t="s">
        <v>7</v>
      </c>
      <c r="P866">
        <f t="shared" si="1009"/>
        <v>0.14022988505747119</v>
      </c>
      <c r="Q866">
        <f t="shared" si="1010"/>
        <v>44376.441264367793</v>
      </c>
      <c r="R866">
        <f t="shared" si="1011"/>
        <v>-35424674.178967141</v>
      </c>
      <c r="S866">
        <f t="shared" si="1012"/>
        <v>-354.24674178967143</v>
      </c>
      <c r="T866">
        <f t="shared" si="1013"/>
        <v>-0.35424674178967142</v>
      </c>
    </row>
    <row r="867" spans="1:20" x14ac:dyDescent="0.25">
      <c r="A867" s="5">
        <v>43726</v>
      </c>
      <c r="B867">
        <v>0.443</v>
      </c>
      <c r="C867">
        <v>0.46949999999999997</v>
      </c>
      <c r="D867">
        <v>0.43530000000000002</v>
      </c>
      <c r="E867">
        <v>0.45090000000000002</v>
      </c>
      <c r="F867">
        <v>254519.18</v>
      </c>
      <c r="G867">
        <v>0</v>
      </c>
      <c r="L867" t="s">
        <v>7</v>
      </c>
      <c r="M867" t="s">
        <v>7</v>
      </c>
      <c r="N867" t="s">
        <v>7</v>
      </c>
      <c r="P867">
        <f t="shared" si="1009"/>
        <v>-8.7719298245612615E-2</v>
      </c>
      <c r="Q867">
        <f t="shared" si="1010"/>
        <v>-22326.243859648759</v>
      </c>
      <c r="R867">
        <f t="shared" si="1011"/>
        <v>-35469050.620231509</v>
      </c>
      <c r="S867">
        <f t="shared" si="1012"/>
        <v>-354.69050620231508</v>
      </c>
      <c r="T867">
        <f t="shared" si="1013"/>
        <v>-0.35469050620231507</v>
      </c>
    </row>
    <row r="868" spans="1:20" x14ac:dyDescent="0.25">
      <c r="A868" s="5">
        <v>43725</v>
      </c>
      <c r="B868">
        <v>0.42180000000000001</v>
      </c>
      <c r="C868">
        <v>0.48</v>
      </c>
      <c r="D868">
        <v>0.41699999999999998</v>
      </c>
      <c r="E868">
        <v>0.44259999999999999</v>
      </c>
      <c r="F868">
        <v>366396.61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-0.18730158730158694</v>
      </c>
      <c r="Q868">
        <f t="shared" si="1010"/>
        <v>-68626.666634920504</v>
      </c>
      <c r="R868">
        <f t="shared" si="1011"/>
        <v>-35446724.376371861</v>
      </c>
      <c r="S868">
        <f t="shared" si="1012"/>
        <v>-354.46724376371861</v>
      </c>
      <c r="T868">
        <f t="shared" si="1013"/>
        <v>-0.35446724376371863</v>
      </c>
    </row>
    <row r="869" spans="1:20" x14ac:dyDescent="0.25">
      <c r="A869" s="5">
        <v>43724</v>
      </c>
      <c r="B869">
        <v>0.41670000000000001</v>
      </c>
      <c r="C869">
        <v>0.42809999999999998</v>
      </c>
      <c r="D869">
        <v>0.40510000000000002</v>
      </c>
      <c r="E869">
        <v>0.42180000000000001</v>
      </c>
      <c r="F869">
        <v>87338.41</v>
      </c>
      <c r="G869">
        <v>0</v>
      </c>
      <c r="L869" t="s">
        <v>8</v>
      </c>
      <c r="M869" t="s">
        <v>7</v>
      </c>
      <c r="N869" t="s">
        <v>7</v>
      </c>
      <c r="P869">
        <f t="shared" si="1009"/>
        <v>0.45217391304347981</v>
      </c>
      <c r="Q869">
        <f t="shared" si="1010"/>
        <v>39492.150608695789</v>
      </c>
      <c r="R869">
        <f t="shared" si="1011"/>
        <v>-35378097.709736943</v>
      </c>
      <c r="S869">
        <f t="shared" si="1012"/>
        <v>-353.78097709736943</v>
      </c>
      <c r="T869">
        <f t="shared" si="1013"/>
        <v>-0.35378097709736944</v>
      </c>
    </row>
    <row r="870" spans="1:20" x14ac:dyDescent="0.25">
      <c r="A870" s="5">
        <v>43723</v>
      </c>
      <c r="B870">
        <v>0.41149999999999998</v>
      </c>
      <c r="C870">
        <v>0.42580000000000001</v>
      </c>
      <c r="D870">
        <v>0.40889999999999999</v>
      </c>
      <c r="E870">
        <v>0.41670000000000001</v>
      </c>
      <c r="F870">
        <v>40443.31</v>
      </c>
      <c r="G870">
        <v>0</v>
      </c>
      <c r="L870" t="s">
        <v>8</v>
      </c>
      <c r="M870" t="s">
        <v>7</v>
      </c>
      <c r="N870" t="s">
        <v>7</v>
      </c>
      <c r="P870">
        <f t="shared" si="1009"/>
        <v>-7.6923076923074901E-2</v>
      </c>
      <c r="Q870">
        <f t="shared" si="1010"/>
        <v>-3111.0238461537642</v>
      </c>
      <c r="R870">
        <f t="shared" si="1011"/>
        <v>-35417589.860345639</v>
      </c>
      <c r="S870">
        <f t="shared" si="1012"/>
        <v>-354.1758986034564</v>
      </c>
      <c r="T870">
        <f t="shared" si="1013"/>
        <v>-0.35417589860345638</v>
      </c>
    </row>
    <row r="871" spans="1:20" x14ac:dyDescent="0.25">
      <c r="A871" s="5">
        <v>43722</v>
      </c>
      <c r="B871">
        <v>0.42059999999999997</v>
      </c>
      <c r="C871">
        <v>0.42720000000000002</v>
      </c>
      <c r="D871">
        <v>0.40620000000000001</v>
      </c>
      <c r="E871">
        <v>0.4078</v>
      </c>
      <c r="F871">
        <v>116657.84</v>
      </c>
      <c r="G871">
        <v>0</v>
      </c>
      <c r="L871" t="s">
        <v>8</v>
      </c>
      <c r="M871" t="s">
        <v>7</v>
      </c>
      <c r="N871" t="s">
        <v>7</v>
      </c>
      <c r="P871">
        <f t="shared" si="1009"/>
        <v>-0.84761904761904872</v>
      </c>
      <c r="Q871">
        <f t="shared" si="1010"/>
        <v>-98881.407238095358</v>
      </c>
      <c r="R871">
        <f t="shared" si="1011"/>
        <v>-35414478.836499482</v>
      </c>
      <c r="S871">
        <f t="shared" si="1012"/>
        <v>-354.14478836499484</v>
      </c>
      <c r="T871">
        <f t="shared" si="1013"/>
        <v>-0.35414478836499486</v>
      </c>
    </row>
    <row r="872" spans="1:20" x14ac:dyDescent="0.25">
      <c r="A872" s="5">
        <v>43721</v>
      </c>
      <c r="B872">
        <v>0.40550000000000003</v>
      </c>
      <c r="C872">
        <v>0.42</v>
      </c>
      <c r="D872">
        <v>0.40060000000000001</v>
      </c>
      <c r="E872">
        <v>0.41980000000000001</v>
      </c>
      <c r="F872">
        <v>107680.73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0.97938144329897137</v>
      </c>
      <c r="Q872">
        <f t="shared" si="1010"/>
        <v>105460.50876288684</v>
      </c>
      <c r="R872">
        <f t="shared" si="1011"/>
        <v>-35315597.429261386</v>
      </c>
      <c r="S872">
        <f t="shared" si="1012"/>
        <v>-353.15597429261385</v>
      </c>
      <c r="T872">
        <f t="shared" si="1013"/>
        <v>-0.35315597429261386</v>
      </c>
    </row>
    <row r="873" spans="1:20" x14ac:dyDescent="0.25">
      <c r="A873" s="5">
        <v>43720</v>
      </c>
      <c r="B873">
        <v>0.4133</v>
      </c>
      <c r="C873">
        <v>0.43130000000000002</v>
      </c>
      <c r="D873">
        <v>0.40250000000000002</v>
      </c>
      <c r="E873">
        <v>0.40450000000000003</v>
      </c>
      <c r="F873">
        <v>203687.38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-0.86111111111111094</v>
      </c>
      <c r="Q873">
        <f t="shared" si="1010"/>
        <v>-175397.46611111108</v>
      </c>
      <c r="R873">
        <f t="shared" si="1011"/>
        <v>-35421057.938024275</v>
      </c>
      <c r="S873">
        <f t="shared" si="1012"/>
        <v>-354.21057938024273</v>
      </c>
      <c r="T873">
        <f t="shared" si="1013"/>
        <v>-0.35421057938024275</v>
      </c>
    </row>
    <row r="874" spans="1:20" x14ac:dyDescent="0.25">
      <c r="A874" s="5">
        <v>43719</v>
      </c>
      <c r="B874">
        <v>0.42880000000000001</v>
      </c>
      <c r="C874">
        <v>0.43509999999999999</v>
      </c>
      <c r="D874">
        <v>0.40350000000000003</v>
      </c>
      <c r="E874">
        <v>0.41139999999999999</v>
      </c>
      <c r="F874">
        <v>231199.54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-0.50000000000000178</v>
      </c>
      <c r="Q874">
        <f t="shared" si="1010"/>
        <v>-115599.77000000041</v>
      </c>
      <c r="R874">
        <f t="shared" si="1011"/>
        <v>-35245660.471913166</v>
      </c>
      <c r="S874">
        <f t="shared" si="1012"/>
        <v>-352.45660471913169</v>
      </c>
      <c r="T874">
        <f t="shared" si="1013"/>
        <v>-0.35245660471913171</v>
      </c>
    </row>
    <row r="875" spans="1:20" x14ac:dyDescent="0.25">
      <c r="A875" s="5">
        <v>43718</v>
      </c>
      <c r="B875">
        <v>0.44290000000000002</v>
      </c>
      <c r="C875">
        <v>0.4516</v>
      </c>
      <c r="D875">
        <v>0.42820000000000003</v>
      </c>
      <c r="E875">
        <v>0.42870000000000003</v>
      </c>
      <c r="F875">
        <v>167471.64000000001</v>
      </c>
      <c r="G875">
        <v>0</v>
      </c>
      <c r="L875" t="s">
        <v>7</v>
      </c>
      <c r="M875" t="s">
        <v>7</v>
      </c>
      <c r="N875" t="s">
        <v>7</v>
      </c>
      <c r="P875">
        <f t="shared" si="1009"/>
        <v>-0.95726495726495719</v>
      </c>
      <c r="Q875">
        <f t="shared" si="1010"/>
        <v>-160314.73230769232</v>
      </c>
      <c r="R875">
        <f t="shared" si="1011"/>
        <v>-35130060.701913163</v>
      </c>
      <c r="S875">
        <f t="shared" si="1012"/>
        <v>-351.30060701913163</v>
      </c>
      <c r="T875">
        <f t="shared" si="1013"/>
        <v>-0.35130060701913163</v>
      </c>
    </row>
    <row r="876" spans="1:20" x14ac:dyDescent="0.25">
      <c r="A876" s="5">
        <v>43717</v>
      </c>
      <c r="B876">
        <v>0.42370000000000002</v>
      </c>
      <c r="C876">
        <v>0.47010000000000002</v>
      </c>
      <c r="D876">
        <v>0.42199999999999999</v>
      </c>
      <c r="E876">
        <v>0.44500000000000001</v>
      </c>
      <c r="F876">
        <v>622909.16</v>
      </c>
      <c r="G876">
        <v>0</v>
      </c>
      <c r="L876" t="s">
        <v>8</v>
      </c>
      <c r="M876" t="s">
        <v>7</v>
      </c>
      <c r="N876" t="s">
        <v>7</v>
      </c>
      <c r="P876">
        <f t="shared" si="1009"/>
        <v>-4.3659043659043439E-2</v>
      </c>
      <c r="Q876">
        <f t="shared" si="1010"/>
        <v>-27195.618212058078</v>
      </c>
      <c r="R876">
        <f t="shared" si="1011"/>
        <v>-34969745.969605468</v>
      </c>
      <c r="S876">
        <f t="shared" si="1012"/>
        <v>-349.69745969605469</v>
      </c>
      <c r="T876">
        <f t="shared" si="1013"/>
        <v>-0.3496974596960547</v>
      </c>
    </row>
    <row r="877" spans="1:20" x14ac:dyDescent="0.25">
      <c r="A877" s="5">
        <v>43716</v>
      </c>
      <c r="B877">
        <v>0.42230000000000001</v>
      </c>
      <c r="C877">
        <v>0.44440000000000002</v>
      </c>
      <c r="D877">
        <v>0.4173</v>
      </c>
      <c r="E877">
        <v>0.42799999999999999</v>
      </c>
      <c r="F877">
        <v>71091.94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-0.21033210332103452</v>
      </c>
      <c r="Q877">
        <f t="shared" si="1010"/>
        <v>-14952.917269372787</v>
      </c>
      <c r="R877">
        <f t="shared" si="1011"/>
        <v>-34942550.351393409</v>
      </c>
      <c r="S877">
        <f t="shared" si="1012"/>
        <v>-349.42550351393407</v>
      </c>
      <c r="T877">
        <f t="shared" si="1013"/>
        <v>-0.34942550351393409</v>
      </c>
    </row>
    <row r="878" spans="1:20" x14ac:dyDescent="0.25">
      <c r="A878" s="5">
        <v>43715</v>
      </c>
      <c r="B878">
        <v>0.40410000000000001</v>
      </c>
      <c r="C878">
        <v>0.42430000000000001</v>
      </c>
      <c r="D878">
        <v>0.40079999999999999</v>
      </c>
      <c r="E878">
        <v>0.42230000000000001</v>
      </c>
      <c r="F878">
        <v>66349.320000000007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0.82978723404255317</v>
      </c>
      <c r="Q878">
        <f t="shared" si="1010"/>
        <v>55055.818723404256</v>
      </c>
      <c r="R878">
        <f t="shared" si="1011"/>
        <v>-34927597.434124038</v>
      </c>
      <c r="S878">
        <f t="shared" si="1012"/>
        <v>-349.27597434124039</v>
      </c>
      <c r="T878">
        <f t="shared" si="1013"/>
        <v>-0.34927597434124036</v>
      </c>
    </row>
    <row r="879" spans="1:20" x14ac:dyDescent="0.25">
      <c r="A879" s="5">
        <v>43714</v>
      </c>
      <c r="B879">
        <v>0.43630000000000002</v>
      </c>
      <c r="C879">
        <v>0.44009999999999999</v>
      </c>
      <c r="D879">
        <v>0.40150000000000002</v>
      </c>
      <c r="E879">
        <v>0.40239999999999998</v>
      </c>
      <c r="F879">
        <v>193197.05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-0.95336787564767056</v>
      </c>
      <c r="Q879">
        <f t="shared" si="1010"/>
        <v>-184187.86113989679</v>
      </c>
      <c r="R879">
        <f t="shared" si="1011"/>
        <v>-34982653.252847441</v>
      </c>
      <c r="S879">
        <f t="shared" si="1012"/>
        <v>-349.82653252847439</v>
      </c>
      <c r="T879">
        <f t="shared" si="1013"/>
        <v>-0.3498265325284744</v>
      </c>
    </row>
    <row r="880" spans="1:20" x14ac:dyDescent="0.25">
      <c r="A880" s="5">
        <v>43713</v>
      </c>
      <c r="B880">
        <v>0.432</v>
      </c>
      <c r="C880">
        <v>0.45490000000000003</v>
      </c>
      <c r="D880">
        <v>0.42459999999999998</v>
      </c>
      <c r="E880">
        <v>0.43659999999999999</v>
      </c>
      <c r="F880">
        <v>163198.16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-0.20792079207920849</v>
      </c>
      <c r="Q880">
        <f t="shared" si="1010"/>
        <v>-33932.290693069401</v>
      </c>
      <c r="R880">
        <f t="shared" si="1011"/>
        <v>-34798465.391707547</v>
      </c>
      <c r="S880">
        <f t="shared" si="1012"/>
        <v>-347.98465391707549</v>
      </c>
      <c r="T880">
        <f t="shared" si="1013"/>
        <v>-0.3479846539170755</v>
      </c>
    </row>
    <row r="881" spans="1:20" x14ac:dyDescent="0.25">
      <c r="A881" s="5">
        <v>43712</v>
      </c>
      <c r="B881">
        <v>0.44440000000000002</v>
      </c>
      <c r="C881">
        <v>0.4466</v>
      </c>
      <c r="D881">
        <v>0.43</v>
      </c>
      <c r="E881">
        <v>0.432</v>
      </c>
      <c r="F881">
        <v>74768.37</v>
      </c>
      <c r="G881">
        <v>0</v>
      </c>
      <c r="L881" t="s">
        <v>7</v>
      </c>
      <c r="M881" t="s">
        <v>7</v>
      </c>
      <c r="N881" t="s">
        <v>7</v>
      </c>
      <c r="P881">
        <f t="shared" si="1009"/>
        <v>-0.75903614457831314</v>
      </c>
      <c r="Q881">
        <f t="shared" si="1010"/>
        <v>-56751.895301204808</v>
      </c>
      <c r="R881">
        <f t="shared" si="1011"/>
        <v>-34764533.10101448</v>
      </c>
      <c r="S881">
        <f t="shared" si="1012"/>
        <v>-347.64533101014479</v>
      </c>
      <c r="T881">
        <f t="shared" si="1013"/>
        <v>-0.34764533101014478</v>
      </c>
    </row>
    <row r="882" spans="1:20" x14ac:dyDescent="0.25">
      <c r="A882" s="5">
        <v>43711</v>
      </c>
      <c r="B882">
        <v>0.44069999999999998</v>
      </c>
      <c r="C882">
        <v>0.45479999999999998</v>
      </c>
      <c r="D882">
        <v>0.43</v>
      </c>
      <c r="E882">
        <v>0.442</v>
      </c>
      <c r="F882">
        <v>143980.03</v>
      </c>
      <c r="G882">
        <v>0</v>
      </c>
      <c r="L882" t="s">
        <v>7</v>
      </c>
      <c r="M882" t="s">
        <v>7</v>
      </c>
      <c r="N882" t="s">
        <v>7</v>
      </c>
      <c r="P882">
        <f t="shared" si="1009"/>
        <v>-3.2258064516127734E-2</v>
      </c>
      <c r="Q882">
        <f t="shared" si="1010"/>
        <v>-4644.5170967740069</v>
      </c>
      <c r="R882">
        <f t="shared" si="1011"/>
        <v>-34707781.205713272</v>
      </c>
      <c r="S882">
        <f t="shared" si="1012"/>
        <v>-347.07781205713275</v>
      </c>
      <c r="T882">
        <f t="shared" si="1013"/>
        <v>-0.34707781205713273</v>
      </c>
    </row>
    <row r="883" spans="1:20" x14ac:dyDescent="0.25">
      <c r="A883" s="5">
        <v>43710</v>
      </c>
      <c r="B883">
        <v>0.42509999999999998</v>
      </c>
      <c r="C883">
        <v>0.48</v>
      </c>
      <c r="D883">
        <v>0.42120000000000002</v>
      </c>
      <c r="E883">
        <v>0.44059999999999999</v>
      </c>
      <c r="F883">
        <v>321690.62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-0.3401360544217692</v>
      </c>
      <c r="Q883">
        <f t="shared" si="1010"/>
        <v>-109418.57823129267</v>
      </c>
      <c r="R883">
        <f t="shared" si="1011"/>
        <v>-34703136.688616499</v>
      </c>
      <c r="S883">
        <f t="shared" si="1012"/>
        <v>-347.03136688616502</v>
      </c>
      <c r="T883">
        <f t="shared" si="1013"/>
        <v>-0.34703136688616504</v>
      </c>
    </row>
    <row r="884" spans="1:20" x14ac:dyDescent="0.25">
      <c r="A884" s="5">
        <v>43709</v>
      </c>
      <c r="B884">
        <v>0.434</v>
      </c>
      <c r="C884">
        <v>0.4385</v>
      </c>
      <c r="D884">
        <v>0.42199999999999999</v>
      </c>
      <c r="E884">
        <v>0.4234</v>
      </c>
      <c r="F884">
        <v>100220.36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-0.83030303030302899</v>
      </c>
      <c r="Q884">
        <f t="shared" si="1010"/>
        <v>-83213.268606060476</v>
      </c>
      <c r="R884">
        <f t="shared" si="1011"/>
        <v>-34593718.110385209</v>
      </c>
      <c r="S884">
        <f t="shared" si="1012"/>
        <v>-345.93718110385208</v>
      </c>
      <c r="T884">
        <f t="shared" si="1013"/>
        <v>-0.34593718110385208</v>
      </c>
    </row>
    <row r="885" spans="1:20" x14ac:dyDescent="0.25">
      <c r="A885" s="5">
        <v>43708</v>
      </c>
      <c r="B885">
        <v>0.43240000000000001</v>
      </c>
      <c r="C885">
        <v>0.43959999999999999</v>
      </c>
      <c r="D885">
        <v>0.42820000000000003</v>
      </c>
      <c r="E885">
        <v>0.43419999999999997</v>
      </c>
      <c r="F885">
        <v>94505.81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5.2631578947362784E-2</v>
      </c>
      <c r="Q885">
        <f t="shared" si="1010"/>
        <v>4973.9899999994668</v>
      </c>
      <c r="R885">
        <f t="shared" si="1011"/>
        <v>-34510504.84177915</v>
      </c>
      <c r="S885">
        <f t="shared" si="1012"/>
        <v>-345.10504841779152</v>
      </c>
      <c r="T885">
        <f t="shared" si="1013"/>
        <v>-0.34510504841779155</v>
      </c>
    </row>
    <row r="886" spans="1:20" x14ac:dyDescent="0.25">
      <c r="A886" s="5">
        <v>43707</v>
      </c>
      <c r="B886">
        <v>0.43430000000000002</v>
      </c>
      <c r="C886">
        <v>0.44390000000000002</v>
      </c>
      <c r="D886">
        <v>0.42799999999999999</v>
      </c>
      <c r="E886">
        <v>0.43240000000000001</v>
      </c>
      <c r="F886">
        <v>106009.63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-0.44654088050314367</v>
      </c>
      <c r="Q886">
        <f t="shared" si="1010"/>
        <v>-47337.633522012475</v>
      </c>
      <c r="R886">
        <f t="shared" si="1011"/>
        <v>-34515478.831779152</v>
      </c>
      <c r="S886">
        <f t="shared" si="1012"/>
        <v>-345.15478831779154</v>
      </c>
      <c r="T886">
        <f t="shared" si="1013"/>
        <v>-0.34515478831779156</v>
      </c>
    </row>
    <row r="887" spans="1:20" x14ac:dyDescent="0.25">
      <c r="A887" s="5">
        <v>43706</v>
      </c>
      <c r="B887">
        <v>0.46089999999999998</v>
      </c>
      <c r="C887">
        <v>0.47449999999999998</v>
      </c>
      <c r="D887">
        <v>0.4229</v>
      </c>
      <c r="E887">
        <v>0.4375</v>
      </c>
      <c r="F887">
        <v>256529.18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-0.43410852713178266</v>
      </c>
      <c r="Q887">
        <f t="shared" si="1010"/>
        <v>-111361.50449612396</v>
      </c>
      <c r="R887">
        <f t="shared" si="1011"/>
        <v>-34468141.198257141</v>
      </c>
      <c r="S887">
        <f t="shared" si="1012"/>
        <v>-344.68141198257143</v>
      </c>
      <c r="T887">
        <f t="shared" si="1013"/>
        <v>-0.34468141198257141</v>
      </c>
    </row>
    <row r="888" spans="1:20" x14ac:dyDescent="0.25">
      <c r="A888" s="5">
        <v>43705</v>
      </c>
      <c r="B888">
        <v>0.49149999999999999</v>
      </c>
      <c r="C888">
        <v>0.53200000000000003</v>
      </c>
      <c r="D888">
        <v>0.4521</v>
      </c>
      <c r="E888">
        <v>0.4577</v>
      </c>
      <c r="F888">
        <v>427162.83</v>
      </c>
      <c r="G888">
        <v>0</v>
      </c>
      <c r="L888" t="s">
        <v>8</v>
      </c>
      <c r="M888" t="s">
        <v>8</v>
      </c>
      <c r="N888" t="s">
        <v>8</v>
      </c>
      <c r="P888">
        <f t="shared" si="1009"/>
        <v>-0.8598247809762205</v>
      </c>
      <c r="Q888">
        <f t="shared" si="1010"/>
        <v>-367285.1867459325</v>
      </c>
      <c r="R888">
        <f t="shared" si="1011"/>
        <v>-34356779.693761013</v>
      </c>
      <c r="S888">
        <f t="shared" si="1012"/>
        <v>-343.56779693761013</v>
      </c>
      <c r="T888">
        <f t="shared" si="1013"/>
        <v>-0.34356779693761014</v>
      </c>
    </row>
    <row r="889" spans="1:20" x14ac:dyDescent="0.25">
      <c r="A889" s="5">
        <v>43704</v>
      </c>
      <c r="B889">
        <v>0.4672</v>
      </c>
      <c r="C889">
        <v>0.502</v>
      </c>
      <c r="D889">
        <v>0.45090000000000002</v>
      </c>
      <c r="E889">
        <v>0.49149999999999999</v>
      </c>
      <c r="F889">
        <v>259028.67</v>
      </c>
      <c r="G889">
        <v>0</v>
      </c>
      <c r="L889" t="s">
        <v>7</v>
      </c>
      <c r="M889" t="s">
        <v>7</v>
      </c>
      <c r="N889" t="s">
        <v>8</v>
      </c>
      <c r="P889">
        <f t="shared" si="1009"/>
        <v>0.58904109589041043</v>
      </c>
      <c r="Q889">
        <f t="shared" si="1010"/>
        <v>152578.53164383548</v>
      </c>
      <c r="R889">
        <f t="shared" si="1011"/>
        <v>-33989494.507015079</v>
      </c>
      <c r="S889">
        <f t="shared" si="1012"/>
        <v>-339.89494507015081</v>
      </c>
      <c r="T889">
        <f t="shared" si="1013"/>
        <v>-0.33989494507015083</v>
      </c>
    </row>
    <row r="890" spans="1:20" x14ac:dyDescent="0.25">
      <c r="A890" s="5">
        <v>43703</v>
      </c>
      <c r="B890">
        <v>0.47360000000000002</v>
      </c>
      <c r="C890">
        <v>0.50790000000000002</v>
      </c>
      <c r="D890">
        <v>0.46700000000000003</v>
      </c>
      <c r="E890">
        <v>0.46879999999999999</v>
      </c>
      <c r="F890">
        <v>519616.32</v>
      </c>
      <c r="G890">
        <v>0</v>
      </c>
      <c r="L890" t="s">
        <v>7</v>
      </c>
      <c r="M890" t="s">
        <v>7</v>
      </c>
      <c r="N890" t="s">
        <v>8</v>
      </c>
      <c r="P890">
        <f t="shared" si="1009"/>
        <v>-0.91198044009780099</v>
      </c>
      <c r="Q890">
        <f t="shared" si="1010"/>
        <v>-473879.92019559979</v>
      </c>
      <c r="R890">
        <f t="shared" si="1011"/>
        <v>-34142073.038658917</v>
      </c>
      <c r="S890">
        <f t="shared" si="1012"/>
        <v>-341.42073038658918</v>
      </c>
      <c r="T890">
        <f t="shared" si="1013"/>
        <v>-0.34142073038658921</v>
      </c>
    </row>
    <row r="891" spans="1:20" x14ac:dyDescent="0.25">
      <c r="A891" s="5">
        <v>43702</v>
      </c>
      <c r="B891">
        <v>0.51939999999999997</v>
      </c>
      <c r="C891">
        <v>0.59179999999999999</v>
      </c>
      <c r="D891">
        <v>0.46100000000000002</v>
      </c>
      <c r="E891">
        <v>0.47589999999999999</v>
      </c>
      <c r="F891">
        <v>1543603.1</v>
      </c>
      <c r="G891">
        <v>0</v>
      </c>
      <c r="L891" t="s">
        <v>8</v>
      </c>
      <c r="M891" t="s">
        <v>8</v>
      </c>
      <c r="N891" t="s">
        <v>8</v>
      </c>
      <c r="P891">
        <f t="shared" si="1009"/>
        <v>-0.77217125382263041</v>
      </c>
      <c r="Q891">
        <f t="shared" si="1010"/>
        <v>-1191925.9411314991</v>
      </c>
      <c r="R891">
        <f t="shared" si="1011"/>
        <v>-33668193.118463315</v>
      </c>
      <c r="S891">
        <f t="shared" si="1012"/>
        <v>-336.68193118463313</v>
      </c>
      <c r="T891">
        <f t="shared" si="1013"/>
        <v>-0.33668193118463313</v>
      </c>
    </row>
    <row r="892" spans="1:20" x14ac:dyDescent="0.25">
      <c r="A892" s="5">
        <v>43701</v>
      </c>
      <c r="B892">
        <v>0.43559999999999999</v>
      </c>
      <c r="C892">
        <v>0.55079999999999996</v>
      </c>
      <c r="D892">
        <v>0.42899999999999999</v>
      </c>
      <c r="E892">
        <v>0.52290000000000003</v>
      </c>
      <c r="F892">
        <v>928152.91</v>
      </c>
      <c r="G892">
        <v>0</v>
      </c>
      <c r="L892" t="s">
        <v>8</v>
      </c>
      <c r="M892" t="s">
        <v>8</v>
      </c>
      <c r="N892" t="s">
        <v>8</v>
      </c>
      <c r="P892">
        <f t="shared" si="1009"/>
        <v>0.54187192118226712</v>
      </c>
      <c r="Q892">
        <f t="shared" si="1010"/>
        <v>502940.0004926119</v>
      </c>
      <c r="R892">
        <f t="shared" si="1011"/>
        <v>-32476267.177331813</v>
      </c>
      <c r="S892">
        <f t="shared" si="1012"/>
        <v>-324.76267177331812</v>
      </c>
      <c r="T892">
        <f t="shared" si="1013"/>
        <v>-0.32476267177331813</v>
      </c>
    </row>
    <row r="893" spans="1:20" x14ac:dyDescent="0.25">
      <c r="A893" s="5">
        <v>43700</v>
      </c>
      <c r="B893">
        <v>0.4375</v>
      </c>
      <c r="C893">
        <v>0.45939999999999998</v>
      </c>
      <c r="D893">
        <v>0.42149999999999999</v>
      </c>
      <c r="E893">
        <v>0.43509999999999999</v>
      </c>
      <c r="F893">
        <v>229069.37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-0.28232189973614752</v>
      </c>
      <c r="Q893">
        <f t="shared" si="1010"/>
        <v>-64671.299709762476</v>
      </c>
      <c r="R893">
        <f t="shared" si="1011"/>
        <v>-32979207.177824426</v>
      </c>
      <c r="S893">
        <f t="shared" si="1012"/>
        <v>-329.79207177824429</v>
      </c>
      <c r="T893">
        <f t="shared" si="1013"/>
        <v>-0.32979207177824427</v>
      </c>
    </row>
    <row r="894" spans="1:20" x14ac:dyDescent="0.25">
      <c r="A894" s="5">
        <v>43699</v>
      </c>
      <c r="B894">
        <v>0.43140000000000001</v>
      </c>
      <c r="C894">
        <v>0.44519999999999998</v>
      </c>
      <c r="D894">
        <v>0.41099999999999998</v>
      </c>
      <c r="E894">
        <v>0.4375</v>
      </c>
      <c r="F894">
        <v>138193.24</v>
      </c>
      <c r="G894">
        <v>0</v>
      </c>
      <c r="L894" t="s">
        <v>8</v>
      </c>
      <c r="M894" t="s">
        <v>7</v>
      </c>
      <c r="N894" t="s">
        <v>7</v>
      </c>
      <c r="P894">
        <f t="shared" si="1009"/>
        <v>0.54970760233918226</v>
      </c>
      <c r="Q894">
        <f t="shared" si="1010"/>
        <v>75965.874619883165</v>
      </c>
      <c r="R894">
        <f t="shared" si="1011"/>
        <v>-32914535.878114663</v>
      </c>
      <c r="S894">
        <f t="shared" si="1012"/>
        <v>-329.14535878114663</v>
      </c>
      <c r="T894">
        <f t="shared" si="1013"/>
        <v>-0.32914535878114665</v>
      </c>
    </row>
    <row r="895" spans="1:20" x14ac:dyDescent="0.25">
      <c r="A895" s="5">
        <v>43698</v>
      </c>
      <c r="B895">
        <v>0.4304</v>
      </c>
      <c r="C895">
        <v>0.433</v>
      </c>
      <c r="D895">
        <v>0.41049999999999998</v>
      </c>
      <c r="E895">
        <v>0.42809999999999998</v>
      </c>
      <c r="F895">
        <v>195444.9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0.56444444444444342</v>
      </c>
      <c r="Q895">
        <f t="shared" ref="Q895:Q958" si="1015">F895*P895</f>
        <v>110317.7879999998</v>
      </c>
      <c r="R895">
        <f t="shared" ref="R895:R958" si="1016">R896+Q895</f>
        <v>-32990501.752734546</v>
      </c>
      <c r="S895">
        <f t="shared" ref="S895:S958" si="1017">R895/100000</f>
        <v>-329.90501752734548</v>
      </c>
      <c r="T895">
        <f t="shared" ref="T895:T958" si="1018">S895/1000</f>
        <v>-0.32990501752734547</v>
      </c>
    </row>
    <row r="896" spans="1:20" x14ac:dyDescent="0.25">
      <c r="A896" s="5">
        <v>43697</v>
      </c>
      <c r="B896">
        <v>0.4521</v>
      </c>
      <c r="C896">
        <v>0.45219999999999999</v>
      </c>
      <c r="D896">
        <v>0.42499999999999999</v>
      </c>
      <c r="E896">
        <v>0.42809999999999998</v>
      </c>
      <c r="F896">
        <v>274612.90000000002</v>
      </c>
      <c r="G896">
        <v>0</v>
      </c>
      <c r="L896" t="s">
        <v>7</v>
      </c>
      <c r="M896" t="s">
        <v>8</v>
      </c>
      <c r="N896" t="s">
        <v>7</v>
      </c>
      <c r="P896">
        <f t="shared" si="1014"/>
        <v>-0.77205882352941235</v>
      </c>
      <c r="Q896">
        <f t="shared" si="1015"/>
        <v>-212017.31250000017</v>
      </c>
      <c r="R896">
        <f t="shared" si="1016"/>
        <v>-33100819.540734544</v>
      </c>
      <c r="S896">
        <f t="shared" si="1017"/>
        <v>-331.00819540734545</v>
      </c>
      <c r="T896">
        <f t="shared" si="1018"/>
        <v>-0.33100819540734544</v>
      </c>
    </row>
    <row r="897" spans="1:20" x14ac:dyDescent="0.25">
      <c r="A897" s="5">
        <v>43696</v>
      </c>
      <c r="B897">
        <v>0.44890000000000002</v>
      </c>
      <c r="C897">
        <v>0.45800000000000002</v>
      </c>
      <c r="D897">
        <v>0.44259999999999999</v>
      </c>
      <c r="E897">
        <v>0.45229999999999998</v>
      </c>
      <c r="F897">
        <v>342088.35</v>
      </c>
      <c r="G897">
        <v>0</v>
      </c>
      <c r="L897" t="s">
        <v>7</v>
      </c>
      <c r="M897" t="s">
        <v>8</v>
      </c>
      <c r="N897" t="s">
        <v>7</v>
      </c>
      <c r="P897">
        <f t="shared" si="1014"/>
        <v>0.25974025974025594</v>
      </c>
      <c r="Q897">
        <f t="shared" si="1015"/>
        <v>88854.116883115581</v>
      </c>
      <c r="R897">
        <f t="shared" si="1016"/>
        <v>-32888802.228234544</v>
      </c>
      <c r="S897">
        <f t="shared" si="1017"/>
        <v>-328.88802228234545</v>
      </c>
      <c r="T897">
        <f t="shared" si="1018"/>
        <v>-0.32888802228234543</v>
      </c>
    </row>
    <row r="898" spans="1:20" x14ac:dyDescent="0.25">
      <c r="A898" s="5">
        <v>43695</v>
      </c>
      <c r="B898">
        <v>0.46870000000000001</v>
      </c>
      <c r="C898">
        <v>0.48299999999999998</v>
      </c>
      <c r="D898">
        <v>0.44679999999999997</v>
      </c>
      <c r="E898">
        <v>0.44890000000000002</v>
      </c>
      <c r="F898">
        <v>611387.78</v>
      </c>
      <c r="G898">
        <v>0</v>
      </c>
      <c r="L898" t="s">
        <v>7</v>
      </c>
      <c r="M898" t="s">
        <v>8</v>
      </c>
      <c r="N898" t="s">
        <v>7</v>
      </c>
      <c r="P898">
        <f t="shared" si="1014"/>
        <v>-0.88397790055248371</v>
      </c>
      <c r="Q898">
        <f t="shared" si="1015"/>
        <v>-540453.28618784377</v>
      </c>
      <c r="R898">
        <f t="shared" si="1016"/>
        <v>-32977656.345117658</v>
      </c>
      <c r="S898">
        <f t="shared" si="1017"/>
        <v>-329.77656345117657</v>
      </c>
      <c r="T898">
        <f t="shared" si="1018"/>
        <v>-0.32977656345117656</v>
      </c>
    </row>
    <row r="899" spans="1:20" x14ac:dyDescent="0.25">
      <c r="A899" s="5">
        <v>43694</v>
      </c>
      <c r="B899">
        <v>0.42399999999999999</v>
      </c>
      <c r="C899">
        <v>0.49390000000000001</v>
      </c>
      <c r="D899">
        <v>0.41920000000000002</v>
      </c>
      <c r="E899">
        <v>0.46839999999999998</v>
      </c>
      <c r="F899">
        <v>810685.42</v>
      </c>
      <c r="G899">
        <v>0</v>
      </c>
      <c r="L899" t="s">
        <v>8</v>
      </c>
      <c r="M899" t="s">
        <v>8</v>
      </c>
      <c r="N899" t="s">
        <v>7</v>
      </c>
      <c r="P899">
        <f t="shared" si="1014"/>
        <v>0.31726907630522017</v>
      </c>
      <c r="Q899">
        <f t="shared" si="1015"/>
        <v>257205.41437750947</v>
      </c>
      <c r="R899">
        <f t="shared" si="1016"/>
        <v>-32437203.058929816</v>
      </c>
      <c r="S899">
        <f t="shared" si="1017"/>
        <v>-324.37203058929816</v>
      </c>
      <c r="T899">
        <f t="shared" si="1018"/>
        <v>-0.32437203058929814</v>
      </c>
    </row>
    <row r="900" spans="1:20" x14ac:dyDescent="0.25">
      <c r="A900" s="5">
        <v>43693</v>
      </c>
      <c r="B900">
        <v>0.40379999999999999</v>
      </c>
      <c r="C900">
        <v>0.45240000000000002</v>
      </c>
      <c r="D900">
        <v>0.3831</v>
      </c>
      <c r="E900">
        <v>0.42259999999999998</v>
      </c>
      <c r="F900">
        <v>730939.12</v>
      </c>
      <c r="G900">
        <v>0</v>
      </c>
      <c r="L900" t="s">
        <v>8</v>
      </c>
      <c r="M900" t="s">
        <v>8</v>
      </c>
      <c r="N900" t="s">
        <v>7</v>
      </c>
      <c r="P900">
        <f t="shared" si="1014"/>
        <v>0.13997113997113891</v>
      </c>
      <c r="Q900">
        <f t="shared" si="1015"/>
        <v>102310.3818759011</v>
      </c>
      <c r="R900">
        <f t="shared" si="1016"/>
        <v>-32694408.473307326</v>
      </c>
      <c r="S900">
        <f t="shared" si="1017"/>
        <v>-326.94408473307328</v>
      </c>
      <c r="T900">
        <f t="shared" si="1018"/>
        <v>-0.32694408473307329</v>
      </c>
    </row>
    <row r="901" spans="1:20" x14ac:dyDescent="0.25">
      <c r="A901" s="5">
        <v>43692</v>
      </c>
      <c r="B901">
        <v>0.3826</v>
      </c>
      <c r="C901">
        <v>0.42930000000000001</v>
      </c>
      <c r="D901">
        <v>0.375</v>
      </c>
      <c r="E901">
        <v>0.4007</v>
      </c>
      <c r="F901">
        <v>150431.66</v>
      </c>
      <c r="G901">
        <v>0</v>
      </c>
      <c r="L901" t="s">
        <v>8</v>
      </c>
      <c r="M901" t="s">
        <v>7</v>
      </c>
      <c r="N901" t="s">
        <v>7</v>
      </c>
      <c r="P901">
        <f t="shared" si="1014"/>
        <v>-5.3406998158379612E-2</v>
      </c>
      <c r="Q901">
        <f t="shared" si="1015"/>
        <v>-8034.1033885819879</v>
      </c>
      <c r="R901">
        <f t="shared" si="1016"/>
        <v>-32796718.855183229</v>
      </c>
      <c r="S901">
        <f t="shared" si="1017"/>
        <v>-327.96718855183229</v>
      </c>
      <c r="T901">
        <f t="shared" si="1018"/>
        <v>-0.32796718855183227</v>
      </c>
    </row>
    <row r="902" spans="1:20" x14ac:dyDescent="0.25">
      <c r="A902" s="5">
        <v>43691</v>
      </c>
      <c r="B902">
        <v>0.42149999999999999</v>
      </c>
      <c r="C902">
        <v>0.42199999999999999</v>
      </c>
      <c r="D902">
        <v>0.37319999999999998</v>
      </c>
      <c r="E902">
        <v>0.3775</v>
      </c>
      <c r="F902">
        <v>275263.58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-0.82377049180327766</v>
      </c>
      <c r="Q902">
        <f t="shared" si="1015"/>
        <v>-226754.01467213087</v>
      </c>
      <c r="R902">
        <f t="shared" si="1016"/>
        <v>-32788684.751794647</v>
      </c>
      <c r="S902">
        <f t="shared" si="1017"/>
        <v>-327.88684751794648</v>
      </c>
      <c r="T902">
        <f t="shared" si="1018"/>
        <v>-0.3278868475179465</v>
      </c>
    </row>
    <row r="903" spans="1:20" x14ac:dyDescent="0.25">
      <c r="A903" s="5">
        <v>43690</v>
      </c>
      <c r="B903">
        <v>0.437</v>
      </c>
      <c r="C903">
        <v>0.437</v>
      </c>
      <c r="D903">
        <v>0.41310000000000002</v>
      </c>
      <c r="E903">
        <v>0.42109999999999997</v>
      </c>
      <c r="F903">
        <v>180149</v>
      </c>
      <c r="G903">
        <v>0</v>
      </c>
      <c r="L903" t="s">
        <v>7</v>
      </c>
      <c r="M903" t="s">
        <v>7</v>
      </c>
      <c r="N903" t="s">
        <v>7</v>
      </c>
      <c r="P903">
        <f t="shared" si="1014"/>
        <v>-0.33054393305439672</v>
      </c>
      <c r="Q903">
        <f t="shared" si="1015"/>
        <v>-59547.158995816513</v>
      </c>
      <c r="R903">
        <f t="shared" si="1016"/>
        <v>-32561930.737122517</v>
      </c>
      <c r="S903">
        <f t="shared" si="1017"/>
        <v>-325.61930737122515</v>
      </c>
      <c r="T903">
        <f t="shared" si="1018"/>
        <v>-0.32561930737122513</v>
      </c>
    </row>
    <row r="904" spans="1:20" x14ac:dyDescent="0.25">
      <c r="A904" s="5">
        <v>43689</v>
      </c>
      <c r="B904">
        <v>0.44190000000000002</v>
      </c>
      <c r="C904">
        <v>0.4446</v>
      </c>
      <c r="D904">
        <v>0.43230000000000002</v>
      </c>
      <c r="E904">
        <v>0.43740000000000001</v>
      </c>
      <c r="F904">
        <v>173116</v>
      </c>
      <c r="G904">
        <v>0</v>
      </c>
      <c r="L904" t="s">
        <v>8</v>
      </c>
      <c r="M904" t="s">
        <v>7</v>
      </c>
      <c r="N904" t="s">
        <v>7</v>
      </c>
      <c r="P904">
        <f t="shared" si="1014"/>
        <v>-0.17073170731707274</v>
      </c>
      <c r="Q904">
        <f t="shared" si="1015"/>
        <v>-29556.390243902366</v>
      </c>
      <c r="R904">
        <f t="shared" si="1016"/>
        <v>-32502383.578126699</v>
      </c>
      <c r="S904">
        <f t="shared" si="1017"/>
        <v>-325.023835781267</v>
      </c>
      <c r="T904">
        <f t="shared" si="1018"/>
        <v>-0.32502383578126698</v>
      </c>
    </row>
    <row r="905" spans="1:20" x14ac:dyDescent="0.25">
      <c r="A905" s="5">
        <v>43688</v>
      </c>
      <c r="B905">
        <v>0.42970000000000003</v>
      </c>
      <c r="C905">
        <v>0.44779999999999998</v>
      </c>
      <c r="D905">
        <v>0.42799999999999999</v>
      </c>
      <c r="E905">
        <v>0.44180000000000003</v>
      </c>
      <c r="F905">
        <v>313613.94</v>
      </c>
      <c r="G905">
        <v>0</v>
      </c>
      <c r="L905" t="s">
        <v>8</v>
      </c>
      <c r="M905" t="s">
        <v>7</v>
      </c>
      <c r="N905" t="s">
        <v>7</v>
      </c>
      <c r="P905">
        <f t="shared" si="1014"/>
        <v>0.39393939393939853</v>
      </c>
      <c r="Q905">
        <f t="shared" si="1015"/>
        <v>123544.88545454689</v>
      </c>
      <c r="R905">
        <f t="shared" si="1016"/>
        <v>-32472827.187882796</v>
      </c>
      <c r="S905">
        <f t="shared" si="1017"/>
        <v>-324.72827187882797</v>
      </c>
      <c r="T905">
        <f t="shared" si="1018"/>
        <v>-0.32472827187882797</v>
      </c>
    </row>
    <row r="906" spans="1:20" x14ac:dyDescent="0.25">
      <c r="A906" s="5">
        <v>43687</v>
      </c>
      <c r="B906">
        <v>0.4274</v>
      </c>
      <c r="C906">
        <v>0.44209999999999999</v>
      </c>
      <c r="D906">
        <v>0.41499999999999998</v>
      </c>
      <c r="E906">
        <v>0.43080000000000002</v>
      </c>
      <c r="F906">
        <v>286158.92</v>
      </c>
      <c r="G906">
        <v>0</v>
      </c>
      <c r="L906" t="s">
        <v>7</v>
      </c>
      <c r="M906" t="s">
        <v>7</v>
      </c>
      <c r="N906" t="s">
        <v>7</v>
      </c>
      <c r="P906">
        <f t="shared" si="1014"/>
        <v>0.16605166051660727</v>
      </c>
      <c r="Q906">
        <f t="shared" si="1015"/>
        <v>47517.163837638975</v>
      </c>
      <c r="R906">
        <f t="shared" si="1016"/>
        <v>-32596372.073337343</v>
      </c>
      <c r="S906">
        <f t="shared" si="1017"/>
        <v>-325.96372073337341</v>
      </c>
      <c r="T906">
        <f t="shared" si="1018"/>
        <v>-0.32596372073337343</v>
      </c>
    </row>
    <row r="907" spans="1:20" x14ac:dyDescent="0.25">
      <c r="A907" s="5">
        <v>43686</v>
      </c>
      <c r="B907">
        <v>0.47020000000000001</v>
      </c>
      <c r="C907">
        <v>0.47149999999999997</v>
      </c>
      <c r="D907">
        <v>0.42049999999999998</v>
      </c>
      <c r="E907">
        <v>0.4264</v>
      </c>
      <c r="F907">
        <v>456394.74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-0.76862745098039142</v>
      </c>
      <c r="Q907">
        <f t="shared" si="1015"/>
        <v>-350797.5256470585</v>
      </c>
      <c r="R907">
        <f t="shared" si="1016"/>
        <v>-32643889.23717498</v>
      </c>
      <c r="S907">
        <f t="shared" si="1017"/>
        <v>-326.43889237174983</v>
      </c>
      <c r="T907">
        <f t="shared" si="1018"/>
        <v>-0.32643889237174983</v>
      </c>
    </row>
    <row r="908" spans="1:20" x14ac:dyDescent="0.25">
      <c r="A908" s="5">
        <v>43685</v>
      </c>
      <c r="B908">
        <v>0.502</v>
      </c>
      <c r="C908">
        <v>0.50309999999999999</v>
      </c>
      <c r="D908">
        <v>0.45889999999999997</v>
      </c>
      <c r="E908">
        <v>0.47020000000000001</v>
      </c>
      <c r="F908">
        <v>381715.91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-0.48868778280542863</v>
      </c>
      <c r="Q908">
        <f t="shared" si="1015"/>
        <v>-186539.90171945654</v>
      </c>
      <c r="R908">
        <f t="shared" si="1016"/>
        <v>-32293091.711527921</v>
      </c>
      <c r="S908">
        <f t="shared" si="1017"/>
        <v>-322.93091711527921</v>
      </c>
      <c r="T908">
        <f t="shared" si="1018"/>
        <v>-0.32293091711527921</v>
      </c>
    </row>
    <row r="909" spans="1:20" x14ac:dyDescent="0.25">
      <c r="A909" s="5">
        <v>43684</v>
      </c>
      <c r="B909">
        <v>0.50039999999999996</v>
      </c>
      <c r="C909">
        <v>0.51429999999999998</v>
      </c>
      <c r="D909">
        <v>0.49209999999999998</v>
      </c>
      <c r="E909">
        <v>0.50170000000000003</v>
      </c>
      <c r="F909">
        <v>339462.13</v>
      </c>
      <c r="G909">
        <v>0</v>
      </c>
      <c r="L909" t="s">
        <v>7</v>
      </c>
      <c r="M909" t="s">
        <v>7</v>
      </c>
      <c r="N909" t="s">
        <v>7</v>
      </c>
      <c r="P909">
        <f t="shared" si="1014"/>
        <v>-0.13513513513513026</v>
      </c>
      <c r="Q909">
        <f t="shared" si="1015"/>
        <v>-45873.260810809159</v>
      </c>
      <c r="R909">
        <f t="shared" si="1016"/>
        <v>-32106551.809808467</v>
      </c>
      <c r="S909">
        <f t="shared" si="1017"/>
        <v>-321.06551809808468</v>
      </c>
      <c r="T909">
        <f t="shared" si="1018"/>
        <v>-0.3210655180980847</v>
      </c>
    </row>
    <row r="910" spans="1:20" x14ac:dyDescent="0.25">
      <c r="A910" s="5">
        <v>43683</v>
      </c>
      <c r="B910">
        <v>0.52910000000000001</v>
      </c>
      <c r="C910">
        <v>0.53100000000000003</v>
      </c>
      <c r="D910">
        <v>0.49370000000000003</v>
      </c>
      <c r="E910">
        <v>0.49990000000000001</v>
      </c>
      <c r="F910">
        <v>377402.01</v>
      </c>
      <c r="G910">
        <v>0</v>
      </c>
      <c r="L910" t="s">
        <v>7</v>
      </c>
      <c r="M910" t="s">
        <v>7</v>
      </c>
      <c r="N910" t="s">
        <v>7</v>
      </c>
      <c r="P910">
        <f t="shared" si="1014"/>
        <v>-0.66756032171581858</v>
      </c>
      <c r="Q910">
        <f t="shared" si="1015"/>
        <v>-251938.6072117966</v>
      </c>
      <c r="R910">
        <f t="shared" si="1016"/>
        <v>-32060678.548997659</v>
      </c>
      <c r="S910">
        <f t="shared" si="1017"/>
        <v>-320.60678548997657</v>
      </c>
      <c r="T910">
        <f t="shared" si="1018"/>
        <v>-0.32060678548997656</v>
      </c>
    </row>
    <row r="911" spans="1:20" x14ac:dyDescent="0.25">
      <c r="A911" s="5">
        <v>43682</v>
      </c>
      <c r="B911">
        <v>0.55189999999999995</v>
      </c>
      <c r="C911">
        <v>0.55979999999999996</v>
      </c>
      <c r="D911">
        <v>0.52869999999999995</v>
      </c>
      <c r="E911">
        <v>0.5292</v>
      </c>
      <c r="F911">
        <v>419482.55</v>
      </c>
      <c r="G911">
        <v>0</v>
      </c>
      <c r="L911" t="s">
        <v>7</v>
      </c>
      <c r="M911" t="s">
        <v>7</v>
      </c>
      <c r="N911" t="s">
        <v>7</v>
      </c>
      <c r="P911">
        <f t="shared" si="1014"/>
        <v>-0.96784565916398357</v>
      </c>
      <c r="Q911">
        <f t="shared" si="1015"/>
        <v>-405994.36511253868</v>
      </c>
      <c r="R911">
        <f t="shared" si="1016"/>
        <v>-31808739.941785861</v>
      </c>
      <c r="S911">
        <f t="shared" si="1017"/>
        <v>-318.08739941785859</v>
      </c>
      <c r="T911">
        <f t="shared" si="1018"/>
        <v>-0.31808739941785857</v>
      </c>
    </row>
    <row r="912" spans="1:20" x14ac:dyDescent="0.25">
      <c r="A912" s="5">
        <v>43681</v>
      </c>
      <c r="B912">
        <v>0.51300000000000001</v>
      </c>
      <c r="C912">
        <v>0.58189999999999997</v>
      </c>
      <c r="D912">
        <v>0.5111</v>
      </c>
      <c r="E912">
        <v>0.55010000000000003</v>
      </c>
      <c r="F912">
        <v>789856.1</v>
      </c>
      <c r="G912">
        <v>0</v>
      </c>
      <c r="L912" t="s">
        <v>8</v>
      </c>
      <c r="M912" t="s">
        <v>7</v>
      </c>
      <c r="N912" t="s">
        <v>7</v>
      </c>
      <c r="P912">
        <f t="shared" si="1014"/>
        <v>0.10169491525423867</v>
      </c>
      <c r="Q912">
        <f t="shared" si="1015"/>
        <v>80324.349152543466</v>
      </c>
      <c r="R912">
        <f t="shared" si="1016"/>
        <v>-31402745.576673321</v>
      </c>
      <c r="S912">
        <f t="shared" si="1017"/>
        <v>-314.02745576673323</v>
      </c>
      <c r="T912">
        <f t="shared" si="1018"/>
        <v>-0.31402745576673324</v>
      </c>
    </row>
    <row r="913" spans="1:20" x14ac:dyDescent="0.25">
      <c r="A913" s="5">
        <v>43680</v>
      </c>
      <c r="B913">
        <v>0.50839999999999996</v>
      </c>
      <c r="C913">
        <v>0.52170000000000005</v>
      </c>
      <c r="D913">
        <v>0.50690000000000002</v>
      </c>
      <c r="E913">
        <v>0.51160000000000005</v>
      </c>
      <c r="F913">
        <v>144528.95999999999</v>
      </c>
      <c r="G913">
        <v>0</v>
      </c>
      <c r="L913" t="s">
        <v>8</v>
      </c>
      <c r="M913" t="s">
        <v>7</v>
      </c>
      <c r="N913" t="s">
        <v>7</v>
      </c>
      <c r="P913">
        <f t="shared" si="1014"/>
        <v>-0.3648648648648613</v>
      </c>
      <c r="Q913">
        <f t="shared" si="1015"/>
        <v>-52733.539459458945</v>
      </c>
      <c r="R913">
        <f t="shared" si="1016"/>
        <v>-31483069.925825864</v>
      </c>
      <c r="S913">
        <f t="shared" si="1017"/>
        <v>-314.83069925825862</v>
      </c>
      <c r="T913">
        <f t="shared" si="1018"/>
        <v>-0.31483069925825863</v>
      </c>
    </row>
    <row r="914" spans="1:20" x14ac:dyDescent="0.25">
      <c r="A914" s="5">
        <v>43679</v>
      </c>
      <c r="B914">
        <v>0.5</v>
      </c>
      <c r="C914">
        <v>0.52339999999999998</v>
      </c>
      <c r="D914">
        <v>0.49530000000000002</v>
      </c>
      <c r="E914">
        <v>0.50929999999999997</v>
      </c>
      <c r="F914">
        <v>204003.7</v>
      </c>
      <c r="G914">
        <v>0</v>
      </c>
      <c r="L914" t="s">
        <v>8</v>
      </c>
      <c r="M914" t="s">
        <v>7</v>
      </c>
      <c r="N914" t="s">
        <v>7</v>
      </c>
      <c r="P914">
        <f t="shared" si="1014"/>
        <v>-3.5587188612115532E-3</v>
      </c>
      <c r="Q914">
        <f t="shared" si="1015"/>
        <v>-725.99181494694335</v>
      </c>
      <c r="R914">
        <f t="shared" si="1016"/>
        <v>-31430336.386366405</v>
      </c>
      <c r="S914">
        <f t="shared" si="1017"/>
        <v>-314.30336386366406</v>
      </c>
      <c r="T914">
        <f t="shared" si="1018"/>
        <v>-0.31430336386366409</v>
      </c>
    </row>
    <row r="915" spans="1:20" x14ac:dyDescent="0.25">
      <c r="A915" s="5">
        <v>43678</v>
      </c>
      <c r="B915">
        <v>0.52980000000000005</v>
      </c>
      <c r="C915">
        <v>0.53300000000000003</v>
      </c>
      <c r="D915">
        <v>0.48380000000000001</v>
      </c>
      <c r="E915">
        <v>0.49790000000000001</v>
      </c>
      <c r="F915">
        <v>313722.48</v>
      </c>
      <c r="G915">
        <v>0</v>
      </c>
      <c r="L915" t="s">
        <v>7</v>
      </c>
      <c r="M915" t="s">
        <v>7</v>
      </c>
      <c r="N915" t="s">
        <v>7</v>
      </c>
      <c r="P915">
        <f t="shared" si="1014"/>
        <v>-0.42682926829268314</v>
      </c>
      <c r="Q915">
        <f t="shared" si="1015"/>
        <v>-133905.93658536591</v>
      </c>
      <c r="R915">
        <f t="shared" si="1016"/>
        <v>-31429610.394551456</v>
      </c>
      <c r="S915">
        <f t="shared" si="1017"/>
        <v>-314.29610394551457</v>
      </c>
      <c r="T915">
        <f t="shared" si="1018"/>
        <v>-0.31429610394551455</v>
      </c>
    </row>
    <row r="916" spans="1:20" x14ac:dyDescent="0.25">
      <c r="A916" s="5">
        <v>43677</v>
      </c>
      <c r="B916">
        <v>0.51990000000000003</v>
      </c>
      <c r="C916">
        <v>0.53339999999999999</v>
      </c>
      <c r="D916">
        <v>0.51239999999999997</v>
      </c>
      <c r="E916">
        <v>0.53069999999999995</v>
      </c>
      <c r="F916">
        <v>144339.13</v>
      </c>
      <c r="G916">
        <v>0</v>
      </c>
      <c r="L916" t="s">
        <v>7</v>
      </c>
      <c r="M916" t="s">
        <v>7</v>
      </c>
      <c r="N916" t="s">
        <v>7</v>
      </c>
      <c r="P916">
        <f t="shared" si="1014"/>
        <v>0.74285714285713966</v>
      </c>
      <c r="Q916">
        <f t="shared" si="1015"/>
        <v>107223.35371428526</v>
      </c>
      <c r="R916">
        <f t="shared" si="1016"/>
        <v>-31295704.457966089</v>
      </c>
      <c r="S916">
        <f t="shared" si="1017"/>
        <v>-312.95704457966087</v>
      </c>
      <c r="T916">
        <f t="shared" si="1018"/>
        <v>-0.31295704457966089</v>
      </c>
    </row>
    <row r="917" spans="1:20" x14ac:dyDescent="0.25">
      <c r="A917" s="5">
        <v>43676</v>
      </c>
      <c r="B917">
        <v>0.52549999999999997</v>
      </c>
      <c r="C917">
        <v>0.53610000000000002</v>
      </c>
      <c r="D917">
        <v>0.50590000000000002</v>
      </c>
      <c r="E917">
        <v>0.52049999999999996</v>
      </c>
      <c r="F917">
        <v>153334.10999999999</v>
      </c>
      <c r="G917">
        <v>0</v>
      </c>
      <c r="L917" t="s">
        <v>7</v>
      </c>
      <c r="M917" t="s">
        <v>7</v>
      </c>
      <c r="N917" t="s">
        <v>7</v>
      </c>
      <c r="P917">
        <f t="shared" si="1014"/>
        <v>-3.3112582781460655E-2</v>
      </c>
      <c r="Q917">
        <f t="shared" si="1015"/>
        <v>-5077.2884105965932</v>
      </c>
      <c r="R917">
        <f t="shared" si="1016"/>
        <v>-31402927.811680373</v>
      </c>
      <c r="S917">
        <f t="shared" si="1017"/>
        <v>-314.02927811680371</v>
      </c>
      <c r="T917">
        <f t="shared" si="1018"/>
        <v>-0.3140292781168037</v>
      </c>
    </row>
    <row r="918" spans="1:20" x14ac:dyDescent="0.25">
      <c r="A918" s="5">
        <v>43675</v>
      </c>
      <c r="B918">
        <v>0.53459999999999996</v>
      </c>
      <c r="C918">
        <v>0.54420000000000002</v>
      </c>
      <c r="D918">
        <v>0.51770000000000005</v>
      </c>
      <c r="E918">
        <v>0.52559999999999996</v>
      </c>
      <c r="F918">
        <v>130664.73</v>
      </c>
      <c r="G918">
        <v>0</v>
      </c>
      <c r="L918" t="s">
        <v>8</v>
      </c>
      <c r="M918" t="s">
        <v>7</v>
      </c>
      <c r="N918" t="s">
        <v>7</v>
      </c>
      <c r="P918">
        <f t="shared" si="1014"/>
        <v>-0.40377358490566667</v>
      </c>
      <c r="Q918">
        <f t="shared" si="1015"/>
        <v>-52758.96645283101</v>
      </c>
      <c r="R918">
        <f t="shared" si="1016"/>
        <v>-31397850.523269776</v>
      </c>
      <c r="S918">
        <f t="shared" si="1017"/>
        <v>-313.97850523269778</v>
      </c>
      <c r="T918">
        <f t="shared" si="1018"/>
        <v>-0.31397850523269777</v>
      </c>
    </row>
    <row r="919" spans="1:20" x14ac:dyDescent="0.25">
      <c r="A919" s="5">
        <v>43674</v>
      </c>
      <c r="B919">
        <v>0.53410000000000002</v>
      </c>
      <c r="C919">
        <v>0.54700000000000004</v>
      </c>
      <c r="D919">
        <v>0.50539999999999996</v>
      </c>
      <c r="E919">
        <v>0.53320000000000001</v>
      </c>
      <c r="F919">
        <v>211036.84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0.33653846153846118</v>
      </c>
      <c r="Q919">
        <f t="shared" si="1015"/>
        <v>71022.013461538387</v>
      </c>
      <c r="R919">
        <f t="shared" si="1016"/>
        <v>-31345091.556816947</v>
      </c>
      <c r="S919">
        <f t="shared" si="1017"/>
        <v>-313.45091556816948</v>
      </c>
      <c r="T919">
        <f t="shared" si="1018"/>
        <v>-0.31345091556816945</v>
      </c>
    </row>
    <row r="920" spans="1:20" x14ac:dyDescent="0.25">
      <c r="A920" s="5">
        <v>43673</v>
      </c>
      <c r="B920">
        <v>0.57550000000000001</v>
      </c>
      <c r="C920">
        <v>0.58199999999999996</v>
      </c>
      <c r="D920">
        <v>0.52249999999999996</v>
      </c>
      <c r="E920">
        <v>0.53459999999999996</v>
      </c>
      <c r="F920">
        <v>268894.33</v>
      </c>
      <c r="G920">
        <v>0</v>
      </c>
      <c r="L920" t="s">
        <v>7</v>
      </c>
      <c r="M920" t="s">
        <v>7</v>
      </c>
      <c r="N920" t="s">
        <v>7</v>
      </c>
      <c r="P920">
        <f t="shared" si="1014"/>
        <v>-0.59327731092436975</v>
      </c>
      <c r="Q920">
        <f t="shared" si="1015"/>
        <v>-159528.90502521009</v>
      </c>
      <c r="R920">
        <f t="shared" si="1016"/>
        <v>-31416113.570278484</v>
      </c>
      <c r="S920">
        <f t="shared" si="1017"/>
        <v>-314.16113570278486</v>
      </c>
      <c r="T920">
        <f t="shared" si="1018"/>
        <v>-0.31416113570278487</v>
      </c>
    </row>
    <row r="921" spans="1:20" x14ac:dyDescent="0.25">
      <c r="A921" s="5">
        <v>43672</v>
      </c>
      <c r="B921">
        <v>0.56040000000000001</v>
      </c>
      <c r="C921">
        <v>0.58860000000000001</v>
      </c>
      <c r="D921">
        <v>0.55059999999999998</v>
      </c>
      <c r="E921">
        <v>0.57630000000000003</v>
      </c>
      <c r="F921">
        <v>512609.86</v>
      </c>
      <c r="G921">
        <v>0</v>
      </c>
      <c r="L921" t="s">
        <v>8</v>
      </c>
      <c r="M921" t="s">
        <v>7</v>
      </c>
      <c r="N921" t="s">
        <v>7</v>
      </c>
      <c r="P921">
        <f t="shared" si="1014"/>
        <v>0.35263157894737018</v>
      </c>
      <c r="Q921">
        <f t="shared" si="1015"/>
        <v>180762.42431579038</v>
      </c>
      <c r="R921">
        <f t="shared" si="1016"/>
        <v>-31256584.665253274</v>
      </c>
      <c r="S921">
        <f t="shared" si="1017"/>
        <v>-312.56584665253274</v>
      </c>
      <c r="T921">
        <f t="shared" si="1018"/>
        <v>-0.31256584665253273</v>
      </c>
    </row>
    <row r="922" spans="1:20" x14ac:dyDescent="0.25">
      <c r="A922" s="5">
        <v>43671</v>
      </c>
      <c r="B922">
        <v>0.56020000000000003</v>
      </c>
      <c r="C922">
        <v>0.58399999999999996</v>
      </c>
      <c r="D922">
        <v>0.55179999999999996</v>
      </c>
      <c r="E922">
        <v>0.56020000000000003</v>
      </c>
      <c r="F922">
        <v>352756.19</v>
      </c>
      <c r="G922">
        <v>0</v>
      </c>
      <c r="L922" t="s">
        <v>8</v>
      </c>
      <c r="M922" t="s">
        <v>7</v>
      </c>
      <c r="N922" t="s">
        <v>7</v>
      </c>
      <c r="P922">
        <f t="shared" si="1014"/>
        <v>-0.47826086956521291</v>
      </c>
      <c r="Q922">
        <f t="shared" si="1015"/>
        <v>-168709.48217391147</v>
      </c>
      <c r="R922">
        <f t="shared" si="1016"/>
        <v>-31437347.089569066</v>
      </c>
      <c r="S922">
        <f t="shared" si="1017"/>
        <v>-314.37347089569067</v>
      </c>
      <c r="T922">
        <f t="shared" si="1018"/>
        <v>-0.31437347089569068</v>
      </c>
    </row>
    <row r="923" spans="1:20" x14ac:dyDescent="0.25">
      <c r="A923" s="5">
        <v>43670</v>
      </c>
      <c r="B923">
        <v>0.55369999999999997</v>
      </c>
      <c r="C923">
        <v>0.56889999999999996</v>
      </c>
      <c r="D923">
        <v>0.52939999999999998</v>
      </c>
      <c r="E923">
        <v>0.56020000000000003</v>
      </c>
      <c r="F923">
        <v>127121.16</v>
      </c>
      <c r="G923">
        <v>0</v>
      </c>
      <c r="L923" t="s">
        <v>7</v>
      </c>
      <c r="M923" t="s">
        <v>7</v>
      </c>
      <c r="N923" t="s">
        <v>7</v>
      </c>
      <c r="P923">
        <f t="shared" si="1014"/>
        <v>0.55949367088607926</v>
      </c>
      <c r="Q923">
        <f t="shared" si="1015"/>
        <v>71123.484455696627</v>
      </c>
      <c r="R923">
        <f t="shared" si="1016"/>
        <v>-31268637.607395153</v>
      </c>
      <c r="S923">
        <f t="shared" si="1017"/>
        <v>-312.68637607395152</v>
      </c>
      <c r="T923">
        <f t="shared" si="1018"/>
        <v>-0.3126863760739515</v>
      </c>
    </row>
    <row r="924" spans="1:20" x14ac:dyDescent="0.25">
      <c r="A924" s="5">
        <v>43669</v>
      </c>
      <c r="B924">
        <v>0.58879999999999999</v>
      </c>
      <c r="C924">
        <v>0.59619999999999995</v>
      </c>
      <c r="D924">
        <v>0.54379999999999995</v>
      </c>
      <c r="E924">
        <v>0.55369999999999997</v>
      </c>
      <c r="F924">
        <v>169537.24</v>
      </c>
      <c r="G924">
        <v>0</v>
      </c>
      <c r="L924" t="s">
        <v>7</v>
      </c>
      <c r="M924" t="s">
        <v>8</v>
      </c>
      <c r="N924" t="s">
        <v>7</v>
      </c>
      <c r="P924">
        <f t="shared" si="1014"/>
        <v>-0.62213740458015188</v>
      </c>
      <c r="Q924">
        <f t="shared" si="1015"/>
        <v>-105475.4584732823</v>
      </c>
      <c r="R924">
        <f t="shared" si="1016"/>
        <v>-31339761.091850851</v>
      </c>
      <c r="S924">
        <f t="shared" si="1017"/>
        <v>-313.39761091850852</v>
      </c>
      <c r="T924">
        <f t="shared" si="1018"/>
        <v>-0.31339761091850854</v>
      </c>
    </row>
    <row r="925" spans="1:20" x14ac:dyDescent="0.25">
      <c r="A925" s="5">
        <v>43668</v>
      </c>
      <c r="B925">
        <v>0.5948</v>
      </c>
      <c r="C925">
        <v>0.6069</v>
      </c>
      <c r="D925">
        <v>0.56340000000000001</v>
      </c>
      <c r="E925">
        <v>0.59119999999999995</v>
      </c>
      <c r="F925">
        <v>167330.56</v>
      </c>
      <c r="G925">
        <v>0</v>
      </c>
      <c r="L925" t="s">
        <v>7</v>
      </c>
      <c r="M925" t="s">
        <v>8</v>
      </c>
      <c r="N925" t="s">
        <v>7</v>
      </c>
      <c r="P925">
        <f t="shared" si="1014"/>
        <v>0.27816091954022742</v>
      </c>
      <c r="Q925">
        <f t="shared" si="1015"/>
        <v>46544.8224367812</v>
      </c>
      <c r="R925">
        <f t="shared" si="1016"/>
        <v>-31234285.633377567</v>
      </c>
      <c r="S925">
        <f t="shared" si="1017"/>
        <v>-312.34285633377567</v>
      </c>
      <c r="T925">
        <f t="shared" si="1018"/>
        <v>-0.31234285633377568</v>
      </c>
    </row>
    <row r="926" spans="1:20" x14ac:dyDescent="0.25">
      <c r="A926" s="5">
        <v>43667</v>
      </c>
      <c r="B926">
        <v>0.59740000000000004</v>
      </c>
      <c r="C926">
        <v>0.61229999999999996</v>
      </c>
      <c r="D926">
        <v>0.5746</v>
      </c>
      <c r="E926">
        <v>0.59419999999999995</v>
      </c>
      <c r="F926">
        <v>273164.03000000003</v>
      </c>
      <c r="G926">
        <v>0</v>
      </c>
      <c r="L926" t="s">
        <v>8</v>
      </c>
      <c r="M926" t="s">
        <v>8</v>
      </c>
      <c r="N926" t="s">
        <v>7</v>
      </c>
      <c r="P926">
        <f t="shared" si="1014"/>
        <v>3.9787798408486674E-2</v>
      </c>
      <c r="Q926">
        <f t="shared" si="1015"/>
        <v>10868.595358089808</v>
      </c>
      <c r="R926">
        <f t="shared" si="1016"/>
        <v>-31280830.455814347</v>
      </c>
      <c r="S926">
        <f t="shared" si="1017"/>
        <v>-312.80830455814345</v>
      </c>
      <c r="T926">
        <f t="shared" si="1018"/>
        <v>-0.31280830455814346</v>
      </c>
    </row>
    <row r="927" spans="1:20" x14ac:dyDescent="0.25">
      <c r="A927" s="5">
        <v>43666</v>
      </c>
      <c r="B927">
        <v>0.57789999999999997</v>
      </c>
      <c r="C927">
        <v>0.61570000000000003</v>
      </c>
      <c r="D927">
        <v>0.57769999999999999</v>
      </c>
      <c r="E927">
        <v>0.59809999999999997</v>
      </c>
      <c r="F927">
        <v>335212.38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7.3684210526313451E-2</v>
      </c>
      <c r="Q927">
        <f t="shared" si="1015"/>
        <v>24699.859578946583</v>
      </c>
      <c r="R927">
        <f t="shared" si="1016"/>
        <v>-31291699.051172435</v>
      </c>
      <c r="S927">
        <f t="shared" si="1017"/>
        <v>-312.91699051172435</v>
      </c>
      <c r="T927">
        <f t="shared" si="1018"/>
        <v>-0.31291699051172434</v>
      </c>
    </row>
    <row r="928" spans="1:20" x14ac:dyDescent="0.25">
      <c r="A928" s="5">
        <v>43665</v>
      </c>
      <c r="B928">
        <v>0.58050000000000002</v>
      </c>
      <c r="C928">
        <v>0.58979999999999999</v>
      </c>
      <c r="D928">
        <v>0.55740000000000001</v>
      </c>
      <c r="E928">
        <v>0.57609999999999995</v>
      </c>
      <c r="F928">
        <v>340813.84</v>
      </c>
      <c r="G928">
        <v>0</v>
      </c>
      <c r="L928" t="s">
        <v>8</v>
      </c>
      <c r="M928" t="s">
        <v>8</v>
      </c>
      <c r="N928" t="s">
        <v>7</v>
      </c>
      <c r="P928">
        <f t="shared" si="1014"/>
        <v>0.15432098765431776</v>
      </c>
      <c r="Q928">
        <f t="shared" si="1015"/>
        <v>52594.728395060629</v>
      </c>
      <c r="R928">
        <f t="shared" si="1016"/>
        <v>-31316398.91075138</v>
      </c>
      <c r="S928">
        <f t="shared" si="1017"/>
        <v>-313.16398910751383</v>
      </c>
      <c r="T928">
        <f t="shared" si="1018"/>
        <v>-0.31316398910751381</v>
      </c>
    </row>
    <row r="929" spans="1:20" x14ac:dyDescent="0.25">
      <c r="A929" s="5">
        <v>43664</v>
      </c>
      <c r="B929">
        <v>0.53249999999999997</v>
      </c>
      <c r="C929">
        <v>0.59179999999999999</v>
      </c>
      <c r="D929">
        <v>0.51570000000000005</v>
      </c>
      <c r="E929">
        <v>0.58379999999999999</v>
      </c>
      <c r="F929">
        <v>647726.36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0.7897503285151114</v>
      </c>
      <c r="Q929">
        <f t="shared" si="1015"/>
        <v>511542.10559789732</v>
      </c>
      <c r="R929">
        <f t="shared" si="1016"/>
        <v>-31368993.63914644</v>
      </c>
      <c r="S929">
        <f t="shared" si="1017"/>
        <v>-313.68993639146441</v>
      </c>
      <c r="T929">
        <f t="shared" si="1018"/>
        <v>-0.31368993639146442</v>
      </c>
    </row>
    <row r="930" spans="1:20" x14ac:dyDescent="0.25">
      <c r="A930" s="5">
        <v>43663</v>
      </c>
      <c r="B930">
        <v>0.51290000000000002</v>
      </c>
      <c r="C930">
        <v>0.55979999999999996</v>
      </c>
      <c r="D930">
        <v>0.50529999999999997</v>
      </c>
      <c r="E930">
        <v>0.53490000000000004</v>
      </c>
      <c r="F930">
        <v>433053.32</v>
      </c>
      <c r="G930">
        <v>0</v>
      </c>
      <c r="L930" t="s">
        <v>8</v>
      </c>
      <c r="M930" t="s">
        <v>7</v>
      </c>
      <c r="N930" t="s">
        <v>7</v>
      </c>
      <c r="P930">
        <f t="shared" si="1014"/>
        <v>8.6238532110094482E-2</v>
      </c>
      <c r="Q930">
        <f t="shared" si="1015"/>
        <v>37345.882642203018</v>
      </c>
      <c r="R930">
        <f t="shared" si="1016"/>
        <v>-31880535.744744338</v>
      </c>
      <c r="S930">
        <f t="shared" si="1017"/>
        <v>-318.80535744744338</v>
      </c>
      <c r="T930">
        <f t="shared" si="1018"/>
        <v>-0.31880535744744337</v>
      </c>
    </row>
    <row r="931" spans="1:20" x14ac:dyDescent="0.25">
      <c r="A931" s="5">
        <v>43662</v>
      </c>
      <c r="B931">
        <v>0.61160000000000003</v>
      </c>
      <c r="C931">
        <v>0.62590000000000001</v>
      </c>
      <c r="D931">
        <v>0.49199999999999999</v>
      </c>
      <c r="E931">
        <v>0.5151</v>
      </c>
      <c r="F931">
        <v>616126.63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-0.65496639283047042</v>
      </c>
      <c r="Q931">
        <f t="shared" si="1015"/>
        <v>-403542.23637789389</v>
      </c>
      <c r="R931">
        <f t="shared" si="1016"/>
        <v>-31917881.62738654</v>
      </c>
      <c r="S931">
        <f t="shared" si="1017"/>
        <v>-319.17881627386538</v>
      </c>
      <c r="T931">
        <f t="shared" si="1018"/>
        <v>-0.31917881627386541</v>
      </c>
    </row>
    <row r="932" spans="1:20" x14ac:dyDescent="0.25">
      <c r="A932" s="5">
        <v>43661</v>
      </c>
      <c r="B932">
        <v>0.62860000000000005</v>
      </c>
      <c r="C932">
        <v>0.64</v>
      </c>
      <c r="D932">
        <v>0.58560000000000001</v>
      </c>
      <c r="E932">
        <v>0.61160000000000003</v>
      </c>
      <c r="F932">
        <v>644702.03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-4.4117647058822748E-2</v>
      </c>
      <c r="Q932">
        <f t="shared" si="1015"/>
        <v>-28442.736617646555</v>
      </c>
      <c r="R932">
        <f t="shared" si="1016"/>
        <v>-31514339.391008645</v>
      </c>
      <c r="S932">
        <f t="shared" si="1017"/>
        <v>-315.14339391008644</v>
      </c>
      <c r="T932">
        <f t="shared" si="1018"/>
        <v>-0.31514339391008644</v>
      </c>
    </row>
    <row r="933" spans="1:20" x14ac:dyDescent="0.25">
      <c r="A933" s="5">
        <v>43660</v>
      </c>
      <c r="B933">
        <v>0.74329999999999996</v>
      </c>
      <c r="C933">
        <v>0.79</v>
      </c>
      <c r="D933">
        <v>0.62290000000000001</v>
      </c>
      <c r="E933">
        <v>0.62860000000000005</v>
      </c>
      <c r="F933">
        <v>1012746.18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-0.93177737881508038</v>
      </c>
      <c r="Q933">
        <f t="shared" si="1015"/>
        <v>-943653.98100538563</v>
      </c>
      <c r="R933">
        <f t="shared" si="1016"/>
        <v>-31485896.654390998</v>
      </c>
      <c r="S933">
        <f t="shared" si="1017"/>
        <v>-314.85896654390996</v>
      </c>
      <c r="T933">
        <f t="shared" si="1018"/>
        <v>-0.31485896654390993</v>
      </c>
    </row>
    <row r="934" spans="1:20" x14ac:dyDescent="0.25">
      <c r="A934" s="5">
        <v>43659</v>
      </c>
      <c r="B934">
        <v>0.73019999999999996</v>
      </c>
      <c r="C934">
        <v>0.79549999999999998</v>
      </c>
      <c r="D934">
        <v>0.71189999999999998</v>
      </c>
      <c r="E934">
        <v>0.74119999999999997</v>
      </c>
      <c r="F934">
        <v>679859.74</v>
      </c>
      <c r="G934">
        <v>0</v>
      </c>
      <c r="L934" t="s">
        <v>8</v>
      </c>
      <c r="M934" t="s">
        <v>7</v>
      </c>
      <c r="N934" t="s">
        <v>7</v>
      </c>
      <c r="P934">
        <f t="shared" si="1014"/>
        <v>-0.29904306220095717</v>
      </c>
      <c r="Q934">
        <f t="shared" si="1015"/>
        <v>-203307.33851674656</v>
      </c>
      <c r="R934">
        <f t="shared" si="1016"/>
        <v>-30542242.673385613</v>
      </c>
      <c r="S934">
        <f t="shared" si="1017"/>
        <v>-305.42242673385613</v>
      </c>
      <c r="T934">
        <f t="shared" si="1018"/>
        <v>-0.30542242673385611</v>
      </c>
    </row>
    <row r="935" spans="1:20" x14ac:dyDescent="0.25">
      <c r="A935" s="5">
        <v>43658</v>
      </c>
      <c r="B935">
        <v>0.70120000000000005</v>
      </c>
      <c r="C935">
        <v>0.74099999999999999</v>
      </c>
      <c r="D935">
        <v>0.67720000000000002</v>
      </c>
      <c r="E935">
        <v>0.73029999999999995</v>
      </c>
      <c r="F935">
        <v>268104.55</v>
      </c>
      <c r="G935">
        <v>0</v>
      </c>
      <c r="L935" t="s">
        <v>7</v>
      </c>
      <c r="M935" t="s">
        <v>7</v>
      </c>
      <c r="N935" t="s">
        <v>7</v>
      </c>
      <c r="P935">
        <f t="shared" si="1014"/>
        <v>0.66457680250783546</v>
      </c>
      <c r="Q935">
        <f t="shared" si="1015"/>
        <v>178176.06457680208</v>
      </c>
      <c r="R935">
        <f t="shared" si="1016"/>
        <v>-30338935.334868867</v>
      </c>
      <c r="S935">
        <f t="shared" si="1017"/>
        <v>-303.38935334868864</v>
      </c>
      <c r="T935">
        <f t="shared" si="1018"/>
        <v>-0.30338935334868866</v>
      </c>
    </row>
    <row r="936" spans="1:20" x14ac:dyDescent="0.25">
      <c r="A936" s="5">
        <v>43657</v>
      </c>
      <c r="B936">
        <v>0.79200000000000004</v>
      </c>
      <c r="C936">
        <v>0.79759999999999998</v>
      </c>
      <c r="D936">
        <v>0.68710000000000004</v>
      </c>
      <c r="E936">
        <v>0.70530000000000004</v>
      </c>
      <c r="F936">
        <v>314768.53000000003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-0.6705882352941176</v>
      </c>
      <c r="Q936">
        <f t="shared" si="1015"/>
        <v>-211080.07305882353</v>
      </c>
      <c r="R936">
        <f t="shared" si="1016"/>
        <v>-30517111.399445668</v>
      </c>
      <c r="S936">
        <f t="shared" si="1017"/>
        <v>-305.17111399445668</v>
      </c>
      <c r="T936">
        <f t="shared" si="1018"/>
        <v>-0.30517111399445668</v>
      </c>
    </row>
    <row r="937" spans="1:20" x14ac:dyDescent="0.25">
      <c r="A937" s="5">
        <v>43656</v>
      </c>
      <c r="B937">
        <v>0.85450000000000004</v>
      </c>
      <c r="C937">
        <v>0.8629</v>
      </c>
      <c r="D937">
        <v>0.75</v>
      </c>
      <c r="E937">
        <v>0.79200000000000004</v>
      </c>
      <c r="F937">
        <v>441295.97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-0.2559787422497779</v>
      </c>
      <c r="Q937">
        <f t="shared" si="1015"/>
        <v>-112962.38736049572</v>
      </c>
      <c r="R937">
        <f t="shared" si="1016"/>
        <v>-30306031.326386843</v>
      </c>
      <c r="S937">
        <f t="shared" si="1017"/>
        <v>-303.06031326386841</v>
      </c>
      <c r="T937">
        <f t="shared" si="1018"/>
        <v>-0.3030603132638684</v>
      </c>
    </row>
    <row r="938" spans="1:20" x14ac:dyDescent="0.25">
      <c r="A938" s="5">
        <v>43655</v>
      </c>
      <c r="B938">
        <v>0.90200000000000002</v>
      </c>
      <c r="C938">
        <v>0.91210000000000002</v>
      </c>
      <c r="D938">
        <v>0.84089999999999998</v>
      </c>
      <c r="E938">
        <v>0.85450000000000004</v>
      </c>
      <c r="F938">
        <v>562029.72</v>
      </c>
      <c r="G938">
        <v>0</v>
      </c>
      <c r="L938" t="s">
        <v>7</v>
      </c>
      <c r="M938" t="s">
        <v>8</v>
      </c>
      <c r="N938" t="s">
        <v>7</v>
      </c>
      <c r="P938">
        <f t="shared" si="1014"/>
        <v>-0.61797752808988626</v>
      </c>
      <c r="Q938">
        <f t="shared" si="1015"/>
        <v>-347321.73707865091</v>
      </c>
      <c r="R938">
        <f t="shared" si="1016"/>
        <v>-30193068.939026348</v>
      </c>
      <c r="S938">
        <f t="shared" si="1017"/>
        <v>-301.93068939026347</v>
      </c>
      <c r="T938">
        <f t="shared" si="1018"/>
        <v>-0.30193068939026346</v>
      </c>
    </row>
    <row r="939" spans="1:20" x14ac:dyDescent="0.25">
      <c r="A939" s="5">
        <v>43654</v>
      </c>
      <c r="B939">
        <v>0.94530000000000003</v>
      </c>
      <c r="C939">
        <v>0.999</v>
      </c>
      <c r="D939">
        <v>0.89259999999999995</v>
      </c>
      <c r="E939">
        <v>0.90180000000000005</v>
      </c>
      <c r="F939">
        <v>1109805.57</v>
      </c>
      <c r="G939">
        <v>0</v>
      </c>
      <c r="L939" t="s">
        <v>7</v>
      </c>
      <c r="M939" t="s">
        <v>8</v>
      </c>
      <c r="N939" t="s">
        <v>7</v>
      </c>
      <c r="P939">
        <f t="shared" si="1014"/>
        <v>-0.82706766917293062</v>
      </c>
      <c r="Q939">
        <f t="shared" si="1015"/>
        <v>-917884.30601503572</v>
      </c>
      <c r="R939">
        <f t="shared" si="1016"/>
        <v>-29845747.201947697</v>
      </c>
      <c r="S939">
        <f t="shared" si="1017"/>
        <v>-298.45747201947694</v>
      </c>
      <c r="T939">
        <f t="shared" si="1018"/>
        <v>-0.29845747201947692</v>
      </c>
    </row>
    <row r="940" spans="1:20" x14ac:dyDescent="0.25">
      <c r="A940" s="5">
        <v>43653</v>
      </c>
      <c r="B940">
        <v>0.97030000000000005</v>
      </c>
      <c r="C940">
        <v>0.99990000000000001</v>
      </c>
      <c r="D940">
        <v>0.94</v>
      </c>
      <c r="E940">
        <v>0.94540000000000002</v>
      </c>
      <c r="F940">
        <v>682587.28</v>
      </c>
      <c r="G940">
        <v>0</v>
      </c>
      <c r="L940" t="s">
        <v>8</v>
      </c>
      <c r="M940" t="s">
        <v>8</v>
      </c>
      <c r="N940" t="s">
        <v>7</v>
      </c>
      <c r="P940">
        <f t="shared" si="1014"/>
        <v>-0.81969949916527329</v>
      </c>
      <c r="Q940">
        <f t="shared" si="1015"/>
        <v>-559516.45155258616</v>
      </c>
      <c r="R940">
        <f t="shared" si="1016"/>
        <v>-28927862.89593266</v>
      </c>
      <c r="S940">
        <f t="shared" si="1017"/>
        <v>-289.27862895932657</v>
      </c>
      <c r="T940">
        <f t="shared" si="1018"/>
        <v>-0.28927862895932654</v>
      </c>
    </row>
    <row r="941" spans="1:20" x14ac:dyDescent="0.25">
      <c r="A941" s="5">
        <v>43652</v>
      </c>
      <c r="B941">
        <v>0.95220000000000005</v>
      </c>
      <c r="C941">
        <v>0.99980000000000002</v>
      </c>
      <c r="D941">
        <v>0.93700000000000006</v>
      </c>
      <c r="E941">
        <v>0.97030000000000005</v>
      </c>
      <c r="F941">
        <v>1156925.52</v>
      </c>
      <c r="G941">
        <v>0</v>
      </c>
      <c r="L941" t="s">
        <v>8</v>
      </c>
      <c r="M941" t="s">
        <v>8</v>
      </c>
      <c r="N941" t="s">
        <v>7</v>
      </c>
      <c r="P941">
        <f t="shared" si="1014"/>
        <v>6.0509554140127826E-2</v>
      </c>
      <c r="Q941">
        <f t="shared" si="1015"/>
        <v>70005.047388535546</v>
      </c>
      <c r="R941">
        <f t="shared" si="1016"/>
        <v>-28368346.444380075</v>
      </c>
      <c r="S941">
        <f t="shared" si="1017"/>
        <v>-283.68346444380074</v>
      </c>
      <c r="T941">
        <f t="shared" si="1018"/>
        <v>-0.28368346444380077</v>
      </c>
    </row>
    <row r="942" spans="1:20" x14ac:dyDescent="0.25">
      <c r="A942" s="5">
        <v>43651</v>
      </c>
      <c r="B942">
        <v>0.89</v>
      </c>
      <c r="C942">
        <v>0.96089999999999998</v>
      </c>
      <c r="D942">
        <v>0.88500000000000001</v>
      </c>
      <c r="E942">
        <v>0.95220000000000005</v>
      </c>
      <c r="F942">
        <v>586812.26</v>
      </c>
      <c r="G942">
        <v>0</v>
      </c>
      <c r="L942" t="s">
        <v>7</v>
      </c>
      <c r="M942" t="s">
        <v>8</v>
      </c>
      <c r="N942" t="s">
        <v>7</v>
      </c>
      <c r="P942">
        <f t="shared" si="1014"/>
        <v>0.77075098814229426</v>
      </c>
      <c r="Q942">
        <f t="shared" si="1015"/>
        <v>452286.12924901291</v>
      </c>
      <c r="R942">
        <f t="shared" si="1016"/>
        <v>-28438351.49176861</v>
      </c>
      <c r="S942">
        <f t="shared" si="1017"/>
        <v>-284.38351491768611</v>
      </c>
      <c r="T942">
        <f t="shared" si="1018"/>
        <v>-0.2843835149176861</v>
      </c>
    </row>
    <row r="943" spans="1:20" x14ac:dyDescent="0.25">
      <c r="A943" s="5">
        <v>43650</v>
      </c>
      <c r="B943">
        <v>0.93789999999999996</v>
      </c>
      <c r="C943">
        <v>0.98660000000000003</v>
      </c>
      <c r="D943">
        <v>0.89</v>
      </c>
      <c r="E943">
        <v>0.89</v>
      </c>
      <c r="F943">
        <v>1294592.0900000001</v>
      </c>
      <c r="G943">
        <v>0</v>
      </c>
      <c r="L943" t="s">
        <v>8</v>
      </c>
      <c r="M943" t="s">
        <v>8</v>
      </c>
      <c r="N943" t="s">
        <v>7</v>
      </c>
      <c r="P943">
        <f t="shared" si="1014"/>
        <v>-1</v>
      </c>
      <c r="Q943">
        <f t="shared" si="1015"/>
        <v>-1294592.0900000001</v>
      </c>
      <c r="R943">
        <f t="shared" si="1016"/>
        <v>-28890637.621017624</v>
      </c>
      <c r="S943">
        <f t="shared" si="1017"/>
        <v>-288.90637621017623</v>
      </c>
      <c r="T943">
        <f t="shared" si="1018"/>
        <v>-0.28890637621017623</v>
      </c>
    </row>
    <row r="944" spans="1:20" x14ac:dyDescent="0.25">
      <c r="A944" s="5">
        <v>43649</v>
      </c>
      <c r="B944">
        <v>0.85089999999999999</v>
      </c>
      <c r="C944">
        <v>0.95499999999999996</v>
      </c>
      <c r="D944">
        <v>0.84</v>
      </c>
      <c r="E944">
        <v>0.93020000000000003</v>
      </c>
      <c r="F944">
        <v>1250960.03</v>
      </c>
      <c r="G944">
        <v>0</v>
      </c>
      <c r="L944" t="s">
        <v>8</v>
      </c>
      <c r="M944" t="s">
        <v>8</v>
      </c>
      <c r="N944" t="s">
        <v>7</v>
      </c>
      <c r="P944">
        <f t="shared" si="1014"/>
        <v>0.56869565217391416</v>
      </c>
      <c r="Q944">
        <f t="shared" si="1015"/>
        <v>711415.53010434925</v>
      </c>
      <c r="R944">
        <f t="shared" si="1016"/>
        <v>-27596045.531017624</v>
      </c>
      <c r="S944">
        <f t="shared" si="1017"/>
        <v>-275.96045531017626</v>
      </c>
      <c r="T944">
        <f t="shared" si="1018"/>
        <v>-0.27596045531017627</v>
      </c>
    </row>
    <row r="945" spans="1:20" x14ac:dyDescent="0.25">
      <c r="A945" s="5">
        <v>43648</v>
      </c>
      <c r="B945">
        <v>0.91139999999999999</v>
      </c>
      <c r="C945">
        <v>0.92100000000000004</v>
      </c>
      <c r="D945">
        <v>0.83189999999999997</v>
      </c>
      <c r="E945">
        <v>0.8498</v>
      </c>
      <c r="F945">
        <v>830041.23</v>
      </c>
      <c r="G945">
        <v>0</v>
      </c>
      <c r="L945" t="s">
        <v>7</v>
      </c>
      <c r="M945" t="s">
        <v>8</v>
      </c>
      <c r="N945" t="s">
        <v>7</v>
      </c>
      <c r="P945">
        <f t="shared" si="1014"/>
        <v>-0.59820426487093126</v>
      </c>
      <c r="Q945">
        <f t="shared" si="1015"/>
        <v>-496534.20380471356</v>
      </c>
      <c r="R945">
        <f t="shared" si="1016"/>
        <v>-28307461.061121974</v>
      </c>
      <c r="S945">
        <f t="shared" si="1017"/>
        <v>-283.07461061121973</v>
      </c>
      <c r="T945">
        <f t="shared" si="1018"/>
        <v>-0.28307461061121975</v>
      </c>
    </row>
    <row r="946" spans="1:20" x14ac:dyDescent="0.25">
      <c r="A946" s="5">
        <v>43647</v>
      </c>
      <c r="B946">
        <v>0.80720000000000003</v>
      </c>
      <c r="C946">
        <v>0.98199999999999998</v>
      </c>
      <c r="D946">
        <v>0.80100000000000005</v>
      </c>
      <c r="E946">
        <v>0.90859999999999996</v>
      </c>
      <c r="F946">
        <v>2283104.86</v>
      </c>
      <c r="G946">
        <v>0</v>
      </c>
      <c r="L946" t="s">
        <v>8</v>
      </c>
      <c r="M946" t="s">
        <v>8</v>
      </c>
      <c r="N946" t="s">
        <v>7</v>
      </c>
      <c r="P946">
        <f t="shared" si="1014"/>
        <v>0.18895027624309341</v>
      </c>
      <c r="Q946">
        <f t="shared" si="1015"/>
        <v>431393.2939889491</v>
      </c>
      <c r="R946">
        <f t="shared" si="1016"/>
        <v>-27810926.857317261</v>
      </c>
      <c r="S946">
        <f t="shared" si="1017"/>
        <v>-278.10926857317264</v>
      </c>
      <c r="T946">
        <f t="shared" si="1018"/>
        <v>-0.27810926857317264</v>
      </c>
    </row>
    <row r="947" spans="1:20" x14ac:dyDescent="0.25">
      <c r="A947" s="5">
        <v>43646</v>
      </c>
      <c r="B947">
        <v>0.86370000000000002</v>
      </c>
      <c r="C947">
        <v>0.88380000000000003</v>
      </c>
      <c r="D947">
        <v>0.80179999999999996</v>
      </c>
      <c r="E947">
        <v>0.80730000000000002</v>
      </c>
      <c r="F947">
        <v>402755.02</v>
      </c>
      <c r="G947">
        <v>0</v>
      </c>
      <c r="L947" t="s">
        <v>7</v>
      </c>
      <c r="M947" t="s">
        <v>7</v>
      </c>
      <c r="N947" t="s">
        <v>7</v>
      </c>
      <c r="P947">
        <f t="shared" si="1014"/>
        <v>-0.86585365853658403</v>
      </c>
      <c r="Q947">
        <f t="shared" si="1015"/>
        <v>-348726.90756097506</v>
      </c>
      <c r="R947">
        <f t="shared" si="1016"/>
        <v>-28242320.151306212</v>
      </c>
      <c r="S947">
        <f t="shared" si="1017"/>
        <v>-282.42320151306211</v>
      </c>
      <c r="T947">
        <f t="shared" si="1018"/>
        <v>-0.28242320151306211</v>
      </c>
    </row>
    <row r="948" spans="1:20" x14ac:dyDescent="0.25">
      <c r="A948" s="5">
        <v>43645</v>
      </c>
      <c r="B948">
        <v>0.8659</v>
      </c>
      <c r="C948">
        <v>0.89200000000000002</v>
      </c>
      <c r="D948">
        <v>0.82379999999999998</v>
      </c>
      <c r="E948">
        <v>0.85870000000000002</v>
      </c>
      <c r="F948">
        <v>296287.28000000003</v>
      </c>
      <c r="G948">
        <v>0</v>
      </c>
      <c r="L948" t="s">
        <v>7</v>
      </c>
      <c r="M948" t="s">
        <v>7</v>
      </c>
      <c r="N948" t="s">
        <v>7</v>
      </c>
      <c r="P948">
        <f t="shared" si="1014"/>
        <v>2.346041055718541E-2</v>
      </c>
      <c r="Q948">
        <f t="shared" si="1015"/>
        <v>6951.0212316717498</v>
      </c>
      <c r="R948">
        <f t="shared" si="1016"/>
        <v>-27893593.243745238</v>
      </c>
      <c r="S948">
        <f t="shared" si="1017"/>
        <v>-278.93593243745238</v>
      </c>
      <c r="T948">
        <f t="shared" si="1018"/>
        <v>-0.27893593243745241</v>
      </c>
    </row>
    <row r="949" spans="1:20" x14ac:dyDescent="0.25">
      <c r="A949" s="5">
        <v>43644</v>
      </c>
      <c r="B949">
        <v>0.80249999999999999</v>
      </c>
      <c r="C949">
        <v>0.89200000000000002</v>
      </c>
      <c r="D949">
        <v>0.79220000000000002</v>
      </c>
      <c r="E949">
        <v>0.86639999999999995</v>
      </c>
      <c r="F949">
        <v>330810.06</v>
      </c>
      <c r="G949">
        <v>0</v>
      </c>
      <c r="L949" t="s">
        <v>8</v>
      </c>
      <c r="M949" t="s">
        <v>7</v>
      </c>
      <c r="N949" t="s">
        <v>7</v>
      </c>
      <c r="P949">
        <f t="shared" si="1014"/>
        <v>0.48697394789579024</v>
      </c>
      <c r="Q949">
        <f t="shared" si="1015"/>
        <v>161095.88092184323</v>
      </c>
      <c r="R949">
        <f t="shared" si="1016"/>
        <v>-27900544.264976908</v>
      </c>
      <c r="S949">
        <f t="shared" si="1017"/>
        <v>-279.00544264976907</v>
      </c>
      <c r="T949">
        <f t="shared" si="1018"/>
        <v>-0.27900544264976906</v>
      </c>
    </row>
    <row r="950" spans="1:20" x14ac:dyDescent="0.25">
      <c r="A950" s="5">
        <v>43643</v>
      </c>
      <c r="B950">
        <v>0.89149999999999996</v>
      </c>
      <c r="C950">
        <v>0.94379999999999997</v>
      </c>
      <c r="D950">
        <v>0.78949999999999998</v>
      </c>
      <c r="E950">
        <v>0.80510000000000004</v>
      </c>
      <c r="F950">
        <v>1177366.93</v>
      </c>
      <c r="G950">
        <v>0</v>
      </c>
      <c r="L950" t="s">
        <v>7</v>
      </c>
      <c r="M950" t="s">
        <v>7</v>
      </c>
      <c r="N950" t="s">
        <v>7</v>
      </c>
      <c r="P950">
        <f t="shared" si="1014"/>
        <v>-0.79779650032404326</v>
      </c>
      <c r="Q950">
        <f t="shared" si="1015"/>
        <v>-939299.21635126276</v>
      </c>
      <c r="R950">
        <f t="shared" si="1016"/>
        <v>-28061640.145898752</v>
      </c>
      <c r="S950">
        <f t="shared" si="1017"/>
        <v>-280.61640145898753</v>
      </c>
      <c r="T950">
        <f t="shared" si="1018"/>
        <v>-0.28061640145898753</v>
      </c>
    </row>
    <row r="951" spans="1:20" x14ac:dyDescent="0.25">
      <c r="A951" s="5">
        <v>43642</v>
      </c>
      <c r="B951">
        <v>0.93330000000000002</v>
      </c>
      <c r="C951">
        <v>0.98299999999999998</v>
      </c>
      <c r="D951">
        <v>0.85509999999999997</v>
      </c>
      <c r="E951">
        <v>0.89200000000000002</v>
      </c>
      <c r="F951">
        <v>1899124.32</v>
      </c>
      <c r="G951">
        <v>0</v>
      </c>
      <c r="L951" t="s">
        <v>7</v>
      </c>
      <c r="M951" t="s">
        <v>7</v>
      </c>
      <c r="N951" t="s">
        <v>8</v>
      </c>
      <c r="P951">
        <f t="shared" si="1014"/>
        <v>-0.42298670836591024</v>
      </c>
      <c r="Q951">
        <f t="shared" si="1015"/>
        <v>-803304.3448944476</v>
      </c>
      <c r="R951">
        <f t="shared" si="1016"/>
        <v>-27122340.929547489</v>
      </c>
      <c r="S951">
        <f t="shared" si="1017"/>
        <v>-271.22340929547488</v>
      </c>
      <c r="T951">
        <f t="shared" si="1018"/>
        <v>-0.27122340929547489</v>
      </c>
    </row>
    <row r="952" spans="1:20" x14ac:dyDescent="0.25">
      <c r="A952" s="5">
        <v>43641</v>
      </c>
      <c r="B952">
        <v>0.94359999999999999</v>
      </c>
      <c r="C952">
        <v>1.0229999999999999</v>
      </c>
      <c r="D952">
        <v>0.92710000000000004</v>
      </c>
      <c r="E952">
        <v>0.93469999999999998</v>
      </c>
      <c r="F952">
        <v>874194.65</v>
      </c>
      <c r="G952">
        <v>0</v>
      </c>
      <c r="L952" t="s">
        <v>8</v>
      </c>
      <c r="M952" t="s">
        <v>7</v>
      </c>
      <c r="N952" t="s">
        <v>8</v>
      </c>
      <c r="P952">
        <f t="shared" si="1014"/>
        <v>-0.84150156412930244</v>
      </c>
      <c r="Q952">
        <f t="shared" si="1015"/>
        <v>-735636.16532846808</v>
      </c>
      <c r="R952">
        <f t="shared" si="1016"/>
        <v>-26319036.584653042</v>
      </c>
      <c r="S952">
        <f t="shared" si="1017"/>
        <v>-263.19036584653043</v>
      </c>
      <c r="T952">
        <f t="shared" si="1018"/>
        <v>-0.26319036584653044</v>
      </c>
    </row>
    <row r="953" spans="1:20" x14ac:dyDescent="0.25">
      <c r="A953" s="5">
        <v>43640</v>
      </c>
      <c r="B953">
        <v>0.93479999999999996</v>
      </c>
      <c r="C953">
        <v>0.98919999999999997</v>
      </c>
      <c r="D953">
        <v>0.91859999999999997</v>
      </c>
      <c r="E953">
        <v>0.94350000000000001</v>
      </c>
      <c r="F953">
        <v>828217.92</v>
      </c>
      <c r="G953">
        <v>0</v>
      </c>
      <c r="L953" t="s">
        <v>7</v>
      </c>
      <c r="M953" t="s">
        <v>7</v>
      </c>
      <c r="N953" t="s">
        <v>8</v>
      </c>
      <c r="P953">
        <f t="shared" si="1014"/>
        <v>-0.29461756373937581</v>
      </c>
      <c r="Q953">
        <f t="shared" si="1015"/>
        <v>-244007.54583569328</v>
      </c>
      <c r="R953">
        <f t="shared" si="1016"/>
        <v>-25583400.419324573</v>
      </c>
      <c r="S953">
        <f t="shared" si="1017"/>
        <v>-255.83400419324573</v>
      </c>
      <c r="T953">
        <f t="shared" si="1018"/>
        <v>-0.25583400419324576</v>
      </c>
    </row>
    <row r="954" spans="1:20" x14ac:dyDescent="0.25">
      <c r="A954" s="5">
        <v>43639</v>
      </c>
      <c r="B954">
        <v>0.96809999999999996</v>
      </c>
      <c r="C954">
        <v>1.0051000000000001</v>
      </c>
      <c r="D954">
        <v>0.92210000000000003</v>
      </c>
      <c r="E954">
        <v>0.93559999999999999</v>
      </c>
      <c r="F954">
        <v>1151775.5900000001</v>
      </c>
      <c r="G954">
        <v>0</v>
      </c>
      <c r="L954" t="s">
        <v>8</v>
      </c>
      <c r="M954" t="s">
        <v>7</v>
      </c>
      <c r="N954" t="s">
        <v>8</v>
      </c>
      <c r="P954">
        <f t="shared" si="1014"/>
        <v>-0.67469879518072418</v>
      </c>
      <c r="Q954">
        <f t="shared" si="1015"/>
        <v>-777101.60289156775</v>
      </c>
      <c r="R954">
        <f t="shared" si="1016"/>
        <v>-25339392.873488881</v>
      </c>
      <c r="S954">
        <f t="shared" si="1017"/>
        <v>-253.39392873488882</v>
      </c>
      <c r="T954">
        <f t="shared" si="1018"/>
        <v>-0.25339392873488881</v>
      </c>
    </row>
    <row r="955" spans="1:20" x14ac:dyDescent="0.25">
      <c r="A955" s="5">
        <v>43638</v>
      </c>
      <c r="B955">
        <v>0.93389999999999995</v>
      </c>
      <c r="C955">
        <v>0.99390000000000001</v>
      </c>
      <c r="D955">
        <v>0.89139999999999997</v>
      </c>
      <c r="E955">
        <v>0.96809999999999996</v>
      </c>
      <c r="F955">
        <v>1801916.21</v>
      </c>
      <c r="G955">
        <v>0</v>
      </c>
      <c r="L955" t="s">
        <v>7</v>
      </c>
      <c r="M955" t="s">
        <v>7</v>
      </c>
      <c r="N955" t="s">
        <v>8</v>
      </c>
      <c r="P955">
        <f t="shared" si="1014"/>
        <v>0.49658536585365781</v>
      </c>
      <c r="Q955">
        <f t="shared" si="1015"/>
        <v>894805.22038048645</v>
      </c>
      <c r="R955">
        <f t="shared" si="1016"/>
        <v>-24562291.270597313</v>
      </c>
      <c r="S955">
        <f t="shared" si="1017"/>
        <v>-245.62291270597314</v>
      </c>
      <c r="T955">
        <f t="shared" si="1018"/>
        <v>-0.24562291270597314</v>
      </c>
    </row>
    <row r="956" spans="1:20" x14ac:dyDescent="0.25">
      <c r="A956" s="5">
        <v>43637</v>
      </c>
      <c r="B956">
        <v>0.99939999999999996</v>
      </c>
      <c r="C956">
        <v>1.0479000000000001</v>
      </c>
      <c r="D956">
        <v>0.92700000000000005</v>
      </c>
      <c r="E956">
        <v>0.93530000000000002</v>
      </c>
      <c r="F956">
        <v>1057295.92</v>
      </c>
      <c r="G956">
        <v>0</v>
      </c>
      <c r="L956" t="s">
        <v>7</v>
      </c>
      <c r="M956" t="s">
        <v>7</v>
      </c>
      <c r="N956" t="s">
        <v>8</v>
      </c>
      <c r="P956">
        <f t="shared" si="1014"/>
        <v>-0.86269644334160511</v>
      </c>
      <c r="Q956">
        <f t="shared" si="1015"/>
        <v>-912125.42974359018</v>
      </c>
      <c r="R956">
        <f t="shared" si="1016"/>
        <v>-25457096.490977798</v>
      </c>
      <c r="S956">
        <f t="shared" si="1017"/>
        <v>-254.57096490977798</v>
      </c>
      <c r="T956">
        <f t="shared" si="1018"/>
        <v>-0.25457096490977799</v>
      </c>
    </row>
    <row r="957" spans="1:20" x14ac:dyDescent="0.25">
      <c r="A957" s="5">
        <v>43636</v>
      </c>
      <c r="B957">
        <v>1.0386</v>
      </c>
      <c r="C957">
        <v>1.0788</v>
      </c>
      <c r="D957">
        <v>0.97209999999999996</v>
      </c>
      <c r="E957">
        <v>0.99890000000000001</v>
      </c>
      <c r="F957">
        <v>1246526.47</v>
      </c>
      <c r="G957">
        <v>0</v>
      </c>
      <c r="L957" t="s">
        <v>8</v>
      </c>
      <c r="M957" t="s">
        <v>7</v>
      </c>
      <c r="N957" t="s">
        <v>8</v>
      </c>
      <c r="P957">
        <f t="shared" si="1014"/>
        <v>-0.49765698219306387</v>
      </c>
      <c r="Q957">
        <f t="shared" si="1015"/>
        <v>-620342.60128397273</v>
      </c>
      <c r="R957">
        <f t="shared" si="1016"/>
        <v>-24544971.061234206</v>
      </c>
      <c r="S957">
        <f t="shared" si="1017"/>
        <v>-245.44971061234207</v>
      </c>
      <c r="T957">
        <f t="shared" si="1018"/>
        <v>-0.24544971061234208</v>
      </c>
    </row>
    <row r="958" spans="1:20" x14ac:dyDescent="0.25">
      <c r="A958" s="5">
        <v>43635</v>
      </c>
      <c r="B958">
        <v>0.97570000000000001</v>
      </c>
      <c r="C958">
        <v>1.0563</v>
      </c>
      <c r="D958">
        <v>0.97460000000000002</v>
      </c>
      <c r="E958">
        <v>1.0385</v>
      </c>
      <c r="F958">
        <v>1519945.51</v>
      </c>
      <c r="G958">
        <v>0</v>
      </c>
      <c r="L958" t="s">
        <v>7</v>
      </c>
      <c r="M958" t="s">
        <v>7</v>
      </c>
      <c r="N958" t="s">
        <v>8</v>
      </c>
      <c r="P958">
        <f t="shared" si="1014"/>
        <v>0.56425948592411168</v>
      </c>
      <c r="Q958">
        <f t="shared" si="1015"/>
        <v>857643.67210526171</v>
      </c>
      <c r="R958">
        <f t="shared" si="1016"/>
        <v>-23924628.459950235</v>
      </c>
      <c r="S958">
        <f t="shared" si="1017"/>
        <v>-239.24628459950236</v>
      </c>
      <c r="T958">
        <f t="shared" si="1018"/>
        <v>-0.23924628459950237</v>
      </c>
    </row>
    <row r="959" spans="1:20" x14ac:dyDescent="0.25">
      <c r="A959" s="5">
        <v>43634</v>
      </c>
      <c r="B959">
        <v>1.0109999999999999</v>
      </c>
      <c r="C959">
        <v>1.0659000000000001</v>
      </c>
      <c r="D959">
        <v>0.96560000000000001</v>
      </c>
      <c r="E959">
        <v>0.97099999999999997</v>
      </c>
      <c r="F959">
        <v>1100972.83</v>
      </c>
      <c r="G959">
        <v>0</v>
      </c>
      <c r="L959" t="s">
        <v>8</v>
      </c>
      <c r="M959" t="s">
        <v>7</v>
      </c>
      <c r="N959" t="s">
        <v>8</v>
      </c>
      <c r="P959">
        <f t="shared" ref="P959:P1022" si="1019">IF(C959=D959,0,((E959-D959)-(C959-E959))/(C959-D959))</f>
        <v>-0.89232303090727905</v>
      </c>
      <c r="Q959">
        <f t="shared" ref="Q959:Q1022" si="1020">F959*P959</f>
        <v>-982423.41261216451</v>
      </c>
      <c r="R959">
        <f t="shared" ref="R959:R1022" si="1021">R960+Q959</f>
        <v>-24782272.132055495</v>
      </c>
      <c r="S959">
        <f t="shared" ref="S959:S1022" si="1022">R959/100000</f>
        <v>-247.82272132055496</v>
      </c>
      <c r="T959">
        <f t="shared" ref="T959:T1022" si="1023">S959/1000</f>
        <v>-0.24782272132055497</v>
      </c>
    </row>
    <row r="960" spans="1:20" x14ac:dyDescent="0.25">
      <c r="A960" s="5">
        <v>43633</v>
      </c>
      <c r="B960">
        <v>0.96060000000000001</v>
      </c>
      <c r="C960">
        <v>1.02</v>
      </c>
      <c r="D960">
        <v>0.95009999999999994</v>
      </c>
      <c r="E960">
        <v>1.0130999999999999</v>
      </c>
      <c r="F960">
        <v>1526825.77</v>
      </c>
      <c r="G960">
        <v>0</v>
      </c>
      <c r="L960" t="s">
        <v>7</v>
      </c>
      <c r="M960" t="s">
        <v>7</v>
      </c>
      <c r="N960" t="s">
        <v>8</v>
      </c>
      <c r="P960">
        <f t="shared" si="1019"/>
        <v>0.8025751072961339</v>
      </c>
      <c r="Q960">
        <f t="shared" si="1020"/>
        <v>1225392.3561802523</v>
      </c>
      <c r="R960">
        <f t="shared" si="1021"/>
        <v>-23799848.719443329</v>
      </c>
      <c r="S960">
        <f t="shared" si="1022"/>
        <v>-237.9984871944333</v>
      </c>
      <c r="T960">
        <f t="shared" si="1023"/>
        <v>-0.23799848719443328</v>
      </c>
    </row>
    <row r="961" spans="1:20" x14ac:dyDescent="0.25">
      <c r="A961" s="5">
        <v>43632</v>
      </c>
      <c r="B961">
        <v>0.98709999999999998</v>
      </c>
      <c r="C961">
        <v>1.0670999999999999</v>
      </c>
      <c r="D961">
        <v>0.94320000000000004</v>
      </c>
      <c r="E961">
        <v>0.96160000000000001</v>
      </c>
      <c r="F961">
        <v>1562715.13</v>
      </c>
      <c r="G961">
        <v>0</v>
      </c>
      <c r="L961" t="s">
        <v>7</v>
      </c>
      <c r="M961" t="s">
        <v>7</v>
      </c>
      <c r="N961" t="s">
        <v>8</v>
      </c>
      <c r="P961">
        <f t="shared" si="1019"/>
        <v>-0.70298627925746593</v>
      </c>
      <c r="Q961">
        <f t="shared" si="1020"/>
        <v>-1098567.2947780471</v>
      </c>
      <c r="R961">
        <f t="shared" si="1021"/>
        <v>-25025241.075623579</v>
      </c>
      <c r="S961">
        <f t="shared" si="1022"/>
        <v>-250.2524107562358</v>
      </c>
      <c r="T961">
        <f t="shared" si="1023"/>
        <v>-0.25025241075623578</v>
      </c>
    </row>
    <row r="962" spans="1:20" x14ac:dyDescent="0.25">
      <c r="A962" s="5">
        <v>43631</v>
      </c>
      <c r="B962">
        <v>1.0502</v>
      </c>
      <c r="C962">
        <v>1.1189</v>
      </c>
      <c r="D962">
        <v>0.97570000000000001</v>
      </c>
      <c r="E962">
        <v>0.98440000000000005</v>
      </c>
      <c r="F962">
        <v>2344863.7000000002</v>
      </c>
      <c r="G962">
        <v>0</v>
      </c>
      <c r="L962" t="s">
        <v>7</v>
      </c>
      <c r="M962" t="s">
        <v>7</v>
      </c>
      <c r="N962" t="s">
        <v>8</v>
      </c>
      <c r="P962">
        <f t="shared" si="1019"/>
        <v>-0.87849162011173132</v>
      </c>
      <c r="Q962">
        <f t="shared" si="1020"/>
        <v>-2059943.1107541888</v>
      </c>
      <c r="R962">
        <f t="shared" si="1021"/>
        <v>-23926673.78084553</v>
      </c>
      <c r="S962">
        <f t="shared" si="1022"/>
        <v>-239.2667378084553</v>
      </c>
      <c r="T962">
        <f t="shared" si="1023"/>
        <v>-0.23926673780845531</v>
      </c>
    </row>
    <row r="963" spans="1:20" x14ac:dyDescent="0.25">
      <c r="A963" s="5">
        <v>43630</v>
      </c>
      <c r="B963">
        <v>0.89880000000000004</v>
      </c>
      <c r="C963">
        <v>1.1698</v>
      </c>
      <c r="D963">
        <v>0.8619</v>
      </c>
      <c r="E963">
        <v>1.0508999999999999</v>
      </c>
      <c r="F963">
        <v>4552245.41</v>
      </c>
      <c r="G963">
        <v>0</v>
      </c>
      <c r="L963" t="s">
        <v>8</v>
      </c>
      <c r="M963" t="s">
        <v>8</v>
      </c>
      <c r="N963" t="s">
        <v>8</v>
      </c>
      <c r="P963">
        <f t="shared" si="1019"/>
        <v>0.22767132185774586</v>
      </c>
      <c r="Q963">
        <f t="shared" si="1020"/>
        <v>1036415.7299155563</v>
      </c>
      <c r="R963">
        <f t="shared" si="1021"/>
        <v>-21866730.670091342</v>
      </c>
      <c r="S963">
        <f t="shared" si="1022"/>
        <v>-218.66730670091343</v>
      </c>
      <c r="T963">
        <f t="shared" si="1023"/>
        <v>-0.21866730670091342</v>
      </c>
    </row>
    <row r="964" spans="1:20" x14ac:dyDescent="0.25">
      <c r="A964" s="5">
        <v>43629</v>
      </c>
      <c r="B964">
        <v>0.88680000000000003</v>
      </c>
      <c r="C964">
        <v>0.91930000000000001</v>
      </c>
      <c r="D964">
        <v>0.86029999999999995</v>
      </c>
      <c r="E964">
        <v>0.89880000000000004</v>
      </c>
      <c r="F964">
        <v>1399613.32</v>
      </c>
      <c r="G964">
        <v>0</v>
      </c>
      <c r="L964" t="s">
        <v>7</v>
      </c>
      <c r="M964" t="s">
        <v>7</v>
      </c>
      <c r="N964" t="s">
        <v>8</v>
      </c>
      <c r="P964">
        <f t="shared" si="1019"/>
        <v>0.30508474576271377</v>
      </c>
      <c r="Q964">
        <f t="shared" si="1020"/>
        <v>427000.67389830778</v>
      </c>
      <c r="R964">
        <f t="shared" si="1021"/>
        <v>-22903146.400006898</v>
      </c>
      <c r="S964">
        <f t="shared" si="1022"/>
        <v>-229.03146400006898</v>
      </c>
      <c r="T964">
        <f t="shared" si="1023"/>
        <v>-0.22903146400006899</v>
      </c>
    </row>
    <row r="965" spans="1:20" x14ac:dyDescent="0.25">
      <c r="A965" s="5">
        <v>43628</v>
      </c>
      <c r="B965">
        <v>0.93259999999999998</v>
      </c>
      <c r="C965">
        <v>0.95209999999999995</v>
      </c>
      <c r="D965">
        <v>0.875</v>
      </c>
      <c r="E965">
        <v>0.88839999999999997</v>
      </c>
      <c r="F965">
        <v>1229525.25</v>
      </c>
      <c r="G965">
        <v>0</v>
      </c>
      <c r="L965" t="s">
        <v>8</v>
      </c>
      <c r="M965" t="s">
        <v>8</v>
      </c>
      <c r="N965" t="s">
        <v>8</v>
      </c>
      <c r="P965">
        <f t="shared" si="1019"/>
        <v>-0.65239948119325608</v>
      </c>
      <c r="Q965">
        <f t="shared" si="1020"/>
        <v>-802141.63521400851</v>
      </c>
      <c r="R965">
        <f t="shared" si="1021"/>
        <v>-23330147.073905207</v>
      </c>
      <c r="S965">
        <f t="shared" si="1022"/>
        <v>-233.30147073905206</v>
      </c>
      <c r="T965">
        <f t="shared" si="1023"/>
        <v>-0.23330147073905205</v>
      </c>
    </row>
    <row r="966" spans="1:20" x14ac:dyDescent="0.25">
      <c r="A966" s="5">
        <v>43627</v>
      </c>
      <c r="B966">
        <v>0.96509999999999996</v>
      </c>
      <c r="C966">
        <v>1.0015000000000001</v>
      </c>
      <c r="D966">
        <v>0.8851</v>
      </c>
      <c r="E966">
        <v>0.93310000000000004</v>
      </c>
      <c r="F966">
        <v>1779913.21</v>
      </c>
      <c r="G966">
        <v>0</v>
      </c>
      <c r="L966" t="s">
        <v>7</v>
      </c>
      <c r="M966" t="s">
        <v>8</v>
      </c>
      <c r="N966" t="s">
        <v>8</v>
      </c>
      <c r="P966">
        <f t="shared" si="1019"/>
        <v>-0.17525773195876257</v>
      </c>
      <c r="Q966">
        <f t="shared" si="1020"/>
        <v>-311943.55226804066</v>
      </c>
      <c r="R966">
        <f t="shared" si="1021"/>
        <v>-22528005.438691199</v>
      </c>
      <c r="S966">
        <f t="shared" si="1022"/>
        <v>-225.28005438691198</v>
      </c>
      <c r="T966">
        <f t="shared" si="1023"/>
        <v>-0.22528005438691198</v>
      </c>
    </row>
    <row r="967" spans="1:20" x14ac:dyDescent="0.25">
      <c r="A967" s="5">
        <v>43626</v>
      </c>
      <c r="B967">
        <v>0.89600000000000002</v>
      </c>
      <c r="C967">
        <v>1.0289999999999999</v>
      </c>
      <c r="D967">
        <v>0.86180000000000001</v>
      </c>
      <c r="E967">
        <v>0.96509999999999996</v>
      </c>
      <c r="F967">
        <v>4398161.5999999996</v>
      </c>
      <c r="G967">
        <v>0</v>
      </c>
      <c r="L967" t="s">
        <v>8</v>
      </c>
      <c r="M967" t="s">
        <v>8</v>
      </c>
      <c r="N967" t="s">
        <v>8</v>
      </c>
      <c r="P967">
        <f t="shared" si="1019"/>
        <v>0.23564593301435416</v>
      </c>
      <c r="Q967">
        <f t="shared" si="1020"/>
        <v>1036408.8937799046</v>
      </c>
      <c r="R967">
        <f t="shared" si="1021"/>
        <v>-22216061.886423159</v>
      </c>
      <c r="S967">
        <f t="shared" si="1022"/>
        <v>-222.16061886423159</v>
      </c>
      <c r="T967">
        <f t="shared" si="1023"/>
        <v>-0.22216061886423161</v>
      </c>
    </row>
    <row r="968" spans="1:20" x14ac:dyDescent="0.25">
      <c r="A968" s="5">
        <v>43625</v>
      </c>
      <c r="B968">
        <v>0.78410000000000002</v>
      </c>
      <c r="C968">
        <v>0.92559999999999998</v>
      </c>
      <c r="D968">
        <v>0.76359999999999995</v>
      </c>
      <c r="E968">
        <v>0.89419999999999999</v>
      </c>
      <c r="F968">
        <v>1981812.7</v>
      </c>
      <c r="G968">
        <v>0</v>
      </c>
      <c r="L968" t="s">
        <v>8</v>
      </c>
      <c r="M968" t="s">
        <v>8</v>
      </c>
      <c r="N968" t="s">
        <v>8</v>
      </c>
      <c r="P968">
        <f t="shared" si="1019"/>
        <v>0.61234567901234593</v>
      </c>
      <c r="Q968">
        <f t="shared" si="1020"/>
        <v>1213554.4434567906</v>
      </c>
      <c r="R968">
        <f t="shared" si="1021"/>
        <v>-23252470.780203063</v>
      </c>
      <c r="S968">
        <f t="shared" si="1022"/>
        <v>-232.52470780203063</v>
      </c>
      <c r="T968">
        <f t="shared" si="1023"/>
        <v>-0.23252470780203063</v>
      </c>
    </row>
    <row r="969" spans="1:20" x14ac:dyDescent="0.25">
      <c r="A969" s="5">
        <v>43624</v>
      </c>
      <c r="B969">
        <v>0.78269999999999995</v>
      </c>
      <c r="C969">
        <v>0.80930000000000002</v>
      </c>
      <c r="D969">
        <v>0.77239999999999998</v>
      </c>
      <c r="E969">
        <v>0.78390000000000004</v>
      </c>
      <c r="F969">
        <v>610800.81999999995</v>
      </c>
      <c r="G969">
        <v>0</v>
      </c>
      <c r="L969" t="s">
        <v>8</v>
      </c>
      <c r="M969" t="s">
        <v>7</v>
      </c>
      <c r="N969" t="s">
        <v>8</v>
      </c>
      <c r="P969">
        <f t="shared" si="1019"/>
        <v>-0.37669376693766654</v>
      </c>
      <c r="Q969">
        <f t="shared" si="1020"/>
        <v>-230084.86173441558</v>
      </c>
      <c r="R969">
        <f t="shared" si="1021"/>
        <v>-24466025.223659854</v>
      </c>
      <c r="S969">
        <f t="shared" si="1022"/>
        <v>-244.66025223659855</v>
      </c>
      <c r="T969">
        <f t="shared" si="1023"/>
        <v>-0.24466025223659854</v>
      </c>
    </row>
    <row r="970" spans="1:20" x14ac:dyDescent="0.25">
      <c r="A970" s="5">
        <v>43623</v>
      </c>
      <c r="B970">
        <v>0.75849999999999995</v>
      </c>
      <c r="C970">
        <v>0.80410000000000004</v>
      </c>
      <c r="D970">
        <v>0.74439999999999995</v>
      </c>
      <c r="E970">
        <v>0.78590000000000004</v>
      </c>
      <c r="F970">
        <v>428492.43</v>
      </c>
      <c r="G970">
        <v>0</v>
      </c>
      <c r="L970" t="s">
        <v>7</v>
      </c>
      <c r="M970" t="s">
        <v>7</v>
      </c>
      <c r="N970" t="s">
        <v>8</v>
      </c>
      <c r="P970">
        <f t="shared" si="1019"/>
        <v>0.39028475711892907</v>
      </c>
      <c r="Q970">
        <f t="shared" si="1020"/>
        <v>167234.06396984973</v>
      </c>
      <c r="R970">
        <f t="shared" si="1021"/>
        <v>-24235940.361925438</v>
      </c>
      <c r="S970">
        <f t="shared" si="1022"/>
        <v>-242.35940361925438</v>
      </c>
      <c r="T970">
        <f t="shared" si="1023"/>
        <v>-0.24235940361925437</v>
      </c>
    </row>
    <row r="971" spans="1:20" x14ac:dyDescent="0.25">
      <c r="A971" s="5">
        <v>43622</v>
      </c>
      <c r="B971">
        <v>0.76339999999999997</v>
      </c>
      <c r="C971">
        <v>0.81</v>
      </c>
      <c r="D971">
        <v>0.71309999999999996</v>
      </c>
      <c r="E971">
        <v>0.75780000000000003</v>
      </c>
      <c r="F971">
        <v>778271.41</v>
      </c>
      <c r="G971">
        <v>0</v>
      </c>
      <c r="L971" t="s">
        <v>8</v>
      </c>
      <c r="M971" t="s">
        <v>7</v>
      </c>
      <c r="N971" t="s">
        <v>8</v>
      </c>
      <c r="P971">
        <f t="shared" si="1019"/>
        <v>-7.7399380804952983E-2</v>
      </c>
      <c r="Q971">
        <f t="shared" si="1020"/>
        <v>-60237.725232197692</v>
      </c>
      <c r="R971">
        <f t="shared" si="1021"/>
        <v>-24403174.425895289</v>
      </c>
      <c r="S971">
        <f t="shared" si="1022"/>
        <v>-244.0317442589529</v>
      </c>
      <c r="T971">
        <f t="shared" si="1023"/>
        <v>-0.24403174425895291</v>
      </c>
    </row>
    <row r="972" spans="1:20" x14ac:dyDescent="0.25">
      <c r="A972" s="5">
        <v>43621</v>
      </c>
      <c r="B972">
        <v>0.72299999999999998</v>
      </c>
      <c r="C972">
        <v>0.79430000000000001</v>
      </c>
      <c r="D972">
        <v>0.71830000000000005</v>
      </c>
      <c r="E972">
        <v>0.76549999999999996</v>
      </c>
      <c r="F972">
        <v>849491.03</v>
      </c>
      <c r="G972">
        <v>0</v>
      </c>
      <c r="L972" t="s">
        <v>8</v>
      </c>
      <c r="M972" t="s">
        <v>7</v>
      </c>
      <c r="N972" t="s">
        <v>8</v>
      </c>
      <c r="P972">
        <f t="shared" si="1019"/>
        <v>0.24210526315789305</v>
      </c>
      <c r="Q972">
        <f t="shared" si="1020"/>
        <v>205666.24936841964</v>
      </c>
      <c r="R972">
        <f t="shared" si="1021"/>
        <v>-24342936.70066309</v>
      </c>
      <c r="S972">
        <f t="shared" si="1022"/>
        <v>-243.42936700663088</v>
      </c>
      <c r="T972">
        <f t="shared" si="1023"/>
        <v>-0.24342936700663087</v>
      </c>
    </row>
    <row r="973" spans="1:20" x14ac:dyDescent="0.25">
      <c r="A973" s="5">
        <v>43620</v>
      </c>
      <c r="B973">
        <v>0.74609999999999999</v>
      </c>
      <c r="C973">
        <v>0.76470000000000005</v>
      </c>
      <c r="D973">
        <v>0.69799999999999995</v>
      </c>
      <c r="E973">
        <v>0.72299999999999998</v>
      </c>
      <c r="F973">
        <v>588663.04000000004</v>
      </c>
      <c r="G973">
        <v>0</v>
      </c>
      <c r="L973" t="s">
        <v>7</v>
      </c>
      <c r="M973" t="s">
        <v>7</v>
      </c>
      <c r="N973" t="s">
        <v>8</v>
      </c>
      <c r="P973">
        <f t="shared" si="1019"/>
        <v>-0.25037481259370353</v>
      </c>
      <c r="Q973">
        <f t="shared" si="1020"/>
        <v>-147386.39832083983</v>
      </c>
      <c r="R973">
        <f t="shared" si="1021"/>
        <v>-24548602.950031508</v>
      </c>
      <c r="S973">
        <f t="shared" si="1022"/>
        <v>-245.48602950031508</v>
      </c>
      <c r="T973">
        <f t="shared" si="1023"/>
        <v>-0.24548602950031509</v>
      </c>
    </row>
    <row r="974" spans="1:20" x14ac:dyDescent="0.25">
      <c r="A974" s="5">
        <v>43619</v>
      </c>
      <c r="B974">
        <v>0.79339999999999999</v>
      </c>
      <c r="C974">
        <v>0.81259999999999999</v>
      </c>
      <c r="D974">
        <v>0.74229999999999996</v>
      </c>
      <c r="E974">
        <v>0.75</v>
      </c>
      <c r="F974">
        <v>865456.15</v>
      </c>
      <c r="G974">
        <v>0</v>
      </c>
      <c r="L974" t="s">
        <v>7</v>
      </c>
      <c r="M974" t="s">
        <v>8</v>
      </c>
      <c r="N974" t="s">
        <v>8</v>
      </c>
      <c r="P974">
        <f t="shared" si="1019"/>
        <v>-0.78093883357041149</v>
      </c>
      <c r="Q974">
        <f t="shared" si="1020"/>
        <v>-675868.31628733908</v>
      </c>
      <c r="R974">
        <f t="shared" si="1021"/>
        <v>-24401216.551710669</v>
      </c>
      <c r="S974">
        <f t="shared" si="1022"/>
        <v>-244.01216551710669</v>
      </c>
      <c r="T974">
        <f t="shared" si="1023"/>
        <v>-0.24401216551710669</v>
      </c>
    </row>
    <row r="975" spans="1:20" x14ac:dyDescent="0.25">
      <c r="A975" s="5">
        <v>43618</v>
      </c>
      <c r="B975">
        <v>0.77149999999999996</v>
      </c>
      <c r="C975">
        <v>0.80859999999999999</v>
      </c>
      <c r="D975">
        <v>0.77149999999999996</v>
      </c>
      <c r="E975">
        <v>0.79269999999999996</v>
      </c>
      <c r="F975">
        <v>505548.39</v>
      </c>
      <c r="G975">
        <v>0</v>
      </c>
      <c r="L975" t="s">
        <v>8</v>
      </c>
      <c r="M975" t="s">
        <v>8</v>
      </c>
      <c r="N975" t="s">
        <v>8</v>
      </c>
      <c r="P975">
        <f t="shared" si="1019"/>
        <v>0.14285714285714199</v>
      </c>
      <c r="Q975">
        <f t="shared" si="1020"/>
        <v>72221.198571428133</v>
      </c>
      <c r="R975">
        <f t="shared" si="1021"/>
        <v>-23725348.23542333</v>
      </c>
      <c r="S975">
        <f t="shared" si="1022"/>
        <v>-237.25348235423331</v>
      </c>
      <c r="T975">
        <f t="shared" si="1023"/>
        <v>-0.23725348235423332</v>
      </c>
    </row>
    <row r="976" spans="1:20" x14ac:dyDescent="0.25">
      <c r="A976" s="5">
        <v>43617</v>
      </c>
      <c r="B976">
        <v>0.78080000000000005</v>
      </c>
      <c r="C976">
        <v>0.8</v>
      </c>
      <c r="D976">
        <v>0.76</v>
      </c>
      <c r="E976">
        <v>0.77439999999999998</v>
      </c>
      <c r="F976">
        <v>755585.3</v>
      </c>
      <c r="G976">
        <v>0</v>
      </c>
      <c r="L976" t="s">
        <v>8</v>
      </c>
      <c r="M976" t="s">
        <v>8</v>
      </c>
      <c r="N976" t="s">
        <v>8</v>
      </c>
      <c r="P976">
        <f t="shared" si="1019"/>
        <v>-0.28000000000000225</v>
      </c>
      <c r="Q976">
        <f t="shared" si="1020"/>
        <v>-211563.88400000171</v>
      </c>
      <c r="R976">
        <f t="shared" si="1021"/>
        <v>-23797569.433994759</v>
      </c>
      <c r="S976">
        <f t="shared" si="1022"/>
        <v>-237.97569433994758</v>
      </c>
      <c r="T976">
        <f t="shared" si="1023"/>
        <v>-0.23797569433994759</v>
      </c>
    </row>
    <row r="977" spans="1:20" x14ac:dyDescent="0.25">
      <c r="A977" s="5">
        <v>43616</v>
      </c>
      <c r="B977">
        <v>0.74760000000000004</v>
      </c>
      <c r="C977">
        <v>0.79910000000000003</v>
      </c>
      <c r="D977">
        <v>0.72709999999999997</v>
      </c>
      <c r="E977">
        <v>0.78180000000000005</v>
      </c>
      <c r="F977">
        <v>903031.52</v>
      </c>
      <c r="G977">
        <v>0</v>
      </c>
      <c r="L977" t="s">
        <v>8</v>
      </c>
      <c r="M977" t="s">
        <v>8</v>
      </c>
      <c r="N977" t="s">
        <v>8</v>
      </c>
      <c r="P977">
        <f t="shared" si="1019"/>
        <v>0.51944444444444537</v>
      </c>
      <c r="Q977">
        <f t="shared" si="1020"/>
        <v>469074.70622222306</v>
      </c>
      <c r="R977">
        <f t="shared" si="1021"/>
        <v>-23586005.549994756</v>
      </c>
      <c r="S977">
        <f t="shared" si="1022"/>
        <v>-235.86005549994755</v>
      </c>
      <c r="T977">
        <f t="shared" si="1023"/>
        <v>-0.23586005549994754</v>
      </c>
    </row>
    <row r="978" spans="1:20" x14ac:dyDescent="0.25">
      <c r="A978" s="5">
        <v>43615</v>
      </c>
      <c r="B978">
        <v>0.78820000000000001</v>
      </c>
      <c r="C978">
        <v>0.82450000000000001</v>
      </c>
      <c r="D978">
        <v>0.72789999999999999</v>
      </c>
      <c r="E978">
        <v>0.74880000000000002</v>
      </c>
      <c r="F978">
        <v>933558.17</v>
      </c>
      <c r="G978">
        <v>0</v>
      </c>
      <c r="L978" t="s">
        <v>7</v>
      </c>
      <c r="M978" t="s">
        <v>8</v>
      </c>
      <c r="N978" t="s">
        <v>8</v>
      </c>
      <c r="P978">
        <f t="shared" si="1019"/>
        <v>-0.56728778467908847</v>
      </c>
      <c r="Q978">
        <f t="shared" si="1020"/>
        <v>-529596.14612836391</v>
      </c>
      <c r="R978">
        <f t="shared" si="1021"/>
        <v>-24055080.256216977</v>
      </c>
      <c r="S978">
        <f t="shared" si="1022"/>
        <v>-240.55080256216976</v>
      </c>
      <c r="T978">
        <f t="shared" si="1023"/>
        <v>-0.24055080256216976</v>
      </c>
    </row>
    <row r="979" spans="1:20" x14ac:dyDescent="0.25">
      <c r="A979" s="5">
        <v>43614</v>
      </c>
      <c r="B979">
        <v>0.78480000000000005</v>
      </c>
      <c r="C979">
        <v>0.79849999999999999</v>
      </c>
      <c r="D979">
        <v>0.73009999999999997</v>
      </c>
      <c r="E979">
        <v>0.78779999999999994</v>
      </c>
      <c r="F979">
        <v>752175.16</v>
      </c>
      <c r="G979">
        <v>0</v>
      </c>
      <c r="L979" t="s">
        <v>7</v>
      </c>
      <c r="M979" t="s">
        <v>8</v>
      </c>
      <c r="N979" t="s">
        <v>8</v>
      </c>
      <c r="P979">
        <f t="shared" si="1019"/>
        <v>0.68713450292397538</v>
      </c>
      <c r="Q979">
        <f t="shared" si="1020"/>
        <v>516845.50467836164</v>
      </c>
      <c r="R979">
        <f t="shared" si="1021"/>
        <v>-23525484.110088613</v>
      </c>
      <c r="S979">
        <f t="shared" si="1022"/>
        <v>-235.25484110088613</v>
      </c>
      <c r="T979">
        <f t="shared" si="1023"/>
        <v>-0.23525484110088613</v>
      </c>
    </row>
    <row r="980" spans="1:20" x14ac:dyDescent="0.25">
      <c r="A980" s="5">
        <v>43613</v>
      </c>
      <c r="B980">
        <v>0.77659999999999996</v>
      </c>
      <c r="C980">
        <v>0.82799999999999996</v>
      </c>
      <c r="D980">
        <v>0.7681</v>
      </c>
      <c r="E980">
        <v>0.78469999999999995</v>
      </c>
      <c r="F980">
        <v>811284.71</v>
      </c>
      <c r="G980">
        <v>0</v>
      </c>
      <c r="L980" t="s">
        <v>8</v>
      </c>
      <c r="M980" t="s">
        <v>8</v>
      </c>
      <c r="N980" t="s">
        <v>8</v>
      </c>
      <c r="P980">
        <f t="shared" si="1019"/>
        <v>-0.44574290484140366</v>
      </c>
      <c r="Q980">
        <f t="shared" si="1020"/>
        <v>-361624.40328881575</v>
      </c>
      <c r="R980">
        <f t="shared" si="1021"/>
        <v>-24042329.614766974</v>
      </c>
      <c r="S980">
        <f t="shared" si="1022"/>
        <v>-240.42329614766973</v>
      </c>
      <c r="T980">
        <f t="shared" si="1023"/>
        <v>-0.24042329614766972</v>
      </c>
    </row>
    <row r="981" spans="1:20" x14ac:dyDescent="0.25">
      <c r="A981" s="5">
        <v>43612</v>
      </c>
      <c r="B981">
        <v>0.76480000000000004</v>
      </c>
      <c r="C981">
        <v>0.79600000000000004</v>
      </c>
      <c r="D981">
        <v>0.75509999999999999</v>
      </c>
      <c r="E981">
        <v>0.77380000000000004</v>
      </c>
      <c r="F981">
        <v>983300.89</v>
      </c>
      <c r="G981">
        <v>0</v>
      </c>
      <c r="L981" t="s">
        <v>8</v>
      </c>
      <c r="M981" t="s">
        <v>8</v>
      </c>
      <c r="N981" t="s">
        <v>8</v>
      </c>
      <c r="P981">
        <f t="shared" si="1019"/>
        <v>-8.5574572127137982E-2</v>
      </c>
      <c r="Q981">
        <f t="shared" si="1020"/>
        <v>-84145.55293398397</v>
      </c>
      <c r="R981">
        <f t="shared" si="1021"/>
        <v>-23680705.211478159</v>
      </c>
      <c r="S981">
        <f t="shared" si="1022"/>
        <v>-236.80705211478158</v>
      </c>
      <c r="T981">
        <f t="shared" si="1023"/>
        <v>-0.23680705211478159</v>
      </c>
    </row>
    <row r="982" spans="1:20" x14ac:dyDescent="0.25">
      <c r="A982" s="5">
        <v>43611</v>
      </c>
      <c r="B982">
        <v>0.76549999999999996</v>
      </c>
      <c r="C982">
        <v>0.7742</v>
      </c>
      <c r="D982">
        <v>0.74009999999999998</v>
      </c>
      <c r="E982">
        <v>0.76829999999999998</v>
      </c>
      <c r="F982">
        <v>515821.25</v>
      </c>
      <c r="G982">
        <v>0</v>
      </c>
      <c r="L982" t="s">
        <v>7</v>
      </c>
      <c r="M982" t="s">
        <v>8</v>
      </c>
      <c r="N982" t="s">
        <v>8</v>
      </c>
      <c r="P982">
        <f t="shared" si="1019"/>
        <v>0.65395894428152412</v>
      </c>
      <c r="Q982">
        <f t="shared" si="1020"/>
        <v>337325.92008797615</v>
      </c>
      <c r="R982">
        <f t="shared" si="1021"/>
        <v>-23596559.658544175</v>
      </c>
      <c r="S982">
        <f t="shared" si="1022"/>
        <v>-235.96559658544174</v>
      </c>
      <c r="T982">
        <f t="shared" si="1023"/>
        <v>-0.23596559658544175</v>
      </c>
    </row>
    <row r="983" spans="1:20" x14ac:dyDescent="0.25">
      <c r="A983" s="5">
        <v>43610</v>
      </c>
      <c r="B983">
        <v>0.75329999999999997</v>
      </c>
      <c r="C983">
        <v>0.81479999999999997</v>
      </c>
      <c r="D983">
        <v>0.74719999999999998</v>
      </c>
      <c r="E983">
        <v>0.76559999999999995</v>
      </c>
      <c r="F983">
        <v>991114.93</v>
      </c>
      <c r="G983">
        <v>0</v>
      </c>
      <c r="L983" t="s">
        <v>7</v>
      </c>
      <c r="M983" t="s">
        <v>8</v>
      </c>
      <c r="N983" t="s">
        <v>8</v>
      </c>
      <c r="P983">
        <f t="shared" si="1019"/>
        <v>-0.4556213017751487</v>
      </c>
      <c r="Q983">
        <f t="shared" si="1020"/>
        <v>-451573.07461538538</v>
      </c>
      <c r="R983">
        <f t="shared" si="1021"/>
        <v>-23933885.57863215</v>
      </c>
      <c r="S983">
        <f t="shared" si="1022"/>
        <v>-239.33885578632149</v>
      </c>
      <c r="T983">
        <f t="shared" si="1023"/>
        <v>-0.2393388557863215</v>
      </c>
    </row>
    <row r="984" spans="1:20" x14ac:dyDescent="0.25">
      <c r="A984" s="5">
        <v>43609</v>
      </c>
      <c r="B984">
        <v>0.75880000000000003</v>
      </c>
      <c r="C984">
        <v>0.84299999999999997</v>
      </c>
      <c r="D984">
        <v>0.74399999999999999</v>
      </c>
      <c r="E984">
        <v>0.75319999999999998</v>
      </c>
      <c r="F984">
        <v>1678193.42</v>
      </c>
      <c r="G984">
        <v>0</v>
      </c>
      <c r="L984" t="s">
        <v>8</v>
      </c>
      <c r="M984" t="s">
        <v>8</v>
      </c>
      <c r="N984" t="s">
        <v>8</v>
      </c>
      <c r="P984">
        <f t="shared" si="1019"/>
        <v>-0.81414141414141439</v>
      </c>
      <c r="Q984">
        <f t="shared" si="1020"/>
        <v>-1366286.7641616166</v>
      </c>
      <c r="R984">
        <f t="shared" si="1021"/>
        <v>-23482312.504016764</v>
      </c>
      <c r="S984">
        <f t="shared" si="1022"/>
        <v>-234.82312504016764</v>
      </c>
      <c r="T984">
        <f t="shared" si="1023"/>
        <v>-0.23482312504016764</v>
      </c>
    </row>
    <row r="985" spans="1:20" x14ac:dyDescent="0.25">
      <c r="A985" s="5">
        <v>43608</v>
      </c>
      <c r="B985">
        <v>0.71050000000000002</v>
      </c>
      <c r="C985">
        <v>0.76800000000000002</v>
      </c>
      <c r="D985">
        <v>0.68359999999999999</v>
      </c>
      <c r="E985">
        <v>0.75960000000000005</v>
      </c>
      <c r="F985">
        <v>810152.61</v>
      </c>
      <c r="G985">
        <v>0</v>
      </c>
      <c r="L985" t="s">
        <v>7</v>
      </c>
      <c r="M985" t="s">
        <v>8</v>
      </c>
      <c r="N985" t="s">
        <v>8</v>
      </c>
      <c r="P985">
        <f t="shared" si="1019"/>
        <v>0.80094786729857914</v>
      </c>
      <c r="Q985">
        <f t="shared" si="1020"/>
        <v>648890.00516587752</v>
      </c>
      <c r="R985">
        <f t="shared" si="1021"/>
        <v>-22116025.739855148</v>
      </c>
      <c r="S985">
        <f t="shared" si="1022"/>
        <v>-221.16025739855147</v>
      </c>
      <c r="T985">
        <f t="shared" si="1023"/>
        <v>-0.22116025739855147</v>
      </c>
    </row>
    <row r="986" spans="1:20" x14ac:dyDescent="0.25">
      <c r="A986" s="5">
        <v>43607</v>
      </c>
      <c r="B986">
        <v>0.7379</v>
      </c>
      <c r="C986">
        <v>0.77310000000000001</v>
      </c>
      <c r="D986">
        <v>0.6966</v>
      </c>
      <c r="E986">
        <v>0.71230000000000004</v>
      </c>
      <c r="F986">
        <v>1105768.5</v>
      </c>
      <c r="G986">
        <v>0</v>
      </c>
      <c r="L986" t="s">
        <v>8</v>
      </c>
      <c r="M986" t="s">
        <v>8</v>
      </c>
      <c r="N986" t="s">
        <v>8</v>
      </c>
      <c r="P986">
        <f t="shared" si="1019"/>
        <v>-0.58954248366012951</v>
      </c>
      <c r="Q986">
        <f t="shared" si="1020"/>
        <v>-651897.50784313597</v>
      </c>
      <c r="R986">
        <f t="shared" si="1021"/>
        <v>-22764915.745021027</v>
      </c>
      <c r="S986">
        <f t="shared" si="1022"/>
        <v>-227.64915745021025</v>
      </c>
      <c r="T986">
        <f t="shared" si="1023"/>
        <v>-0.22764915745021025</v>
      </c>
    </row>
    <row r="987" spans="1:20" x14ac:dyDescent="0.25">
      <c r="A987" s="5">
        <v>43606</v>
      </c>
      <c r="B987">
        <v>0.69</v>
      </c>
      <c r="C987">
        <v>0.76060000000000005</v>
      </c>
      <c r="D987">
        <v>0.68030000000000002</v>
      </c>
      <c r="E987">
        <v>0.7379</v>
      </c>
      <c r="F987">
        <v>1981195.26</v>
      </c>
      <c r="G987">
        <v>0</v>
      </c>
      <c r="L987" t="s">
        <v>8</v>
      </c>
      <c r="M987" t="s">
        <v>8</v>
      </c>
      <c r="N987" t="s">
        <v>8</v>
      </c>
      <c r="P987">
        <f t="shared" si="1019"/>
        <v>0.4346201743462007</v>
      </c>
      <c r="Q987">
        <f t="shared" si="1020"/>
        <v>861067.42931506643</v>
      </c>
      <c r="R987">
        <f t="shared" si="1021"/>
        <v>-22113018.23717789</v>
      </c>
      <c r="S987">
        <f t="shared" si="1022"/>
        <v>-221.13018237177889</v>
      </c>
      <c r="T987">
        <f t="shared" si="1023"/>
        <v>-0.22113018237177889</v>
      </c>
    </row>
    <row r="988" spans="1:20" x14ac:dyDescent="0.25">
      <c r="A988" s="5">
        <v>43605</v>
      </c>
      <c r="B988">
        <v>0.70620000000000005</v>
      </c>
      <c r="C988">
        <v>0.71020000000000005</v>
      </c>
      <c r="D988">
        <v>0.67</v>
      </c>
      <c r="E988">
        <v>0.69210000000000005</v>
      </c>
      <c r="F988">
        <v>870443.96</v>
      </c>
      <c r="G988">
        <v>0</v>
      </c>
      <c r="L988" t="s">
        <v>7</v>
      </c>
      <c r="M988" t="s">
        <v>7</v>
      </c>
      <c r="N988" t="s">
        <v>8</v>
      </c>
      <c r="P988">
        <f t="shared" si="1019"/>
        <v>9.9502487562189115E-2</v>
      </c>
      <c r="Q988">
        <f t="shared" si="1020"/>
        <v>86611.339303482629</v>
      </c>
      <c r="R988">
        <f t="shared" si="1021"/>
        <v>-22974085.666492958</v>
      </c>
      <c r="S988">
        <f t="shared" si="1022"/>
        <v>-229.74085666492957</v>
      </c>
      <c r="T988">
        <f t="shared" si="1023"/>
        <v>-0.22974085666492958</v>
      </c>
    </row>
    <row r="989" spans="1:20" x14ac:dyDescent="0.25">
      <c r="A989" s="5">
        <v>43604</v>
      </c>
      <c r="B989">
        <v>0.68179999999999996</v>
      </c>
      <c r="C989">
        <v>0.73799999999999999</v>
      </c>
      <c r="D989">
        <v>0.68179999999999996</v>
      </c>
      <c r="E989">
        <v>0.70779999999999998</v>
      </c>
      <c r="F989">
        <v>1184402.71</v>
      </c>
      <c r="G989">
        <v>0</v>
      </c>
      <c r="L989" t="s">
        <v>7</v>
      </c>
      <c r="M989" t="s">
        <v>7</v>
      </c>
      <c r="N989" t="s">
        <v>8</v>
      </c>
      <c r="P989">
        <f t="shared" si="1019"/>
        <v>-7.4733096085408887E-2</v>
      </c>
      <c r="Q989">
        <f t="shared" si="1020"/>
        <v>-88514.081530248674</v>
      </c>
      <c r="R989">
        <f t="shared" si="1021"/>
        <v>-23060697.00579644</v>
      </c>
      <c r="S989">
        <f t="shared" si="1022"/>
        <v>-230.60697005796439</v>
      </c>
      <c r="T989">
        <f t="shared" si="1023"/>
        <v>-0.23060697005796438</v>
      </c>
    </row>
    <row r="990" spans="1:20" x14ac:dyDescent="0.25">
      <c r="A990" s="5">
        <v>43603</v>
      </c>
      <c r="B990">
        <v>0.69889999999999997</v>
      </c>
      <c r="C990">
        <v>0.7298</v>
      </c>
      <c r="D990">
        <v>0.67920000000000003</v>
      </c>
      <c r="E990">
        <v>0.68320000000000003</v>
      </c>
      <c r="F990">
        <v>966899.66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-0.84189723320158083</v>
      </c>
      <c r="Q990">
        <f t="shared" si="1020"/>
        <v>-814030.14853754919</v>
      </c>
      <c r="R990">
        <f t="shared" si="1021"/>
        <v>-22972182.924266193</v>
      </c>
      <c r="S990">
        <f t="shared" si="1022"/>
        <v>-229.72182924266193</v>
      </c>
      <c r="T990">
        <f t="shared" si="1023"/>
        <v>-0.22972182924266193</v>
      </c>
    </row>
    <row r="991" spans="1:20" x14ac:dyDescent="0.25">
      <c r="A991" s="5">
        <v>43602</v>
      </c>
      <c r="B991">
        <v>0.74170000000000003</v>
      </c>
      <c r="C991">
        <v>0.76039999999999996</v>
      </c>
      <c r="D991">
        <v>0.64</v>
      </c>
      <c r="E991">
        <v>0.69899999999999995</v>
      </c>
      <c r="F991">
        <v>1801200.08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-1.9933554817276326E-2</v>
      </c>
      <c r="Q991">
        <f t="shared" si="1020"/>
        <v>-35904.320531562502</v>
      </c>
      <c r="R991">
        <f t="shared" si="1021"/>
        <v>-22158152.775728643</v>
      </c>
      <c r="S991">
        <f t="shared" si="1022"/>
        <v>-221.58152775728644</v>
      </c>
      <c r="T991">
        <f t="shared" si="1023"/>
        <v>-0.22158152775728643</v>
      </c>
    </row>
    <row r="992" spans="1:20" x14ac:dyDescent="0.25">
      <c r="A992" s="5">
        <v>43601</v>
      </c>
      <c r="B992">
        <v>0.79420000000000002</v>
      </c>
      <c r="C992">
        <v>0.84840000000000004</v>
      </c>
      <c r="D992">
        <v>0.70899999999999996</v>
      </c>
      <c r="E992">
        <v>0.7419</v>
      </c>
      <c r="F992">
        <v>2325304.6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-0.52797704447632676</v>
      </c>
      <c r="Q992">
        <f t="shared" si="1020"/>
        <v>-1227707.4502152072</v>
      </c>
      <c r="R992">
        <f t="shared" si="1021"/>
        <v>-22122248.455197081</v>
      </c>
      <c r="S992">
        <f t="shared" si="1022"/>
        <v>-221.22248455197081</v>
      </c>
      <c r="T992">
        <f t="shared" si="1023"/>
        <v>-0.2212224845519708</v>
      </c>
    </row>
    <row r="993" spans="1:20" x14ac:dyDescent="0.25">
      <c r="A993" s="5">
        <v>43600</v>
      </c>
      <c r="B993">
        <v>0.69820000000000004</v>
      </c>
      <c r="C993">
        <v>0.79790000000000005</v>
      </c>
      <c r="D993">
        <v>0.69</v>
      </c>
      <c r="E993">
        <v>0.79620000000000002</v>
      </c>
      <c r="F993">
        <v>1176692.6000000001</v>
      </c>
      <c r="G993">
        <v>0</v>
      </c>
      <c r="L993" t="s">
        <v>8</v>
      </c>
      <c r="M993" t="s">
        <v>8</v>
      </c>
      <c r="N993" t="s">
        <v>7</v>
      </c>
      <c r="P993">
        <f t="shared" si="1019"/>
        <v>0.96848934198331726</v>
      </c>
      <c r="Q993">
        <f t="shared" si="1020"/>
        <v>1139614.2418906388</v>
      </c>
      <c r="R993">
        <f t="shared" si="1021"/>
        <v>-20894541.004981875</v>
      </c>
      <c r="S993">
        <f t="shared" si="1022"/>
        <v>-208.94541004981875</v>
      </c>
      <c r="T993">
        <f t="shared" si="1023"/>
        <v>-0.20894541004981876</v>
      </c>
    </row>
    <row r="994" spans="1:20" x14ac:dyDescent="0.25">
      <c r="A994" s="5">
        <v>43599</v>
      </c>
      <c r="B994">
        <v>0.65680000000000005</v>
      </c>
      <c r="C994">
        <v>0.70899999999999996</v>
      </c>
      <c r="D994">
        <v>0.65</v>
      </c>
      <c r="E994">
        <v>0.69630000000000003</v>
      </c>
      <c r="F994">
        <v>1123573.8</v>
      </c>
      <c r="G994">
        <v>0</v>
      </c>
      <c r="L994" t="s">
        <v>8</v>
      </c>
      <c r="M994" t="s">
        <v>8</v>
      </c>
      <c r="N994" t="s">
        <v>7</v>
      </c>
      <c r="P994">
        <f t="shared" si="1019"/>
        <v>0.5694915254237306</v>
      </c>
      <c r="Q994">
        <f t="shared" si="1020"/>
        <v>639865.75728813768</v>
      </c>
      <c r="R994">
        <f t="shared" si="1021"/>
        <v>-22034155.246872514</v>
      </c>
      <c r="S994">
        <f t="shared" si="1022"/>
        <v>-220.34155246872515</v>
      </c>
      <c r="T994">
        <f t="shared" si="1023"/>
        <v>-0.22034155246872517</v>
      </c>
    </row>
    <row r="995" spans="1:20" x14ac:dyDescent="0.25">
      <c r="A995" s="5">
        <v>43598</v>
      </c>
      <c r="B995">
        <v>0.6452</v>
      </c>
      <c r="C995">
        <v>0.68969999999999998</v>
      </c>
      <c r="D995">
        <v>0.64190000000000003</v>
      </c>
      <c r="E995">
        <v>0.65700000000000003</v>
      </c>
      <c r="F995">
        <v>773178.15</v>
      </c>
      <c r="G995">
        <v>0</v>
      </c>
      <c r="L995" t="s">
        <v>7</v>
      </c>
      <c r="M995" t="s">
        <v>8</v>
      </c>
      <c r="N995" t="s">
        <v>7</v>
      </c>
      <c r="P995">
        <f t="shared" si="1019"/>
        <v>-0.36820083682008298</v>
      </c>
      <c r="Q995">
        <f t="shared" si="1020"/>
        <v>-284684.84184100362</v>
      </c>
      <c r="R995">
        <f t="shared" si="1021"/>
        <v>-22674021.004160654</v>
      </c>
      <c r="S995">
        <f t="shared" si="1022"/>
        <v>-226.74021004160653</v>
      </c>
      <c r="T995">
        <f t="shared" si="1023"/>
        <v>-0.22674021004160652</v>
      </c>
    </row>
    <row r="996" spans="1:20" x14ac:dyDescent="0.25">
      <c r="A996" s="5">
        <v>43597</v>
      </c>
      <c r="B996">
        <v>0.63859999999999995</v>
      </c>
      <c r="C996">
        <v>0.72899999999999998</v>
      </c>
      <c r="D996">
        <v>0.62919999999999998</v>
      </c>
      <c r="E996">
        <v>0.6452</v>
      </c>
      <c r="F996">
        <v>1116173.8799999999</v>
      </c>
      <c r="G996">
        <v>0</v>
      </c>
      <c r="L996" t="s">
        <v>8</v>
      </c>
      <c r="M996" t="s">
        <v>8</v>
      </c>
      <c r="N996" t="s">
        <v>7</v>
      </c>
      <c r="P996">
        <f t="shared" si="1019"/>
        <v>-0.67935871743486942</v>
      </c>
      <c r="Q996">
        <f t="shared" si="1020"/>
        <v>-758282.45555110183</v>
      </c>
      <c r="R996">
        <f t="shared" si="1021"/>
        <v>-22389336.162319649</v>
      </c>
      <c r="S996">
        <f t="shared" si="1022"/>
        <v>-223.89336162319648</v>
      </c>
      <c r="T996">
        <f t="shared" si="1023"/>
        <v>-0.22389336162319648</v>
      </c>
    </row>
    <row r="997" spans="1:20" x14ac:dyDescent="0.25">
      <c r="A997" s="5">
        <v>43596</v>
      </c>
      <c r="B997">
        <v>0.61599999999999999</v>
      </c>
      <c r="C997">
        <v>0.7</v>
      </c>
      <c r="D997">
        <v>0.60150000000000003</v>
      </c>
      <c r="E997">
        <v>0.63859999999999995</v>
      </c>
      <c r="F997">
        <v>1479650.81</v>
      </c>
      <c r="G997">
        <v>0</v>
      </c>
      <c r="L997" t="s">
        <v>8</v>
      </c>
      <c r="M997" t="s">
        <v>8</v>
      </c>
      <c r="N997" t="s">
        <v>7</v>
      </c>
      <c r="P997">
        <f t="shared" si="1019"/>
        <v>-0.24670050761421441</v>
      </c>
      <c r="Q997">
        <f t="shared" si="1020"/>
        <v>-365030.60591878352</v>
      </c>
      <c r="R997">
        <f t="shared" si="1021"/>
        <v>-21631053.706768546</v>
      </c>
      <c r="S997">
        <f t="shared" si="1022"/>
        <v>-216.31053706768546</v>
      </c>
      <c r="T997">
        <f t="shared" si="1023"/>
        <v>-0.21631053706768547</v>
      </c>
    </row>
    <row r="998" spans="1:20" x14ac:dyDescent="0.25">
      <c r="A998" s="5">
        <v>43595</v>
      </c>
      <c r="B998">
        <v>0.59789999999999999</v>
      </c>
      <c r="C998">
        <v>0.63139999999999996</v>
      </c>
      <c r="D998">
        <v>0.57599999999999996</v>
      </c>
      <c r="E998">
        <v>0.61419999999999997</v>
      </c>
      <c r="F998">
        <v>442203.08</v>
      </c>
      <c r="G998">
        <v>0</v>
      </c>
      <c r="L998" t="s">
        <v>7</v>
      </c>
      <c r="M998" t="s">
        <v>7</v>
      </c>
      <c r="N998" t="s">
        <v>7</v>
      </c>
      <c r="P998">
        <f t="shared" si="1019"/>
        <v>0.37906137184115551</v>
      </c>
      <c r="Q998">
        <f t="shared" si="1020"/>
        <v>167622.10613718425</v>
      </c>
      <c r="R998">
        <f t="shared" si="1021"/>
        <v>-21266023.100849763</v>
      </c>
      <c r="S998">
        <f t="shared" si="1022"/>
        <v>-212.66023100849762</v>
      </c>
      <c r="T998">
        <f t="shared" si="1023"/>
        <v>-0.21266023100849762</v>
      </c>
    </row>
    <row r="999" spans="1:20" x14ac:dyDescent="0.25">
      <c r="A999" s="5">
        <v>43594</v>
      </c>
      <c r="B999">
        <v>0.66920000000000002</v>
      </c>
      <c r="C999">
        <v>0.68799999999999994</v>
      </c>
      <c r="D999">
        <v>0.58799999999999997</v>
      </c>
      <c r="E999">
        <v>0.59789999999999999</v>
      </c>
      <c r="F999">
        <v>821783.73</v>
      </c>
      <c r="G999">
        <v>0</v>
      </c>
      <c r="L999" t="s">
        <v>7</v>
      </c>
      <c r="M999" t="s">
        <v>7</v>
      </c>
      <c r="N999" t="s">
        <v>7</v>
      </c>
      <c r="P999">
        <f t="shared" si="1019"/>
        <v>-0.8019999999999996</v>
      </c>
      <c r="Q999">
        <f t="shared" si="1020"/>
        <v>-659070.55145999964</v>
      </c>
      <c r="R999">
        <f t="shared" si="1021"/>
        <v>-21433645.206986945</v>
      </c>
      <c r="S999">
        <f t="shared" si="1022"/>
        <v>-214.33645206986944</v>
      </c>
      <c r="T999">
        <f t="shared" si="1023"/>
        <v>-0.21433645206986943</v>
      </c>
    </row>
    <row r="1000" spans="1:20" x14ac:dyDescent="0.25">
      <c r="A1000" s="5">
        <v>43593</v>
      </c>
      <c r="B1000">
        <v>0.66300000000000003</v>
      </c>
      <c r="C1000">
        <v>0.70430000000000004</v>
      </c>
      <c r="D1000">
        <v>0.6522</v>
      </c>
      <c r="E1000">
        <v>0.66379999999999995</v>
      </c>
      <c r="F1000">
        <v>360709.65</v>
      </c>
      <c r="G1000">
        <v>0</v>
      </c>
      <c r="L1000" t="s">
        <v>7</v>
      </c>
      <c r="M1000" t="s">
        <v>7</v>
      </c>
      <c r="N1000" t="s">
        <v>7</v>
      </c>
      <c r="P1000">
        <f t="shared" si="1019"/>
        <v>-0.55470249520153803</v>
      </c>
      <c r="Q1000">
        <f t="shared" si="1020"/>
        <v>-200086.54289827347</v>
      </c>
      <c r="R1000">
        <f t="shared" si="1021"/>
        <v>-20774574.655526947</v>
      </c>
      <c r="S1000">
        <f t="shared" si="1022"/>
        <v>-207.74574655526948</v>
      </c>
      <c r="T1000">
        <f t="shared" si="1023"/>
        <v>-0.20774574655526948</v>
      </c>
    </row>
    <row r="1001" spans="1:20" x14ac:dyDescent="0.25">
      <c r="A1001" s="5">
        <v>43592</v>
      </c>
      <c r="B1001">
        <v>0.69320000000000004</v>
      </c>
      <c r="C1001">
        <v>0.7278</v>
      </c>
      <c r="D1001">
        <v>0.66120000000000001</v>
      </c>
      <c r="E1001">
        <v>0.66300000000000003</v>
      </c>
      <c r="F1001">
        <v>816216.82</v>
      </c>
      <c r="G1001">
        <v>0</v>
      </c>
      <c r="L1001" t="s">
        <v>8</v>
      </c>
      <c r="M1001" t="s">
        <v>7</v>
      </c>
      <c r="N1001" t="s">
        <v>7</v>
      </c>
      <c r="P1001">
        <f t="shared" si="1019"/>
        <v>-0.94594594594594528</v>
      </c>
      <c r="Q1001">
        <f t="shared" si="1020"/>
        <v>-772096.99189189135</v>
      </c>
      <c r="R1001">
        <f t="shared" si="1021"/>
        <v>-20574488.112628672</v>
      </c>
      <c r="S1001">
        <f t="shared" si="1022"/>
        <v>-205.74488112628671</v>
      </c>
      <c r="T1001">
        <f t="shared" si="1023"/>
        <v>-0.20574488112628672</v>
      </c>
    </row>
    <row r="1002" spans="1:20" x14ac:dyDescent="0.25">
      <c r="A1002" s="5">
        <v>43591</v>
      </c>
      <c r="B1002">
        <v>0.6734</v>
      </c>
      <c r="C1002">
        <v>0.71350000000000002</v>
      </c>
      <c r="D1002">
        <v>0.65810000000000002</v>
      </c>
      <c r="E1002">
        <v>0.69310000000000005</v>
      </c>
      <c r="F1002">
        <v>685738.74</v>
      </c>
      <c r="G1002">
        <v>0</v>
      </c>
      <c r="L1002" t="s">
        <v>8</v>
      </c>
      <c r="M1002" t="s">
        <v>7</v>
      </c>
      <c r="N1002" t="s">
        <v>7</v>
      </c>
      <c r="P1002">
        <f t="shared" si="1019"/>
        <v>0.26353790613718514</v>
      </c>
      <c r="Q1002">
        <f t="shared" si="1020"/>
        <v>180718.15169675159</v>
      </c>
      <c r="R1002">
        <f t="shared" si="1021"/>
        <v>-19802391.120736782</v>
      </c>
      <c r="S1002">
        <f t="shared" si="1022"/>
        <v>-198.0239112073678</v>
      </c>
      <c r="T1002">
        <f t="shared" si="1023"/>
        <v>-0.19802391120736781</v>
      </c>
    </row>
    <row r="1003" spans="1:20" x14ac:dyDescent="0.25">
      <c r="A1003" s="5">
        <v>43590</v>
      </c>
      <c r="B1003">
        <v>0.65800000000000003</v>
      </c>
      <c r="C1003">
        <v>0.7</v>
      </c>
      <c r="D1003">
        <v>0.65329999999999999</v>
      </c>
      <c r="E1003">
        <v>0.67349999999999999</v>
      </c>
      <c r="F1003">
        <v>643504.77</v>
      </c>
      <c r="G1003">
        <v>0</v>
      </c>
      <c r="L1003" t="s">
        <v>7</v>
      </c>
      <c r="M1003" t="s">
        <v>7</v>
      </c>
      <c r="N1003" t="s">
        <v>7</v>
      </c>
      <c r="P1003">
        <f t="shared" si="1019"/>
        <v>-0.13490364025695883</v>
      </c>
      <c r="Q1003">
        <f t="shared" si="1020"/>
        <v>-86811.135995717035</v>
      </c>
      <c r="R1003">
        <f t="shared" si="1021"/>
        <v>-19983109.272433534</v>
      </c>
      <c r="S1003">
        <f t="shared" si="1022"/>
        <v>-199.83109272433535</v>
      </c>
      <c r="T1003">
        <f t="shared" si="1023"/>
        <v>-0.19983109272433536</v>
      </c>
    </row>
    <row r="1004" spans="1:20" x14ac:dyDescent="0.25">
      <c r="A1004" s="5">
        <v>43589</v>
      </c>
      <c r="B1004">
        <v>0.68810000000000004</v>
      </c>
      <c r="C1004">
        <v>0.73460000000000003</v>
      </c>
      <c r="D1004">
        <v>0.64849999999999997</v>
      </c>
      <c r="E1004">
        <v>0.66010000000000002</v>
      </c>
      <c r="F1004">
        <v>445547.64</v>
      </c>
      <c r="G1004">
        <v>0</v>
      </c>
      <c r="L1004" t="s">
        <v>7</v>
      </c>
      <c r="M1004" t="s">
        <v>7</v>
      </c>
      <c r="N1004" t="s">
        <v>7</v>
      </c>
      <c r="P1004">
        <f t="shared" si="1019"/>
        <v>-0.73054587688733919</v>
      </c>
      <c r="Q1004">
        <f t="shared" si="1020"/>
        <v>-325492.99135888455</v>
      </c>
      <c r="R1004">
        <f t="shared" si="1021"/>
        <v>-19896298.136437818</v>
      </c>
      <c r="S1004">
        <f t="shared" si="1022"/>
        <v>-198.96298136437818</v>
      </c>
      <c r="T1004">
        <f t="shared" si="1023"/>
        <v>-0.19896298136437818</v>
      </c>
    </row>
    <row r="1005" spans="1:20" x14ac:dyDescent="0.25">
      <c r="A1005" s="5">
        <v>43588</v>
      </c>
      <c r="B1005">
        <v>0.69340000000000002</v>
      </c>
      <c r="C1005">
        <v>0.70040000000000002</v>
      </c>
      <c r="D1005">
        <v>0.67400000000000004</v>
      </c>
      <c r="E1005">
        <v>0.68910000000000005</v>
      </c>
      <c r="F1005">
        <v>392694.6</v>
      </c>
      <c r="G1005">
        <v>0</v>
      </c>
      <c r="L1005" t="s">
        <v>7</v>
      </c>
      <c r="M1005" t="s">
        <v>7</v>
      </c>
      <c r="N1005" t="s">
        <v>7</v>
      </c>
      <c r="P1005">
        <f t="shared" si="1019"/>
        <v>0.14393939393939503</v>
      </c>
      <c r="Q1005">
        <f t="shared" si="1020"/>
        <v>56524.222727273154</v>
      </c>
      <c r="R1005">
        <f t="shared" si="1021"/>
        <v>-19570805.145078935</v>
      </c>
      <c r="S1005">
        <f t="shared" si="1022"/>
        <v>-195.70805145078936</v>
      </c>
      <c r="T1005">
        <f t="shared" si="1023"/>
        <v>-0.19570805145078934</v>
      </c>
    </row>
    <row r="1006" spans="1:20" x14ac:dyDescent="0.25">
      <c r="A1006" s="5">
        <v>43587</v>
      </c>
      <c r="B1006">
        <v>0.71260000000000001</v>
      </c>
      <c r="C1006">
        <v>0.72550000000000003</v>
      </c>
      <c r="D1006">
        <v>0.69340000000000002</v>
      </c>
      <c r="E1006">
        <v>0.69340000000000002</v>
      </c>
      <c r="F1006">
        <v>331562.7</v>
      </c>
      <c r="G1006">
        <v>0</v>
      </c>
      <c r="L1006" t="s">
        <v>7</v>
      </c>
      <c r="M1006" t="s">
        <v>7</v>
      </c>
      <c r="N1006" t="s">
        <v>7</v>
      </c>
      <c r="P1006">
        <f t="shared" si="1019"/>
        <v>-1</v>
      </c>
      <c r="Q1006">
        <f t="shared" si="1020"/>
        <v>-331562.7</v>
      </c>
      <c r="R1006">
        <f t="shared" si="1021"/>
        <v>-19627329.367806207</v>
      </c>
      <c r="S1006">
        <f t="shared" si="1022"/>
        <v>-196.27329367806206</v>
      </c>
      <c r="T1006">
        <f t="shared" si="1023"/>
        <v>-0.19627329367806207</v>
      </c>
    </row>
    <row r="1007" spans="1:20" x14ac:dyDescent="0.25">
      <c r="A1007" s="5">
        <v>43586</v>
      </c>
      <c r="B1007">
        <v>0.71809999999999996</v>
      </c>
      <c r="C1007">
        <v>0.74739999999999995</v>
      </c>
      <c r="D1007">
        <v>0.70009999999999994</v>
      </c>
      <c r="E1007">
        <v>0.7107</v>
      </c>
      <c r="F1007">
        <v>400244.43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-0.551797040169131</v>
      </c>
      <c r="Q1007">
        <f t="shared" si="1020"/>
        <v>-220853.69181818093</v>
      </c>
      <c r="R1007">
        <f t="shared" si="1021"/>
        <v>-19295766.667806208</v>
      </c>
      <c r="S1007">
        <f t="shared" si="1022"/>
        <v>-192.95766667806208</v>
      </c>
      <c r="T1007">
        <f t="shared" si="1023"/>
        <v>-0.19295766667806208</v>
      </c>
    </row>
    <row r="1008" spans="1:20" x14ac:dyDescent="0.25">
      <c r="A1008" s="5">
        <v>43585</v>
      </c>
      <c r="B1008">
        <v>0.69579999999999997</v>
      </c>
      <c r="C1008">
        <v>0.72440000000000004</v>
      </c>
      <c r="D1008">
        <v>0.68469999999999998</v>
      </c>
      <c r="E1008">
        <v>0.71899999999999997</v>
      </c>
      <c r="F1008">
        <v>263765.92</v>
      </c>
      <c r="G1008">
        <v>0</v>
      </c>
      <c r="L1008" t="s">
        <v>8</v>
      </c>
      <c r="M1008" t="s">
        <v>7</v>
      </c>
      <c r="N1008" t="s">
        <v>7</v>
      </c>
      <c r="P1008">
        <f t="shared" si="1019"/>
        <v>0.7279596977329944</v>
      </c>
      <c r="Q1008">
        <f t="shared" si="1020"/>
        <v>192010.95939546518</v>
      </c>
      <c r="R1008">
        <f t="shared" si="1021"/>
        <v>-19074912.975988027</v>
      </c>
      <c r="S1008">
        <f t="shared" si="1022"/>
        <v>-190.74912975988028</v>
      </c>
      <c r="T1008">
        <f t="shared" si="1023"/>
        <v>-0.19074912975988029</v>
      </c>
    </row>
    <row r="1009" spans="1:20" x14ac:dyDescent="0.25">
      <c r="A1009" s="5">
        <v>43584</v>
      </c>
      <c r="B1009">
        <v>0.7208</v>
      </c>
      <c r="C1009">
        <v>0.754</v>
      </c>
      <c r="D1009">
        <v>0.65710000000000002</v>
      </c>
      <c r="E1009">
        <v>0.6946</v>
      </c>
      <c r="F1009">
        <v>734618.51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-0.22600619195046476</v>
      </c>
      <c r="Q1009">
        <f t="shared" si="1020"/>
        <v>-166028.33198142442</v>
      </c>
      <c r="R1009">
        <f t="shared" si="1021"/>
        <v>-19266923.935383491</v>
      </c>
      <c r="S1009">
        <f t="shared" si="1022"/>
        <v>-192.66923935383491</v>
      </c>
      <c r="T1009">
        <f t="shared" si="1023"/>
        <v>-0.1926692393538349</v>
      </c>
    </row>
    <row r="1010" spans="1:20" x14ac:dyDescent="0.25">
      <c r="A1010" s="5">
        <v>43583</v>
      </c>
      <c r="B1010">
        <v>0.73440000000000005</v>
      </c>
      <c r="C1010">
        <v>0.76600000000000001</v>
      </c>
      <c r="D1010">
        <v>0.7147</v>
      </c>
      <c r="E1010">
        <v>0.72209999999999996</v>
      </c>
      <c r="F1010">
        <v>409305.06</v>
      </c>
      <c r="G1010">
        <v>0</v>
      </c>
      <c r="L1010" t="s">
        <v>8</v>
      </c>
      <c r="M1010" t="s">
        <v>7</v>
      </c>
      <c r="N1010" t="s">
        <v>7</v>
      </c>
      <c r="P1010">
        <f t="shared" si="1019"/>
        <v>-0.71150097465887097</v>
      </c>
      <c r="Q1010">
        <f t="shared" si="1020"/>
        <v>-291220.94912280765</v>
      </c>
      <c r="R1010">
        <f t="shared" si="1021"/>
        <v>-19100895.603402067</v>
      </c>
      <c r="S1010">
        <f t="shared" si="1022"/>
        <v>-191.00895603402066</v>
      </c>
      <c r="T1010">
        <f t="shared" si="1023"/>
        <v>-0.19100895603402065</v>
      </c>
    </row>
    <row r="1011" spans="1:20" x14ac:dyDescent="0.25">
      <c r="A1011" s="5">
        <v>43582</v>
      </c>
      <c r="B1011">
        <v>0.74770000000000003</v>
      </c>
      <c r="C1011">
        <v>0.76280000000000003</v>
      </c>
      <c r="D1011">
        <v>0.72209999999999996</v>
      </c>
      <c r="E1011">
        <v>0.73480000000000001</v>
      </c>
      <c r="F1011">
        <v>372201</v>
      </c>
      <c r="G1011">
        <v>0</v>
      </c>
      <c r="L1011" t="s">
        <v>8</v>
      </c>
      <c r="M1011" t="s">
        <v>7</v>
      </c>
      <c r="N1011" t="s">
        <v>7</v>
      </c>
      <c r="P1011">
        <f t="shared" si="1019"/>
        <v>-0.37592137592137481</v>
      </c>
      <c r="Q1011">
        <f t="shared" si="1020"/>
        <v>-139918.31203931163</v>
      </c>
      <c r="R1011">
        <f t="shared" si="1021"/>
        <v>-18809674.654279258</v>
      </c>
      <c r="S1011">
        <f t="shared" si="1022"/>
        <v>-188.09674654279257</v>
      </c>
      <c r="T1011">
        <f t="shared" si="1023"/>
        <v>-0.18809674654279257</v>
      </c>
    </row>
    <row r="1012" spans="1:20" x14ac:dyDescent="0.25">
      <c r="A1012" s="5">
        <v>43581</v>
      </c>
      <c r="B1012">
        <v>0.72889999999999999</v>
      </c>
      <c r="C1012">
        <v>0.82879999999999998</v>
      </c>
      <c r="D1012">
        <v>0.69020000000000004</v>
      </c>
      <c r="E1012">
        <v>0.74760000000000004</v>
      </c>
      <c r="F1012">
        <v>1996001.01</v>
      </c>
      <c r="G1012">
        <v>0</v>
      </c>
      <c r="L1012" t="s">
        <v>7</v>
      </c>
      <c r="M1012" t="s">
        <v>7</v>
      </c>
      <c r="N1012" t="s">
        <v>7</v>
      </c>
      <c r="P1012">
        <f t="shared" si="1019"/>
        <v>-0.1717171717171713</v>
      </c>
      <c r="Q1012">
        <f t="shared" si="1020"/>
        <v>-342747.64818181732</v>
      </c>
      <c r="R1012">
        <f t="shared" si="1021"/>
        <v>-18669756.342239946</v>
      </c>
      <c r="S1012">
        <f t="shared" si="1022"/>
        <v>-186.69756342239947</v>
      </c>
      <c r="T1012">
        <f t="shared" si="1023"/>
        <v>-0.18669756342239946</v>
      </c>
    </row>
    <row r="1013" spans="1:20" x14ac:dyDescent="0.25">
      <c r="A1013" s="5">
        <v>43580</v>
      </c>
      <c r="B1013">
        <v>0.83</v>
      </c>
      <c r="C1013">
        <v>0.85970000000000002</v>
      </c>
      <c r="D1013">
        <v>0.72160000000000002</v>
      </c>
      <c r="E1013">
        <v>0.72899999999999998</v>
      </c>
      <c r="F1013">
        <v>1520691.78</v>
      </c>
      <c r="G1013">
        <v>0</v>
      </c>
      <c r="L1013" t="s">
        <v>7</v>
      </c>
      <c r="M1013" t="s">
        <v>7</v>
      </c>
      <c r="N1013" t="s">
        <v>7</v>
      </c>
      <c r="P1013">
        <f t="shared" si="1019"/>
        <v>-0.89283128167994263</v>
      </c>
      <c r="Q1013">
        <f t="shared" si="1020"/>
        <v>-1357721.1909775534</v>
      </c>
      <c r="R1013">
        <f t="shared" si="1021"/>
        <v>-18327008.694058128</v>
      </c>
      <c r="S1013">
        <f t="shared" si="1022"/>
        <v>-183.27008694058128</v>
      </c>
      <c r="T1013">
        <f t="shared" si="1023"/>
        <v>-0.18327008694058128</v>
      </c>
    </row>
    <row r="1014" spans="1:20" x14ac:dyDescent="0.25">
      <c r="A1014" s="5">
        <v>43579</v>
      </c>
      <c r="B1014">
        <v>0.95020000000000004</v>
      </c>
      <c r="C1014">
        <v>1.0034000000000001</v>
      </c>
      <c r="D1014">
        <v>0.78649999999999998</v>
      </c>
      <c r="E1014">
        <v>0.82899999999999996</v>
      </c>
      <c r="F1014">
        <v>3212747.22</v>
      </c>
      <c r="G1014">
        <v>0</v>
      </c>
      <c r="L1014" t="s">
        <v>8</v>
      </c>
      <c r="M1014" t="s">
        <v>8</v>
      </c>
      <c r="N1014" t="s">
        <v>8</v>
      </c>
      <c r="P1014">
        <f t="shared" si="1019"/>
        <v>-0.60811433840479512</v>
      </c>
      <c r="Q1014">
        <f t="shared" si="1020"/>
        <v>-1953717.650152145</v>
      </c>
      <c r="R1014">
        <f t="shared" si="1021"/>
        <v>-16969287.503080573</v>
      </c>
      <c r="S1014">
        <f t="shared" si="1022"/>
        <v>-169.69287503080574</v>
      </c>
      <c r="T1014">
        <f t="shared" si="1023"/>
        <v>-0.16969287503080574</v>
      </c>
    </row>
    <row r="1015" spans="1:20" x14ac:dyDescent="0.25">
      <c r="A1015" s="5">
        <v>43578</v>
      </c>
      <c r="B1015">
        <v>0.85099999999999998</v>
      </c>
      <c r="C1015">
        <v>0.98329999999999995</v>
      </c>
      <c r="D1015">
        <v>0.84619999999999995</v>
      </c>
      <c r="E1015">
        <v>0.95</v>
      </c>
      <c r="F1015">
        <v>1480985.85</v>
      </c>
      <c r="G1015">
        <v>0</v>
      </c>
      <c r="L1015" t="s">
        <v>8</v>
      </c>
      <c r="M1015" t="s">
        <v>8</v>
      </c>
      <c r="N1015" t="s">
        <v>8</v>
      </c>
      <c r="P1015">
        <f t="shared" si="1019"/>
        <v>0.51422319474835887</v>
      </c>
      <c r="Q1015">
        <f t="shared" si="1020"/>
        <v>761557.27516411385</v>
      </c>
      <c r="R1015">
        <f t="shared" si="1021"/>
        <v>-15015569.852928428</v>
      </c>
      <c r="S1015">
        <f t="shared" si="1022"/>
        <v>-150.15569852928428</v>
      </c>
      <c r="T1015">
        <f t="shared" si="1023"/>
        <v>-0.15015569852928429</v>
      </c>
    </row>
    <row r="1016" spans="1:20" x14ac:dyDescent="0.25">
      <c r="A1016" s="5">
        <v>43577</v>
      </c>
      <c r="B1016">
        <v>0.83420000000000005</v>
      </c>
      <c r="C1016">
        <v>0.8881</v>
      </c>
      <c r="D1016">
        <v>0.82499999999999996</v>
      </c>
      <c r="E1016">
        <v>0.85350000000000004</v>
      </c>
      <c r="F1016">
        <v>460841.17</v>
      </c>
      <c r="G1016">
        <v>0</v>
      </c>
      <c r="L1016" t="s">
        <v>8</v>
      </c>
      <c r="M1016" t="s">
        <v>8</v>
      </c>
      <c r="N1016" t="s">
        <v>8</v>
      </c>
      <c r="P1016">
        <f t="shared" si="1019"/>
        <v>-9.6671949286844361E-2</v>
      </c>
      <c r="Q1016">
        <f t="shared" si="1020"/>
        <v>-44550.414215530021</v>
      </c>
      <c r="R1016">
        <f t="shared" si="1021"/>
        <v>-15777127.128092542</v>
      </c>
      <c r="S1016">
        <f t="shared" si="1022"/>
        <v>-157.77127128092542</v>
      </c>
      <c r="T1016">
        <f t="shared" si="1023"/>
        <v>-0.15777127128092541</v>
      </c>
    </row>
    <row r="1017" spans="1:20" x14ac:dyDescent="0.25">
      <c r="A1017" s="5">
        <v>43576</v>
      </c>
      <c r="B1017">
        <v>0.88990000000000002</v>
      </c>
      <c r="C1017">
        <v>0.90400000000000003</v>
      </c>
      <c r="D1017">
        <v>0.80020000000000002</v>
      </c>
      <c r="E1017">
        <v>0.83409999999999995</v>
      </c>
      <c r="F1017">
        <v>480836.67</v>
      </c>
      <c r="G1017">
        <v>0</v>
      </c>
      <c r="L1017" t="s">
        <v>7</v>
      </c>
      <c r="M1017" t="s">
        <v>8</v>
      </c>
      <c r="N1017" t="s">
        <v>8</v>
      </c>
      <c r="P1017">
        <f t="shared" si="1019"/>
        <v>-0.34682080924855629</v>
      </c>
      <c r="Q1017">
        <f t="shared" si="1020"/>
        <v>-166764.16300578101</v>
      </c>
      <c r="R1017">
        <f t="shared" si="1021"/>
        <v>-15732576.713877013</v>
      </c>
      <c r="S1017">
        <f t="shared" si="1022"/>
        <v>-157.32576713877012</v>
      </c>
      <c r="T1017">
        <f t="shared" si="1023"/>
        <v>-0.15732576713877011</v>
      </c>
    </row>
    <row r="1018" spans="1:20" x14ac:dyDescent="0.25">
      <c r="A1018" s="5">
        <v>43575</v>
      </c>
      <c r="B1018">
        <v>0.86699999999999999</v>
      </c>
      <c r="C1018">
        <v>0.8952</v>
      </c>
      <c r="D1018">
        <v>0.85980000000000001</v>
      </c>
      <c r="E1018">
        <v>0.89129999999999998</v>
      </c>
      <c r="F1018">
        <v>486006.57</v>
      </c>
      <c r="G1018">
        <v>0</v>
      </c>
      <c r="L1018" t="s">
        <v>7</v>
      </c>
      <c r="M1018" t="s">
        <v>8</v>
      </c>
      <c r="N1018" t="s">
        <v>8</v>
      </c>
      <c r="P1018">
        <f t="shared" si="1019"/>
        <v>0.77966101694915169</v>
      </c>
      <c r="Q1018">
        <f t="shared" si="1020"/>
        <v>378920.37661016907</v>
      </c>
      <c r="R1018">
        <f t="shared" si="1021"/>
        <v>-15565812.550871233</v>
      </c>
      <c r="S1018">
        <f t="shared" si="1022"/>
        <v>-155.65812550871232</v>
      </c>
      <c r="T1018">
        <f t="shared" si="1023"/>
        <v>-0.15565812550871233</v>
      </c>
    </row>
    <row r="1019" spans="1:20" x14ac:dyDescent="0.25">
      <c r="A1019" s="5">
        <v>43574</v>
      </c>
      <c r="B1019">
        <v>0.86819999999999997</v>
      </c>
      <c r="C1019">
        <v>0.88919999999999999</v>
      </c>
      <c r="D1019">
        <v>0.84360000000000002</v>
      </c>
      <c r="E1019">
        <v>0.86809999999999998</v>
      </c>
      <c r="F1019">
        <v>488829.36</v>
      </c>
      <c r="G1019">
        <v>0</v>
      </c>
      <c r="L1019" t="s">
        <v>7</v>
      </c>
      <c r="M1019" t="s">
        <v>8</v>
      </c>
      <c r="N1019" t="s">
        <v>8</v>
      </c>
      <c r="P1019">
        <f t="shared" si="1019"/>
        <v>7.4561403508771065E-2</v>
      </c>
      <c r="Q1019">
        <f t="shared" si="1020"/>
        <v>36447.803157894312</v>
      </c>
      <c r="R1019">
        <f t="shared" si="1021"/>
        <v>-15944732.927481402</v>
      </c>
      <c r="S1019">
        <f t="shared" si="1022"/>
        <v>-159.44732927481402</v>
      </c>
      <c r="T1019">
        <f t="shared" si="1023"/>
        <v>-0.15944732927481403</v>
      </c>
    </row>
    <row r="1020" spans="1:20" x14ac:dyDescent="0.25">
      <c r="A1020" s="5">
        <v>43573</v>
      </c>
      <c r="B1020">
        <v>0.9002</v>
      </c>
      <c r="C1020">
        <v>0.91279999999999994</v>
      </c>
      <c r="D1020">
        <v>0.85729999999999995</v>
      </c>
      <c r="E1020">
        <v>0.86950000000000005</v>
      </c>
      <c r="F1020">
        <v>538546.18000000005</v>
      </c>
      <c r="G1020">
        <v>0</v>
      </c>
      <c r="L1020" t="s">
        <v>8</v>
      </c>
      <c r="M1020" t="s">
        <v>8</v>
      </c>
      <c r="N1020" t="s">
        <v>8</v>
      </c>
      <c r="P1020">
        <f t="shared" si="1019"/>
        <v>-0.56036036036035675</v>
      </c>
      <c r="Q1020">
        <f t="shared" si="1020"/>
        <v>-301779.93149549357</v>
      </c>
      <c r="R1020">
        <f t="shared" si="1021"/>
        <v>-15981180.730639296</v>
      </c>
      <c r="S1020">
        <f t="shared" si="1022"/>
        <v>-159.81180730639295</v>
      </c>
      <c r="T1020">
        <f t="shared" si="1023"/>
        <v>-0.15981180730639294</v>
      </c>
    </row>
    <row r="1021" spans="1:20" x14ac:dyDescent="0.25">
      <c r="A1021" s="5">
        <v>43572</v>
      </c>
      <c r="B1021">
        <v>0.85419999999999996</v>
      </c>
      <c r="C1021">
        <v>0.92120000000000002</v>
      </c>
      <c r="D1021">
        <v>0.8488</v>
      </c>
      <c r="E1021">
        <v>0.89990000000000003</v>
      </c>
      <c r="F1021">
        <v>1386081.73</v>
      </c>
      <c r="G1021">
        <v>0</v>
      </c>
      <c r="L1021" t="s">
        <v>8</v>
      </c>
      <c r="M1021" t="s">
        <v>8</v>
      </c>
      <c r="N1021" t="s">
        <v>8</v>
      </c>
      <c r="P1021">
        <f t="shared" si="1019"/>
        <v>0.41160220994475194</v>
      </c>
      <c r="Q1021">
        <f t="shared" si="1020"/>
        <v>570514.30323204491</v>
      </c>
      <c r="R1021">
        <f t="shared" si="1021"/>
        <v>-15679400.799143802</v>
      </c>
      <c r="S1021">
        <f t="shared" si="1022"/>
        <v>-156.79400799143804</v>
      </c>
      <c r="T1021">
        <f t="shared" si="1023"/>
        <v>-0.15679400799143803</v>
      </c>
    </row>
    <row r="1022" spans="1:20" x14ac:dyDescent="0.25">
      <c r="A1022" s="5">
        <v>43571</v>
      </c>
      <c r="B1022">
        <v>0.84630000000000005</v>
      </c>
      <c r="C1022">
        <v>0.9</v>
      </c>
      <c r="D1022">
        <v>0.82</v>
      </c>
      <c r="E1022">
        <v>0.85109999999999997</v>
      </c>
      <c r="F1022">
        <v>998030.66</v>
      </c>
      <c r="G1022">
        <v>0</v>
      </c>
      <c r="L1022" t="s">
        <v>7</v>
      </c>
      <c r="M1022" t="s">
        <v>8</v>
      </c>
      <c r="N1022" t="s">
        <v>8</v>
      </c>
      <c r="P1022">
        <f t="shared" si="1019"/>
        <v>-0.22250000000000028</v>
      </c>
      <c r="Q1022">
        <f t="shared" si="1020"/>
        <v>-222061.8218500003</v>
      </c>
      <c r="R1022">
        <f t="shared" si="1021"/>
        <v>-16249915.102375848</v>
      </c>
      <c r="S1022">
        <f t="shared" si="1022"/>
        <v>-162.49915102375849</v>
      </c>
      <c r="T1022">
        <f t="shared" si="1023"/>
        <v>-0.16249915102375848</v>
      </c>
    </row>
    <row r="1023" spans="1:20" x14ac:dyDescent="0.25">
      <c r="A1023" s="5">
        <v>43570</v>
      </c>
      <c r="B1023">
        <v>0.81410000000000005</v>
      </c>
      <c r="C1023">
        <v>0.92989999999999995</v>
      </c>
      <c r="D1023">
        <v>0.81020000000000003</v>
      </c>
      <c r="E1023">
        <v>0.84660000000000002</v>
      </c>
      <c r="F1023">
        <v>2080895.9</v>
      </c>
      <c r="G1023">
        <v>0</v>
      </c>
      <c r="L1023" t="s">
        <v>8</v>
      </c>
      <c r="M1023" t="s">
        <v>8</v>
      </c>
      <c r="N1023" t="s">
        <v>8</v>
      </c>
      <c r="P1023">
        <f t="shared" ref="P1023:P1086" si="1024">IF(C1023=D1023,0,((E1023-D1023)-(C1023-E1023))/(C1023-D1023))</f>
        <v>-0.39181286549707578</v>
      </c>
      <c r="Q1023">
        <f t="shared" ref="Q1023:Q1086" si="1025">F1023*P1023</f>
        <v>-815321.78538011643</v>
      </c>
      <c r="R1023">
        <f t="shared" ref="R1023:R1086" si="1026">R1024+Q1023</f>
        <v>-16027853.280525848</v>
      </c>
      <c r="S1023">
        <f t="shared" ref="S1023:S1086" si="1027">R1023/100000</f>
        <v>-160.27853280525849</v>
      </c>
      <c r="T1023">
        <f t="shared" ref="T1023:T1086" si="1028">S1023/1000</f>
        <v>-0.1602785328052585</v>
      </c>
    </row>
    <row r="1024" spans="1:20" x14ac:dyDescent="0.25">
      <c r="A1024" s="5">
        <v>43569</v>
      </c>
      <c r="B1024">
        <v>0.80279999999999996</v>
      </c>
      <c r="C1024">
        <v>0.82299999999999995</v>
      </c>
      <c r="D1024">
        <v>0.78720000000000001</v>
      </c>
      <c r="E1024">
        <v>0.81379999999999997</v>
      </c>
      <c r="F1024">
        <v>230015.38</v>
      </c>
      <c r="G1024">
        <v>0</v>
      </c>
      <c r="L1024" t="s">
        <v>7</v>
      </c>
      <c r="M1024" t="s">
        <v>7</v>
      </c>
      <c r="N1024" t="s">
        <v>8</v>
      </c>
      <c r="P1024">
        <f t="shared" si="1024"/>
        <v>0.48603351955307261</v>
      </c>
      <c r="Q1024">
        <f t="shared" si="1025"/>
        <v>111795.18469273743</v>
      </c>
      <c r="R1024">
        <f t="shared" si="1026"/>
        <v>-15212531.495145733</v>
      </c>
      <c r="S1024">
        <f t="shared" si="1027"/>
        <v>-152.12531495145731</v>
      </c>
      <c r="T1024">
        <f t="shared" si="1028"/>
        <v>-0.15212531495145731</v>
      </c>
    </row>
    <row r="1025" spans="1:20" x14ac:dyDescent="0.25">
      <c r="A1025" s="5">
        <v>43568</v>
      </c>
      <c r="B1025">
        <v>0.83199999999999996</v>
      </c>
      <c r="C1025">
        <v>0.83930000000000005</v>
      </c>
      <c r="D1025">
        <v>0.79</v>
      </c>
      <c r="E1025">
        <v>0.80279999999999996</v>
      </c>
      <c r="F1025">
        <v>320336.08</v>
      </c>
      <c r="G1025">
        <v>0</v>
      </c>
      <c r="L1025" t="s">
        <v>8</v>
      </c>
      <c r="M1025" t="s">
        <v>7</v>
      </c>
      <c r="N1025" t="s">
        <v>8</v>
      </c>
      <c r="P1025">
        <f t="shared" si="1024"/>
        <v>-0.48073022312373548</v>
      </c>
      <c r="Q1025">
        <f t="shared" si="1025"/>
        <v>-153995.23521298278</v>
      </c>
      <c r="R1025">
        <f t="shared" si="1026"/>
        <v>-15324326.679838469</v>
      </c>
      <c r="S1025">
        <f t="shared" si="1027"/>
        <v>-153.2432667983847</v>
      </c>
      <c r="T1025">
        <f t="shared" si="1028"/>
        <v>-0.15324326679838471</v>
      </c>
    </row>
    <row r="1026" spans="1:20" x14ac:dyDescent="0.25">
      <c r="A1026" s="5">
        <v>43567</v>
      </c>
      <c r="B1026">
        <v>0.80259999999999998</v>
      </c>
      <c r="C1026">
        <v>0.83899999999999997</v>
      </c>
      <c r="D1026">
        <v>0.75380000000000003</v>
      </c>
      <c r="E1026">
        <v>0.83120000000000005</v>
      </c>
      <c r="F1026">
        <v>396338.66</v>
      </c>
      <c r="G1026">
        <v>0</v>
      </c>
      <c r="L1026" t="s">
        <v>7</v>
      </c>
      <c r="M1026" t="s">
        <v>7</v>
      </c>
      <c r="N1026" t="s">
        <v>8</v>
      </c>
      <c r="P1026">
        <f t="shared" si="1024"/>
        <v>0.81690140845070602</v>
      </c>
      <c r="Q1026">
        <f t="shared" si="1025"/>
        <v>323769.60957746545</v>
      </c>
      <c r="R1026">
        <f t="shared" si="1026"/>
        <v>-15170331.444625486</v>
      </c>
      <c r="S1026">
        <f t="shared" si="1027"/>
        <v>-151.70331444625486</v>
      </c>
      <c r="T1026">
        <f t="shared" si="1028"/>
        <v>-0.15170331444625487</v>
      </c>
    </row>
    <row r="1027" spans="1:20" x14ac:dyDescent="0.25">
      <c r="A1027" s="5">
        <v>43566</v>
      </c>
      <c r="B1027">
        <v>0.92190000000000005</v>
      </c>
      <c r="C1027">
        <v>0.92190000000000005</v>
      </c>
      <c r="D1027">
        <v>0.76570000000000005</v>
      </c>
      <c r="E1027">
        <v>0.80589999999999995</v>
      </c>
      <c r="F1027">
        <v>980723.42</v>
      </c>
      <c r="G1027">
        <v>0</v>
      </c>
      <c r="L1027" t="s">
        <v>7</v>
      </c>
      <c r="M1027" t="s">
        <v>7</v>
      </c>
      <c r="N1027" t="s">
        <v>8</v>
      </c>
      <c r="P1027">
        <f t="shared" si="1024"/>
        <v>-0.48527528809219078</v>
      </c>
      <c r="Q1027">
        <f t="shared" si="1025"/>
        <v>-475920.84017925867</v>
      </c>
      <c r="R1027">
        <f t="shared" si="1026"/>
        <v>-15494101.054202951</v>
      </c>
      <c r="S1027">
        <f t="shared" si="1027"/>
        <v>-154.94101054202952</v>
      </c>
      <c r="T1027">
        <f t="shared" si="1028"/>
        <v>-0.15494101054202952</v>
      </c>
    </row>
    <row r="1028" spans="1:20" x14ac:dyDescent="0.25">
      <c r="A1028" s="5">
        <v>43565</v>
      </c>
      <c r="B1028">
        <v>0.92279999999999995</v>
      </c>
      <c r="C1028">
        <v>0.94179999999999997</v>
      </c>
      <c r="D1028">
        <v>0.87729999999999997</v>
      </c>
      <c r="E1028">
        <v>0.91800000000000004</v>
      </c>
      <c r="F1028">
        <v>639703.96</v>
      </c>
      <c r="G1028">
        <v>0</v>
      </c>
      <c r="L1028" t="s">
        <v>8</v>
      </c>
      <c r="M1028" t="s">
        <v>7</v>
      </c>
      <c r="N1028" t="s">
        <v>8</v>
      </c>
      <c r="P1028">
        <f t="shared" si="1024"/>
        <v>0.26201550387597111</v>
      </c>
      <c r="Q1028">
        <f t="shared" si="1025"/>
        <v>167612.35541085407</v>
      </c>
      <c r="R1028">
        <f t="shared" si="1026"/>
        <v>-15018180.214023693</v>
      </c>
      <c r="S1028">
        <f t="shared" si="1027"/>
        <v>-150.18180214023693</v>
      </c>
      <c r="T1028">
        <f t="shared" si="1028"/>
        <v>-0.15018180214023694</v>
      </c>
    </row>
    <row r="1029" spans="1:20" x14ac:dyDescent="0.25">
      <c r="A1029" s="5">
        <v>43564</v>
      </c>
      <c r="B1029">
        <v>0.90920000000000001</v>
      </c>
      <c r="C1029">
        <v>0.92290000000000005</v>
      </c>
      <c r="D1029">
        <v>0.86</v>
      </c>
      <c r="E1029">
        <v>0.92</v>
      </c>
      <c r="F1029">
        <v>405186.07</v>
      </c>
      <c r="G1029">
        <v>0</v>
      </c>
      <c r="L1029" t="s">
        <v>8</v>
      </c>
      <c r="M1029" t="s">
        <v>7</v>
      </c>
      <c r="N1029" t="s">
        <v>8</v>
      </c>
      <c r="P1029">
        <f t="shared" si="1024"/>
        <v>0.90779014308426043</v>
      </c>
      <c r="Q1029">
        <f t="shared" si="1025"/>
        <v>367823.92046104919</v>
      </c>
      <c r="R1029">
        <f t="shared" si="1026"/>
        <v>-15185792.569434546</v>
      </c>
      <c r="S1029">
        <f t="shared" si="1027"/>
        <v>-151.85792569434545</v>
      </c>
      <c r="T1029">
        <f t="shared" si="1028"/>
        <v>-0.15185792569434545</v>
      </c>
    </row>
    <row r="1030" spans="1:20" x14ac:dyDescent="0.25">
      <c r="A1030" s="5">
        <v>43563</v>
      </c>
      <c r="B1030">
        <v>0.94989999999999997</v>
      </c>
      <c r="C1030">
        <v>0.97</v>
      </c>
      <c r="D1030">
        <v>0.84370000000000001</v>
      </c>
      <c r="E1030">
        <v>0.91</v>
      </c>
      <c r="F1030">
        <v>690715.46</v>
      </c>
      <c r="G1030">
        <v>0</v>
      </c>
      <c r="L1030" t="s">
        <v>7</v>
      </c>
      <c r="M1030" t="s">
        <v>7</v>
      </c>
      <c r="N1030" t="s">
        <v>8</v>
      </c>
      <c r="P1030">
        <f t="shared" si="1024"/>
        <v>4.9881235154394972E-2</v>
      </c>
      <c r="Q1030">
        <f t="shared" si="1025"/>
        <v>34453.740285036089</v>
      </c>
      <c r="R1030">
        <f t="shared" si="1026"/>
        <v>-15553616.489895595</v>
      </c>
      <c r="S1030">
        <f t="shared" si="1027"/>
        <v>-155.53616489895595</v>
      </c>
      <c r="T1030">
        <f t="shared" si="1028"/>
        <v>-0.15553616489895594</v>
      </c>
    </row>
    <row r="1031" spans="1:20" x14ac:dyDescent="0.25">
      <c r="A1031" s="5">
        <v>43562</v>
      </c>
      <c r="B1031">
        <v>0.94550000000000001</v>
      </c>
      <c r="C1031">
        <v>0.96760000000000002</v>
      </c>
      <c r="D1031">
        <v>0.91890000000000005</v>
      </c>
      <c r="E1031">
        <v>0.95</v>
      </c>
      <c r="F1031">
        <v>287423.09999999998</v>
      </c>
      <c r="G1031">
        <v>0</v>
      </c>
      <c r="L1031" t="s">
        <v>7</v>
      </c>
      <c r="M1031" t="s">
        <v>7</v>
      </c>
      <c r="N1031" t="s">
        <v>8</v>
      </c>
      <c r="P1031">
        <f t="shared" si="1024"/>
        <v>0.27720739219712226</v>
      </c>
      <c r="Q1031">
        <f t="shared" si="1025"/>
        <v>79675.808008212683</v>
      </c>
      <c r="R1031">
        <f t="shared" si="1026"/>
        <v>-15588070.23018063</v>
      </c>
      <c r="S1031">
        <f t="shared" si="1027"/>
        <v>-155.88070230180631</v>
      </c>
      <c r="T1031">
        <f t="shared" si="1028"/>
        <v>-0.15588070230180631</v>
      </c>
    </row>
    <row r="1032" spans="1:20" x14ac:dyDescent="0.25">
      <c r="A1032" s="5">
        <v>43561</v>
      </c>
      <c r="B1032">
        <v>0.91420000000000001</v>
      </c>
      <c r="C1032">
        <v>0.98909999999999998</v>
      </c>
      <c r="D1032">
        <v>0.90800000000000003</v>
      </c>
      <c r="E1032">
        <v>0.9446</v>
      </c>
      <c r="F1032">
        <v>536234.52</v>
      </c>
      <c r="G1032">
        <v>0</v>
      </c>
      <c r="L1032" t="s">
        <v>8</v>
      </c>
      <c r="M1032" t="s">
        <v>7</v>
      </c>
      <c r="N1032" t="s">
        <v>8</v>
      </c>
      <c r="P1032">
        <f t="shared" si="1024"/>
        <v>-9.7410604192355407E-2</v>
      </c>
      <c r="Q1032">
        <f t="shared" si="1025"/>
        <v>-52234.928581997694</v>
      </c>
      <c r="R1032">
        <f t="shared" si="1026"/>
        <v>-15667746.038188843</v>
      </c>
      <c r="S1032">
        <f t="shared" si="1027"/>
        <v>-156.67746038188844</v>
      </c>
      <c r="T1032">
        <f t="shared" si="1028"/>
        <v>-0.15667746038188843</v>
      </c>
    </row>
    <row r="1033" spans="1:20" x14ac:dyDescent="0.25">
      <c r="A1033" s="5">
        <v>43560</v>
      </c>
      <c r="B1033">
        <v>0.88949999999999996</v>
      </c>
      <c r="C1033">
        <v>0.93</v>
      </c>
      <c r="D1033">
        <v>0.88129999999999997</v>
      </c>
      <c r="E1033">
        <v>0.91510000000000002</v>
      </c>
      <c r="F1033">
        <v>433906.52</v>
      </c>
      <c r="G1033">
        <v>0</v>
      </c>
      <c r="L1033" t="s">
        <v>7</v>
      </c>
      <c r="M1033" t="s">
        <v>7</v>
      </c>
      <c r="N1033" t="s">
        <v>8</v>
      </c>
      <c r="P1033">
        <f t="shared" si="1024"/>
        <v>0.38809034907597534</v>
      </c>
      <c r="Q1033">
        <f t="shared" si="1025"/>
        <v>168394.93281314167</v>
      </c>
      <c r="R1033">
        <f t="shared" si="1026"/>
        <v>-15615511.109606845</v>
      </c>
      <c r="S1033">
        <f t="shared" si="1027"/>
        <v>-156.15511109606845</v>
      </c>
      <c r="T1033">
        <f t="shared" si="1028"/>
        <v>-0.15615511109606844</v>
      </c>
    </row>
    <row r="1034" spans="1:20" x14ac:dyDescent="0.25">
      <c r="A1034" s="5">
        <v>43559</v>
      </c>
      <c r="B1034">
        <v>0.89319999999999999</v>
      </c>
      <c r="C1034">
        <v>0.94799999999999995</v>
      </c>
      <c r="D1034">
        <v>0.86799999999999999</v>
      </c>
      <c r="E1034">
        <v>0.88900000000000001</v>
      </c>
      <c r="F1034">
        <v>878772.74</v>
      </c>
      <c r="G1034">
        <v>0</v>
      </c>
      <c r="L1034" t="s">
        <v>8</v>
      </c>
      <c r="M1034" t="s">
        <v>7</v>
      </c>
      <c r="N1034" t="s">
        <v>8</v>
      </c>
      <c r="P1034">
        <f t="shared" si="1024"/>
        <v>-0.47499999999999926</v>
      </c>
      <c r="Q1034">
        <f t="shared" si="1025"/>
        <v>-417417.05149999936</v>
      </c>
      <c r="R1034">
        <f t="shared" si="1026"/>
        <v>-15783906.042419987</v>
      </c>
      <c r="S1034">
        <f t="shared" si="1027"/>
        <v>-157.83906042419986</v>
      </c>
      <c r="T1034">
        <f t="shared" si="1028"/>
        <v>-0.15783906042419985</v>
      </c>
    </row>
    <row r="1035" spans="1:20" x14ac:dyDescent="0.25">
      <c r="A1035" s="5">
        <v>43558</v>
      </c>
      <c r="B1035">
        <v>0.9698</v>
      </c>
      <c r="C1035">
        <v>1.0149999999999999</v>
      </c>
      <c r="D1035">
        <v>0.82589999999999997</v>
      </c>
      <c r="E1035">
        <v>0.89129999999999998</v>
      </c>
      <c r="F1035">
        <v>1452709.18</v>
      </c>
      <c r="G1035">
        <v>0</v>
      </c>
      <c r="L1035" t="s">
        <v>7</v>
      </c>
      <c r="M1035" t="s">
        <v>7</v>
      </c>
      <c r="N1035" t="s">
        <v>8</v>
      </c>
      <c r="P1035">
        <f t="shared" si="1024"/>
        <v>-0.30830248545742955</v>
      </c>
      <c r="Q1035">
        <f t="shared" si="1025"/>
        <v>-447873.85084082437</v>
      </c>
      <c r="R1035">
        <f t="shared" si="1026"/>
        <v>-15366488.990919987</v>
      </c>
      <c r="S1035">
        <f t="shared" si="1027"/>
        <v>-153.66488990919987</v>
      </c>
      <c r="T1035">
        <f t="shared" si="1028"/>
        <v>-0.15366488990919988</v>
      </c>
    </row>
    <row r="1036" spans="1:20" x14ac:dyDescent="0.25">
      <c r="A1036" s="5">
        <v>43557</v>
      </c>
      <c r="B1036">
        <v>0.89319999999999999</v>
      </c>
      <c r="C1036">
        <v>1.0299</v>
      </c>
      <c r="D1036">
        <v>0.85709999999999997</v>
      </c>
      <c r="E1036">
        <v>0.96409999999999996</v>
      </c>
      <c r="F1036">
        <v>1535563.85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0.23842592592592526</v>
      </c>
      <c r="Q1036">
        <f t="shared" si="1025"/>
        <v>366118.23275462864</v>
      </c>
      <c r="R1036">
        <f t="shared" si="1026"/>
        <v>-14918615.140079163</v>
      </c>
      <c r="S1036">
        <f t="shared" si="1027"/>
        <v>-149.18615140079163</v>
      </c>
      <c r="T1036">
        <f t="shared" si="1028"/>
        <v>-0.14918615140079164</v>
      </c>
    </row>
    <row r="1037" spans="1:20" x14ac:dyDescent="0.25">
      <c r="A1037" s="5">
        <v>43556</v>
      </c>
      <c r="B1037">
        <v>0.84430000000000005</v>
      </c>
      <c r="C1037">
        <v>0.9</v>
      </c>
      <c r="D1037">
        <v>0.83209999999999995</v>
      </c>
      <c r="E1037">
        <v>0.89849999999999997</v>
      </c>
      <c r="F1037">
        <v>920782.97</v>
      </c>
      <c r="G1037">
        <v>0</v>
      </c>
      <c r="L1037" t="s">
        <v>7</v>
      </c>
      <c r="M1037" t="s">
        <v>8</v>
      </c>
      <c r="N1037" t="s">
        <v>8</v>
      </c>
      <c r="P1037">
        <f t="shared" si="1024"/>
        <v>0.95581737849778925</v>
      </c>
      <c r="Q1037">
        <f t="shared" si="1025"/>
        <v>880100.36455080844</v>
      </c>
      <c r="R1037">
        <f t="shared" si="1026"/>
        <v>-15284733.372833792</v>
      </c>
      <c r="S1037">
        <f t="shared" si="1027"/>
        <v>-152.84733372833793</v>
      </c>
      <c r="T1037">
        <f t="shared" si="1028"/>
        <v>-0.15284733372833792</v>
      </c>
    </row>
    <row r="1038" spans="1:20" x14ac:dyDescent="0.25">
      <c r="A1038" s="5">
        <v>43555</v>
      </c>
      <c r="B1038">
        <v>0.80069999999999997</v>
      </c>
      <c r="C1038">
        <v>0.93059999999999998</v>
      </c>
      <c r="D1038">
        <v>0.77649999999999997</v>
      </c>
      <c r="E1038">
        <v>0.84130000000000005</v>
      </c>
      <c r="F1038">
        <v>1438186.17</v>
      </c>
      <c r="G1038">
        <v>0</v>
      </c>
      <c r="L1038" t="s">
        <v>8</v>
      </c>
      <c r="M1038" t="s">
        <v>8</v>
      </c>
      <c r="N1038" t="s">
        <v>8</v>
      </c>
      <c r="P1038">
        <f t="shared" si="1024"/>
        <v>-0.15898767034393155</v>
      </c>
      <c r="Q1038">
        <f t="shared" si="1025"/>
        <v>-228653.86868916149</v>
      </c>
      <c r="R1038">
        <f t="shared" si="1026"/>
        <v>-16164833.737384601</v>
      </c>
      <c r="S1038">
        <f t="shared" si="1027"/>
        <v>-161.648337373846</v>
      </c>
      <c r="T1038">
        <f t="shared" si="1028"/>
        <v>-0.16164833737384601</v>
      </c>
    </row>
    <row r="1039" spans="1:20" x14ac:dyDescent="0.25">
      <c r="A1039" s="5">
        <v>43554</v>
      </c>
      <c r="B1039">
        <v>0.76829999999999998</v>
      </c>
      <c r="C1039">
        <v>0.80069999999999997</v>
      </c>
      <c r="D1039">
        <v>0.73109999999999997</v>
      </c>
      <c r="E1039">
        <v>0.80069999999999997</v>
      </c>
      <c r="F1039">
        <v>794027.25</v>
      </c>
      <c r="G1039">
        <v>0</v>
      </c>
      <c r="L1039" t="s">
        <v>8</v>
      </c>
      <c r="M1039" t="s">
        <v>7</v>
      </c>
      <c r="N1039" t="s">
        <v>8</v>
      </c>
      <c r="P1039">
        <f t="shared" si="1024"/>
        <v>1</v>
      </c>
      <c r="Q1039">
        <f t="shared" si="1025"/>
        <v>794027.25</v>
      </c>
      <c r="R1039">
        <f t="shared" si="1026"/>
        <v>-15936179.86869544</v>
      </c>
      <c r="S1039">
        <f t="shared" si="1027"/>
        <v>-159.36179868695439</v>
      </c>
      <c r="T1039">
        <f t="shared" si="1028"/>
        <v>-0.15936179868695438</v>
      </c>
    </row>
    <row r="1040" spans="1:20" x14ac:dyDescent="0.25">
      <c r="A1040" s="5">
        <v>43553</v>
      </c>
      <c r="B1040">
        <v>0.75639999999999996</v>
      </c>
      <c r="C1040">
        <v>0.76900000000000002</v>
      </c>
      <c r="D1040">
        <v>0.72450000000000003</v>
      </c>
      <c r="E1040">
        <v>0.76890000000000003</v>
      </c>
      <c r="F1040">
        <v>741198.57</v>
      </c>
      <c r="G1040">
        <v>0</v>
      </c>
      <c r="L1040" t="s">
        <v>8</v>
      </c>
      <c r="M1040" t="s">
        <v>7</v>
      </c>
      <c r="N1040" t="s">
        <v>8</v>
      </c>
      <c r="P1040">
        <f t="shared" si="1024"/>
        <v>0.99550561797752857</v>
      </c>
      <c r="Q1040">
        <f t="shared" si="1025"/>
        <v>737867.34047191043</v>
      </c>
      <c r="R1040">
        <f t="shared" si="1026"/>
        <v>-16730207.11869544</v>
      </c>
      <c r="S1040">
        <f t="shared" si="1027"/>
        <v>-167.30207118695441</v>
      </c>
      <c r="T1040">
        <f t="shared" si="1028"/>
        <v>-0.16730207118695442</v>
      </c>
    </row>
    <row r="1041" spans="1:20" x14ac:dyDescent="0.25">
      <c r="A1041" s="5">
        <v>43552</v>
      </c>
      <c r="B1041">
        <v>0.73019999999999996</v>
      </c>
      <c r="C1041">
        <v>0.78990000000000005</v>
      </c>
      <c r="D1041">
        <v>0.69010000000000005</v>
      </c>
      <c r="E1041">
        <v>0.75980000000000003</v>
      </c>
      <c r="F1041">
        <v>2383300.42</v>
      </c>
      <c r="G1041">
        <v>0</v>
      </c>
      <c r="L1041" t="s">
        <v>7</v>
      </c>
      <c r="M1041" t="s">
        <v>7</v>
      </c>
      <c r="N1041" t="s">
        <v>8</v>
      </c>
      <c r="P1041">
        <f t="shared" si="1024"/>
        <v>0.39679358717434837</v>
      </c>
      <c r="Q1041">
        <f t="shared" si="1025"/>
        <v>945678.32296593103</v>
      </c>
      <c r="R1041">
        <f t="shared" si="1026"/>
        <v>-17468074.45916735</v>
      </c>
      <c r="S1041">
        <f t="shared" si="1027"/>
        <v>-174.68074459167349</v>
      </c>
      <c r="T1041">
        <f t="shared" si="1028"/>
        <v>-0.17468074459167349</v>
      </c>
    </row>
    <row r="1042" spans="1:20" x14ac:dyDescent="0.25">
      <c r="A1042" s="5">
        <v>43551</v>
      </c>
      <c r="B1042">
        <v>0.62690000000000001</v>
      </c>
      <c r="C1042">
        <v>0.86</v>
      </c>
      <c r="D1042">
        <v>0.62250000000000005</v>
      </c>
      <c r="E1042">
        <v>0.73199999999999998</v>
      </c>
      <c r="F1042">
        <v>4537042.87</v>
      </c>
      <c r="G1042">
        <v>0</v>
      </c>
      <c r="L1042" t="s">
        <v>8</v>
      </c>
      <c r="M1042" t="s">
        <v>8</v>
      </c>
      <c r="N1042" t="s">
        <v>8</v>
      </c>
      <c r="P1042">
        <f t="shared" si="1024"/>
        <v>-7.7894736842105586E-2</v>
      </c>
      <c r="Q1042">
        <f t="shared" si="1025"/>
        <v>-353411.76040000148</v>
      </c>
      <c r="R1042">
        <f t="shared" si="1026"/>
        <v>-18413752.782133281</v>
      </c>
      <c r="S1042">
        <f t="shared" si="1027"/>
        <v>-184.13752782133281</v>
      </c>
      <c r="T1042">
        <f t="shared" si="1028"/>
        <v>-0.1841375278213328</v>
      </c>
    </row>
    <row r="1043" spans="1:20" x14ac:dyDescent="0.25">
      <c r="A1043" s="5">
        <v>43550</v>
      </c>
      <c r="B1043">
        <v>0.61170000000000002</v>
      </c>
      <c r="C1043">
        <v>0.64190000000000003</v>
      </c>
      <c r="D1043">
        <v>0.6028</v>
      </c>
      <c r="E1043">
        <v>0.62439999999999996</v>
      </c>
      <c r="F1043">
        <v>471101.62</v>
      </c>
      <c r="G1043">
        <v>0</v>
      </c>
      <c r="L1043" t="s">
        <v>7</v>
      </c>
      <c r="M1043" t="s">
        <v>7</v>
      </c>
      <c r="N1043" t="s">
        <v>8</v>
      </c>
      <c r="P1043">
        <f t="shared" si="1024"/>
        <v>0.10485933503836008</v>
      </c>
      <c r="Q1043">
        <f t="shared" si="1025"/>
        <v>49399.402608694196</v>
      </c>
      <c r="R1043">
        <f t="shared" si="1026"/>
        <v>-18060341.02173328</v>
      </c>
      <c r="S1043">
        <f t="shared" si="1027"/>
        <v>-180.60341021733279</v>
      </c>
      <c r="T1043">
        <f t="shared" si="1028"/>
        <v>-0.18060341021733278</v>
      </c>
    </row>
    <row r="1044" spans="1:20" x14ac:dyDescent="0.25">
      <c r="A1044" s="5">
        <v>43549</v>
      </c>
      <c r="B1044">
        <v>0.63029999999999997</v>
      </c>
      <c r="C1044">
        <v>0.64490000000000003</v>
      </c>
      <c r="D1044">
        <v>0.60150000000000003</v>
      </c>
      <c r="E1044">
        <v>0.61280000000000001</v>
      </c>
      <c r="F1044">
        <v>699200.59</v>
      </c>
      <c r="G1044">
        <v>0</v>
      </c>
      <c r="L1044" t="s">
        <v>7</v>
      </c>
      <c r="M1044" t="s">
        <v>7</v>
      </c>
      <c r="N1044" t="s">
        <v>8</v>
      </c>
      <c r="P1044">
        <f t="shared" si="1024"/>
        <v>-0.47926267281106089</v>
      </c>
      <c r="Q1044">
        <f t="shared" si="1025"/>
        <v>-335100.74359447072</v>
      </c>
      <c r="R1044">
        <f t="shared" si="1026"/>
        <v>-18109740.424341973</v>
      </c>
      <c r="S1044">
        <f t="shared" si="1027"/>
        <v>-181.09740424341973</v>
      </c>
      <c r="T1044">
        <f t="shared" si="1028"/>
        <v>-0.18109740424341972</v>
      </c>
    </row>
    <row r="1045" spans="1:20" x14ac:dyDescent="0.25">
      <c r="A1045" s="5">
        <v>43548</v>
      </c>
      <c r="B1045">
        <v>0.64329999999999998</v>
      </c>
      <c r="C1045">
        <v>0.64859999999999995</v>
      </c>
      <c r="D1045">
        <v>0.62729999999999997</v>
      </c>
      <c r="E1045">
        <v>0.63009999999999999</v>
      </c>
      <c r="F1045">
        <v>605396.47</v>
      </c>
      <c r="G1045">
        <v>0</v>
      </c>
      <c r="L1045" t="s">
        <v>7</v>
      </c>
      <c r="M1045" t="s">
        <v>7</v>
      </c>
      <c r="N1045" t="s">
        <v>8</v>
      </c>
      <c r="P1045">
        <f t="shared" si="1024"/>
        <v>-0.73708920187793181</v>
      </c>
      <c r="Q1045">
        <f t="shared" si="1025"/>
        <v>-446231.20089201728</v>
      </c>
      <c r="R1045">
        <f t="shared" si="1026"/>
        <v>-17774639.680747502</v>
      </c>
      <c r="S1045">
        <f t="shared" si="1027"/>
        <v>-177.74639680747501</v>
      </c>
      <c r="T1045">
        <f t="shared" si="1028"/>
        <v>-0.177746396807475</v>
      </c>
    </row>
    <row r="1046" spans="1:20" x14ac:dyDescent="0.25">
      <c r="A1046" s="5">
        <v>43547</v>
      </c>
      <c r="B1046">
        <v>0.67249999999999999</v>
      </c>
      <c r="C1046">
        <v>0.70499999999999996</v>
      </c>
      <c r="D1046">
        <v>0.625</v>
      </c>
      <c r="E1046">
        <v>0.64329999999999998</v>
      </c>
      <c r="F1046">
        <v>2021670.47</v>
      </c>
      <c r="G1046">
        <v>0</v>
      </c>
      <c r="L1046" t="s">
        <v>7</v>
      </c>
      <c r="M1046" t="s">
        <v>7</v>
      </c>
      <c r="N1046" t="s">
        <v>8</v>
      </c>
      <c r="P1046">
        <f t="shared" si="1024"/>
        <v>-0.5425000000000002</v>
      </c>
      <c r="Q1046">
        <f t="shared" si="1025"/>
        <v>-1096756.2299750005</v>
      </c>
      <c r="R1046">
        <f t="shared" si="1026"/>
        <v>-17328408.479855485</v>
      </c>
      <c r="S1046">
        <f t="shared" si="1027"/>
        <v>-173.28408479855486</v>
      </c>
      <c r="T1046">
        <f t="shared" si="1028"/>
        <v>-0.17328408479855487</v>
      </c>
    </row>
    <row r="1047" spans="1:20" x14ac:dyDescent="0.25">
      <c r="A1047" s="5">
        <v>43546</v>
      </c>
      <c r="B1047">
        <v>0.55030000000000001</v>
      </c>
      <c r="C1047">
        <v>0.75639999999999996</v>
      </c>
      <c r="D1047">
        <v>0.54669999999999996</v>
      </c>
      <c r="E1047">
        <v>0.67210000000000003</v>
      </c>
      <c r="F1047">
        <v>2930414.18</v>
      </c>
      <c r="G1047">
        <v>0</v>
      </c>
      <c r="L1047" t="s">
        <v>8</v>
      </c>
      <c r="M1047" t="s">
        <v>8</v>
      </c>
      <c r="N1047" t="s">
        <v>8</v>
      </c>
      <c r="P1047">
        <f t="shared" si="1024"/>
        <v>0.19599427753934257</v>
      </c>
      <c r="Q1047">
        <f t="shared" si="1025"/>
        <v>574344.41010014503</v>
      </c>
      <c r="R1047">
        <f t="shared" si="1026"/>
        <v>-16231652.249880483</v>
      </c>
      <c r="S1047">
        <f t="shared" si="1027"/>
        <v>-162.31652249880483</v>
      </c>
      <c r="T1047">
        <f t="shared" si="1028"/>
        <v>-0.16231652249880482</v>
      </c>
    </row>
    <row r="1048" spans="1:20" x14ac:dyDescent="0.25">
      <c r="A1048" s="5">
        <v>43545</v>
      </c>
      <c r="B1048">
        <v>0.58420000000000005</v>
      </c>
      <c r="C1048">
        <v>0.6</v>
      </c>
      <c r="D1048">
        <v>0.51529999999999998</v>
      </c>
      <c r="E1048">
        <v>0.5514</v>
      </c>
      <c r="F1048">
        <v>699661.83</v>
      </c>
      <c r="G1048">
        <v>0</v>
      </c>
      <c r="L1048" t="s">
        <v>7</v>
      </c>
      <c r="M1048" t="s">
        <v>8</v>
      </c>
      <c r="N1048" t="s">
        <v>8</v>
      </c>
      <c r="P1048">
        <f t="shared" si="1024"/>
        <v>-0.14757969303423796</v>
      </c>
      <c r="Q1048">
        <f t="shared" si="1025"/>
        <v>-103255.87809917318</v>
      </c>
      <c r="R1048">
        <f t="shared" si="1026"/>
        <v>-16805996.659980629</v>
      </c>
      <c r="S1048">
        <f t="shared" si="1027"/>
        <v>-168.05996659980627</v>
      </c>
      <c r="T1048">
        <f t="shared" si="1028"/>
        <v>-0.16805996659980627</v>
      </c>
    </row>
    <row r="1049" spans="1:20" x14ac:dyDescent="0.25">
      <c r="A1049" s="5">
        <v>43544</v>
      </c>
      <c r="B1049">
        <v>0.56940000000000002</v>
      </c>
      <c r="C1049">
        <v>0.59989999999999999</v>
      </c>
      <c r="D1049">
        <v>0.56530000000000002</v>
      </c>
      <c r="E1049">
        <v>0.58179999999999998</v>
      </c>
      <c r="F1049">
        <v>393464.2</v>
      </c>
      <c r="G1049">
        <v>0</v>
      </c>
      <c r="L1049" t="s">
        <v>8</v>
      </c>
      <c r="M1049" t="s">
        <v>8</v>
      </c>
      <c r="N1049" t="s">
        <v>8</v>
      </c>
      <c r="P1049">
        <f t="shared" si="1024"/>
        <v>-4.624277456647536E-2</v>
      </c>
      <c r="Q1049">
        <f t="shared" si="1025"/>
        <v>-18194.876300578573</v>
      </c>
      <c r="R1049">
        <f t="shared" si="1026"/>
        <v>-16702740.781881457</v>
      </c>
      <c r="S1049">
        <f t="shared" si="1027"/>
        <v>-167.02740781881457</v>
      </c>
      <c r="T1049">
        <f t="shared" si="1028"/>
        <v>-0.16702740781881456</v>
      </c>
    </row>
    <row r="1050" spans="1:20" x14ac:dyDescent="0.25">
      <c r="A1050" s="5">
        <v>43543</v>
      </c>
      <c r="B1050">
        <v>0.57079999999999997</v>
      </c>
      <c r="C1050">
        <v>0.58199999999999996</v>
      </c>
      <c r="D1050">
        <v>0.5575</v>
      </c>
      <c r="E1050">
        <v>0.57099999999999995</v>
      </c>
      <c r="F1050">
        <v>295713.03000000003</v>
      </c>
      <c r="G1050">
        <v>0</v>
      </c>
      <c r="L1050" t="s">
        <v>7</v>
      </c>
      <c r="M1050" t="s">
        <v>8</v>
      </c>
      <c r="N1050" t="s">
        <v>8</v>
      </c>
      <c r="P1050">
        <f t="shared" si="1024"/>
        <v>0.10204081632652857</v>
      </c>
      <c r="Q1050">
        <f t="shared" si="1025"/>
        <v>30174.798979591236</v>
      </c>
      <c r="R1050">
        <f t="shared" si="1026"/>
        <v>-16684545.905580878</v>
      </c>
      <c r="S1050">
        <f t="shared" si="1027"/>
        <v>-166.84545905580879</v>
      </c>
      <c r="T1050">
        <f t="shared" si="1028"/>
        <v>-0.16684545905580878</v>
      </c>
    </row>
    <row r="1051" spans="1:20" x14ac:dyDescent="0.25">
      <c r="A1051" s="5">
        <v>43542</v>
      </c>
      <c r="B1051">
        <v>0.57609999999999995</v>
      </c>
      <c r="C1051">
        <v>0.59499999999999997</v>
      </c>
      <c r="D1051">
        <v>0.56100000000000005</v>
      </c>
      <c r="E1051">
        <v>0.56999999999999995</v>
      </c>
      <c r="F1051">
        <v>326488.96000000002</v>
      </c>
      <c r="G1051">
        <v>0</v>
      </c>
      <c r="L1051" t="s">
        <v>7</v>
      </c>
      <c r="M1051" t="s">
        <v>8</v>
      </c>
      <c r="N1051" t="s">
        <v>8</v>
      </c>
      <c r="P1051">
        <f t="shared" si="1024"/>
        <v>-0.47058823529412247</v>
      </c>
      <c r="Q1051">
        <f t="shared" si="1025"/>
        <v>-153641.86352941336</v>
      </c>
      <c r="R1051">
        <f t="shared" si="1026"/>
        <v>-16714720.70456047</v>
      </c>
      <c r="S1051">
        <f t="shared" si="1027"/>
        <v>-167.14720704560469</v>
      </c>
      <c r="T1051">
        <f t="shared" si="1028"/>
        <v>-0.16714720704560468</v>
      </c>
    </row>
    <row r="1052" spans="1:20" x14ac:dyDescent="0.25">
      <c r="A1052" s="5">
        <v>43541</v>
      </c>
      <c r="B1052">
        <v>0.57320000000000004</v>
      </c>
      <c r="C1052">
        <v>0.57999999999999996</v>
      </c>
      <c r="D1052">
        <v>0.55459999999999998</v>
      </c>
      <c r="E1052">
        <v>0.57620000000000005</v>
      </c>
      <c r="F1052">
        <v>302463.67</v>
      </c>
      <c r="G1052">
        <v>0</v>
      </c>
      <c r="L1052" t="s">
        <v>7</v>
      </c>
      <c r="M1052" t="s">
        <v>8</v>
      </c>
      <c r="N1052" t="s">
        <v>8</v>
      </c>
      <c r="P1052">
        <f t="shared" si="1024"/>
        <v>0.70078740157480957</v>
      </c>
      <c r="Q1052">
        <f t="shared" si="1025"/>
        <v>211962.72937008066</v>
      </c>
      <c r="R1052">
        <f t="shared" si="1026"/>
        <v>-16561078.841031056</v>
      </c>
      <c r="S1052">
        <f t="shared" si="1027"/>
        <v>-165.61078841031056</v>
      </c>
      <c r="T1052">
        <f t="shared" si="1028"/>
        <v>-0.16561078841031057</v>
      </c>
    </row>
    <row r="1053" spans="1:20" x14ac:dyDescent="0.25">
      <c r="A1053" s="5">
        <v>43540</v>
      </c>
      <c r="B1053">
        <v>0.55810000000000004</v>
      </c>
      <c r="C1053">
        <v>0.59989999999999999</v>
      </c>
      <c r="D1053">
        <v>0.55800000000000005</v>
      </c>
      <c r="E1053">
        <v>0.57299999999999995</v>
      </c>
      <c r="F1053">
        <v>551653.59</v>
      </c>
      <c r="G1053">
        <v>0</v>
      </c>
      <c r="L1053" t="s">
        <v>8</v>
      </c>
      <c r="M1053" t="s">
        <v>8</v>
      </c>
      <c r="N1053" t="s">
        <v>8</v>
      </c>
      <c r="P1053">
        <f t="shared" si="1024"/>
        <v>-0.28400954653938304</v>
      </c>
      <c r="Q1053">
        <f t="shared" si="1025"/>
        <v>-156674.88594272273</v>
      </c>
      <c r="R1053">
        <f t="shared" si="1026"/>
        <v>-16773041.570401136</v>
      </c>
      <c r="S1053">
        <f t="shared" si="1027"/>
        <v>-167.73041570401136</v>
      </c>
      <c r="T1053">
        <f t="shared" si="1028"/>
        <v>-0.16773041570401137</v>
      </c>
    </row>
    <row r="1054" spans="1:20" x14ac:dyDescent="0.25">
      <c r="A1054" s="5">
        <v>43539</v>
      </c>
      <c r="B1054">
        <v>0.56279999999999997</v>
      </c>
      <c r="C1054">
        <v>0.58460000000000001</v>
      </c>
      <c r="D1054">
        <v>0.54379999999999995</v>
      </c>
      <c r="E1054">
        <v>0.55789999999999995</v>
      </c>
      <c r="F1054">
        <v>652215.6</v>
      </c>
      <c r="G1054">
        <v>0</v>
      </c>
      <c r="L1054" t="s">
        <v>7</v>
      </c>
      <c r="M1054" t="s">
        <v>8</v>
      </c>
      <c r="N1054" t="s">
        <v>8</v>
      </c>
      <c r="P1054">
        <f t="shared" si="1024"/>
        <v>-0.30882352941176561</v>
      </c>
      <c r="Q1054">
        <f t="shared" si="1025"/>
        <v>-201419.52352941234</v>
      </c>
      <c r="R1054">
        <f t="shared" si="1026"/>
        <v>-16616366.684458412</v>
      </c>
      <c r="S1054">
        <f t="shared" si="1027"/>
        <v>-166.16366684458413</v>
      </c>
      <c r="T1054">
        <f t="shared" si="1028"/>
        <v>-0.16616366684458414</v>
      </c>
    </row>
    <row r="1055" spans="1:20" x14ac:dyDescent="0.25">
      <c r="A1055" s="5">
        <v>43538</v>
      </c>
      <c r="B1055">
        <v>0.51629999999999998</v>
      </c>
      <c r="C1055">
        <v>0.59740000000000004</v>
      </c>
      <c r="D1055">
        <v>0.5</v>
      </c>
      <c r="E1055">
        <v>0.56369999999999998</v>
      </c>
      <c r="F1055">
        <v>2141968.23</v>
      </c>
      <c r="G1055">
        <v>0</v>
      </c>
      <c r="L1055" t="s">
        <v>8</v>
      </c>
      <c r="M1055" t="s">
        <v>8</v>
      </c>
      <c r="N1055" t="s">
        <v>8</v>
      </c>
      <c r="P1055">
        <f t="shared" si="1024"/>
        <v>0.30800821355236041</v>
      </c>
      <c r="Q1055">
        <f t="shared" si="1025"/>
        <v>659743.80800821143</v>
      </c>
      <c r="R1055">
        <f t="shared" si="1026"/>
        <v>-16414947.160929</v>
      </c>
      <c r="S1055">
        <f t="shared" si="1027"/>
        <v>-164.14947160929</v>
      </c>
      <c r="T1055">
        <f t="shared" si="1028"/>
        <v>-0.16414947160929</v>
      </c>
    </row>
    <row r="1056" spans="1:20" x14ac:dyDescent="0.25">
      <c r="A1056" s="5">
        <v>43537</v>
      </c>
      <c r="B1056">
        <v>0.50890000000000002</v>
      </c>
      <c r="C1056">
        <v>0.55800000000000005</v>
      </c>
      <c r="D1056">
        <v>0.50760000000000005</v>
      </c>
      <c r="E1056">
        <v>0.51629999999999998</v>
      </c>
      <c r="F1056">
        <v>1513481.25</v>
      </c>
      <c r="G1056">
        <v>0</v>
      </c>
      <c r="L1056" t="s">
        <v>8</v>
      </c>
      <c r="M1056" t="s">
        <v>8</v>
      </c>
      <c r="N1056" t="s">
        <v>8</v>
      </c>
      <c r="P1056">
        <f t="shared" si="1024"/>
        <v>-0.65476190476190754</v>
      </c>
      <c r="Q1056">
        <f t="shared" si="1025"/>
        <v>-990969.86607143283</v>
      </c>
      <c r="R1056">
        <f t="shared" si="1026"/>
        <v>-17074690.968937211</v>
      </c>
      <c r="S1056">
        <f t="shared" si="1027"/>
        <v>-170.7469096893721</v>
      </c>
      <c r="T1056">
        <f t="shared" si="1028"/>
        <v>-0.17074690968937209</v>
      </c>
    </row>
    <row r="1057" spans="1:20" x14ac:dyDescent="0.25">
      <c r="A1057" s="5">
        <v>43536</v>
      </c>
      <c r="B1057">
        <v>0.49099999999999999</v>
      </c>
      <c r="C1057">
        <v>0.53490000000000004</v>
      </c>
      <c r="D1057">
        <v>0.4718</v>
      </c>
      <c r="E1057">
        <v>0.50870000000000004</v>
      </c>
      <c r="F1057">
        <v>815270.52</v>
      </c>
      <c r="G1057">
        <v>0</v>
      </c>
      <c r="L1057" t="s">
        <v>7</v>
      </c>
      <c r="M1057" t="s">
        <v>7</v>
      </c>
      <c r="N1057" t="s">
        <v>8</v>
      </c>
      <c r="P1057">
        <f t="shared" si="1024"/>
        <v>0.16957210776545223</v>
      </c>
      <c r="Q1057">
        <f t="shared" si="1025"/>
        <v>138247.14047543629</v>
      </c>
      <c r="R1057">
        <f t="shared" si="1026"/>
        <v>-16083721.102865778</v>
      </c>
      <c r="S1057">
        <f t="shared" si="1027"/>
        <v>-160.83721102865778</v>
      </c>
      <c r="T1057">
        <f t="shared" si="1028"/>
        <v>-0.16083721102865778</v>
      </c>
    </row>
    <row r="1058" spans="1:20" x14ac:dyDescent="0.25">
      <c r="A1058" s="5">
        <v>43535</v>
      </c>
      <c r="B1058">
        <v>0.52300000000000002</v>
      </c>
      <c r="C1058">
        <v>0.52470000000000006</v>
      </c>
      <c r="D1058">
        <v>0.48309999999999997</v>
      </c>
      <c r="E1058">
        <v>0.49249999999999999</v>
      </c>
      <c r="F1058">
        <v>1827088.75</v>
      </c>
      <c r="G1058">
        <v>0</v>
      </c>
      <c r="L1058" t="s">
        <v>7</v>
      </c>
      <c r="M1058" t="s">
        <v>7</v>
      </c>
      <c r="N1058" t="s">
        <v>8</v>
      </c>
      <c r="P1058">
        <f t="shared" si="1024"/>
        <v>-0.54807692307692302</v>
      </c>
      <c r="Q1058">
        <f t="shared" si="1025"/>
        <v>-1001385.1802884614</v>
      </c>
      <c r="R1058">
        <f t="shared" si="1026"/>
        <v>-16221968.243341215</v>
      </c>
      <c r="S1058">
        <f t="shared" si="1027"/>
        <v>-162.21968243341215</v>
      </c>
      <c r="T1058">
        <f t="shared" si="1028"/>
        <v>-0.16221968243341214</v>
      </c>
    </row>
    <row r="1059" spans="1:20" x14ac:dyDescent="0.25">
      <c r="A1059" s="5">
        <v>43534</v>
      </c>
      <c r="B1059">
        <v>0.59560000000000002</v>
      </c>
      <c r="C1059">
        <v>0.62629999999999997</v>
      </c>
      <c r="D1059">
        <v>0.5</v>
      </c>
      <c r="E1059">
        <v>0.52310000000000001</v>
      </c>
      <c r="F1059">
        <v>3877253.51</v>
      </c>
      <c r="G1059">
        <v>0</v>
      </c>
      <c r="L1059" t="s">
        <v>7</v>
      </c>
      <c r="M1059" t="s">
        <v>7</v>
      </c>
      <c r="N1059" t="s">
        <v>8</v>
      </c>
      <c r="P1059">
        <f t="shared" si="1024"/>
        <v>-0.63420427553444159</v>
      </c>
      <c r="Q1059">
        <f t="shared" si="1025"/>
        <v>-2458970.7533729207</v>
      </c>
      <c r="R1059">
        <f t="shared" si="1026"/>
        <v>-15220583.063052753</v>
      </c>
      <c r="S1059">
        <f t="shared" si="1027"/>
        <v>-152.20583063052754</v>
      </c>
      <c r="T1059">
        <f t="shared" si="1028"/>
        <v>-0.15220583063052753</v>
      </c>
    </row>
    <row r="1060" spans="1:20" x14ac:dyDescent="0.25">
      <c r="A1060" s="5">
        <v>43533</v>
      </c>
      <c r="B1060">
        <v>0.43340000000000001</v>
      </c>
      <c r="C1060">
        <v>0.65839999999999999</v>
      </c>
      <c r="D1060">
        <v>0.43190000000000001</v>
      </c>
      <c r="E1060">
        <v>0.5917</v>
      </c>
      <c r="F1060">
        <v>4619464.34</v>
      </c>
      <c r="G1060">
        <v>0</v>
      </c>
      <c r="L1060" t="s">
        <v>8</v>
      </c>
      <c r="M1060" t="s">
        <v>8</v>
      </c>
      <c r="N1060" t="s">
        <v>8</v>
      </c>
      <c r="P1060">
        <f t="shared" si="1024"/>
        <v>0.41103752759381912</v>
      </c>
      <c r="Q1060">
        <f t="shared" si="1025"/>
        <v>1898773.2011214134</v>
      </c>
      <c r="R1060">
        <f t="shared" si="1026"/>
        <v>-12761612.309679832</v>
      </c>
      <c r="S1060">
        <f t="shared" si="1027"/>
        <v>-127.61612309679832</v>
      </c>
      <c r="T1060">
        <f t="shared" si="1028"/>
        <v>-0.12761612309679832</v>
      </c>
    </row>
    <row r="1061" spans="1:20" x14ac:dyDescent="0.25">
      <c r="A1061" s="5">
        <v>43532</v>
      </c>
      <c r="B1061">
        <v>0.433</v>
      </c>
      <c r="C1061">
        <v>0.4481</v>
      </c>
      <c r="D1061">
        <v>0.42180000000000001</v>
      </c>
      <c r="E1061">
        <v>0.42899999999999999</v>
      </c>
      <c r="F1061">
        <v>307217.87</v>
      </c>
      <c r="G1061">
        <v>0</v>
      </c>
      <c r="L1061" t="s">
        <v>8</v>
      </c>
      <c r="M1061" t="s">
        <v>7</v>
      </c>
      <c r="N1061" t="s">
        <v>7</v>
      </c>
      <c r="P1061">
        <f t="shared" si="1024"/>
        <v>-0.45247148288973482</v>
      </c>
      <c r="Q1061">
        <f t="shared" si="1025"/>
        <v>-139007.32520912579</v>
      </c>
      <c r="R1061">
        <f t="shared" si="1026"/>
        <v>-14660385.510801246</v>
      </c>
      <c r="S1061">
        <f t="shared" si="1027"/>
        <v>-146.60385510801245</v>
      </c>
      <c r="T1061">
        <f t="shared" si="1028"/>
        <v>-0.14660385510801247</v>
      </c>
    </row>
    <row r="1062" spans="1:20" x14ac:dyDescent="0.25">
      <c r="A1062" s="5">
        <v>43531</v>
      </c>
      <c r="B1062">
        <v>0.43009999999999998</v>
      </c>
      <c r="C1062">
        <v>0.43990000000000001</v>
      </c>
      <c r="D1062">
        <v>0.4269</v>
      </c>
      <c r="E1062">
        <v>0.43390000000000001</v>
      </c>
      <c r="F1062">
        <v>187215.25</v>
      </c>
      <c r="G1062">
        <v>0</v>
      </c>
      <c r="L1062" t="s">
        <v>8</v>
      </c>
      <c r="M1062" t="s">
        <v>7</v>
      </c>
      <c r="N1062" t="s">
        <v>7</v>
      </c>
      <c r="P1062">
        <f t="shared" si="1024"/>
        <v>7.6923076923076927E-2</v>
      </c>
      <c r="Q1062">
        <f t="shared" si="1025"/>
        <v>14401.173076923078</v>
      </c>
      <c r="R1062">
        <f t="shared" si="1026"/>
        <v>-14521378.185592121</v>
      </c>
      <c r="S1062">
        <f t="shared" si="1027"/>
        <v>-145.21378185592121</v>
      </c>
      <c r="T1062">
        <f t="shared" si="1028"/>
        <v>-0.14521378185592121</v>
      </c>
    </row>
    <row r="1063" spans="1:20" x14ac:dyDescent="0.25">
      <c r="A1063" s="5">
        <v>43530</v>
      </c>
      <c r="B1063">
        <v>0.43859999999999999</v>
      </c>
      <c r="C1063">
        <v>0.44180000000000003</v>
      </c>
      <c r="D1063">
        <v>0.42449999999999999</v>
      </c>
      <c r="E1063">
        <v>0.4274</v>
      </c>
      <c r="F1063">
        <v>249794.45</v>
      </c>
      <c r="G1063">
        <v>0</v>
      </c>
      <c r="L1063" t="s">
        <v>8</v>
      </c>
      <c r="M1063" t="s">
        <v>7</v>
      </c>
      <c r="N1063" t="s">
        <v>7</v>
      </c>
      <c r="P1063">
        <f t="shared" si="1024"/>
        <v>-0.66473988439306275</v>
      </c>
      <c r="Q1063">
        <f t="shared" si="1025"/>
        <v>-166048.33381502869</v>
      </c>
      <c r="R1063">
        <f t="shared" si="1026"/>
        <v>-14535779.358669044</v>
      </c>
      <c r="S1063">
        <f t="shared" si="1027"/>
        <v>-145.35779358669043</v>
      </c>
      <c r="T1063">
        <f t="shared" si="1028"/>
        <v>-0.14535779358669043</v>
      </c>
    </row>
    <row r="1064" spans="1:20" x14ac:dyDescent="0.25">
      <c r="A1064" s="5">
        <v>43529</v>
      </c>
      <c r="B1064">
        <v>0.41649999999999998</v>
      </c>
      <c r="C1064">
        <v>0.45</v>
      </c>
      <c r="D1064">
        <v>0.41649999999999998</v>
      </c>
      <c r="E1064">
        <v>0.43819999999999998</v>
      </c>
      <c r="F1064">
        <v>485667.49</v>
      </c>
      <c r="G1064">
        <v>0</v>
      </c>
      <c r="L1064" t="s">
        <v>8</v>
      </c>
      <c r="M1064" t="s">
        <v>7</v>
      </c>
      <c r="N1064" t="s">
        <v>7</v>
      </c>
      <c r="P1064">
        <f t="shared" si="1024"/>
        <v>0.29552238805970016</v>
      </c>
      <c r="Q1064">
        <f t="shared" si="1025"/>
        <v>143525.61644776055</v>
      </c>
      <c r="R1064">
        <f t="shared" si="1026"/>
        <v>-14369731.024854016</v>
      </c>
      <c r="S1064">
        <f t="shared" si="1027"/>
        <v>-143.69731024854016</v>
      </c>
      <c r="T1064">
        <f t="shared" si="1028"/>
        <v>-0.14369731024854016</v>
      </c>
    </row>
    <row r="1065" spans="1:20" x14ac:dyDescent="0.25">
      <c r="A1065" s="5">
        <v>43528</v>
      </c>
      <c r="B1065">
        <v>0.41449999999999998</v>
      </c>
      <c r="C1065">
        <v>0.42870000000000003</v>
      </c>
      <c r="D1065">
        <v>0.39150000000000001</v>
      </c>
      <c r="E1065">
        <v>0.42009999999999997</v>
      </c>
      <c r="F1065">
        <v>347267.54</v>
      </c>
      <c r="G1065">
        <v>0</v>
      </c>
      <c r="L1065" t="s">
        <v>7</v>
      </c>
      <c r="M1065" t="s">
        <v>7</v>
      </c>
      <c r="N1065" t="s">
        <v>7</v>
      </c>
      <c r="P1065">
        <f t="shared" si="1024"/>
        <v>0.53763440860214784</v>
      </c>
      <c r="Q1065">
        <f t="shared" si="1025"/>
        <v>186702.97849462272</v>
      </c>
      <c r="R1065">
        <f t="shared" si="1026"/>
        <v>-14513256.641301775</v>
      </c>
      <c r="S1065">
        <f t="shared" si="1027"/>
        <v>-145.13256641301774</v>
      </c>
      <c r="T1065">
        <f t="shared" si="1028"/>
        <v>-0.14513256641301775</v>
      </c>
    </row>
    <row r="1066" spans="1:20" x14ac:dyDescent="0.25">
      <c r="A1066" s="5">
        <v>43527</v>
      </c>
      <c r="B1066">
        <v>0.41699999999999998</v>
      </c>
      <c r="C1066">
        <v>0.42030000000000001</v>
      </c>
      <c r="D1066">
        <v>0.41060000000000002</v>
      </c>
      <c r="E1066">
        <v>0.41270000000000001</v>
      </c>
      <c r="F1066">
        <v>129991.3</v>
      </c>
      <c r="G1066">
        <v>0</v>
      </c>
      <c r="L1066" t="s">
        <v>7</v>
      </c>
      <c r="M1066" t="s">
        <v>8</v>
      </c>
      <c r="N1066" t="s">
        <v>7</v>
      </c>
      <c r="P1066">
        <f t="shared" si="1024"/>
        <v>-0.56701030927835183</v>
      </c>
      <c r="Q1066">
        <f t="shared" si="1025"/>
        <v>-73706.407216495019</v>
      </c>
      <c r="R1066">
        <f t="shared" si="1026"/>
        <v>-14699959.619796397</v>
      </c>
      <c r="S1066">
        <f t="shared" si="1027"/>
        <v>-146.99959619796397</v>
      </c>
      <c r="T1066">
        <f t="shared" si="1028"/>
        <v>-0.14699959619796396</v>
      </c>
    </row>
    <row r="1067" spans="1:20" x14ac:dyDescent="0.25">
      <c r="A1067" s="5">
        <v>43526</v>
      </c>
      <c r="B1067">
        <v>0.42120000000000002</v>
      </c>
      <c r="C1067">
        <v>0.42499999999999999</v>
      </c>
      <c r="D1067">
        <v>0.40789999999999998</v>
      </c>
      <c r="E1067">
        <v>0.41699999999999998</v>
      </c>
      <c r="F1067">
        <v>160007.22</v>
      </c>
      <c r="G1067">
        <v>0</v>
      </c>
      <c r="L1067" t="s">
        <v>7</v>
      </c>
      <c r="M1067" t="s">
        <v>8</v>
      </c>
      <c r="N1067" t="s">
        <v>7</v>
      </c>
      <c r="P1067">
        <f t="shared" si="1024"/>
        <v>6.4327485380116345E-2</v>
      </c>
      <c r="Q1067">
        <f t="shared" si="1025"/>
        <v>10292.862105263061</v>
      </c>
      <c r="R1067">
        <f t="shared" si="1026"/>
        <v>-14626253.212579902</v>
      </c>
      <c r="S1067">
        <f t="shared" si="1027"/>
        <v>-146.26253212579903</v>
      </c>
      <c r="T1067">
        <f t="shared" si="1028"/>
        <v>-0.14626253212579904</v>
      </c>
    </row>
    <row r="1068" spans="1:20" x14ac:dyDescent="0.25">
      <c r="A1068" s="5">
        <v>43525</v>
      </c>
      <c r="B1068">
        <v>0.42299999999999999</v>
      </c>
      <c r="C1068">
        <v>0.42899999999999999</v>
      </c>
      <c r="D1068">
        <v>0.41880000000000001</v>
      </c>
      <c r="E1068">
        <v>0.42349999999999999</v>
      </c>
      <c r="F1068">
        <v>416385.64</v>
      </c>
      <c r="G1068">
        <v>0</v>
      </c>
      <c r="L1068" t="s">
        <v>7</v>
      </c>
      <c r="M1068" t="s">
        <v>8</v>
      </c>
      <c r="N1068" t="s">
        <v>7</v>
      </c>
      <c r="P1068">
        <f t="shared" si="1024"/>
        <v>-7.8431372549021952E-2</v>
      </c>
      <c r="Q1068">
        <f t="shared" si="1025"/>
        <v>-32657.697254902938</v>
      </c>
      <c r="R1068">
        <f t="shared" si="1026"/>
        <v>-14636546.074685166</v>
      </c>
      <c r="S1068">
        <f t="shared" si="1027"/>
        <v>-146.36546074685165</v>
      </c>
      <c r="T1068">
        <f t="shared" si="1028"/>
        <v>-0.14636546074685167</v>
      </c>
    </row>
    <row r="1069" spans="1:20" x14ac:dyDescent="0.25">
      <c r="A1069" s="5">
        <v>43524</v>
      </c>
      <c r="B1069">
        <v>0.41489999999999999</v>
      </c>
      <c r="C1069">
        <v>0.43</v>
      </c>
      <c r="D1069">
        <v>0.40739999999999998</v>
      </c>
      <c r="E1069">
        <v>0.4229</v>
      </c>
      <c r="F1069">
        <v>323743.48</v>
      </c>
      <c r="G1069">
        <v>0</v>
      </c>
      <c r="L1069" t="s">
        <v>7</v>
      </c>
      <c r="M1069" t="s">
        <v>8</v>
      </c>
      <c r="N1069" t="s">
        <v>7</v>
      </c>
      <c r="P1069">
        <f t="shared" si="1024"/>
        <v>0.37168141592920423</v>
      </c>
      <c r="Q1069">
        <f t="shared" si="1025"/>
        <v>120329.43504424801</v>
      </c>
      <c r="R1069">
        <f t="shared" si="1026"/>
        <v>-14603888.377430262</v>
      </c>
      <c r="S1069">
        <f t="shared" si="1027"/>
        <v>-146.03888377430263</v>
      </c>
      <c r="T1069">
        <f t="shared" si="1028"/>
        <v>-0.14603888377430263</v>
      </c>
    </row>
    <row r="1070" spans="1:20" x14ac:dyDescent="0.25">
      <c r="A1070" s="5">
        <v>43523</v>
      </c>
      <c r="B1070">
        <v>0.41410000000000002</v>
      </c>
      <c r="C1070">
        <v>0.44919999999999999</v>
      </c>
      <c r="D1070">
        <v>0.4042</v>
      </c>
      <c r="E1070">
        <v>0.41339999999999999</v>
      </c>
      <c r="F1070">
        <v>367350.83</v>
      </c>
      <c r="G1070">
        <v>0</v>
      </c>
      <c r="L1070" t="s">
        <v>8</v>
      </c>
      <c r="M1070" t="s">
        <v>8</v>
      </c>
      <c r="N1070" t="s">
        <v>7</v>
      </c>
      <c r="P1070">
        <f t="shared" si="1024"/>
        <v>-0.59111111111111159</v>
      </c>
      <c r="Q1070">
        <f t="shared" si="1025"/>
        <v>-217145.15728888908</v>
      </c>
      <c r="R1070">
        <f t="shared" si="1026"/>
        <v>-14724217.81247451</v>
      </c>
      <c r="S1070">
        <f t="shared" si="1027"/>
        <v>-147.2421781247451</v>
      </c>
      <c r="T1070">
        <f t="shared" si="1028"/>
        <v>-0.1472421781247451</v>
      </c>
    </row>
    <row r="1071" spans="1:20" x14ac:dyDescent="0.25">
      <c r="A1071" s="5">
        <v>43522</v>
      </c>
      <c r="B1071">
        <v>0.41139999999999999</v>
      </c>
      <c r="C1071">
        <v>0.41820000000000002</v>
      </c>
      <c r="D1071">
        <v>0.39850000000000002</v>
      </c>
      <c r="E1071">
        <v>0.41460000000000002</v>
      </c>
      <c r="F1071">
        <v>341143.79</v>
      </c>
      <c r="G1071">
        <v>0</v>
      </c>
      <c r="L1071" t="s">
        <v>7</v>
      </c>
      <c r="M1071" t="s">
        <v>8</v>
      </c>
      <c r="N1071" t="s">
        <v>7</v>
      </c>
      <c r="P1071">
        <f t="shared" si="1024"/>
        <v>0.63451776649746261</v>
      </c>
      <c r="Q1071">
        <f t="shared" si="1025"/>
        <v>216461.79568527942</v>
      </c>
      <c r="R1071">
        <f t="shared" si="1026"/>
        <v>-14507072.655185621</v>
      </c>
      <c r="S1071">
        <f t="shared" si="1027"/>
        <v>-145.07072655185621</v>
      </c>
      <c r="T1071">
        <f t="shared" si="1028"/>
        <v>-0.14507072655185621</v>
      </c>
    </row>
    <row r="1072" spans="1:20" x14ac:dyDescent="0.25">
      <c r="A1072" s="5">
        <v>43521</v>
      </c>
      <c r="B1072">
        <v>0.40150000000000002</v>
      </c>
      <c r="C1072">
        <v>0.42130000000000001</v>
      </c>
      <c r="D1072">
        <v>0.40010000000000001</v>
      </c>
      <c r="E1072">
        <v>0.40989999999999999</v>
      </c>
      <c r="F1072">
        <v>396121.01</v>
      </c>
      <c r="G1072">
        <v>0</v>
      </c>
      <c r="L1072" t="s">
        <v>7</v>
      </c>
      <c r="M1072" t="s">
        <v>8</v>
      </c>
      <c r="N1072" t="s">
        <v>7</v>
      </c>
      <c r="P1072">
        <f t="shared" si="1024"/>
        <v>-7.5471698113209723E-2</v>
      </c>
      <c r="Q1072">
        <f t="shared" si="1025"/>
        <v>-29895.925283019729</v>
      </c>
      <c r="R1072">
        <f t="shared" si="1026"/>
        <v>-14723534.450870901</v>
      </c>
      <c r="S1072">
        <f t="shared" si="1027"/>
        <v>-147.23534450870901</v>
      </c>
      <c r="T1072">
        <f t="shared" si="1028"/>
        <v>-0.14723534450870901</v>
      </c>
    </row>
    <row r="1073" spans="1:20" x14ac:dyDescent="0.25">
      <c r="A1073" s="5">
        <v>43520</v>
      </c>
      <c r="B1073">
        <v>0.45660000000000001</v>
      </c>
      <c r="C1073">
        <v>0.4708</v>
      </c>
      <c r="D1073">
        <v>0.4</v>
      </c>
      <c r="E1073">
        <v>0.4002</v>
      </c>
      <c r="F1073">
        <v>1066742.1299999999</v>
      </c>
      <c r="G1073">
        <v>0</v>
      </c>
      <c r="L1073" t="s">
        <v>7</v>
      </c>
      <c r="M1073" t="s">
        <v>8</v>
      </c>
      <c r="N1073" t="s">
        <v>7</v>
      </c>
      <c r="P1073">
        <f t="shared" si="1024"/>
        <v>-0.99435028248587631</v>
      </c>
      <c r="Q1073">
        <f t="shared" si="1025"/>
        <v>-1060715.3383050852</v>
      </c>
      <c r="R1073">
        <f t="shared" si="1026"/>
        <v>-14693638.525587881</v>
      </c>
      <c r="S1073">
        <f t="shared" si="1027"/>
        <v>-146.9363852558788</v>
      </c>
      <c r="T1073">
        <f t="shared" si="1028"/>
        <v>-0.14693638525587879</v>
      </c>
    </row>
    <row r="1074" spans="1:20" x14ac:dyDescent="0.25">
      <c r="A1074" s="5">
        <v>43519</v>
      </c>
      <c r="B1074">
        <v>0.437</v>
      </c>
      <c r="C1074">
        <v>0.46589999999999998</v>
      </c>
      <c r="D1074">
        <v>0.434</v>
      </c>
      <c r="E1074">
        <v>0.45660000000000001</v>
      </c>
      <c r="F1074">
        <v>734798.9</v>
      </c>
      <c r="G1074">
        <v>0</v>
      </c>
      <c r="L1074" t="s">
        <v>8</v>
      </c>
      <c r="M1074" t="s">
        <v>8</v>
      </c>
      <c r="N1074" t="s">
        <v>7</v>
      </c>
      <c r="P1074">
        <f t="shared" si="1024"/>
        <v>0.41692789968652166</v>
      </c>
      <c r="Q1074">
        <f t="shared" si="1025"/>
        <v>306358.16206896649</v>
      </c>
      <c r="R1074">
        <f t="shared" si="1026"/>
        <v>-13632923.187282795</v>
      </c>
      <c r="S1074">
        <f t="shared" si="1027"/>
        <v>-136.32923187282796</v>
      </c>
      <c r="T1074">
        <f t="shared" si="1028"/>
        <v>-0.13632923187282797</v>
      </c>
    </row>
    <row r="1075" spans="1:20" x14ac:dyDescent="0.25">
      <c r="A1075" s="5">
        <v>43518</v>
      </c>
      <c r="B1075">
        <v>0.44579999999999997</v>
      </c>
      <c r="C1075">
        <v>0.44869999999999999</v>
      </c>
      <c r="D1075">
        <v>0.42670000000000002</v>
      </c>
      <c r="E1075">
        <v>0.43780000000000002</v>
      </c>
      <c r="F1075">
        <v>325064.92</v>
      </c>
      <c r="G1075">
        <v>0</v>
      </c>
      <c r="L1075" t="s">
        <v>7</v>
      </c>
      <c r="M1075" t="s">
        <v>8</v>
      </c>
      <c r="N1075" t="s">
        <v>7</v>
      </c>
      <c r="P1075">
        <f t="shared" si="1024"/>
        <v>9.0909090909106274E-3</v>
      </c>
      <c r="Q1075">
        <f t="shared" si="1025"/>
        <v>2955.1356363641357</v>
      </c>
      <c r="R1075">
        <f t="shared" si="1026"/>
        <v>-13939281.349351762</v>
      </c>
      <c r="S1075">
        <f t="shared" si="1027"/>
        <v>-139.39281349351762</v>
      </c>
      <c r="T1075">
        <f t="shared" si="1028"/>
        <v>-0.13939281349351762</v>
      </c>
    </row>
    <row r="1076" spans="1:20" x14ac:dyDescent="0.25">
      <c r="A1076" s="5">
        <v>43517</v>
      </c>
      <c r="B1076">
        <v>0.4587</v>
      </c>
      <c r="C1076">
        <v>0.45879999999999999</v>
      </c>
      <c r="D1076">
        <v>0.44</v>
      </c>
      <c r="E1076">
        <v>0.44569999999999999</v>
      </c>
      <c r="F1076">
        <v>254923.69</v>
      </c>
      <c r="G1076">
        <v>0</v>
      </c>
      <c r="L1076" t="s">
        <v>8</v>
      </c>
      <c r="M1076" t="s">
        <v>8</v>
      </c>
      <c r="N1076" t="s">
        <v>7</v>
      </c>
      <c r="P1076">
        <f t="shared" si="1024"/>
        <v>-0.39361702127659703</v>
      </c>
      <c r="Q1076">
        <f t="shared" si="1025"/>
        <v>-100342.30351063862</v>
      </c>
      <c r="R1076">
        <f t="shared" si="1026"/>
        <v>-13942236.484988127</v>
      </c>
      <c r="S1076">
        <f t="shared" si="1027"/>
        <v>-139.42236484988126</v>
      </c>
      <c r="T1076">
        <f t="shared" si="1028"/>
        <v>-0.13942236484988127</v>
      </c>
    </row>
    <row r="1077" spans="1:20" x14ac:dyDescent="0.25">
      <c r="A1077" s="5">
        <v>43516</v>
      </c>
      <c r="B1077">
        <v>0.43640000000000001</v>
      </c>
      <c r="C1077">
        <v>0.45860000000000001</v>
      </c>
      <c r="D1077">
        <v>0.42</v>
      </c>
      <c r="E1077">
        <v>0.45860000000000001</v>
      </c>
      <c r="F1077">
        <v>425896.54</v>
      </c>
      <c r="G1077">
        <v>0</v>
      </c>
      <c r="L1077" t="s">
        <v>8</v>
      </c>
      <c r="M1077" t="s">
        <v>8</v>
      </c>
      <c r="N1077" t="s">
        <v>7</v>
      </c>
      <c r="P1077">
        <f t="shared" si="1024"/>
        <v>1</v>
      </c>
      <c r="Q1077">
        <f t="shared" si="1025"/>
        <v>425896.54</v>
      </c>
      <c r="R1077">
        <f t="shared" si="1026"/>
        <v>-13841894.181477489</v>
      </c>
      <c r="S1077">
        <f t="shared" si="1027"/>
        <v>-138.41894181477488</v>
      </c>
      <c r="T1077">
        <f t="shared" si="1028"/>
        <v>-0.13841894181477488</v>
      </c>
    </row>
    <row r="1078" spans="1:20" x14ac:dyDescent="0.25">
      <c r="A1078" s="5">
        <v>43515</v>
      </c>
      <c r="B1078">
        <v>0.43630000000000002</v>
      </c>
      <c r="C1078">
        <v>0.4511</v>
      </c>
      <c r="D1078">
        <v>0.42659999999999998</v>
      </c>
      <c r="E1078">
        <v>0.43730000000000002</v>
      </c>
      <c r="F1078">
        <v>381580.04</v>
      </c>
      <c r="G1078">
        <v>0</v>
      </c>
      <c r="L1078" t="s">
        <v>8</v>
      </c>
      <c r="M1078" t="s">
        <v>8</v>
      </c>
      <c r="N1078" t="s">
        <v>7</v>
      </c>
      <c r="P1078">
        <f t="shared" si="1024"/>
        <v>-0.12653061224489523</v>
      </c>
      <c r="Q1078">
        <f t="shared" si="1025"/>
        <v>-48281.556081631607</v>
      </c>
      <c r="R1078">
        <f t="shared" si="1026"/>
        <v>-14267790.721477488</v>
      </c>
      <c r="S1078">
        <f t="shared" si="1027"/>
        <v>-142.67790721477488</v>
      </c>
      <c r="T1078">
        <f t="shared" si="1028"/>
        <v>-0.14267790721477489</v>
      </c>
    </row>
    <row r="1079" spans="1:20" x14ac:dyDescent="0.25">
      <c r="A1079" s="5">
        <v>43514</v>
      </c>
      <c r="B1079">
        <v>0.42130000000000001</v>
      </c>
      <c r="C1079">
        <v>0.44579999999999997</v>
      </c>
      <c r="D1079">
        <v>0.41620000000000001</v>
      </c>
      <c r="E1079">
        <v>0.439</v>
      </c>
      <c r="F1079">
        <v>452037.32</v>
      </c>
      <c r="G1079">
        <v>0</v>
      </c>
      <c r="L1079" t="s">
        <v>8</v>
      </c>
      <c r="M1079" t="s">
        <v>8</v>
      </c>
      <c r="N1079" t="s">
        <v>7</v>
      </c>
      <c r="P1079">
        <f t="shared" si="1024"/>
        <v>0.54054054054054179</v>
      </c>
      <c r="Q1079">
        <f t="shared" si="1025"/>
        <v>244344.49729729787</v>
      </c>
      <c r="R1079">
        <f t="shared" si="1026"/>
        <v>-14219509.165395856</v>
      </c>
      <c r="S1079">
        <f t="shared" si="1027"/>
        <v>-142.19509165395857</v>
      </c>
      <c r="T1079">
        <f t="shared" si="1028"/>
        <v>-0.14219509165395858</v>
      </c>
    </row>
    <row r="1080" spans="1:20" x14ac:dyDescent="0.25">
      <c r="A1080" s="5">
        <v>43513</v>
      </c>
      <c r="B1080">
        <v>0.40429999999999999</v>
      </c>
      <c r="C1080">
        <v>0.439</v>
      </c>
      <c r="D1080">
        <v>0.40200000000000002</v>
      </c>
      <c r="E1080">
        <v>0.42370000000000002</v>
      </c>
      <c r="F1080">
        <v>448941.66</v>
      </c>
      <c r="G1080">
        <v>0</v>
      </c>
      <c r="L1080" t="s">
        <v>7</v>
      </c>
      <c r="M1080" t="s">
        <v>8</v>
      </c>
      <c r="N1080" t="s">
        <v>7</v>
      </c>
      <c r="P1080">
        <f t="shared" si="1024"/>
        <v>0.17297297297297354</v>
      </c>
      <c r="Q1080">
        <f t="shared" si="1025"/>
        <v>77654.773621621876</v>
      </c>
      <c r="R1080">
        <f t="shared" si="1026"/>
        <v>-14463853.662693154</v>
      </c>
      <c r="S1080">
        <f t="shared" si="1027"/>
        <v>-144.63853662693154</v>
      </c>
      <c r="T1080">
        <f t="shared" si="1028"/>
        <v>-0.14463853662693155</v>
      </c>
    </row>
    <row r="1081" spans="1:20" x14ac:dyDescent="0.25">
      <c r="A1081" s="5">
        <v>43512</v>
      </c>
      <c r="B1081">
        <v>0.40150000000000002</v>
      </c>
      <c r="C1081">
        <v>0.45500000000000002</v>
      </c>
      <c r="D1081">
        <v>0.40150000000000002</v>
      </c>
      <c r="E1081">
        <v>0.40389999999999998</v>
      </c>
      <c r="F1081">
        <v>609299.29</v>
      </c>
      <c r="G1081">
        <v>0</v>
      </c>
      <c r="L1081" t="s">
        <v>8</v>
      </c>
      <c r="M1081" t="s">
        <v>8</v>
      </c>
      <c r="N1081" t="s">
        <v>7</v>
      </c>
      <c r="P1081">
        <f t="shared" si="1024"/>
        <v>-0.91028037383177729</v>
      </c>
      <c r="Q1081">
        <f t="shared" si="1025"/>
        <v>-554633.18547663651</v>
      </c>
      <c r="R1081">
        <f t="shared" si="1026"/>
        <v>-14541508.436314777</v>
      </c>
      <c r="S1081">
        <f t="shared" si="1027"/>
        <v>-145.41508436314777</v>
      </c>
      <c r="T1081">
        <f t="shared" si="1028"/>
        <v>-0.14541508436314776</v>
      </c>
    </row>
    <row r="1082" spans="1:20" x14ac:dyDescent="0.25">
      <c r="A1082" s="5">
        <v>43511</v>
      </c>
      <c r="B1082">
        <v>0.40660000000000002</v>
      </c>
      <c r="C1082">
        <v>0.4093</v>
      </c>
      <c r="D1082">
        <v>0.39939999999999998</v>
      </c>
      <c r="E1082">
        <v>0.4007</v>
      </c>
      <c r="F1082">
        <v>146428.26</v>
      </c>
      <c r="G1082">
        <v>0</v>
      </c>
      <c r="L1082" t="s">
        <v>8</v>
      </c>
      <c r="M1082" t="s">
        <v>8</v>
      </c>
      <c r="N1082" t="s">
        <v>7</v>
      </c>
      <c r="P1082">
        <f t="shared" si="1024"/>
        <v>-0.73737373737373313</v>
      </c>
      <c r="Q1082">
        <f t="shared" si="1025"/>
        <v>-107972.35333333272</v>
      </c>
      <c r="R1082">
        <f t="shared" si="1026"/>
        <v>-13986875.25083814</v>
      </c>
      <c r="S1082">
        <f t="shared" si="1027"/>
        <v>-139.86875250838139</v>
      </c>
      <c r="T1082">
        <f t="shared" si="1028"/>
        <v>-0.13986875250838138</v>
      </c>
    </row>
    <row r="1083" spans="1:20" x14ac:dyDescent="0.25">
      <c r="A1083" s="5">
        <v>43510</v>
      </c>
      <c r="B1083">
        <v>0.40350000000000003</v>
      </c>
      <c r="C1083">
        <v>0.41139999999999999</v>
      </c>
      <c r="D1083">
        <v>0.39900000000000002</v>
      </c>
      <c r="E1083">
        <v>0.40649999999999997</v>
      </c>
      <c r="F1083">
        <v>125120.27</v>
      </c>
      <c r="G1083">
        <v>0</v>
      </c>
      <c r="L1083" t="s">
        <v>8</v>
      </c>
      <c r="M1083" t="s">
        <v>8</v>
      </c>
      <c r="N1083" t="s">
        <v>7</v>
      </c>
      <c r="P1083">
        <f t="shared" si="1024"/>
        <v>0.20967741935483408</v>
      </c>
      <c r="Q1083">
        <f t="shared" si="1025"/>
        <v>26234.895322580069</v>
      </c>
      <c r="R1083">
        <f t="shared" si="1026"/>
        <v>-13878902.897504807</v>
      </c>
      <c r="S1083">
        <f t="shared" si="1027"/>
        <v>-138.78902897504807</v>
      </c>
      <c r="T1083">
        <f t="shared" si="1028"/>
        <v>-0.13878902897504808</v>
      </c>
    </row>
    <row r="1084" spans="1:20" x14ac:dyDescent="0.25">
      <c r="A1084" s="5">
        <v>43509</v>
      </c>
      <c r="B1084">
        <v>0.40060000000000001</v>
      </c>
      <c r="C1084">
        <v>0.41620000000000001</v>
      </c>
      <c r="D1084">
        <v>0.39900000000000002</v>
      </c>
      <c r="E1084">
        <v>0.40339999999999998</v>
      </c>
      <c r="F1084">
        <v>243497.55</v>
      </c>
      <c r="G1084">
        <v>0</v>
      </c>
      <c r="L1084" t="s">
        <v>8</v>
      </c>
      <c r="M1084" t="s">
        <v>8</v>
      </c>
      <c r="N1084" t="s">
        <v>7</v>
      </c>
      <c r="P1084">
        <f t="shared" si="1024"/>
        <v>-0.48837209302326029</v>
      </c>
      <c r="Q1084">
        <f t="shared" si="1025"/>
        <v>-118917.40813953597</v>
      </c>
      <c r="R1084">
        <f t="shared" si="1026"/>
        <v>-13905137.792827386</v>
      </c>
      <c r="S1084">
        <f t="shared" si="1027"/>
        <v>-139.05137792827387</v>
      </c>
      <c r="T1084">
        <f t="shared" si="1028"/>
        <v>-0.13905137792827388</v>
      </c>
    </row>
    <row r="1085" spans="1:20" x14ac:dyDescent="0.25">
      <c r="A1085" s="5">
        <v>43508</v>
      </c>
      <c r="B1085">
        <v>0.40350000000000003</v>
      </c>
      <c r="C1085">
        <v>0.41589999999999999</v>
      </c>
      <c r="D1085">
        <v>0.38279999999999997</v>
      </c>
      <c r="E1085">
        <v>0.40129999999999999</v>
      </c>
      <c r="F1085">
        <v>303999.61</v>
      </c>
      <c r="G1085">
        <v>0</v>
      </c>
      <c r="L1085" t="s">
        <v>7</v>
      </c>
      <c r="M1085" t="s">
        <v>8</v>
      </c>
      <c r="N1085" t="s">
        <v>7</v>
      </c>
      <c r="P1085">
        <f t="shared" si="1024"/>
        <v>0.11782477341389766</v>
      </c>
      <c r="Q1085">
        <f t="shared" si="1025"/>
        <v>35818.685166163254</v>
      </c>
      <c r="R1085">
        <f t="shared" si="1026"/>
        <v>-13786220.38468785</v>
      </c>
      <c r="S1085">
        <f t="shared" si="1027"/>
        <v>-137.86220384687851</v>
      </c>
      <c r="T1085">
        <f t="shared" si="1028"/>
        <v>-0.13786220384687853</v>
      </c>
    </row>
    <row r="1086" spans="1:20" x14ac:dyDescent="0.25">
      <c r="A1086" s="5">
        <v>43507</v>
      </c>
      <c r="B1086">
        <v>0.40960000000000002</v>
      </c>
      <c r="C1086">
        <v>0.42499999999999999</v>
      </c>
      <c r="D1086">
        <v>0.39610000000000001</v>
      </c>
      <c r="E1086">
        <v>0.40350000000000003</v>
      </c>
      <c r="F1086">
        <v>244139.88</v>
      </c>
      <c r="G1086">
        <v>0</v>
      </c>
      <c r="L1086" t="s">
        <v>8</v>
      </c>
      <c r="M1086" t="s">
        <v>8</v>
      </c>
      <c r="N1086" t="s">
        <v>7</v>
      </c>
      <c r="P1086">
        <f t="shared" si="1024"/>
        <v>-0.48788927335639981</v>
      </c>
      <c r="Q1086">
        <f t="shared" si="1025"/>
        <v>-119113.22865051865</v>
      </c>
      <c r="R1086">
        <f t="shared" si="1026"/>
        <v>-13822039.069854014</v>
      </c>
      <c r="S1086">
        <f t="shared" si="1027"/>
        <v>-138.22039069854014</v>
      </c>
      <c r="T1086">
        <f t="shared" si="1028"/>
        <v>-0.13822039069854014</v>
      </c>
    </row>
    <row r="1087" spans="1:20" x14ac:dyDescent="0.25">
      <c r="A1087" s="5">
        <v>43506</v>
      </c>
      <c r="B1087">
        <v>0.40920000000000001</v>
      </c>
      <c r="C1087">
        <v>0.42749999999999999</v>
      </c>
      <c r="D1087">
        <v>0.39350000000000002</v>
      </c>
      <c r="E1087">
        <v>0.40960000000000002</v>
      </c>
      <c r="F1087">
        <v>370672.98</v>
      </c>
      <c r="G1087">
        <v>0</v>
      </c>
      <c r="L1087" t="s">
        <v>7</v>
      </c>
      <c r="M1087" t="s">
        <v>8</v>
      </c>
      <c r="N1087" t="s">
        <v>7</v>
      </c>
      <c r="P1087">
        <f t="shared" ref="P1087:P1150" si="1029">IF(C1087=D1087,0,((E1087-D1087)-(C1087-E1087))/(C1087-D1087))</f>
        <v>-5.2941176470587339E-2</v>
      </c>
      <c r="Q1087">
        <f t="shared" ref="Q1087:Q1150" si="1030">F1087*P1087</f>
        <v>-19623.86364705849</v>
      </c>
      <c r="R1087">
        <f t="shared" ref="R1087:R1150" si="1031">R1088+Q1087</f>
        <v>-13702925.841203496</v>
      </c>
      <c r="S1087">
        <f t="shared" ref="S1087:S1150" si="1032">R1087/100000</f>
        <v>-137.02925841203495</v>
      </c>
      <c r="T1087">
        <f t="shared" ref="T1087:T1150" si="1033">S1087/1000</f>
        <v>-0.13702925841203495</v>
      </c>
    </row>
    <row r="1088" spans="1:20" x14ac:dyDescent="0.25">
      <c r="A1088" s="5">
        <v>43505</v>
      </c>
      <c r="B1088">
        <v>0.3982</v>
      </c>
      <c r="C1088">
        <v>0.44879999999999998</v>
      </c>
      <c r="D1088">
        <v>0.39319999999999999</v>
      </c>
      <c r="E1088">
        <v>0.40920000000000001</v>
      </c>
      <c r="F1088">
        <v>586110.28</v>
      </c>
      <c r="G1088">
        <v>0</v>
      </c>
      <c r="L1088" t="s">
        <v>8</v>
      </c>
      <c r="M1088" t="s">
        <v>8</v>
      </c>
      <c r="N1088" t="s">
        <v>7</v>
      </c>
      <c r="P1088">
        <f t="shared" si="1029"/>
        <v>-0.42446043165467556</v>
      </c>
      <c r="Q1088">
        <f t="shared" si="1030"/>
        <v>-248780.62244604278</v>
      </c>
      <c r="R1088">
        <f t="shared" si="1031"/>
        <v>-13683301.977556437</v>
      </c>
      <c r="S1088">
        <f t="shared" si="1032"/>
        <v>-136.83301977556437</v>
      </c>
      <c r="T1088">
        <f t="shared" si="1033"/>
        <v>-0.13683301977556436</v>
      </c>
    </row>
    <row r="1089" spans="1:20" x14ac:dyDescent="0.25">
      <c r="A1089" s="5">
        <v>43504</v>
      </c>
      <c r="B1089">
        <v>0.378</v>
      </c>
      <c r="C1089">
        <v>0.40889999999999999</v>
      </c>
      <c r="D1089">
        <v>0.37269999999999998</v>
      </c>
      <c r="E1089">
        <v>0.3977</v>
      </c>
      <c r="F1089">
        <v>464474.43</v>
      </c>
      <c r="G1089">
        <v>0</v>
      </c>
      <c r="L1089" t="s">
        <v>8</v>
      </c>
      <c r="M1089" t="s">
        <v>7</v>
      </c>
      <c r="N1089" t="s">
        <v>7</v>
      </c>
      <c r="P1089">
        <f t="shared" si="1029"/>
        <v>0.38121546961326053</v>
      </c>
      <c r="Q1089">
        <f t="shared" si="1030"/>
        <v>177064.83795580151</v>
      </c>
      <c r="R1089">
        <f t="shared" si="1031"/>
        <v>-13434521.355110394</v>
      </c>
      <c r="S1089">
        <f t="shared" si="1032"/>
        <v>-134.34521355110394</v>
      </c>
      <c r="T1089">
        <f t="shared" si="1033"/>
        <v>-0.13434521355110393</v>
      </c>
    </row>
    <row r="1090" spans="1:20" x14ac:dyDescent="0.25">
      <c r="A1090" s="5">
        <v>43503</v>
      </c>
      <c r="B1090">
        <v>0.3695</v>
      </c>
      <c r="C1090">
        <v>0.38900000000000001</v>
      </c>
      <c r="D1090">
        <v>0.36820000000000003</v>
      </c>
      <c r="E1090">
        <v>0.37709999999999999</v>
      </c>
      <c r="F1090">
        <v>249179.51999999999</v>
      </c>
      <c r="G1090">
        <v>0</v>
      </c>
      <c r="L1090" t="s">
        <v>8</v>
      </c>
      <c r="M1090" t="s">
        <v>7</v>
      </c>
      <c r="N1090" t="s">
        <v>7</v>
      </c>
      <c r="P1090">
        <f t="shared" si="1029"/>
        <v>-0.14423076923077213</v>
      </c>
      <c r="Q1090">
        <f t="shared" si="1030"/>
        <v>-35939.353846154569</v>
      </c>
      <c r="R1090">
        <f t="shared" si="1031"/>
        <v>-13611586.193066195</v>
      </c>
      <c r="S1090">
        <f t="shared" si="1032"/>
        <v>-136.11586193066194</v>
      </c>
      <c r="T1090">
        <f t="shared" si="1033"/>
        <v>-0.13611586193066194</v>
      </c>
    </row>
    <row r="1091" spans="1:20" x14ac:dyDescent="0.25">
      <c r="A1091" s="5">
        <v>43502</v>
      </c>
      <c r="B1091">
        <v>0.38030000000000003</v>
      </c>
      <c r="C1091">
        <v>0.38369999999999999</v>
      </c>
      <c r="D1091">
        <v>0.36</v>
      </c>
      <c r="E1091">
        <v>0.36959999999999998</v>
      </c>
      <c r="F1091">
        <v>356388.23</v>
      </c>
      <c r="G1091">
        <v>0</v>
      </c>
      <c r="L1091" t="s">
        <v>7</v>
      </c>
      <c r="M1091" t="s">
        <v>7</v>
      </c>
      <c r="N1091" t="s">
        <v>7</v>
      </c>
      <c r="P1091">
        <f t="shared" si="1029"/>
        <v>-0.18987341772151917</v>
      </c>
      <c r="Q1091">
        <f t="shared" si="1030"/>
        <v>-67668.651265822846</v>
      </c>
      <c r="R1091">
        <f t="shared" si="1031"/>
        <v>-13575646.83922004</v>
      </c>
      <c r="S1091">
        <f t="shared" si="1032"/>
        <v>-135.75646839220039</v>
      </c>
      <c r="T1091">
        <f t="shared" si="1033"/>
        <v>-0.1357564683922004</v>
      </c>
    </row>
    <row r="1092" spans="1:20" x14ac:dyDescent="0.25">
      <c r="A1092" s="5">
        <v>43501</v>
      </c>
      <c r="B1092">
        <v>0.39040000000000002</v>
      </c>
      <c r="C1092">
        <v>0.39419999999999999</v>
      </c>
      <c r="D1092">
        <v>0.375</v>
      </c>
      <c r="E1092">
        <v>0.37990000000000002</v>
      </c>
      <c r="F1092">
        <v>527185.67000000004</v>
      </c>
      <c r="G1092">
        <v>0</v>
      </c>
      <c r="L1092" t="s">
        <v>7</v>
      </c>
      <c r="M1092" t="s">
        <v>7</v>
      </c>
      <c r="N1092" t="s">
        <v>7</v>
      </c>
      <c r="P1092">
        <f t="shared" si="1029"/>
        <v>-0.48958333333333159</v>
      </c>
      <c r="Q1092">
        <f t="shared" si="1030"/>
        <v>-258101.31760416576</v>
      </c>
      <c r="R1092">
        <f t="shared" si="1031"/>
        <v>-13507978.187954217</v>
      </c>
      <c r="S1092">
        <f t="shared" si="1032"/>
        <v>-135.07978187954217</v>
      </c>
      <c r="T1092">
        <f t="shared" si="1033"/>
        <v>-0.13507978187954217</v>
      </c>
    </row>
    <row r="1093" spans="1:20" x14ac:dyDescent="0.25">
      <c r="A1093" s="5">
        <v>43500</v>
      </c>
      <c r="B1093">
        <v>0.39369999999999999</v>
      </c>
      <c r="C1093">
        <v>0.43259999999999998</v>
      </c>
      <c r="D1093">
        <v>0.38929999999999998</v>
      </c>
      <c r="E1093">
        <v>0.39090000000000003</v>
      </c>
      <c r="F1093">
        <v>521860.22</v>
      </c>
      <c r="G1093">
        <v>0</v>
      </c>
      <c r="L1093" t="s">
        <v>8</v>
      </c>
      <c r="M1093" t="s">
        <v>7</v>
      </c>
      <c r="N1093" t="s">
        <v>7</v>
      </c>
      <c r="P1093">
        <f t="shared" si="1029"/>
        <v>-0.92609699769052911</v>
      </c>
      <c r="Q1093">
        <f t="shared" si="1030"/>
        <v>-483293.18295611901</v>
      </c>
      <c r="R1093">
        <f t="shared" si="1031"/>
        <v>-13249876.870350052</v>
      </c>
      <c r="S1093">
        <f t="shared" si="1032"/>
        <v>-132.49876870350053</v>
      </c>
      <c r="T1093">
        <f t="shared" si="1033"/>
        <v>-0.13249876870350052</v>
      </c>
    </row>
    <row r="1094" spans="1:20" x14ac:dyDescent="0.25">
      <c r="A1094" s="5">
        <v>43499</v>
      </c>
      <c r="B1094">
        <v>0.41139999999999999</v>
      </c>
      <c r="C1094">
        <v>0.41349999999999998</v>
      </c>
      <c r="D1094">
        <v>0.38690000000000002</v>
      </c>
      <c r="E1094">
        <v>0.39369999999999999</v>
      </c>
      <c r="F1094">
        <v>106178.87</v>
      </c>
      <c r="G1094">
        <v>0</v>
      </c>
      <c r="L1094" t="s">
        <v>7</v>
      </c>
      <c r="M1094" t="s">
        <v>7</v>
      </c>
      <c r="N1094" t="s">
        <v>7</v>
      </c>
      <c r="P1094">
        <f t="shared" si="1029"/>
        <v>-0.48872180451127945</v>
      </c>
      <c r="Q1094">
        <f t="shared" si="1030"/>
        <v>-51891.928947368549</v>
      </c>
      <c r="R1094">
        <f t="shared" si="1031"/>
        <v>-12766583.687393934</v>
      </c>
      <c r="S1094">
        <f t="shared" si="1032"/>
        <v>-127.66583687393934</v>
      </c>
      <c r="T1094">
        <f t="shared" si="1033"/>
        <v>-0.12766583687393934</v>
      </c>
    </row>
    <row r="1095" spans="1:20" x14ac:dyDescent="0.25">
      <c r="A1095" s="5">
        <v>43498</v>
      </c>
      <c r="B1095">
        <v>0.40400000000000003</v>
      </c>
      <c r="C1095">
        <v>0.41660000000000003</v>
      </c>
      <c r="D1095">
        <v>0.39679999999999999</v>
      </c>
      <c r="E1095">
        <v>0.4123</v>
      </c>
      <c r="F1095">
        <v>225478.23</v>
      </c>
      <c r="G1095">
        <v>0</v>
      </c>
      <c r="L1095" t="s">
        <v>8</v>
      </c>
      <c r="M1095" t="s">
        <v>7</v>
      </c>
      <c r="N1095" t="s">
        <v>7</v>
      </c>
      <c r="P1095">
        <f t="shared" si="1029"/>
        <v>0.56565656565656386</v>
      </c>
      <c r="Q1095">
        <f t="shared" si="1030"/>
        <v>127543.24121212082</v>
      </c>
      <c r="R1095">
        <f t="shared" si="1031"/>
        <v>-12714691.758446565</v>
      </c>
      <c r="S1095">
        <f t="shared" si="1032"/>
        <v>-127.14691758446565</v>
      </c>
      <c r="T1095">
        <f t="shared" si="1033"/>
        <v>-0.12714691758446567</v>
      </c>
    </row>
    <row r="1096" spans="1:20" x14ac:dyDescent="0.25">
      <c r="A1096" s="5">
        <v>43497</v>
      </c>
      <c r="B1096">
        <v>0.38429999999999997</v>
      </c>
      <c r="C1096">
        <v>0.41899999999999998</v>
      </c>
      <c r="D1096">
        <v>0.37930000000000003</v>
      </c>
      <c r="E1096">
        <v>0.40360000000000001</v>
      </c>
      <c r="F1096">
        <v>361720.09</v>
      </c>
      <c r="G1096">
        <v>0</v>
      </c>
      <c r="L1096" t="s">
        <v>8</v>
      </c>
      <c r="M1096" t="s">
        <v>7</v>
      </c>
      <c r="N1096" t="s">
        <v>7</v>
      </c>
      <c r="P1096">
        <f t="shared" si="1029"/>
        <v>0.22418136020151205</v>
      </c>
      <c r="Q1096">
        <f t="shared" si="1030"/>
        <v>81090.901788413365</v>
      </c>
      <c r="R1096">
        <f t="shared" si="1031"/>
        <v>-12842234.999658685</v>
      </c>
      <c r="S1096">
        <f t="shared" si="1032"/>
        <v>-128.42234999658686</v>
      </c>
      <c r="T1096">
        <f t="shared" si="1033"/>
        <v>-0.12842234999658686</v>
      </c>
    </row>
    <row r="1097" spans="1:20" x14ac:dyDescent="0.25">
      <c r="A1097" s="5">
        <v>43496</v>
      </c>
      <c r="B1097">
        <v>0.41299999999999998</v>
      </c>
      <c r="C1097">
        <v>0.41770000000000002</v>
      </c>
      <c r="D1097">
        <v>0.37909999999999999</v>
      </c>
      <c r="E1097">
        <v>0.38500000000000001</v>
      </c>
      <c r="F1097">
        <v>537753.52</v>
      </c>
      <c r="G1097">
        <v>0</v>
      </c>
      <c r="L1097" t="s">
        <v>7</v>
      </c>
      <c r="M1097" t="s">
        <v>7</v>
      </c>
      <c r="N1097" t="s">
        <v>7</v>
      </c>
      <c r="P1097">
        <f t="shared" si="1029"/>
        <v>-0.69430051813471438</v>
      </c>
      <c r="Q1097">
        <f t="shared" si="1030"/>
        <v>-373362.54756476649</v>
      </c>
      <c r="R1097">
        <f t="shared" si="1031"/>
        <v>-12923325.901447099</v>
      </c>
      <c r="S1097">
        <f t="shared" si="1032"/>
        <v>-129.23325901447097</v>
      </c>
      <c r="T1097">
        <f t="shared" si="1033"/>
        <v>-0.12923325901447097</v>
      </c>
    </row>
    <row r="1098" spans="1:20" x14ac:dyDescent="0.25">
      <c r="A1098" s="5">
        <v>43495</v>
      </c>
      <c r="B1098">
        <v>0.41120000000000001</v>
      </c>
      <c r="C1098">
        <v>0.4199</v>
      </c>
      <c r="D1098">
        <v>0.39650000000000002</v>
      </c>
      <c r="E1098">
        <v>0.41320000000000001</v>
      </c>
      <c r="F1098">
        <v>429569.71</v>
      </c>
      <c r="G1098">
        <v>0</v>
      </c>
      <c r="L1098" t="s">
        <v>7</v>
      </c>
      <c r="M1098" t="s">
        <v>8</v>
      </c>
      <c r="N1098" t="s">
        <v>7</v>
      </c>
      <c r="P1098">
        <f t="shared" si="1029"/>
        <v>0.42735042735042816</v>
      </c>
      <c r="Q1098">
        <f t="shared" si="1030"/>
        <v>183576.7991452995</v>
      </c>
      <c r="R1098">
        <f t="shared" si="1031"/>
        <v>-12549963.353882331</v>
      </c>
      <c r="S1098">
        <f t="shared" si="1032"/>
        <v>-125.49963353882332</v>
      </c>
      <c r="T1098">
        <f t="shared" si="1033"/>
        <v>-0.12549963353882332</v>
      </c>
    </row>
    <row r="1099" spans="1:20" x14ac:dyDescent="0.25">
      <c r="A1099" s="5">
        <v>43494</v>
      </c>
      <c r="B1099">
        <v>0.39290000000000003</v>
      </c>
      <c r="C1099">
        <v>0.4602</v>
      </c>
      <c r="D1099">
        <v>0.39</v>
      </c>
      <c r="E1099">
        <v>0.41120000000000001</v>
      </c>
      <c r="F1099">
        <v>1201856.67</v>
      </c>
      <c r="G1099">
        <v>0</v>
      </c>
      <c r="L1099" t="s">
        <v>8</v>
      </c>
      <c r="M1099" t="s">
        <v>8</v>
      </c>
      <c r="N1099" t="s">
        <v>7</v>
      </c>
      <c r="P1099">
        <f t="shared" si="1029"/>
        <v>-0.39601139601139596</v>
      </c>
      <c r="Q1099">
        <f t="shared" si="1030"/>
        <v>-475948.93769230758</v>
      </c>
      <c r="R1099">
        <f t="shared" si="1031"/>
        <v>-12733540.153027631</v>
      </c>
      <c r="S1099">
        <f t="shared" si="1032"/>
        <v>-127.33540153027631</v>
      </c>
      <c r="T1099">
        <f t="shared" si="1033"/>
        <v>-0.12733540153027631</v>
      </c>
    </row>
    <row r="1100" spans="1:20" x14ac:dyDescent="0.25">
      <c r="A1100" s="5">
        <v>43493</v>
      </c>
      <c r="B1100">
        <v>0.42070000000000002</v>
      </c>
      <c r="C1100">
        <v>0.42199999999999999</v>
      </c>
      <c r="D1100">
        <v>0.38519999999999999</v>
      </c>
      <c r="E1100">
        <v>0.3926</v>
      </c>
      <c r="F1100">
        <v>820123.9</v>
      </c>
      <c r="G1100">
        <v>0</v>
      </c>
      <c r="L1100" t="s">
        <v>7</v>
      </c>
      <c r="M1100" t="s">
        <v>7</v>
      </c>
      <c r="N1100" t="s">
        <v>7</v>
      </c>
      <c r="P1100">
        <f t="shared" si="1029"/>
        <v>-0.59782608695652073</v>
      </c>
      <c r="Q1100">
        <f t="shared" si="1030"/>
        <v>-490291.46195652091</v>
      </c>
      <c r="R1100">
        <f t="shared" si="1031"/>
        <v>-12257591.215335324</v>
      </c>
      <c r="S1100">
        <f t="shared" si="1032"/>
        <v>-122.57591215335324</v>
      </c>
      <c r="T1100">
        <f t="shared" si="1033"/>
        <v>-0.12257591215335324</v>
      </c>
    </row>
    <row r="1101" spans="1:20" x14ac:dyDescent="0.25">
      <c r="A1101" s="5">
        <v>43492</v>
      </c>
      <c r="B1101">
        <v>0.46089999999999998</v>
      </c>
      <c r="C1101">
        <v>0.47489999999999999</v>
      </c>
      <c r="D1101">
        <v>0.40670000000000001</v>
      </c>
      <c r="E1101">
        <v>0.42099999999999999</v>
      </c>
      <c r="F1101">
        <v>1437363.46</v>
      </c>
      <c r="G1101">
        <v>0</v>
      </c>
      <c r="L1101" t="s">
        <v>7</v>
      </c>
      <c r="M1101" t="s">
        <v>7</v>
      </c>
      <c r="N1101" t="s">
        <v>8</v>
      </c>
      <c r="P1101">
        <f t="shared" si="1029"/>
        <v>-0.58064516129032306</v>
      </c>
      <c r="Q1101">
        <f t="shared" si="1030"/>
        <v>-834598.13806451682</v>
      </c>
      <c r="R1101">
        <f t="shared" si="1031"/>
        <v>-11767299.753378803</v>
      </c>
      <c r="S1101">
        <f t="shared" si="1032"/>
        <v>-117.67299753378803</v>
      </c>
      <c r="T1101">
        <f t="shared" si="1033"/>
        <v>-0.11767299753378803</v>
      </c>
    </row>
    <row r="1102" spans="1:20" x14ac:dyDescent="0.25">
      <c r="A1102" s="5">
        <v>43491</v>
      </c>
      <c r="B1102">
        <v>0.49320000000000003</v>
      </c>
      <c r="C1102">
        <v>0.53180000000000005</v>
      </c>
      <c r="D1102">
        <v>0.4556</v>
      </c>
      <c r="E1102">
        <v>0.4607</v>
      </c>
      <c r="F1102">
        <v>2411492.14</v>
      </c>
      <c r="G1102">
        <v>0</v>
      </c>
      <c r="L1102" t="s">
        <v>7</v>
      </c>
      <c r="M1102" t="s">
        <v>7</v>
      </c>
      <c r="N1102" t="s">
        <v>8</v>
      </c>
      <c r="P1102">
        <f t="shared" si="1029"/>
        <v>-0.8661417322834648</v>
      </c>
      <c r="Q1102">
        <f t="shared" si="1030"/>
        <v>-2088693.9795275598</v>
      </c>
      <c r="R1102">
        <f t="shared" si="1031"/>
        <v>-10932701.615314286</v>
      </c>
      <c r="S1102">
        <f t="shared" si="1032"/>
        <v>-109.32701615314286</v>
      </c>
      <c r="T1102">
        <f t="shared" si="1033"/>
        <v>-0.10932701615314286</v>
      </c>
    </row>
    <row r="1103" spans="1:20" x14ac:dyDescent="0.25">
      <c r="A1103" s="5">
        <v>43490</v>
      </c>
      <c r="B1103">
        <v>0.41889999999999999</v>
      </c>
      <c r="C1103">
        <v>0.55879999999999996</v>
      </c>
      <c r="D1103">
        <v>0.41510000000000002</v>
      </c>
      <c r="E1103">
        <v>0.49320000000000003</v>
      </c>
      <c r="F1103">
        <v>3504454.98</v>
      </c>
      <c r="G1103">
        <v>0</v>
      </c>
      <c r="L1103" t="s">
        <v>8</v>
      </c>
      <c r="M1103" t="s">
        <v>8</v>
      </c>
      <c r="N1103" t="s">
        <v>8</v>
      </c>
      <c r="P1103">
        <f t="shared" si="1029"/>
        <v>8.6986778009743027E-2</v>
      </c>
      <c r="Q1103">
        <f t="shared" si="1030"/>
        <v>304841.24739039846</v>
      </c>
      <c r="R1103">
        <f t="shared" si="1031"/>
        <v>-8844007.6357867271</v>
      </c>
      <c r="S1103">
        <f t="shared" si="1032"/>
        <v>-88.44007635786727</v>
      </c>
      <c r="T1103">
        <f t="shared" si="1033"/>
        <v>-8.844007635786727E-2</v>
      </c>
    </row>
    <row r="1104" spans="1:20" x14ac:dyDescent="0.25">
      <c r="A1104" s="5">
        <v>43489</v>
      </c>
      <c r="B1104">
        <v>0.3952</v>
      </c>
      <c r="C1104">
        <v>0.45889999999999997</v>
      </c>
      <c r="D1104">
        <v>0.39319999999999999</v>
      </c>
      <c r="E1104">
        <v>0.41909999999999997</v>
      </c>
      <c r="F1104">
        <v>974535.62</v>
      </c>
      <c r="G1104">
        <v>0</v>
      </c>
      <c r="L1104" t="s">
        <v>8</v>
      </c>
      <c r="M1104" t="s">
        <v>8</v>
      </c>
      <c r="N1104" t="s">
        <v>7</v>
      </c>
      <c r="P1104">
        <f t="shared" si="1029"/>
        <v>-0.21156773211567775</v>
      </c>
      <c r="Q1104">
        <f t="shared" si="1030"/>
        <v>-206180.29098934593</v>
      </c>
      <c r="R1104">
        <f t="shared" si="1031"/>
        <v>-9148848.8831771258</v>
      </c>
      <c r="S1104">
        <f t="shared" si="1032"/>
        <v>-91.488488831771264</v>
      </c>
      <c r="T1104">
        <f t="shared" si="1033"/>
        <v>-9.148848883177127E-2</v>
      </c>
    </row>
    <row r="1105" spans="1:20" x14ac:dyDescent="0.25">
      <c r="A1105" s="5">
        <v>43488</v>
      </c>
      <c r="B1105">
        <v>0.4007</v>
      </c>
      <c r="C1105">
        <v>0.41339999999999999</v>
      </c>
      <c r="D1105">
        <v>0.39079999999999998</v>
      </c>
      <c r="E1105">
        <v>0.39660000000000001</v>
      </c>
      <c r="F1105">
        <v>245998.82</v>
      </c>
      <c r="G1105">
        <v>0</v>
      </c>
      <c r="L1105" t="s">
        <v>8</v>
      </c>
      <c r="M1105" t="s">
        <v>8</v>
      </c>
      <c r="N1105" t="s">
        <v>7</v>
      </c>
      <c r="P1105">
        <f t="shared" si="1029"/>
        <v>-0.48672566371681192</v>
      </c>
      <c r="Q1105">
        <f t="shared" si="1030"/>
        <v>-119733.93893805255</v>
      </c>
      <c r="R1105">
        <f t="shared" si="1031"/>
        <v>-8942668.592187779</v>
      </c>
      <c r="S1105">
        <f t="shared" si="1032"/>
        <v>-89.426685921877791</v>
      </c>
      <c r="T1105">
        <f t="shared" si="1033"/>
        <v>-8.9426685921877788E-2</v>
      </c>
    </row>
    <row r="1106" spans="1:20" x14ac:dyDescent="0.25">
      <c r="A1106" s="5">
        <v>43487</v>
      </c>
      <c r="B1106">
        <v>0.39229999999999998</v>
      </c>
      <c r="C1106">
        <v>0.40789999999999998</v>
      </c>
      <c r="D1106">
        <v>0.3856</v>
      </c>
      <c r="E1106">
        <v>0.40079999999999999</v>
      </c>
      <c r="F1106">
        <v>169363.99</v>
      </c>
      <c r="G1106">
        <v>0</v>
      </c>
      <c r="L1106" t="s">
        <v>7</v>
      </c>
      <c r="M1106" t="s">
        <v>8</v>
      </c>
      <c r="N1106" t="s">
        <v>7</v>
      </c>
      <c r="P1106">
        <f t="shared" si="1029"/>
        <v>0.36322869955156956</v>
      </c>
      <c r="Q1106">
        <f t="shared" si="1030"/>
        <v>61517.861838565026</v>
      </c>
      <c r="R1106">
        <f t="shared" si="1031"/>
        <v>-8822934.6532497257</v>
      </c>
      <c r="S1106">
        <f t="shared" si="1032"/>
        <v>-88.22934653249726</v>
      </c>
      <c r="T1106">
        <f t="shared" si="1033"/>
        <v>-8.8229346532497255E-2</v>
      </c>
    </row>
    <row r="1107" spans="1:20" x14ac:dyDescent="0.25">
      <c r="A1107" s="5">
        <v>43486</v>
      </c>
      <c r="B1107">
        <v>0.39419999999999999</v>
      </c>
      <c r="C1107">
        <v>0.4027</v>
      </c>
      <c r="D1107">
        <v>0.38790000000000002</v>
      </c>
      <c r="E1107">
        <v>0.39219999999999999</v>
      </c>
      <c r="F1107">
        <v>225032.34</v>
      </c>
      <c r="G1107">
        <v>0</v>
      </c>
      <c r="L1107" t="s">
        <v>7</v>
      </c>
      <c r="M1107" t="s">
        <v>8</v>
      </c>
      <c r="N1107" t="s">
        <v>7</v>
      </c>
      <c r="P1107">
        <f t="shared" si="1029"/>
        <v>-0.41891891891892213</v>
      </c>
      <c r="Q1107">
        <f t="shared" si="1030"/>
        <v>-94270.30459459532</v>
      </c>
      <c r="R1107">
        <f t="shared" si="1031"/>
        <v>-8884452.51508829</v>
      </c>
      <c r="S1107">
        <f t="shared" si="1032"/>
        <v>-88.844525150882902</v>
      </c>
      <c r="T1107">
        <f t="shared" si="1033"/>
        <v>-8.8844525150882897E-2</v>
      </c>
    </row>
    <row r="1108" spans="1:20" x14ac:dyDescent="0.25">
      <c r="A1108" s="5">
        <v>43485</v>
      </c>
      <c r="B1108">
        <v>0.41610000000000003</v>
      </c>
      <c r="C1108">
        <v>0.42370000000000002</v>
      </c>
      <c r="D1108">
        <v>0.38350000000000001</v>
      </c>
      <c r="E1108">
        <v>0.39479999999999998</v>
      </c>
      <c r="F1108">
        <v>371522.93</v>
      </c>
      <c r="G1108">
        <v>0</v>
      </c>
      <c r="L1108" t="s">
        <v>7</v>
      </c>
      <c r="M1108" t="s">
        <v>8</v>
      </c>
      <c r="N1108" t="s">
        <v>7</v>
      </c>
      <c r="P1108">
        <f t="shared" si="1029"/>
        <v>-0.43781094527363318</v>
      </c>
      <c r="Q1108">
        <f t="shared" si="1030"/>
        <v>-162656.80517412984</v>
      </c>
      <c r="R1108">
        <f t="shared" si="1031"/>
        <v>-8790182.210493695</v>
      </c>
      <c r="S1108">
        <f t="shared" si="1032"/>
        <v>-87.901822104936954</v>
      </c>
      <c r="T1108">
        <f t="shared" si="1033"/>
        <v>-8.7901822104936952E-2</v>
      </c>
    </row>
    <row r="1109" spans="1:20" x14ac:dyDescent="0.25">
      <c r="A1109" s="5">
        <v>43484</v>
      </c>
      <c r="B1109">
        <v>0.40060000000000001</v>
      </c>
      <c r="C1109">
        <v>0.43419999999999997</v>
      </c>
      <c r="D1109">
        <v>0.39129999999999998</v>
      </c>
      <c r="E1109">
        <v>0.41830000000000001</v>
      </c>
      <c r="F1109">
        <v>341591.59</v>
      </c>
      <c r="G1109">
        <v>0</v>
      </c>
      <c r="L1109" t="s">
        <v>8</v>
      </c>
      <c r="M1109" t="s">
        <v>8</v>
      </c>
      <c r="N1109" t="s">
        <v>7</v>
      </c>
      <c r="P1109">
        <f t="shared" si="1029"/>
        <v>0.25874125874126003</v>
      </c>
      <c r="Q1109">
        <f t="shared" si="1030"/>
        <v>88383.837972028414</v>
      </c>
      <c r="R1109">
        <f t="shared" si="1031"/>
        <v>-8627525.4053195659</v>
      </c>
      <c r="S1109">
        <f t="shared" si="1032"/>
        <v>-86.275254053195653</v>
      </c>
      <c r="T1109">
        <f t="shared" si="1033"/>
        <v>-8.6275254053195652E-2</v>
      </c>
    </row>
    <row r="1110" spans="1:20" x14ac:dyDescent="0.25">
      <c r="A1110" s="5">
        <v>43483</v>
      </c>
      <c r="B1110">
        <v>0.40820000000000001</v>
      </c>
      <c r="C1110">
        <v>0.4224</v>
      </c>
      <c r="D1110">
        <v>0.39300000000000002</v>
      </c>
      <c r="E1110">
        <v>0.40050000000000002</v>
      </c>
      <c r="F1110">
        <v>428025.53</v>
      </c>
      <c r="G1110">
        <v>0</v>
      </c>
      <c r="L1110" t="s">
        <v>8</v>
      </c>
      <c r="M1110" t="s">
        <v>8</v>
      </c>
      <c r="N1110" t="s">
        <v>7</v>
      </c>
      <c r="P1110">
        <f t="shared" si="1029"/>
        <v>-0.48979591836734615</v>
      </c>
      <c r="Q1110">
        <f t="shared" si="1030"/>
        <v>-209645.15755102009</v>
      </c>
      <c r="R1110">
        <f t="shared" si="1031"/>
        <v>-8715909.2432915941</v>
      </c>
      <c r="S1110">
        <f t="shared" si="1032"/>
        <v>-87.159092432915941</v>
      </c>
      <c r="T1110">
        <f t="shared" si="1033"/>
        <v>-8.7159092432915947E-2</v>
      </c>
    </row>
    <row r="1111" spans="1:20" x14ac:dyDescent="0.25">
      <c r="A1111" s="5">
        <v>43482</v>
      </c>
      <c r="B1111">
        <v>0.3821</v>
      </c>
      <c r="C1111">
        <v>0.41599999999999998</v>
      </c>
      <c r="D1111">
        <v>0.38</v>
      </c>
      <c r="E1111">
        <v>0.40770000000000001</v>
      </c>
      <c r="F1111">
        <v>649451.18000000005</v>
      </c>
      <c r="G1111">
        <v>0</v>
      </c>
      <c r="L1111" t="s">
        <v>8</v>
      </c>
      <c r="M1111" t="s">
        <v>8</v>
      </c>
      <c r="N1111" t="s">
        <v>7</v>
      </c>
      <c r="P1111">
        <f t="shared" si="1029"/>
        <v>0.53888888888889008</v>
      </c>
      <c r="Q1111">
        <f t="shared" si="1030"/>
        <v>349982.0247777786</v>
      </c>
      <c r="R1111">
        <f t="shared" si="1031"/>
        <v>-8506264.0857405737</v>
      </c>
      <c r="S1111">
        <f t="shared" si="1032"/>
        <v>-85.062640857405739</v>
      </c>
      <c r="T1111">
        <f t="shared" si="1033"/>
        <v>-8.5062640857405739E-2</v>
      </c>
    </row>
    <row r="1112" spans="1:20" x14ac:dyDescent="0.25">
      <c r="A1112" s="5">
        <v>43481</v>
      </c>
      <c r="B1112">
        <v>0.36780000000000002</v>
      </c>
      <c r="C1112">
        <v>0.38979999999999998</v>
      </c>
      <c r="D1112">
        <v>0.36670000000000003</v>
      </c>
      <c r="E1112">
        <v>0.3821</v>
      </c>
      <c r="F1112">
        <v>267356.08</v>
      </c>
      <c r="G1112">
        <v>0</v>
      </c>
      <c r="L1112" t="s">
        <v>8</v>
      </c>
      <c r="M1112" t="s">
        <v>7</v>
      </c>
      <c r="N1112" t="s">
        <v>7</v>
      </c>
      <c r="P1112">
        <f t="shared" si="1029"/>
        <v>0.33333333333333331</v>
      </c>
      <c r="Q1112">
        <f t="shared" si="1030"/>
        <v>89118.693333333329</v>
      </c>
      <c r="R1112">
        <f t="shared" si="1031"/>
        <v>-8856246.1105183531</v>
      </c>
      <c r="S1112">
        <f t="shared" si="1032"/>
        <v>-88.56246110518353</v>
      </c>
      <c r="T1112">
        <f t="shared" si="1033"/>
        <v>-8.8562461105183524E-2</v>
      </c>
    </row>
    <row r="1113" spans="1:20" x14ac:dyDescent="0.25">
      <c r="A1113" s="5">
        <v>43480</v>
      </c>
      <c r="B1113">
        <v>0.3805</v>
      </c>
      <c r="C1113">
        <v>0.38690000000000002</v>
      </c>
      <c r="D1113">
        <v>0.3634</v>
      </c>
      <c r="E1113">
        <v>0.36780000000000002</v>
      </c>
      <c r="F1113">
        <v>325433.03000000003</v>
      </c>
      <c r="G1113">
        <v>0</v>
      </c>
      <c r="L1113" t="s">
        <v>8</v>
      </c>
      <c r="M1113" t="s">
        <v>7</v>
      </c>
      <c r="N1113" t="s">
        <v>7</v>
      </c>
      <c r="P1113">
        <f t="shared" si="1029"/>
        <v>-0.62553191489361604</v>
      </c>
      <c r="Q1113">
        <f t="shared" si="1030"/>
        <v>-203568.7464255316</v>
      </c>
      <c r="R1113">
        <f t="shared" si="1031"/>
        <v>-8945364.8038516864</v>
      </c>
      <c r="S1113">
        <f t="shared" si="1032"/>
        <v>-89.45364803851686</v>
      </c>
      <c r="T1113">
        <f t="shared" si="1033"/>
        <v>-8.9453648038516867E-2</v>
      </c>
    </row>
    <row r="1114" spans="1:20" x14ac:dyDescent="0.25">
      <c r="A1114" s="5">
        <v>43479</v>
      </c>
      <c r="B1114">
        <v>0.36530000000000001</v>
      </c>
      <c r="C1114">
        <v>0.38900000000000001</v>
      </c>
      <c r="D1114">
        <v>0.35510000000000003</v>
      </c>
      <c r="E1114">
        <v>0.38019999999999998</v>
      </c>
      <c r="F1114">
        <v>329090.69</v>
      </c>
      <c r="G1114">
        <v>0</v>
      </c>
      <c r="L1114" t="s">
        <v>7</v>
      </c>
      <c r="M1114" t="s">
        <v>7</v>
      </c>
      <c r="N1114" t="s">
        <v>7</v>
      </c>
      <c r="P1114">
        <f t="shared" si="1029"/>
        <v>0.48082595870206291</v>
      </c>
      <c r="Q1114">
        <f t="shared" si="1030"/>
        <v>158235.34651917338</v>
      </c>
      <c r="R1114">
        <f t="shared" si="1031"/>
        <v>-8741796.0574261546</v>
      </c>
      <c r="S1114">
        <f t="shared" si="1032"/>
        <v>-87.417960574261542</v>
      </c>
      <c r="T1114">
        <f t="shared" si="1033"/>
        <v>-8.7417960574261544E-2</v>
      </c>
    </row>
    <row r="1115" spans="1:20" x14ac:dyDescent="0.25">
      <c r="A1115" s="5">
        <v>43478</v>
      </c>
      <c r="B1115">
        <v>0.3826</v>
      </c>
      <c r="C1115">
        <v>0.38679999999999998</v>
      </c>
      <c r="D1115">
        <v>0.36</v>
      </c>
      <c r="E1115">
        <v>0.36459999999999998</v>
      </c>
      <c r="F1115">
        <v>331115.43</v>
      </c>
      <c r="G1115">
        <v>0</v>
      </c>
      <c r="L1115" t="s">
        <v>7</v>
      </c>
      <c r="M1115" t="s">
        <v>7</v>
      </c>
      <c r="N1115" t="s">
        <v>7</v>
      </c>
      <c r="P1115">
        <f t="shared" si="1029"/>
        <v>-0.65671641791044821</v>
      </c>
      <c r="Q1115">
        <f t="shared" si="1030"/>
        <v>-217448.93910447776</v>
      </c>
      <c r="R1115">
        <f t="shared" si="1031"/>
        <v>-8900031.4039453287</v>
      </c>
      <c r="S1115">
        <f t="shared" si="1032"/>
        <v>-89.000314039453286</v>
      </c>
      <c r="T1115">
        <f t="shared" si="1033"/>
        <v>-8.9000314039453285E-2</v>
      </c>
    </row>
    <row r="1116" spans="1:20" x14ac:dyDescent="0.25">
      <c r="A1116" s="5">
        <v>43477</v>
      </c>
      <c r="B1116">
        <v>0.38529999999999998</v>
      </c>
      <c r="C1116">
        <v>0.4</v>
      </c>
      <c r="D1116">
        <v>0.3775</v>
      </c>
      <c r="E1116">
        <v>0.38269999999999998</v>
      </c>
      <c r="F1116">
        <v>517002.09</v>
      </c>
      <c r="G1116">
        <v>0</v>
      </c>
      <c r="L1116" t="s">
        <v>8</v>
      </c>
      <c r="M1116" t="s">
        <v>7</v>
      </c>
      <c r="N1116" t="s">
        <v>7</v>
      </c>
      <c r="P1116">
        <f t="shared" si="1029"/>
        <v>-0.5377777777777798</v>
      </c>
      <c r="Q1116">
        <f t="shared" si="1030"/>
        <v>-278032.23506666772</v>
      </c>
      <c r="R1116">
        <f t="shared" si="1031"/>
        <v>-8682582.4648408517</v>
      </c>
      <c r="S1116">
        <f t="shared" si="1032"/>
        <v>-86.825824648408513</v>
      </c>
      <c r="T1116">
        <f t="shared" si="1033"/>
        <v>-8.6825824648408517E-2</v>
      </c>
    </row>
    <row r="1117" spans="1:20" x14ac:dyDescent="0.25">
      <c r="A1117" s="5">
        <v>43476</v>
      </c>
      <c r="B1117">
        <v>0.37119999999999997</v>
      </c>
      <c r="C1117">
        <v>0.38579999999999998</v>
      </c>
      <c r="D1117">
        <v>0.35870000000000002</v>
      </c>
      <c r="E1117">
        <v>0.38529999999999998</v>
      </c>
      <c r="F1117">
        <v>435322.76</v>
      </c>
      <c r="G1117">
        <v>0</v>
      </c>
      <c r="L1117" t="s">
        <v>8</v>
      </c>
      <c r="M1117" t="s">
        <v>7</v>
      </c>
      <c r="N1117" t="s">
        <v>7</v>
      </c>
      <c r="P1117">
        <f t="shared" si="1029"/>
        <v>0.96309963099630991</v>
      </c>
      <c r="Q1117">
        <f t="shared" si="1030"/>
        <v>419259.18952029519</v>
      </c>
      <c r="R1117">
        <f t="shared" si="1031"/>
        <v>-8404550.2297741845</v>
      </c>
      <c r="S1117">
        <f t="shared" si="1032"/>
        <v>-84.045502297741848</v>
      </c>
      <c r="T1117">
        <f t="shared" si="1033"/>
        <v>-8.4045502297741853E-2</v>
      </c>
    </row>
    <row r="1118" spans="1:20" x14ac:dyDescent="0.25">
      <c r="A1118" s="5">
        <v>43475</v>
      </c>
      <c r="B1118">
        <v>0.43640000000000001</v>
      </c>
      <c r="C1118">
        <v>0.44919999999999999</v>
      </c>
      <c r="D1118">
        <v>0.3528</v>
      </c>
      <c r="E1118">
        <v>0.37140000000000001</v>
      </c>
      <c r="F1118">
        <v>873546.49</v>
      </c>
      <c r="G1118">
        <v>0</v>
      </c>
      <c r="L1118" t="s">
        <v>7</v>
      </c>
      <c r="M1118" t="s">
        <v>7</v>
      </c>
      <c r="N1118" t="s">
        <v>7</v>
      </c>
      <c r="P1118">
        <f t="shared" si="1029"/>
        <v>-0.6141078838174272</v>
      </c>
      <c r="Q1118">
        <f t="shared" si="1030"/>
        <v>-536451.78639004135</v>
      </c>
      <c r="R1118">
        <f t="shared" si="1031"/>
        <v>-8823809.4192944802</v>
      </c>
      <c r="S1118">
        <f t="shared" si="1032"/>
        <v>-88.2380941929448</v>
      </c>
      <c r="T1118">
        <f t="shared" si="1033"/>
        <v>-8.8238094192944802E-2</v>
      </c>
    </row>
    <row r="1119" spans="1:20" x14ac:dyDescent="0.25">
      <c r="A1119" s="5">
        <v>43474</v>
      </c>
      <c r="B1119">
        <v>0.42220000000000002</v>
      </c>
      <c r="C1119">
        <v>0.4395</v>
      </c>
      <c r="D1119">
        <v>0.42170000000000002</v>
      </c>
      <c r="E1119">
        <v>0.43659999999999999</v>
      </c>
      <c r="F1119">
        <v>442830.82</v>
      </c>
      <c r="G1119">
        <v>0</v>
      </c>
      <c r="L1119" t="s">
        <v>7</v>
      </c>
      <c r="M1119" t="s">
        <v>8</v>
      </c>
      <c r="N1119" t="s">
        <v>7</v>
      </c>
      <c r="P1119">
        <f t="shared" si="1029"/>
        <v>0.67415730337078461</v>
      </c>
      <c r="Q1119">
        <f t="shared" si="1030"/>
        <v>298537.63146067329</v>
      </c>
      <c r="R1119">
        <f t="shared" si="1031"/>
        <v>-8287357.6329044392</v>
      </c>
      <c r="S1119">
        <f t="shared" si="1032"/>
        <v>-82.873576329044397</v>
      </c>
      <c r="T1119">
        <f t="shared" si="1033"/>
        <v>-8.2873576329044393E-2</v>
      </c>
    </row>
    <row r="1120" spans="1:20" x14ac:dyDescent="0.25">
      <c r="A1120" s="5">
        <v>43473</v>
      </c>
      <c r="B1120">
        <v>0.43159999999999998</v>
      </c>
      <c r="C1120">
        <v>0.44879999999999998</v>
      </c>
      <c r="D1120">
        <v>0.42049999999999998</v>
      </c>
      <c r="E1120">
        <v>0.42209999999999998</v>
      </c>
      <c r="F1120">
        <v>413204.68</v>
      </c>
      <c r="G1120">
        <v>0</v>
      </c>
      <c r="L1120" t="s">
        <v>7</v>
      </c>
      <c r="M1120" t="s">
        <v>8</v>
      </c>
      <c r="N1120" t="s">
        <v>7</v>
      </c>
      <c r="P1120">
        <f t="shared" si="1029"/>
        <v>-0.88692579505300417</v>
      </c>
      <c r="Q1120">
        <f t="shared" si="1030"/>
        <v>-366481.88932862214</v>
      </c>
      <c r="R1120">
        <f t="shared" si="1031"/>
        <v>-8585895.2643651124</v>
      </c>
      <c r="S1120">
        <f t="shared" si="1032"/>
        <v>-85.858952643651122</v>
      </c>
      <c r="T1120">
        <f t="shared" si="1033"/>
        <v>-8.5858952643651121E-2</v>
      </c>
    </row>
    <row r="1121" spans="1:20" x14ac:dyDescent="0.25">
      <c r="A1121" s="5">
        <v>43472</v>
      </c>
      <c r="B1121">
        <v>0.435</v>
      </c>
      <c r="C1121">
        <v>0.45500000000000002</v>
      </c>
      <c r="D1121">
        <v>0.42770000000000002</v>
      </c>
      <c r="E1121">
        <v>0.43030000000000002</v>
      </c>
      <c r="F1121">
        <v>354990.67</v>
      </c>
      <c r="G1121">
        <v>0</v>
      </c>
      <c r="L1121" t="s">
        <v>8</v>
      </c>
      <c r="M1121" t="s">
        <v>8</v>
      </c>
      <c r="N1121" t="s">
        <v>7</v>
      </c>
      <c r="P1121">
        <f t="shared" si="1029"/>
        <v>-0.80952380952381009</v>
      </c>
      <c r="Q1121">
        <f t="shared" si="1030"/>
        <v>-287373.39952380973</v>
      </c>
      <c r="R1121">
        <f t="shared" si="1031"/>
        <v>-8219413.3750364901</v>
      </c>
      <c r="S1121">
        <f t="shared" si="1032"/>
        <v>-82.194133750364898</v>
      </c>
      <c r="T1121">
        <f t="shared" si="1033"/>
        <v>-8.2194133750364898E-2</v>
      </c>
    </row>
    <row r="1122" spans="1:20" x14ac:dyDescent="0.25">
      <c r="A1122" s="5">
        <v>43471</v>
      </c>
      <c r="B1122">
        <v>0.42080000000000001</v>
      </c>
      <c r="C1122">
        <v>0.43840000000000001</v>
      </c>
      <c r="D1122">
        <v>0.41060000000000002</v>
      </c>
      <c r="E1122">
        <v>0.435</v>
      </c>
      <c r="F1122">
        <v>440380.5</v>
      </c>
      <c r="G1122">
        <v>0</v>
      </c>
      <c r="L1122" t="s">
        <v>8</v>
      </c>
      <c r="M1122" t="s">
        <v>8</v>
      </c>
      <c r="N1122" t="s">
        <v>7</v>
      </c>
      <c r="P1122">
        <f t="shared" si="1029"/>
        <v>0.75539568345323627</v>
      </c>
      <c r="Q1122">
        <f t="shared" si="1030"/>
        <v>332661.52877697791</v>
      </c>
      <c r="R1122">
        <f t="shared" si="1031"/>
        <v>-7932039.9755126806</v>
      </c>
      <c r="S1122">
        <f t="shared" si="1032"/>
        <v>-79.3203997551268</v>
      </c>
      <c r="T1122">
        <f t="shared" si="1033"/>
        <v>-7.9320399755126794E-2</v>
      </c>
    </row>
    <row r="1123" spans="1:20" x14ac:dyDescent="0.25">
      <c r="A1123" s="5">
        <v>43470</v>
      </c>
      <c r="B1123">
        <v>0.40450000000000003</v>
      </c>
      <c r="C1123">
        <v>0.43190000000000001</v>
      </c>
      <c r="D1123">
        <v>0.40450000000000003</v>
      </c>
      <c r="E1123">
        <v>0.42070000000000002</v>
      </c>
      <c r="F1123">
        <v>481323.81</v>
      </c>
      <c r="G1123">
        <v>0</v>
      </c>
      <c r="L1123" t="s">
        <v>8</v>
      </c>
      <c r="M1123" t="s">
        <v>8</v>
      </c>
      <c r="N1123" t="s">
        <v>7</v>
      </c>
      <c r="P1123">
        <f t="shared" si="1029"/>
        <v>0.18248175182481782</v>
      </c>
      <c r="Q1123">
        <f t="shared" si="1030"/>
        <v>87832.81204379577</v>
      </c>
      <c r="R1123">
        <f t="shared" si="1031"/>
        <v>-8264701.5042896587</v>
      </c>
      <c r="S1123">
        <f t="shared" si="1032"/>
        <v>-82.647015042896584</v>
      </c>
      <c r="T1123">
        <f t="shared" si="1033"/>
        <v>-8.2647015042896579E-2</v>
      </c>
    </row>
    <row r="1124" spans="1:20" x14ac:dyDescent="0.25">
      <c r="A1124" s="5">
        <v>43469</v>
      </c>
      <c r="B1124">
        <v>0.39739999999999998</v>
      </c>
      <c r="C1124">
        <v>0.41970000000000002</v>
      </c>
      <c r="D1124">
        <v>0.39290000000000003</v>
      </c>
      <c r="E1124">
        <v>0.40500000000000003</v>
      </c>
      <c r="F1124">
        <v>315383.98</v>
      </c>
      <c r="G1124">
        <v>0</v>
      </c>
      <c r="L1124" t="s">
        <v>8</v>
      </c>
      <c r="M1124" t="s">
        <v>8</v>
      </c>
      <c r="N1124" t="s">
        <v>7</v>
      </c>
      <c r="P1124">
        <f t="shared" si="1029"/>
        <v>-9.7014925373134039E-2</v>
      </c>
      <c r="Q1124">
        <f t="shared" si="1030"/>
        <v>-30596.953283581995</v>
      </c>
      <c r="R1124">
        <f t="shared" si="1031"/>
        <v>-8352534.3163334541</v>
      </c>
      <c r="S1124">
        <f t="shared" si="1032"/>
        <v>-83.52534316333454</v>
      </c>
      <c r="T1124">
        <f t="shared" si="1033"/>
        <v>-8.3525343163334542E-2</v>
      </c>
    </row>
    <row r="1125" spans="1:20" x14ac:dyDescent="0.25">
      <c r="A1125" s="5">
        <v>43468</v>
      </c>
      <c r="B1125">
        <v>0.41</v>
      </c>
      <c r="C1125">
        <v>0.41239999999999999</v>
      </c>
      <c r="D1125">
        <v>0.3916</v>
      </c>
      <c r="E1125">
        <v>0.3977</v>
      </c>
      <c r="F1125">
        <v>173436.51</v>
      </c>
      <c r="G1125">
        <v>0</v>
      </c>
      <c r="L1125" t="s">
        <v>8</v>
      </c>
      <c r="M1125" t="s">
        <v>8</v>
      </c>
      <c r="N1125" t="s">
        <v>7</v>
      </c>
      <c r="P1125">
        <f t="shared" si="1029"/>
        <v>-0.4134615384615386</v>
      </c>
      <c r="Q1125">
        <f t="shared" si="1030"/>
        <v>-71709.326250000027</v>
      </c>
      <c r="R1125">
        <f t="shared" si="1031"/>
        <v>-8321937.3630498722</v>
      </c>
      <c r="S1125">
        <f t="shared" si="1032"/>
        <v>-83.219373630498723</v>
      </c>
      <c r="T1125">
        <f t="shared" si="1033"/>
        <v>-8.3219373630498722E-2</v>
      </c>
    </row>
    <row r="1126" spans="1:20" x14ac:dyDescent="0.25">
      <c r="A1126" s="5">
        <v>43467</v>
      </c>
      <c r="B1126">
        <v>0.40110000000000001</v>
      </c>
      <c r="C1126">
        <v>0.41189999999999999</v>
      </c>
      <c r="D1126">
        <v>0.3947</v>
      </c>
      <c r="E1126">
        <v>0.40989999999999999</v>
      </c>
      <c r="F1126">
        <v>238123.86</v>
      </c>
      <c r="G1126">
        <v>0</v>
      </c>
      <c r="L1126" t="s">
        <v>8</v>
      </c>
      <c r="M1126" t="s">
        <v>8</v>
      </c>
      <c r="N1126" t="s">
        <v>7</v>
      </c>
      <c r="P1126">
        <f t="shared" si="1029"/>
        <v>0.76744186046511598</v>
      </c>
      <c r="Q1126">
        <f t="shared" si="1030"/>
        <v>182746.21813953479</v>
      </c>
      <c r="R1126">
        <f t="shared" si="1031"/>
        <v>-8250228.0367998723</v>
      </c>
      <c r="S1126">
        <f t="shared" si="1032"/>
        <v>-82.502280367998722</v>
      </c>
      <c r="T1126">
        <f t="shared" si="1033"/>
        <v>-8.2502280367998726E-2</v>
      </c>
    </row>
    <row r="1127" spans="1:20" x14ac:dyDescent="0.25">
      <c r="A1127" s="5">
        <v>43466</v>
      </c>
      <c r="B1127">
        <v>0.39179999999999998</v>
      </c>
      <c r="C1127">
        <v>0.40139999999999998</v>
      </c>
      <c r="D1127">
        <v>0.38</v>
      </c>
      <c r="E1127">
        <v>0.3997</v>
      </c>
      <c r="F1127">
        <v>290839.99</v>
      </c>
      <c r="G1127">
        <v>0</v>
      </c>
      <c r="L1127" t="s">
        <v>7</v>
      </c>
      <c r="M1127" t="s">
        <v>8</v>
      </c>
      <c r="N1127" t="s">
        <v>7</v>
      </c>
      <c r="P1127">
        <f t="shared" si="1029"/>
        <v>0.84112149532710456</v>
      </c>
      <c r="Q1127">
        <f t="shared" si="1030"/>
        <v>244631.76728972013</v>
      </c>
      <c r="R1127">
        <f t="shared" si="1031"/>
        <v>-8432974.2549394071</v>
      </c>
      <c r="S1127">
        <f t="shared" si="1032"/>
        <v>-84.329742549394069</v>
      </c>
      <c r="T1127">
        <f t="shared" si="1033"/>
        <v>-8.4329742549394071E-2</v>
      </c>
    </row>
    <row r="1128" spans="1:20" x14ac:dyDescent="0.25">
      <c r="A1128" s="5">
        <v>43465</v>
      </c>
      <c r="B1128">
        <v>0.41299999999999998</v>
      </c>
      <c r="C1128">
        <v>0.41699999999999998</v>
      </c>
      <c r="D1128">
        <v>0.38629999999999998</v>
      </c>
      <c r="E1128">
        <v>0.39119999999999999</v>
      </c>
      <c r="F1128">
        <v>216680.4</v>
      </c>
      <c r="G1128">
        <v>0</v>
      </c>
      <c r="L1128" t="s">
        <v>7</v>
      </c>
      <c r="M1128" t="s">
        <v>8</v>
      </c>
      <c r="N1128" t="s">
        <v>7</v>
      </c>
      <c r="P1128">
        <f t="shared" si="1029"/>
        <v>-0.6807817589576538</v>
      </c>
      <c r="Q1128">
        <f t="shared" si="1030"/>
        <v>-147512.06384364801</v>
      </c>
      <c r="R1128">
        <f t="shared" si="1031"/>
        <v>-8677606.0222291276</v>
      </c>
      <c r="S1128">
        <f t="shared" si="1032"/>
        <v>-86.776060222291278</v>
      </c>
      <c r="T1128">
        <f t="shared" si="1033"/>
        <v>-8.6776060222291285E-2</v>
      </c>
    </row>
    <row r="1129" spans="1:20" x14ac:dyDescent="0.25">
      <c r="A1129" s="5">
        <v>43464</v>
      </c>
      <c r="B1129">
        <v>0.40100000000000002</v>
      </c>
      <c r="C1129">
        <v>0.41610000000000003</v>
      </c>
      <c r="D1129">
        <v>0.39500000000000002</v>
      </c>
      <c r="E1129">
        <v>0.41270000000000001</v>
      </c>
      <c r="F1129">
        <v>215022.9</v>
      </c>
      <c r="G1129">
        <v>0</v>
      </c>
      <c r="L1129" t="s">
        <v>7</v>
      </c>
      <c r="M1129" t="s">
        <v>8</v>
      </c>
      <c r="N1129" t="s">
        <v>7</v>
      </c>
      <c r="P1129">
        <f t="shared" si="1029"/>
        <v>0.6777251184834111</v>
      </c>
      <c r="Q1129">
        <f t="shared" si="1030"/>
        <v>145726.42037914664</v>
      </c>
      <c r="R1129">
        <f t="shared" si="1031"/>
        <v>-8530093.9583854787</v>
      </c>
      <c r="S1129">
        <f t="shared" si="1032"/>
        <v>-85.300939583854785</v>
      </c>
      <c r="T1129">
        <f t="shared" si="1033"/>
        <v>-8.530093958385479E-2</v>
      </c>
    </row>
    <row r="1130" spans="1:20" x14ac:dyDescent="0.25">
      <c r="A1130" s="5">
        <v>43463</v>
      </c>
      <c r="B1130">
        <v>0.42580000000000001</v>
      </c>
      <c r="C1130">
        <v>0.43669999999999998</v>
      </c>
      <c r="D1130">
        <v>0.39600000000000002</v>
      </c>
      <c r="E1130">
        <v>0.40100000000000002</v>
      </c>
      <c r="F1130">
        <v>348154.92</v>
      </c>
      <c r="G1130">
        <v>0</v>
      </c>
      <c r="L1130" t="s">
        <v>8</v>
      </c>
      <c r="M1130" t="s">
        <v>8</v>
      </c>
      <c r="N1130" t="s">
        <v>7</v>
      </c>
      <c r="P1130">
        <f t="shared" si="1029"/>
        <v>-0.75429975429975382</v>
      </c>
      <c r="Q1130">
        <f t="shared" si="1030"/>
        <v>-262613.17061425041</v>
      </c>
      <c r="R1130">
        <f t="shared" si="1031"/>
        <v>-8675820.3787646256</v>
      </c>
      <c r="S1130">
        <f t="shared" si="1032"/>
        <v>-86.758203787646252</v>
      </c>
      <c r="T1130">
        <f t="shared" si="1033"/>
        <v>-8.6758203787646246E-2</v>
      </c>
    </row>
    <row r="1131" spans="1:20" x14ac:dyDescent="0.25">
      <c r="A1131" s="5">
        <v>43462</v>
      </c>
      <c r="B1131">
        <v>0.37730000000000002</v>
      </c>
      <c r="C1131">
        <v>0.43219999999999997</v>
      </c>
      <c r="D1131">
        <v>0.37559999999999999</v>
      </c>
      <c r="E1131">
        <v>0.4239</v>
      </c>
      <c r="F1131">
        <v>464890.88</v>
      </c>
      <c r="G1131">
        <v>0</v>
      </c>
      <c r="L1131" t="s">
        <v>8</v>
      </c>
      <c r="M1131" t="s">
        <v>7</v>
      </c>
      <c r="N1131" t="s">
        <v>7</v>
      </c>
      <c r="P1131">
        <f t="shared" si="1029"/>
        <v>0.70671378091872872</v>
      </c>
      <c r="Q1131">
        <f t="shared" si="1030"/>
        <v>328544.79151943501</v>
      </c>
      <c r="R1131">
        <f t="shared" si="1031"/>
        <v>-8413207.2081503756</v>
      </c>
      <c r="S1131">
        <f t="shared" si="1032"/>
        <v>-84.13207208150375</v>
      </c>
      <c r="T1131">
        <f t="shared" si="1033"/>
        <v>-8.413207208150375E-2</v>
      </c>
    </row>
    <row r="1132" spans="1:20" x14ac:dyDescent="0.25">
      <c r="A1132" s="5">
        <v>43461</v>
      </c>
      <c r="B1132">
        <v>0.4264</v>
      </c>
      <c r="C1132">
        <v>0.42980000000000002</v>
      </c>
      <c r="D1132">
        <v>0.375</v>
      </c>
      <c r="E1132">
        <v>0.37790000000000001</v>
      </c>
      <c r="F1132">
        <v>556103.79</v>
      </c>
      <c r="G1132">
        <v>0</v>
      </c>
      <c r="L1132" t="s">
        <v>7</v>
      </c>
      <c r="M1132" t="s">
        <v>7</v>
      </c>
      <c r="N1132" t="s">
        <v>7</v>
      </c>
      <c r="P1132">
        <f t="shared" si="1029"/>
        <v>-0.89416058394160536</v>
      </c>
      <c r="Q1132">
        <f t="shared" si="1030"/>
        <v>-497246.08959853993</v>
      </c>
      <c r="R1132">
        <f t="shared" si="1031"/>
        <v>-8741751.9996698108</v>
      </c>
      <c r="S1132">
        <f t="shared" si="1032"/>
        <v>-87.417519996698104</v>
      </c>
      <c r="T1132">
        <f t="shared" si="1033"/>
        <v>-8.7417519996698098E-2</v>
      </c>
    </row>
    <row r="1133" spans="1:20" x14ac:dyDescent="0.25">
      <c r="A1133" s="5">
        <v>43460</v>
      </c>
      <c r="B1133">
        <v>0.4274</v>
      </c>
      <c r="C1133">
        <v>0.45900000000000002</v>
      </c>
      <c r="D1133">
        <v>0.41049999999999998</v>
      </c>
      <c r="E1133">
        <v>0.42620000000000002</v>
      </c>
      <c r="F1133">
        <v>792548.74</v>
      </c>
      <c r="G1133">
        <v>0</v>
      </c>
      <c r="L1133" t="s">
        <v>7</v>
      </c>
      <c r="M1133" t="s">
        <v>7</v>
      </c>
      <c r="N1133" t="s">
        <v>8</v>
      </c>
      <c r="P1133">
        <f t="shared" si="1029"/>
        <v>-0.3525773195876275</v>
      </c>
      <c r="Q1133">
        <f t="shared" si="1030"/>
        <v>-279434.71039175149</v>
      </c>
      <c r="R1133">
        <f t="shared" si="1031"/>
        <v>-8244505.9100712705</v>
      </c>
      <c r="S1133">
        <f t="shared" si="1032"/>
        <v>-82.445059100712712</v>
      </c>
      <c r="T1133">
        <f t="shared" si="1033"/>
        <v>-8.2445059100712717E-2</v>
      </c>
    </row>
    <row r="1134" spans="1:20" x14ac:dyDescent="0.25">
      <c r="A1134" s="5">
        <v>43459</v>
      </c>
      <c r="B1134">
        <v>0.49580000000000002</v>
      </c>
      <c r="C1134">
        <v>0.49659999999999999</v>
      </c>
      <c r="D1134">
        <v>0.42149999999999999</v>
      </c>
      <c r="E1134">
        <v>0.42749999999999999</v>
      </c>
      <c r="F1134">
        <v>575365.39</v>
      </c>
      <c r="G1134">
        <v>0</v>
      </c>
      <c r="L1134" t="s">
        <v>7</v>
      </c>
      <c r="M1134" t="s">
        <v>7</v>
      </c>
      <c r="N1134" t="s">
        <v>8</v>
      </c>
      <c r="P1134">
        <f t="shared" si="1029"/>
        <v>-0.84021304926764295</v>
      </c>
      <c r="Q1134">
        <f t="shared" si="1030"/>
        <v>-483429.50877496664</v>
      </c>
      <c r="R1134">
        <f t="shared" si="1031"/>
        <v>-7965071.199679519</v>
      </c>
      <c r="S1134">
        <f t="shared" si="1032"/>
        <v>-79.650711996795195</v>
      </c>
      <c r="T1134">
        <f t="shared" si="1033"/>
        <v>-7.9650711996795201E-2</v>
      </c>
    </row>
    <row r="1135" spans="1:20" x14ac:dyDescent="0.25">
      <c r="A1135" s="5">
        <v>43458</v>
      </c>
      <c r="B1135">
        <v>0.47420000000000001</v>
      </c>
      <c r="C1135">
        <v>0.54359999999999997</v>
      </c>
      <c r="D1135">
        <v>0.47289999999999999</v>
      </c>
      <c r="E1135">
        <v>0.49659999999999999</v>
      </c>
      <c r="F1135">
        <v>1304758.7</v>
      </c>
      <c r="G1135">
        <v>0</v>
      </c>
      <c r="L1135" t="s">
        <v>8</v>
      </c>
      <c r="M1135" t="s">
        <v>8</v>
      </c>
      <c r="N1135" t="s">
        <v>8</v>
      </c>
      <c r="P1135">
        <f t="shared" si="1029"/>
        <v>-0.32956152758132945</v>
      </c>
      <c r="Q1135">
        <f t="shared" si="1030"/>
        <v>-429998.27029702952</v>
      </c>
      <c r="R1135">
        <f t="shared" si="1031"/>
        <v>-7481641.6909045521</v>
      </c>
      <c r="S1135">
        <f t="shared" si="1032"/>
        <v>-74.816416909045515</v>
      </c>
      <c r="T1135">
        <f t="shared" si="1033"/>
        <v>-7.4816416909045516E-2</v>
      </c>
    </row>
    <row r="1136" spans="1:20" x14ac:dyDescent="0.25">
      <c r="A1136" s="5">
        <v>43457</v>
      </c>
      <c r="B1136">
        <v>0.45689999999999997</v>
      </c>
      <c r="C1136">
        <v>0.4824</v>
      </c>
      <c r="D1136">
        <v>0.45219999999999999</v>
      </c>
      <c r="E1136">
        <v>0.47310000000000002</v>
      </c>
      <c r="F1136">
        <v>858250.76</v>
      </c>
      <c r="G1136">
        <v>0</v>
      </c>
      <c r="L1136" t="s">
        <v>8</v>
      </c>
      <c r="M1136" t="s">
        <v>8</v>
      </c>
      <c r="N1136" t="s">
        <v>7</v>
      </c>
      <c r="P1136">
        <f t="shared" si="1029"/>
        <v>0.3841059602649024</v>
      </c>
      <c r="Q1136">
        <f t="shared" si="1030"/>
        <v>329659.2323178823</v>
      </c>
      <c r="R1136">
        <f t="shared" si="1031"/>
        <v>-7051643.4206075221</v>
      </c>
      <c r="S1136">
        <f t="shared" si="1032"/>
        <v>-70.516434206075218</v>
      </c>
      <c r="T1136">
        <f t="shared" si="1033"/>
        <v>-7.0516434206075215E-2</v>
      </c>
    </row>
    <row r="1137" spans="1:20" x14ac:dyDescent="0.25">
      <c r="A1137" s="5">
        <v>43456</v>
      </c>
      <c r="B1137">
        <v>0.44059999999999999</v>
      </c>
      <c r="C1137">
        <v>0.4748</v>
      </c>
      <c r="D1137">
        <v>0.43709999999999999</v>
      </c>
      <c r="E1137">
        <v>0.45419999999999999</v>
      </c>
      <c r="F1137">
        <v>388825.97</v>
      </c>
      <c r="G1137">
        <v>0</v>
      </c>
      <c r="L1137" t="s">
        <v>7</v>
      </c>
      <c r="M1137" t="s">
        <v>8</v>
      </c>
      <c r="N1137" t="s">
        <v>7</v>
      </c>
      <c r="P1137">
        <f t="shared" si="1029"/>
        <v>-9.2838196286472205E-2</v>
      </c>
      <c r="Q1137">
        <f t="shared" si="1030"/>
        <v>-36097.901724137948</v>
      </c>
      <c r="R1137">
        <f t="shared" si="1031"/>
        <v>-7381302.6529254047</v>
      </c>
      <c r="S1137">
        <f t="shared" si="1032"/>
        <v>-73.813026529254046</v>
      </c>
      <c r="T1137">
        <f t="shared" si="1033"/>
        <v>-7.3813026529254047E-2</v>
      </c>
    </row>
    <row r="1138" spans="1:20" x14ac:dyDescent="0.25">
      <c r="A1138" s="5">
        <v>43455</v>
      </c>
      <c r="B1138">
        <v>0.45429999999999998</v>
      </c>
      <c r="C1138">
        <v>0.48359999999999997</v>
      </c>
      <c r="D1138">
        <v>0.4355</v>
      </c>
      <c r="E1138">
        <v>0.43940000000000001</v>
      </c>
      <c r="F1138">
        <v>917143.16</v>
      </c>
      <c r="G1138">
        <v>0</v>
      </c>
      <c r="L1138" t="s">
        <v>8</v>
      </c>
      <c r="M1138" t="s">
        <v>8</v>
      </c>
      <c r="N1138" t="s">
        <v>7</v>
      </c>
      <c r="P1138">
        <f t="shared" si="1029"/>
        <v>-0.83783783783783716</v>
      </c>
      <c r="Q1138">
        <f t="shared" si="1030"/>
        <v>-768417.24216216162</v>
      </c>
      <c r="R1138">
        <f t="shared" si="1031"/>
        <v>-7345204.7512012664</v>
      </c>
      <c r="S1138">
        <f t="shared" si="1032"/>
        <v>-73.452047512012669</v>
      </c>
      <c r="T1138">
        <f t="shared" si="1033"/>
        <v>-7.3452047512012675E-2</v>
      </c>
    </row>
    <row r="1139" spans="1:20" x14ac:dyDescent="0.25">
      <c r="A1139" s="5">
        <v>43454</v>
      </c>
      <c r="B1139">
        <v>0.42570000000000002</v>
      </c>
      <c r="C1139">
        <v>0.46689999999999998</v>
      </c>
      <c r="D1139">
        <v>0.41980000000000001</v>
      </c>
      <c r="E1139">
        <v>0.4546</v>
      </c>
      <c r="F1139">
        <v>825823.29</v>
      </c>
      <c r="G1139">
        <v>0</v>
      </c>
      <c r="L1139" t="s">
        <v>7</v>
      </c>
      <c r="M1139" t="s">
        <v>8</v>
      </c>
      <c r="N1139" t="s">
        <v>7</v>
      </c>
      <c r="P1139">
        <f t="shared" si="1029"/>
        <v>0.47770700636942742</v>
      </c>
      <c r="Q1139">
        <f t="shared" si="1030"/>
        <v>394501.5716560515</v>
      </c>
      <c r="R1139">
        <f t="shared" si="1031"/>
        <v>-6576787.5090391049</v>
      </c>
      <c r="S1139">
        <f t="shared" si="1032"/>
        <v>-65.767875090391044</v>
      </c>
      <c r="T1139">
        <f t="shared" si="1033"/>
        <v>-6.5767875090391045E-2</v>
      </c>
    </row>
    <row r="1140" spans="1:20" x14ac:dyDescent="0.25">
      <c r="A1140" s="5">
        <v>43453</v>
      </c>
      <c r="B1140">
        <v>0.43959999999999999</v>
      </c>
      <c r="C1140">
        <v>0.4758</v>
      </c>
      <c r="D1140">
        <v>0.42</v>
      </c>
      <c r="E1140">
        <v>0.42570000000000002</v>
      </c>
      <c r="F1140">
        <v>1531541.38</v>
      </c>
      <c r="G1140">
        <v>0</v>
      </c>
      <c r="L1140" t="s">
        <v>8</v>
      </c>
      <c r="M1140" t="s">
        <v>8</v>
      </c>
      <c r="N1140" t="s">
        <v>7</v>
      </c>
      <c r="P1140">
        <f t="shared" si="1029"/>
        <v>-0.79569892473118153</v>
      </c>
      <c r="Q1140">
        <f t="shared" si="1030"/>
        <v>-1218645.8292473098</v>
      </c>
      <c r="R1140">
        <f t="shared" si="1031"/>
        <v>-6971289.080695156</v>
      </c>
      <c r="S1140">
        <f t="shared" si="1032"/>
        <v>-69.712890806951563</v>
      </c>
      <c r="T1140">
        <f t="shared" si="1033"/>
        <v>-6.9712890806951561E-2</v>
      </c>
    </row>
    <row r="1141" spans="1:20" x14ac:dyDescent="0.25">
      <c r="A1141" s="5">
        <v>43452</v>
      </c>
      <c r="B1141">
        <v>0.42730000000000001</v>
      </c>
      <c r="C1141">
        <v>0.44979999999999998</v>
      </c>
      <c r="D1141">
        <v>0.40889999999999999</v>
      </c>
      <c r="E1141">
        <v>0.43809999999999999</v>
      </c>
      <c r="F1141">
        <v>675322.63</v>
      </c>
      <c r="G1141">
        <v>0</v>
      </c>
      <c r="L1141" t="s">
        <v>7</v>
      </c>
      <c r="M1141" t="s">
        <v>8</v>
      </c>
      <c r="N1141" t="s">
        <v>7</v>
      </c>
      <c r="P1141">
        <f t="shared" si="1029"/>
        <v>0.42787286063569729</v>
      </c>
      <c r="Q1141">
        <f t="shared" si="1030"/>
        <v>288952.22555012256</v>
      </c>
      <c r="R1141">
        <f t="shared" si="1031"/>
        <v>-5752643.2514478462</v>
      </c>
      <c r="S1141">
        <f t="shared" si="1032"/>
        <v>-57.526432514478465</v>
      </c>
      <c r="T1141">
        <f t="shared" si="1033"/>
        <v>-5.7526432514478462E-2</v>
      </c>
    </row>
    <row r="1142" spans="1:20" x14ac:dyDescent="0.25">
      <c r="A1142" s="5">
        <v>43451</v>
      </c>
      <c r="B1142">
        <v>0.40560000000000002</v>
      </c>
      <c r="C1142">
        <v>0.44940000000000002</v>
      </c>
      <c r="D1142">
        <v>0.4</v>
      </c>
      <c r="E1142">
        <v>0.42830000000000001</v>
      </c>
      <c r="F1142">
        <v>907605.35</v>
      </c>
      <c r="G1142">
        <v>0</v>
      </c>
      <c r="L1142" t="s">
        <v>8</v>
      </c>
      <c r="M1142" t="s">
        <v>8</v>
      </c>
      <c r="N1142" t="s">
        <v>7</v>
      </c>
      <c r="P1142">
        <f t="shared" si="1029"/>
        <v>0.14574898785425069</v>
      </c>
      <c r="Q1142">
        <f t="shared" si="1030"/>
        <v>132282.56113360295</v>
      </c>
      <c r="R1142">
        <f t="shared" si="1031"/>
        <v>-6041595.4769979687</v>
      </c>
      <c r="S1142">
        <f t="shared" si="1032"/>
        <v>-60.415954769979685</v>
      </c>
      <c r="T1142">
        <f t="shared" si="1033"/>
        <v>-6.0415954769979685E-2</v>
      </c>
    </row>
    <row r="1143" spans="1:20" x14ac:dyDescent="0.25">
      <c r="A1143" s="5">
        <v>43450</v>
      </c>
      <c r="B1143">
        <v>0.40239999999999998</v>
      </c>
      <c r="C1143">
        <v>0.41199999999999998</v>
      </c>
      <c r="D1143">
        <v>0.39489999999999997</v>
      </c>
      <c r="E1143">
        <v>0.40489999999999998</v>
      </c>
      <c r="F1143">
        <v>219677.11</v>
      </c>
      <c r="G1143">
        <v>0</v>
      </c>
      <c r="L1143" t="s">
        <v>7</v>
      </c>
      <c r="M1143" t="s">
        <v>8</v>
      </c>
      <c r="N1143" t="s">
        <v>7</v>
      </c>
      <c r="P1143">
        <f t="shared" si="1029"/>
        <v>0.16959064327485457</v>
      </c>
      <c r="Q1143">
        <f t="shared" si="1030"/>
        <v>37255.182397660988</v>
      </c>
      <c r="R1143">
        <f t="shared" si="1031"/>
        <v>-6173878.0381315714</v>
      </c>
      <c r="S1143">
        <f t="shared" si="1032"/>
        <v>-61.738780381315713</v>
      </c>
      <c r="T1143">
        <f t="shared" si="1033"/>
        <v>-6.1738780381315715E-2</v>
      </c>
    </row>
    <row r="1144" spans="1:20" x14ac:dyDescent="0.25">
      <c r="A1144" s="5">
        <v>43449</v>
      </c>
      <c r="B1144">
        <v>0.40139999999999998</v>
      </c>
      <c r="C1144">
        <v>0.4299</v>
      </c>
      <c r="D1144">
        <v>0.39389999999999997</v>
      </c>
      <c r="E1144">
        <v>0.40260000000000001</v>
      </c>
      <c r="F1144">
        <v>282250.92</v>
      </c>
      <c r="G1144">
        <v>0</v>
      </c>
      <c r="L1144" t="s">
        <v>8</v>
      </c>
      <c r="M1144" t="s">
        <v>8</v>
      </c>
      <c r="N1144" t="s">
        <v>7</v>
      </c>
      <c r="P1144">
        <f t="shared" si="1029"/>
        <v>-0.51666666666666483</v>
      </c>
      <c r="Q1144">
        <f t="shared" si="1030"/>
        <v>-145829.64199999947</v>
      </c>
      <c r="R1144">
        <f t="shared" si="1031"/>
        <v>-6211133.2205292322</v>
      </c>
      <c r="S1144">
        <f t="shared" si="1032"/>
        <v>-62.111332205292321</v>
      </c>
      <c r="T1144">
        <f t="shared" si="1033"/>
        <v>-6.2111332205292323E-2</v>
      </c>
    </row>
    <row r="1145" spans="1:20" x14ac:dyDescent="0.25">
      <c r="A1145" s="5">
        <v>43448</v>
      </c>
      <c r="B1145">
        <v>0.41199999999999998</v>
      </c>
      <c r="C1145">
        <v>0.4395</v>
      </c>
      <c r="D1145">
        <v>0.39279999999999998</v>
      </c>
      <c r="E1145">
        <v>0.40179999999999999</v>
      </c>
      <c r="F1145">
        <v>540364.92000000004</v>
      </c>
      <c r="G1145">
        <v>0</v>
      </c>
      <c r="L1145" t="s">
        <v>7</v>
      </c>
      <c r="M1145" t="s">
        <v>8</v>
      </c>
      <c r="N1145" t="s">
        <v>7</v>
      </c>
      <c r="P1145">
        <f t="shared" si="1029"/>
        <v>-0.61456102783725897</v>
      </c>
      <c r="Q1145">
        <f t="shared" si="1030"/>
        <v>-332087.22064239823</v>
      </c>
      <c r="R1145">
        <f t="shared" si="1031"/>
        <v>-6065303.5785292331</v>
      </c>
      <c r="S1145">
        <f t="shared" si="1032"/>
        <v>-60.653035785292332</v>
      </c>
      <c r="T1145">
        <f t="shared" si="1033"/>
        <v>-6.0653035785292332E-2</v>
      </c>
    </row>
    <row r="1146" spans="1:20" x14ac:dyDescent="0.25">
      <c r="A1146" s="5">
        <v>43447</v>
      </c>
      <c r="B1146">
        <v>0.40139999999999998</v>
      </c>
      <c r="C1146">
        <v>0.45500000000000002</v>
      </c>
      <c r="D1146">
        <v>0.39329999999999998</v>
      </c>
      <c r="E1146">
        <v>0.41199999999999998</v>
      </c>
      <c r="F1146">
        <v>569293.04</v>
      </c>
      <c r="G1146">
        <v>0</v>
      </c>
      <c r="L1146" t="s">
        <v>8</v>
      </c>
      <c r="M1146" t="s">
        <v>8</v>
      </c>
      <c r="N1146" t="s">
        <v>7</v>
      </c>
      <c r="P1146">
        <f t="shared" si="1029"/>
        <v>-0.39384116693679144</v>
      </c>
      <c r="Q1146">
        <f t="shared" si="1030"/>
        <v>-224211.03520259351</v>
      </c>
      <c r="R1146">
        <f t="shared" si="1031"/>
        <v>-5733216.357886835</v>
      </c>
      <c r="S1146">
        <f t="shared" si="1032"/>
        <v>-57.332163578868347</v>
      </c>
      <c r="T1146">
        <f t="shared" si="1033"/>
        <v>-5.7332163578868348E-2</v>
      </c>
    </row>
    <row r="1147" spans="1:20" x14ac:dyDescent="0.25">
      <c r="A1147" s="5">
        <v>43446</v>
      </c>
      <c r="B1147">
        <v>0.38869999999999999</v>
      </c>
      <c r="C1147">
        <v>0.42</v>
      </c>
      <c r="D1147">
        <v>0.38729999999999998</v>
      </c>
      <c r="E1147">
        <v>0.4002</v>
      </c>
      <c r="F1147">
        <v>231154.97</v>
      </c>
      <c r="G1147">
        <v>0</v>
      </c>
      <c r="L1147" t="s">
        <v>8</v>
      </c>
      <c r="M1147" t="s">
        <v>7</v>
      </c>
      <c r="N1147" t="s">
        <v>7</v>
      </c>
      <c r="P1147">
        <f t="shared" si="1029"/>
        <v>-0.2110091743119254</v>
      </c>
      <c r="Q1147">
        <f t="shared" si="1030"/>
        <v>-48775.819357797889</v>
      </c>
      <c r="R1147">
        <f t="shared" si="1031"/>
        <v>-5509005.3226842415</v>
      </c>
      <c r="S1147">
        <f t="shared" si="1032"/>
        <v>-55.090053226842414</v>
      </c>
      <c r="T1147">
        <f t="shared" si="1033"/>
        <v>-5.5090053226842413E-2</v>
      </c>
    </row>
    <row r="1148" spans="1:20" x14ac:dyDescent="0.25">
      <c r="A1148" s="5">
        <v>43445</v>
      </c>
      <c r="B1148">
        <v>0.39069999999999999</v>
      </c>
      <c r="C1148">
        <v>0.39929999999999999</v>
      </c>
      <c r="D1148">
        <v>0.37609999999999999</v>
      </c>
      <c r="E1148">
        <v>0.38929999999999998</v>
      </c>
      <c r="F1148">
        <v>150837.37</v>
      </c>
      <c r="G1148">
        <v>0</v>
      </c>
      <c r="L1148" t="s">
        <v>7</v>
      </c>
      <c r="M1148" t="s">
        <v>7</v>
      </c>
      <c r="N1148" t="s">
        <v>7</v>
      </c>
      <c r="P1148">
        <f t="shared" si="1029"/>
        <v>0.13793103448275779</v>
      </c>
      <c r="Q1148">
        <f t="shared" si="1030"/>
        <v>20805.154482758495</v>
      </c>
      <c r="R1148">
        <f t="shared" si="1031"/>
        <v>-5460229.503326444</v>
      </c>
      <c r="S1148">
        <f t="shared" si="1032"/>
        <v>-54.60229503326444</v>
      </c>
      <c r="T1148">
        <f t="shared" si="1033"/>
        <v>-5.4602295033264442E-2</v>
      </c>
    </row>
    <row r="1149" spans="1:20" x14ac:dyDescent="0.25">
      <c r="A1149" s="5">
        <v>43444</v>
      </c>
      <c r="B1149">
        <v>0.41170000000000001</v>
      </c>
      <c r="C1149">
        <v>0.41899999999999998</v>
      </c>
      <c r="D1149">
        <v>0.3861</v>
      </c>
      <c r="E1149">
        <v>0.39090000000000003</v>
      </c>
      <c r="F1149">
        <v>239120.48</v>
      </c>
      <c r="G1149">
        <v>0</v>
      </c>
      <c r="L1149" t="s">
        <v>8</v>
      </c>
      <c r="M1149" t="s">
        <v>8</v>
      </c>
      <c r="N1149" t="s">
        <v>7</v>
      </c>
      <c r="P1149">
        <f t="shared" si="1029"/>
        <v>-0.70820668693008948</v>
      </c>
      <c r="Q1149">
        <f t="shared" si="1030"/>
        <v>-169346.72291793273</v>
      </c>
      <c r="R1149">
        <f t="shared" si="1031"/>
        <v>-5481034.6578092026</v>
      </c>
      <c r="S1149">
        <f t="shared" si="1032"/>
        <v>-54.810346578092023</v>
      </c>
      <c r="T1149">
        <f t="shared" si="1033"/>
        <v>-5.4810346578092022E-2</v>
      </c>
    </row>
    <row r="1150" spans="1:20" x14ac:dyDescent="0.25">
      <c r="A1150" s="5">
        <v>43443</v>
      </c>
      <c r="B1150">
        <v>0.3881</v>
      </c>
      <c r="C1150">
        <v>0.41689999999999999</v>
      </c>
      <c r="D1150">
        <v>0.38069999999999998</v>
      </c>
      <c r="E1150">
        <v>0.41110000000000002</v>
      </c>
      <c r="F1150">
        <v>178989.71</v>
      </c>
      <c r="G1150">
        <v>0</v>
      </c>
      <c r="L1150" t="s">
        <v>7</v>
      </c>
      <c r="M1150" t="s">
        <v>8</v>
      </c>
      <c r="N1150" t="s">
        <v>7</v>
      </c>
      <c r="P1150">
        <f t="shared" si="1029"/>
        <v>0.67955801104972535</v>
      </c>
      <c r="Q1150">
        <f t="shared" si="1030"/>
        <v>121633.89132596712</v>
      </c>
      <c r="R1150">
        <f t="shared" si="1031"/>
        <v>-5311687.9348912695</v>
      </c>
      <c r="S1150">
        <f t="shared" si="1032"/>
        <v>-53.116879348912697</v>
      </c>
      <c r="T1150">
        <f t="shared" si="1033"/>
        <v>-5.3116879348912696E-2</v>
      </c>
    </row>
    <row r="1151" spans="1:20" x14ac:dyDescent="0.25">
      <c r="A1151" s="5">
        <v>43442</v>
      </c>
      <c r="B1151">
        <v>0.3871</v>
      </c>
      <c r="C1151">
        <v>0.45</v>
      </c>
      <c r="D1151">
        <v>0.37180000000000002</v>
      </c>
      <c r="E1151">
        <v>0.38869999999999999</v>
      </c>
      <c r="F1151">
        <v>499610.66</v>
      </c>
      <c r="G1151">
        <v>0</v>
      </c>
      <c r="L1151" t="s">
        <v>8</v>
      </c>
      <c r="M1151" t="s">
        <v>8</v>
      </c>
      <c r="N1151" t="s">
        <v>7</v>
      </c>
      <c r="P1151">
        <f t="shared" ref="P1151:P1195" si="1034">IF(C1151=D1151,0,((E1151-D1151)-(C1151-E1151))/(C1151-D1151))</f>
        <v>-0.56777493606138174</v>
      </c>
      <c r="Q1151">
        <f t="shared" ref="Q1151:Q1195" si="1035">F1151*P1151</f>
        <v>-283666.41053708474</v>
      </c>
      <c r="R1151">
        <f t="shared" ref="R1151:R1195" si="1036">R1152+Q1151</f>
        <v>-5433321.8262172369</v>
      </c>
      <c r="S1151">
        <f t="shared" ref="S1151:S1195" si="1037">R1151/100000</f>
        <v>-54.333218262172366</v>
      </c>
      <c r="T1151">
        <f t="shared" ref="T1151:T1195" si="1038">S1151/1000</f>
        <v>-5.4333218262172363E-2</v>
      </c>
    </row>
    <row r="1152" spans="1:20" x14ac:dyDescent="0.25">
      <c r="A1152" s="5">
        <v>43441</v>
      </c>
      <c r="B1152">
        <v>0.40460000000000002</v>
      </c>
      <c r="C1152">
        <v>0.41289999999999999</v>
      </c>
      <c r="D1152">
        <v>0.36099999999999999</v>
      </c>
      <c r="E1152">
        <v>0.3876</v>
      </c>
      <c r="F1152">
        <v>677986.03</v>
      </c>
      <c r="G1152">
        <v>0</v>
      </c>
      <c r="L1152" t="s">
        <v>7</v>
      </c>
      <c r="M1152" t="s">
        <v>7</v>
      </c>
      <c r="N1152" t="s">
        <v>7</v>
      </c>
      <c r="P1152">
        <f t="shared" si="1034"/>
        <v>2.5048169556840527E-2</v>
      </c>
      <c r="Q1152">
        <f t="shared" si="1035"/>
        <v>16982.309036609167</v>
      </c>
      <c r="R1152">
        <f t="shared" si="1036"/>
        <v>-5149655.4156801524</v>
      </c>
      <c r="S1152">
        <f t="shared" si="1037"/>
        <v>-51.496554156801523</v>
      </c>
      <c r="T1152">
        <f t="shared" si="1038"/>
        <v>-5.1496554156801523E-2</v>
      </c>
    </row>
    <row r="1153" spans="1:20" x14ac:dyDescent="0.25">
      <c r="A1153" s="5">
        <v>43440</v>
      </c>
      <c r="B1153">
        <v>0.47670000000000001</v>
      </c>
      <c r="C1153">
        <v>0.48449999999999999</v>
      </c>
      <c r="D1153">
        <v>0.40600000000000003</v>
      </c>
      <c r="E1153">
        <v>0.40600000000000003</v>
      </c>
      <c r="F1153">
        <v>511601.91999999998</v>
      </c>
      <c r="G1153">
        <v>0</v>
      </c>
      <c r="L1153" t="s">
        <v>7</v>
      </c>
      <c r="M1153" t="s">
        <v>7</v>
      </c>
      <c r="N1153" t="s">
        <v>7</v>
      </c>
      <c r="P1153">
        <f t="shared" si="1034"/>
        <v>-1</v>
      </c>
      <c r="Q1153">
        <f t="shared" si="1035"/>
        <v>-511601.91999999998</v>
      </c>
      <c r="R1153">
        <f t="shared" si="1036"/>
        <v>-5166637.7247167611</v>
      </c>
      <c r="S1153">
        <f t="shared" si="1037"/>
        <v>-51.66637724716761</v>
      </c>
      <c r="T1153">
        <f t="shared" si="1038"/>
        <v>-5.1666377247167612E-2</v>
      </c>
    </row>
    <row r="1154" spans="1:20" x14ac:dyDescent="0.25">
      <c r="A1154" s="5">
        <v>43439</v>
      </c>
      <c r="B1154">
        <v>0.501</v>
      </c>
      <c r="C1154">
        <v>0.51</v>
      </c>
      <c r="D1154">
        <v>0.47489999999999999</v>
      </c>
      <c r="E1154">
        <v>0.47499999999999998</v>
      </c>
      <c r="F1154">
        <v>234559.37</v>
      </c>
      <c r="G1154">
        <v>0</v>
      </c>
      <c r="L1154" t="s">
        <v>7</v>
      </c>
      <c r="M1154" t="s">
        <v>7</v>
      </c>
      <c r="N1154" t="s">
        <v>7</v>
      </c>
      <c r="P1154">
        <f t="shared" si="1034"/>
        <v>-0.99430199430199495</v>
      </c>
      <c r="Q1154">
        <f t="shared" si="1035"/>
        <v>-233222.84937321953</v>
      </c>
      <c r="R1154">
        <f t="shared" si="1036"/>
        <v>-4655035.8047167612</v>
      </c>
      <c r="S1154">
        <f t="shared" si="1037"/>
        <v>-46.550358047167613</v>
      </c>
      <c r="T1154">
        <f t="shared" si="1038"/>
        <v>-4.655035804716761E-2</v>
      </c>
    </row>
    <row r="1155" spans="1:20" x14ac:dyDescent="0.25">
      <c r="A1155" s="5">
        <v>43438</v>
      </c>
      <c r="B1155">
        <v>0.50119999999999998</v>
      </c>
      <c r="C1155">
        <v>0.51870000000000005</v>
      </c>
      <c r="D1155">
        <v>0.48530000000000001</v>
      </c>
      <c r="E1155">
        <v>0.50060000000000004</v>
      </c>
      <c r="F1155">
        <v>303059.02</v>
      </c>
      <c r="G1155">
        <v>0</v>
      </c>
      <c r="L1155" t="s">
        <v>7</v>
      </c>
      <c r="M1155" t="s">
        <v>8</v>
      </c>
      <c r="N1155" t="s">
        <v>7</v>
      </c>
      <c r="P1155">
        <f t="shared" si="1034"/>
        <v>-8.3832335329340299E-2</v>
      </c>
      <c r="Q1155">
        <f t="shared" si="1035"/>
        <v>-25406.145389221248</v>
      </c>
      <c r="R1155">
        <f t="shared" si="1036"/>
        <v>-4421812.9553435417</v>
      </c>
      <c r="S1155">
        <f t="shared" si="1037"/>
        <v>-44.218129553435418</v>
      </c>
      <c r="T1155">
        <f t="shared" si="1038"/>
        <v>-4.4218129553435417E-2</v>
      </c>
    </row>
    <row r="1156" spans="1:20" x14ac:dyDescent="0.25">
      <c r="A1156" s="5">
        <v>43437</v>
      </c>
      <c r="B1156">
        <v>0.52059999999999995</v>
      </c>
      <c r="C1156">
        <v>0.53800000000000003</v>
      </c>
      <c r="D1156">
        <v>0.49830000000000002</v>
      </c>
      <c r="E1156">
        <v>0.50129999999999997</v>
      </c>
      <c r="F1156">
        <v>511846.91</v>
      </c>
      <c r="G1156">
        <v>0</v>
      </c>
      <c r="L1156" t="s">
        <v>7</v>
      </c>
      <c r="M1156" t="s">
        <v>8</v>
      </c>
      <c r="N1156" t="s">
        <v>7</v>
      </c>
      <c r="P1156">
        <f t="shared" si="1034"/>
        <v>-0.84886649874055686</v>
      </c>
      <c r="Q1156">
        <f t="shared" si="1035"/>
        <v>-434489.6943828729</v>
      </c>
      <c r="R1156">
        <f t="shared" si="1036"/>
        <v>-4396406.8099543201</v>
      </c>
      <c r="S1156">
        <f t="shared" si="1037"/>
        <v>-43.964068099543198</v>
      </c>
      <c r="T1156">
        <f t="shared" si="1038"/>
        <v>-4.3964068099543195E-2</v>
      </c>
    </row>
    <row r="1157" spans="1:20" x14ac:dyDescent="0.25">
      <c r="A1157" s="5">
        <v>43436</v>
      </c>
      <c r="B1157">
        <v>0.52580000000000005</v>
      </c>
      <c r="C1157">
        <v>0.53839999999999999</v>
      </c>
      <c r="D1157">
        <v>0.5161</v>
      </c>
      <c r="E1157">
        <v>0.52059999999999995</v>
      </c>
      <c r="F1157">
        <v>227788.42</v>
      </c>
      <c r="G1157">
        <v>0</v>
      </c>
      <c r="L1157" t="s">
        <v>8</v>
      </c>
      <c r="M1157" t="s">
        <v>8</v>
      </c>
      <c r="N1157" t="s">
        <v>7</v>
      </c>
      <c r="P1157">
        <f t="shared" si="1034"/>
        <v>-0.59641255605381605</v>
      </c>
      <c r="Q1157">
        <f t="shared" si="1035"/>
        <v>-135855.87381166019</v>
      </c>
      <c r="R1157">
        <f t="shared" si="1036"/>
        <v>-3961917.1155714472</v>
      </c>
      <c r="S1157">
        <f t="shared" si="1037"/>
        <v>-39.619171155714469</v>
      </c>
      <c r="T1157">
        <f t="shared" si="1038"/>
        <v>-3.9619171155714471E-2</v>
      </c>
    </row>
    <row r="1158" spans="1:20" x14ac:dyDescent="0.25">
      <c r="A1158" s="5">
        <v>43435</v>
      </c>
      <c r="B1158">
        <v>0.49840000000000001</v>
      </c>
      <c r="C1158">
        <v>0.53639999999999999</v>
      </c>
      <c r="D1158">
        <v>0.49320000000000003</v>
      </c>
      <c r="E1158">
        <v>0.52580000000000005</v>
      </c>
      <c r="F1158">
        <v>307447.92</v>
      </c>
      <c r="G1158">
        <v>0</v>
      </c>
      <c r="L1158" t="s">
        <v>8</v>
      </c>
      <c r="M1158" t="s">
        <v>8</v>
      </c>
      <c r="N1158" t="s">
        <v>7</v>
      </c>
      <c r="P1158">
        <f t="shared" si="1034"/>
        <v>0.50925925925926141</v>
      </c>
      <c r="Q1158">
        <f t="shared" si="1035"/>
        <v>156570.70000000065</v>
      </c>
      <c r="R1158">
        <f t="shared" si="1036"/>
        <v>-3826061.2417597868</v>
      </c>
      <c r="S1158">
        <f t="shared" si="1037"/>
        <v>-38.260612417597869</v>
      </c>
      <c r="T1158">
        <f t="shared" si="1038"/>
        <v>-3.8260612417597872E-2</v>
      </c>
    </row>
    <row r="1159" spans="1:20" x14ac:dyDescent="0.25">
      <c r="A1159" s="5">
        <v>43434</v>
      </c>
      <c r="B1159">
        <v>0.5413</v>
      </c>
      <c r="C1159">
        <v>0.55000000000000004</v>
      </c>
      <c r="D1159">
        <v>0.48570000000000002</v>
      </c>
      <c r="E1159">
        <v>0.49919999999999998</v>
      </c>
      <c r="F1159">
        <v>355792.5</v>
      </c>
      <c r="G1159">
        <v>0</v>
      </c>
      <c r="L1159" t="s">
        <v>7</v>
      </c>
      <c r="M1159" t="s">
        <v>8</v>
      </c>
      <c r="N1159" t="s">
        <v>7</v>
      </c>
      <c r="P1159">
        <f t="shared" si="1034"/>
        <v>-0.58009331259720209</v>
      </c>
      <c r="Q1159">
        <f t="shared" si="1035"/>
        <v>-206392.84992224001</v>
      </c>
      <c r="R1159">
        <f t="shared" si="1036"/>
        <v>-3982631.9417597875</v>
      </c>
      <c r="S1159">
        <f t="shared" si="1037"/>
        <v>-39.826319417597873</v>
      </c>
      <c r="T1159">
        <f t="shared" si="1038"/>
        <v>-3.9826319417597872E-2</v>
      </c>
    </row>
    <row r="1160" spans="1:20" x14ac:dyDescent="0.25">
      <c r="A1160" s="5">
        <v>43433</v>
      </c>
      <c r="B1160">
        <v>0.53280000000000005</v>
      </c>
      <c r="C1160">
        <v>0.57999999999999996</v>
      </c>
      <c r="D1160">
        <v>0.51060000000000005</v>
      </c>
      <c r="E1160">
        <v>0.54200000000000004</v>
      </c>
      <c r="F1160">
        <v>442439.71</v>
      </c>
      <c r="G1160">
        <v>0</v>
      </c>
      <c r="L1160" t="s">
        <v>8</v>
      </c>
      <c r="M1160" t="s">
        <v>8</v>
      </c>
      <c r="N1160" t="s">
        <v>7</v>
      </c>
      <c r="P1160">
        <f t="shared" si="1034"/>
        <v>-9.5100864553313375E-2</v>
      </c>
      <c r="Q1160">
        <f t="shared" si="1035"/>
        <v>-42076.398933717253</v>
      </c>
      <c r="R1160">
        <f t="shared" si="1036"/>
        <v>-3776239.0918375477</v>
      </c>
      <c r="S1160">
        <f t="shared" si="1037"/>
        <v>-37.76239091837548</v>
      </c>
      <c r="T1160">
        <f t="shared" si="1038"/>
        <v>-3.776239091837548E-2</v>
      </c>
    </row>
    <row r="1161" spans="1:20" x14ac:dyDescent="0.25">
      <c r="A1161" s="5">
        <v>43432</v>
      </c>
      <c r="B1161">
        <v>0.4869</v>
      </c>
      <c r="C1161">
        <v>0.55530000000000002</v>
      </c>
      <c r="D1161">
        <v>0.4788</v>
      </c>
      <c r="E1161">
        <v>0.53300000000000003</v>
      </c>
      <c r="F1161">
        <v>581280.15</v>
      </c>
      <c r="G1161">
        <v>0</v>
      </c>
      <c r="L1161" t="s">
        <v>8</v>
      </c>
      <c r="M1161" t="s">
        <v>8</v>
      </c>
      <c r="N1161" t="s">
        <v>7</v>
      </c>
      <c r="P1161">
        <f t="shared" si="1034"/>
        <v>0.41699346405228804</v>
      </c>
      <c r="Q1161">
        <f t="shared" si="1035"/>
        <v>242390.02333333361</v>
      </c>
      <c r="R1161">
        <f t="shared" si="1036"/>
        <v>-3734162.6929038307</v>
      </c>
      <c r="S1161">
        <f t="shared" si="1037"/>
        <v>-37.341626929038306</v>
      </c>
      <c r="T1161">
        <f t="shared" si="1038"/>
        <v>-3.7341626929038307E-2</v>
      </c>
    </row>
    <row r="1162" spans="1:20" x14ac:dyDescent="0.25">
      <c r="A1162" s="5">
        <v>43431</v>
      </c>
      <c r="B1162">
        <v>0.46039999999999998</v>
      </c>
      <c r="C1162">
        <v>0.50490000000000002</v>
      </c>
      <c r="D1162">
        <v>0.43769999999999998</v>
      </c>
      <c r="E1162">
        <v>0.48770000000000002</v>
      </c>
      <c r="F1162">
        <v>319527.45</v>
      </c>
      <c r="G1162">
        <v>0</v>
      </c>
      <c r="L1162" t="s">
        <v>7</v>
      </c>
      <c r="M1162" t="s">
        <v>7</v>
      </c>
      <c r="N1162" t="s">
        <v>7</v>
      </c>
      <c r="P1162">
        <f t="shared" si="1034"/>
        <v>0.48809523809523858</v>
      </c>
      <c r="Q1162">
        <f t="shared" si="1035"/>
        <v>155959.82678571445</v>
      </c>
      <c r="R1162">
        <f t="shared" si="1036"/>
        <v>-3976552.7162371641</v>
      </c>
      <c r="S1162">
        <f t="shared" si="1037"/>
        <v>-39.76552716237164</v>
      </c>
      <c r="T1162">
        <f t="shared" si="1038"/>
        <v>-3.9765527162371639E-2</v>
      </c>
    </row>
    <row r="1163" spans="1:20" x14ac:dyDescent="0.25">
      <c r="A1163" s="5">
        <v>43430</v>
      </c>
      <c r="B1163">
        <v>0.50449999999999995</v>
      </c>
      <c r="C1163">
        <v>0.51980000000000004</v>
      </c>
      <c r="D1163">
        <v>0.4461</v>
      </c>
      <c r="E1163">
        <v>0.46</v>
      </c>
      <c r="F1163">
        <v>335998.64</v>
      </c>
      <c r="G1163">
        <v>0</v>
      </c>
      <c r="L1163" t="s">
        <v>8</v>
      </c>
      <c r="M1163" t="s">
        <v>7</v>
      </c>
      <c r="N1163" t="s">
        <v>7</v>
      </c>
      <c r="P1163">
        <f t="shared" si="1034"/>
        <v>-0.62279511533242837</v>
      </c>
      <c r="Q1163">
        <f t="shared" si="1035"/>
        <v>-209258.31175033908</v>
      </c>
      <c r="R1163">
        <f t="shared" si="1036"/>
        <v>-4132512.5430228785</v>
      </c>
      <c r="S1163">
        <f t="shared" si="1037"/>
        <v>-41.325125430228788</v>
      </c>
      <c r="T1163">
        <f t="shared" si="1038"/>
        <v>-4.1325125430228787E-2</v>
      </c>
    </row>
    <row r="1164" spans="1:20" x14ac:dyDescent="0.25">
      <c r="A1164" s="5">
        <v>43429</v>
      </c>
      <c r="B1164">
        <v>0.498</v>
      </c>
      <c r="C1164">
        <v>0.53090000000000004</v>
      </c>
      <c r="D1164">
        <v>0.44600000000000001</v>
      </c>
      <c r="E1164">
        <v>0.50029999999999997</v>
      </c>
      <c r="F1164">
        <v>622958.30000000005</v>
      </c>
      <c r="G1164">
        <v>0</v>
      </c>
      <c r="L1164" t="s">
        <v>7</v>
      </c>
      <c r="M1164" t="s">
        <v>7</v>
      </c>
      <c r="N1164" t="s">
        <v>7</v>
      </c>
      <c r="P1164">
        <f t="shared" si="1034"/>
        <v>0.27915194346289612</v>
      </c>
      <c r="Q1164">
        <f t="shared" si="1035"/>
        <v>173900.0201413419</v>
      </c>
      <c r="R1164">
        <f t="shared" si="1036"/>
        <v>-3923254.2312725396</v>
      </c>
      <c r="S1164">
        <f t="shared" si="1037"/>
        <v>-39.232542312725393</v>
      </c>
      <c r="T1164">
        <f t="shared" si="1038"/>
        <v>-3.9232542312725389E-2</v>
      </c>
    </row>
    <row r="1165" spans="1:20" x14ac:dyDescent="0.25">
      <c r="A1165" s="5">
        <v>43428</v>
      </c>
      <c r="B1165">
        <v>0.57210000000000005</v>
      </c>
      <c r="C1165">
        <v>0.6</v>
      </c>
      <c r="D1165">
        <v>0.4824</v>
      </c>
      <c r="E1165">
        <v>0.49809999999999999</v>
      </c>
      <c r="F1165">
        <v>746630.19</v>
      </c>
      <c r="G1165">
        <v>0</v>
      </c>
      <c r="L1165" t="s">
        <v>7</v>
      </c>
      <c r="M1165" t="s">
        <v>7</v>
      </c>
      <c r="N1165" t="s">
        <v>7</v>
      </c>
      <c r="P1165">
        <f t="shared" si="1034"/>
        <v>-0.73299319727891166</v>
      </c>
      <c r="Q1165">
        <f t="shared" si="1035"/>
        <v>-547274.85015306121</v>
      </c>
      <c r="R1165">
        <f t="shared" si="1036"/>
        <v>-4097154.2514138813</v>
      </c>
      <c r="S1165">
        <f t="shared" si="1037"/>
        <v>-40.971542514138811</v>
      </c>
      <c r="T1165">
        <f t="shared" si="1038"/>
        <v>-4.0971542514138808E-2</v>
      </c>
    </row>
    <row r="1166" spans="1:20" x14ac:dyDescent="0.25">
      <c r="A1166" s="5">
        <v>43427</v>
      </c>
      <c r="B1166">
        <v>0.53639999999999999</v>
      </c>
      <c r="C1166">
        <v>0.61899999999999999</v>
      </c>
      <c r="D1166">
        <v>0.51149999999999995</v>
      </c>
      <c r="E1166">
        <v>0.57199999999999995</v>
      </c>
      <c r="F1166">
        <v>691162.43</v>
      </c>
      <c r="G1166">
        <v>0</v>
      </c>
      <c r="L1166" t="s">
        <v>7</v>
      </c>
      <c r="M1166" t="s">
        <v>7</v>
      </c>
      <c r="N1166" t="s">
        <v>7</v>
      </c>
      <c r="P1166">
        <f t="shared" si="1034"/>
        <v>0.12558139534883675</v>
      </c>
      <c r="Q1166">
        <f t="shared" si="1035"/>
        <v>86797.142372092712</v>
      </c>
      <c r="R1166">
        <f t="shared" si="1036"/>
        <v>-3549879.4012608202</v>
      </c>
      <c r="S1166">
        <f t="shared" si="1037"/>
        <v>-35.498794012608201</v>
      </c>
      <c r="T1166">
        <f t="shared" si="1038"/>
        <v>-3.5498794012608199E-2</v>
      </c>
    </row>
    <row r="1167" spans="1:20" x14ac:dyDescent="0.25">
      <c r="A1167" s="5">
        <v>43426</v>
      </c>
      <c r="B1167">
        <v>0.61199999999999999</v>
      </c>
      <c r="C1167">
        <v>0.63</v>
      </c>
      <c r="D1167">
        <v>0.53210000000000002</v>
      </c>
      <c r="E1167">
        <v>0.53879999999999995</v>
      </c>
      <c r="F1167">
        <v>532736</v>
      </c>
      <c r="G1167">
        <v>0</v>
      </c>
      <c r="L1167" t="s">
        <v>7</v>
      </c>
      <c r="M1167" t="s">
        <v>7</v>
      </c>
      <c r="N1167" t="s">
        <v>7</v>
      </c>
      <c r="P1167">
        <f t="shared" si="1034"/>
        <v>-0.86312563840653878</v>
      </c>
      <c r="Q1167">
        <f t="shared" si="1035"/>
        <v>-459818.10010214587</v>
      </c>
      <c r="R1167">
        <f t="shared" si="1036"/>
        <v>-3636676.5436329129</v>
      </c>
      <c r="S1167">
        <f t="shared" si="1037"/>
        <v>-36.366765436329132</v>
      </c>
      <c r="T1167">
        <f t="shared" si="1038"/>
        <v>-3.6366765436329135E-2</v>
      </c>
    </row>
    <row r="1168" spans="1:20" x14ac:dyDescent="0.25">
      <c r="A1168" s="5">
        <v>43425</v>
      </c>
      <c r="B1168">
        <v>0.52500000000000002</v>
      </c>
      <c r="C1168">
        <v>0.68</v>
      </c>
      <c r="D1168">
        <v>0.52139999999999997</v>
      </c>
      <c r="E1168">
        <v>0.61260000000000003</v>
      </c>
      <c r="F1168">
        <v>1140926.1299999999</v>
      </c>
      <c r="G1168">
        <v>0</v>
      </c>
      <c r="L1168" t="s">
        <v>8</v>
      </c>
      <c r="M1168" t="s">
        <v>8</v>
      </c>
      <c r="N1168" t="s">
        <v>7</v>
      </c>
      <c r="P1168">
        <f t="shared" si="1034"/>
        <v>0.15006305170239617</v>
      </c>
      <c r="Q1168">
        <f t="shared" si="1035"/>
        <v>171210.85683480476</v>
      </c>
      <c r="R1168">
        <f t="shared" si="1036"/>
        <v>-3176858.4435307672</v>
      </c>
      <c r="S1168">
        <f t="shared" si="1037"/>
        <v>-31.768584435307673</v>
      </c>
      <c r="T1168">
        <f t="shared" si="1038"/>
        <v>-3.1768584435307674E-2</v>
      </c>
    </row>
    <row r="1169" spans="1:20" x14ac:dyDescent="0.25">
      <c r="A1169" s="5">
        <v>43424</v>
      </c>
      <c r="B1169">
        <v>0.58579999999999999</v>
      </c>
      <c r="C1169">
        <v>0.63400000000000001</v>
      </c>
      <c r="D1169">
        <v>0.501</v>
      </c>
      <c r="E1169">
        <v>0.52490000000000003</v>
      </c>
      <c r="F1169">
        <v>1544171.65</v>
      </c>
      <c r="G1169">
        <v>0</v>
      </c>
      <c r="L1169" t="s">
        <v>7</v>
      </c>
      <c r="M1169" t="s">
        <v>7</v>
      </c>
      <c r="N1169" t="s">
        <v>7</v>
      </c>
      <c r="P1169">
        <f t="shared" si="1034"/>
        <v>-0.64060150375939806</v>
      </c>
      <c r="Q1169">
        <f t="shared" si="1035"/>
        <v>-989198.68105263088</v>
      </c>
      <c r="R1169">
        <f t="shared" si="1036"/>
        <v>-3348069.3003655719</v>
      </c>
      <c r="S1169">
        <f t="shared" si="1037"/>
        <v>-33.480693003655716</v>
      </c>
      <c r="T1169">
        <f t="shared" si="1038"/>
        <v>-3.3480693003655713E-2</v>
      </c>
    </row>
    <row r="1170" spans="1:20" x14ac:dyDescent="0.25">
      <c r="A1170" s="5">
        <v>43423</v>
      </c>
      <c r="B1170">
        <v>0.77929999999999999</v>
      </c>
      <c r="C1170">
        <v>0.77959999999999996</v>
      </c>
      <c r="D1170">
        <v>0.57279999999999998</v>
      </c>
      <c r="E1170">
        <v>0.5857</v>
      </c>
      <c r="F1170">
        <v>1025511.42</v>
      </c>
      <c r="G1170">
        <v>0</v>
      </c>
      <c r="L1170" t="s">
        <v>7</v>
      </c>
      <c r="M1170" t="s">
        <v>7</v>
      </c>
      <c r="N1170" t="s">
        <v>7</v>
      </c>
      <c r="P1170">
        <f t="shared" si="1034"/>
        <v>-0.87524177949709847</v>
      </c>
      <c r="Q1170">
        <f t="shared" si="1035"/>
        <v>-897570.44013539632</v>
      </c>
      <c r="R1170">
        <f t="shared" si="1036"/>
        <v>-2358870.6193129411</v>
      </c>
      <c r="S1170">
        <f t="shared" si="1037"/>
        <v>-23.588706193129411</v>
      </c>
      <c r="T1170">
        <f t="shared" si="1038"/>
        <v>-2.3588706193129413E-2</v>
      </c>
    </row>
    <row r="1171" spans="1:20" x14ac:dyDescent="0.25">
      <c r="A1171" s="5">
        <v>43422</v>
      </c>
      <c r="B1171">
        <v>0.76970000000000005</v>
      </c>
      <c r="C1171">
        <v>0.79979999999999996</v>
      </c>
      <c r="D1171">
        <v>0.7601</v>
      </c>
      <c r="E1171">
        <v>0.77859999999999996</v>
      </c>
      <c r="F1171">
        <v>268301.09000000003</v>
      </c>
      <c r="G1171">
        <v>0</v>
      </c>
      <c r="L1171" t="s">
        <v>8</v>
      </c>
      <c r="M1171" t="s">
        <v>7</v>
      </c>
      <c r="N1171" t="s">
        <v>7</v>
      </c>
      <c r="P1171">
        <f t="shared" si="1034"/>
        <v>-6.8010075566751607E-2</v>
      </c>
      <c r="Q1171">
        <f t="shared" si="1035"/>
        <v>-18247.177405541825</v>
      </c>
      <c r="R1171">
        <f t="shared" si="1036"/>
        <v>-1461300.179177545</v>
      </c>
      <c r="S1171">
        <f t="shared" si="1037"/>
        <v>-14.613001791775449</v>
      </c>
      <c r="T1171">
        <f t="shared" si="1038"/>
        <v>-1.4613001791775449E-2</v>
      </c>
    </row>
    <row r="1172" spans="1:20" x14ac:dyDescent="0.25">
      <c r="A1172" s="5">
        <v>43421</v>
      </c>
      <c r="B1172">
        <v>0.8216</v>
      </c>
      <c r="C1172">
        <v>0.83140000000000003</v>
      </c>
      <c r="D1172">
        <v>0.73899999999999999</v>
      </c>
      <c r="E1172">
        <v>0.76870000000000005</v>
      </c>
      <c r="F1172">
        <v>464301.87</v>
      </c>
      <c r="G1172">
        <v>0</v>
      </c>
      <c r="L1172" t="s">
        <v>7</v>
      </c>
      <c r="M1172" t="s">
        <v>7</v>
      </c>
      <c r="N1172" t="s">
        <v>7</v>
      </c>
      <c r="P1172">
        <f t="shared" si="1034"/>
        <v>-0.3571428571428561</v>
      </c>
      <c r="Q1172">
        <f t="shared" si="1035"/>
        <v>-165822.09642857095</v>
      </c>
      <c r="R1172">
        <f t="shared" si="1036"/>
        <v>-1443053.0017720032</v>
      </c>
      <c r="S1172">
        <f t="shared" si="1037"/>
        <v>-14.430530017720033</v>
      </c>
      <c r="T1172">
        <f t="shared" si="1038"/>
        <v>-1.4430530017720032E-2</v>
      </c>
    </row>
    <row r="1173" spans="1:20" x14ac:dyDescent="0.25">
      <c r="A1173" s="5">
        <v>43420</v>
      </c>
      <c r="B1173">
        <v>0.88919999999999999</v>
      </c>
      <c r="C1173">
        <v>0.88919999999999999</v>
      </c>
      <c r="D1173">
        <v>0.80620000000000003</v>
      </c>
      <c r="E1173">
        <v>0.82310000000000005</v>
      </c>
      <c r="F1173">
        <v>260309.93</v>
      </c>
      <c r="G1173">
        <v>0</v>
      </c>
      <c r="L1173" t="s">
        <v>8</v>
      </c>
      <c r="M1173" t="s">
        <v>7</v>
      </c>
      <c r="N1173" t="s">
        <v>7</v>
      </c>
      <c r="P1173">
        <f t="shared" si="1034"/>
        <v>-0.5927710843373486</v>
      </c>
      <c r="Q1173">
        <f t="shared" si="1035"/>
        <v>-154304.1994698793</v>
      </c>
      <c r="R1173">
        <f t="shared" si="1036"/>
        <v>-1277230.9053434322</v>
      </c>
      <c r="S1173">
        <f t="shared" si="1037"/>
        <v>-12.772309053434322</v>
      </c>
      <c r="T1173">
        <f t="shared" si="1038"/>
        <v>-1.2772309053434322E-2</v>
      </c>
    </row>
    <row r="1174" spans="1:20" x14ac:dyDescent="0.25">
      <c r="A1174" s="5">
        <v>43419</v>
      </c>
      <c r="B1174">
        <v>0.94210000000000005</v>
      </c>
      <c r="C1174">
        <v>0.96160000000000001</v>
      </c>
      <c r="D1174">
        <v>0.7833</v>
      </c>
      <c r="E1174">
        <v>0.8891</v>
      </c>
      <c r="F1174">
        <v>486169.1</v>
      </c>
      <c r="G1174">
        <v>0</v>
      </c>
      <c r="L1174" t="s">
        <v>7</v>
      </c>
      <c r="M1174" t="s">
        <v>7</v>
      </c>
      <c r="N1174" t="s">
        <v>7</v>
      </c>
      <c r="P1174">
        <f t="shared" si="1034"/>
        <v>0.18676388109927086</v>
      </c>
      <c r="Q1174">
        <f t="shared" si="1035"/>
        <v>90798.827986539516</v>
      </c>
      <c r="R1174">
        <f t="shared" si="1036"/>
        <v>-1122926.7058735529</v>
      </c>
      <c r="S1174">
        <f t="shared" si="1037"/>
        <v>-11.229267058735529</v>
      </c>
      <c r="T1174">
        <f t="shared" si="1038"/>
        <v>-1.1229267058735528E-2</v>
      </c>
    </row>
    <row r="1175" spans="1:20" x14ac:dyDescent="0.25">
      <c r="A1175" s="5">
        <v>43418</v>
      </c>
      <c r="B1175">
        <v>1.0222</v>
      </c>
      <c r="C1175">
        <v>1.0225</v>
      </c>
      <c r="D1175">
        <v>0.91</v>
      </c>
      <c r="E1175">
        <v>0.94499999999999995</v>
      </c>
      <c r="F1175">
        <v>410102.14</v>
      </c>
      <c r="G1175">
        <v>0</v>
      </c>
      <c r="L1175" t="s">
        <v>7</v>
      </c>
      <c r="M1175" t="s">
        <v>7</v>
      </c>
      <c r="N1175" t="s">
        <v>8</v>
      </c>
      <c r="P1175">
        <f t="shared" si="1034"/>
        <v>-0.37777777777777882</v>
      </c>
      <c r="Q1175">
        <f t="shared" si="1035"/>
        <v>-154927.47511111153</v>
      </c>
      <c r="R1175">
        <f t="shared" si="1036"/>
        <v>-1213725.5338600925</v>
      </c>
      <c r="S1175">
        <f t="shared" si="1037"/>
        <v>-12.137255338600925</v>
      </c>
      <c r="T1175">
        <f t="shared" si="1038"/>
        <v>-1.2137255338600925E-2</v>
      </c>
    </row>
    <row r="1176" spans="1:20" x14ac:dyDescent="0.25">
      <c r="A1176" s="5">
        <v>43417</v>
      </c>
      <c r="B1176">
        <v>1.0689</v>
      </c>
      <c r="C1176">
        <v>1.0689</v>
      </c>
      <c r="D1176">
        <v>1.0196000000000001</v>
      </c>
      <c r="E1176">
        <v>1.0198</v>
      </c>
      <c r="F1176">
        <v>142614.62</v>
      </c>
      <c r="G1176">
        <v>0</v>
      </c>
      <c r="L1176" t="s">
        <v>7</v>
      </c>
      <c r="M1176" t="s">
        <v>7</v>
      </c>
      <c r="N1176" t="s">
        <v>8</v>
      </c>
      <c r="P1176">
        <f t="shared" si="1034"/>
        <v>-0.99188640973630915</v>
      </c>
      <c r="Q1176">
        <f t="shared" si="1035"/>
        <v>-141457.50340770802</v>
      </c>
      <c r="R1176">
        <f t="shared" si="1036"/>
        <v>-1058798.058748981</v>
      </c>
      <c r="S1176">
        <f t="shared" si="1037"/>
        <v>-10.58798058748981</v>
      </c>
      <c r="T1176">
        <f t="shared" si="1038"/>
        <v>-1.0587980587489809E-2</v>
      </c>
    </row>
    <row r="1177" spans="1:20" x14ac:dyDescent="0.25">
      <c r="A1177" s="5">
        <v>43416</v>
      </c>
      <c r="B1177">
        <v>1.075</v>
      </c>
      <c r="C1177">
        <v>1.0753999999999999</v>
      </c>
      <c r="D1177">
        <v>1.0506</v>
      </c>
      <c r="E1177">
        <v>1.0690999999999999</v>
      </c>
      <c r="F1177">
        <v>48879.24</v>
      </c>
      <c r="G1177">
        <v>0</v>
      </c>
      <c r="L1177" t="s">
        <v>7</v>
      </c>
      <c r="M1177" t="s">
        <v>7</v>
      </c>
      <c r="N1177" t="s">
        <v>8</v>
      </c>
      <c r="P1177">
        <f t="shared" si="1034"/>
        <v>0.49193548387096858</v>
      </c>
      <c r="Q1177">
        <f t="shared" si="1035"/>
        <v>24045.4325806452</v>
      </c>
      <c r="R1177">
        <f t="shared" si="1036"/>
        <v>-917340.55534127308</v>
      </c>
      <c r="S1177">
        <f t="shared" si="1037"/>
        <v>-9.1734055534127315</v>
      </c>
      <c r="T1177">
        <f t="shared" si="1038"/>
        <v>-9.1734055534127314E-3</v>
      </c>
    </row>
    <row r="1178" spans="1:20" x14ac:dyDescent="0.25">
      <c r="A1178" s="5">
        <v>43415</v>
      </c>
      <c r="B1178">
        <v>1.0795999999999999</v>
      </c>
      <c r="C1178">
        <v>1.0825</v>
      </c>
      <c r="D1178">
        <v>1.06</v>
      </c>
      <c r="E1178">
        <v>1.0754999999999999</v>
      </c>
      <c r="F1178">
        <v>45516.75</v>
      </c>
      <c r="G1178">
        <v>0</v>
      </c>
      <c r="L1178" t="s">
        <v>7</v>
      </c>
      <c r="M1178" t="s">
        <v>7</v>
      </c>
      <c r="N1178" t="s">
        <v>8</v>
      </c>
      <c r="P1178">
        <f t="shared" si="1034"/>
        <v>0.37777777777776639</v>
      </c>
      <c r="Q1178">
        <f t="shared" si="1035"/>
        <v>17195.216666666147</v>
      </c>
      <c r="R1178">
        <f t="shared" si="1036"/>
        <v>-941385.98792191828</v>
      </c>
      <c r="S1178">
        <f t="shared" si="1037"/>
        <v>-9.4138598792191832</v>
      </c>
      <c r="T1178">
        <f t="shared" si="1038"/>
        <v>-9.4138598792191837E-3</v>
      </c>
    </row>
    <row r="1179" spans="1:20" x14ac:dyDescent="0.25">
      <c r="A1179" s="5">
        <v>43414</v>
      </c>
      <c r="B1179">
        <v>1.0801000000000001</v>
      </c>
      <c r="C1179">
        <v>1.0879000000000001</v>
      </c>
      <c r="D1179">
        <v>1.0701000000000001</v>
      </c>
      <c r="E1179">
        <v>1.0797000000000001</v>
      </c>
      <c r="F1179">
        <v>60993.7</v>
      </c>
      <c r="G1179">
        <v>0</v>
      </c>
      <c r="L1179" t="s">
        <v>7</v>
      </c>
      <c r="M1179" t="s">
        <v>7</v>
      </c>
      <c r="N1179" t="s">
        <v>8</v>
      </c>
      <c r="P1179">
        <f t="shared" si="1034"/>
        <v>7.8651685393262075E-2</v>
      </c>
      <c r="Q1179">
        <f t="shared" si="1035"/>
        <v>4797.2573033710087</v>
      </c>
      <c r="R1179">
        <f t="shared" si="1036"/>
        <v>-958581.20458858437</v>
      </c>
      <c r="S1179">
        <f t="shared" si="1037"/>
        <v>-9.5858120458858433</v>
      </c>
      <c r="T1179">
        <f t="shared" si="1038"/>
        <v>-9.5858120458858428E-3</v>
      </c>
    </row>
    <row r="1180" spans="1:20" x14ac:dyDescent="0.25">
      <c r="A1180" s="5">
        <v>43413</v>
      </c>
      <c r="B1180">
        <v>1.0833999999999999</v>
      </c>
      <c r="C1180">
        <v>1.1096999999999999</v>
      </c>
      <c r="D1180">
        <v>1.06</v>
      </c>
      <c r="E1180">
        <v>1.08</v>
      </c>
      <c r="F1180">
        <v>133887.87</v>
      </c>
      <c r="G1180">
        <v>0</v>
      </c>
      <c r="L1180" t="s">
        <v>7</v>
      </c>
      <c r="M1180" t="s">
        <v>7</v>
      </c>
      <c r="N1180" t="s">
        <v>8</v>
      </c>
      <c r="P1180">
        <f t="shared" si="1034"/>
        <v>-0.1951710261569386</v>
      </c>
      <c r="Q1180">
        <f t="shared" si="1035"/>
        <v>-26131.032977866795</v>
      </c>
      <c r="R1180">
        <f t="shared" si="1036"/>
        <v>-963378.46189195535</v>
      </c>
      <c r="S1180">
        <f t="shared" si="1037"/>
        <v>-9.6337846189195542</v>
      </c>
      <c r="T1180">
        <f t="shared" si="1038"/>
        <v>-9.6337846189195539E-3</v>
      </c>
    </row>
    <row r="1181" spans="1:20" x14ac:dyDescent="0.25">
      <c r="A1181" s="5">
        <v>43412</v>
      </c>
      <c r="B1181">
        <v>1.1164000000000001</v>
      </c>
      <c r="C1181">
        <v>1.1178999999999999</v>
      </c>
      <c r="D1181">
        <v>1.0821000000000001</v>
      </c>
      <c r="E1181">
        <v>1.0834999999999999</v>
      </c>
      <c r="F1181">
        <v>129071.13</v>
      </c>
      <c r="G1181">
        <v>0</v>
      </c>
      <c r="L1181" t="s">
        <v>7</v>
      </c>
      <c r="M1181" t="s">
        <v>7</v>
      </c>
      <c r="N1181" t="s">
        <v>8</v>
      </c>
      <c r="P1181">
        <f t="shared" si="1034"/>
        <v>-0.921787709497215</v>
      </c>
      <c r="Q1181">
        <f t="shared" si="1035"/>
        <v>-118976.18128491727</v>
      </c>
      <c r="R1181">
        <f t="shared" si="1036"/>
        <v>-937247.42891408852</v>
      </c>
      <c r="S1181">
        <f t="shared" si="1037"/>
        <v>-9.3724742891408859</v>
      </c>
      <c r="T1181">
        <f t="shared" si="1038"/>
        <v>-9.3724742891408853E-3</v>
      </c>
    </row>
    <row r="1182" spans="1:20" x14ac:dyDescent="0.25">
      <c r="A1182" s="5">
        <v>43411</v>
      </c>
      <c r="B1182">
        <v>1.135</v>
      </c>
      <c r="C1182">
        <v>1.17</v>
      </c>
      <c r="D1182">
        <v>1.1063000000000001</v>
      </c>
      <c r="E1182">
        <v>1.1162000000000001</v>
      </c>
      <c r="F1182">
        <v>239229.86</v>
      </c>
      <c r="G1182">
        <v>0</v>
      </c>
      <c r="L1182" t="s">
        <v>8</v>
      </c>
      <c r="M1182" t="s">
        <v>7</v>
      </c>
      <c r="N1182" t="s">
        <v>8</v>
      </c>
      <c r="P1182">
        <f t="shared" si="1034"/>
        <v>-0.68916797488225934</v>
      </c>
      <c r="Q1182">
        <f t="shared" si="1035"/>
        <v>-164869.55814756642</v>
      </c>
      <c r="R1182">
        <f t="shared" si="1036"/>
        <v>-818271.24762917124</v>
      </c>
      <c r="S1182">
        <f t="shared" si="1037"/>
        <v>-8.1827124762917123</v>
      </c>
      <c r="T1182">
        <f t="shared" si="1038"/>
        <v>-8.1827124762917126E-3</v>
      </c>
    </row>
    <row r="1183" spans="1:20" x14ac:dyDescent="0.25">
      <c r="A1183" s="5">
        <v>43410</v>
      </c>
      <c r="B1183">
        <v>1.1107</v>
      </c>
      <c r="C1183">
        <v>1.17</v>
      </c>
      <c r="D1183">
        <v>1.0835999999999999</v>
      </c>
      <c r="E1183">
        <v>1.1342000000000001</v>
      </c>
      <c r="F1183">
        <v>394367.51</v>
      </c>
      <c r="G1183">
        <v>0</v>
      </c>
      <c r="L1183" t="s">
        <v>8</v>
      </c>
      <c r="M1183" t="s">
        <v>7</v>
      </c>
      <c r="N1183" t="s">
        <v>8</v>
      </c>
      <c r="P1183">
        <f t="shared" si="1034"/>
        <v>0.1712962962963005</v>
      </c>
      <c r="Q1183">
        <f t="shared" si="1035"/>
        <v>67553.69384259425</v>
      </c>
      <c r="R1183">
        <f t="shared" si="1036"/>
        <v>-653401.68948160484</v>
      </c>
      <c r="S1183">
        <f t="shared" si="1037"/>
        <v>-6.5340168948160482</v>
      </c>
      <c r="T1183">
        <f t="shared" si="1038"/>
        <v>-6.5340168948160478E-3</v>
      </c>
    </row>
    <row r="1184" spans="1:20" x14ac:dyDescent="0.25">
      <c r="A1184" s="5">
        <v>43409</v>
      </c>
      <c r="B1184">
        <v>1.1176999999999999</v>
      </c>
      <c r="C1184">
        <v>1.1399999999999999</v>
      </c>
      <c r="D1184">
        <v>1.0993999999999999</v>
      </c>
      <c r="E1184">
        <v>1.1107</v>
      </c>
      <c r="F1184">
        <v>276517.90000000002</v>
      </c>
      <c r="G1184">
        <v>0</v>
      </c>
      <c r="L1184" t="s">
        <v>7</v>
      </c>
      <c r="M1184" t="s">
        <v>7</v>
      </c>
      <c r="N1184" t="s">
        <v>8</v>
      </c>
      <c r="P1184">
        <f t="shared" si="1034"/>
        <v>-0.44334975369457652</v>
      </c>
      <c r="Q1184">
        <f t="shared" si="1035"/>
        <v>-122594.14285714155</v>
      </c>
      <c r="R1184">
        <f t="shared" si="1036"/>
        <v>-720955.38332419912</v>
      </c>
      <c r="S1184">
        <f t="shared" si="1037"/>
        <v>-7.2095538332419915</v>
      </c>
      <c r="T1184">
        <f t="shared" si="1038"/>
        <v>-7.2095538332419915E-3</v>
      </c>
    </row>
    <row r="1185" spans="1:20" x14ac:dyDescent="0.25">
      <c r="A1185" s="5">
        <v>43408</v>
      </c>
      <c r="B1185">
        <v>1.1119000000000001</v>
      </c>
      <c r="C1185">
        <v>1.1399999999999999</v>
      </c>
      <c r="D1185">
        <v>1.1033999999999999</v>
      </c>
      <c r="E1185">
        <v>1.1229</v>
      </c>
      <c r="F1185">
        <v>208193.51</v>
      </c>
      <c r="G1185">
        <v>0</v>
      </c>
      <c r="L1185" t="s">
        <v>7</v>
      </c>
      <c r="M1185" t="s">
        <v>7</v>
      </c>
      <c r="N1185" t="s">
        <v>8</v>
      </c>
      <c r="P1185">
        <f t="shared" si="1034"/>
        <v>6.557377049180825E-2</v>
      </c>
      <c r="Q1185">
        <f t="shared" si="1035"/>
        <v>13652.033442623986</v>
      </c>
      <c r="R1185">
        <f t="shared" si="1036"/>
        <v>-598361.24046705756</v>
      </c>
      <c r="S1185">
        <f t="shared" si="1037"/>
        <v>-5.9836124046705752</v>
      </c>
      <c r="T1185">
        <f t="shared" si="1038"/>
        <v>-5.983612404670575E-3</v>
      </c>
    </row>
    <row r="1186" spans="1:20" x14ac:dyDescent="0.25">
      <c r="A1186" s="5">
        <v>43407</v>
      </c>
      <c r="B1186">
        <v>1.1339999999999999</v>
      </c>
      <c r="C1186">
        <v>1.1402000000000001</v>
      </c>
      <c r="D1186">
        <v>1.08</v>
      </c>
      <c r="E1186">
        <v>1.1114999999999999</v>
      </c>
      <c r="F1186">
        <v>206420.28</v>
      </c>
      <c r="G1186">
        <v>0</v>
      </c>
      <c r="L1186" t="s">
        <v>7</v>
      </c>
      <c r="M1186" t="s">
        <v>7</v>
      </c>
      <c r="N1186" t="s">
        <v>8</v>
      </c>
      <c r="P1186">
        <f t="shared" si="1034"/>
        <v>4.6511627906971595E-2</v>
      </c>
      <c r="Q1186">
        <f t="shared" si="1035"/>
        <v>9600.9432558128901</v>
      </c>
      <c r="R1186">
        <f t="shared" si="1036"/>
        <v>-612013.27390968159</v>
      </c>
      <c r="S1186">
        <f t="shared" si="1037"/>
        <v>-6.1201327390968157</v>
      </c>
      <c r="T1186">
        <f t="shared" si="1038"/>
        <v>-6.1201327390968153E-3</v>
      </c>
    </row>
    <row r="1187" spans="1:20" x14ac:dyDescent="0.25">
      <c r="A1187" s="5">
        <v>43406</v>
      </c>
      <c r="B1187">
        <v>1.1662999999999999</v>
      </c>
      <c r="C1187">
        <v>1.1662999999999999</v>
      </c>
      <c r="D1187">
        <v>1.1234</v>
      </c>
      <c r="E1187">
        <v>1.1347</v>
      </c>
      <c r="F1187">
        <v>239035.59</v>
      </c>
      <c r="G1187">
        <v>0</v>
      </c>
      <c r="L1187" t="s">
        <v>7</v>
      </c>
      <c r="M1187" t="s">
        <v>7</v>
      </c>
      <c r="N1187" t="s">
        <v>8</v>
      </c>
      <c r="P1187">
        <f t="shared" si="1034"/>
        <v>-0.47319347319346833</v>
      </c>
      <c r="Q1187">
        <f t="shared" si="1035"/>
        <v>-113110.08104894988</v>
      </c>
      <c r="R1187">
        <f t="shared" si="1036"/>
        <v>-621614.21716549445</v>
      </c>
      <c r="S1187">
        <f t="shared" si="1037"/>
        <v>-6.216142171654945</v>
      </c>
      <c r="T1187">
        <f t="shared" si="1038"/>
        <v>-6.2161421716549446E-3</v>
      </c>
    </row>
    <row r="1188" spans="1:20" x14ac:dyDescent="0.25">
      <c r="A1188" s="5">
        <v>43405</v>
      </c>
      <c r="B1188">
        <v>1.1021000000000001</v>
      </c>
      <c r="C1188">
        <v>1.1859</v>
      </c>
      <c r="D1188">
        <v>1.0905</v>
      </c>
      <c r="E1188">
        <v>1.1666000000000001</v>
      </c>
      <c r="F1188">
        <v>282169.40000000002</v>
      </c>
      <c r="G1188">
        <v>0</v>
      </c>
      <c r="L1188" t="s">
        <v>7</v>
      </c>
      <c r="M1188" t="s">
        <v>7</v>
      </c>
      <c r="N1188" t="s">
        <v>8</v>
      </c>
      <c r="P1188">
        <f t="shared" si="1034"/>
        <v>0.59538784067086192</v>
      </c>
      <c r="Q1188">
        <f t="shared" si="1035"/>
        <v>168000.22976939272</v>
      </c>
      <c r="R1188">
        <f t="shared" si="1036"/>
        <v>-508504.1361165446</v>
      </c>
      <c r="S1188">
        <f t="shared" si="1037"/>
        <v>-5.0850413611654464</v>
      </c>
      <c r="T1188">
        <f t="shared" si="1038"/>
        <v>-5.0850413611654467E-3</v>
      </c>
    </row>
    <row r="1189" spans="1:20" x14ac:dyDescent="0.25">
      <c r="A1189" s="5">
        <v>43404</v>
      </c>
      <c r="B1189">
        <v>1.0623</v>
      </c>
      <c r="C1189">
        <v>1.3153999999999999</v>
      </c>
      <c r="D1189">
        <v>1.04</v>
      </c>
      <c r="E1189">
        <v>1.1069</v>
      </c>
      <c r="F1189">
        <v>483522.77</v>
      </c>
      <c r="G1189">
        <v>0</v>
      </c>
      <c r="L1189" t="s">
        <v>8</v>
      </c>
      <c r="M1189" t="s">
        <v>8</v>
      </c>
      <c r="N1189" t="s">
        <v>8</v>
      </c>
      <c r="P1189">
        <f t="shared" si="1034"/>
        <v>-0.51416122004357301</v>
      </c>
      <c r="Q1189">
        <f t="shared" si="1035"/>
        <v>-248608.65734204795</v>
      </c>
      <c r="R1189">
        <f t="shared" si="1036"/>
        <v>-676504.36588593735</v>
      </c>
      <c r="S1189">
        <f t="shared" si="1037"/>
        <v>-6.7650436588593736</v>
      </c>
      <c r="T1189">
        <f t="shared" si="1038"/>
        <v>-6.7650436588593734E-3</v>
      </c>
    </row>
    <row r="1190" spans="1:20" x14ac:dyDescent="0.25">
      <c r="A1190" s="5">
        <v>43403</v>
      </c>
      <c r="B1190">
        <v>1.0676000000000001</v>
      </c>
      <c r="C1190">
        <v>1.0911999999999999</v>
      </c>
      <c r="D1190">
        <v>1.0266</v>
      </c>
      <c r="E1190">
        <v>1.0580000000000001</v>
      </c>
      <c r="F1190">
        <v>264549.90999999997</v>
      </c>
      <c r="G1190">
        <v>0</v>
      </c>
      <c r="L1190" t="s">
        <v>7</v>
      </c>
      <c r="M1190" t="s">
        <v>8</v>
      </c>
      <c r="N1190" t="s">
        <v>8</v>
      </c>
      <c r="P1190">
        <f t="shared" si="1034"/>
        <v>-2.7863777089780217E-2</v>
      </c>
      <c r="Q1190">
        <f t="shared" si="1035"/>
        <v>-7371.3597213614175</v>
      </c>
      <c r="R1190">
        <f t="shared" si="1036"/>
        <v>-427895.70854388934</v>
      </c>
      <c r="S1190">
        <f t="shared" si="1037"/>
        <v>-4.2789570854388934</v>
      </c>
      <c r="T1190">
        <f t="shared" si="1038"/>
        <v>-4.2789570854388937E-3</v>
      </c>
    </row>
    <row r="1191" spans="1:20" x14ac:dyDescent="0.25">
      <c r="A1191" s="5">
        <v>43402</v>
      </c>
      <c r="B1191">
        <v>1.1231</v>
      </c>
      <c r="C1191">
        <v>1.1274</v>
      </c>
      <c r="D1191">
        <v>1.0589999999999999</v>
      </c>
      <c r="E1191">
        <v>1.0674999999999999</v>
      </c>
      <c r="F1191">
        <v>222366.26</v>
      </c>
      <c r="G1191">
        <v>0</v>
      </c>
      <c r="L1191" t="s">
        <v>7</v>
      </c>
      <c r="M1191" t="s">
        <v>8</v>
      </c>
      <c r="N1191" t="s">
        <v>8</v>
      </c>
      <c r="P1191">
        <f t="shared" si="1034"/>
        <v>-0.75146198830409505</v>
      </c>
      <c r="Q1191">
        <f t="shared" si="1035"/>
        <v>-167099.79187134537</v>
      </c>
      <c r="R1191">
        <f t="shared" si="1036"/>
        <v>-420524.34882252791</v>
      </c>
      <c r="S1191">
        <f t="shared" si="1037"/>
        <v>-4.2052434882252792</v>
      </c>
      <c r="T1191">
        <f t="shared" si="1038"/>
        <v>-4.2052434882252788E-3</v>
      </c>
    </row>
    <row r="1192" spans="1:20" x14ac:dyDescent="0.25">
      <c r="A1192" s="5">
        <v>43401</v>
      </c>
      <c r="B1192">
        <v>1.1072</v>
      </c>
      <c r="C1192">
        <v>1.1299999999999999</v>
      </c>
      <c r="D1192">
        <v>1.1032</v>
      </c>
      <c r="E1192">
        <v>1.1231</v>
      </c>
      <c r="F1192">
        <v>150005.04</v>
      </c>
      <c r="G1192">
        <v>0</v>
      </c>
      <c r="L1192" t="s">
        <v>7</v>
      </c>
      <c r="M1192" t="s">
        <v>8</v>
      </c>
      <c r="N1192" t="s">
        <v>8</v>
      </c>
      <c r="P1192">
        <f t="shared" si="1034"/>
        <v>0.48507462686567737</v>
      </c>
      <c r="Q1192">
        <f t="shared" si="1035"/>
        <v>72763.638805971015</v>
      </c>
      <c r="R1192">
        <f t="shared" si="1036"/>
        <v>-253424.55695118255</v>
      </c>
      <c r="S1192">
        <f t="shared" si="1037"/>
        <v>-2.5342455695118256</v>
      </c>
      <c r="T1192">
        <f t="shared" si="1038"/>
        <v>-2.5342455695118254E-3</v>
      </c>
    </row>
    <row r="1193" spans="1:20" x14ac:dyDescent="0.25">
      <c r="A1193" s="5">
        <v>43400</v>
      </c>
      <c r="B1193">
        <v>1.1429</v>
      </c>
      <c r="C1193">
        <v>1.1561999999999999</v>
      </c>
      <c r="D1193">
        <v>1.1027</v>
      </c>
      <c r="E1193">
        <v>1.1032</v>
      </c>
      <c r="F1193">
        <v>198755.62</v>
      </c>
      <c r="G1193">
        <v>0</v>
      </c>
      <c r="L1193" t="s">
        <v>7</v>
      </c>
      <c r="M1193" t="s">
        <v>8</v>
      </c>
      <c r="N1193" t="s">
        <v>8</v>
      </c>
      <c r="P1193">
        <f t="shared" si="1034"/>
        <v>-0.98130841121495527</v>
      </c>
      <c r="Q1193">
        <f t="shared" si="1035"/>
        <v>-195040.56168224339</v>
      </c>
      <c r="R1193">
        <f t="shared" si="1036"/>
        <v>-326188.19575715356</v>
      </c>
      <c r="S1193">
        <f t="shared" si="1037"/>
        <v>-3.2618819575715357</v>
      </c>
      <c r="T1193">
        <f t="shared" si="1038"/>
        <v>-3.2618819575715358E-3</v>
      </c>
    </row>
    <row r="1194" spans="1:20" x14ac:dyDescent="0.25">
      <c r="A1194" s="5">
        <v>43399</v>
      </c>
      <c r="B1194">
        <v>1.1475</v>
      </c>
      <c r="C1194">
        <v>1.18</v>
      </c>
      <c r="D1194">
        <v>1.1305000000000001</v>
      </c>
      <c r="E1194">
        <v>1.1493</v>
      </c>
      <c r="F1194">
        <v>200319.44</v>
      </c>
      <c r="G1194">
        <v>0</v>
      </c>
      <c r="L1194" t="s">
        <v>8</v>
      </c>
      <c r="M1194" t="s">
        <v>8</v>
      </c>
      <c r="N1194" t="s">
        <v>8</v>
      </c>
      <c r="P1194">
        <f t="shared" si="1034"/>
        <v>-0.24040404040404142</v>
      </c>
      <c r="Q1194">
        <f t="shared" si="1035"/>
        <v>-48157.60274747495</v>
      </c>
      <c r="R1194">
        <f t="shared" si="1036"/>
        <v>-131147.63407491019</v>
      </c>
      <c r="S1194">
        <f t="shared" si="1037"/>
        <v>-1.3114763407491019</v>
      </c>
      <c r="T1194">
        <f t="shared" si="1038"/>
        <v>-1.3114763407491019E-3</v>
      </c>
    </row>
    <row r="1195" spans="1:20" x14ac:dyDescent="0.25">
      <c r="A1195" s="5">
        <v>43398</v>
      </c>
      <c r="B1195">
        <v>1.1668000000000001</v>
      </c>
      <c r="C1195">
        <v>1.1704000000000001</v>
      </c>
      <c r="D1195">
        <v>1.1365000000000001</v>
      </c>
      <c r="E1195">
        <v>1.1475</v>
      </c>
      <c r="F1195">
        <v>236416.98</v>
      </c>
      <c r="G1195">
        <v>0</v>
      </c>
      <c r="P1195">
        <f t="shared" si="1034"/>
        <v>-0.3510324483775879</v>
      </c>
      <c r="Q1195">
        <f t="shared" si="1035"/>
        <v>-82990.031327435237</v>
      </c>
      <c r="R1195">
        <f t="shared" si="1036"/>
        <v>-82990.031327435237</v>
      </c>
      <c r="S1195">
        <f t="shared" si="1037"/>
        <v>-0.82990031327435232</v>
      </c>
      <c r="T1195">
        <f t="shared" si="1038"/>
        <v>-8.2990031327435227E-4</v>
      </c>
    </row>
    <row r="1196" spans="1:20" x14ac:dyDescent="0.25">
      <c r="A1196" s="5"/>
      <c r="C1196"/>
      <c r="D1196"/>
    </row>
    <row r="1197" spans="1:20" x14ac:dyDescent="0.25">
      <c r="A1197" s="5"/>
      <c r="C1197"/>
      <c r="D1197"/>
    </row>
    <row r="1198" spans="1:20" x14ac:dyDescent="0.25">
      <c r="A1198" s="5"/>
      <c r="C1198"/>
      <c r="D1198"/>
    </row>
    <row r="1199" spans="1:20" x14ac:dyDescent="0.25">
      <c r="A1199" s="5"/>
      <c r="C1199"/>
      <c r="D1199"/>
    </row>
    <row r="1200" spans="1:20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UP637" sqref="UP63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$A$636</v>
      </c>
      <c r="D111" s="1" t="str">
        <f>ADDRESS(C121-1,D121,1,1)</f>
        <v>$UP$636</v>
      </c>
      <c r="E111"/>
    </row>
    <row r="112" spans="1:5" x14ac:dyDescent="0.25">
      <c r="A112" s="7">
        <v>12164.144957890772</v>
      </c>
      <c r="C112" s="1" t="str">
        <f>ADDRESS(C121,1,1,1)</f>
        <v>$A$637</v>
      </c>
      <c r="D112" s="1" t="str">
        <f>ADDRESS(C121,D121-1,1,1)</f>
        <v>$UO$637</v>
      </c>
      <c r="E112"/>
    </row>
    <row r="113" spans="1:5" x14ac:dyDescent="0.25">
      <c r="A113" s="7">
        <v>11925.63231165762</v>
      </c>
      <c r="C113" s="1" t="str">
        <f>ADDRESS(C121+1,1,1,1)</f>
        <v>$A$638</v>
      </c>
      <c r="D113" s="1" t="str">
        <f>ADDRESS(C121-1,D121+1,1,1)</f>
        <v>$UQ$636</v>
      </c>
    </row>
    <row r="114" spans="1:5" x14ac:dyDescent="0.25">
      <c r="A114" s="7">
        <v>11691.796383978059</v>
      </c>
      <c r="C114" s="1" t="str">
        <f>ADDRESS(C121,D121,1,1)</f>
        <v>$UP$637</v>
      </c>
      <c r="D114" s="1" t="str">
        <f>ADDRESS(C121+1,D121+1,1,1)</f>
        <v>$UQ$638</v>
      </c>
    </row>
    <row r="115" spans="1:5" x14ac:dyDescent="0.25">
      <c r="A115" s="7">
        <v>11462.545474488292</v>
      </c>
      <c r="C115" s="1" t="str">
        <f>ADDRESS(C121+1,D121,1,1)</f>
        <v>$UP$638</v>
      </c>
    </row>
    <row r="116" spans="1:5" x14ac:dyDescent="0.25">
      <c r="A116" s="7">
        <v>11237.789680870874</v>
      </c>
      <c r="C116" s="1">
        <f>C117-1</f>
        <v>636</v>
      </c>
    </row>
    <row r="117" spans="1:5" x14ac:dyDescent="0.25">
      <c r="A117" s="7">
        <v>11017.440863598895</v>
      </c>
      <c r="C117" s="1">
        <f>C121</f>
        <v>637</v>
      </c>
      <c r="D117" s="1">
        <f>D121</f>
        <v>562</v>
      </c>
    </row>
    <row r="118" spans="1:5" x14ac:dyDescent="0.25">
      <c r="A118" s="7">
        <v>10801.412611371465</v>
      </c>
      <c r="C118" s="1">
        <f>C117+1</f>
        <v>638</v>
      </c>
      <c r="D118" s="1">
        <f>D117+1</f>
        <v>563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637</v>
      </c>
      <c r="D121" s="19">
        <v>562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R637</v>
      </c>
      <c r="D123" s="1" t="str">
        <f>"C"&amp;D121</f>
        <v>C562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0.37152788212696197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34" x14ac:dyDescent="0.25">
      <c r="A545" s="7">
        <v>2.2972444660248938</v>
      </c>
      <c r="B545"/>
      <c r="C545"/>
      <c r="D545"/>
      <c r="E545"/>
    </row>
    <row r="546" spans="1:534" x14ac:dyDescent="0.25">
      <c r="A546" s="7">
        <v>2.252200456887151</v>
      </c>
      <c r="B546"/>
      <c r="C546"/>
      <c r="D546"/>
      <c r="E546"/>
    </row>
    <row r="547" spans="1:534" x14ac:dyDescent="0.25">
      <c r="A547" s="7">
        <v>2.208039663614854</v>
      </c>
      <c r="B547"/>
      <c r="C547"/>
      <c r="D547"/>
      <c r="E547"/>
    </row>
    <row r="548" spans="1:534" x14ac:dyDescent="0.25">
      <c r="A548" s="7">
        <v>2.1647447682498568</v>
      </c>
      <c r="B548"/>
      <c r="C548"/>
      <c r="D548"/>
      <c r="E548"/>
    </row>
    <row r="549" spans="1:534" x14ac:dyDescent="0.25">
      <c r="A549" s="7">
        <v>2.1222987924018204</v>
      </c>
      <c r="B549"/>
      <c r="C549"/>
      <c r="D549"/>
      <c r="E549"/>
    </row>
    <row r="550" spans="1:534" x14ac:dyDescent="0.25">
      <c r="A550" s="7">
        <v>2.0806850905900198</v>
      </c>
      <c r="B550"/>
      <c r="C550"/>
      <c r="D550"/>
      <c r="E550"/>
    </row>
    <row r="551" spans="1:534" x14ac:dyDescent="0.25">
      <c r="A551" s="7">
        <v>2.0398873437157055</v>
      </c>
      <c r="B551"/>
      <c r="C551"/>
      <c r="D551"/>
      <c r="E551"/>
    </row>
    <row r="552" spans="1:534" x14ac:dyDescent="0.25">
      <c r="A552" s="7">
        <v>1.9998895526624565</v>
      </c>
      <c r="B552"/>
      <c r="C552"/>
      <c r="D552"/>
      <c r="E552"/>
      <c r="PE552" s="27" t="s">
        <v>8</v>
      </c>
      <c r="TM552" s="27" t="s">
        <v>8</v>
      </c>
    </row>
    <row r="553" spans="1:534" x14ac:dyDescent="0.25">
      <c r="A553" s="7">
        <v>1.9606760320220162</v>
      </c>
      <c r="B553"/>
      <c r="C553"/>
      <c r="D553"/>
      <c r="E553"/>
      <c r="PE553" s="27" t="s">
        <v>8</v>
      </c>
      <c r="PF553" s="27" t="s">
        <v>7</v>
      </c>
      <c r="TM553" s="27" t="s">
        <v>8</v>
      </c>
      <c r="TN553" s="27" t="s">
        <v>7</v>
      </c>
    </row>
    <row r="554" spans="1:534" x14ac:dyDescent="0.25">
      <c r="A554" s="7">
        <v>1.9222314039431532</v>
      </c>
      <c r="B554"/>
      <c r="C554"/>
      <c r="D554"/>
      <c r="E554"/>
      <c r="PE554" s="27" t="s">
        <v>8</v>
      </c>
      <c r="PF554" s="27" t="s">
        <v>7</v>
      </c>
      <c r="TM554" s="27" t="s">
        <v>8</v>
      </c>
      <c r="TN554" s="27" t="s">
        <v>7</v>
      </c>
    </row>
    <row r="555" spans="1:534" x14ac:dyDescent="0.25">
      <c r="A555" s="7">
        <v>1.8845405921011305</v>
      </c>
      <c r="B555"/>
      <c r="C555"/>
      <c r="D555"/>
      <c r="E555"/>
      <c r="PE555" s="27" t="s">
        <v>8</v>
      </c>
      <c r="PF555" s="27" t="s">
        <v>7</v>
      </c>
      <c r="TM555" s="27" t="s">
        <v>8</v>
      </c>
      <c r="TN555" s="27" t="s">
        <v>7</v>
      </c>
    </row>
    <row r="556" spans="1:534" x14ac:dyDescent="0.25">
      <c r="A556" s="7">
        <v>1.8475888157854219</v>
      </c>
      <c r="B556"/>
      <c r="C556"/>
      <c r="D556"/>
      <c r="E556"/>
      <c r="PE556" s="27" t="s">
        <v>8</v>
      </c>
      <c r="PF556" s="27" t="s">
        <v>7</v>
      </c>
      <c r="TM556" s="27" t="s">
        <v>8</v>
      </c>
      <c r="TN556" s="27" t="s">
        <v>7</v>
      </c>
    </row>
    <row r="557" spans="1:534" x14ac:dyDescent="0.25">
      <c r="A557" s="7">
        <v>1.8113615841033548</v>
      </c>
      <c r="B557"/>
      <c r="C557"/>
      <c r="D557"/>
      <c r="E557"/>
      <c r="PE557" s="27" t="s">
        <v>8</v>
      </c>
      <c r="PF557" s="27" t="s">
        <v>7</v>
      </c>
      <c r="TM557" s="27" t="s">
        <v>8</v>
      </c>
      <c r="TN557" s="27" t="s">
        <v>7</v>
      </c>
    </row>
    <row r="558" spans="1:534" x14ac:dyDescent="0.25">
      <c r="A558" s="7">
        <v>1.7758446902974065</v>
      </c>
      <c r="B558"/>
      <c r="C558"/>
      <c r="D558"/>
      <c r="E558"/>
      <c r="PE558" s="27" t="s">
        <v>8</v>
      </c>
      <c r="PF558" s="27" t="s">
        <v>7</v>
      </c>
      <c r="TM558" s="27" t="s">
        <v>8</v>
      </c>
      <c r="TN558" s="27" t="s">
        <v>7</v>
      </c>
    </row>
    <row r="559" spans="1:534" x14ac:dyDescent="0.25">
      <c r="A559" s="7">
        <v>1.7410242061739281</v>
      </c>
      <c r="B559"/>
      <c r="C559"/>
      <c r="D559"/>
      <c r="E559"/>
      <c r="PE559" s="27" t="s">
        <v>8</v>
      </c>
      <c r="PF559" s="27" t="s">
        <v>7</v>
      </c>
      <c r="TM559" s="27" t="s">
        <v>8</v>
      </c>
      <c r="TN559" s="27" t="s">
        <v>7</v>
      </c>
    </row>
    <row r="560" spans="1:534" x14ac:dyDescent="0.25">
      <c r="A560" s="7">
        <v>1.7068864766411058</v>
      </c>
      <c r="B560"/>
      <c r="C560"/>
      <c r="D560"/>
      <c r="E560"/>
      <c r="PE560" s="27" t="s">
        <v>8</v>
      </c>
      <c r="PF560" s="27" t="s">
        <v>7</v>
      </c>
      <c r="TM560" s="27" t="s">
        <v>8</v>
      </c>
      <c r="TN560" s="27" t="s">
        <v>7</v>
      </c>
    </row>
    <row r="561" spans="1:536" x14ac:dyDescent="0.25">
      <c r="A561" s="7">
        <v>1.6734181143540252</v>
      </c>
      <c r="B561"/>
      <c r="C561"/>
      <c r="D561"/>
      <c r="E561"/>
      <c r="PE561" s="27" t="s">
        <v>8</v>
      </c>
      <c r="PF561" s="27" t="s">
        <v>7</v>
      </c>
      <c r="TM561" s="27" t="s">
        <v>8</v>
      </c>
      <c r="TN561" s="27" t="s">
        <v>7</v>
      </c>
    </row>
    <row r="562" spans="1:536" x14ac:dyDescent="0.25">
      <c r="A562" s="7">
        <v>1.6406059944647307</v>
      </c>
      <c r="B562"/>
      <c r="C562"/>
      <c r="D562"/>
      <c r="E562"/>
      <c r="PE562" s="27" t="s">
        <v>8</v>
      </c>
      <c r="PF562" s="27" t="s">
        <v>7</v>
      </c>
      <c r="TM562" s="27" t="s">
        <v>8</v>
      </c>
      <c r="TN562" s="27" t="s">
        <v>7</v>
      </c>
    </row>
    <row r="563" spans="1:536" x14ac:dyDescent="0.25">
      <c r="A563" s="7">
        <v>1.6084372494752261</v>
      </c>
      <c r="B563"/>
      <c r="C563"/>
      <c r="D563"/>
      <c r="E563"/>
      <c r="PE563" s="27" t="s">
        <v>8</v>
      </c>
      <c r="PF563" s="27" t="s">
        <v>7</v>
      </c>
      <c r="TM563" s="27" t="s">
        <v>8</v>
      </c>
      <c r="TN563" s="27" t="s">
        <v>7</v>
      </c>
    </row>
    <row r="564" spans="1:536" x14ac:dyDescent="0.25">
      <c r="A564" s="7">
        <v>1.5768992641913981</v>
      </c>
      <c r="B564"/>
      <c r="C564"/>
      <c r="D564"/>
      <c r="E564"/>
      <c r="OY564" s="27" t="s">
        <v>8</v>
      </c>
      <c r="PE564" s="27" t="s">
        <v>8</v>
      </c>
      <c r="PF564" s="27" t="s">
        <v>7</v>
      </c>
      <c r="TM564" s="27" t="s">
        <v>8</v>
      </c>
      <c r="TN564" s="27" t="s">
        <v>7</v>
      </c>
    </row>
    <row r="565" spans="1:536" x14ac:dyDescent="0.25">
      <c r="A565" s="7">
        <v>1.5459796707758806</v>
      </c>
      <c r="B565"/>
      <c r="C565"/>
      <c r="D565"/>
      <c r="E565"/>
      <c r="OY565" s="27" t="s">
        <v>8</v>
      </c>
      <c r="OZ565" s="27" t="s">
        <v>7</v>
      </c>
      <c r="PE565" s="27" t="s">
        <v>8</v>
      </c>
      <c r="PF565" s="27" t="s">
        <v>7</v>
      </c>
      <c r="PO565" s="27" t="s">
        <v>8</v>
      </c>
      <c r="TM565" s="27" t="s">
        <v>8</v>
      </c>
      <c r="TN565" s="27" t="s">
        <v>7</v>
      </c>
    </row>
    <row r="566" spans="1:536" x14ac:dyDescent="0.25">
      <c r="A566" s="7">
        <v>1.5156663438979221</v>
      </c>
      <c r="B566"/>
      <c r="C566"/>
      <c r="D566"/>
      <c r="E566"/>
      <c r="OY566" s="27" t="s">
        <v>8</v>
      </c>
      <c r="OZ566" s="27" t="s">
        <v>7</v>
      </c>
      <c r="PA566" s="27" t="s">
        <v>8</v>
      </c>
      <c r="PE566" s="27" t="s">
        <v>8</v>
      </c>
      <c r="PF566" s="27" t="s">
        <v>7</v>
      </c>
      <c r="PO566" s="27" t="s">
        <v>8</v>
      </c>
      <c r="PP566" s="27" t="s">
        <v>7</v>
      </c>
      <c r="TM566" s="27" t="s">
        <v>8</v>
      </c>
      <c r="TN566" s="27" t="s">
        <v>7</v>
      </c>
    </row>
    <row r="567" spans="1:536" x14ac:dyDescent="0.25">
      <c r="A567" s="7">
        <v>1.4859473959783549</v>
      </c>
      <c r="B567"/>
      <c r="C567"/>
      <c r="D567"/>
      <c r="E567"/>
      <c r="OY567" s="27" t="s">
        <v>8</v>
      </c>
      <c r="OZ567" s="27" t="s">
        <v>7</v>
      </c>
      <c r="PA567" s="27" t="s">
        <v>8</v>
      </c>
      <c r="PB567" s="27" t="s">
        <v>7</v>
      </c>
      <c r="PE567" s="27" t="s">
        <v>8</v>
      </c>
      <c r="PF567" s="27" t="s">
        <v>7</v>
      </c>
      <c r="PO567" s="27" t="s">
        <v>8</v>
      </c>
      <c r="PP567" s="27" t="s">
        <v>7</v>
      </c>
      <c r="TM567" s="27" t="s">
        <v>8</v>
      </c>
      <c r="TN567" s="27" t="s">
        <v>7</v>
      </c>
    </row>
    <row r="568" spans="1:536" x14ac:dyDescent="0.25">
      <c r="A568" s="7">
        <v>1.4568111725277988</v>
      </c>
      <c r="B568"/>
      <c r="C568"/>
      <c r="D568"/>
      <c r="E568"/>
      <c r="OY568" s="27" t="s">
        <v>8</v>
      </c>
      <c r="OZ568" s="27" t="s">
        <v>7</v>
      </c>
      <c r="PA568" s="27" t="s">
        <v>8</v>
      </c>
      <c r="PB568" s="27" t="s">
        <v>7</v>
      </c>
      <c r="PE568" s="27" t="s">
        <v>8</v>
      </c>
      <c r="PF568" s="27" t="s">
        <v>7</v>
      </c>
      <c r="PO568" s="27" t="s">
        <v>8</v>
      </c>
      <c r="PP568" s="27" t="s">
        <v>7</v>
      </c>
      <c r="TM568" s="27" t="s">
        <v>8</v>
      </c>
      <c r="TN568" s="27" t="s">
        <v>7</v>
      </c>
    </row>
    <row r="569" spans="1:536" x14ac:dyDescent="0.25">
      <c r="A569" s="7">
        <v>1.4282462475762734</v>
      </c>
      <c r="B569"/>
      <c r="C569"/>
      <c r="D569"/>
      <c r="E569"/>
      <c r="OY569" s="27" t="s">
        <v>8</v>
      </c>
      <c r="OZ569" s="27" t="s">
        <v>7</v>
      </c>
      <c r="PA569" s="27" t="s">
        <v>8</v>
      </c>
      <c r="PB569" s="27" t="s">
        <v>7</v>
      </c>
      <c r="PC569" s="27" t="s">
        <v>8</v>
      </c>
      <c r="PE569" s="27" t="s">
        <v>8</v>
      </c>
      <c r="PF569" s="27" t="s">
        <v>7</v>
      </c>
      <c r="PO569" s="27" t="s">
        <v>8</v>
      </c>
      <c r="PP569" s="27" t="s">
        <v>7</v>
      </c>
      <c r="TM569" s="27" t="s">
        <v>8</v>
      </c>
      <c r="TN569" s="27" t="s">
        <v>7</v>
      </c>
    </row>
    <row r="570" spans="1:536" x14ac:dyDescent="0.25">
      <c r="A570" s="7">
        <v>1.4002414191924248</v>
      </c>
      <c r="B570"/>
      <c r="C570"/>
      <c r="D570"/>
      <c r="E570"/>
      <c r="OY570" s="27" t="s">
        <v>8</v>
      </c>
      <c r="OZ570" s="27" t="s">
        <v>7</v>
      </c>
      <c r="PA570" s="27" t="s">
        <v>8</v>
      </c>
      <c r="PB570" s="27" t="s">
        <v>7</v>
      </c>
      <c r="PC570" s="27" t="s">
        <v>8</v>
      </c>
      <c r="PD570" s="27" t="s">
        <v>7</v>
      </c>
      <c r="PE570" s="27" t="s">
        <v>8</v>
      </c>
      <c r="PF570" s="27" t="s">
        <v>7</v>
      </c>
      <c r="PO570" s="27" t="s">
        <v>8</v>
      </c>
      <c r="PP570" s="27" t="s">
        <v>7</v>
      </c>
      <c r="TM570" s="27" t="s">
        <v>8</v>
      </c>
      <c r="TN570" s="27" t="s">
        <v>7</v>
      </c>
    </row>
    <row r="571" spans="1:536" x14ac:dyDescent="0.25">
      <c r="A571" s="7">
        <v>1.3727857050906125</v>
      </c>
      <c r="B571"/>
      <c r="C571"/>
      <c r="D571"/>
      <c r="E571"/>
      <c r="OY571" s="27" t="s">
        <v>8</v>
      </c>
      <c r="OZ571" s="27" t="s">
        <v>7</v>
      </c>
      <c r="PA571" s="27" t="s">
        <v>8</v>
      </c>
      <c r="PB571" s="27" t="s">
        <v>7</v>
      </c>
      <c r="PC571" s="27" t="s">
        <v>8</v>
      </c>
      <c r="PD571" s="27" t="s">
        <v>7</v>
      </c>
      <c r="PE571" s="27" t="s">
        <v>8</v>
      </c>
      <c r="PF571" s="27" t="s">
        <v>7</v>
      </c>
      <c r="PO571" s="27" t="s">
        <v>8</v>
      </c>
      <c r="PP571" s="27" t="s">
        <v>7</v>
      </c>
      <c r="PQ571" s="27" t="s">
        <v>8</v>
      </c>
      <c r="TM571" s="27" t="s">
        <v>8</v>
      </c>
      <c r="TN571" s="27" t="s">
        <v>7</v>
      </c>
    </row>
    <row r="572" spans="1:536" x14ac:dyDescent="0.25">
      <c r="A572" s="7">
        <v>1.3458683383241299</v>
      </c>
      <c r="B572"/>
      <c r="C572"/>
      <c r="D572"/>
      <c r="E572"/>
      <c r="OY572" s="27" t="s">
        <v>8</v>
      </c>
      <c r="OZ572" s="27" t="s">
        <v>7</v>
      </c>
      <c r="PA572" s="27" t="s">
        <v>8</v>
      </c>
      <c r="PB572" s="27" t="s">
        <v>7</v>
      </c>
      <c r="PC572" s="27" t="s">
        <v>8</v>
      </c>
      <c r="PD572" s="27" t="s">
        <v>7</v>
      </c>
      <c r="PE572" s="27" t="s">
        <v>8</v>
      </c>
      <c r="PF572" s="27" t="s">
        <v>7</v>
      </c>
      <c r="PO572" s="27" t="s">
        <v>8</v>
      </c>
      <c r="PP572" s="27" t="s">
        <v>7</v>
      </c>
      <c r="PQ572" s="27" t="s">
        <v>8</v>
      </c>
      <c r="PR572" s="27" t="s">
        <v>7</v>
      </c>
      <c r="TM572" s="27" t="s">
        <v>8</v>
      </c>
      <c r="TN572" s="27" t="s">
        <v>7</v>
      </c>
    </row>
    <row r="573" spans="1:536" x14ac:dyDescent="0.25">
      <c r="A573" s="7">
        <v>1.3194787630628724</v>
      </c>
      <c r="B573"/>
      <c r="C573"/>
      <c r="D573"/>
      <c r="E573"/>
      <c r="OY573" s="27" t="s">
        <v>8</v>
      </c>
      <c r="OZ573" s="27" t="s">
        <v>7</v>
      </c>
      <c r="PA573" s="27" t="s">
        <v>8</v>
      </c>
      <c r="PB573" s="27" t="s">
        <v>7</v>
      </c>
      <c r="PC573" s="27" t="s">
        <v>8</v>
      </c>
      <c r="PD573" s="27" t="s">
        <v>7</v>
      </c>
      <c r="PE573" s="27" t="s">
        <v>8</v>
      </c>
      <c r="PF573" s="27" t="s">
        <v>7</v>
      </c>
      <c r="PO573" s="27" t="s">
        <v>8</v>
      </c>
      <c r="PP573" s="27" t="s">
        <v>7</v>
      </c>
      <c r="PQ573" s="27" t="s">
        <v>8</v>
      </c>
      <c r="PR573" s="27" t="s">
        <v>7</v>
      </c>
      <c r="TM573" s="27" t="s">
        <v>8</v>
      </c>
      <c r="TN573" s="27" t="s">
        <v>7</v>
      </c>
    </row>
    <row r="574" spans="1:536" x14ac:dyDescent="0.25">
      <c r="A574" s="7">
        <v>1.2936066304537963</v>
      </c>
      <c r="B574"/>
      <c r="C574"/>
      <c r="D574"/>
      <c r="E574"/>
      <c r="G574" s="27" t="s">
        <v>8</v>
      </c>
      <c r="OY574" s="27" t="s">
        <v>8</v>
      </c>
      <c r="OZ574" s="27" t="s">
        <v>7</v>
      </c>
      <c r="PA574" s="27" t="s">
        <v>8</v>
      </c>
      <c r="PB574" s="27" t="s">
        <v>7</v>
      </c>
      <c r="PC574" s="27" t="s">
        <v>8</v>
      </c>
      <c r="PD574" s="27" t="s">
        <v>7</v>
      </c>
      <c r="PE574" s="27" t="s">
        <v>8</v>
      </c>
      <c r="PF574" s="27" t="s">
        <v>7</v>
      </c>
      <c r="PO574" s="27" t="s">
        <v>8</v>
      </c>
      <c r="PP574" s="27" t="s">
        <v>7</v>
      </c>
      <c r="PQ574" s="27" t="s">
        <v>8</v>
      </c>
      <c r="PR574" s="27" t="s">
        <v>7</v>
      </c>
      <c r="TM574" s="27" t="s">
        <v>8</v>
      </c>
      <c r="TN574" s="27" t="s">
        <v>7</v>
      </c>
    </row>
    <row r="575" spans="1:536" x14ac:dyDescent="0.25">
      <c r="A575" s="7">
        <v>1.2682417945625455</v>
      </c>
      <c r="B575"/>
      <c r="C575"/>
      <c r="D575"/>
      <c r="E575"/>
      <c r="G575" s="27" t="s">
        <v>8</v>
      </c>
      <c r="H575" s="27" t="s">
        <v>7</v>
      </c>
      <c r="OY575" s="27" t="s">
        <v>8</v>
      </c>
      <c r="OZ575" s="27" t="s">
        <v>7</v>
      </c>
      <c r="PA575" s="27" t="s">
        <v>8</v>
      </c>
      <c r="PB575" s="27" t="s">
        <v>7</v>
      </c>
      <c r="PC575" s="27" t="s">
        <v>8</v>
      </c>
      <c r="PD575" s="27" t="s">
        <v>7</v>
      </c>
      <c r="PF575" s="27" t="s">
        <v>7</v>
      </c>
      <c r="PO575" s="27" t="s">
        <v>8</v>
      </c>
      <c r="PP575" s="27" t="s">
        <v>7</v>
      </c>
      <c r="PQ575" s="27" t="s">
        <v>8</v>
      </c>
      <c r="PR575" s="27" t="s">
        <v>7</v>
      </c>
      <c r="TM575" s="27" t="s">
        <v>8</v>
      </c>
      <c r="TN575" s="27" t="s">
        <v>7</v>
      </c>
      <c r="TO575" s="27" t="s">
        <v>8</v>
      </c>
    </row>
    <row r="576" spans="1:536" x14ac:dyDescent="0.25">
      <c r="A576" s="7">
        <v>1.2433743083946525</v>
      </c>
      <c r="B576"/>
      <c r="C576"/>
      <c r="D576"/>
      <c r="E576"/>
      <c r="G576" s="27" t="s">
        <v>8</v>
      </c>
      <c r="H576" s="27" t="s">
        <v>7</v>
      </c>
      <c r="OY576" s="27" t="s">
        <v>8</v>
      </c>
      <c r="OZ576" s="27" t="s">
        <v>7</v>
      </c>
      <c r="PA576" s="27" t="s">
        <v>8</v>
      </c>
      <c r="PB576" s="27" t="s">
        <v>7</v>
      </c>
      <c r="PC576" s="27" t="s">
        <v>8</v>
      </c>
      <c r="PF576" s="27" t="s">
        <v>7</v>
      </c>
      <c r="PO576" s="27" t="s">
        <v>8</v>
      </c>
      <c r="PP576" s="27" t="s">
        <v>7</v>
      </c>
      <c r="PQ576" s="27" t="s">
        <v>8</v>
      </c>
      <c r="PR576" s="27" t="s">
        <v>7</v>
      </c>
      <c r="TM576" s="27" t="s">
        <v>8</v>
      </c>
      <c r="TN576" s="27" t="s">
        <v>7</v>
      </c>
      <c r="TO576" s="27" t="s">
        <v>8</v>
      </c>
      <c r="TP576" s="27" t="s">
        <v>7</v>
      </c>
    </row>
    <row r="577" spans="1:548" x14ac:dyDescent="0.25">
      <c r="A577" s="7">
        <v>1.2189944199947573</v>
      </c>
      <c r="B577"/>
      <c r="C577"/>
      <c r="D577"/>
      <c r="E577"/>
      <c r="G577" s="27" t="s">
        <v>8</v>
      </c>
      <c r="H577" s="27" t="s">
        <v>7</v>
      </c>
      <c r="OW577" s="27" t="s">
        <v>8</v>
      </c>
      <c r="OY577" s="27" t="s">
        <v>8</v>
      </c>
      <c r="OZ577" s="27" t="s">
        <v>7</v>
      </c>
      <c r="PA577" s="27" t="s">
        <v>8</v>
      </c>
      <c r="PB577" s="27" t="s">
        <v>7</v>
      </c>
      <c r="PC577" s="27" t="s">
        <v>8</v>
      </c>
      <c r="PF577" s="27" t="s">
        <v>7</v>
      </c>
      <c r="PK577" s="27" t="s">
        <v>8</v>
      </c>
      <c r="PM577" s="27" t="s">
        <v>8</v>
      </c>
      <c r="PO577" s="27" t="s">
        <v>8</v>
      </c>
      <c r="PP577" s="27" t="s">
        <v>7</v>
      </c>
      <c r="PR577" s="27" t="s">
        <v>7</v>
      </c>
      <c r="PS577" s="27" t="s">
        <v>8</v>
      </c>
      <c r="TM577" s="27" t="s">
        <v>8</v>
      </c>
      <c r="TN577" s="27" t="s">
        <v>7</v>
      </c>
      <c r="TO577" s="27" t="s">
        <v>8</v>
      </c>
      <c r="TP577" s="27" t="s">
        <v>7</v>
      </c>
      <c r="TS577" s="27" t="s">
        <v>8</v>
      </c>
    </row>
    <row r="578" spans="1:548" x14ac:dyDescent="0.25">
      <c r="A578" s="7">
        <v>1.1950925686223111</v>
      </c>
      <c r="B578"/>
      <c r="C578"/>
      <c r="D578"/>
      <c r="E578"/>
      <c r="G578" s="27" t="s">
        <v>8</v>
      </c>
      <c r="H578" s="27" t="s">
        <v>7</v>
      </c>
      <c r="OW578" s="27" t="s">
        <v>8</v>
      </c>
      <c r="OX578" s="27" t="s">
        <v>7</v>
      </c>
      <c r="OY578" s="27" t="s">
        <v>8</v>
      </c>
      <c r="OZ578" s="27" t="s">
        <v>7</v>
      </c>
      <c r="PA578" s="27" t="s">
        <v>8</v>
      </c>
      <c r="PB578" s="27" t="s">
        <v>7</v>
      </c>
      <c r="PF578" s="27" t="s">
        <v>7</v>
      </c>
      <c r="PK578" s="27" t="s">
        <v>8</v>
      </c>
      <c r="PL578" s="27" t="s">
        <v>7</v>
      </c>
      <c r="PM578" s="27" t="s">
        <v>8</v>
      </c>
      <c r="PN578" s="27" t="s">
        <v>7</v>
      </c>
      <c r="PO578" s="27" t="s">
        <v>8</v>
      </c>
      <c r="PR578" s="27" t="s">
        <v>7</v>
      </c>
      <c r="PS578" s="27" t="s">
        <v>8</v>
      </c>
      <c r="PT578" s="27" t="s">
        <v>7</v>
      </c>
      <c r="TM578" s="27" t="s">
        <v>8</v>
      </c>
      <c r="TN578" s="27" t="s">
        <v>7</v>
      </c>
      <c r="TO578" s="27" t="s">
        <v>8</v>
      </c>
      <c r="TP578" s="27" t="s">
        <v>7</v>
      </c>
      <c r="TS578" s="27" t="s">
        <v>8</v>
      </c>
      <c r="TT578" s="27" t="s">
        <v>7</v>
      </c>
    </row>
    <row r="579" spans="1:548" x14ac:dyDescent="0.25">
      <c r="A579" s="7">
        <v>1.1716593810022657</v>
      </c>
      <c r="B579"/>
      <c r="C579"/>
      <c r="D579"/>
      <c r="E579" t="s">
        <v>8</v>
      </c>
      <c r="G579" s="27" t="s">
        <v>8</v>
      </c>
      <c r="H579" s="27" t="s">
        <v>7</v>
      </c>
      <c r="OW579" s="27" t="s">
        <v>8</v>
      </c>
      <c r="OX579" s="27" t="s">
        <v>7</v>
      </c>
      <c r="OY579" s="27" t="s">
        <v>8</v>
      </c>
      <c r="OZ579" s="27" t="s">
        <v>7</v>
      </c>
      <c r="PA579" s="27" t="s">
        <v>8</v>
      </c>
      <c r="PF579" s="27" t="s">
        <v>7</v>
      </c>
      <c r="PK579" s="27" t="s">
        <v>8</v>
      </c>
      <c r="PL579" s="27" t="s">
        <v>7</v>
      </c>
      <c r="PM579" s="27" t="s">
        <v>8</v>
      </c>
      <c r="PN579" s="27" t="s">
        <v>7</v>
      </c>
      <c r="PO579" s="27" t="s">
        <v>8</v>
      </c>
      <c r="PR579" s="27" t="s">
        <v>7</v>
      </c>
      <c r="PS579" s="27" t="s">
        <v>8</v>
      </c>
      <c r="PT579" s="27" t="s">
        <v>7</v>
      </c>
      <c r="TM579" s="27" t="s">
        <v>8</v>
      </c>
      <c r="TN579" s="27" t="s">
        <v>7</v>
      </c>
      <c r="TO579" s="27" t="s">
        <v>8</v>
      </c>
      <c r="TP579" s="27" t="s">
        <v>7</v>
      </c>
      <c r="TS579" s="27" t="s">
        <v>8</v>
      </c>
      <c r="TT579" s="27" t="s">
        <v>7</v>
      </c>
    </row>
    <row r="580" spans="1:548" x14ac:dyDescent="0.25">
      <c r="A580" s="7">
        <v>1.14868566764928</v>
      </c>
      <c r="B580"/>
      <c r="C580"/>
      <c r="D580"/>
      <c r="E580" t="s">
        <v>8</v>
      </c>
      <c r="F580" s="27" t="s">
        <v>7</v>
      </c>
      <c r="G580" s="27" t="s">
        <v>8</v>
      </c>
      <c r="H580" s="27" t="s">
        <v>7</v>
      </c>
      <c r="I580" s="27" t="s">
        <v>8</v>
      </c>
      <c r="DS580" s="27" t="s">
        <v>8</v>
      </c>
      <c r="OU580" s="27" t="s">
        <v>8</v>
      </c>
      <c r="OW580" s="27" t="s">
        <v>8</v>
      </c>
      <c r="OX580" s="27" t="s">
        <v>7</v>
      </c>
      <c r="OY580" s="27" t="s">
        <v>8</v>
      </c>
      <c r="OZ580" s="27" t="s">
        <v>7</v>
      </c>
      <c r="PA580" s="27" t="s">
        <v>8</v>
      </c>
      <c r="PF580" s="27" t="s">
        <v>7</v>
      </c>
      <c r="PI580" s="27" t="s">
        <v>8</v>
      </c>
      <c r="PK580" s="27" t="s">
        <v>8</v>
      </c>
      <c r="PL580" s="27" t="s">
        <v>7</v>
      </c>
      <c r="PM580" s="27" t="s">
        <v>8</v>
      </c>
      <c r="PN580" s="27" t="s">
        <v>7</v>
      </c>
      <c r="PO580" s="27" t="s">
        <v>8</v>
      </c>
      <c r="PR580" s="27" t="s">
        <v>7</v>
      </c>
      <c r="PS580" s="27" t="s">
        <v>8</v>
      </c>
      <c r="PT580" s="27" t="s">
        <v>7</v>
      </c>
      <c r="TM580" s="27" t="s">
        <v>8</v>
      </c>
      <c r="TN580" s="27" t="s">
        <v>7</v>
      </c>
      <c r="TO580" s="27" t="s">
        <v>8</v>
      </c>
      <c r="TP580" s="27" t="s">
        <v>7</v>
      </c>
      <c r="TS580" s="27" t="s">
        <v>8</v>
      </c>
      <c r="TT580" s="27" t="s">
        <v>7</v>
      </c>
    </row>
    <row r="581" spans="1:548" x14ac:dyDescent="0.25">
      <c r="A581" s="7">
        <v>1.1261624192640001</v>
      </c>
      <c r="B581"/>
      <c r="C581"/>
      <c r="D581"/>
      <c r="E581" t="s">
        <v>8</v>
      </c>
      <c r="F581" s="27" t="s">
        <v>7</v>
      </c>
      <c r="G581" s="27" t="s">
        <v>8</v>
      </c>
      <c r="H581" s="27" t="s">
        <v>7</v>
      </c>
      <c r="I581" s="27" t="s">
        <v>8</v>
      </c>
      <c r="J581" s="27" t="s">
        <v>7</v>
      </c>
      <c r="DS581" s="27" t="s">
        <v>8</v>
      </c>
      <c r="DT581" s="27" t="s">
        <v>7</v>
      </c>
      <c r="OU581" s="27" t="s">
        <v>8</v>
      </c>
      <c r="OV581" s="27" t="s">
        <v>7</v>
      </c>
      <c r="OW581" s="27" t="s">
        <v>8</v>
      </c>
      <c r="OX581" s="27" t="s">
        <v>7</v>
      </c>
      <c r="OY581" s="27" t="s">
        <v>8</v>
      </c>
      <c r="OZ581" s="27" t="s">
        <v>7</v>
      </c>
      <c r="PF581" s="27" t="s">
        <v>7</v>
      </c>
      <c r="PI581" s="27" t="s">
        <v>8</v>
      </c>
      <c r="PJ581" s="27" t="s">
        <v>7</v>
      </c>
      <c r="PK581" s="27" t="s">
        <v>8</v>
      </c>
      <c r="PL581" s="27" t="s">
        <v>7</v>
      </c>
      <c r="PN581" s="27" t="s">
        <v>7</v>
      </c>
      <c r="PO581" s="27" t="s">
        <v>8</v>
      </c>
      <c r="PR581" s="27" t="s">
        <v>7</v>
      </c>
      <c r="PS581" s="27" t="s">
        <v>8</v>
      </c>
      <c r="PT581" s="27" t="s">
        <v>7</v>
      </c>
      <c r="TM581" s="27" t="s">
        <v>8</v>
      </c>
      <c r="TN581" s="27" t="s">
        <v>7</v>
      </c>
      <c r="TO581" s="27" t="s">
        <v>8</v>
      </c>
      <c r="TP581" s="27" t="s">
        <v>7</v>
      </c>
      <c r="TS581" s="27" t="s">
        <v>8</v>
      </c>
      <c r="TT581" s="27" t="s">
        <v>7</v>
      </c>
    </row>
    <row r="582" spans="1:548" x14ac:dyDescent="0.25">
      <c r="A582" s="7">
        <v>1.1040808032</v>
      </c>
      <c r="B582"/>
      <c r="C582"/>
      <c r="D582"/>
      <c r="E582" t="s">
        <v>8</v>
      </c>
      <c r="F582" s="27" t="s">
        <v>7</v>
      </c>
      <c r="G582" s="27" t="s">
        <v>8</v>
      </c>
      <c r="H582" s="27" t="s">
        <v>7</v>
      </c>
      <c r="I582" s="27" t="s">
        <v>8</v>
      </c>
      <c r="J582" s="27" t="s">
        <v>7</v>
      </c>
      <c r="DS582" s="27" t="s">
        <v>8</v>
      </c>
      <c r="DT582" s="27" t="s">
        <v>7</v>
      </c>
      <c r="OU582" s="27" t="s">
        <v>8</v>
      </c>
      <c r="OV582" s="27" t="s">
        <v>7</v>
      </c>
      <c r="OW582" s="27" t="s">
        <v>8</v>
      </c>
      <c r="OX582" s="27" t="s">
        <v>7</v>
      </c>
      <c r="OY582" s="27" t="s">
        <v>8</v>
      </c>
      <c r="PF582" s="27" t="s">
        <v>7</v>
      </c>
      <c r="PI582" s="27" t="s">
        <v>8</v>
      </c>
      <c r="PJ582" s="27" t="s">
        <v>7</v>
      </c>
      <c r="PK582" s="27" t="s">
        <v>8</v>
      </c>
      <c r="PN582" s="27" t="s">
        <v>7</v>
      </c>
      <c r="PO582" s="27" t="s">
        <v>8</v>
      </c>
      <c r="PR582" s="27" t="s">
        <v>7</v>
      </c>
      <c r="PT582" s="27" t="s">
        <v>7</v>
      </c>
      <c r="TM582" s="27" t="s">
        <v>8</v>
      </c>
      <c r="TN582" s="27" t="s">
        <v>7</v>
      </c>
      <c r="TO582" s="27" t="s">
        <v>8</v>
      </c>
      <c r="TP582" s="27" t="s">
        <v>7</v>
      </c>
      <c r="TS582" s="27" t="s">
        <v>8</v>
      </c>
      <c r="TT582" s="27" t="s">
        <v>7</v>
      </c>
    </row>
    <row r="583" spans="1:548" x14ac:dyDescent="0.25">
      <c r="A583" s="7">
        <v>1.08243216</v>
      </c>
      <c r="B583"/>
      <c r="C583"/>
      <c r="D583"/>
      <c r="E583" t="s">
        <v>8</v>
      </c>
      <c r="F583" s="27" t="s">
        <v>7</v>
      </c>
      <c r="G583" s="27" t="s">
        <v>8</v>
      </c>
      <c r="H583" s="27" t="s">
        <v>7</v>
      </c>
      <c r="J583" s="27" t="s">
        <v>7</v>
      </c>
      <c r="DS583" s="27" t="s">
        <v>8</v>
      </c>
      <c r="DT583" s="27" t="s">
        <v>7</v>
      </c>
      <c r="OU583" s="27" t="s">
        <v>8</v>
      </c>
      <c r="OV583" s="27" t="s">
        <v>7</v>
      </c>
      <c r="OW583" s="27" t="s">
        <v>8</v>
      </c>
      <c r="OX583" s="27" t="s">
        <v>7</v>
      </c>
      <c r="OY583" s="27" t="s">
        <v>8</v>
      </c>
      <c r="PF583" s="27" t="s">
        <v>7</v>
      </c>
      <c r="PI583" s="27" t="s">
        <v>8</v>
      </c>
      <c r="PJ583" s="27" t="s">
        <v>7</v>
      </c>
      <c r="PK583" s="27" t="s">
        <v>8</v>
      </c>
      <c r="PN583" s="27" t="s">
        <v>7</v>
      </c>
      <c r="PO583" s="27" t="s">
        <v>8</v>
      </c>
      <c r="PT583" s="27" t="s">
        <v>7</v>
      </c>
      <c r="TM583" s="27" t="s">
        <v>8</v>
      </c>
      <c r="TN583" s="27" t="s">
        <v>7</v>
      </c>
      <c r="TO583" s="27" t="s">
        <v>8</v>
      </c>
      <c r="TP583" s="27" t="s">
        <v>7</v>
      </c>
      <c r="TQ583" s="27" t="s">
        <v>8</v>
      </c>
      <c r="TS583" s="27" t="s">
        <v>8</v>
      </c>
      <c r="TT583" s="27" t="s">
        <v>7</v>
      </c>
    </row>
    <row r="584" spans="1:548" x14ac:dyDescent="0.25">
      <c r="A584" s="7">
        <v>1.0612079999999999</v>
      </c>
      <c r="B584"/>
      <c r="C584"/>
      <c r="D584"/>
      <c r="E584" t="s">
        <v>8</v>
      </c>
      <c r="F584" s="27" t="s">
        <v>7</v>
      </c>
      <c r="G584" s="27" t="s">
        <v>8</v>
      </c>
      <c r="J584" s="27" t="s">
        <v>7</v>
      </c>
      <c r="DS584" s="27" t="s">
        <v>8</v>
      </c>
      <c r="DT584" s="27" t="s">
        <v>7</v>
      </c>
      <c r="DU584" s="27" t="s">
        <v>8</v>
      </c>
      <c r="DW584" s="27" t="s">
        <v>8</v>
      </c>
      <c r="OK584" s="27" t="s">
        <v>8</v>
      </c>
      <c r="OU584" s="27" t="s">
        <v>8</v>
      </c>
      <c r="OV584" s="27" t="s">
        <v>7</v>
      </c>
      <c r="OW584" s="27" t="s">
        <v>8</v>
      </c>
      <c r="OX584" s="27" t="s">
        <v>7</v>
      </c>
      <c r="OY584" s="27" t="s">
        <v>8</v>
      </c>
      <c r="PF584" s="27" t="s">
        <v>7</v>
      </c>
      <c r="PI584" s="27" t="s">
        <v>8</v>
      </c>
      <c r="PJ584" s="27" t="s">
        <v>7</v>
      </c>
      <c r="PK584" s="27" t="s">
        <v>8</v>
      </c>
      <c r="PN584" s="27" t="s">
        <v>7</v>
      </c>
      <c r="PO584" s="27" t="s">
        <v>8</v>
      </c>
      <c r="PT584" s="27" t="s">
        <v>7</v>
      </c>
      <c r="TM584" s="27" t="s">
        <v>8</v>
      </c>
      <c r="TN584" s="27" t="s">
        <v>7</v>
      </c>
      <c r="TO584" s="27" t="s">
        <v>8</v>
      </c>
      <c r="TP584" s="27" t="s">
        <v>7</v>
      </c>
      <c r="TQ584" s="27" t="s">
        <v>8</v>
      </c>
      <c r="TR584" s="27" t="s">
        <v>7</v>
      </c>
      <c r="TS584" s="27" t="s">
        <v>8</v>
      </c>
      <c r="TT584" s="27" t="s">
        <v>7</v>
      </c>
    </row>
    <row r="585" spans="1:548" x14ac:dyDescent="0.25">
      <c r="A585" s="7">
        <v>1.0404</v>
      </c>
      <c r="B585"/>
      <c r="C585"/>
      <c r="D585"/>
      <c r="E585" t="s">
        <v>8</v>
      </c>
      <c r="F585" s="27" t="s">
        <v>7</v>
      </c>
      <c r="J585" s="27" t="s">
        <v>7</v>
      </c>
      <c r="DS585" s="27" t="s">
        <v>8</v>
      </c>
      <c r="DT585" s="27" t="s">
        <v>7</v>
      </c>
      <c r="DU585" s="27" t="s">
        <v>8</v>
      </c>
      <c r="DV585" s="27" t="s">
        <v>7</v>
      </c>
      <c r="DW585" s="27" t="s">
        <v>8</v>
      </c>
      <c r="DX585" s="27" t="s">
        <v>7</v>
      </c>
      <c r="OK585" s="27" t="s">
        <v>8</v>
      </c>
      <c r="OL585" s="27" t="s">
        <v>7</v>
      </c>
      <c r="OU585" s="27" t="s">
        <v>8</v>
      </c>
      <c r="OV585" s="27" t="s">
        <v>7</v>
      </c>
      <c r="OW585" s="27" t="s">
        <v>8</v>
      </c>
      <c r="OX585" s="27" t="s">
        <v>7</v>
      </c>
      <c r="PF585" s="27" t="s">
        <v>7</v>
      </c>
      <c r="PI585" s="27" t="s">
        <v>8</v>
      </c>
      <c r="PJ585" s="27" t="s">
        <v>7</v>
      </c>
      <c r="PK585" s="27" t="s">
        <v>8</v>
      </c>
      <c r="PN585" s="27" t="s">
        <v>7</v>
      </c>
      <c r="PO585" s="27" t="s">
        <v>8</v>
      </c>
      <c r="PT585" s="27" t="s">
        <v>7</v>
      </c>
      <c r="PU585" s="27" t="s">
        <v>8</v>
      </c>
      <c r="TM585" s="27" t="s">
        <v>8</v>
      </c>
      <c r="TN585" s="27" t="s">
        <v>7</v>
      </c>
      <c r="TO585" s="27" t="s">
        <v>8</v>
      </c>
      <c r="TP585" s="27" t="s">
        <v>7</v>
      </c>
      <c r="TQ585" s="27" t="s">
        <v>8</v>
      </c>
      <c r="TR585" s="27" t="s">
        <v>7</v>
      </c>
      <c r="TS585" s="27" t="s">
        <v>8</v>
      </c>
      <c r="TT585" s="27" t="s">
        <v>7</v>
      </c>
      <c r="TU585" s="27" t="s">
        <v>8</v>
      </c>
    </row>
    <row r="586" spans="1:548" x14ac:dyDescent="0.25">
      <c r="A586" s="7">
        <v>1.02</v>
      </c>
      <c r="B586"/>
      <c r="C586"/>
      <c r="D586"/>
      <c r="E586" t="s">
        <v>8</v>
      </c>
      <c r="J586" s="27" t="s">
        <v>7</v>
      </c>
      <c r="CC586" s="27" t="s">
        <v>8</v>
      </c>
      <c r="DO586" s="27" t="s">
        <v>8</v>
      </c>
      <c r="DS586" s="27" t="s">
        <v>8</v>
      </c>
      <c r="DT586" s="27" t="s">
        <v>7</v>
      </c>
      <c r="DU586" s="27" t="s">
        <v>8</v>
      </c>
      <c r="DV586" s="27" t="s">
        <v>7</v>
      </c>
      <c r="DW586" s="27" t="s">
        <v>8</v>
      </c>
      <c r="DX586" s="27" t="s">
        <v>7</v>
      </c>
      <c r="EA586" s="27" t="s">
        <v>8</v>
      </c>
      <c r="OK586" s="27" t="s">
        <v>8</v>
      </c>
      <c r="OL586" s="27" t="s">
        <v>7</v>
      </c>
      <c r="OS586" s="27" t="s">
        <v>8</v>
      </c>
      <c r="OU586" s="27" t="s">
        <v>8</v>
      </c>
      <c r="OV586" s="27" t="s">
        <v>7</v>
      </c>
      <c r="PF586" s="27" t="s">
        <v>7</v>
      </c>
      <c r="PI586" s="27" t="s">
        <v>8</v>
      </c>
      <c r="PJ586" s="27" t="s">
        <v>7</v>
      </c>
      <c r="PN586" s="27" t="s">
        <v>7</v>
      </c>
      <c r="PT586" s="27" t="s">
        <v>7</v>
      </c>
      <c r="PU586" s="27" t="s">
        <v>8</v>
      </c>
      <c r="PV586" s="27" t="s">
        <v>7</v>
      </c>
      <c r="TM586" s="27" t="s">
        <v>8</v>
      </c>
      <c r="TN586" s="27" t="s">
        <v>7</v>
      </c>
      <c r="TO586" s="27" t="s">
        <v>8</v>
      </c>
      <c r="TP586" s="27" t="s">
        <v>7</v>
      </c>
      <c r="TQ586" s="27" t="s">
        <v>8</v>
      </c>
      <c r="TR586" s="27" t="s">
        <v>7</v>
      </c>
      <c r="TS586" s="27" t="s">
        <v>8</v>
      </c>
      <c r="TT586" s="27" t="s">
        <v>7</v>
      </c>
      <c r="TU586" s="27" t="s">
        <v>8</v>
      </c>
      <c r="TV586" s="27" t="s">
        <v>7</v>
      </c>
    </row>
    <row r="587" spans="1:548" x14ac:dyDescent="0.25">
      <c r="A587" s="7">
        <v>1</v>
      </c>
      <c r="B587"/>
      <c r="C587"/>
      <c r="D587"/>
      <c r="E587" s="29" t="s">
        <v>8</v>
      </c>
      <c r="J587" s="27" t="s">
        <v>7</v>
      </c>
      <c r="CC587" s="27" t="s">
        <v>8</v>
      </c>
      <c r="CD587" s="27" t="s">
        <v>7</v>
      </c>
      <c r="CQ587" s="27" t="s">
        <v>8</v>
      </c>
      <c r="DO587" s="27" t="s">
        <v>8</v>
      </c>
      <c r="DP587" s="27" t="s">
        <v>7</v>
      </c>
      <c r="DS587" s="27" t="s">
        <v>8</v>
      </c>
      <c r="DT587" s="27" t="s">
        <v>7</v>
      </c>
      <c r="DU587" s="27" t="s">
        <v>8</v>
      </c>
      <c r="DV587" s="27" t="s">
        <v>7</v>
      </c>
      <c r="DW587" s="27" t="s">
        <v>8</v>
      </c>
      <c r="DX587" s="27" t="s">
        <v>7</v>
      </c>
      <c r="DY587" s="27" t="s">
        <v>8</v>
      </c>
      <c r="EA587" s="27" t="s">
        <v>8</v>
      </c>
      <c r="EB587" s="27" t="s">
        <v>7</v>
      </c>
      <c r="OK587" s="27" t="s">
        <v>8</v>
      </c>
      <c r="OL587" s="27" t="s">
        <v>7</v>
      </c>
      <c r="OS587" s="27" t="s">
        <v>8</v>
      </c>
      <c r="OT587" s="27" t="s">
        <v>7</v>
      </c>
      <c r="OU587" s="27" t="s">
        <v>8</v>
      </c>
      <c r="PF587" s="27" t="s">
        <v>7</v>
      </c>
      <c r="PI587" s="27" t="s">
        <v>8</v>
      </c>
      <c r="PT587" s="27" t="s">
        <v>7</v>
      </c>
      <c r="PU587" s="27" t="s">
        <v>8</v>
      </c>
      <c r="PV587" s="27" t="s">
        <v>7</v>
      </c>
      <c r="TM587" s="27" t="s">
        <v>8</v>
      </c>
      <c r="TN587" s="27" t="s">
        <v>7</v>
      </c>
      <c r="TO587" s="27" t="s">
        <v>8</v>
      </c>
      <c r="TP587" s="27" t="s">
        <v>7</v>
      </c>
      <c r="TQ587" s="27" t="s">
        <v>8</v>
      </c>
      <c r="TR587" s="27" t="s">
        <v>7</v>
      </c>
      <c r="TS587" s="27" t="s">
        <v>8</v>
      </c>
      <c r="TT587" s="27" t="s">
        <v>7</v>
      </c>
      <c r="TU587" s="27" t="s">
        <v>8</v>
      </c>
      <c r="TV587" s="27" t="s">
        <v>7</v>
      </c>
    </row>
    <row r="588" spans="1:548" x14ac:dyDescent="0.25">
      <c r="A588" s="7">
        <v>0.98039215686274506</v>
      </c>
      <c r="B588"/>
      <c r="C588"/>
      <c r="D588"/>
      <c r="E588"/>
      <c r="J588" s="27" t="s">
        <v>7</v>
      </c>
      <c r="CC588" s="27" t="s">
        <v>8</v>
      </c>
      <c r="CD588" s="27" t="s">
        <v>7</v>
      </c>
      <c r="CG588" s="27" t="s">
        <v>8</v>
      </c>
      <c r="CQ588" s="27" t="s">
        <v>8</v>
      </c>
      <c r="CR588" s="27" t="s">
        <v>7</v>
      </c>
      <c r="DO588" s="27" t="s">
        <v>8</v>
      </c>
      <c r="DP588" s="27" t="s">
        <v>7</v>
      </c>
      <c r="DS588" s="27" t="s">
        <v>8</v>
      </c>
      <c r="DT588" s="27" t="s">
        <v>7</v>
      </c>
      <c r="DU588" s="27" t="s">
        <v>8</v>
      </c>
      <c r="DV588" s="27" t="s">
        <v>7</v>
      </c>
      <c r="DX588" s="27" t="s">
        <v>7</v>
      </c>
      <c r="DY588" s="27" t="s">
        <v>8</v>
      </c>
      <c r="DZ588" s="27" t="s">
        <v>7</v>
      </c>
      <c r="EA588" s="27" t="s">
        <v>8</v>
      </c>
      <c r="EB588" s="27" t="s">
        <v>7</v>
      </c>
      <c r="EE588" s="27" t="s">
        <v>8</v>
      </c>
      <c r="EG588" s="27" t="s">
        <v>8</v>
      </c>
      <c r="EI588" s="27" t="s">
        <v>8</v>
      </c>
      <c r="OK588" s="27" t="s">
        <v>8</v>
      </c>
      <c r="OL588" s="27" t="s">
        <v>7</v>
      </c>
      <c r="OS588" s="27" t="s">
        <v>8</v>
      </c>
      <c r="OT588" s="27" t="s">
        <v>7</v>
      </c>
      <c r="OU588" s="27" t="s">
        <v>8</v>
      </c>
      <c r="PF588" s="27" t="s">
        <v>7</v>
      </c>
      <c r="PG588" s="27" t="s">
        <v>8</v>
      </c>
      <c r="PI588" s="27" t="s">
        <v>8</v>
      </c>
      <c r="PT588" s="27" t="s">
        <v>7</v>
      </c>
      <c r="PU588" s="27" t="s">
        <v>8</v>
      </c>
      <c r="PV588" s="27" t="s">
        <v>7</v>
      </c>
      <c r="TM588" s="27" t="s">
        <v>8</v>
      </c>
      <c r="TN588" s="27" t="s">
        <v>7</v>
      </c>
      <c r="TO588" s="27" t="s">
        <v>8</v>
      </c>
      <c r="TP588" s="27" t="s">
        <v>7</v>
      </c>
      <c r="TQ588" s="27" t="s">
        <v>8</v>
      </c>
      <c r="TR588" s="27" t="s">
        <v>7</v>
      </c>
      <c r="TS588" s="27" t="s">
        <v>8</v>
      </c>
      <c r="TT588" s="27" t="s">
        <v>7</v>
      </c>
      <c r="TU588" s="27" t="s">
        <v>8</v>
      </c>
      <c r="TV588" s="27" t="s">
        <v>7</v>
      </c>
      <c r="TY588" s="27" t="s">
        <v>8</v>
      </c>
    </row>
    <row r="589" spans="1:548" x14ac:dyDescent="0.25">
      <c r="A589" s="7">
        <v>0.96116878123798544</v>
      </c>
      <c r="B589"/>
      <c r="C589"/>
      <c r="D589"/>
      <c r="E589"/>
      <c r="J589" s="27" t="s">
        <v>7</v>
      </c>
      <c r="CC589" s="27" t="s">
        <v>8</v>
      </c>
      <c r="CD589" s="27" t="s">
        <v>7</v>
      </c>
      <c r="CG589" s="27" t="s">
        <v>8</v>
      </c>
      <c r="CH589" s="27" t="s">
        <v>7</v>
      </c>
      <c r="CQ589" s="27" t="s">
        <v>8</v>
      </c>
      <c r="CR589" s="27" t="s">
        <v>7</v>
      </c>
      <c r="DO589" s="27" t="s">
        <v>8</v>
      </c>
      <c r="DP589" s="27" t="s">
        <v>7</v>
      </c>
      <c r="DS589" s="27" t="s">
        <v>8</v>
      </c>
      <c r="DT589" s="27" t="s">
        <v>7</v>
      </c>
      <c r="DX589" s="27" t="s">
        <v>7</v>
      </c>
      <c r="DY589" s="27" t="s">
        <v>8</v>
      </c>
      <c r="DZ589" s="27" t="s">
        <v>7</v>
      </c>
      <c r="EA589" s="27" t="s">
        <v>8</v>
      </c>
      <c r="EB589" s="27" t="s">
        <v>7</v>
      </c>
      <c r="EE589" s="27" t="s">
        <v>8</v>
      </c>
      <c r="EF589" s="27" t="s">
        <v>7</v>
      </c>
      <c r="EG589" s="27" t="s">
        <v>8</v>
      </c>
      <c r="EH589" s="27" t="s">
        <v>7</v>
      </c>
      <c r="EI589" s="27" t="s">
        <v>8</v>
      </c>
      <c r="EJ589" s="27" t="s">
        <v>7</v>
      </c>
      <c r="OK589" s="27" t="s">
        <v>8</v>
      </c>
      <c r="OL589" s="27" t="s">
        <v>7</v>
      </c>
      <c r="OM589" s="27" t="s">
        <v>8</v>
      </c>
      <c r="OO589" s="27" t="s">
        <v>8</v>
      </c>
      <c r="OQ589" s="27" t="s">
        <v>8</v>
      </c>
      <c r="OS589" s="27" t="s">
        <v>8</v>
      </c>
      <c r="OT589" s="27" t="s">
        <v>7</v>
      </c>
      <c r="OU589" s="27" t="s">
        <v>8</v>
      </c>
      <c r="PF589" s="27" t="s">
        <v>7</v>
      </c>
      <c r="PG589" s="27" t="s">
        <v>8</v>
      </c>
      <c r="PH589" s="27" t="s">
        <v>7</v>
      </c>
      <c r="PI589" s="27" t="s">
        <v>8</v>
      </c>
      <c r="PT589" s="27" t="s">
        <v>7</v>
      </c>
      <c r="PU589" s="27" t="s">
        <v>8</v>
      </c>
      <c r="PV589" s="27" t="s">
        <v>7</v>
      </c>
      <c r="TM589" s="27" t="s">
        <v>8</v>
      </c>
      <c r="TN589" s="27" t="s">
        <v>7</v>
      </c>
      <c r="TO589" s="27" t="s">
        <v>8</v>
      </c>
      <c r="TP589" s="27" t="s">
        <v>7</v>
      </c>
      <c r="TQ589" s="27" t="s">
        <v>8</v>
      </c>
      <c r="TR589" s="27" t="s">
        <v>7</v>
      </c>
      <c r="TS589" s="27" t="s">
        <v>8</v>
      </c>
      <c r="TT589" s="27" t="s">
        <v>7</v>
      </c>
      <c r="TU589" s="27" t="s">
        <v>8</v>
      </c>
      <c r="TV589" s="27" t="s">
        <v>7</v>
      </c>
      <c r="TW589" s="27" t="s">
        <v>8</v>
      </c>
      <c r="TY589" s="27" t="s">
        <v>8</v>
      </c>
      <c r="TZ589" s="27" t="s">
        <v>7</v>
      </c>
    </row>
    <row r="590" spans="1:548" x14ac:dyDescent="0.25">
      <c r="A590" s="7">
        <v>0.94232233454704462</v>
      </c>
      <c r="B590"/>
      <c r="C590"/>
      <c r="D590"/>
      <c r="E590"/>
      <c r="J590" s="27" t="s">
        <v>7</v>
      </c>
      <c r="CC590" s="27" t="s">
        <v>8</v>
      </c>
      <c r="CD590" s="27" t="s">
        <v>7</v>
      </c>
      <c r="CE590" s="27" t="s">
        <v>8</v>
      </c>
      <c r="CG590" s="27" t="s">
        <v>8</v>
      </c>
      <c r="CH590" s="27" t="s">
        <v>7</v>
      </c>
      <c r="CQ590" s="27" t="s">
        <v>8</v>
      </c>
      <c r="CR590" s="27" t="s">
        <v>7</v>
      </c>
      <c r="DO590" s="27" t="s">
        <v>8</v>
      </c>
      <c r="DP590" s="27" t="s">
        <v>7</v>
      </c>
      <c r="DQ590" s="27" t="s">
        <v>8</v>
      </c>
      <c r="DS590" s="27" t="s">
        <v>8</v>
      </c>
      <c r="DX590" s="27" t="s">
        <v>7</v>
      </c>
      <c r="DY590" s="27" t="s">
        <v>8</v>
      </c>
      <c r="DZ590" s="27" t="s">
        <v>7</v>
      </c>
      <c r="EA590" s="27" t="s">
        <v>8</v>
      </c>
      <c r="EB590" s="27" t="s">
        <v>7</v>
      </c>
      <c r="EE590" s="27" t="s">
        <v>8</v>
      </c>
      <c r="EF590" s="27" t="s">
        <v>7</v>
      </c>
      <c r="EG590" s="27" t="s">
        <v>8</v>
      </c>
      <c r="EH590" s="27" t="s">
        <v>7</v>
      </c>
      <c r="EI590" s="27" t="s">
        <v>8</v>
      </c>
      <c r="EJ590" s="27" t="s">
        <v>7</v>
      </c>
      <c r="OK590" s="27" t="s">
        <v>8</v>
      </c>
      <c r="OL590" s="27" t="s">
        <v>7</v>
      </c>
      <c r="OM590" s="27" t="s">
        <v>8</v>
      </c>
      <c r="ON590" s="27" t="s">
        <v>7</v>
      </c>
      <c r="OO590" s="27" t="s">
        <v>8</v>
      </c>
      <c r="OP590" s="27" t="s">
        <v>7</v>
      </c>
      <c r="OQ590" s="27" t="s">
        <v>8</v>
      </c>
      <c r="OR590" s="27" t="s">
        <v>7</v>
      </c>
      <c r="OS590" s="27" t="s">
        <v>8</v>
      </c>
      <c r="OT590" s="27" t="s">
        <v>7</v>
      </c>
      <c r="OU590" s="27" t="s">
        <v>8</v>
      </c>
      <c r="PF590" s="27" t="s">
        <v>7</v>
      </c>
      <c r="PG590" s="27" t="s">
        <v>8</v>
      </c>
      <c r="PH590" s="27" t="s">
        <v>7</v>
      </c>
      <c r="PI590" s="27" t="s">
        <v>8</v>
      </c>
      <c r="PT590" s="27" t="s">
        <v>7</v>
      </c>
      <c r="PV590" s="27" t="s">
        <v>7</v>
      </c>
      <c r="TM590" s="27" t="s">
        <v>8</v>
      </c>
      <c r="TN590" s="27" t="s">
        <v>7</v>
      </c>
      <c r="TO590" s="27" t="s">
        <v>8</v>
      </c>
      <c r="TP590" s="27" t="s">
        <v>7</v>
      </c>
      <c r="TQ590" s="27" t="s">
        <v>8</v>
      </c>
      <c r="TR590" s="27" t="s">
        <v>7</v>
      </c>
      <c r="TS590" s="27" t="s">
        <v>8</v>
      </c>
      <c r="TT590" s="27" t="s">
        <v>7</v>
      </c>
      <c r="TU590" s="27" t="s">
        <v>8</v>
      </c>
      <c r="TV590" s="27" t="s">
        <v>7</v>
      </c>
      <c r="TW590" s="27" t="s">
        <v>8</v>
      </c>
      <c r="TX590" s="27" t="s">
        <v>7</v>
      </c>
      <c r="TY590" s="27" t="s">
        <v>8</v>
      </c>
      <c r="TZ590" s="27" t="s">
        <v>7</v>
      </c>
      <c r="UA590" s="27" t="s">
        <v>8</v>
      </c>
    </row>
    <row r="591" spans="1:548" x14ac:dyDescent="0.25">
      <c r="A591" s="7">
        <v>0.92384542602651432</v>
      </c>
      <c r="B591"/>
      <c r="C591"/>
      <c r="D591"/>
      <c r="E591"/>
      <c r="J591" s="27" t="s">
        <v>7</v>
      </c>
      <c r="CA591" s="27" t="s">
        <v>8</v>
      </c>
      <c r="CC591" s="27" t="s">
        <v>8</v>
      </c>
      <c r="CD591" s="27" t="s">
        <v>7</v>
      </c>
      <c r="CE591" s="27" t="s">
        <v>8</v>
      </c>
      <c r="CF591" s="27" t="s">
        <v>7</v>
      </c>
      <c r="CG591" s="27" t="s">
        <v>8</v>
      </c>
      <c r="CH591" s="27" t="s">
        <v>7</v>
      </c>
      <c r="CI591" s="27" t="s">
        <v>8</v>
      </c>
      <c r="CM591" s="27" t="s">
        <v>8</v>
      </c>
      <c r="CQ591" s="27" t="s">
        <v>8</v>
      </c>
      <c r="CR591" s="27" t="s">
        <v>7</v>
      </c>
      <c r="DO591" s="27" t="s">
        <v>8</v>
      </c>
      <c r="DP591" s="27" t="s">
        <v>7</v>
      </c>
      <c r="DQ591" s="27" t="s">
        <v>8</v>
      </c>
      <c r="DR591" s="27" t="s">
        <v>7</v>
      </c>
      <c r="DS591" s="27" t="s">
        <v>8</v>
      </c>
      <c r="DX591" s="27" t="s">
        <v>7</v>
      </c>
      <c r="DY591" s="27" t="s">
        <v>8</v>
      </c>
      <c r="DZ591" s="27" t="s">
        <v>7</v>
      </c>
      <c r="EB591" s="27" t="s">
        <v>7</v>
      </c>
      <c r="EE591" s="27" t="s">
        <v>8</v>
      </c>
      <c r="EF591" s="27" t="s">
        <v>7</v>
      </c>
      <c r="EG591" s="27" t="s">
        <v>8</v>
      </c>
      <c r="EH591" s="27" t="s">
        <v>7</v>
      </c>
      <c r="EI591" s="27" t="s">
        <v>8</v>
      </c>
      <c r="EJ591" s="27" t="s">
        <v>7</v>
      </c>
      <c r="OK591" s="27" t="s">
        <v>8</v>
      </c>
      <c r="OL591" s="27" t="s">
        <v>7</v>
      </c>
      <c r="OM591" s="27" t="s">
        <v>8</v>
      </c>
      <c r="ON591" s="27" t="s">
        <v>7</v>
      </c>
      <c r="OO591" s="27" t="s">
        <v>8</v>
      </c>
      <c r="OP591" s="27" t="s">
        <v>7</v>
      </c>
      <c r="OQ591" s="27" t="s">
        <v>8</v>
      </c>
      <c r="OR591" s="27" t="s">
        <v>7</v>
      </c>
      <c r="OS591" s="27" t="s">
        <v>8</v>
      </c>
      <c r="OT591" s="27" t="s">
        <v>7</v>
      </c>
      <c r="OU591" s="27" t="s">
        <v>8</v>
      </c>
      <c r="PF591" s="27" t="s">
        <v>7</v>
      </c>
      <c r="PG591" s="27" t="s">
        <v>8</v>
      </c>
      <c r="PH591" s="27" t="s">
        <v>7</v>
      </c>
      <c r="PI591" s="27" t="s">
        <v>8</v>
      </c>
      <c r="PV591" s="27" t="s">
        <v>7</v>
      </c>
      <c r="TM591" s="27" t="s">
        <v>8</v>
      </c>
      <c r="TN591" s="27" t="s">
        <v>7</v>
      </c>
      <c r="TO591" s="27" t="s">
        <v>8</v>
      </c>
      <c r="TP591" s="27" t="s">
        <v>7</v>
      </c>
      <c r="TQ591" s="27" t="s">
        <v>8</v>
      </c>
      <c r="TR591" s="27" t="s">
        <v>7</v>
      </c>
      <c r="TS591" s="27" t="s">
        <v>8</v>
      </c>
      <c r="TT591" s="27" t="s">
        <v>7</v>
      </c>
      <c r="TU591" s="27" t="s">
        <v>8</v>
      </c>
      <c r="TV591" s="27" t="s">
        <v>7</v>
      </c>
      <c r="TW591" s="27" t="s">
        <v>8</v>
      </c>
      <c r="TX591" s="27" t="s">
        <v>7</v>
      </c>
      <c r="TY591" s="27" t="s">
        <v>8</v>
      </c>
      <c r="TZ591" s="27" t="s">
        <v>7</v>
      </c>
      <c r="UA591" s="27" t="s">
        <v>8</v>
      </c>
      <c r="UB591" s="27" t="s">
        <v>7</v>
      </c>
    </row>
    <row r="592" spans="1:548" x14ac:dyDescent="0.25">
      <c r="A592" s="7">
        <v>0.90573080982991594</v>
      </c>
      <c r="B592"/>
      <c r="C592"/>
      <c r="D592"/>
      <c r="E592"/>
      <c r="J592" s="27" t="s">
        <v>7</v>
      </c>
      <c r="CA592" s="27" t="s">
        <v>8</v>
      </c>
      <c r="CB592" s="27" t="s">
        <v>7</v>
      </c>
      <c r="CC592" s="27" t="s">
        <v>8</v>
      </c>
      <c r="CD592" s="27" t="s">
        <v>7</v>
      </c>
      <c r="CE592" s="27" t="s">
        <v>8</v>
      </c>
      <c r="CF592" s="27" t="s">
        <v>7</v>
      </c>
      <c r="CG592" s="27" t="s">
        <v>8</v>
      </c>
      <c r="CH592" s="27" t="s">
        <v>7</v>
      </c>
      <c r="CI592" s="27" t="s">
        <v>8</v>
      </c>
      <c r="CJ592" s="27" t="s">
        <v>7</v>
      </c>
      <c r="CM592" s="27" t="s">
        <v>8</v>
      </c>
      <c r="CN592" s="27" t="s">
        <v>7</v>
      </c>
      <c r="CO592" s="27" t="s">
        <v>8</v>
      </c>
      <c r="CQ592" s="27" t="s">
        <v>8</v>
      </c>
      <c r="CR592" s="27" t="s">
        <v>7</v>
      </c>
      <c r="DO592" s="27" t="s">
        <v>8</v>
      </c>
      <c r="DP592" s="27" t="s">
        <v>7</v>
      </c>
      <c r="DQ592" s="27" t="s">
        <v>8</v>
      </c>
      <c r="DR592" s="27" t="s">
        <v>7</v>
      </c>
      <c r="DS592" s="27" t="s">
        <v>8</v>
      </c>
      <c r="DX592" s="27" t="s">
        <v>7</v>
      </c>
      <c r="EB592" s="27" t="s">
        <v>7</v>
      </c>
      <c r="EE592" s="27" t="s">
        <v>8</v>
      </c>
      <c r="EF592" s="27" t="s">
        <v>7</v>
      </c>
      <c r="EG592" s="27" t="s">
        <v>8</v>
      </c>
      <c r="EH592" s="27" t="s">
        <v>7</v>
      </c>
      <c r="EI592" s="27" t="s">
        <v>8</v>
      </c>
      <c r="EJ592" s="27" t="s">
        <v>7</v>
      </c>
      <c r="OK592" s="27" t="s">
        <v>8</v>
      </c>
      <c r="OL592" s="27" t="s">
        <v>7</v>
      </c>
      <c r="OM592" s="27" t="s">
        <v>8</v>
      </c>
      <c r="ON592" s="27" t="s">
        <v>7</v>
      </c>
      <c r="OO592" s="27" t="s">
        <v>8</v>
      </c>
      <c r="OP592" s="27" t="s">
        <v>7</v>
      </c>
      <c r="OQ592" s="27" t="s">
        <v>8</v>
      </c>
      <c r="OR592" s="27" t="s">
        <v>7</v>
      </c>
      <c r="OS592" s="27" t="s">
        <v>8</v>
      </c>
      <c r="OT592" s="27" t="s">
        <v>7</v>
      </c>
      <c r="OU592" s="27" t="s">
        <v>8</v>
      </c>
      <c r="PF592" s="27" t="s">
        <v>7</v>
      </c>
      <c r="PG592" s="27" t="s">
        <v>8</v>
      </c>
      <c r="PH592" s="27" t="s">
        <v>7</v>
      </c>
      <c r="PI592" s="27" t="s">
        <v>8</v>
      </c>
      <c r="PV592" s="27" t="s">
        <v>7</v>
      </c>
      <c r="TM592" s="27" t="s">
        <v>8</v>
      </c>
      <c r="TN592" s="27" t="s">
        <v>7</v>
      </c>
      <c r="TO592" s="27" t="s">
        <v>8</v>
      </c>
      <c r="TP592" s="27" t="s">
        <v>7</v>
      </c>
      <c r="TQ592" s="27" t="s">
        <v>8</v>
      </c>
      <c r="TR592" s="27" t="s">
        <v>7</v>
      </c>
      <c r="TS592" s="27" t="s">
        <v>8</v>
      </c>
      <c r="TT592" s="27" t="s">
        <v>7</v>
      </c>
      <c r="TV592" s="27" t="s">
        <v>7</v>
      </c>
      <c r="TW592" s="27" t="s">
        <v>8</v>
      </c>
      <c r="TX592" s="27" t="s">
        <v>7</v>
      </c>
      <c r="TY592" s="27" t="s">
        <v>8</v>
      </c>
      <c r="TZ592" s="27" t="s">
        <v>7</v>
      </c>
      <c r="UA592" s="27" t="s">
        <v>8</v>
      </c>
      <c r="UB592" s="27" t="s">
        <v>7</v>
      </c>
    </row>
    <row r="593" spans="1:556" x14ac:dyDescent="0.25">
      <c r="A593" s="7">
        <v>0.8879713821861922</v>
      </c>
      <c r="B593"/>
      <c r="C593"/>
      <c r="D593"/>
      <c r="E593"/>
      <c r="J593" s="27" t="s">
        <v>7</v>
      </c>
      <c r="K593" s="27" t="s">
        <v>8</v>
      </c>
      <c r="CA593" s="27" t="s">
        <v>8</v>
      </c>
      <c r="CB593" s="27" t="s">
        <v>7</v>
      </c>
      <c r="CC593" s="27" t="s">
        <v>8</v>
      </c>
      <c r="CD593" s="27" t="s">
        <v>7</v>
      </c>
      <c r="CE593" s="27" t="s">
        <v>8</v>
      </c>
      <c r="CF593" s="27" t="s">
        <v>7</v>
      </c>
      <c r="CH593" s="27" t="s">
        <v>7</v>
      </c>
      <c r="CI593" s="27" t="s">
        <v>8</v>
      </c>
      <c r="CJ593" s="27" t="s">
        <v>7</v>
      </c>
      <c r="CM593" s="27" t="s">
        <v>8</v>
      </c>
      <c r="CN593" s="27" t="s">
        <v>7</v>
      </c>
      <c r="CO593" s="27" t="s">
        <v>8</v>
      </c>
      <c r="CP593" s="27" t="s">
        <v>7</v>
      </c>
      <c r="CQ593" s="27" t="s">
        <v>8</v>
      </c>
      <c r="CR593" s="27" t="s">
        <v>7</v>
      </c>
      <c r="DO593" s="27" t="s">
        <v>8</v>
      </c>
      <c r="DP593" s="27" t="s">
        <v>7</v>
      </c>
      <c r="DR593" s="27" t="s">
        <v>7</v>
      </c>
      <c r="DS593" s="27" t="s">
        <v>8</v>
      </c>
      <c r="EB593" s="27" t="s">
        <v>7</v>
      </c>
      <c r="EC593" s="27" t="s">
        <v>8</v>
      </c>
      <c r="EE593" s="27" t="s">
        <v>8</v>
      </c>
      <c r="EF593" s="27" t="s">
        <v>7</v>
      </c>
      <c r="EG593" s="27" t="s">
        <v>8</v>
      </c>
      <c r="EH593" s="27" t="s">
        <v>7</v>
      </c>
      <c r="EJ593" s="27" t="s">
        <v>7</v>
      </c>
      <c r="OK593" s="27" t="s">
        <v>8</v>
      </c>
      <c r="OL593" s="27" t="s">
        <v>7</v>
      </c>
      <c r="OM593" s="27" t="s">
        <v>8</v>
      </c>
      <c r="ON593" s="27" t="s">
        <v>7</v>
      </c>
      <c r="OO593" s="27" t="s">
        <v>8</v>
      </c>
      <c r="OP593" s="27" t="s">
        <v>7</v>
      </c>
      <c r="OQ593" s="27" t="s">
        <v>8</v>
      </c>
      <c r="OR593" s="27" t="s">
        <v>7</v>
      </c>
      <c r="OS593" s="27" t="s">
        <v>8</v>
      </c>
      <c r="OT593" s="27" t="s">
        <v>7</v>
      </c>
      <c r="OU593" s="27" t="s">
        <v>8</v>
      </c>
      <c r="PF593" s="27" t="s">
        <v>7</v>
      </c>
      <c r="PG593" s="27" t="s">
        <v>8</v>
      </c>
      <c r="PH593" s="27" t="s">
        <v>7</v>
      </c>
      <c r="PI593" s="27" t="s">
        <v>8</v>
      </c>
      <c r="PV593" s="27" t="s">
        <v>7</v>
      </c>
      <c r="TM593" s="27" t="s">
        <v>8</v>
      </c>
      <c r="TN593" s="27" t="s">
        <v>7</v>
      </c>
      <c r="TO593" s="27" t="s">
        <v>8</v>
      </c>
      <c r="TP593" s="27" t="s">
        <v>7</v>
      </c>
      <c r="TQ593" s="27" t="s">
        <v>8</v>
      </c>
      <c r="TR593" s="27" t="s">
        <v>7</v>
      </c>
      <c r="TS593" s="27" t="s">
        <v>8</v>
      </c>
      <c r="TV593" s="27" t="s">
        <v>7</v>
      </c>
      <c r="TW593" s="27" t="s">
        <v>8</v>
      </c>
      <c r="TX593" s="27" t="s">
        <v>7</v>
      </c>
      <c r="TY593" s="27" t="s">
        <v>8</v>
      </c>
      <c r="TZ593" s="27" t="s">
        <v>7</v>
      </c>
      <c r="UA593" s="27" t="s">
        <v>8</v>
      </c>
      <c r="UB593" s="27" t="s">
        <v>7</v>
      </c>
      <c r="UC593" s="27" t="s">
        <v>8</v>
      </c>
    </row>
    <row r="594" spans="1:556" x14ac:dyDescent="0.25">
      <c r="A594" s="7">
        <v>0.87056017861391399</v>
      </c>
      <c r="B594"/>
      <c r="C594"/>
      <c r="D594"/>
      <c r="E594"/>
      <c r="J594" s="27" t="s">
        <v>7</v>
      </c>
      <c r="K594" s="27" t="s">
        <v>8</v>
      </c>
      <c r="L594" s="27" t="s">
        <v>7</v>
      </c>
      <c r="CA594" s="27" t="s">
        <v>8</v>
      </c>
      <c r="CB594" s="27" t="s">
        <v>7</v>
      </c>
      <c r="CC594" s="27" t="s">
        <v>8</v>
      </c>
      <c r="CD594" s="27" t="s">
        <v>7</v>
      </c>
      <c r="CE594" s="27" t="s">
        <v>8</v>
      </c>
      <c r="CH594" s="27" t="s">
        <v>7</v>
      </c>
      <c r="CI594" s="27" t="s">
        <v>8</v>
      </c>
      <c r="CJ594" s="27" t="s">
        <v>7</v>
      </c>
      <c r="CM594" s="27" t="s">
        <v>8</v>
      </c>
      <c r="CN594" s="27" t="s">
        <v>7</v>
      </c>
      <c r="CO594" s="27" t="s">
        <v>8</v>
      </c>
      <c r="CP594" s="27" t="s">
        <v>7</v>
      </c>
      <c r="CQ594" s="27" t="s">
        <v>8</v>
      </c>
      <c r="CR594" s="27" t="s">
        <v>7</v>
      </c>
      <c r="DO594" s="27" t="s">
        <v>8</v>
      </c>
      <c r="DR594" s="27" t="s">
        <v>7</v>
      </c>
      <c r="EB594" s="27" t="s">
        <v>7</v>
      </c>
      <c r="EC594" s="27" t="s">
        <v>8</v>
      </c>
      <c r="ED594" s="27" t="s">
        <v>7</v>
      </c>
      <c r="EE594" s="27" t="s">
        <v>8</v>
      </c>
      <c r="EF594" s="27" t="s">
        <v>7</v>
      </c>
      <c r="EG594" s="27" t="s">
        <v>8</v>
      </c>
      <c r="EJ594" s="27" t="s">
        <v>7</v>
      </c>
      <c r="OK594" s="27" t="s">
        <v>8</v>
      </c>
      <c r="OL594" s="27" t="s">
        <v>7</v>
      </c>
      <c r="OM594" s="27" t="s">
        <v>8</v>
      </c>
      <c r="ON594" s="27" t="s">
        <v>7</v>
      </c>
      <c r="OO594" s="27" t="s">
        <v>8</v>
      </c>
      <c r="OP594" s="27" t="s">
        <v>7</v>
      </c>
      <c r="OQ594" s="27" t="s">
        <v>8</v>
      </c>
      <c r="OR594" s="27" t="s">
        <v>7</v>
      </c>
      <c r="OS594" s="27" t="s">
        <v>8</v>
      </c>
      <c r="OT594" s="27" t="s">
        <v>7</v>
      </c>
      <c r="OU594" s="27" t="s">
        <v>8</v>
      </c>
      <c r="PF594" s="27" t="s">
        <v>7</v>
      </c>
      <c r="PG594" s="27" t="s">
        <v>8</v>
      </c>
      <c r="PH594" s="27" t="s">
        <v>7</v>
      </c>
      <c r="PI594" s="27" t="s">
        <v>8</v>
      </c>
      <c r="PV594" s="27" t="s">
        <v>7</v>
      </c>
      <c r="PW594" s="27" t="s">
        <v>8</v>
      </c>
      <c r="TM594" s="27" t="s">
        <v>8</v>
      </c>
      <c r="TN594" s="27" t="s">
        <v>7</v>
      </c>
      <c r="TO594" s="27" t="s">
        <v>8</v>
      </c>
      <c r="TP594" s="27" t="s">
        <v>7</v>
      </c>
      <c r="TQ594" s="27" t="s">
        <v>8</v>
      </c>
      <c r="TR594" s="27" t="s">
        <v>7</v>
      </c>
      <c r="TS594" s="27" t="s">
        <v>8</v>
      </c>
      <c r="TV594" s="27" t="s">
        <v>7</v>
      </c>
      <c r="TX594" s="27" t="s">
        <v>7</v>
      </c>
      <c r="TY594" s="27" t="s">
        <v>8</v>
      </c>
      <c r="TZ594" s="27" t="s">
        <v>7</v>
      </c>
      <c r="UB594" s="27" t="s">
        <v>7</v>
      </c>
      <c r="UC594" s="27" t="s">
        <v>8</v>
      </c>
      <c r="UD594" s="27" t="s">
        <v>7</v>
      </c>
    </row>
    <row r="595" spans="1:556" x14ac:dyDescent="0.25">
      <c r="A595" s="7">
        <v>0.85349037119011173</v>
      </c>
      <c r="B595"/>
      <c r="C595"/>
      <c r="D595"/>
      <c r="E595"/>
      <c r="J595" s="27" t="s">
        <v>7</v>
      </c>
      <c r="K595" s="27" t="s">
        <v>8</v>
      </c>
      <c r="L595" s="27" t="s">
        <v>7</v>
      </c>
      <c r="BY595" s="27" t="s">
        <v>8</v>
      </c>
      <c r="CA595" s="27" t="s">
        <v>8</v>
      </c>
      <c r="CB595" s="27" t="s">
        <v>7</v>
      </c>
      <c r="CC595" s="27" t="s">
        <v>8</v>
      </c>
      <c r="CD595" s="27" t="s">
        <v>7</v>
      </c>
      <c r="CE595" s="27" t="s">
        <v>8</v>
      </c>
      <c r="CH595" s="27" t="s">
        <v>7</v>
      </c>
      <c r="CJ595" s="27" t="s">
        <v>7</v>
      </c>
      <c r="CM595" s="27" t="s">
        <v>8</v>
      </c>
      <c r="CN595" s="27" t="s">
        <v>7</v>
      </c>
      <c r="CO595" s="27" t="s">
        <v>8</v>
      </c>
      <c r="CP595" s="27" t="s">
        <v>7</v>
      </c>
      <c r="CQ595" s="27" t="s">
        <v>8</v>
      </c>
      <c r="CR595" s="27" t="s">
        <v>7</v>
      </c>
      <c r="DO595" s="27" t="s">
        <v>8</v>
      </c>
      <c r="EB595" s="27" t="s">
        <v>7</v>
      </c>
      <c r="EC595" s="27" t="s">
        <v>8</v>
      </c>
      <c r="ED595" s="27" t="s">
        <v>7</v>
      </c>
      <c r="EE595" s="27" t="s">
        <v>8</v>
      </c>
      <c r="EF595" s="27" t="s">
        <v>7</v>
      </c>
      <c r="EG595" s="27" t="s">
        <v>8</v>
      </c>
      <c r="EJ595" s="27" t="s">
        <v>7</v>
      </c>
      <c r="OK595" s="27" t="s">
        <v>8</v>
      </c>
      <c r="OL595" s="27" t="s">
        <v>7</v>
      </c>
      <c r="OM595" s="27" t="s">
        <v>8</v>
      </c>
      <c r="ON595" s="27" t="s">
        <v>7</v>
      </c>
      <c r="OO595" s="27" t="s">
        <v>8</v>
      </c>
      <c r="OP595" s="27" t="s">
        <v>7</v>
      </c>
      <c r="OR595" s="27" t="s">
        <v>7</v>
      </c>
      <c r="OS595" s="27" t="s">
        <v>8</v>
      </c>
      <c r="OT595" s="27" t="s">
        <v>7</v>
      </c>
      <c r="OU595" s="27" t="s">
        <v>8</v>
      </c>
      <c r="PF595" s="27" t="s">
        <v>7</v>
      </c>
      <c r="PG595" s="27" t="s">
        <v>8</v>
      </c>
      <c r="PH595" s="27" t="s">
        <v>7</v>
      </c>
      <c r="PI595" s="27" t="s">
        <v>8</v>
      </c>
      <c r="PV595" s="27" t="s">
        <v>7</v>
      </c>
      <c r="PW595" s="27" t="s">
        <v>8</v>
      </c>
      <c r="PX595" s="27" t="s">
        <v>7</v>
      </c>
      <c r="TM595" s="27" t="s">
        <v>8</v>
      </c>
      <c r="TN595" s="27" t="s">
        <v>7</v>
      </c>
      <c r="TO595" s="27" t="s">
        <v>8</v>
      </c>
      <c r="TP595" s="27" t="s">
        <v>7</v>
      </c>
      <c r="TQ595" s="27" t="s">
        <v>8</v>
      </c>
      <c r="TR595" s="27" t="s">
        <v>7</v>
      </c>
      <c r="TS595" s="27" t="s">
        <v>8</v>
      </c>
      <c r="TX595" s="27" t="s">
        <v>7</v>
      </c>
      <c r="UB595" s="27" t="s">
        <v>7</v>
      </c>
      <c r="UC595" s="27" t="s">
        <v>8</v>
      </c>
      <c r="UD595" s="27" t="s">
        <v>7</v>
      </c>
    </row>
    <row r="596" spans="1:556" x14ac:dyDescent="0.25">
      <c r="A596" s="7">
        <v>0.83675526587265858</v>
      </c>
      <c r="B596"/>
      <c r="C596"/>
      <c r="D596"/>
      <c r="E596"/>
      <c r="J596" s="27" t="s">
        <v>7</v>
      </c>
      <c r="K596" s="27" t="s">
        <v>8</v>
      </c>
      <c r="L596" s="27" t="s">
        <v>7</v>
      </c>
      <c r="BY596" s="27" t="s">
        <v>8</v>
      </c>
      <c r="BZ596" s="27" t="s">
        <v>7</v>
      </c>
      <c r="CA596" s="27" t="s">
        <v>8</v>
      </c>
      <c r="CB596" s="27" t="s">
        <v>7</v>
      </c>
      <c r="CD596" s="27" t="s">
        <v>7</v>
      </c>
      <c r="CJ596" s="27" t="s">
        <v>7</v>
      </c>
      <c r="CK596" s="27" t="s">
        <v>8</v>
      </c>
      <c r="CM596" s="27" t="s">
        <v>8</v>
      </c>
      <c r="CN596" s="27" t="s">
        <v>7</v>
      </c>
      <c r="CO596" s="27" t="s">
        <v>8</v>
      </c>
      <c r="CP596" s="27" t="s">
        <v>7</v>
      </c>
      <c r="CQ596" s="27" t="s">
        <v>8</v>
      </c>
      <c r="CR596" s="27" t="s">
        <v>7</v>
      </c>
      <c r="DA596" s="27" t="s">
        <v>8</v>
      </c>
      <c r="DG596" s="27" t="s">
        <v>8</v>
      </c>
      <c r="DO596" s="27" t="s">
        <v>8</v>
      </c>
      <c r="EB596" s="27" t="s">
        <v>7</v>
      </c>
      <c r="EC596" s="27" t="s">
        <v>8</v>
      </c>
      <c r="ED596" s="27" t="s">
        <v>7</v>
      </c>
      <c r="EE596" s="27" t="s">
        <v>8</v>
      </c>
      <c r="EF596" s="27" t="s">
        <v>7</v>
      </c>
      <c r="EJ596" s="27" t="s">
        <v>7</v>
      </c>
      <c r="OK596" s="27" t="s">
        <v>8</v>
      </c>
      <c r="OL596" s="27" t="s">
        <v>7</v>
      </c>
      <c r="OM596" s="27" t="s">
        <v>8</v>
      </c>
      <c r="ON596" s="27" t="s">
        <v>7</v>
      </c>
      <c r="OO596" s="27" t="s">
        <v>8</v>
      </c>
      <c r="OR596" s="27" t="s">
        <v>7</v>
      </c>
      <c r="OS596" s="27" t="s">
        <v>8</v>
      </c>
      <c r="OT596" s="27" t="s">
        <v>7</v>
      </c>
      <c r="OU596" s="27" t="s">
        <v>8</v>
      </c>
      <c r="PF596" s="27" t="s">
        <v>7</v>
      </c>
      <c r="PG596" s="27" t="s">
        <v>8</v>
      </c>
      <c r="PH596" s="27" t="s">
        <v>7</v>
      </c>
      <c r="PV596" s="27" t="s">
        <v>7</v>
      </c>
      <c r="PW596" s="27" t="s">
        <v>8</v>
      </c>
      <c r="PX596" s="27" t="s">
        <v>7</v>
      </c>
      <c r="TM596" s="27" t="s">
        <v>8</v>
      </c>
      <c r="TN596" s="27" t="s">
        <v>7</v>
      </c>
      <c r="TO596" s="27" t="s">
        <v>8</v>
      </c>
      <c r="TP596" s="27" t="s">
        <v>7</v>
      </c>
      <c r="TQ596" s="27" t="s">
        <v>8</v>
      </c>
      <c r="TR596" s="27" t="s">
        <v>7</v>
      </c>
      <c r="TS596" s="27" t="s">
        <v>8</v>
      </c>
      <c r="UB596" s="27" t="s">
        <v>7</v>
      </c>
      <c r="UC596" s="27" t="s">
        <v>8</v>
      </c>
      <c r="UD596" s="27" t="s">
        <v>7</v>
      </c>
    </row>
    <row r="597" spans="1:556" x14ac:dyDescent="0.25">
      <c r="A597" s="7">
        <v>0.82034829987515545</v>
      </c>
      <c r="B597"/>
      <c r="C597"/>
      <c r="D597"/>
      <c r="E597"/>
      <c r="J597" s="27" t="s">
        <v>7</v>
      </c>
      <c r="K597" s="27" t="s">
        <v>8</v>
      </c>
      <c r="L597" s="27" t="s">
        <v>7</v>
      </c>
      <c r="BY597" s="27" t="s">
        <v>8</v>
      </c>
      <c r="BZ597" s="27" t="s">
        <v>7</v>
      </c>
      <c r="CA597" s="27" t="s">
        <v>8</v>
      </c>
      <c r="CJ597" s="27" t="s">
        <v>7</v>
      </c>
      <c r="CK597" s="27" t="s">
        <v>8</v>
      </c>
      <c r="CL597" s="27" t="s">
        <v>7</v>
      </c>
      <c r="CM597" s="27" t="s">
        <v>8</v>
      </c>
      <c r="CN597" s="27" t="s">
        <v>7</v>
      </c>
      <c r="CP597" s="27" t="s">
        <v>7</v>
      </c>
      <c r="CQ597" s="27" t="s">
        <v>8</v>
      </c>
      <c r="CR597" s="27" t="s">
        <v>7</v>
      </c>
      <c r="DA597" s="27" t="s">
        <v>8</v>
      </c>
      <c r="DB597" s="27" t="s">
        <v>7</v>
      </c>
      <c r="DG597" s="27" t="s">
        <v>8</v>
      </c>
      <c r="DH597" s="27" t="s">
        <v>7</v>
      </c>
      <c r="DI597" s="27" t="s">
        <v>8</v>
      </c>
      <c r="DO597" s="27" t="s">
        <v>8</v>
      </c>
      <c r="EB597" s="27" t="s">
        <v>7</v>
      </c>
      <c r="EC597" s="27" t="s">
        <v>8</v>
      </c>
      <c r="ED597" s="27" t="s">
        <v>7</v>
      </c>
      <c r="EE597" s="27" t="s">
        <v>8</v>
      </c>
      <c r="EJ597" s="27" t="s">
        <v>7</v>
      </c>
      <c r="OK597" s="27" t="s">
        <v>8</v>
      </c>
      <c r="OL597" s="27" t="s">
        <v>7</v>
      </c>
      <c r="ON597" s="27" t="s">
        <v>7</v>
      </c>
      <c r="OO597" s="27" t="s">
        <v>8</v>
      </c>
      <c r="OR597" s="27" t="s">
        <v>7</v>
      </c>
      <c r="OT597" s="27" t="s">
        <v>7</v>
      </c>
      <c r="OU597" s="27" t="s">
        <v>8</v>
      </c>
      <c r="PF597" s="27" t="s">
        <v>7</v>
      </c>
      <c r="PG597" s="27" t="s">
        <v>8</v>
      </c>
      <c r="PV597" s="27" t="s">
        <v>7</v>
      </c>
      <c r="PX597" s="27" t="s">
        <v>7</v>
      </c>
      <c r="TM597" s="27" t="s">
        <v>8</v>
      </c>
      <c r="TN597" s="27" t="s">
        <v>7</v>
      </c>
      <c r="TO597" s="27" t="s">
        <v>8</v>
      </c>
      <c r="TP597" s="27" t="s">
        <v>7</v>
      </c>
      <c r="TQ597" s="27" t="s">
        <v>8</v>
      </c>
      <c r="TR597" s="27" t="s">
        <v>7</v>
      </c>
      <c r="TS597" s="27" t="s">
        <v>8</v>
      </c>
      <c r="UB597" s="27" t="s">
        <v>7</v>
      </c>
      <c r="UC597" s="27" t="s">
        <v>8</v>
      </c>
      <c r="UD597" s="27" t="s">
        <v>7</v>
      </c>
    </row>
    <row r="598" spans="1:556" x14ac:dyDescent="0.25">
      <c r="A598" s="7">
        <v>0.80426303909328967</v>
      </c>
      <c r="B598"/>
      <c r="C598"/>
      <c r="D598"/>
      <c r="E598"/>
      <c r="J598" s="27" t="s">
        <v>7</v>
      </c>
      <c r="K598" s="27" t="s">
        <v>8</v>
      </c>
      <c r="L598" s="27" t="s">
        <v>7</v>
      </c>
      <c r="BY598" s="27" t="s">
        <v>8</v>
      </c>
      <c r="BZ598" s="27" t="s">
        <v>7</v>
      </c>
      <c r="CA598" s="27" t="s">
        <v>8</v>
      </c>
      <c r="CJ598" s="27" t="s">
        <v>7</v>
      </c>
      <c r="CK598" s="27" t="s">
        <v>8</v>
      </c>
      <c r="CL598" s="27" t="s">
        <v>7</v>
      </c>
      <c r="CM598" s="27" t="s">
        <v>8</v>
      </c>
      <c r="CP598" s="27" t="s">
        <v>7</v>
      </c>
      <c r="CR598" s="27" t="s">
        <v>7</v>
      </c>
      <c r="DA598" s="27" t="s">
        <v>8</v>
      </c>
      <c r="DB598" s="27" t="s">
        <v>7</v>
      </c>
      <c r="DG598" s="27" t="s">
        <v>8</v>
      </c>
      <c r="DH598" s="27" t="s">
        <v>7</v>
      </c>
      <c r="DI598" s="27" t="s">
        <v>8</v>
      </c>
      <c r="DJ598" s="27" t="s">
        <v>7</v>
      </c>
      <c r="DK598" s="27" t="s">
        <v>8</v>
      </c>
      <c r="DM598" s="27" t="s">
        <v>8</v>
      </c>
      <c r="DO598" s="27" t="s">
        <v>8</v>
      </c>
      <c r="EB598" s="27" t="s">
        <v>7</v>
      </c>
      <c r="ED598" s="27" t="s">
        <v>7</v>
      </c>
      <c r="EJ598" s="27" t="s">
        <v>7</v>
      </c>
      <c r="NU598" s="27" t="s">
        <v>8</v>
      </c>
      <c r="OK598" s="27" t="s">
        <v>8</v>
      </c>
      <c r="ON598" s="27" t="s">
        <v>7</v>
      </c>
      <c r="OT598" s="27" t="s">
        <v>7</v>
      </c>
      <c r="OU598" s="27" t="s">
        <v>8</v>
      </c>
      <c r="PF598" s="27" t="s">
        <v>7</v>
      </c>
      <c r="PG598" s="27" t="s">
        <v>8</v>
      </c>
      <c r="PX598" s="27" t="s">
        <v>7</v>
      </c>
      <c r="TM598" s="27" t="s">
        <v>8</v>
      </c>
      <c r="TN598" s="27" t="s">
        <v>7</v>
      </c>
      <c r="TO598" s="27" t="s">
        <v>8</v>
      </c>
      <c r="TP598" s="27" t="s">
        <v>7</v>
      </c>
      <c r="TQ598" s="27" t="s">
        <v>8</v>
      </c>
      <c r="TR598" s="27" t="s">
        <v>7</v>
      </c>
      <c r="TS598" s="27" t="s">
        <v>8</v>
      </c>
      <c r="UB598" s="27" t="s">
        <v>7</v>
      </c>
      <c r="UD598" s="27" t="s">
        <v>7</v>
      </c>
    </row>
    <row r="599" spans="1:556" x14ac:dyDescent="0.25">
      <c r="A599" s="7">
        <v>0.78849317558165644</v>
      </c>
      <c r="B599"/>
      <c r="C599"/>
      <c r="D599"/>
      <c r="E599"/>
      <c r="J599" s="27" t="s">
        <v>7</v>
      </c>
      <c r="L599" s="27" t="s">
        <v>7</v>
      </c>
      <c r="M599" s="27" t="s">
        <v>8</v>
      </c>
      <c r="BY599" s="27" t="s">
        <v>8</v>
      </c>
      <c r="BZ599" s="27" t="s">
        <v>7</v>
      </c>
      <c r="CA599" s="27" t="s">
        <v>8</v>
      </c>
      <c r="CJ599" s="27" t="s">
        <v>7</v>
      </c>
      <c r="CK599" s="27" t="s">
        <v>8</v>
      </c>
      <c r="CL599" s="27" t="s">
        <v>7</v>
      </c>
      <c r="CR599" s="27" t="s">
        <v>7</v>
      </c>
      <c r="DA599" s="27" t="s">
        <v>8</v>
      </c>
      <c r="DB599" s="27" t="s">
        <v>7</v>
      </c>
      <c r="DG599" s="27" t="s">
        <v>8</v>
      </c>
      <c r="DH599" s="27" t="s">
        <v>7</v>
      </c>
      <c r="DI599" s="27" t="s">
        <v>8</v>
      </c>
      <c r="DJ599" s="27" t="s">
        <v>7</v>
      </c>
      <c r="DK599" s="27" t="s">
        <v>8</v>
      </c>
      <c r="DL599" s="27" t="s">
        <v>7</v>
      </c>
      <c r="DM599" s="27" t="s">
        <v>8</v>
      </c>
      <c r="DN599" s="27" t="s">
        <v>7</v>
      </c>
      <c r="DO599" s="27" t="s">
        <v>8</v>
      </c>
      <c r="EJ599" s="27" t="s">
        <v>7</v>
      </c>
      <c r="EK599" s="27" t="s">
        <v>8</v>
      </c>
      <c r="NU599" s="27" t="s">
        <v>8</v>
      </c>
      <c r="NV599" s="27" t="s">
        <v>7</v>
      </c>
      <c r="OK599" s="27" t="s">
        <v>8</v>
      </c>
      <c r="OT599" s="27" t="s">
        <v>7</v>
      </c>
      <c r="PF599" s="27" t="s">
        <v>7</v>
      </c>
      <c r="PX599" s="27" t="s">
        <v>7</v>
      </c>
      <c r="TM599" s="27" t="s">
        <v>8</v>
      </c>
      <c r="TN599" s="27" t="s">
        <v>7</v>
      </c>
      <c r="TO599" s="27" t="s">
        <v>8</v>
      </c>
      <c r="TP599" s="27" t="s">
        <v>7</v>
      </c>
      <c r="TQ599" s="27" t="s">
        <v>8</v>
      </c>
      <c r="TR599" s="27" t="s">
        <v>7</v>
      </c>
      <c r="TS599" s="27" t="s">
        <v>8</v>
      </c>
      <c r="UD599" s="27" t="s">
        <v>7</v>
      </c>
    </row>
    <row r="600" spans="1:556" x14ac:dyDescent="0.25">
      <c r="A600" s="7">
        <v>0.77303252508005538</v>
      </c>
      <c r="B600"/>
      <c r="C600"/>
      <c r="D600"/>
      <c r="E600"/>
      <c r="L600" s="27" t="s">
        <v>7</v>
      </c>
      <c r="M600" s="27" t="s">
        <v>8</v>
      </c>
      <c r="N600" s="27" t="s">
        <v>7</v>
      </c>
      <c r="BY600" s="27" t="s">
        <v>8</v>
      </c>
      <c r="BZ600" s="27" t="s">
        <v>7</v>
      </c>
      <c r="CA600" s="27" t="s">
        <v>8</v>
      </c>
      <c r="CJ600" s="27" t="s">
        <v>7</v>
      </c>
      <c r="CK600" s="27" t="s">
        <v>8</v>
      </c>
      <c r="CR600" s="27" t="s">
        <v>7</v>
      </c>
      <c r="DA600" s="27" t="s">
        <v>8</v>
      </c>
      <c r="DB600" s="27" t="s">
        <v>7</v>
      </c>
      <c r="DE600" s="27" t="s">
        <v>8</v>
      </c>
      <c r="DG600" s="27" t="s">
        <v>8</v>
      </c>
      <c r="DH600" s="27" t="s">
        <v>7</v>
      </c>
      <c r="DI600" s="27" t="s">
        <v>8</v>
      </c>
      <c r="DJ600" s="27" t="s">
        <v>7</v>
      </c>
      <c r="DK600" s="27" t="s">
        <v>8</v>
      </c>
      <c r="DL600" s="27" t="s">
        <v>7</v>
      </c>
      <c r="DM600" s="27" t="s">
        <v>8</v>
      </c>
      <c r="DN600" s="27" t="s">
        <v>7</v>
      </c>
      <c r="DO600" s="27" t="s">
        <v>8</v>
      </c>
      <c r="EJ600" s="27" t="s">
        <v>7</v>
      </c>
      <c r="EK600" s="27" t="s">
        <v>8</v>
      </c>
      <c r="EL600" s="27" t="s">
        <v>7</v>
      </c>
      <c r="NU600" s="27" t="s">
        <v>8</v>
      </c>
      <c r="NV600" s="27" t="s">
        <v>7</v>
      </c>
      <c r="OK600" s="27" t="s">
        <v>8</v>
      </c>
      <c r="PX600" s="27" t="s">
        <v>7</v>
      </c>
      <c r="TM600" s="27" t="s">
        <v>8</v>
      </c>
      <c r="TN600" s="27" t="s">
        <v>7</v>
      </c>
      <c r="TO600" s="27" t="s">
        <v>8</v>
      </c>
      <c r="TP600" s="27" t="s">
        <v>7</v>
      </c>
      <c r="TQ600" s="27" t="s">
        <v>8</v>
      </c>
      <c r="TR600" s="27" t="s">
        <v>7</v>
      </c>
      <c r="TS600" s="27" t="s">
        <v>8</v>
      </c>
      <c r="UD600" s="27" t="s">
        <v>7</v>
      </c>
      <c r="UE600" s="27" t="s">
        <v>8</v>
      </c>
    </row>
    <row r="601" spans="1:556" x14ac:dyDescent="0.25">
      <c r="A601" s="7">
        <v>0.75787502458828959</v>
      </c>
      <c r="B601"/>
      <c r="C601"/>
      <c r="D601"/>
      <c r="E601"/>
      <c r="L601" s="27" t="s">
        <v>7</v>
      </c>
      <c r="M601" s="27" t="s">
        <v>8</v>
      </c>
      <c r="N601" s="27" t="s">
        <v>7</v>
      </c>
      <c r="BY601" s="27" t="s">
        <v>8</v>
      </c>
      <c r="BZ601" s="27" t="s">
        <v>7</v>
      </c>
      <c r="CA601" s="27" t="s">
        <v>8</v>
      </c>
      <c r="CJ601" s="27" t="s">
        <v>7</v>
      </c>
      <c r="CR601" s="27" t="s">
        <v>7</v>
      </c>
      <c r="CS601" s="27" t="s">
        <v>8</v>
      </c>
      <c r="DA601" s="27" t="s">
        <v>8</v>
      </c>
      <c r="DB601" s="27" t="s">
        <v>7</v>
      </c>
      <c r="DE601" s="27" t="s">
        <v>8</v>
      </c>
      <c r="DF601" s="27" t="s">
        <v>7</v>
      </c>
      <c r="DG601" s="27" t="s">
        <v>8</v>
      </c>
      <c r="DH601" s="27" t="s">
        <v>7</v>
      </c>
      <c r="DI601" s="27" t="s">
        <v>8</v>
      </c>
      <c r="DJ601" s="27" t="s">
        <v>7</v>
      </c>
      <c r="DK601" s="27" t="s">
        <v>8</v>
      </c>
      <c r="DL601" s="27" t="s">
        <v>7</v>
      </c>
      <c r="DM601" s="27" t="s">
        <v>8</v>
      </c>
      <c r="DN601" s="27" t="s">
        <v>7</v>
      </c>
      <c r="EJ601" s="27" t="s">
        <v>7</v>
      </c>
      <c r="EK601" s="27" t="s">
        <v>8</v>
      </c>
      <c r="EL601" s="27" t="s">
        <v>7</v>
      </c>
      <c r="NU601" s="27" t="s">
        <v>8</v>
      </c>
      <c r="NV601" s="27" t="s">
        <v>7</v>
      </c>
      <c r="OI601" s="27" t="s">
        <v>8</v>
      </c>
      <c r="OK601" s="27" t="s">
        <v>8</v>
      </c>
      <c r="PX601" s="27" t="s">
        <v>7</v>
      </c>
      <c r="TM601" s="27" t="s">
        <v>8</v>
      </c>
      <c r="TN601" s="27" t="s">
        <v>7</v>
      </c>
      <c r="TO601" s="27" t="s">
        <v>8</v>
      </c>
      <c r="TP601" s="27" t="s">
        <v>7</v>
      </c>
      <c r="TQ601" s="27" t="s">
        <v>8</v>
      </c>
      <c r="TR601" s="27" t="s">
        <v>7</v>
      </c>
      <c r="UD601" s="27" t="s">
        <v>7</v>
      </c>
      <c r="UE601" s="27" t="s">
        <v>8</v>
      </c>
      <c r="UF601" s="27" t="s">
        <v>7</v>
      </c>
    </row>
    <row r="602" spans="1:556" x14ac:dyDescent="0.25">
      <c r="A602" s="7">
        <v>0.74301472998851925</v>
      </c>
      <c r="B602"/>
      <c r="C602"/>
      <c r="D602"/>
      <c r="E602"/>
      <c r="L602" s="27" t="s">
        <v>7</v>
      </c>
      <c r="N602" s="27" t="s">
        <v>7</v>
      </c>
      <c r="BW602" s="27" t="s">
        <v>8</v>
      </c>
      <c r="BY602" s="27" t="s">
        <v>8</v>
      </c>
      <c r="BZ602" s="27" t="s">
        <v>7</v>
      </c>
      <c r="CA602" s="27" t="s">
        <v>8</v>
      </c>
      <c r="CR602" s="27" t="s">
        <v>7</v>
      </c>
      <c r="CS602" s="27" t="s">
        <v>8</v>
      </c>
      <c r="CT602" s="27" t="s">
        <v>7</v>
      </c>
      <c r="CU602" s="27" t="s">
        <v>8</v>
      </c>
      <c r="DA602" s="27" t="s">
        <v>8</v>
      </c>
      <c r="DB602" s="27" t="s">
        <v>7</v>
      </c>
      <c r="DE602" s="27" t="s">
        <v>8</v>
      </c>
      <c r="DF602" s="27" t="s">
        <v>7</v>
      </c>
      <c r="DG602" s="27" t="s">
        <v>8</v>
      </c>
      <c r="DH602" s="27" t="s">
        <v>7</v>
      </c>
      <c r="DJ602" s="27" t="s">
        <v>7</v>
      </c>
      <c r="DK602" s="27" t="s">
        <v>8</v>
      </c>
      <c r="DL602" s="27" t="s">
        <v>7</v>
      </c>
      <c r="DM602" s="27" t="s">
        <v>8</v>
      </c>
      <c r="EJ602" s="27" t="s">
        <v>7</v>
      </c>
      <c r="EK602" s="27" t="s">
        <v>8</v>
      </c>
      <c r="EL602" s="27" t="s">
        <v>7</v>
      </c>
      <c r="NU602" s="27" t="s">
        <v>8</v>
      </c>
      <c r="NV602" s="27" t="s">
        <v>7</v>
      </c>
      <c r="NY602" s="27" t="s">
        <v>8</v>
      </c>
      <c r="OI602" s="27" t="s">
        <v>8</v>
      </c>
      <c r="OJ602" s="27" t="s">
        <v>7</v>
      </c>
      <c r="OK602" s="27" t="s">
        <v>8</v>
      </c>
      <c r="PX602" s="27" t="s">
        <v>7</v>
      </c>
      <c r="SI602" s="27" t="s">
        <v>8</v>
      </c>
      <c r="TM602" s="27" t="s">
        <v>8</v>
      </c>
      <c r="TN602" s="27" t="s">
        <v>7</v>
      </c>
      <c r="TO602" s="27" t="s">
        <v>8</v>
      </c>
      <c r="TP602" s="27" t="s">
        <v>7</v>
      </c>
      <c r="TQ602" s="27" t="s">
        <v>8</v>
      </c>
      <c r="UD602" s="27" t="s">
        <v>7</v>
      </c>
      <c r="UE602" s="27" t="s">
        <v>8</v>
      </c>
      <c r="UF602" s="27" t="s">
        <v>7</v>
      </c>
    </row>
    <row r="603" spans="1:556" x14ac:dyDescent="0.25">
      <c r="A603" s="7">
        <v>0.72844581371423456</v>
      </c>
      <c r="B603"/>
      <c r="C603"/>
      <c r="D603"/>
      <c r="E603"/>
      <c r="N603" s="27" t="s">
        <v>7</v>
      </c>
      <c r="BW603" s="27" t="s">
        <v>8</v>
      </c>
      <c r="BX603" s="27" t="s">
        <v>7</v>
      </c>
      <c r="BY603" s="27" t="s">
        <v>8</v>
      </c>
      <c r="BZ603" s="27" t="s">
        <v>7</v>
      </c>
      <c r="CA603" s="27" t="s">
        <v>8</v>
      </c>
      <c r="CR603" s="27" t="s">
        <v>7</v>
      </c>
      <c r="CS603" s="27" t="s">
        <v>8</v>
      </c>
      <c r="CT603" s="27" t="s">
        <v>7</v>
      </c>
      <c r="CU603" s="27" t="s">
        <v>8</v>
      </c>
      <c r="CV603" s="27" t="s">
        <v>7</v>
      </c>
      <c r="CY603" s="27" t="s">
        <v>8</v>
      </c>
      <c r="DA603" s="27" t="s">
        <v>8</v>
      </c>
      <c r="DB603" s="27" t="s">
        <v>7</v>
      </c>
      <c r="DC603" s="27" t="s">
        <v>8</v>
      </c>
      <c r="DE603" s="27" t="s">
        <v>8</v>
      </c>
      <c r="DF603" s="27" t="s">
        <v>7</v>
      </c>
      <c r="DG603" s="27" t="s">
        <v>8</v>
      </c>
      <c r="DJ603" s="27" t="s">
        <v>7</v>
      </c>
      <c r="DL603" s="27" t="s">
        <v>7</v>
      </c>
      <c r="DM603" s="27" t="s">
        <v>8</v>
      </c>
      <c r="EJ603" s="27" t="s">
        <v>7</v>
      </c>
      <c r="EK603" s="27" t="s">
        <v>8</v>
      </c>
      <c r="EL603" s="27" t="s">
        <v>7</v>
      </c>
      <c r="NU603" s="27" t="s">
        <v>8</v>
      </c>
      <c r="NV603" s="27" t="s">
        <v>7</v>
      </c>
      <c r="NY603" s="27" t="s">
        <v>8</v>
      </c>
      <c r="NZ603" s="27" t="s">
        <v>7</v>
      </c>
      <c r="OI603" s="27" t="s">
        <v>8</v>
      </c>
      <c r="OJ603" s="27" t="s">
        <v>7</v>
      </c>
      <c r="OK603" s="27" t="s">
        <v>8</v>
      </c>
      <c r="PX603" s="27" t="s">
        <v>7</v>
      </c>
      <c r="RQ603" s="27" t="s">
        <v>8</v>
      </c>
      <c r="SI603" s="27" t="s">
        <v>8</v>
      </c>
      <c r="SJ603" s="27" t="s">
        <v>7</v>
      </c>
      <c r="TM603" s="27" t="s">
        <v>8</v>
      </c>
      <c r="TN603" s="27" t="s">
        <v>7</v>
      </c>
      <c r="TO603" s="27" t="s">
        <v>8</v>
      </c>
      <c r="TP603" s="27" t="s">
        <v>7</v>
      </c>
      <c r="TQ603" s="27" t="s">
        <v>8</v>
      </c>
      <c r="UD603" s="27" t="s">
        <v>7</v>
      </c>
      <c r="UE603" s="27" t="s">
        <v>8</v>
      </c>
      <c r="UF603" s="27" t="s">
        <v>7</v>
      </c>
    </row>
    <row r="604" spans="1:556" x14ac:dyDescent="0.25">
      <c r="A604" s="7">
        <v>0.71416256246493581</v>
      </c>
      <c r="B604"/>
      <c r="C604"/>
      <c r="D604"/>
      <c r="E604"/>
      <c r="N604" s="27" t="s">
        <v>7</v>
      </c>
      <c r="BW604" s="27" t="s">
        <v>8</v>
      </c>
      <c r="BX604" s="27" t="s">
        <v>7</v>
      </c>
      <c r="BY604" s="27" t="s">
        <v>8</v>
      </c>
      <c r="BZ604" s="27" t="s">
        <v>7</v>
      </c>
      <c r="CA604" s="27" t="s">
        <v>8</v>
      </c>
      <c r="CR604" s="27" t="s">
        <v>7</v>
      </c>
      <c r="CS604" s="27" t="s">
        <v>8</v>
      </c>
      <c r="CT604" s="27" t="s">
        <v>7</v>
      </c>
      <c r="CU604" s="27" t="s">
        <v>8</v>
      </c>
      <c r="CV604" s="27" t="s">
        <v>7</v>
      </c>
      <c r="CW604" s="27" t="s">
        <v>8</v>
      </c>
      <c r="CY604" s="27" t="s">
        <v>8</v>
      </c>
      <c r="CZ604" s="27" t="s">
        <v>7</v>
      </c>
      <c r="DA604" s="27" t="s">
        <v>8</v>
      </c>
      <c r="DB604" s="27" t="s">
        <v>7</v>
      </c>
      <c r="DC604" s="27" t="s">
        <v>8</v>
      </c>
      <c r="DD604" s="27" t="s">
        <v>7</v>
      </c>
      <c r="DE604" s="27" t="s">
        <v>8</v>
      </c>
      <c r="DF604" s="27" t="s">
        <v>7</v>
      </c>
      <c r="DG604" s="27" t="s">
        <v>8</v>
      </c>
      <c r="DL604" s="27" t="s">
        <v>7</v>
      </c>
      <c r="DM604" s="27" t="s">
        <v>8</v>
      </c>
      <c r="EJ604" s="27" t="s">
        <v>7</v>
      </c>
      <c r="EK604" s="27" t="s">
        <v>8</v>
      </c>
      <c r="EL604" s="27" t="s">
        <v>7</v>
      </c>
      <c r="KC604" s="27" t="s">
        <v>8</v>
      </c>
      <c r="NU604" s="27" t="s">
        <v>8</v>
      </c>
      <c r="NV604" s="27" t="s">
        <v>7</v>
      </c>
      <c r="NW604" s="27" t="s">
        <v>8</v>
      </c>
      <c r="NY604" s="27" t="s">
        <v>8</v>
      </c>
      <c r="NZ604" s="27" t="s">
        <v>7</v>
      </c>
      <c r="OI604" s="27" t="s">
        <v>8</v>
      </c>
      <c r="OJ604" s="27" t="s">
        <v>7</v>
      </c>
      <c r="OK604" s="27" t="s">
        <v>8</v>
      </c>
      <c r="PX604" s="27" t="s">
        <v>7</v>
      </c>
      <c r="RQ604" s="27" t="s">
        <v>8</v>
      </c>
      <c r="RR604" s="27" t="s">
        <v>7</v>
      </c>
      <c r="RS604" s="27" t="s">
        <v>8</v>
      </c>
      <c r="SI604" s="27" t="s">
        <v>8</v>
      </c>
      <c r="SJ604" s="27" t="s">
        <v>7</v>
      </c>
      <c r="SQ604" s="27" t="s">
        <v>8</v>
      </c>
      <c r="TM604" s="27" t="s">
        <v>8</v>
      </c>
      <c r="TN604" s="27" t="s">
        <v>7</v>
      </c>
      <c r="TO604" s="27" t="s">
        <v>8</v>
      </c>
      <c r="TP604" s="27" t="s">
        <v>7</v>
      </c>
      <c r="TQ604" s="27" t="s">
        <v>8</v>
      </c>
      <c r="UD604" s="27" t="s">
        <v>7</v>
      </c>
      <c r="UE604" s="27" t="s">
        <v>8</v>
      </c>
      <c r="UF604" s="27" t="s">
        <v>7</v>
      </c>
    </row>
    <row r="605" spans="1:556" x14ac:dyDescent="0.25">
      <c r="A605" s="7">
        <v>0.7001593749656233</v>
      </c>
      <c r="B605"/>
      <c r="C605"/>
      <c r="D605"/>
      <c r="E605"/>
      <c r="N605" s="27" t="s">
        <v>7</v>
      </c>
      <c r="BW605" s="27" t="s">
        <v>8</v>
      </c>
      <c r="BX605" s="27" t="s">
        <v>7</v>
      </c>
      <c r="BY605" s="27" t="s">
        <v>8</v>
      </c>
      <c r="BZ605" s="27" t="s">
        <v>7</v>
      </c>
      <c r="CR605" s="27" t="s">
        <v>7</v>
      </c>
      <c r="CT605" s="27" t="s">
        <v>7</v>
      </c>
      <c r="CU605" s="27" t="s">
        <v>8</v>
      </c>
      <c r="CV605" s="27" t="s">
        <v>7</v>
      </c>
      <c r="CW605" s="27" t="s">
        <v>8</v>
      </c>
      <c r="CX605" s="27" t="s">
        <v>7</v>
      </c>
      <c r="CY605" s="27" t="s">
        <v>8</v>
      </c>
      <c r="CZ605" s="27" t="s">
        <v>7</v>
      </c>
      <c r="DA605" s="27" t="s">
        <v>8</v>
      </c>
      <c r="DB605" s="27" t="s">
        <v>7</v>
      </c>
      <c r="DC605" s="27" t="s">
        <v>8</v>
      </c>
      <c r="DD605" s="27" t="s">
        <v>7</v>
      </c>
      <c r="DE605" s="27" t="s">
        <v>8</v>
      </c>
      <c r="DF605" s="27" t="s">
        <v>7</v>
      </c>
      <c r="DG605" s="27" t="s">
        <v>8</v>
      </c>
      <c r="DL605" s="27" t="s">
        <v>7</v>
      </c>
      <c r="EJ605" s="27" t="s">
        <v>7</v>
      </c>
      <c r="EK605" s="27" t="s">
        <v>8</v>
      </c>
      <c r="EL605" s="27" t="s">
        <v>7</v>
      </c>
      <c r="KC605" s="27" t="s">
        <v>8</v>
      </c>
      <c r="KD605" s="27" t="s">
        <v>7</v>
      </c>
      <c r="NU605" s="27" t="s">
        <v>8</v>
      </c>
      <c r="NV605" s="27" t="s">
        <v>7</v>
      </c>
      <c r="NW605" s="27" t="s">
        <v>8</v>
      </c>
      <c r="NX605" s="27" t="s">
        <v>7</v>
      </c>
      <c r="NY605" s="27" t="s">
        <v>8</v>
      </c>
      <c r="NZ605" s="27" t="s">
        <v>7</v>
      </c>
      <c r="OA605" s="27" t="s">
        <v>8</v>
      </c>
      <c r="OI605" s="27" t="s">
        <v>8</v>
      </c>
      <c r="OJ605" s="27" t="s">
        <v>7</v>
      </c>
      <c r="OK605" s="27" t="s">
        <v>8</v>
      </c>
      <c r="PX605" s="27" t="s">
        <v>7</v>
      </c>
      <c r="PY605" s="27" t="s">
        <v>8</v>
      </c>
      <c r="RK605" s="27" t="s">
        <v>8</v>
      </c>
      <c r="RQ605" s="27" t="s">
        <v>8</v>
      </c>
      <c r="RR605" s="27" t="s">
        <v>7</v>
      </c>
      <c r="RS605" s="27" t="s">
        <v>8</v>
      </c>
      <c r="RT605" s="27" t="s">
        <v>7</v>
      </c>
      <c r="SI605" s="27" t="s">
        <v>8</v>
      </c>
      <c r="SJ605" s="27" t="s">
        <v>7</v>
      </c>
      <c r="SQ605" s="27" t="s">
        <v>8</v>
      </c>
      <c r="SR605" s="27" t="s">
        <v>7</v>
      </c>
      <c r="SY605" s="27" t="s">
        <v>8</v>
      </c>
      <c r="TM605" s="27" t="s">
        <v>8</v>
      </c>
      <c r="TN605" s="27" t="s">
        <v>7</v>
      </c>
      <c r="TO605" s="27" t="s">
        <v>8</v>
      </c>
      <c r="TP605" s="27" t="s">
        <v>7</v>
      </c>
      <c r="TQ605" s="27" t="s">
        <v>8</v>
      </c>
      <c r="UD605" s="27" t="s">
        <v>7</v>
      </c>
      <c r="UE605" s="27" t="s">
        <v>8</v>
      </c>
      <c r="UF605" s="27" t="s">
        <v>7</v>
      </c>
    </row>
    <row r="606" spans="1:556" x14ac:dyDescent="0.25">
      <c r="A606" s="7">
        <v>0.68643075977021883</v>
      </c>
      <c r="B606"/>
      <c r="C606"/>
      <c r="D606"/>
      <c r="E606"/>
      <c r="N606" s="27" t="s">
        <v>7</v>
      </c>
      <c r="BW606" s="27" t="s">
        <v>8</v>
      </c>
      <c r="BX606" s="27" t="s">
        <v>7</v>
      </c>
      <c r="BY606" s="27" t="s">
        <v>8</v>
      </c>
      <c r="CT606" s="27" t="s">
        <v>7</v>
      </c>
      <c r="CU606" s="27" t="s">
        <v>8</v>
      </c>
      <c r="CV606" s="27" t="s">
        <v>7</v>
      </c>
      <c r="CW606" s="27" t="s">
        <v>8</v>
      </c>
      <c r="CX606" s="27" t="s">
        <v>7</v>
      </c>
      <c r="CY606" s="27" t="s">
        <v>8</v>
      </c>
      <c r="CZ606" s="27" t="s">
        <v>7</v>
      </c>
      <c r="DA606" s="27" t="s">
        <v>8</v>
      </c>
      <c r="DB606" s="27" t="s">
        <v>7</v>
      </c>
      <c r="DC606" s="27" t="s">
        <v>8</v>
      </c>
      <c r="DD606" s="27" t="s">
        <v>7</v>
      </c>
      <c r="DE606" s="27" t="s">
        <v>8</v>
      </c>
      <c r="DF606" s="27" t="s">
        <v>7</v>
      </c>
      <c r="EJ606" s="27" t="s">
        <v>7</v>
      </c>
      <c r="EL606" s="27" t="s">
        <v>7</v>
      </c>
      <c r="KC606" s="27" t="s">
        <v>8</v>
      </c>
      <c r="KD606" s="27" t="s">
        <v>7</v>
      </c>
      <c r="NU606" s="27" t="s">
        <v>8</v>
      </c>
      <c r="NV606" s="27" t="s">
        <v>7</v>
      </c>
      <c r="NW606" s="27" t="s">
        <v>8</v>
      </c>
      <c r="NX606" s="27" t="s">
        <v>7</v>
      </c>
      <c r="NY606" s="27" t="s">
        <v>8</v>
      </c>
      <c r="NZ606" s="27" t="s">
        <v>7</v>
      </c>
      <c r="OA606" s="27" t="s">
        <v>8</v>
      </c>
      <c r="OB606" s="27" t="s">
        <v>7</v>
      </c>
      <c r="OI606" s="27" t="s">
        <v>8</v>
      </c>
      <c r="OJ606" s="27" t="s">
        <v>7</v>
      </c>
      <c r="OK606" s="27" t="s">
        <v>8</v>
      </c>
      <c r="PX606" s="27" t="s">
        <v>7</v>
      </c>
      <c r="PY606" s="27" t="s">
        <v>8</v>
      </c>
      <c r="PZ606" s="27" t="s">
        <v>7</v>
      </c>
      <c r="QG606" s="27" t="s">
        <v>8</v>
      </c>
      <c r="RG606" s="27" t="s">
        <v>8</v>
      </c>
      <c r="RK606" s="27" t="s">
        <v>8</v>
      </c>
      <c r="RL606" s="27" t="s">
        <v>7</v>
      </c>
      <c r="RQ606" s="27" t="s">
        <v>8</v>
      </c>
      <c r="RR606" s="27" t="s">
        <v>7</v>
      </c>
      <c r="RS606" s="27" t="s">
        <v>8</v>
      </c>
      <c r="RT606" s="27" t="s">
        <v>7</v>
      </c>
      <c r="SI606" s="27" t="s">
        <v>8</v>
      </c>
      <c r="SJ606" s="27" t="s">
        <v>7</v>
      </c>
      <c r="SQ606" s="27" t="s">
        <v>8</v>
      </c>
      <c r="SR606" s="27" t="s">
        <v>7</v>
      </c>
      <c r="SY606" s="27" t="s">
        <v>8</v>
      </c>
      <c r="SZ606" s="27" t="s">
        <v>7</v>
      </c>
      <c r="TG606" s="27" t="s">
        <v>8</v>
      </c>
      <c r="TM606" s="27" t="s">
        <v>8</v>
      </c>
      <c r="TN606" s="27" t="s">
        <v>7</v>
      </c>
      <c r="TO606" s="27" t="s">
        <v>8</v>
      </c>
      <c r="TP606" s="27" t="s">
        <v>7</v>
      </c>
      <c r="TQ606" s="27" t="s">
        <v>8</v>
      </c>
      <c r="UD606" s="27" t="s">
        <v>7</v>
      </c>
      <c r="UE606" s="27" t="s">
        <v>8</v>
      </c>
      <c r="UF606" s="27" t="s">
        <v>7</v>
      </c>
      <c r="UI606" s="27" t="s">
        <v>8</v>
      </c>
    </row>
    <row r="607" spans="1:556" x14ac:dyDescent="0.25">
      <c r="A607" s="7">
        <v>0.67297133310805768</v>
      </c>
      <c r="B607"/>
      <c r="C607"/>
      <c r="D607"/>
      <c r="E607"/>
      <c r="N607" s="27" t="s">
        <v>7</v>
      </c>
      <c r="O607" s="27" t="s">
        <v>8</v>
      </c>
      <c r="BW607" s="27" t="s">
        <v>8</v>
      </c>
      <c r="BX607" s="27" t="s">
        <v>7</v>
      </c>
      <c r="BY607" s="27" t="s">
        <v>8</v>
      </c>
      <c r="CT607" s="27" t="s">
        <v>7</v>
      </c>
      <c r="CU607" s="27" t="s">
        <v>8</v>
      </c>
      <c r="CV607" s="27" t="s">
        <v>7</v>
      </c>
      <c r="CW607" s="27" t="s">
        <v>8</v>
      </c>
      <c r="CX607" s="27" t="s">
        <v>7</v>
      </c>
      <c r="CY607" s="27" t="s">
        <v>8</v>
      </c>
      <c r="CZ607" s="27" t="s">
        <v>7</v>
      </c>
      <c r="DA607" s="27" t="s">
        <v>8</v>
      </c>
      <c r="DB607" s="27" t="s">
        <v>7</v>
      </c>
      <c r="DC607" s="27" t="s">
        <v>8</v>
      </c>
      <c r="DD607" s="27" t="s">
        <v>7</v>
      </c>
      <c r="EL607" s="27" t="s">
        <v>7</v>
      </c>
      <c r="KC607" s="27" t="s">
        <v>8</v>
      </c>
      <c r="KD607" s="27" t="s">
        <v>7</v>
      </c>
      <c r="NU607" s="27" t="s">
        <v>8</v>
      </c>
      <c r="NV607" s="27" t="s">
        <v>7</v>
      </c>
      <c r="NW607" s="27" t="s">
        <v>8</v>
      </c>
      <c r="NX607" s="27" t="s">
        <v>7</v>
      </c>
      <c r="NY607" s="27" t="s">
        <v>8</v>
      </c>
      <c r="NZ607" s="27" t="s">
        <v>7</v>
      </c>
      <c r="OA607" s="27" t="s">
        <v>8</v>
      </c>
      <c r="OB607" s="27" t="s">
        <v>7</v>
      </c>
      <c r="OI607" s="27" t="s">
        <v>8</v>
      </c>
      <c r="OJ607" s="27" t="s">
        <v>7</v>
      </c>
      <c r="OK607" s="27" t="s">
        <v>8</v>
      </c>
      <c r="PX607" s="27" t="s">
        <v>7</v>
      </c>
      <c r="PY607" s="27" t="s">
        <v>8</v>
      </c>
      <c r="PZ607" s="27" t="s">
        <v>7</v>
      </c>
      <c r="QG607" s="27" t="s">
        <v>8</v>
      </c>
      <c r="QH607" s="27" t="s">
        <v>7</v>
      </c>
      <c r="RG607" s="27" t="s">
        <v>8</v>
      </c>
      <c r="RH607" s="27" t="s">
        <v>7</v>
      </c>
      <c r="RK607" s="27" t="s">
        <v>8</v>
      </c>
      <c r="RL607" s="27" t="s">
        <v>7</v>
      </c>
      <c r="RM607" s="27" t="s">
        <v>8</v>
      </c>
      <c r="RQ607" s="27" t="s">
        <v>8</v>
      </c>
      <c r="RR607" s="27" t="s">
        <v>7</v>
      </c>
      <c r="RS607" s="27" t="s">
        <v>8</v>
      </c>
      <c r="RT607" s="27" t="s">
        <v>7</v>
      </c>
      <c r="SC607" s="27" t="s">
        <v>8</v>
      </c>
      <c r="SI607" s="27" t="s">
        <v>8</v>
      </c>
      <c r="SJ607" s="27" t="s">
        <v>7</v>
      </c>
      <c r="SQ607" s="27" t="s">
        <v>8</v>
      </c>
      <c r="SR607" s="27" t="s">
        <v>7</v>
      </c>
      <c r="SY607" s="27" t="s">
        <v>8</v>
      </c>
      <c r="SZ607" s="27" t="s">
        <v>7</v>
      </c>
      <c r="TG607" s="27" t="s">
        <v>8</v>
      </c>
      <c r="TH607" s="27" t="s">
        <v>7</v>
      </c>
      <c r="TM607" s="27" t="s">
        <v>8</v>
      </c>
      <c r="TN607" s="27" t="s">
        <v>7</v>
      </c>
      <c r="TO607" s="27" t="s">
        <v>8</v>
      </c>
      <c r="TP607" s="27" t="s">
        <v>7</v>
      </c>
      <c r="UD607" s="27" t="s">
        <v>7</v>
      </c>
      <c r="UE607" s="27" t="s">
        <v>8</v>
      </c>
      <c r="UF607" s="27" t="s">
        <v>7</v>
      </c>
      <c r="UI607" s="27" t="s">
        <v>8</v>
      </c>
      <c r="UJ607" s="27" t="s">
        <v>7</v>
      </c>
    </row>
    <row r="608" spans="1:556" x14ac:dyDescent="0.25">
      <c r="A608" s="7">
        <v>0.65977581677260566</v>
      </c>
      <c r="B608"/>
      <c r="C608"/>
      <c r="D608"/>
      <c r="E608"/>
      <c r="N608" s="27" t="s">
        <v>7</v>
      </c>
      <c r="O608" s="27" t="s">
        <v>8</v>
      </c>
      <c r="P608" s="27" t="s">
        <v>7</v>
      </c>
      <c r="BW608" s="27" t="s">
        <v>8</v>
      </c>
      <c r="BX608" s="27" t="s">
        <v>7</v>
      </c>
      <c r="BY608" s="27" t="s">
        <v>8</v>
      </c>
      <c r="CT608" s="27" t="s">
        <v>7</v>
      </c>
      <c r="CV608" s="27" t="s">
        <v>7</v>
      </c>
      <c r="CX608" s="27" t="s">
        <v>7</v>
      </c>
      <c r="CY608" s="27" t="s">
        <v>8</v>
      </c>
      <c r="CZ608" s="27" t="s">
        <v>7</v>
      </c>
      <c r="DA608" s="27" t="s">
        <v>8</v>
      </c>
      <c r="DB608" s="27" t="s">
        <v>7</v>
      </c>
      <c r="DC608" s="27" t="s">
        <v>8</v>
      </c>
      <c r="EL608" s="27" t="s">
        <v>7</v>
      </c>
      <c r="KC608" s="27" t="s">
        <v>8</v>
      </c>
      <c r="KD608" s="27" t="s">
        <v>7</v>
      </c>
      <c r="NU608" s="27" t="s">
        <v>8</v>
      </c>
      <c r="NV608" s="27" t="s">
        <v>7</v>
      </c>
      <c r="NW608" s="27" t="s">
        <v>8</v>
      </c>
      <c r="NX608" s="27" t="s">
        <v>7</v>
      </c>
      <c r="NY608" s="27" t="s">
        <v>8</v>
      </c>
      <c r="NZ608" s="27" t="s">
        <v>7</v>
      </c>
      <c r="OA608" s="27" t="s">
        <v>8</v>
      </c>
      <c r="OB608" s="27" t="s">
        <v>7</v>
      </c>
      <c r="OI608" s="27" t="s">
        <v>8</v>
      </c>
      <c r="OJ608" s="27" t="s">
        <v>7</v>
      </c>
      <c r="OK608" s="27" t="s">
        <v>8</v>
      </c>
      <c r="PX608" s="27" t="s">
        <v>7</v>
      </c>
      <c r="PY608" s="27" t="s">
        <v>8</v>
      </c>
      <c r="PZ608" s="27" t="s">
        <v>7</v>
      </c>
      <c r="QA608" s="27" t="s">
        <v>8</v>
      </c>
      <c r="QG608" s="27" t="s">
        <v>8</v>
      </c>
      <c r="QH608" s="27" t="s">
        <v>7</v>
      </c>
      <c r="RG608" s="27" t="s">
        <v>8</v>
      </c>
      <c r="RH608" s="27" t="s">
        <v>7</v>
      </c>
      <c r="RK608" s="27" t="s">
        <v>8</v>
      </c>
      <c r="RL608" s="27" t="s">
        <v>7</v>
      </c>
      <c r="RM608" s="27" t="s">
        <v>8</v>
      </c>
      <c r="RN608" s="27" t="s">
        <v>7</v>
      </c>
      <c r="RQ608" s="27" t="s">
        <v>8</v>
      </c>
      <c r="RR608" s="27" t="s">
        <v>7</v>
      </c>
      <c r="RT608" s="27" t="s">
        <v>7</v>
      </c>
      <c r="SC608" s="27" t="s">
        <v>8</v>
      </c>
      <c r="SD608" s="27" t="s">
        <v>7</v>
      </c>
      <c r="SI608" s="27" t="s">
        <v>8</v>
      </c>
      <c r="SJ608" s="27" t="s">
        <v>7</v>
      </c>
      <c r="SQ608" s="27" t="s">
        <v>8</v>
      </c>
      <c r="SR608" s="27" t="s">
        <v>7</v>
      </c>
      <c r="SY608" s="27" t="s">
        <v>8</v>
      </c>
      <c r="SZ608" s="27" t="s">
        <v>7</v>
      </c>
      <c r="TG608" s="27" t="s">
        <v>8</v>
      </c>
      <c r="TH608" s="27" t="s">
        <v>7</v>
      </c>
      <c r="TM608" s="27" t="s">
        <v>8</v>
      </c>
      <c r="TN608" s="27" t="s">
        <v>7</v>
      </c>
      <c r="TO608" s="27" t="s">
        <v>8</v>
      </c>
      <c r="UD608" s="27" t="s">
        <v>7</v>
      </c>
      <c r="UE608" s="27" t="s">
        <v>8</v>
      </c>
      <c r="UF608" s="27" t="s">
        <v>7</v>
      </c>
      <c r="UG608" s="27" t="s">
        <v>8</v>
      </c>
      <c r="UI608" s="27" t="s">
        <v>8</v>
      </c>
      <c r="UJ608" s="27" t="s">
        <v>7</v>
      </c>
    </row>
    <row r="609" spans="1:558" x14ac:dyDescent="0.25">
      <c r="A609" s="7">
        <v>0.64683903605157422</v>
      </c>
      <c r="B609"/>
      <c r="C609"/>
      <c r="D609"/>
      <c r="E609"/>
      <c r="N609" s="27" t="s">
        <v>7</v>
      </c>
      <c r="O609" s="27" t="s">
        <v>8</v>
      </c>
      <c r="P609" s="27" t="s">
        <v>7</v>
      </c>
      <c r="BO609" s="27" t="s">
        <v>8</v>
      </c>
      <c r="BW609" s="27" t="s">
        <v>8</v>
      </c>
      <c r="BX609" s="27" t="s">
        <v>7</v>
      </c>
      <c r="BY609" s="27" t="s">
        <v>8</v>
      </c>
      <c r="CX609" s="27" t="s">
        <v>7</v>
      </c>
      <c r="CY609" s="27" t="s">
        <v>8</v>
      </c>
      <c r="CZ609" s="27" t="s">
        <v>7</v>
      </c>
      <c r="DB609" s="27" t="s">
        <v>7</v>
      </c>
      <c r="EL609" s="27" t="s">
        <v>7</v>
      </c>
      <c r="KC609" s="27" t="s">
        <v>8</v>
      </c>
      <c r="KD609" s="27" t="s">
        <v>7</v>
      </c>
      <c r="NU609" s="27" t="s">
        <v>8</v>
      </c>
      <c r="NV609" s="27" t="s">
        <v>7</v>
      </c>
      <c r="NW609" s="27" t="s">
        <v>8</v>
      </c>
      <c r="NX609" s="27" t="s">
        <v>7</v>
      </c>
      <c r="NY609" s="27" t="s">
        <v>8</v>
      </c>
      <c r="NZ609" s="27" t="s">
        <v>7</v>
      </c>
      <c r="OA609" s="27" t="s">
        <v>8</v>
      </c>
      <c r="OB609" s="27" t="s">
        <v>7</v>
      </c>
      <c r="OI609" s="27" t="s">
        <v>8</v>
      </c>
      <c r="OJ609" s="27" t="s">
        <v>7</v>
      </c>
      <c r="PX609" s="27" t="s">
        <v>7</v>
      </c>
      <c r="PY609" s="27" t="s">
        <v>8</v>
      </c>
      <c r="PZ609" s="27" t="s">
        <v>7</v>
      </c>
      <c r="QA609" s="27" t="s">
        <v>8</v>
      </c>
      <c r="QB609" s="27" t="s">
        <v>7</v>
      </c>
      <c r="QE609" s="27" t="s">
        <v>8</v>
      </c>
      <c r="QG609" s="27" t="s">
        <v>8</v>
      </c>
      <c r="QH609" s="27" t="s">
        <v>7</v>
      </c>
      <c r="RG609" s="27" t="s">
        <v>8</v>
      </c>
      <c r="RH609" s="27" t="s">
        <v>7</v>
      </c>
      <c r="RK609" s="27" t="s">
        <v>8</v>
      </c>
      <c r="RL609" s="27" t="s">
        <v>7</v>
      </c>
      <c r="RM609" s="27" t="s">
        <v>8</v>
      </c>
      <c r="RN609" s="27" t="s">
        <v>7</v>
      </c>
      <c r="RO609" s="27" t="s">
        <v>8</v>
      </c>
      <c r="RQ609" s="27" t="s">
        <v>8</v>
      </c>
      <c r="RT609" s="27" t="s">
        <v>7</v>
      </c>
      <c r="SC609" s="27" t="s">
        <v>8</v>
      </c>
      <c r="SD609" s="27" t="s">
        <v>7</v>
      </c>
      <c r="SI609" s="27" t="s">
        <v>8</v>
      </c>
      <c r="SJ609" s="27" t="s">
        <v>7</v>
      </c>
      <c r="SK609" s="27" t="s">
        <v>8</v>
      </c>
      <c r="SQ609" s="27" t="s">
        <v>8</v>
      </c>
      <c r="SR609" s="27" t="s">
        <v>7</v>
      </c>
      <c r="SY609" s="27" t="s">
        <v>8</v>
      </c>
      <c r="SZ609" s="27" t="s">
        <v>7</v>
      </c>
      <c r="TG609" s="27" t="s">
        <v>8</v>
      </c>
      <c r="TH609" s="27" t="s">
        <v>7</v>
      </c>
      <c r="TM609" s="27" t="s">
        <v>8</v>
      </c>
      <c r="TN609" s="27" t="s">
        <v>7</v>
      </c>
      <c r="TO609" s="27" t="s">
        <v>8</v>
      </c>
      <c r="UD609" s="27" t="s">
        <v>7</v>
      </c>
      <c r="UE609" s="27" t="s">
        <v>8</v>
      </c>
      <c r="UF609" s="27" t="s">
        <v>7</v>
      </c>
      <c r="UG609" s="27" t="s">
        <v>8</v>
      </c>
      <c r="UH609" s="27" t="s">
        <v>7</v>
      </c>
      <c r="UI609" s="27" t="s">
        <v>8</v>
      </c>
      <c r="UJ609" s="27" t="s">
        <v>7</v>
      </c>
    </row>
    <row r="610" spans="1:558" x14ac:dyDescent="0.25">
      <c r="A610" s="7">
        <v>0.63415591769762181</v>
      </c>
      <c r="B610"/>
      <c r="C610"/>
      <c r="D610"/>
      <c r="E610"/>
      <c r="N610" s="27" t="s">
        <v>7</v>
      </c>
      <c r="O610" s="27" t="s">
        <v>8</v>
      </c>
      <c r="P610" s="27" t="s">
        <v>7</v>
      </c>
      <c r="BO610" s="27" t="s">
        <v>8</v>
      </c>
      <c r="BP610" s="27" t="s">
        <v>7</v>
      </c>
      <c r="BW610" s="27" t="s">
        <v>8</v>
      </c>
      <c r="BX610" s="27" t="s">
        <v>7</v>
      </c>
      <c r="BY610" s="27" t="s">
        <v>8</v>
      </c>
      <c r="CX610" s="27" t="s">
        <v>7</v>
      </c>
      <c r="CY610" s="27" t="s">
        <v>8</v>
      </c>
      <c r="EL610" s="27" t="s">
        <v>7</v>
      </c>
      <c r="KC610" s="27" t="s">
        <v>8</v>
      </c>
      <c r="KD610" s="27" t="s">
        <v>7</v>
      </c>
      <c r="NU610" s="27" t="s">
        <v>8</v>
      </c>
      <c r="NV610" s="27" t="s">
        <v>7</v>
      </c>
      <c r="NW610" s="27" t="s">
        <v>8</v>
      </c>
      <c r="NX610" s="27" t="s">
        <v>7</v>
      </c>
      <c r="NY610" s="27" t="s">
        <v>8</v>
      </c>
      <c r="NZ610" s="27" t="s">
        <v>7</v>
      </c>
      <c r="OA610" s="27" t="s">
        <v>8</v>
      </c>
      <c r="OB610" s="27" t="s">
        <v>7</v>
      </c>
      <c r="OI610" s="27" t="s">
        <v>8</v>
      </c>
      <c r="PX610" s="27" t="s">
        <v>7</v>
      </c>
      <c r="PY610" s="27" t="s">
        <v>8</v>
      </c>
      <c r="PZ610" s="27" t="s">
        <v>7</v>
      </c>
      <c r="QA610" s="27" t="s">
        <v>8</v>
      </c>
      <c r="QB610" s="27" t="s">
        <v>7</v>
      </c>
      <c r="QE610" s="27" t="s">
        <v>8</v>
      </c>
      <c r="QF610" s="27" t="s">
        <v>7</v>
      </c>
      <c r="QG610" s="27" t="s">
        <v>8</v>
      </c>
      <c r="QH610" s="27" t="s">
        <v>7</v>
      </c>
      <c r="RG610" s="27" t="s">
        <v>8</v>
      </c>
      <c r="RH610" s="27" t="s">
        <v>7</v>
      </c>
      <c r="RI610" s="27" t="s">
        <v>8</v>
      </c>
      <c r="RK610" s="27" t="s">
        <v>8</v>
      </c>
      <c r="RL610" s="27" t="s">
        <v>7</v>
      </c>
      <c r="RM610" s="27" t="s">
        <v>8</v>
      </c>
      <c r="RN610" s="27" t="s">
        <v>7</v>
      </c>
      <c r="RO610" s="27" t="s">
        <v>8</v>
      </c>
      <c r="RP610" s="27" t="s">
        <v>7</v>
      </c>
      <c r="RQ610" s="27" t="s">
        <v>8</v>
      </c>
      <c r="RT610" s="27" t="s">
        <v>7</v>
      </c>
      <c r="SC610" s="27" t="s">
        <v>8</v>
      </c>
      <c r="SD610" s="27" t="s">
        <v>7</v>
      </c>
      <c r="SI610" s="27" t="s">
        <v>8</v>
      </c>
      <c r="SJ610" s="27" t="s">
        <v>7</v>
      </c>
      <c r="SK610" s="27" t="s">
        <v>8</v>
      </c>
      <c r="SL610" s="27" t="s">
        <v>7</v>
      </c>
      <c r="SQ610" s="27" t="s">
        <v>8</v>
      </c>
      <c r="SR610" s="27" t="s">
        <v>7</v>
      </c>
      <c r="SW610" s="27" t="s">
        <v>8</v>
      </c>
      <c r="SY610" s="27" t="s">
        <v>8</v>
      </c>
      <c r="SZ610" s="27" t="s">
        <v>7</v>
      </c>
      <c r="TG610" s="27" t="s">
        <v>8</v>
      </c>
      <c r="TH610" s="27" t="s">
        <v>7</v>
      </c>
      <c r="TM610" s="27" t="s">
        <v>8</v>
      </c>
      <c r="TN610" s="27" t="s">
        <v>7</v>
      </c>
      <c r="TO610" s="27" t="s">
        <v>8</v>
      </c>
      <c r="UD610" s="27" t="s">
        <v>7</v>
      </c>
      <c r="UE610" s="27" t="s">
        <v>8</v>
      </c>
      <c r="UF610" s="27" t="s">
        <v>7</v>
      </c>
      <c r="UG610" s="27" t="s">
        <v>8</v>
      </c>
      <c r="UH610" s="27" t="s">
        <v>7</v>
      </c>
      <c r="UI610" s="27" t="s">
        <v>8</v>
      </c>
      <c r="UJ610" s="27" t="s">
        <v>7</v>
      </c>
    </row>
    <row r="611" spans="1:558" x14ac:dyDescent="0.25">
      <c r="A611" s="7">
        <v>0.62172148793884496</v>
      </c>
      <c r="B611"/>
      <c r="C611"/>
      <c r="D611"/>
      <c r="E611"/>
      <c r="N611" s="27" t="s">
        <v>7</v>
      </c>
      <c r="O611" s="27" t="s">
        <v>8</v>
      </c>
      <c r="P611" s="27" t="s">
        <v>7</v>
      </c>
      <c r="BO611" s="27" t="s">
        <v>8</v>
      </c>
      <c r="BP611" s="27" t="s">
        <v>7</v>
      </c>
      <c r="BW611" s="27" t="s">
        <v>8</v>
      </c>
      <c r="BX611" s="27" t="s">
        <v>7</v>
      </c>
      <c r="BY611" s="27" t="s">
        <v>8</v>
      </c>
      <c r="CX611" s="27" t="s">
        <v>7</v>
      </c>
      <c r="CY611" s="27" t="s">
        <v>8</v>
      </c>
      <c r="EL611" s="27" t="s">
        <v>7</v>
      </c>
      <c r="KC611" s="27" t="s">
        <v>8</v>
      </c>
      <c r="KD611" s="27" t="s">
        <v>7</v>
      </c>
      <c r="NU611" s="27" t="s">
        <v>8</v>
      </c>
      <c r="NV611" s="27" t="s">
        <v>7</v>
      </c>
      <c r="NW611" s="27" t="s">
        <v>8</v>
      </c>
      <c r="NX611" s="27" t="s">
        <v>7</v>
      </c>
      <c r="NY611" s="27" t="s">
        <v>8</v>
      </c>
      <c r="NZ611" s="27" t="s">
        <v>7</v>
      </c>
      <c r="OB611" s="27" t="s">
        <v>7</v>
      </c>
      <c r="OI611" s="27" t="s">
        <v>8</v>
      </c>
      <c r="PX611" s="27" t="s">
        <v>7</v>
      </c>
      <c r="PY611" s="27" t="s">
        <v>8</v>
      </c>
      <c r="PZ611" s="27" t="s">
        <v>7</v>
      </c>
      <c r="QA611" s="27" t="s">
        <v>8</v>
      </c>
      <c r="QB611" s="27" t="s">
        <v>7</v>
      </c>
      <c r="QE611" s="27" t="s">
        <v>8</v>
      </c>
      <c r="QF611" s="27" t="s">
        <v>7</v>
      </c>
      <c r="QG611" s="27" t="s">
        <v>8</v>
      </c>
      <c r="QH611" s="27" t="s">
        <v>7</v>
      </c>
      <c r="RG611" s="27" t="s">
        <v>8</v>
      </c>
      <c r="RH611" s="27" t="s">
        <v>7</v>
      </c>
      <c r="RI611" s="27" t="s">
        <v>8</v>
      </c>
      <c r="RJ611" s="27" t="s">
        <v>7</v>
      </c>
      <c r="RK611" s="27" t="s">
        <v>8</v>
      </c>
      <c r="RL611" s="27" t="s">
        <v>7</v>
      </c>
      <c r="RM611" s="27" t="s">
        <v>8</v>
      </c>
      <c r="RN611" s="27" t="s">
        <v>7</v>
      </c>
      <c r="RO611" s="27" t="s">
        <v>8</v>
      </c>
      <c r="RP611" s="27" t="s">
        <v>7</v>
      </c>
      <c r="RQ611" s="27" t="s">
        <v>8</v>
      </c>
      <c r="RT611" s="27" t="s">
        <v>7</v>
      </c>
      <c r="SC611" s="27" t="s">
        <v>8</v>
      </c>
      <c r="SD611" s="27" t="s">
        <v>7</v>
      </c>
      <c r="SI611" s="27" t="s">
        <v>8</v>
      </c>
      <c r="SJ611" s="27" t="s">
        <v>7</v>
      </c>
      <c r="SK611" s="27" t="s">
        <v>8</v>
      </c>
      <c r="SL611" s="27" t="s">
        <v>7</v>
      </c>
      <c r="SO611" s="27" t="s">
        <v>8</v>
      </c>
      <c r="SQ611" s="27" t="s">
        <v>8</v>
      </c>
      <c r="SR611" s="27" t="s">
        <v>7</v>
      </c>
      <c r="SS611" s="27" t="s">
        <v>8</v>
      </c>
      <c r="SW611" s="27" t="s">
        <v>8</v>
      </c>
      <c r="SX611" s="27" t="s">
        <v>7</v>
      </c>
      <c r="SY611" s="27" t="s">
        <v>8</v>
      </c>
      <c r="SZ611" s="27" t="s">
        <v>7</v>
      </c>
      <c r="TA611" s="27" t="s">
        <v>8</v>
      </c>
      <c r="TG611" s="27" t="s">
        <v>8</v>
      </c>
      <c r="TH611" s="27" t="s">
        <v>7</v>
      </c>
      <c r="TM611" s="27" t="s">
        <v>8</v>
      </c>
      <c r="TN611" s="27" t="s">
        <v>7</v>
      </c>
      <c r="TO611" s="27" t="s">
        <v>8</v>
      </c>
      <c r="UD611" s="27" t="s">
        <v>7</v>
      </c>
      <c r="UE611" s="27" t="s">
        <v>8</v>
      </c>
      <c r="UF611" s="27" t="s">
        <v>7</v>
      </c>
      <c r="UG611" s="27" t="s">
        <v>8</v>
      </c>
      <c r="UH611" s="27" t="s">
        <v>7</v>
      </c>
      <c r="UI611" s="27" t="s">
        <v>8</v>
      </c>
      <c r="UJ611" s="27" t="s">
        <v>7</v>
      </c>
    </row>
    <row r="612" spans="1:558" x14ac:dyDescent="0.25">
      <c r="A612" s="7">
        <v>0.60953087052827937</v>
      </c>
      <c r="B612"/>
      <c r="C612"/>
      <c r="D612"/>
      <c r="E612"/>
      <c r="N612" s="27" t="s">
        <v>7</v>
      </c>
      <c r="O612" s="27" t="s">
        <v>8</v>
      </c>
      <c r="P612" s="27" t="s">
        <v>7</v>
      </c>
      <c r="BO612" s="27" t="s">
        <v>8</v>
      </c>
      <c r="BP612" s="27" t="s">
        <v>7</v>
      </c>
      <c r="BW612" s="27" t="s">
        <v>8</v>
      </c>
      <c r="BX612" s="27" t="s">
        <v>7</v>
      </c>
      <c r="CX612" s="27" t="s">
        <v>7</v>
      </c>
      <c r="CY612" s="27" t="s">
        <v>8</v>
      </c>
      <c r="EL612" s="27" t="s">
        <v>7</v>
      </c>
      <c r="EM612" s="27" t="s">
        <v>8</v>
      </c>
      <c r="KC612" s="27" t="s">
        <v>8</v>
      </c>
      <c r="KD612" s="27" t="s">
        <v>7</v>
      </c>
      <c r="NU612" s="27" t="s">
        <v>8</v>
      </c>
      <c r="NV612" s="27" t="s">
        <v>7</v>
      </c>
      <c r="NW612" s="27" t="s">
        <v>8</v>
      </c>
      <c r="NX612" s="27" t="s">
        <v>7</v>
      </c>
      <c r="NY612" s="27" t="s">
        <v>8</v>
      </c>
      <c r="OB612" s="27" t="s">
        <v>7</v>
      </c>
      <c r="OI612" s="27" t="s">
        <v>8</v>
      </c>
      <c r="PX612" s="27" t="s">
        <v>7</v>
      </c>
      <c r="PY612" s="27" t="s">
        <v>8</v>
      </c>
      <c r="PZ612" s="27" t="s">
        <v>7</v>
      </c>
      <c r="QA612" s="27" t="s">
        <v>8</v>
      </c>
      <c r="QB612" s="27" t="s">
        <v>7</v>
      </c>
      <c r="QE612" s="27" t="s">
        <v>8</v>
      </c>
      <c r="QF612" s="27" t="s">
        <v>7</v>
      </c>
      <c r="QG612" s="27" t="s">
        <v>8</v>
      </c>
      <c r="QH612" s="27" t="s">
        <v>7</v>
      </c>
      <c r="RG612" s="27" t="s">
        <v>8</v>
      </c>
      <c r="RH612" s="27" t="s">
        <v>7</v>
      </c>
      <c r="RI612" s="27" t="s">
        <v>8</v>
      </c>
      <c r="RJ612" s="27" t="s">
        <v>7</v>
      </c>
      <c r="RK612" s="27" t="s">
        <v>8</v>
      </c>
      <c r="RL612" s="27" t="s">
        <v>7</v>
      </c>
      <c r="RM612" s="27" t="s">
        <v>8</v>
      </c>
      <c r="RN612" s="27" t="s">
        <v>7</v>
      </c>
      <c r="RP612" s="27" t="s">
        <v>7</v>
      </c>
      <c r="RT612" s="27" t="s">
        <v>7</v>
      </c>
      <c r="RU612" s="27" t="s">
        <v>8</v>
      </c>
      <c r="RY612" s="27" t="s">
        <v>8</v>
      </c>
      <c r="SC612" s="27" t="s">
        <v>8</v>
      </c>
      <c r="SD612" s="27" t="s">
        <v>7</v>
      </c>
      <c r="SI612" s="27" t="s">
        <v>8</v>
      </c>
      <c r="SJ612" s="27" t="s">
        <v>7</v>
      </c>
      <c r="SK612" s="27" t="s">
        <v>8</v>
      </c>
      <c r="SL612" s="27" t="s">
        <v>7</v>
      </c>
      <c r="SO612" s="27" t="s">
        <v>8</v>
      </c>
      <c r="SP612" s="27" t="s">
        <v>7</v>
      </c>
      <c r="SQ612" s="27" t="s">
        <v>8</v>
      </c>
      <c r="SR612" s="27" t="s">
        <v>7</v>
      </c>
      <c r="SS612" s="27" t="s">
        <v>8</v>
      </c>
      <c r="ST612" s="27" t="s">
        <v>7</v>
      </c>
      <c r="SU612" s="27" t="s">
        <v>8</v>
      </c>
      <c r="SW612" s="27" t="s">
        <v>8</v>
      </c>
      <c r="SX612" s="27" t="s">
        <v>7</v>
      </c>
      <c r="SY612" s="27" t="s">
        <v>8</v>
      </c>
      <c r="SZ612" s="27" t="s">
        <v>7</v>
      </c>
      <c r="TA612" s="27" t="s">
        <v>8</v>
      </c>
      <c r="TB612" s="27" t="s">
        <v>7</v>
      </c>
      <c r="TG612" s="27" t="s">
        <v>8</v>
      </c>
      <c r="TH612" s="27" t="s">
        <v>7</v>
      </c>
      <c r="TM612" s="27" t="s">
        <v>8</v>
      </c>
      <c r="TN612" s="27" t="s">
        <v>7</v>
      </c>
      <c r="UD612" s="27" t="s">
        <v>7</v>
      </c>
      <c r="UE612" s="27" t="s">
        <v>8</v>
      </c>
      <c r="UF612" s="27" t="s">
        <v>7</v>
      </c>
      <c r="UG612" s="27" t="s">
        <v>8</v>
      </c>
      <c r="UH612" s="27" t="s">
        <v>7</v>
      </c>
      <c r="UJ612" s="27" t="s">
        <v>7</v>
      </c>
    </row>
    <row r="613" spans="1:558" x14ac:dyDescent="0.25">
      <c r="A613" s="7">
        <v>0.59757928483164646</v>
      </c>
      <c r="B613"/>
      <c r="C613"/>
      <c r="D613"/>
      <c r="E613"/>
      <c r="N613" s="27" t="s">
        <v>7</v>
      </c>
      <c r="O613" s="27" t="s">
        <v>8</v>
      </c>
      <c r="P613" s="27" t="s">
        <v>7</v>
      </c>
      <c r="BO613" s="27" t="s">
        <v>8</v>
      </c>
      <c r="BP613" s="27" t="s">
        <v>7</v>
      </c>
      <c r="BS613" s="27" t="s">
        <v>8</v>
      </c>
      <c r="BU613" s="27" t="s">
        <v>8</v>
      </c>
      <c r="BW613" s="27" t="s">
        <v>8</v>
      </c>
      <c r="CX613" s="27" t="s">
        <v>7</v>
      </c>
      <c r="CY613" s="27" t="s">
        <v>8</v>
      </c>
      <c r="EL613" s="27" t="s">
        <v>7</v>
      </c>
      <c r="EM613" s="27" t="s">
        <v>8</v>
      </c>
      <c r="EN613" s="27" t="s">
        <v>7</v>
      </c>
      <c r="KC613" s="27" t="s">
        <v>8</v>
      </c>
      <c r="KD613" s="27" t="s">
        <v>7</v>
      </c>
      <c r="NU613" s="27" t="s">
        <v>8</v>
      </c>
      <c r="NV613" s="27" t="s">
        <v>7</v>
      </c>
      <c r="NW613" s="27" t="s">
        <v>8</v>
      </c>
      <c r="NX613" s="27" t="s">
        <v>7</v>
      </c>
      <c r="OB613" s="27" t="s">
        <v>7</v>
      </c>
      <c r="OG613" s="27" t="s">
        <v>8</v>
      </c>
      <c r="OI613" s="27" t="s">
        <v>8</v>
      </c>
      <c r="PX613" s="27" t="s">
        <v>7</v>
      </c>
      <c r="PY613" s="27" t="s">
        <v>8</v>
      </c>
      <c r="PZ613" s="27" t="s">
        <v>7</v>
      </c>
      <c r="QA613" s="27" t="s">
        <v>8</v>
      </c>
      <c r="QB613" s="27" t="s">
        <v>7</v>
      </c>
      <c r="QC613" s="27" t="s">
        <v>8</v>
      </c>
      <c r="QE613" s="27" t="s">
        <v>8</v>
      </c>
      <c r="QF613" s="27" t="s">
        <v>7</v>
      </c>
      <c r="QG613" s="27" t="s">
        <v>8</v>
      </c>
      <c r="QH613" s="27" t="s">
        <v>7</v>
      </c>
      <c r="RG613" s="27" t="s">
        <v>8</v>
      </c>
      <c r="RH613" s="27" t="s">
        <v>7</v>
      </c>
      <c r="RI613" s="27" t="s">
        <v>8</v>
      </c>
      <c r="RJ613" s="27" t="s">
        <v>7</v>
      </c>
      <c r="RK613" s="27" t="s">
        <v>8</v>
      </c>
      <c r="RL613" s="27" t="s">
        <v>7</v>
      </c>
      <c r="RM613" s="27" t="s">
        <v>8</v>
      </c>
      <c r="RT613" s="27" t="s">
        <v>7</v>
      </c>
      <c r="RU613" s="27" t="s">
        <v>8</v>
      </c>
      <c r="RV613" s="27" t="s">
        <v>7</v>
      </c>
      <c r="RY613" s="27" t="s">
        <v>8</v>
      </c>
      <c r="RZ613" s="27" t="s">
        <v>7</v>
      </c>
      <c r="SC613" s="27" t="s">
        <v>8</v>
      </c>
      <c r="SD613" s="27" t="s">
        <v>7</v>
      </c>
      <c r="SI613" s="27" t="s">
        <v>8</v>
      </c>
      <c r="SJ613" s="27" t="s">
        <v>7</v>
      </c>
      <c r="SK613" s="27" t="s">
        <v>8</v>
      </c>
      <c r="SL613" s="27" t="s">
        <v>7</v>
      </c>
      <c r="SO613" s="27" t="s">
        <v>8</v>
      </c>
      <c r="SP613" s="27" t="s">
        <v>7</v>
      </c>
      <c r="SQ613" s="27" t="s">
        <v>8</v>
      </c>
      <c r="SR613" s="27" t="s">
        <v>7</v>
      </c>
      <c r="SS613" s="27" t="s">
        <v>8</v>
      </c>
      <c r="ST613" s="27" t="s">
        <v>7</v>
      </c>
      <c r="SU613" s="27" t="s">
        <v>8</v>
      </c>
      <c r="SV613" s="27" t="s">
        <v>7</v>
      </c>
      <c r="SW613" s="27" t="s">
        <v>8</v>
      </c>
      <c r="SX613" s="27" t="s">
        <v>7</v>
      </c>
      <c r="SY613" s="27" t="s">
        <v>8</v>
      </c>
      <c r="SZ613" s="27" t="s">
        <v>7</v>
      </c>
      <c r="TA613" s="27" t="s">
        <v>8</v>
      </c>
      <c r="TB613" s="27" t="s">
        <v>7</v>
      </c>
      <c r="TG613" s="27" t="s">
        <v>8</v>
      </c>
      <c r="TH613" s="27" t="s">
        <v>7</v>
      </c>
      <c r="TM613" s="27" t="s">
        <v>8</v>
      </c>
      <c r="UD613" s="27" t="s">
        <v>7</v>
      </c>
      <c r="UE613" s="27" t="s">
        <v>8</v>
      </c>
      <c r="UF613" s="27" t="s">
        <v>7</v>
      </c>
      <c r="UJ613" s="27" t="s">
        <v>7</v>
      </c>
    </row>
    <row r="614" spans="1:558" x14ac:dyDescent="0.25">
      <c r="A614" s="7">
        <v>0.58586204395259456</v>
      </c>
      <c r="B614"/>
      <c r="C614"/>
      <c r="D614"/>
      <c r="E614"/>
      <c r="N614" s="27" t="s">
        <v>7</v>
      </c>
      <c r="O614" s="27" t="s">
        <v>8</v>
      </c>
      <c r="P614" s="27" t="s">
        <v>7</v>
      </c>
      <c r="BO614" s="27" t="s">
        <v>8</v>
      </c>
      <c r="BP614" s="27" t="s">
        <v>7</v>
      </c>
      <c r="BQ614" s="27" t="s">
        <v>8</v>
      </c>
      <c r="BS614" s="27" t="s">
        <v>8</v>
      </c>
      <c r="BT614" s="27" t="s">
        <v>7</v>
      </c>
      <c r="BU614" s="27" t="s">
        <v>8</v>
      </c>
      <c r="BV614" s="27" t="s">
        <v>7</v>
      </c>
      <c r="BW614" s="27" t="s">
        <v>8</v>
      </c>
      <c r="CX614" s="27" t="s">
        <v>7</v>
      </c>
      <c r="EL614" s="27" t="s">
        <v>7</v>
      </c>
      <c r="EM614" s="27" t="s">
        <v>8</v>
      </c>
      <c r="EN614" s="27" t="s">
        <v>7</v>
      </c>
      <c r="EO614" s="27" t="s">
        <v>8</v>
      </c>
      <c r="EY614" s="27" t="s">
        <v>8</v>
      </c>
      <c r="KC614" s="27" t="s">
        <v>8</v>
      </c>
      <c r="KD614" s="27" t="s">
        <v>7</v>
      </c>
      <c r="NU614" s="27" t="s">
        <v>8</v>
      </c>
      <c r="NV614" s="27" t="s">
        <v>7</v>
      </c>
      <c r="OB614" s="27" t="s">
        <v>7</v>
      </c>
      <c r="OG614" s="27" t="s">
        <v>8</v>
      </c>
      <c r="OH614" s="27" t="s">
        <v>7</v>
      </c>
      <c r="OI614" s="27" t="s">
        <v>8</v>
      </c>
      <c r="PX614" s="27" t="s">
        <v>7</v>
      </c>
      <c r="PY614" s="27" t="s">
        <v>8</v>
      </c>
      <c r="PZ614" s="27" t="s">
        <v>7</v>
      </c>
      <c r="QA614" s="27" t="s">
        <v>8</v>
      </c>
      <c r="QB614" s="27" t="s">
        <v>7</v>
      </c>
      <c r="QC614" s="27" t="s">
        <v>8</v>
      </c>
      <c r="QD614" s="27" t="s">
        <v>7</v>
      </c>
      <c r="QE614" s="27" t="s">
        <v>8</v>
      </c>
      <c r="QF614" s="27" t="s">
        <v>7</v>
      </c>
      <c r="QG614" s="27" t="s">
        <v>8</v>
      </c>
      <c r="QH614" s="27" t="s">
        <v>7</v>
      </c>
      <c r="RG614" s="27" t="s">
        <v>8</v>
      </c>
      <c r="RH614" s="27" t="s">
        <v>7</v>
      </c>
      <c r="RJ614" s="27" t="s">
        <v>7</v>
      </c>
      <c r="RK614" s="27" t="s">
        <v>8</v>
      </c>
      <c r="RL614" s="27" t="s">
        <v>7</v>
      </c>
      <c r="RM614" s="27" t="s">
        <v>8</v>
      </c>
      <c r="RT614" s="27" t="s">
        <v>7</v>
      </c>
      <c r="RU614" s="27" t="s">
        <v>8</v>
      </c>
      <c r="RV614" s="27" t="s">
        <v>7</v>
      </c>
      <c r="RY614" s="27" t="s">
        <v>8</v>
      </c>
      <c r="RZ614" s="27" t="s">
        <v>7</v>
      </c>
      <c r="SC614" s="27" t="s">
        <v>8</v>
      </c>
      <c r="SD614" s="27" t="s">
        <v>7</v>
      </c>
      <c r="SI614" s="27" t="s">
        <v>8</v>
      </c>
      <c r="SJ614" s="27" t="s">
        <v>7</v>
      </c>
      <c r="SK614" s="27" t="s">
        <v>8</v>
      </c>
      <c r="SL614" s="27" t="s">
        <v>7</v>
      </c>
      <c r="SO614" s="27" t="s">
        <v>8</v>
      </c>
      <c r="SP614" s="27" t="s">
        <v>7</v>
      </c>
      <c r="SQ614" s="27" t="s">
        <v>8</v>
      </c>
      <c r="SR614" s="27" t="s">
        <v>7</v>
      </c>
      <c r="SS614" s="27" t="s">
        <v>8</v>
      </c>
      <c r="ST614" s="27" t="s">
        <v>7</v>
      </c>
      <c r="SU614" s="27" t="s">
        <v>8</v>
      </c>
      <c r="SV614" s="27" t="s">
        <v>7</v>
      </c>
      <c r="SW614" s="27" t="s">
        <v>8</v>
      </c>
      <c r="SX614" s="27" t="s">
        <v>7</v>
      </c>
      <c r="SY614" s="27" t="s">
        <v>8</v>
      </c>
      <c r="SZ614" s="27" t="s">
        <v>7</v>
      </c>
      <c r="TA614" s="27" t="s">
        <v>8</v>
      </c>
      <c r="TB614" s="27" t="s">
        <v>7</v>
      </c>
      <c r="TC614" s="27" t="s">
        <v>8</v>
      </c>
      <c r="TG614" s="27" t="s">
        <v>8</v>
      </c>
      <c r="TH614" s="27" t="s">
        <v>7</v>
      </c>
      <c r="TM614" s="27" t="s">
        <v>8</v>
      </c>
      <c r="UD614" s="27" t="s">
        <v>7</v>
      </c>
      <c r="UJ614" s="27" t="s">
        <v>7</v>
      </c>
    </row>
    <row r="615" spans="1:558" x14ac:dyDescent="0.25">
      <c r="A615" s="7">
        <v>0.57437455289470052</v>
      </c>
      <c r="B615"/>
      <c r="C615"/>
      <c r="D615"/>
      <c r="E615"/>
      <c r="N615" s="27" t="s">
        <v>7</v>
      </c>
      <c r="O615" s="27" t="s">
        <v>8</v>
      </c>
      <c r="P615" s="27" t="s">
        <v>7</v>
      </c>
      <c r="S615" s="27" t="s">
        <v>8</v>
      </c>
      <c r="BO615" s="27" t="s">
        <v>8</v>
      </c>
      <c r="BP615" s="27" t="s">
        <v>7</v>
      </c>
      <c r="BQ615" s="27" t="s">
        <v>8</v>
      </c>
      <c r="BR615" s="27" t="s">
        <v>7</v>
      </c>
      <c r="BS615" s="27" t="s">
        <v>8</v>
      </c>
      <c r="BT615" s="27" t="s">
        <v>7</v>
      </c>
      <c r="BU615" s="27" t="s">
        <v>8</v>
      </c>
      <c r="BV615" s="27" t="s">
        <v>7</v>
      </c>
      <c r="BW615" s="27" t="s">
        <v>8</v>
      </c>
      <c r="EL615" s="27" t="s">
        <v>7</v>
      </c>
      <c r="EM615" s="27" t="s">
        <v>8</v>
      </c>
      <c r="EN615" s="27" t="s">
        <v>7</v>
      </c>
      <c r="EO615" s="27" t="s">
        <v>8</v>
      </c>
      <c r="EP615" s="27" t="s">
        <v>7</v>
      </c>
      <c r="ES615" s="27" t="s">
        <v>8</v>
      </c>
      <c r="EY615" s="27" t="s">
        <v>8</v>
      </c>
      <c r="EZ615" s="27" t="s">
        <v>7</v>
      </c>
      <c r="JU615" s="27" t="s">
        <v>8</v>
      </c>
      <c r="KC615" s="27" t="s">
        <v>8</v>
      </c>
      <c r="KD615" s="27" t="s">
        <v>7</v>
      </c>
      <c r="KM615" s="27" t="s">
        <v>8</v>
      </c>
      <c r="NU615" s="27" t="s">
        <v>8</v>
      </c>
      <c r="OB615" s="27" t="s">
        <v>7</v>
      </c>
      <c r="OG615" s="27" t="s">
        <v>8</v>
      </c>
      <c r="OH615" s="27" t="s">
        <v>7</v>
      </c>
      <c r="OI615" s="27" t="s">
        <v>8</v>
      </c>
      <c r="PX615" s="27" t="s">
        <v>7</v>
      </c>
      <c r="PY615" s="27" t="s">
        <v>8</v>
      </c>
      <c r="PZ615" s="27" t="s">
        <v>7</v>
      </c>
      <c r="QA615" s="27" t="s">
        <v>8</v>
      </c>
      <c r="QB615" s="27" t="s">
        <v>7</v>
      </c>
      <c r="QC615" s="27" t="s">
        <v>8</v>
      </c>
      <c r="QD615" s="27" t="s">
        <v>7</v>
      </c>
      <c r="QE615" s="27" t="s">
        <v>8</v>
      </c>
      <c r="QF615" s="27" t="s">
        <v>7</v>
      </c>
      <c r="QG615" s="27" t="s">
        <v>8</v>
      </c>
      <c r="QH615" s="27" t="s">
        <v>7</v>
      </c>
      <c r="QM615" s="27" t="s">
        <v>8</v>
      </c>
      <c r="RG615" s="27" t="s">
        <v>8</v>
      </c>
      <c r="RJ615" s="27" t="s">
        <v>7</v>
      </c>
      <c r="RK615" s="27" t="s">
        <v>8</v>
      </c>
      <c r="RL615" s="27" t="s">
        <v>7</v>
      </c>
      <c r="RT615" s="27" t="s">
        <v>7</v>
      </c>
      <c r="RU615" s="27" t="s">
        <v>8</v>
      </c>
      <c r="RV615" s="27" t="s">
        <v>7</v>
      </c>
      <c r="RY615" s="27" t="s">
        <v>8</v>
      </c>
      <c r="RZ615" s="27" t="s">
        <v>7</v>
      </c>
      <c r="SC615" s="27" t="s">
        <v>8</v>
      </c>
      <c r="SD615" s="27" t="s">
        <v>7</v>
      </c>
      <c r="SI615" s="27" t="s">
        <v>8</v>
      </c>
      <c r="SJ615" s="27" t="s">
        <v>7</v>
      </c>
      <c r="SK615" s="27" t="s">
        <v>8</v>
      </c>
      <c r="SL615" s="27" t="s">
        <v>7</v>
      </c>
      <c r="SM615" s="27" t="s">
        <v>8</v>
      </c>
      <c r="SO615" s="27" t="s">
        <v>8</v>
      </c>
      <c r="SP615" s="27" t="s">
        <v>7</v>
      </c>
      <c r="SQ615" s="27" t="s">
        <v>8</v>
      </c>
      <c r="SR615" s="27" t="s">
        <v>7</v>
      </c>
      <c r="SS615" s="27" t="s">
        <v>8</v>
      </c>
      <c r="ST615" s="27" t="s">
        <v>7</v>
      </c>
      <c r="SV615" s="27" t="s">
        <v>7</v>
      </c>
      <c r="SW615" s="27" t="s">
        <v>8</v>
      </c>
      <c r="SX615" s="27" t="s">
        <v>7</v>
      </c>
      <c r="SY615" s="27" t="s">
        <v>8</v>
      </c>
      <c r="SZ615" s="27" t="s">
        <v>7</v>
      </c>
      <c r="TA615" s="27" t="s">
        <v>8</v>
      </c>
      <c r="TB615" s="27" t="s">
        <v>7</v>
      </c>
      <c r="TC615" s="27" t="s">
        <v>8</v>
      </c>
      <c r="TD615" s="27" t="s">
        <v>7</v>
      </c>
      <c r="TG615" s="27" t="s">
        <v>8</v>
      </c>
      <c r="TH615" s="27" t="s">
        <v>7</v>
      </c>
      <c r="TM615" s="27" t="s">
        <v>8</v>
      </c>
      <c r="UJ615" s="27" t="s">
        <v>7</v>
      </c>
      <c r="UK615" s="27" t="s">
        <v>8</v>
      </c>
    </row>
    <row r="616" spans="1:558" x14ac:dyDescent="0.25">
      <c r="A616" s="7">
        <v>0.56311230675951029</v>
      </c>
      <c r="B616"/>
      <c r="C616"/>
      <c r="D616"/>
      <c r="E616"/>
      <c r="N616" s="27" t="s">
        <v>7</v>
      </c>
      <c r="O616" s="27" t="s">
        <v>8</v>
      </c>
      <c r="P616" s="27" t="s">
        <v>7</v>
      </c>
      <c r="S616" s="27" t="s">
        <v>8</v>
      </c>
      <c r="T616" s="27" t="s">
        <v>7</v>
      </c>
      <c r="BO616" s="27" t="s">
        <v>8</v>
      </c>
      <c r="BP616" s="27" t="s">
        <v>7</v>
      </c>
      <c r="BQ616" s="27" t="s">
        <v>8</v>
      </c>
      <c r="BR616" s="27" t="s">
        <v>7</v>
      </c>
      <c r="BS616" s="27" t="s">
        <v>8</v>
      </c>
      <c r="BT616" s="27" t="s">
        <v>7</v>
      </c>
      <c r="BV616" s="27" t="s">
        <v>7</v>
      </c>
      <c r="BW616" s="27" t="s">
        <v>8</v>
      </c>
      <c r="EL616" s="27" t="s">
        <v>7</v>
      </c>
      <c r="EM616" s="27" t="s">
        <v>8</v>
      </c>
      <c r="EN616" s="27" t="s">
        <v>7</v>
      </c>
      <c r="EO616" s="27" t="s">
        <v>8</v>
      </c>
      <c r="EP616" s="27" t="s">
        <v>7</v>
      </c>
      <c r="ES616" s="27" t="s">
        <v>8</v>
      </c>
      <c r="ET616" s="27" t="s">
        <v>7</v>
      </c>
      <c r="EY616" s="27" t="s">
        <v>8</v>
      </c>
      <c r="EZ616" s="27" t="s">
        <v>7</v>
      </c>
      <c r="JU616" s="27" t="s">
        <v>8</v>
      </c>
      <c r="JV616" s="27" t="s">
        <v>7</v>
      </c>
      <c r="KC616" s="27" t="s">
        <v>8</v>
      </c>
      <c r="KD616" s="27" t="s">
        <v>7</v>
      </c>
      <c r="KE616" s="27" t="s">
        <v>8</v>
      </c>
      <c r="KM616" s="27" t="s">
        <v>8</v>
      </c>
      <c r="KN616" s="27" t="s">
        <v>7</v>
      </c>
      <c r="NU616" s="27" t="s">
        <v>8</v>
      </c>
      <c r="OB616" s="27" t="s">
        <v>7</v>
      </c>
      <c r="OG616" s="27" t="s">
        <v>8</v>
      </c>
      <c r="OH616" s="27" t="s">
        <v>7</v>
      </c>
      <c r="OI616" s="27" t="s">
        <v>8</v>
      </c>
      <c r="PX616" s="27" t="s">
        <v>7</v>
      </c>
      <c r="PY616" s="27" t="s">
        <v>8</v>
      </c>
      <c r="PZ616" s="27" t="s">
        <v>7</v>
      </c>
      <c r="QA616" s="27" t="s">
        <v>8</v>
      </c>
      <c r="QB616" s="27" t="s">
        <v>7</v>
      </c>
      <c r="QC616" s="27" t="s">
        <v>8</v>
      </c>
      <c r="QD616" s="27" t="s">
        <v>7</v>
      </c>
      <c r="QF616" s="27" t="s">
        <v>7</v>
      </c>
      <c r="QG616" s="27" t="s">
        <v>8</v>
      </c>
      <c r="QH616" s="27" t="s">
        <v>7</v>
      </c>
      <c r="QM616" s="27" t="s">
        <v>8</v>
      </c>
      <c r="QN616" s="27" t="s">
        <v>7</v>
      </c>
      <c r="RG616" s="27" t="s">
        <v>8</v>
      </c>
      <c r="RJ616" s="27" t="s">
        <v>7</v>
      </c>
      <c r="RK616" s="27" t="s">
        <v>8</v>
      </c>
      <c r="RT616" s="27" t="s">
        <v>7</v>
      </c>
      <c r="RU616" s="27" t="s">
        <v>8</v>
      </c>
      <c r="RV616" s="27" t="s">
        <v>7</v>
      </c>
      <c r="RW616" s="27" t="s">
        <v>8</v>
      </c>
      <c r="RY616" s="27" t="s">
        <v>8</v>
      </c>
      <c r="RZ616" s="27" t="s">
        <v>7</v>
      </c>
      <c r="SC616" s="27" t="s">
        <v>8</v>
      </c>
      <c r="SD616" s="27" t="s">
        <v>7</v>
      </c>
      <c r="SI616" s="27" t="s">
        <v>8</v>
      </c>
      <c r="SJ616" s="27" t="s">
        <v>7</v>
      </c>
      <c r="SK616" s="27" t="s">
        <v>8</v>
      </c>
      <c r="SL616" s="27" t="s">
        <v>7</v>
      </c>
      <c r="SM616" s="27" t="s">
        <v>8</v>
      </c>
      <c r="SN616" s="27" t="s">
        <v>7</v>
      </c>
      <c r="SO616" s="27" t="s">
        <v>8</v>
      </c>
      <c r="SP616" s="27" t="s">
        <v>7</v>
      </c>
      <c r="SR616" s="27" t="s">
        <v>7</v>
      </c>
      <c r="SV616" s="27" t="s">
        <v>7</v>
      </c>
      <c r="SW616" s="27" t="s">
        <v>8</v>
      </c>
      <c r="SX616" s="27" t="s">
        <v>7</v>
      </c>
      <c r="SY616" s="27" t="s">
        <v>8</v>
      </c>
      <c r="SZ616" s="27" t="s">
        <v>7</v>
      </c>
      <c r="TA616" s="27" t="s">
        <v>8</v>
      </c>
      <c r="TB616" s="27" t="s">
        <v>7</v>
      </c>
      <c r="TC616" s="27" t="s">
        <v>8</v>
      </c>
      <c r="TD616" s="27" t="s">
        <v>7</v>
      </c>
      <c r="TE616" s="27" t="s">
        <v>8</v>
      </c>
      <c r="TG616" s="27" t="s">
        <v>8</v>
      </c>
      <c r="TH616" s="27" t="s">
        <v>7</v>
      </c>
      <c r="TM616" s="27" t="s">
        <v>8</v>
      </c>
      <c r="UJ616" s="27" t="s">
        <v>7</v>
      </c>
      <c r="UK616" s="27" t="s">
        <v>8</v>
      </c>
      <c r="UL616" s="27" t="s">
        <v>7</v>
      </c>
    </row>
    <row r="617" spans="1:558" x14ac:dyDescent="0.25">
      <c r="A617" s="7">
        <v>0.55207088897991208</v>
      </c>
      <c r="B617"/>
      <c r="C617"/>
      <c r="D617"/>
      <c r="E617"/>
      <c r="N617" s="27" t="s">
        <v>7</v>
      </c>
      <c r="O617" s="27" t="s">
        <v>8</v>
      </c>
      <c r="P617" s="27" t="s">
        <v>7</v>
      </c>
      <c r="S617" s="27" t="s">
        <v>8</v>
      </c>
      <c r="T617" s="27" t="s">
        <v>7</v>
      </c>
      <c r="AU617" s="27" t="s">
        <v>8</v>
      </c>
      <c r="BO617" s="27" t="s">
        <v>8</v>
      </c>
      <c r="BP617" s="27" t="s">
        <v>7</v>
      </c>
      <c r="BQ617" s="27" t="s">
        <v>8</v>
      </c>
      <c r="BR617" s="27" t="s">
        <v>7</v>
      </c>
      <c r="BV617" s="27" t="s">
        <v>7</v>
      </c>
      <c r="BW617" s="27" t="s">
        <v>8</v>
      </c>
      <c r="EL617" s="27" t="s">
        <v>7</v>
      </c>
      <c r="EM617" s="27" t="s">
        <v>8</v>
      </c>
      <c r="EN617" s="27" t="s">
        <v>7</v>
      </c>
      <c r="EO617" s="27" t="s">
        <v>8</v>
      </c>
      <c r="EP617" s="27" t="s">
        <v>7</v>
      </c>
      <c r="ES617" s="27" t="s">
        <v>8</v>
      </c>
      <c r="ET617" s="27" t="s">
        <v>7</v>
      </c>
      <c r="EY617" s="27" t="s">
        <v>8</v>
      </c>
      <c r="EZ617" s="27" t="s">
        <v>7</v>
      </c>
      <c r="JU617" s="27" t="s">
        <v>8</v>
      </c>
      <c r="JV617" s="27" t="s">
        <v>7</v>
      </c>
      <c r="KA617" s="27" t="s">
        <v>8</v>
      </c>
      <c r="KC617" s="27" t="s">
        <v>8</v>
      </c>
      <c r="KD617" s="27" t="s">
        <v>7</v>
      </c>
      <c r="KE617" s="27" t="s">
        <v>8</v>
      </c>
      <c r="KF617" s="27" t="s">
        <v>7</v>
      </c>
      <c r="KM617" s="27" t="s">
        <v>8</v>
      </c>
      <c r="KN617" s="27" t="s">
        <v>7</v>
      </c>
      <c r="KQ617" s="27" t="s">
        <v>8</v>
      </c>
      <c r="NU617" s="27" t="s">
        <v>8</v>
      </c>
      <c r="OB617" s="27" t="s">
        <v>7</v>
      </c>
      <c r="OG617" s="27" t="s">
        <v>8</v>
      </c>
      <c r="OH617" s="27" t="s">
        <v>7</v>
      </c>
      <c r="OI617" s="27" t="s">
        <v>8</v>
      </c>
      <c r="PX617" s="27" t="s">
        <v>7</v>
      </c>
      <c r="PY617" s="27" t="s">
        <v>8</v>
      </c>
      <c r="PZ617" s="27" t="s">
        <v>7</v>
      </c>
      <c r="QA617" s="27" t="s">
        <v>8</v>
      </c>
      <c r="QB617" s="27" t="s">
        <v>7</v>
      </c>
      <c r="QC617" s="27" t="s">
        <v>8</v>
      </c>
      <c r="QF617" s="27" t="s">
        <v>7</v>
      </c>
      <c r="QH617" s="27" t="s">
        <v>7</v>
      </c>
      <c r="QI617" s="27" t="s">
        <v>8</v>
      </c>
      <c r="QM617" s="27" t="s">
        <v>8</v>
      </c>
      <c r="QN617" s="27" t="s">
        <v>7</v>
      </c>
      <c r="RG617" s="27" t="s">
        <v>8</v>
      </c>
      <c r="RJ617" s="27" t="s">
        <v>7</v>
      </c>
      <c r="RK617" s="27" t="s">
        <v>8</v>
      </c>
      <c r="RT617" s="27" t="s">
        <v>7</v>
      </c>
      <c r="RU617" s="27" t="s">
        <v>8</v>
      </c>
      <c r="RV617" s="27" t="s">
        <v>7</v>
      </c>
      <c r="RW617" s="27" t="s">
        <v>8</v>
      </c>
      <c r="RX617" s="27" t="s">
        <v>7</v>
      </c>
      <c r="RY617" s="27" t="s">
        <v>8</v>
      </c>
      <c r="RZ617" s="27" t="s">
        <v>7</v>
      </c>
      <c r="SC617" s="27" t="s">
        <v>8</v>
      </c>
      <c r="SD617" s="27" t="s">
        <v>7</v>
      </c>
      <c r="SI617" s="27" t="s">
        <v>8</v>
      </c>
      <c r="SJ617" s="27" t="s">
        <v>7</v>
      </c>
      <c r="SK617" s="27" t="s">
        <v>8</v>
      </c>
      <c r="SL617" s="27" t="s">
        <v>7</v>
      </c>
      <c r="SM617" s="27" t="s">
        <v>8</v>
      </c>
      <c r="SN617" s="27" t="s">
        <v>7</v>
      </c>
      <c r="SO617" s="27" t="s">
        <v>8</v>
      </c>
      <c r="SV617" s="27" t="s">
        <v>7</v>
      </c>
      <c r="SW617" s="27" t="s">
        <v>8</v>
      </c>
      <c r="SX617" s="27" t="s">
        <v>7</v>
      </c>
      <c r="SZ617" s="27" t="s">
        <v>7</v>
      </c>
      <c r="TB617" s="27" t="s">
        <v>7</v>
      </c>
      <c r="TD617" s="27" t="s">
        <v>7</v>
      </c>
      <c r="TE617" s="27" t="s">
        <v>8</v>
      </c>
      <c r="TF617" s="27" t="s">
        <v>7</v>
      </c>
      <c r="TG617" s="27" t="s">
        <v>8</v>
      </c>
      <c r="TH617" s="27" t="s">
        <v>7</v>
      </c>
      <c r="TM617" s="27" t="s">
        <v>8</v>
      </c>
      <c r="UJ617" s="27" t="s">
        <v>7</v>
      </c>
      <c r="UK617" s="27" t="s">
        <v>8</v>
      </c>
      <c r="UL617" s="27" t="s">
        <v>7</v>
      </c>
    </row>
    <row r="618" spans="1:558" x14ac:dyDescent="0.25">
      <c r="A618" s="7">
        <v>0.54124596958814908</v>
      </c>
      <c r="B618"/>
      <c r="C618"/>
      <c r="D618"/>
      <c r="E618"/>
      <c r="N618" s="27" t="s">
        <v>7</v>
      </c>
      <c r="O618" s="27" t="s">
        <v>8</v>
      </c>
      <c r="P618" s="27" t="s">
        <v>7</v>
      </c>
      <c r="S618" s="27" t="s">
        <v>8</v>
      </c>
      <c r="T618" s="27" t="s">
        <v>7</v>
      </c>
      <c r="AK618" s="27" t="s">
        <v>8</v>
      </c>
      <c r="AU618" s="27" t="s">
        <v>8</v>
      </c>
      <c r="AV618" s="27" t="s">
        <v>7</v>
      </c>
      <c r="BO618" s="27" t="s">
        <v>8</v>
      </c>
      <c r="BP618" s="27" t="s">
        <v>7</v>
      </c>
      <c r="BQ618" s="27" t="s">
        <v>8</v>
      </c>
      <c r="BV618" s="27" t="s">
        <v>7</v>
      </c>
      <c r="BW618" s="27" t="s">
        <v>8</v>
      </c>
      <c r="EL618" s="27" t="s">
        <v>7</v>
      </c>
      <c r="EM618" s="27" t="s">
        <v>8</v>
      </c>
      <c r="EN618" s="27" t="s">
        <v>7</v>
      </c>
      <c r="EO618" s="27" t="s">
        <v>8</v>
      </c>
      <c r="EP618" s="27" t="s">
        <v>7</v>
      </c>
      <c r="EQ618" s="27" t="s">
        <v>8</v>
      </c>
      <c r="ES618" s="27" t="s">
        <v>8</v>
      </c>
      <c r="ET618" s="27" t="s">
        <v>7</v>
      </c>
      <c r="EY618" s="27" t="s">
        <v>8</v>
      </c>
      <c r="EZ618" s="27" t="s">
        <v>7</v>
      </c>
      <c r="JU618" s="27" t="s">
        <v>8</v>
      </c>
      <c r="JV618" s="27" t="s">
        <v>7</v>
      </c>
      <c r="JY618" s="27" t="s">
        <v>8</v>
      </c>
      <c r="KA618" s="27" t="s">
        <v>8</v>
      </c>
      <c r="KB618" s="27" t="s">
        <v>7</v>
      </c>
      <c r="KC618" s="27" t="s">
        <v>8</v>
      </c>
      <c r="KD618" s="27" t="s">
        <v>7</v>
      </c>
      <c r="KE618" s="27" t="s">
        <v>8</v>
      </c>
      <c r="KF618" s="27" t="s">
        <v>7</v>
      </c>
      <c r="KM618" s="27" t="s">
        <v>8</v>
      </c>
      <c r="KN618" s="27" t="s">
        <v>7</v>
      </c>
      <c r="KO618" s="27" t="s">
        <v>8</v>
      </c>
      <c r="KQ618" s="27" t="s">
        <v>8</v>
      </c>
      <c r="KR618" s="27" t="s">
        <v>7</v>
      </c>
      <c r="NU618" s="27" t="s">
        <v>8</v>
      </c>
      <c r="OB618" s="27" t="s">
        <v>7</v>
      </c>
      <c r="OC618" s="27" t="s">
        <v>8</v>
      </c>
      <c r="OG618" s="27" t="s">
        <v>8</v>
      </c>
      <c r="OH618" s="27" t="s">
        <v>7</v>
      </c>
      <c r="OI618" s="27" t="s">
        <v>8</v>
      </c>
      <c r="PX618" s="27" t="s">
        <v>7</v>
      </c>
      <c r="PY618" s="27" t="s">
        <v>8</v>
      </c>
      <c r="PZ618" s="27" t="s">
        <v>7</v>
      </c>
      <c r="QA618" s="27" t="s">
        <v>8</v>
      </c>
      <c r="QB618" s="27" t="s">
        <v>7</v>
      </c>
      <c r="QC618" s="27" t="s">
        <v>8</v>
      </c>
      <c r="QH618" s="27" t="s">
        <v>7</v>
      </c>
      <c r="QI618" s="27" t="s">
        <v>8</v>
      </c>
      <c r="QJ618" s="27" t="s">
        <v>7</v>
      </c>
      <c r="QM618" s="27" t="s">
        <v>8</v>
      </c>
      <c r="QN618" s="27" t="s">
        <v>7</v>
      </c>
      <c r="RE618" s="27" t="s">
        <v>8</v>
      </c>
      <c r="RG618" s="27" t="s">
        <v>8</v>
      </c>
      <c r="RJ618" s="27" t="s">
        <v>7</v>
      </c>
      <c r="RT618" s="27" t="s">
        <v>7</v>
      </c>
      <c r="RU618" s="27" t="s">
        <v>8</v>
      </c>
      <c r="RV618" s="27" t="s">
        <v>7</v>
      </c>
      <c r="RW618" s="27" t="s">
        <v>8</v>
      </c>
      <c r="RX618" s="27" t="s">
        <v>7</v>
      </c>
      <c r="RY618" s="27" t="s">
        <v>8</v>
      </c>
      <c r="RZ618" s="27" t="s">
        <v>7</v>
      </c>
      <c r="SC618" s="27" t="s">
        <v>8</v>
      </c>
      <c r="SD618" s="27" t="s">
        <v>7</v>
      </c>
      <c r="SI618" s="27" t="s">
        <v>8</v>
      </c>
      <c r="SJ618" s="27" t="s">
        <v>7</v>
      </c>
      <c r="SK618" s="27" t="s">
        <v>8</v>
      </c>
      <c r="SL618" s="27" t="s">
        <v>7</v>
      </c>
      <c r="SM618" s="27" t="s">
        <v>8</v>
      </c>
      <c r="SN618" s="27" t="s">
        <v>7</v>
      </c>
      <c r="SO618" s="27" t="s">
        <v>8</v>
      </c>
      <c r="SV618" s="27" t="s">
        <v>7</v>
      </c>
      <c r="SW618" s="27" t="s">
        <v>8</v>
      </c>
      <c r="TD618" s="27" t="s">
        <v>7</v>
      </c>
      <c r="TE618" s="27" t="s">
        <v>8</v>
      </c>
      <c r="TF618" s="27" t="s">
        <v>7</v>
      </c>
      <c r="TG618" s="27" t="s">
        <v>8</v>
      </c>
      <c r="TH618" s="27" t="s">
        <v>7</v>
      </c>
      <c r="TI618" s="27" t="s">
        <v>8</v>
      </c>
      <c r="TK618" s="27" t="s">
        <v>8</v>
      </c>
      <c r="TM618" s="27" t="s">
        <v>8</v>
      </c>
      <c r="UJ618" s="27" t="s">
        <v>7</v>
      </c>
      <c r="UK618" s="27" t="s">
        <v>8</v>
      </c>
      <c r="UL618" s="27" t="s">
        <v>7</v>
      </c>
    </row>
    <row r="619" spans="1:558" x14ac:dyDescent="0.25">
      <c r="A619" s="7">
        <v>0.53063330351779314</v>
      </c>
      <c r="B619"/>
      <c r="C619"/>
      <c r="D619"/>
      <c r="E619"/>
      <c r="N619" s="27" t="s">
        <v>7</v>
      </c>
      <c r="O619" s="27" t="s">
        <v>8</v>
      </c>
      <c r="P619" s="27" t="s">
        <v>7</v>
      </c>
      <c r="S619" s="27" t="s">
        <v>8</v>
      </c>
      <c r="T619" s="27" t="s">
        <v>7</v>
      </c>
      <c r="U619" s="27" t="s">
        <v>8</v>
      </c>
      <c r="AK619" s="27" t="s">
        <v>8</v>
      </c>
      <c r="AL619" s="27" t="s">
        <v>7</v>
      </c>
      <c r="AU619" s="27" t="s">
        <v>8</v>
      </c>
      <c r="AV619" s="27" t="s">
        <v>7</v>
      </c>
      <c r="BO619" s="27" t="s">
        <v>8</v>
      </c>
      <c r="BP619" s="27" t="s">
        <v>7</v>
      </c>
      <c r="BQ619" s="27" t="s">
        <v>8</v>
      </c>
      <c r="BV619" s="27" t="s">
        <v>7</v>
      </c>
      <c r="BW619" s="27" t="s">
        <v>8</v>
      </c>
      <c r="EL619" s="27" t="s">
        <v>7</v>
      </c>
      <c r="EM619" s="27" t="s">
        <v>8</v>
      </c>
      <c r="EN619" s="27" t="s">
        <v>7</v>
      </c>
      <c r="EP619" s="27" t="s">
        <v>7</v>
      </c>
      <c r="EQ619" s="27" t="s">
        <v>8</v>
      </c>
      <c r="ER619" s="27" t="s">
        <v>7</v>
      </c>
      <c r="ES619" s="27" t="s">
        <v>8</v>
      </c>
      <c r="ET619" s="27" t="s">
        <v>7</v>
      </c>
      <c r="EY619" s="27" t="s">
        <v>8</v>
      </c>
      <c r="EZ619" s="27" t="s">
        <v>7</v>
      </c>
      <c r="FA619" s="27" t="s">
        <v>8</v>
      </c>
      <c r="JU619" s="27" t="s">
        <v>8</v>
      </c>
      <c r="JV619" s="27" t="s">
        <v>7</v>
      </c>
      <c r="JY619" s="27" t="s">
        <v>8</v>
      </c>
      <c r="JZ619" s="27" t="s">
        <v>7</v>
      </c>
      <c r="KA619" s="27" t="s">
        <v>8</v>
      </c>
      <c r="KB619" s="27" t="s">
        <v>7</v>
      </c>
      <c r="KC619" s="27" t="s">
        <v>8</v>
      </c>
      <c r="KD619" s="27" t="s">
        <v>7</v>
      </c>
      <c r="KE619" s="27" t="s">
        <v>8</v>
      </c>
      <c r="KF619" s="27" t="s">
        <v>7</v>
      </c>
      <c r="KM619" s="27" t="s">
        <v>8</v>
      </c>
      <c r="KN619" s="27" t="s">
        <v>7</v>
      </c>
      <c r="KO619" s="27" t="s">
        <v>8</v>
      </c>
      <c r="KP619" s="27" t="s">
        <v>7</v>
      </c>
      <c r="KQ619" s="27" t="s">
        <v>8</v>
      </c>
      <c r="KR619" s="27" t="s">
        <v>7</v>
      </c>
      <c r="KS619" s="27" t="s">
        <v>8</v>
      </c>
      <c r="NU619" s="27" t="s">
        <v>8</v>
      </c>
      <c r="OB619" s="27" t="s">
        <v>7</v>
      </c>
      <c r="OC619" s="27" t="s">
        <v>8</v>
      </c>
      <c r="OD619" s="27" t="s">
        <v>7</v>
      </c>
      <c r="OG619" s="27" t="s">
        <v>8</v>
      </c>
      <c r="OH619" s="27" t="s">
        <v>7</v>
      </c>
      <c r="OI619" s="27" t="s">
        <v>8</v>
      </c>
      <c r="PX619" s="27" t="s">
        <v>7</v>
      </c>
      <c r="PY619" s="27" t="s">
        <v>8</v>
      </c>
      <c r="PZ619" s="27" t="s">
        <v>7</v>
      </c>
      <c r="QA619" s="27" t="s">
        <v>8</v>
      </c>
      <c r="QB619" s="27" t="s">
        <v>7</v>
      </c>
      <c r="QC619" s="27" t="s">
        <v>8</v>
      </c>
      <c r="QH619" s="27" t="s">
        <v>7</v>
      </c>
      <c r="QI619" s="27" t="s">
        <v>8</v>
      </c>
      <c r="QJ619" s="27" t="s">
        <v>7</v>
      </c>
      <c r="QM619" s="27" t="s">
        <v>8</v>
      </c>
      <c r="QN619" s="27" t="s">
        <v>7</v>
      </c>
      <c r="RE619" s="27" t="s">
        <v>8</v>
      </c>
      <c r="RF619" s="27" t="s">
        <v>7</v>
      </c>
      <c r="RG619" s="27" t="s">
        <v>8</v>
      </c>
      <c r="RT619" s="27" t="s">
        <v>7</v>
      </c>
      <c r="RU619" s="27" t="s">
        <v>8</v>
      </c>
      <c r="RV619" s="27" t="s">
        <v>7</v>
      </c>
      <c r="RW619" s="27" t="s">
        <v>8</v>
      </c>
      <c r="RX619" s="27" t="s">
        <v>7</v>
      </c>
      <c r="RY619" s="27" t="s">
        <v>8</v>
      </c>
      <c r="RZ619" s="27" t="s">
        <v>7</v>
      </c>
      <c r="SC619" s="27" t="s">
        <v>8</v>
      </c>
      <c r="SD619" s="27" t="s">
        <v>7</v>
      </c>
      <c r="SI619" s="27" t="s">
        <v>8</v>
      </c>
      <c r="SJ619" s="27" t="s">
        <v>7</v>
      </c>
      <c r="SK619" s="27" t="s">
        <v>8</v>
      </c>
      <c r="SL619" s="27" t="s">
        <v>7</v>
      </c>
      <c r="SM619" s="27" t="s">
        <v>8</v>
      </c>
      <c r="SN619" s="27" t="s">
        <v>7</v>
      </c>
      <c r="SO619" s="27" t="s">
        <v>8</v>
      </c>
      <c r="SV619" s="27" t="s">
        <v>7</v>
      </c>
      <c r="SW619" s="27" t="s">
        <v>8</v>
      </c>
      <c r="TD619" s="27" t="s">
        <v>7</v>
      </c>
      <c r="TE619" s="27" t="s">
        <v>8</v>
      </c>
      <c r="TF619" s="27" t="s">
        <v>7</v>
      </c>
      <c r="TG619" s="27" t="s">
        <v>8</v>
      </c>
      <c r="TH619" s="27" t="s">
        <v>7</v>
      </c>
      <c r="TI619" s="27" t="s">
        <v>8</v>
      </c>
      <c r="TJ619" s="27" t="s">
        <v>7</v>
      </c>
      <c r="TK619" s="27" t="s">
        <v>8</v>
      </c>
      <c r="TL619" s="27" t="s">
        <v>7</v>
      </c>
      <c r="TM619" s="27" t="s">
        <v>8</v>
      </c>
      <c r="UJ619" s="27" t="s">
        <v>7</v>
      </c>
      <c r="UK619" s="27" t="s">
        <v>8</v>
      </c>
      <c r="UL619" s="27" t="s">
        <v>7</v>
      </c>
    </row>
    <row r="620" spans="1:558" x14ac:dyDescent="0.25">
      <c r="A620" s="7">
        <v>0.52022872893901284</v>
      </c>
      <c r="B620"/>
      <c r="C620"/>
      <c r="D620"/>
      <c r="E620"/>
      <c r="N620" s="27" t="s">
        <v>7</v>
      </c>
      <c r="O620" s="27" t="s">
        <v>8</v>
      </c>
      <c r="P620" s="27" t="s">
        <v>7</v>
      </c>
      <c r="S620" s="27" t="s">
        <v>8</v>
      </c>
      <c r="T620" s="27" t="s">
        <v>7</v>
      </c>
      <c r="U620" s="27" t="s">
        <v>8</v>
      </c>
      <c r="V620" s="27" t="s">
        <v>7</v>
      </c>
      <c r="AK620" s="27" t="s">
        <v>8</v>
      </c>
      <c r="AL620" s="27" t="s">
        <v>7</v>
      </c>
      <c r="AU620" s="27" t="s">
        <v>8</v>
      </c>
      <c r="AV620" s="27" t="s">
        <v>7</v>
      </c>
      <c r="BO620" s="27" t="s">
        <v>8</v>
      </c>
      <c r="BP620" s="27" t="s">
        <v>7</v>
      </c>
      <c r="BQ620" s="27" t="s">
        <v>8</v>
      </c>
      <c r="BV620" s="27" t="s">
        <v>7</v>
      </c>
      <c r="EL620" s="27" t="s">
        <v>7</v>
      </c>
      <c r="EM620" s="27" t="s">
        <v>8</v>
      </c>
      <c r="EP620" s="27" t="s">
        <v>7</v>
      </c>
      <c r="EQ620" s="27" t="s">
        <v>8</v>
      </c>
      <c r="ER620" s="27" t="s">
        <v>7</v>
      </c>
      <c r="ES620" s="27" t="s">
        <v>8</v>
      </c>
      <c r="ET620" s="27" t="s">
        <v>7</v>
      </c>
      <c r="EY620" s="27" t="s">
        <v>8</v>
      </c>
      <c r="EZ620" s="27" t="s">
        <v>7</v>
      </c>
      <c r="FA620" s="27" t="s">
        <v>8</v>
      </c>
      <c r="FB620" s="27" t="s">
        <v>7</v>
      </c>
      <c r="JU620" s="27" t="s">
        <v>8</v>
      </c>
      <c r="JV620" s="27" t="s">
        <v>7</v>
      </c>
      <c r="JW620" s="27" t="s">
        <v>8</v>
      </c>
      <c r="JY620" s="27" t="s">
        <v>8</v>
      </c>
      <c r="JZ620" s="27" t="s">
        <v>7</v>
      </c>
      <c r="KA620" s="27" t="s">
        <v>8</v>
      </c>
      <c r="KB620" s="27" t="s">
        <v>7</v>
      </c>
      <c r="KC620" s="27" t="s">
        <v>8</v>
      </c>
      <c r="KD620" s="27" t="s">
        <v>7</v>
      </c>
      <c r="KE620" s="27" t="s">
        <v>8</v>
      </c>
      <c r="KF620" s="27" t="s">
        <v>7</v>
      </c>
      <c r="KI620" s="27" t="s">
        <v>8</v>
      </c>
      <c r="KM620" s="27" t="s">
        <v>8</v>
      </c>
      <c r="KN620" s="27" t="s">
        <v>7</v>
      </c>
      <c r="KO620" s="27" t="s">
        <v>8</v>
      </c>
      <c r="KP620" s="27" t="s">
        <v>7</v>
      </c>
      <c r="KQ620" s="27" t="s">
        <v>8</v>
      </c>
      <c r="KR620" s="27" t="s">
        <v>7</v>
      </c>
      <c r="KS620" s="27" t="s">
        <v>8</v>
      </c>
      <c r="KT620" s="27" t="s">
        <v>7</v>
      </c>
      <c r="NU620" s="27" t="s">
        <v>8</v>
      </c>
      <c r="OB620" s="27" t="s">
        <v>7</v>
      </c>
      <c r="OC620" s="27" t="s">
        <v>8</v>
      </c>
      <c r="OD620" s="27" t="s">
        <v>7</v>
      </c>
      <c r="OE620" s="27" t="s">
        <v>8</v>
      </c>
      <c r="OG620" s="27" t="s">
        <v>8</v>
      </c>
      <c r="OH620" s="27" t="s">
        <v>7</v>
      </c>
      <c r="OI620" s="27" t="s">
        <v>8</v>
      </c>
      <c r="PX620" s="27" t="s">
        <v>7</v>
      </c>
      <c r="PY620" s="27" t="s">
        <v>8</v>
      </c>
      <c r="PZ620" s="27" t="s">
        <v>7</v>
      </c>
      <c r="QA620" s="27" t="s">
        <v>8</v>
      </c>
      <c r="QB620" s="27" t="s">
        <v>7</v>
      </c>
      <c r="QC620" s="27" t="s">
        <v>8</v>
      </c>
      <c r="QH620" s="27" t="s">
        <v>7</v>
      </c>
      <c r="QI620" s="27" t="s">
        <v>8</v>
      </c>
      <c r="QJ620" s="27" t="s">
        <v>7</v>
      </c>
      <c r="QK620" s="27" t="s">
        <v>8</v>
      </c>
      <c r="QM620" s="27" t="s">
        <v>8</v>
      </c>
      <c r="QN620" s="27" t="s">
        <v>7</v>
      </c>
      <c r="RE620" s="27" t="s">
        <v>8</v>
      </c>
      <c r="RF620" s="27" t="s">
        <v>7</v>
      </c>
      <c r="RG620" s="27" t="s">
        <v>8</v>
      </c>
      <c r="RT620" s="27" t="s">
        <v>7</v>
      </c>
      <c r="RU620" s="27" t="s">
        <v>8</v>
      </c>
      <c r="RV620" s="27" t="s">
        <v>7</v>
      </c>
      <c r="RW620" s="27" t="s">
        <v>8</v>
      </c>
      <c r="RX620" s="27" t="s">
        <v>7</v>
      </c>
      <c r="RY620" s="27" t="s">
        <v>8</v>
      </c>
      <c r="RZ620" s="27" t="s">
        <v>7</v>
      </c>
      <c r="SC620" s="27" t="s">
        <v>8</v>
      </c>
      <c r="SD620" s="27" t="s">
        <v>7</v>
      </c>
      <c r="SI620" s="27" t="s">
        <v>8</v>
      </c>
      <c r="SJ620" s="27" t="s">
        <v>7</v>
      </c>
      <c r="SK620" s="27" t="s">
        <v>8</v>
      </c>
      <c r="SL620" s="27" t="s">
        <v>7</v>
      </c>
      <c r="SN620" s="27" t="s">
        <v>7</v>
      </c>
      <c r="SO620" s="27" t="s">
        <v>8</v>
      </c>
      <c r="SV620" s="27" t="s">
        <v>7</v>
      </c>
      <c r="TD620" s="27" t="s">
        <v>7</v>
      </c>
      <c r="TE620" s="27" t="s">
        <v>8</v>
      </c>
      <c r="TF620" s="27" t="s">
        <v>7</v>
      </c>
      <c r="TH620" s="27" t="s">
        <v>7</v>
      </c>
      <c r="TI620" s="27" t="s">
        <v>8</v>
      </c>
      <c r="TJ620" s="27" t="s">
        <v>7</v>
      </c>
      <c r="TK620" s="27" t="s">
        <v>8</v>
      </c>
      <c r="TL620" s="27" t="s">
        <v>7</v>
      </c>
      <c r="TM620" s="27" t="s">
        <v>8</v>
      </c>
      <c r="UJ620" s="27" t="s">
        <v>7</v>
      </c>
      <c r="UK620" s="27" t="s">
        <v>8</v>
      </c>
      <c r="UL620" s="27" t="s">
        <v>7</v>
      </c>
    </row>
    <row r="621" spans="1:558" x14ac:dyDescent="0.25">
      <c r="A621" s="7">
        <v>0.51002816562648323</v>
      </c>
      <c r="B621"/>
      <c r="C621"/>
      <c r="D621"/>
      <c r="E621"/>
      <c r="N621" s="27" t="s">
        <v>7</v>
      </c>
      <c r="P621" s="27" t="s">
        <v>7</v>
      </c>
      <c r="Q621" s="27" t="s">
        <v>8</v>
      </c>
      <c r="S621" s="27" t="s">
        <v>8</v>
      </c>
      <c r="T621" s="27" t="s">
        <v>7</v>
      </c>
      <c r="U621" s="27" t="s">
        <v>8</v>
      </c>
      <c r="V621" s="27" t="s">
        <v>7</v>
      </c>
      <c r="AK621" s="27" t="s">
        <v>8</v>
      </c>
      <c r="AL621" s="27" t="s">
        <v>7</v>
      </c>
      <c r="AU621" s="27" t="s">
        <v>8</v>
      </c>
      <c r="AV621" s="27" t="s">
        <v>7</v>
      </c>
      <c r="BO621" s="27" t="s">
        <v>8</v>
      </c>
      <c r="BP621" s="27" t="s">
        <v>7</v>
      </c>
      <c r="BQ621" s="27" t="s">
        <v>8</v>
      </c>
      <c r="EL621" s="27" t="s">
        <v>7</v>
      </c>
      <c r="EM621" s="27" t="s">
        <v>8</v>
      </c>
      <c r="EP621" s="27" t="s">
        <v>7</v>
      </c>
      <c r="ER621" s="27" t="s">
        <v>7</v>
      </c>
      <c r="ES621" s="27" t="s">
        <v>8</v>
      </c>
      <c r="ET621" s="27" t="s">
        <v>7</v>
      </c>
      <c r="EY621" s="27" t="s">
        <v>8</v>
      </c>
      <c r="EZ621" s="27" t="s">
        <v>7</v>
      </c>
      <c r="FA621" s="27" t="s">
        <v>8</v>
      </c>
      <c r="FB621" s="27" t="s">
        <v>7</v>
      </c>
      <c r="JU621" s="27" t="s">
        <v>8</v>
      </c>
      <c r="JV621" s="27" t="s">
        <v>7</v>
      </c>
      <c r="JW621" s="27" t="s">
        <v>8</v>
      </c>
      <c r="JX621" s="27" t="s">
        <v>7</v>
      </c>
      <c r="JY621" s="27" t="s">
        <v>8</v>
      </c>
      <c r="JZ621" s="27" t="s">
        <v>7</v>
      </c>
      <c r="KA621" s="27" t="s">
        <v>8</v>
      </c>
      <c r="KB621" s="27" t="s">
        <v>7</v>
      </c>
      <c r="KC621" s="27" t="s">
        <v>8</v>
      </c>
      <c r="KD621" s="27" t="s">
        <v>7</v>
      </c>
      <c r="KF621" s="27" t="s">
        <v>7</v>
      </c>
      <c r="KI621" s="27" t="s">
        <v>8</v>
      </c>
      <c r="KJ621" s="27" t="s">
        <v>7</v>
      </c>
      <c r="KM621" s="27" t="s">
        <v>8</v>
      </c>
      <c r="KN621" s="27" t="s">
        <v>7</v>
      </c>
      <c r="KO621" s="27" t="s">
        <v>8</v>
      </c>
      <c r="KP621" s="27" t="s">
        <v>7</v>
      </c>
      <c r="KQ621" s="27" t="s">
        <v>8</v>
      </c>
      <c r="KR621" s="27" t="s">
        <v>7</v>
      </c>
      <c r="KS621" s="27" t="s">
        <v>8</v>
      </c>
      <c r="KT621" s="27" t="s">
        <v>7</v>
      </c>
      <c r="KW621" s="27" t="s">
        <v>8</v>
      </c>
      <c r="NU621" s="27" t="s">
        <v>8</v>
      </c>
      <c r="OB621" s="27" t="s">
        <v>7</v>
      </c>
      <c r="OC621" s="27" t="s">
        <v>8</v>
      </c>
      <c r="OD621" s="27" t="s">
        <v>7</v>
      </c>
      <c r="OE621" s="27" t="s">
        <v>8</v>
      </c>
      <c r="OF621" s="27" t="s">
        <v>7</v>
      </c>
      <c r="OG621" s="27" t="s">
        <v>8</v>
      </c>
      <c r="OH621" s="27" t="s">
        <v>7</v>
      </c>
      <c r="PX621" s="27" t="s">
        <v>7</v>
      </c>
      <c r="PY621" s="27" t="s">
        <v>8</v>
      </c>
      <c r="PZ621" s="27" t="s">
        <v>7</v>
      </c>
      <c r="QA621" s="27" t="s">
        <v>8</v>
      </c>
      <c r="QB621" s="27" t="s">
        <v>7</v>
      </c>
      <c r="QH621" s="27" t="s">
        <v>7</v>
      </c>
      <c r="QI621" s="27" t="s">
        <v>8</v>
      </c>
      <c r="QJ621" s="27" t="s">
        <v>7</v>
      </c>
      <c r="QK621" s="27" t="s">
        <v>8</v>
      </c>
      <c r="QL621" s="27" t="s">
        <v>7</v>
      </c>
      <c r="QM621" s="27" t="s">
        <v>8</v>
      </c>
      <c r="QN621" s="27" t="s">
        <v>7</v>
      </c>
      <c r="RE621" s="27" t="s">
        <v>8</v>
      </c>
      <c r="RF621" s="27" t="s">
        <v>7</v>
      </c>
      <c r="RG621" s="27" t="s">
        <v>8</v>
      </c>
      <c r="RT621" s="27" t="s">
        <v>7</v>
      </c>
      <c r="RU621" s="27" t="s">
        <v>8</v>
      </c>
      <c r="RV621" s="27" t="s">
        <v>7</v>
      </c>
      <c r="RW621" s="27" t="s">
        <v>8</v>
      </c>
      <c r="RX621" s="27" t="s">
        <v>7</v>
      </c>
      <c r="RZ621" s="27" t="s">
        <v>7</v>
      </c>
      <c r="SC621" s="27" t="s">
        <v>8</v>
      </c>
      <c r="SD621" s="27" t="s">
        <v>7</v>
      </c>
      <c r="SE621" s="27" t="s">
        <v>8</v>
      </c>
      <c r="SI621" s="27" t="s">
        <v>8</v>
      </c>
      <c r="SJ621" s="27" t="s">
        <v>7</v>
      </c>
      <c r="SN621" s="27" t="s">
        <v>7</v>
      </c>
      <c r="SO621" s="27" t="s">
        <v>8</v>
      </c>
      <c r="TD621" s="27" t="s">
        <v>7</v>
      </c>
      <c r="TE621" s="27" t="s">
        <v>8</v>
      </c>
      <c r="TH621" s="27" t="s">
        <v>7</v>
      </c>
      <c r="TJ621" s="27" t="s">
        <v>7</v>
      </c>
      <c r="TK621" s="27" t="s">
        <v>8</v>
      </c>
      <c r="TL621" s="27" t="s">
        <v>7</v>
      </c>
      <c r="TM621" s="27" t="s">
        <v>8</v>
      </c>
      <c r="UJ621" s="27" t="s">
        <v>7</v>
      </c>
      <c r="UL621" s="27" t="s">
        <v>7</v>
      </c>
    </row>
    <row r="622" spans="1:558" x14ac:dyDescent="0.25">
      <c r="A622" s="7">
        <v>0.50002761335929735</v>
      </c>
      <c r="B622"/>
      <c r="C622"/>
      <c r="D622"/>
      <c r="E622"/>
      <c r="P622" s="27" t="s">
        <v>7</v>
      </c>
      <c r="Q622" s="27" t="s">
        <v>8</v>
      </c>
      <c r="R622" s="27" t="s">
        <v>7</v>
      </c>
      <c r="S622" s="27" t="s">
        <v>8</v>
      </c>
      <c r="T622" s="27" t="s">
        <v>7</v>
      </c>
      <c r="U622" s="27" t="s">
        <v>8</v>
      </c>
      <c r="V622" s="27" t="s">
        <v>7</v>
      </c>
      <c r="AK622" s="27" t="s">
        <v>8</v>
      </c>
      <c r="AL622" s="27" t="s">
        <v>7</v>
      </c>
      <c r="AU622" s="27" t="s">
        <v>8</v>
      </c>
      <c r="AV622" s="27" t="s">
        <v>7</v>
      </c>
      <c r="BO622" s="27" t="s">
        <v>8</v>
      </c>
      <c r="BP622" s="27" t="s">
        <v>7</v>
      </c>
      <c r="BQ622" s="27" t="s">
        <v>8</v>
      </c>
      <c r="EL622" s="27" t="s">
        <v>7</v>
      </c>
      <c r="ER622" s="27" t="s">
        <v>7</v>
      </c>
      <c r="ES622" s="27" t="s">
        <v>8</v>
      </c>
      <c r="ET622" s="27" t="s">
        <v>7</v>
      </c>
      <c r="EY622" s="27" t="s">
        <v>8</v>
      </c>
      <c r="EZ622" s="27" t="s">
        <v>7</v>
      </c>
      <c r="FA622" s="27" t="s">
        <v>8</v>
      </c>
      <c r="FB622" s="27" t="s">
        <v>7</v>
      </c>
      <c r="JU622" s="27" t="s">
        <v>8</v>
      </c>
      <c r="JV622" s="27" t="s">
        <v>7</v>
      </c>
      <c r="JW622" s="27" t="s">
        <v>8</v>
      </c>
      <c r="JX622" s="27" t="s">
        <v>7</v>
      </c>
      <c r="JY622" s="27" t="s">
        <v>8</v>
      </c>
      <c r="JZ622" s="27" t="s">
        <v>7</v>
      </c>
      <c r="KB622" s="27" t="s">
        <v>7</v>
      </c>
      <c r="KF622" s="27" t="s">
        <v>7</v>
      </c>
      <c r="KI622" s="27" t="s">
        <v>8</v>
      </c>
      <c r="KJ622" s="27" t="s">
        <v>7</v>
      </c>
      <c r="KM622" s="27" t="s">
        <v>8</v>
      </c>
      <c r="KN622" s="27" t="s">
        <v>7</v>
      </c>
      <c r="KP622" s="27" t="s">
        <v>7</v>
      </c>
      <c r="KQ622" s="27" t="s">
        <v>8</v>
      </c>
      <c r="KR622" s="27" t="s">
        <v>7</v>
      </c>
      <c r="KS622" s="27" t="s">
        <v>8</v>
      </c>
      <c r="KT622" s="27" t="s">
        <v>7</v>
      </c>
      <c r="KW622" s="27" t="s">
        <v>8</v>
      </c>
      <c r="KX622" s="27" t="s">
        <v>7</v>
      </c>
      <c r="NU622" s="27" t="s">
        <v>8</v>
      </c>
      <c r="OB622" s="27" t="s">
        <v>7</v>
      </c>
      <c r="OC622" s="27" t="s">
        <v>8</v>
      </c>
      <c r="OD622" s="27" t="s">
        <v>7</v>
      </c>
      <c r="OE622" s="27" t="s">
        <v>8</v>
      </c>
      <c r="OF622" s="27" t="s">
        <v>7</v>
      </c>
      <c r="OG622" s="27" t="s">
        <v>8</v>
      </c>
      <c r="PX622" s="27" t="s">
        <v>7</v>
      </c>
      <c r="PY622" s="27" t="s">
        <v>8</v>
      </c>
      <c r="PZ622" s="27" t="s">
        <v>7</v>
      </c>
      <c r="QA622" s="27" t="s">
        <v>8</v>
      </c>
      <c r="QH622" s="27" t="s">
        <v>7</v>
      </c>
      <c r="QI622" s="27" t="s">
        <v>8</v>
      </c>
      <c r="QJ622" s="27" t="s">
        <v>7</v>
      </c>
      <c r="QK622" s="27" t="s">
        <v>8</v>
      </c>
      <c r="QL622" s="27" t="s">
        <v>7</v>
      </c>
      <c r="QM622" s="27" t="s">
        <v>8</v>
      </c>
      <c r="QN622" s="27" t="s">
        <v>7</v>
      </c>
      <c r="RE622" s="27" t="s">
        <v>8</v>
      </c>
      <c r="RF622" s="27" t="s">
        <v>7</v>
      </c>
      <c r="RG622" s="27" t="s">
        <v>8</v>
      </c>
      <c r="RT622" s="27" t="s">
        <v>7</v>
      </c>
      <c r="RU622" s="27" t="s">
        <v>8</v>
      </c>
      <c r="RV622" s="27" t="s">
        <v>7</v>
      </c>
      <c r="RZ622" s="27" t="s">
        <v>7</v>
      </c>
      <c r="SC622" s="27" t="s">
        <v>8</v>
      </c>
      <c r="SD622" s="27" t="s">
        <v>7</v>
      </c>
      <c r="SE622" s="27" t="s">
        <v>8</v>
      </c>
      <c r="SF622" s="27" t="s">
        <v>7</v>
      </c>
      <c r="SI622" s="27" t="s">
        <v>8</v>
      </c>
      <c r="SN622" s="27" t="s">
        <v>7</v>
      </c>
      <c r="TD622" s="27" t="s">
        <v>7</v>
      </c>
      <c r="TE622" s="27" t="s">
        <v>8</v>
      </c>
      <c r="TJ622" s="27" t="s">
        <v>7</v>
      </c>
      <c r="TL622" s="27" t="s">
        <v>7</v>
      </c>
      <c r="UL622" s="27" t="s">
        <v>7</v>
      </c>
    </row>
    <row r="623" spans="1:558" x14ac:dyDescent="0.25">
      <c r="A623" s="7">
        <v>0.49022315035225228</v>
      </c>
      <c r="B623"/>
      <c r="C623"/>
      <c r="D623"/>
      <c r="E623"/>
      <c r="P623" s="27" t="s">
        <v>7</v>
      </c>
      <c r="Q623" s="27" t="s">
        <v>8</v>
      </c>
      <c r="R623" s="27" t="s">
        <v>7</v>
      </c>
      <c r="S623" s="27" t="s">
        <v>8</v>
      </c>
      <c r="T623" s="27" t="s">
        <v>7</v>
      </c>
      <c r="V623" s="27" t="s">
        <v>7</v>
      </c>
      <c r="AK623" s="27" t="s">
        <v>8</v>
      </c>
      <c r="AL623" s="27" t="s">
        <v>7</v>
      </c>
      <c r="AU623" s="27" t="s">
        <v>8</v>
      </c>
      <c r="AV623" s="27" t="s">
        <v>7</v>
      </c>
      <c r="BO623" s="27" t="s">
        <v>8</v>
      </c>
      <c r="BP623" s="27" t="s">
        <v>7</v>
      </c>
      <c r="BQ623" s="27" t="s">
        <v>8</v>
      </c>
      <c r="ER623" s="27" t="s">
        <v>7</v>
      </c>
      <c r="ET623" s="27" t="s">
        <v>7</v>
      </c>
      <c r="EW623" s="27" t="s">
        <v>8</v>
      </c>
      <c r="EY623" s="27" t="s">
        <v>8</v>
      </c>
      <c r="EZ623" s="27" t="s">
        <v>7</v>
      </c>
      <c r="FA623" s="27" t="s">
        <v>8</v>
      </c>
      <c r="FB623" s="27" t="s">
        <v>7</v>
      </c>
      <c r="JU623" s="27" t="s">
        <v>8</v>
      </c>
      <c r="JV623" s="27" t="s">
        <v>7</v>
      </c>
      <c r="JW623" s="27" t="s">
        <v>8</v>
      </c>
      <c r="JX623" s="27" t="s">
        <v>7</v>
      </c>
      <c r="JY623" s="27" t="s">
        <v>8</v>
      </c>
      <c r="KF623" s="27" t="s">
        <v>7</v>
      </c>
      <c r="KG623" s="27" t="s">
        <v>8</v>
      </c>
      <c r="KI623" s="27" t="s">
        <v>8</v>
      </c>
      <c r="KJ623" s="27" t="s">
        <v>7</v>
      </c>
      <c r="KK623" s="27" t="s">
        <v>8</v>
      </c>
      <c r="KM623" s="27" t="s">
        <v>8</v>
      </c>
      <c r="KP623" s="27" t="s">
        <v>7</v>
      </c>
      <c r="KR623" s="27" t="s">
        <v>7</v>
      </c>
      <c r="KS623" s="27" t="s">
        <v>8</v>
      </c>
      <c r="KT623" s="27" t="s">
        <v>7</v>
      </c>
      <c r="KW623" s="27" t="s">
        <v>8</v>
      </c>
      <c r="KX623" s="27" t="s">
        <v>7</v>
      </c>
      <c r="NM623" s="27" t="s">
        <v>8</v>
      </c>
      <c r="NU623" s="27" t="s">
        <v>8</v>
      </c>
      <c r="OB623" s="27" t="s">
        <v>7</v>
      </c>
      <c r="OC623" s="27" t="s">
        <v>8</v>
      </c>
      <c r="OD623" s="27" t="s">
        <v>7</v>
      </c>
      <c r="OE623" s="27" t="s">
        <v>8</v>
      </c>
      <c r="OF623" s="27" t="s">
        <v>7</v>
      </c>
      <c r="OG623" s="27" t="s">
        <v>8</v>
      </c>
      <c r="PX623" s="27" t="s">
        <v>7</v>
      </c>
      <c r="PY623" s="27" t="s">
        <v>8</v>
      </c>
      <c r="PZ623" s="27" t="s">
        <v>7</v>
      </c>
      <c r="QA623" s="27" t="s">
        <v>8</v>
      </c>
      <c r="QH623" s="27" t="s">
        <v>7</v>
      </c>
      <c r="QI623" s="27" t="s">
        <v>8</v>
      </c>
      <c r="QJ623" s="27" t="s">
        <v>7</v>
      </c>
      <c r="QK623" s="27" t="s">
        <v>8</v>
      </c>
      <c r="QL623" s="27" t="s">
        <v>7</v>
      </c>
      <c r="QM623" s="27" t="s">
        <v>8</v>
      </c>
      <c r="QN623" s="27" t="s">
        <v>7</v>
      </c>
      <c r="RE623" s="27" t="s">
        <v>8</v>
      </c>
      <c r="RF623" s="27" t="s">
        <v>7</v>
      </c>
      <c r="RG623" s="27" t="s">
        <v>8</v>
      </c>
      <c r="RT623" s="27" t="s">
        <v>7</v>
      </c>
      <c r="RU623" s="27" t="s">
        <v>8</v>
      </c>
      <c r="RZ623" s="27" t="s">
        <v>7</v>
      </c>
      <c r="SC623" s="27" t="s">
        <v>8</v>
      </c>
      <c r="SD623" s="27" t="s">
        <v>7</v>
      </c>
      <c r="SE623" s="27" t="s">
        <v>8</v>
      </c>
      <c r="SF623" s="27" t="s">
        <v>7</v>
      </c>
      <c r="SI623" s="27" t="s">
        <v>8</v>
      </c>
      <c r="TD623" s="27" t="s">
        <v>7</v>
      </c>
      <c r="TE623" s="27" t="s">
        <v>8</v>
      </c>
      <c r="UL623" s="27" t="s">
        <v>7</v>
      </c>
    </row>
    <row r="624" spans="1:558" x14ac:dyDescent="0.25">
      <c r="A624" s="7">
        <v>0.48061093171789437</v>
      </c>
      <c r="B624"/>
      <c r="C624"/>
      <c r="D624"/>
      <c r="E624"/>
      <c r="P624" s="27" t="s">
        <v>7</v>
      </c>
      <c r="Q624" s="27" t="s">
        <v>8</v>
      </c>
      <c r="R624" s="27" t="s">
        <v>7</v>
      </c>
      <c r="S624" s="27" t="s">
        <v>8</v>
      </c>
      <c r="V624" s="27" t="s">
        <v>7</v>
      </c>
      <c r="AI624" s="27" t="s">
        <v>8</v>
      </c>
      <c r="AK624" s="27" t="s">
        <v>8</v>
      </c>
      <c r="AL624" s="27" t="s">
        <v>7</v>
      </c>
      <c r="AU624" s="27" t="s">
        <v>8</v>
      </c>
      <c r="AV624" s="27" t="s">
        <v>7</v>
      </c>
      <c r="BO624" s="27" t="s">
        <v>8</v>
      </c>
      <c r="BP624" s="27" t="s">
        <v>7</v>
      </c>
      <c r="ET624" s="27" t="s">
        <v>7</v>
      </c>
      <c r="EW624" s="27" t="s">
        <v>8</v>
      </c>
      <c r="EX624" s="27" t="s">
        <v>7</v>
      </c>
      <c r="EY624" s="27" t="s">
        <v>8</v>
      </c>
      <c r="EZ624" s="27" t="s">
        <v>7</v>
      </c>
      <c r="FA624" s="27" t="s">
        <v>8</v>
      </c>
      <c r="FB624" s="27" t="s">
        <v>7</v>
      </c>
      <c r="JU624" s="27" t="s">
        <v>8</v>
      </c>
      <c r="JV624" s="27" t="s">
        <v>7</v>
      </c>
      <c r="JW624" s="27" t="s">
        <v>8</v>
      </c>
      <c r="JX624" s="27" t="s">
        <v>7</v>
      </c>
      <c r="JY624" s="27" t="s">
        <v>8</v>
      </c>
      <c r="KF624" s="27" t="s">
        <v>7</v>
      </c>
      <c r="KG624" s="27" t="s">
        <v>8</v>
      </c>
      <c r="KH624" s="27" t="s">
        <v>7</v>
      </c>
      <c r="KI624" s="27" t="s">
        <v>8</v>
      </c>
      <c r="KJ624" s="27" t="s">
        <v>7</v>
      </c>
      <c r="KK624" s="27" t="s">
        <v>8</v>
      </c>
      <c r="KL624" s="27" t="s">
        <v>7</v>
      </c>
      <c r="KM624" s="27" t="s">
        <v>8</v>
      </c>
      <c r="KR624" s="27" t="s">
        <v>7</v>
      </c>
      <c r="KS624" s="27" t="s">
        <v>8</v>
      </c>
      <c r="KT624" s="27" t="s">
        <v>7</v>
      </c>
      <c r="KU624" s="27" t="s">
        <v>8</v>
      </c>
      <c r="KW624" s="27" t="s">
        <v>8</v>
      </c>
      <c r="KX624" s="27" t="s">
        <v>7</v>
      </c>
      <c r="NM624" s="27" t="s">
        <v>8</v>
      </c>
      <c r="NN624" s="27" t="s">
        <v>7</v>
      </c>
      <c r="NU624" s="27" t="s">
        <v>8</v>
      </c>
      <c r="OB624" s="27" t="s">
        <v>7</v>
      </c>
      <c r="OC624" s="27" t="s">
        <v>8</v>
      </c>
      <c r="OD624" s="27" t="s">
        <v>7</v>
      </c>
      <c r="OE624" s="27" t="s">
        <v>8</v>
      </c>
      <c r="OF624" s="27" t="s">
        <v>7</v>
      </c>
      <c r="OG624" s="27" t="s">
        <v>8</v>
      </c>
      <c r="PX624" s="27" t="s">
        <v>7</v>
      </c>
      <c r="PZ624" s="27" t="s">
        <v>7</v>
      </c>
      <c r="QA624" s="27" t="s">
        <v>8</v>
      </c>
      <c r="QH624" s="27" t="s">
        <v>7</v>
      </c>
      <c r="QJ624" s="27" t="s">
        <v>7</v>
      </c>
      <c r="QK624" s="27" t="s">
        <v>8</v>
      </c>
      <c r="QL624" s="27" t="s">
        <v>7</v>
      </c>
      <c r="QM624" s="27" t="s">
        <v>8</v>
      </c>
      <c r="QN624" s="27" t="s">
        <v>7</v>
      </c>
      <c r="RE624" s="27" t="s">
        <v>8</v>
      </c>
      <c r="RF624" s="27" t="s">
        <v>7</v>
      </c>
      <c r="RG624" s="27" t="s">
        <v>8</v>
      </c>
      <c r="RT624" s="27" t="s">
        <v>7</v>
      </c>
      <c r="RZ624" s="27" t="s">
        <v>7</v>
      </c>
      <c r="SC624" s="27" t="s">
        <v>8</v>
      </c>
      <c r="SD624" s="27" t="s">
        <v>7</v>
      </c>
      <c r="SE624" s="27" t="s">
        <v>8</v>
      </c>
      <c r="SF624" s="27" t="s">
        <v>7</v>
      </c>
      <c r="SG624" s="27" t="s">
        <v>8</v>
      </c>
      <c r="SI624" s="27" t="s">
        <v>8</v>
      </c>
      <c r="TD624" s="27" t="s">
        <v>7</v>
      </c>
      <c r="TE624" s="27" t="s">
        <v>8</v>
      </c>
      <c r="UL624" s="27" t="s">
        <v>7</v>
      </c>
    </row>
    <row r="625" spans="1:562" x14ac:dyDescent="0.25">
      <c r="A625" s="7">
        <v>0.47118718795871994</v>
      </c>
      <c r="B625"/>
      <c r="C625"/>
      <c r="D625"/>
      <c r="E625"/>
      <c r="P625" s="27" t="s">
        <v>7</v>
      </c>
      <c r="Q625" s="27" t="s">
        <v>8</v>
      </c>
      <c r="R625" s="27" t="s">
        <v>7</v>
      </c>
      <c r="S625" s="27" t="s">
        <v>8</v>
      </c>
      <c r="V625" s="27" t="s">
        <v>7</v>
      </c>
      <c r="AG625" s="27" t="s">
        <v>8</v>
      </c>
      <c r="AI625" s="27" t="s">
        <v>8</v>
      </c>
      <c r="AJ625" s="27" t="s">
        <v>7</v>
      </c>
      <c r="AK625" s="27" t="s">
        <v>8</v>
      </c>
      <c r="AL625" s="27" t="s">
        <v>7</v>
      </c>
      <c r="AU625" s="27" t="s">
        <v>8</v>
      </c>
      <c r="AV625" s="27" t="s">
        <v>7</v>
      </c>
      <c r="BO625" s="27" t="s">
        <v>8</v>
      </c>
      <c r="ET625" s="27" t="s">
        <v>7</v>
      </c>
      <c r="EW625" s="27" t="s">
        <v>8</v>
      </c>
      <c r="EX625" s="27" t="s">
        <v>7</v>
      </c>
      <c r="EY625" s="27" t="s">
        <v>8</v>
      </c>
      <c r="EZ625" s="27" t="s">
        <v>7</v>
      </c>
      <c r="FA625" s="27" t="s">
        <v>8</v>
      </c>
      <c r="FB625" s="27" t="s">
        <v>7</v>
      </c>
      <c r="FC625" s="27" t="s">
        <v>8</v>
      </c>
      <c r="FG625" s="27" t="s">
        <v>8</v>
      </c>
      <c r="FU625" s="27" t="s">
        <v>8</v>
      </c>
      <c r="JU625" s="27" t="s">
        <v>8</v>
      </c>
      <c r="JV625" s="27" t="s">
        <v>7</v>
      </c>
      <c r="JX625" s="27" t="s">
        <v>7</v>
      </c>
      <c r="JY625" s="27" t="s">
        <v>8</v>
      </c>
      <c r="KF625" s="27" t="s">
        <v>7</v>
      </c>
      <c r="KG625" s="27" t="s">
        <v>8</v>
      </c>
      <c r="KH625" s="27" t="s">
        <v>7</v>
      </c>
      <c r="KI625" s="27" t="s">
        <v>8</v>
      </c>
      <c r="KJ625" s="27" t="s">
        <v>7</v>
      </c>
      <c r="KK625" s="27" t="s">
        <v>8</v>
      </c>
      <c r="KL625" s="27" t="s">
        <v>7</v>
      </c>
      <c r="KM625" s="27" t="s">
        <v>8</v>
      </c>
      <c r="KR625" s="27" t="s">
        <v>7</v>
      </c>
      <c r="KT625" s="27" t="s">
        <v>7</v>
      </c>
      <c r="KU625" s="27" t="s">
        <v>8</v>
      </c>
      <c r="KV625" s="27" t="s">
        <v>7</v>
      </c>
      <c r="KW625" s="27" t="s">
        <v>8</v>
      </c>
      <c r="KX625" s="27" t="s">
        <v>7</v>
      </c>
      <c r="NM625" s="27" t="s">
        <v>8</v>
      </c>
      <c r="NN625" s="27" t="s">
        <v>7</v>
      </c>
      <c r="NU625" s="27" t="s">
        <v>8</v>
      </c>
      <c r="OB625" s="27" t="s">
        <v>7</v>
      </c>
      <c r="OC625" s="27" t="s">
        <v>8</v>
      </c>
      <c r="OD625" s="27" t="s">
        <v>7</v>
      </c>
      <c r="OE625" s="27" t="s">
        <v>8</v>
      </c>
      <c r="OF625" s="27" t="s">
        <v>7</v>
      </c>
      <c r="OG625" s="27" t="s">
        <v>8</v>
      </c>
      <c r="PZ625" s="27" t="s">
        <v>7</v>
      </c>
      <c r="QA625" s="27" t="s">
        <v>8</v>
      </c>
      <c r="QJ625" s="27" t="s">
        <v>7</v>
      </c>
      <c r="QL625" s="27" t="s">
        <v>7</v>
      </c>
      <c r="QM625" s="27" t="s">
        <v>8</v>
      </c>
      <c r="QN625" s="27" t="s">
        <v>7</v>
      </c>
      <c r="RE625" s="27" t="s">
        <v>8</v>
      </c>
      <c r="RF625" s="27" t="s">
        <v>7</v>
      </c>
      <c r="RZ625" s="27" t="s">
        <v>7</v>
      </c>
      <c r="SC625" s="27" t="s">
        <v>8</v>
      </c>
      <c r="SD625" s="27" t="s">
        <v>7</v>
      </c>
      <c r="SE625" s="27" t="s">
        <v>8</v>
      </c>
      <c r="SF625" s="27" t="s">
        <v>7</v>
      </c>
      <c r="SG625" s="27" t="s">
        <v>8</v>
      </c>
      <c r="SH625" s="27" t="s">
        <v>7</v>
      </c>
      <c r="SI625" s="27" t="s">
        <v>8</v>
      </c>
      <c r="TD625" s="27" t="s">
        <v>7</v>
      </c>
      <c r="UL625" s="27" t="s">
        <v>7</v>
      </c>
    </row>
    <row r="626" spans="1:562" x14ac:dyDescent="0.25">
      <c r="A626" s="7">
        <v>0.46194822348894116</v>
      </c>
      <c r="B626"/>
      <c r="C626"/>
      <c r="D626"/>
      <c r="E626"/>
      <c r="P626" s="27" t="s">
        <v>7</v>
      </c>
      <c r="Q626" s="27" t="s">
        <v>8</v>
      </c>
      <c r="R626" s="27" t="s">
        <v>7</v>
      </c>
      <c r="S626" s="27" t="s">
        <v>8</v>
      </c>
      <c r="V626" s="27" t="s">
        <v>7</v>
      </c>
      <c r="AG626" s="27" t="s">
        <v>8</v>
      </c>
      <c r="AH626" s="27" t="s">
        <v>7</v>
      </c>
      <c r="AI626" s="27" t="s">
        <v>8</v>
      </c>
      <c r="AJ626" s="27" t="s">
        <v>7</v>
      </c>
      <c r="AK626" s="27" t="s">
        <v>8</v>
      </c>
      <c r="AL626" s="27" t="s">
        <v>7</v>
      </c>
      <c r="AU626" s="27" t="s">
        <v>8</v>
      </c>
      <c r="AV626" s="27" t="s">
        <v>7</v>
      </c>
      <c r="BK626" s="27" t="s">
        <v>8</v>
      </c>
      <c r="BO626" s="27" t="s">
        <v>8</v>
      </c>
      <c r="ET626" s="27" t="s">
        <v>7</v>
      </c>
      <c r="EW626" s="27" t="s">
        <v>8</v>
      </c>
      <c r="EX626" s="27" t="s">
        <v>7</v>
      </c>
      <c r="EY626" s="27" t="s">
        <v>8</v>
      </c>
      <c r="EZ626" s="27" t="s">
        <v>7</v>
      </c>
      <c r="FA626" s="27" t="s">
        <v>8</v>
      </c>
      <c r="FB626" s="27" t="s">
        <v>7</v>
      </c>
      <c r="FC626" s="27" t="s">
        <v>8</v>
      </c>
      <c r="FD626" s="27" t="s">
        <v>7</v>
      </c>
      <c r="FE626" s="27" t="s">
        <v>8</v>
      </c>
      <c r="FG626" s="27" t="s">
        <v>8</v>
      </c>
      <c r="FH626" s="27" t="s">
        <v>7</v>
      </c>
      <c r="FU626" s="27" t="s">
        <v>8</v>
      </c>
      <c r="FV626" s="27" t="s">
        <v>7</v>
      </c>
      <c r="JU626" s="27" t="s">
        <v>8</v>
      </c>
      <c r="JX626" s="27" t="s">
        <v>7</v>
      </c>
      <c r="JY626" s="27" t="s">
        <v>8</v>
      </c>
      <c r="KF626" s="27" t="s">
        <v>7</v>
      </c>
      <c r="KG626" s="27" t="s">
        <v>8</v>
      </c>
      <c r="KH626" s="27" t="s">
        <v>7</v>
      </c>
      <c r="KI626" s="27" t="s">
        <v>8</v>
      </c>
      <c r="KJ626" s="27" t="s">
        <v>7</v>
      </c>
      <c r="KK626" s="27" t="s">
        <v>8</v>
      </c>
      <c r="KL626" s="27" t="s">
        <v>7</v>
      </c>
      <c r="KM626" s="27" t="s">
        <v>8</v>
      </c>
      <c r="KT626" s="27" t="s">
        <v>7</v>
      </c>
      <c r="KU626" s="27" t="s">
        <v>8</v>
      </c>
      <c r="KV626" s="27" t="s">
        <v>7</v>
      </c>
      <c r="KW626" s="27" t="s">
        <v>8</v>
      </c>
      <c r="KX626" s="27" t="s">
        <v>7</v>
      </c>
      <c r="NM626" s="27" t="s">
        <v>8</v>
      </c>
      <c r="NN626" s="27" t="s">
        <v>7</v>
      </c>
      <c r="NU626" s="27" t="s">
        <v>8</v>
      </c>
      <c r="OB626" s="27" t="s">
        <v>7</v>
      </c>
      <c r="OC626" s="27" t="s">
        <v>8</v>
      </c>
      <c r="OD626" s="27" t="s">
        <v>7</v>
      </c>
      <c r="OE626" s="27" t="s">
        <v>8</v>
      </c>
      <c r="OF626" s="27" t="s">
        <v>7</v>
      </c>
      <c r="OG626" s="27" t="s">
        <v>8</v>
      </c>
      <c r="PZ626" s="27" t="s">
        <v>7</v>
      </c>
      <c r="QA626" s="27" t="s">
        <v>8</v>
      </c>
      <c r="QL626" s="27" t="s">
        <v>7</v>
      </c>
      <c r="QM626" s="27" t="s">
        <v>8</v>
      </c>
      <c r="QN626" s="27" t="s">
        <v>7</v>
      </c>
      <c r="RE626" s="27" t="s">
        <v>8</v>
      </c>
      <c r="RZ626" s="27" t="s">
        <v>7</v>
      </c>
      <c r="SA626" s="27" t="s">
        <v>8</v>
      </c>
      <c r="SC626" s="27" t="s">
        <v>8</v>
      </c>
      <c r="SD626" s="27" t="s">
        <v>7</v>
      </c>
      <c r="SE626" s="27" t="s">
        <v>8</v>
      </c>
      <c r="SF626" s="27" t="s">
        <v>7</v>
      </c>
      <c r="SG626" s="27" t="s">
        <v>8</v>
      </c>
      <c r="SH626" s="27" t="s">
        <v>7</v>
      </c>
      <c r="SI626" s="27" t="s">
        <v>8</v>
      </c>
      <c r="UL626" s="27" t="s">
        <v>7</v>
      </c>
    </row>
    <row r="627" spans="1:562" x14ac:dyDescent="0.25">
      <c r="A627" s="7">
        <v>0.45289041518523643</v>
      </c>
      <c r="B627"/>
      <c r="C627"/>
      <c r="D627"/>
      <c r="E627"/>
      <c r="P627" s="27" t="s">
        <v>7</v>
      </c>
      <c r="R627" s="27" t="s">
        <v>7</v>
      </c>
      <c r="S627" s="27" t="s">
        <v>8</v>
      </c>
      <c r="V627" s="27" t="s">
        <v>7</v>
      </c>
      <c r="AA627" s="27" t="s">
        <v>8</v>
      </c>
      <c r="AG627" s="27" t="s">
        <v>8</v>
      </c>
      <c r="AH627" s="27" t="s">
        <v>7</v>
      </c>
      <c r="AI627" s="27" t="s">
        <v>8</v>
      </c>
      <c r="AJ627" s="27" t="s">
        <v>7</v>
      </c>
      <c r="AK627" s="27" t="s">
        <v>8</v>
      </c>
      <c r="AL627" s="27" t="s">
        <v>7</v>
      </c>
      <c r="AO627" s="27" t="s">
        <v>8</v>
      </c>
      <c r="AU627" s="27" t="s">
        <v>8</v>
      </c>
      <c r="AV627" s="27" t="s">
        <v>7</v>
      </c>
      <c r="AW627" s="27" t="s">
        <v>8</v>
      </c>
      <c r="BG627" s="27" t="s">
        <v>8</v>
      </c>
      <c r="BI627" s="27" t="s">
        <v>8</v>
      </c>
      <c r="BK627" s="27" t="s">
        <v>8</v>
      </c>
      <c r="BL627" s="27" t="s">
        <v>7</v>
      </c>
      <c r="BO627" s="27" t="s">
        <v>8</v>
      </c>
      <c r="ET627" s="27" t="s">
        <v>7</v>
      </c>
      <c r="EW627" s="27" t="s">
        <v>8</v>
      </c>
      <c r="EX627" s="27" t="s">
        <v>7</v>
      </c>
      <c r="EY627" s="27" t="s">
        <v>8</v>
      </c>
      <c r="EZ627" s="27" t="s">
        <v>7</v>
      </c>
      <c r="FB627" s="27" t="s">
        <v>7</v>
      </c>
      <c r="FC627" s="27" t="s">
        <v>8</v>
      </c>
      <c r="FD627" s="27" t="s">
        <v>7</v>
      </c>
      <c r="FE627" s="27" t="s">
        <v>8</v>
      </c>
      <c r="FF627" s="27" t="s">
        <v>7</v>
      </c>
      <c r="FG627" s="27" t="s">
        <v>8</v>
      </c>
      <c r="FH627" s="27" t="s">
        <v>7</v>
      </c>
      <c r="FU627" s="27" t="s">
        <v>8</v>
      </c>
      <c r="FV627" s="27" t="s">
        <v>7</v>
      </c>
      <c r="FW627" s="27" t="s">
        <v>8</v>
      </c>
      <c r="JU627" s="27" t="s">
        <v>8</v>
      </c>
      <c r="JX627" s="27" t="s">
        <v>7</v>
      </c>
      <c r="KF627" s="27" t="s">
        <v>7</v>
      </c>
      <c r="KG627" s="27" t="s">
        <v>8</v>
      </c>
      <c r="KH627" s="27" t="s">
        <v>7</v>
      </c>
      <c r="KI627" s="27" t="s">
        <v>8</v>
      </c>
      <c r="KJ627" s="27" t="s">
        <v>7</v>
      </c>
      <c r="KK627" s="27" t="s">
        <v>8</v>
      </c>
      <c r="KL627" s="27" t="s">
        <v>7</v>
      </c>
      <c r="KM627" s="27" t="s">
        <v>8</v>
      </c>
      <c r="KT627" s="27" t="s">
        <v>7</v>
      </c>
      <c r="KV627" s="27" t="s">
        <v>7</v>
      </c>
      <c r="KW627" s="27" t="s">
        <v>8</v>
      </c>
      <c r="KX627" s="27" t="s">
        <v>7</v>
      </c>
      <c r="NM627" s="27" t="s">
        <v>8</v>
      </c>
      <c r="NN627" s="27" t="s">
        <v>7</v>
      </c>
      <c r="NQ627" s="27" t="s">
        <v>8</v>
      </c>
      <c r="NU627" s="27" t="s">
        <v>8</v>
      </c>
      <c r="OB627" s="27" t="s">
        <v>7</v>
      </c>
      <c r="OC627" s="27" t="s">
        <v>8</v>
      </c>
      <c r="OD627" s="27" t="s">
        <v>7</v>
      </c>
      <c r="OE627" s="27" t="s">
        <v>8</v>
      </c>
      <c r="OF627" s="27" t="s">
        <v>7</v>
      </c>
      <c r="OG627" s="27" t="s">
        <v>8</v>
      </c>
      <c r="PZ627" s="27" t="s">
        <v>7</v>
      </c>
      <c r="QA627" s="27" t="s">
        <v>8</v>
      </c>
      <c r="QL627" s="27" t="s">
        <v>7</v>
      </c>
      <c r="QM627" s="27" t="s">
        <v>8</v>
      </c>
      <c r="QN627" s="27" t="s">
        <v>7</v>
      </c>
      <c r="QU627" s="27" t="s">
        <v>8</v>
      </c>
      <c r="RC627" s="27" t="s">
        <v>8</v>
      </c>
      <c r="RE627" s="27" t="s">
        <v>8</v>
      </c>
      <c r="RZ627" s="27" t="s">
        <v>7</v>
      </c>
      <c r="SA627" s="27" t="s">
        <v>8</v>
      </c>
      <c r="SB627" s="27" t="s">
        <v>7</v>
      </c>
      <c r="SC627" s="27" t="s">
        <v>8</v>
      </c>
      <c r="SD627" s="27" t="s">
        <v>7</v>
      </c>
      <c r="SE627" s="27" t="s">
        <v>8</v>
      </c>
      <c r="SF627" s="27" t="s">
        <v>7</v>
      </c>
      <c r="SH627" s="27" t="s">
        <v>7</v>
      </c>
      <c r="SI627" s="27" t="s">
        <v>8</v>
      </c>
      <c r="UL627" s="27" t="s">
        <v>7</v>
      </c>
    </row>
    <row r="628" spans="1:562" x14ac:dyDescent="0.25">
      <c r="A628" s="7">
        <v>0.44401021096591808</v>
      </c>
      <c r="B628"/>
      <c r="C628"/>
      <c r="D628"/>
      <c r="E628"/>
      <c r="R628" s="27" t="s">
        <v>7</v>
      </c>
      <c r="V628" s="27" t="s">
        <v>7</v>
      </c>
      <c r="W628" s="27" t="s">
        <v>8</v>
      </c>
      <c r="AA628" s="27" t="s">
        <v>8</v>
      </c>
      <c r="AB628" s="27" t="s">
        <v>7</v>
      </c>
      <c r="AE628" s="27" t="s">
        <v>8</v>
      </c>
      <c r="AG628" s="27" t="s">
        <v>8</v>
      </c>
      <c r="AH628" s="27" t="s">
        <v>7</v>
      </c>
      <c r="AI628" s="27" t="s">
        <v>8</v>
      </c>
      <c r="AJ628" s="27" t="s">
        <v>7</v>
      </c>
      <c r="AL628" s="27" t="s">
        <v>7</v>
      </c>
      <c r="AO628" s="27" t="s">
        <v>8</v>
      </c>
      <c r="AP628" s="27" t="s">
        <v>7</v>
      </c>
      <c r="AU628" s="27" t="s">
        <v>8</v>
      </c>
      <c r="AV628" s="27" t="s">
        <v>7</v>
      </c>
      <c r="AW628" s="27" t="s">
        <v>8</v>
      </c>
      <c r="AX628" s="27" t="s">
        <v>7</v>
      </c>
      <c r="BC628" s="27" t="s">
        <v>8</v>
      </c>
      <c r="BG628" s="27" t="s">
        <v>8</v>
      </c>
      <c r="BH628" s="27" t="s">
        <v>7</v>
      </c>
      <c r="BI628" s="27" t="s">
        <v>8</v>
      </c>
      <c r="BJ628" s="27" t="s">
        <v>7</v>
      </c>
      <c r="BK628" s="27" t="s">
        <v>8</v>
      </c>
      <c r="BL628" s="27" t="s">
        <v>7</v>
      </c>
      <c r="BM628" s="27" t="s">
        <v>8</v>
      </c>
      <c r="BO628" s="27" t="s">
        <v>8</v>
      </c>
      <c r="ET628" s="27" t="s">
        <v>7</v>
      </c>
      <c r="EU628" s="27" t="s">
        <v>8</v>
      </c>
      <c r="EW628" s="27" t="s">
        <v>8</v>
      </c>
      <c r="EX628" s="27" t="s">
        <v>7</v>
      </c>
      <c r="EY628" s="27" t="s">
        <v>8</v>
      </c>
      <c r="FB628" s="27" t="s">
        <v>7</v>
      </c>
      <c r="FC628" s="27" t="s">
        <v>8</v>
      </c>
      <c r="FD628" s="27" t="s">
        <v>7</v>
      </c>
      <c r="FE628" s="27" t="s">
        <v>8</v>
      </c>
      <c r="FF628" s="27" t="s">
        <v>7</v>
      </c>
      <c r="FG628" s="27" t="s">
        <v>8</v>
      </c>
      <c r="FH628" s="27" t="s">
        <v>7</v>
      </c>
      <c r="FI628" s="27" t="s">
        <v>8</v>
      </c>
      <c r="FU628" s="27" t="s">
        <v>8</v>
      </c>
      <c r="FV628" s="27" t="s">
        <v>7</v>
      </c>
      <c r="FW628" s="27" t="s">
        <v>8</v>
      </c>
      <c r="FX628" s="27" t="s">
        <v>7</v>
      </c>
      <c r="FY628" s="27" t="s">
        <v>8</v>
      </c>
      <c r="JU628" s="27" t="s">
        <v>8</v>
      </c>
      <c r="KF628" s="27" t="s">
        <v>7</v>
      </c>
      <c r="KG628" s="27" t="s">
        <v>8</v>
      </c>
      <c r="KH628" s="27" t="s">
        <v>7</v>
      </c>
      <c r="KJ628" s="27" t="s">
        <v>7</v>
      </c>
      <c r="KK628" s="27" t="s">
        <v>8</v>
      </c>
      <c r="KL628" s="27" t="s">
        <v>7</v>
      </c>
      <c r="KV628" s="27" t="s">
        <v>7</v>
      </c>
      <c r="KW628" s="27" t="s">
        <v>8</v>
      </c>
      <c r="KX628" s="27" t="s">
        <v>7</v>
      </c>
      <c r="NM628" s="27" t="s">
        <v>8</v>
      </c>
      <c r="NN628" s="27" t="s">
        <v>7</v>
      </c>
      <c r="NQ628" s="27" t="s">
        <v>8</v>
      </c>
      <c r="NR628" s="27" t="s">
        <v>7</v>
      </c>
      <c r="NU628" s="27" t="s">
        <v>8</v>
      </c>
      <c r="OB628" s="27" t="s">
        <v>7</v>
      </c>
      <c r="OC628" s="27" t="s">
        <v>8</v>
      </c>
      <c r="OD628" s="27" t="s">
        <v>7</v>
      </c>
      <c r="OE628" s="27" t="s">
        <v>8</v>
      </c>
      <c r="OF628" s="27" t="s">
        <v>7</v>
      </c>
      <c r="PZ628" s="27" t="s">
        <v>7</v>
      </c>
      <c r="QA628" s="27" t="s">
        <v>8</v>
      </c>
      <c r="QL628" s="27" t="s">
        <v>7</v>
      </c>
      <c r="QN628" s="27" t="s">
        <v>7</v>
      </c>
      <c r="QU628" s="27" t="s">
        <v>8</v>
      </c>
      <c r="QV628" s="27" t="s">
        <v>7</v>
      </c>
      <c r="RC628" s="27" t="s">
        <v>8</v>
      </c>
      <c r="RD628" s="27" t="s">
        <v>7</v>
      </c>
      <c r="RE628" s="27" t="s">
        <v>8</v>
      </c>
      <c r="RZ628" s="27" t="s">
        <v>7</v>
      </c>
      <c r="SA628" s="27" t="s">
        <v>8</v>
      </c>
      <c r="SB628" s="27" t="s">
        <v>7</v>
      </c>
      <c r="SC628" s="27" t="s">
        <v>8</v>
      </c>
      <c r="SD628" s="27" t="s">
        <v>7</v>
      </c>
      <c r="SE628" s="27" t="s">
        <v>8</v>
      </c>
      <c r="SH628" s="27" t="s">
        <v>7</v>
      </c>
      <c r="SI628" s="27" t="s">
        <v>8</v>
      </c>
      <c r="UL628" s="27" t="s">
        <v>7</v>
      </c>
    </row>
    <row r="629" spans="1:562" x14ac:dyDescent="0.25">
      <c r="A629" s="7">
        <v>0.4353041283979589</v>
      </c>
      <c r="B629"/>
      <c r="C629"/>
      <c r="D629"/>
      <c r="E629"/>
      <c r="V629" s="27" t="s">
        <v>7</v>
      </c>
      <c r="W629" s="27" t="s">
        <v>8</v>
      </c>
      <c r="X629" s="27" t="s">
        <v>7</v>
      </c>
      <c r="AA629" s="27" t="s">
        <v>8</v>
      </c>
      <c r="AB629" s="27" t="s">
        <v>7</v>
      </c>
      <c r="AE629" s="27" t="s">
        <v>8</v>
      </c>
      <c r="AF629" s="27" t="s">
        <v>7</v>
      </c>
      <c r="AG629" s="27" t="s">
        <v>8</v>
      </c>
      <c r="AH629" s="27" t="s">
        <v>7</v>
      </c>
      <c r="AI629" s="27" t="s">
        <v>8</v>
      </c>
      <c r="AL629" s="27" t="s">
        <v>7</v>
      </c>
      <c r="AM629" s="27" t="s">
        <v>8</v>
      </c>
      <c r="AO629" s="27" t="s">
        <v>8</v>
      </c>
      <c r="AP629" s="27" t="s">
        <v>7</v>
      </c>
      <c r="AU629" s="27" t="s">
        <v>8</v>
      </c>
      <c r="AV629" s="27" t="s">
        <v>7</v>
      </c>
      <c r="AW629" s="27" t="s">
        <v>8</v>
      </c>
      <c r="AX629" s="27" t="s">
        <v>7</v>
      </c>
      <c r="BC629" s="27" t="s">
        <v>8</v>
      </c>
      <c r="BD629" s="27" t="s">
        <v>7</v>
      </c>
      <c r="BG629" s="27" t="s">
        <v>8</v>
      </c>
      <c r="BH629" s="27" t="s">
        <v>7</v>
      </c>
      <c r="BI629" s="27" t="s">
        <v>8</v>
      </c>
      <c r="BJ629" s="27" t="s">
        <v>7</v>
      </c>
      <c r="BK629" s="27" t="s">
        <v>8</v>
      </c>
      <c r="BL629" s="27" t="s">
        <v>7</v>
      </c>
      <c r="BM629" s="27" t="s">
        <v>8</v>
      </c>
      <c r="BN629" s="27" t="s">
        <v>7</v>
      </c>
      <c r="BO629" s="27" t="s">
        <v>8</v>
      </c>
      <c r="ET629" s="27" t="s">
        <v>7</v>
      </c>
      <c r="EU629" s="27" t="s">
        <v>8</v>
      </c>
      <c r="EV629" s="27" t="s">
        <v>7</v>
      </c>
      <c r="EW629" s="27" t="s">
        <v>8</v>
      </c>
      <c r="EX629" s="27" t="s">
        <v>7</v>
      </c>
      <c r="EY629" s="27" t="s">
        <v>8</v>
      </c>
      <c r="FB629" s="27" t="s">
        <v>7</v>
      </c>
      <c r="FC629" s="27" t="s">
        <v>8</v>
      </c>
      <c r="FD629" s="27" t="s">
        <v>7</v>
      </c>
      <c r="FE629" s="27" t="s">
        <v>8</v>
      </c>
      <c r="FF629" s="27" t="s">
        <v>7</v>
      </c>
      <c r="FG629" s="27" t="s">
        <v>8</v>
      </c>
      <c r="FH629" s="27" t="s">
        <v>7</v>
      </c>
      <c r="FI629" s="27" t="s">
        <v>8</v>
      </c>
      <c r="FJ629" s="27" t="s">
        <v>7</v>
      </c>
      <c r="FU629" s="27" t="s">
        <v>8</v>
      </c>
      <c r="FV629" s="27" t="s">
        <v>7</v>
      </c>
      <c r="FW629" s="27" t="s">
        <v>8</v>
      </c>
      <c r="FX629" s="27" t="s">
        <v>7</v>
      </c>
      <c r="FY629" s="27" t="s">
        <v>8</v>
      </c>
      <c r="FZ629" s="27" t="s">
        <v>7</v>
      </c>
      <c r="GE629" s="27" t="s">
        <v>8</v>
      </c>
      <c r="HO629" s="27" t="s">
        <v>8</v>
      </c>
      <c r="JU629" s="27" t="s">
        <v>8</v>
      </c>
      <c r="KF629" s="27" t="s">
        <v>7</v>
      </c>
      <c r="KJ629" s="27" t="s">
        <v>7</v>
      </c>
      <c r="KK629" s="27" t="s">
        <v>8</v>
      </c>
      <c r="KV629" s="27" t="s">
        <v>7</v>
      </c>
      <c r="KW629" s="27" t="s">
        <v>8</v>
      </c>
      <c r="KX629" s="27" t="s">
        <v>7</v>
      </c>
      <c r="NM629" s="27" t="s">
        <v>8</v>
      </c>
      <c r="NN629" s="27" t="s">
        <v>7</v>
      </c>
      <c r="NQ629" s="27" t="s">
        <v>8</v>
      </c>
      <c r="NR629" s="27" t="s">
        <v>7</v>
      </c>
      <c r="NU629" s="27" t="s">
        <v>8</v>
      </c>
      <c r="OB629" s="27" t="s">
        <v>7</v>
      </c>
      <c r="OD629" s="27" t="s">
        <v>7</v>
      </c>
      <c r="OE629" s="27" t="s">
        <v>8</v>
      </c>
      <c r="PZ629" s="27" t="s">
        <v>7</v>
      </c>
      <c r="QN629" s="27" t="s">
        <v>7</v>
      </c>
      <c r="QU629" s="27" t="s">
        <v>8</v>
      </c>
      <c r="QV629" s="27" t="s">
        <v>7</v>
      </c>
      <c r="RC629" s="27" t="s">
        <v>8</v>
      </c>
      <c r="RD629" s="27" t="s">
        <v>7</v>
      </c>
      <c r="RE629" s="27" t="s">
        <v>8</v>
      </c>
      <c r="RZ629" s="27" t="s">
        <v>7</v>
      </c>
      <c r="SA629" s="27" t="s">
        <v>8</v>
      </c>
      <c r="SB629" s="27" t="s">
        <v>7</v>
      </c>
      <c r="SC629" s="27" t="s">
        <v>8</v>
      </c>
      <c r="SD629" s="27" t="s">
        <v>7</v>
      </c>
      <c r="SE629" s="27" t="s">
        <v>8</v>
      </c>
      <c r="SH629" s="27" t="s">
        <v>7</v>
      </c>
      <c r="UL629" s="27" t="s">
        <v>7</v>
      </c>
    </row>
    <row r="630" spans="1:562" x14ac:dyDescent="0.25">
      <c r="A630" s="7">
        <v>0.4267687533313323</v>
      </c>
      <c r="B630"/>
      <c r="C630"/>
      <c r="D630"/>
      <c r="E630"/>
      <c r="V630" s="27" t="s">
        <v>7</v>
      </c>
      <c r="W630" s="27" t="s">
        <v>8</v>
      </c>
      <c r="X630" s="27" t="s">
        <v>7</v>
      </c>
      <c r="AA630" s="27" t="s">
        <v>8</v>
      </c>
      <c r="AB630" s="27" t="s">
        <v>7</v>
      </c>
      <c r="AC630" s="27" t="s">
        <v>8</v>
      </c>
      <c r="AE630" s="27" t="s">
        <v>8</v>
      </c>
      <c r="AF630" s="27" t="s">
        <v>7</v>
      </c>
      <c r="AG630" s="27" t="s">
        <v>8</v>
      </c>
      <c r="AH630" s="27" t="s">
        <v>7</v>
      </c>
      <c r="AL630" s="27" t="s">
        <v>7</v>
      </c>
      <c r="AM630" s="27" t="s">
        <v>8</v>
      </c>
      <c r="AN630" s="27" t="s">
        <v>7</v>
      </c>
      <c r="AO630" s="27" t="s">
        <v>8</v>
      </c>
      <c r="AP630" s="27" t="s">
        <v>7</v>
      </c>
      <c r="AS630" s="27" t="s">
        <v>8</v>
      </c>
      <c r="AU630" s="27" t="s">
        <v>8</v>
      </c>
      <c r="AV630" s="27" t="s">
        <v>7</v>
      </c>
      <c r="AW630" s="27" t="s">
        <v>8</v>
      </c>
      <c r="AX630" s="27" t="s">
        <v>7</v>
      </c>
      <c r="BA630" s="27" t="s">
        <v>8</v>
      </c>
      <c r="BC630" s="27" t="s">
        <v>8</v>
      </c>
      <c r="BD630" s="27" t="s">
        <v>7</v>
      </c>
      <c r="BG630" s="27" t="s">
        <v>8</v>
      </c>
      <c r="BH630" s="27" t="s">
        <v>7</v>
      </c>
      <c r="BI630" s="27" t="s">
        <v>8</v>
      </c>
      <c r="BJ630" s="27" t="s">
        <v>7</v>
      </c>
      <c r="BL630" s="27" t="s">
        <v>7</v>
      </c>
      <c r="BM630" s="27" t="s">
        <v>8</v>
      </c>
      <c r="BN630" s="27" t="s">
        <v>7</v>
      </c>
      <c r="BO630" s="27" t="s">
        <v>8</v>
      </c>
      <c r="ET630" s="27" t="s">
        <v>7</v>
      </c>
      <c r="EU630" s="27" t="s">
        <v>8</v>
      </c>
      <c r="EV630" s="27" t="s">
        <v>7</v>
      </c>
      <c r="EW630" s="27" t="s">
        <v>8</v>
      </c>
      <c r="EX630" s="27" t="s">
        <v>7</v>
      </c>
      <c r="EY630" s="27" t="s">
        <v>8</v>
      </c>
      <c r="FB630" s="27" t="s">
        <v>7</v>
      </c>
      <c r="FD630" s="27" t="s">
        <v>7</v>
      </c>
      <c r="FE630" s="27" t="s">
        <v>8</v>
      </c>
      <c r="FF630" s="27" t="s">
        <v>7</v>
      </c>
      <c r="FG630" s="27" t="s">
        <v>8</v>
      </c>
      <c r="FH630" s="27" t="s">
        <v>7</v>
      </c>
      <c r="FI630" s="27" t="s">
        <v>8</v>
      </c>
      <c r="FJ630" s="27" t="s">
        <v>7</v>
      </c>
      <c r="FU630" s="27" t="s">
        <v>8</v>
      </c>
      <c r="FV630" s="27" t="s">
        <v>7</v>
      </c>
      <c r="FW630" s="27" t="s">
        <v>8</v>
      </c>
      <c r="FX630" s="27" t="s">
        <v>7</v>
      </c>
      <c r="FY630" s="27" t="s">
        <v>8</v>
      </c>
      <c r="FZ630" s="27" t="s">
        <v>7</v>
      </c>
      <c r="GE630" s="27" t="s">
        <v>8</v>
      </c>
      <c r="GF630" s="27" t="s">
        <v>7</v>
      </c>
      <c r="HO630" s="27" t="s">
        <v>8</v>
      </c>
      <c r="HP630" s="27" t="s">
        <v>7</v>
      </c>
      <c r="JS630" s="27" t="s">
        <v>8</v>
      </c>
      <c r="JU630" s="27" t="s">
        <v>8</v>
      </c>
      <c r="KJ630" s="27" t="s">
        <v>7</v>
      </c>
      <c r="KK630" s="27" t="s">
        <v>8</v>
      </c>
      <c r="KV630" s="27" t="s">
        <v>7</v>
      </c>
      <c r="KX630" s="27" t="s">
        <v>7</v>
      </c>
      <c r="NM630" s="27" t="s">
        <v>8</v>
      </c>
      <c r="NN630" s="27" t="s">
        <v>7</v>
      </c>
      <c r="NQ630" s="27" t="s">
        <v>8</v>
      </c>
      <c r="NR630" s="27" t="s">
        <v>7</v>
      </c>
      <c r="NS630" s="27" t="s">
        <v>8</v>
      </c>
      <c r="NU630" s="27" t="s">
        <v>8</v>
      </c>
      <c r="OD630" s="27" t="s">
        <v>7</v>
      </c>
      <c r="OE630" s="27" t="s">
        <v>8</v>
      </c>
      <c r="QN630" s="27" t="s">
        <v>7</v>
      </c>
      <c r="QU630" s="27" t="s">
        <v>8</v>
      </c>
      <c r="QV630" s="27" t="s">
        <v>7</v>
      </c>
      <c r="QW630" s="27" t="s">
        <v>8</v>
      </c>
      <c r="QY630" s="27" t="s">
        <v>8</v>
      </c>
      <c r="RC630" s="27" t="s">
        <v>8</v>
      </c>
      <c r="RD630" s="27" t="s">
        <v>7</v>
      </c>
      <c r="RE630" s="27" t="s">
        <v>8</v>
      </c>
      <c r="RZ630" s="27" t="s">
        <v>7</v>
      </c>
      <c r="SA630" s="27" t="s">
        <v>8</v>
      </c>
      <c r="SB630" s="27" t="s">
        <v>7</v>
      </c>
      <c r="SC630" s="27" t="s">
        <v>8</v>
      </c>
      <c r="SD630" s="27" t="s">
        <v>7</v>
      </c>
      <c r="SE630" s="27" t="s">
        <v>8</v>
      </c>
      <c r="UL630" s="27" t="s">
        <v>7</v>
      </c>
    </row>
    <row r="631" spans="1:562" x14ac:dyDescent="0.25">
      <c r="A631" s="7">
        <v>0.41840073856012971</v>
      </c>
      <c r="B631"/>
      <c r="C631"/>
      <c r="D631"/>
      <c r="E631"/>
      <c r="V631" s="27" t="s">
        <v>7</v>
      </c>
      <c r="W631" s="27" t="s">
        <v>8</v>
      </c>
      <c r="X631" s="27" t="s">
        <v>7</v>
      </c>
      <c r="Y631" s="27" t="s">
        <v>8</v>
      </c>
      <c r="AA631" s="27" t="s">
        <v>8</v>
      </c>
      <c r="AB631" s="27" t="s">
        <v>7</v>
      </c>
      <c r="AC631" s="27" t="s">
        <v>8</v>
      </c>
      <c r="AD631" s="27" t="s">
        <v>7</v>
      </c>
      <c r="AE631" s="27" t="s">
        <v>8</v>
      </c>
      <c r="AF631" s="27" t="s">
        <v>7</v>
      </c>
      <c r="AG631" s="27" t="s">
        <v>8</v>
      </c>
      <c r="AL631" s="27" t="s">
        <v>7</v>
      </c>
      <c r="AM631" s="27" t="s">
        <v>8</v>
      </c>
      <c r="AN631" s="27" t="s">
        <v>7</v>
      </c>
      <c r="AO631" s="27" t="s">
        <v>8</v>
      </c>
      <c r="AP631" s="27" t="s">
        <v>7</v>
      </c>
      <c r="AS631" s="27" t="s">
        <v>8</v>
      </c>
      <c r="AT631" s="27" t="s">
        <v>7</v>
      </c>
      <c r="AU631" s="27" t="s">
        <v>8</v>
      </c>
      <c r="AV631" s="27" t="s">
        <v>7</v>
      </c>
      <c r="AW631" s="27" t="s">
        <v>8</v>
      </c>
      <c r="AX631" s="27" t="s">
        <v>7</v>
      </c>
      <c r="AY631" s="27" t="s">
        <v>8</v>
      </c>
      <c r="BA631" s="27" t="s">
        <v>8</v>
      </c>
      <c r="BB631" s="27" t="s">
        <v>7</v>
      </c>
      <c r="BC631" s="27" t="s">
        <v>8</v>
      </c>
      <c r="BD631" s="27" t="s">
        <v>7</v>
      </c>
      <c r="BE631" s="27" t="s">
        <v>8</v>
      </c>
      <c r="BG631" s="27" t="s">
        <v>8</v>
      </c>
      <c r="BH631" s="27" t="s">
        <v>7</v>
      </c>
      <c r="BI631" s="27" t="s">
        <v>8</v>
      </c>
      <c r="BL631" s="27" t="s">
        <v>7</v>
      </c>
      <c r="BM631" s="27" t="s">
        <v>8</v>
      </c>
      <c r="BN631" s="27" t="s">
        <v>7</v>
      </c>
      <c r="BO631" s="27" t="s">
        <v>8</v>
      </c>
      <c r="ET631" s="27" t="s">
        <v>7</v>
      </c>
      <c r="EV631" s="27" t="s">
        <v>7</v>
      </c>
      <c r="EW631" s="27" t="s">
        <v>8</v>
      </c>
      <c r="EX631" s="27" t="s">
        <v>7</v>
      </c>
      <c r="FD631" s="27" t="s">
        <v>7</v>
      </c>
      <c r="FE631" s="27" t="s">
        <v>8</v>
      </c>
      <c r="FF631" s="27" t="s">
        <v>7</v>
      </c>
      <c r="FG631" s="27" t="s">
        <v>8</v>
      </c>
      <c r="FH631" s="27" t="s">
        <v>7</v>
      </c>
      <c r="FI631" s="27" t="s">
        <v>8</v>
      </c>
      <c r="FJ631" s="27" t="s">
        <v>7</v>
      </c>
      <c r="FU631" s="27" t="s">
        <v>8</v>
      </c>
      <c r="FV631" s="27" t="s">
        <v>7</v>
      </c>
      <c r="FW631" s="27" t="s">
        <v>8</v>
      </c>
      <c r="FX631" s="27" t="s">
        <v>7</v>
      </c>
      <c r="FY631" s="27" t="s">
        <v>8</v>
      </c>
      <c r="FZ631" s="27" t="s">
        <v>7</v>
      </c>
      <c r="GA631" s="27" t="s">
        <v>8</v>
      </c>
      <c r="GC631" s="27" t="s">
        <v>8</v>
      </c>
      <c r="GE631" s="27" t="s">
        <v>8</v>
      </c>
      <c r="GF631" s="27" t="s">
        <v>7</v>
      </c>
      <c r="HO631" s="27" t="s">
        <v>8</v>
      </c>
      <c r="HP631" s="27" t="s">
        <v>7</v>
      </c>
      <c r="JS631" s="27" t="s">
        <v>8</v>
      </c>
      <c r="JT631" s="27" t="s">
        <v>7</v>
      </c>
      <c r="JU631" s="27" t="s">
        <v>8</v>
      </c>
      <c r="KJ631" s="27" t="s">
        <v>7</v>
      </c>
      <c r="KK631" s="27" t="s">
        <v>8</v>
      </c>
      <c r="KX631" s="27" t="s">
        <v>7</v>
      </c>
      <c r="NM631" s="27" t="s">
        <v>8</v>
      </c>
      <c r="NN631" s="27" t="s">
        <v>7</v>
      </c>
      <c r="NQ631" s="27" t="s">
        <v>8</v>
      </c>
      <c r="NR631" s="27" t="s">
        <v>7</v>
      </c>
      <c r="NS631" s="27" t="s">
        <v>8</v>
      </c>
      <c r="NT631" s="27" t="s">
        <v>7</v>
      </c>
      <c r="NU631" s="27" t="s">
        <v>8</v>
      </c>
      <c r="OD631" s="27" t="s">
        <v>7</v>
      </c>
      <c r="QN631" s="27" t="s">
        <v>7</v>
      </c>
      <c r="QO631" s="27" t="s">
        <v>8</v>
      </c>
      <c r="QU631" s="27" t="s">
        <v>8</v>
      </c>
      <c r="QV631" s="27" t="s">
        <v>7</v>
      </c>
      <c r="QW631" s="27" t="s">
        <v>8</v>
      </c>
      <c r="QX631" s="27" t="s">
        <v>7</v>
      </c>
      <c r="QY631" s="27" t="s">
        <v>8</v>
      </c>
      <c r="QZ631" s="27" t="s">
        <v>7</v>
      </c>
      <c r="RC631" s="27" t="s">
        <v>8</v>
      </c>
      <c r="RD631" s="27" t="s">
        <v>7</v>
      </c>
      <c r="RE631" s="27" t="s">
        <v>8</v>
      </c>
      <c r="RZ631" s="27" t="s">
        <v>7</v>
      </c>
      <c r="SA631" s="27" t="s">
        <v>8</v>
      </c>
      <c r="SB631" s="27" t="s">
        <v>7</v>
      </c>
      <c r="SC631" s="27" t="s">
        <v>8</v>
      </c>
      <c r="SD631" s="27" t="s">
        <v>7</v>
      </c>
      <c r="SE631" s="27" t="s">
        <v>8</v>
      </c>
      <c r="UL631" s="27" t="s">
        <v>7</v>
      </c>
      <c r="UO631" s="27" t="s">
        <v>8</v>
      </c>
    </row>
    <row r="632" spans="1:562" x14ac:dyDescent="0.25">
      <c r="A632" s="7">
        <v>0.41019680250993112</v>
      </c>
      <c r="B632"/>
      <c r="C632"/>
      <c r="D632"/>
      <c r="E632"/>
      <c r="V632" s="27" t="s">
        <v>7</v>
      </c>
      <c r="W632" s="27" t="s">
        <v>8</v>
      </c>
      <c r="X632" s="27" t="s">
        <v>7</v>
      </c>
      <c r="Y632" s="27" t="s">
        <v>8</v>
      </c>
      <c r="Z632" s="27" t="s">
        <v>7</v>
      </c>
      <c r="AA632" s="27" t="s">
        <v>8</v>
      </c>
      <c r="AB632" s="27" t="s">
        <v>7</v>
      </c>
      <c r="AC632" s="27" t="s">
        <v>8</v>
      </c>
      <c r="AD632" s="27" t="s">
        <v>7</v>
      </c>
      <c r="AE632" s="27" t="s">
        <v>8</v>
      </c>
      <c r="AF632" s="27" t="s">
        <v>7</v>
      </c>
      <c r="AL632" s="27" t="s">
        <v>7</v>
      </c>
      <c r="AM632" s="27" t="s">
        <v>8</v>
      </c>
      <c r="AN632" s="27" t="s">
        <v>7</v>
      </c>
      <c r="AO632" s="27" t="s">
        <v>8</v>
      </c>
      <c r="AP632" s="27" t="s">
        <v>7</v>
      </c>
      <c r="AS632" s="27" t="s">
        <v>8</v>
      </c>
      <c r="AT632" s="27" t="s">
        <v>7</v>
      </c>
      <c r="AU632" s="27" t="s">
        <v>8</v>
      </c>
      <c r="AV632" s="27" t="s">
        <v>7</v>
      </c>
      <c r="AW632" s="27" t="s">
        <v>8</v>
      </c>
      <c r="AX632" s="27" t="s">
        <v>7</v>
      </c>
      <c r="AY632" s="27" t="s">
        <v>8</v>
      </c>
      <c r="AZ632" s="27" t="s">
        <v>7</v>
      </c>
      <c r="BA632" s="27" t="s">
        <v>8</v>
      </c>
      <c r="BB632" s="27" t="s">
        <v>7</v>
      </c>
      <c r="BC632" s="27" t="s">
        <v>8</v>
      </c>
      <c r="BD632" s="27" t="s">
        <v>7</v>
      </c>
      <c r="BE632" s="27" t="s">
        <v>8</v>
      </c>
      <c r="BF632" s="27" t="s">
        <v>7</v>
      </c>
      <c r="BG632" s="27" t="s">
        <v>8</v>
      </c>
      <c r="BH632" s="27" t="s">
        <v>7</v>
      </c>
      <c r="BI632" s="27" t="s">
        <v>8</v>
      </c>
      <c r="BL632" s="27" t="s">
        <v>7</v>
      </c>
      <c r="BM632" s="27" t="s">
        <v>8</v>
      </c>
      <c r="BN632" s="27" t="s">
        <v>7</v>
      </c>
      <c r="BO632" s="27" t="s">
        <v>8</v>
      </c>
      <c r="EV632" s="27" t="s">
        <v>7</v>
      </c>
      <c r="EW632" s="27" t="s">
        <v>8</v>
      </c>
      <c r="FD632" s="27" t="s">
        <v>7</v>
      </c>
      <c r="FE632" s="27" t="s">
        <v>8</v>
      </c>
      <c r="FF632" s="27" t="s">
        <v>7</v>
      </c>
      <c r="FG632" s="27" t="s">
        <v>8</v>
      </c>
      <c r="FH632" s="27" t="s">
        <v>7</v>
      </c>
      <c r="FJ632" s="27" t="s">
        <v>7</v>
      </c>
      <c r="FU632" s="27" t="s">
        <v>8</v>
      </c>
      <c r="FV632" s="27" t="s">
        <v>7</v>
      </c>
      <c r="FW632" s="27" t="s">
        <v>8</v>
      </c>
      <c r="FX632" s="27" t="s">
        <v>7</v>
      </c>
      <c r="FZ632" s="27" t="s">
        <v>7</v>
      </c>
      <c r="GA632" s="27" t="s">
        <v>8</v>
      </c>
      <c r="GB632" s="27" t="s">
        <v>7</v>
      </c>
      <c r="GC632" s="27" t="s">
        <v>8</v>
      </c>
      <c r="GD632" s="27" t="s">
        <v>7</v>
      </c>
      <c r="GE632" s="27" t="s">
        <v>8</v>
      </c>
      <c r="GF632" s="27" t="s">
        <v>7</v>
      </c>
      <c r="HO632" s="27" t="s">
        <v>8</v>
      </c>
      <c r="HP632" s="27" t="s">
        <v>7</v>
      </c>
      <c r="JS632" s="27" t="s">
        <v>8</v>
      </c>
      <c r="JT632" s="27" t="s">
        <v>7</v>
      </c>
      <c r="JU632" s="27" t="s">
        <v>8</v>
      </c>
      <c r="KJ632" s="27" t="s">
        <v>7</v>
      </c>
      <c r="KX632" s="27" t="s">
        <v>7</v>
      </c>
      <c r="NM632" s="27" t="s">
        <v>8</v>
      </c>
      <c r="NN632" s="27" t="s">
        <v>7</v>
      </c>
      <c r="NQ632" s="27" t="s">
        <v>8</v>
      </c>
      <c r="NR632" s="27" t="s">
        <v>7</v>
      </c>
      <c r="NS632" s="27" t="s">
        <v>8</v>
      </c>
      <c r="NT632" s="27" t="s">
        <v>7</v>
      </c>
      <c r="NU632" s="27" t="s">
        <v>8</v>
      </c>
      <c r="QN632" s="27" t="s">
        <v>7</v>
      </c>
      <c r="QO632" s="27" t="s">
        <v>8</v>
      </c>
      <c r="QP632" s="27" t="s">
        <v>7</v>
      </c>
      <c r="QS632" s="27" t="s">
        <v>8</v>
      </c>
      <c r="QU632" s="27" t="s">
        <v>8</v>
      </c>
      <c r="QV632" s="27" t="s">
        <v>7</v>
      </c>
      <c r="QW632" s="27" t="s">
        <v>8</v>
      </c>
      <c r="QX632" s="27" t="s">
        <v>7</v>
      </c>
      <c r="QY632" s="27" t="s">
        <v>8</v>
      </c>
      <c r="QZ632" s="27" t="s">
        <v>7</v>
      </c>
      <c r="RA632" s="27" t="s">
        <v>8</v>
      </c>
      <c r="RC632" s="27" t="s">
        <v>8</v>
      </c>
      <c r="RD632" s="27" t="s">
        <v>7</v>
      </c>
      <c r="RZ632" s="27" t="s">
        <v>7</v>
      </c>
      <c r="SA632" s="27" t="s">
        <v>8</v>
      </c>
      <c r="SB632" s="27" t="s">
        <v>7</v>
      </c>
      <c r="SD632" s="27" t="s">
        <v>7</v>
      </c>
      <c r="UL632" s="27" t="s">
        <v>7</v>
      </c>
      <c r="UO632" s="27" t="s">
        <v>8</v>
      </c>
      <c r="UP632" s="27" t="s">
        <v>7</v>
      </c>
    </row>
    <row r="633" spans="1:562" x14ac:dyDescent="0.25">
      <c r="A633" s="7">
        <v>0.40215372795091286</v>
      </c>
      <c r="B633"/>
      <c r="C633"/>
      <c r="D633"/>
      <c r="E633"/>
      <c r="V633" s="27" t="s">
        <v>7</v>
      </c>
      <c r="W633" s="27" t="s">
        <v>8</v>
      </c>
      <c r="X633" s="27" t="s">
        <v>7</v>
      </c>
      <c r="Y633" s="27" t="s">
        <v>8</v>
      </c>
      <c r="Z633" s="27" t="s">
        <v>7</v>
      </c>
      <c r="AA633" s="27" t="s">
        <v>8</v>
      </c>
      <c r="AB633" s="27" t="s">
        <v>7</v>
      </c>
      <c r="AC633" s="27" t="s">
        <v>8</v>
      </c>
      <c r="AD633" s="27" t="s">
        <v>7</v>
      </c>
      <c r="AL633" s="27" t="s">
        <v>7</v>
      </c>
      <c r="AM633" s="27" t="s">
        <v>8</v>
      </c>
      <c r="AN633" s="27" t="s">
        <v>7</v>
      </c>
      <c r="AO633" s="27" t="s">
        <v>8</v>
      </c>
      <c r="AP633" s="27" t="s">
        <v>7</v>
      </c>
      <c r="AS633" s="27" t="s">
        <v>8</v>
      </c>
      <c r="AT633" s="27" t="s">
        <v>7</v>
      </c>
      <c r="AU633" s="27" t="s">
        <v>8</v>
      </c>
      <c r="AV633" s="27" t="s">
        <v>7</v>
      </c>
      <c r="AW633" s="27" t="s">
        <v>8</v>
      </c>
      <c r="AX633" s="27" t="s">
        <v>7</v>
      </c>
      <c r="AY633" s="27" t="s">
        <v>8</v>
      </c>
      <c r="AZ633" s="27" t="s">
        <v>7</v>
      </c>
      <c r="BA633" s="27" t="s">
        <v>8</v>
      </c>
      <c r="BB633" s="27" t="s">
        <v>7</v>
      </c>
      <c r="BC633" s="27" t="s">
        <v>8</v>
      </c>
      <c r="BD633" s="27" t="s">
        <v>7</v>
      </c>
      <c r="BE633" s="27" t="s">
        <v>8</v>
      </c>
      <c r="BF633" s="27" t="s">
        <v>7</v>
      </c>
      <c r="BG633" s="27" t="s">
        <v>8</v>
      </c>
      <c r="BH633" s="27" t="s">
        <v>7</v>
      </c>
      <c r="BL633" s="27" t="s">
        <v>7</v>
      </c>
      <c r="BN633" s="27" t="s">
        <v>7</v>
      </c>
      <c r="BO633" s="27" t="s">
        <v>8</v>
      </c>
      <c r="EV633" s="27" t="s">
        <v>7</v>
      </c>
      <c r="EW633" s="27" t="s">
        <v>8</v>
      </c>
      <c r="FD633" s="27" t="s">
        <v>7</v>
      </c>
      <c r="FF633" s="27" t="s">
        <v>7</v>
      </c>
      <c r="FJ633" s="27" t="s">
        <v>7</v>
      </c>
      <c r="FU633" s="27" t="s">
        <v>8</v>
      </c>
      <c r="FV633" s="27" t="s">
        <v>7</v>
      </c>
      <c r="FW633" s="27" t="s">
        <v>8</v>
      </c>
      <c r="FZ633" s="27" t="s">
        <v>7</v>
      </c>
      <c r="GA633" s="27" t="s">
        <v>8</v>
      </c>
      <c r="GB633" s="27" t="s">
        <v>7</v>
      </c>
      <c r="GC633" s="27" t="s">
        <v>8</v>
      </c>
      <c r="GD633" s="27" t="s">
        <v>7</v>
      </c>
      <c r="GE633" s="27" t="s">
        <v>8</v>
      </c>
      <c r="GF633" s="27" t="s">
        <v>7</v>
      </c>
      <c r="HO633" s="27" t="s">
        <v>8</v>
      </c>
      <c r="HP633" s="27" t="s">
        <v>7</v>
      </c>
      <c r="JS633" s="27" t="s">
        <v>8</v>
      </c>
      <c r="JT633" s="27" t="s">
        <v>7</v>
      </c>
      <c r="JU633" s="27" t="s">
        <v>8</v>
      </c>
      <c r="KX633" s="27" t="s">
        <v>7</v>
      </c>
      <c r="NM633" s="27" t="s">
        <v>8</v>
      </c>
      <c r="NN633" s="27" t="s">
        <v>7</v>
      </c>
      <c r="NQ633" s="27" t="s">
        <v>8</v>
      </c>
      <c r="NR633" s="27" t="s">
        <v>7</v>
      </c>
      <c r="NS633" s="27" t="s">
        <v>8</v>
      </c>
      <c r="NT633" s="27" t="s">
        <v>7</v>
      </c>
      <c r="NU633" s="27" t="s">
        <v>8</v>
      </c>
      <c r="QN633" s="27" t="s">
        <v>7</v>
      </c>
      <c r="QO633" s="27" t="s">
        <v>8</v>
      </c>
      <c r="QP633" s="27" t="s">
        <v>7</v>
      </c>
      <c r="QQ633" s="27" t="s">
        <v>8</v>
      </c>
      <c r="QS633" s="27" t="s">
        <v>8</v>
      </c>
      <c r="QT633" s="27" t="s">
        <v>7</v>
      </c>
      <c r="QU633" s="27" t="s">
        <v>8</v>
      </c>
      <c r="QV633" s="27" t="s">
        <v>7</v>
      </c>
      <c r="QW633" s="27" t="s">
        <v>8</v>
      </c>
      <c r="QX633" s="27" t="s">
        <v>7</v>
      </c>
      <c r="QY633" s="27" t="s">
        <v>8</v>
      </c>
      <c r="QZ633" s="27" t="s">
        <v>7</v>
      </c>
      <c r="RA633" s="27" t="s">
        <v>8</v>
      </c>
      <c r="RB633" s="27" t="s">
        <v>7</v>
      </c>
      <c r="RC633" s="27" t="s">
        <v>8</v>
      </c>
      <c r="RZ633" s="27" t="s">
        <v>7</v>
      </c>
      <c r="UL633" s="27" t="s">
        <v>7</v>
      </c>
      <c r="UO633" s="27" t="s">
        <v>8</v>
      </c>
      <c r="UP633" s="27" t="s">
        <v>7</v>
      </c>
    </row>
    <row r="634" spans="1:562" x14ac:dyDescent="0.25">
      <c r="A634" s="7">
        <v>0.39426836073618904</v>
      </c>
      <c r="B634"/>
      <c r="C634"/>
      <c r="D634"/>
      <c r="E634"/>
      <c r="V634" s="27" t="s">
        <v>7</v>
      </c>
      <c r="W634" s="27" t="s">
        <v>8</v>
      </c>
      <c r="X634" s="27" t="s">
        <v>7</v>
      </c>
      <c r="Y634" s="27" t="s">
        <v>8</v>
      </c>
      <c r="Z634" s="27" t="s">
        <v>7</v>
      </c>
      <c r="AA634" s="27" t="s">
        <v>8</v>
      </c>
      <c r="AB634" s="27" t="s">
        <v>7</v>
      </c>
      <c r="AL634" s="27" t="s">
        <v>7</v>
      </c>
      <c r="AM634" s="27" t="s">
        <v>8</v>
      </c>
      <c r="AN634" s="27" t="s">
        <v>7</v>
      </c>
      <c r="AO634" s="27" t="s">
        <v>8</v>
      </c>
      <c r="AP634" s="27" t="s">
        <v>7</v>
      </c>
      <c r="AQ634" s="27" t="s">
        <v>8</v>
      </c>
      <c r="AS634" s="27" t="s">
        <v>8</v>
      </c>
      <c r="AT634" s="27" t="s">
        <v>7</v>
      </c>
      <c r="AU634" s="27" t="s">
        <v>8</v>
      </c>
      <c r="AV634" s="27" t="s">
        <v>7</v>
      </c>
      <c r="AW634" s="27" t="s">
        <v>8</v>
      </c>
      <c r="AX634" s="27" t="s">
        <v>7</v>
      </c>
      <c r="AY634" s="27" t="s">
        <v>8</v>
      </c>
      <c r="AZ634" s="27" t="s">
        <v>7</v>
      </c>
      <c r="BB634" s="27" t="s">
        <v>7</v>
      </c>
      <c r="BC634" s="27" t="s">
        <v>8</v>
      </c>
      <c r="BD634" s="27" t="s">
        <v>7</v>
      </c>
      <c r="BF634" s="27" t="s">
        <v>7</v>
      </c>
      <c r="BG634" s="27" t="s">
        <v>8</v>
      </c>
      <c r="BN634" s="27" t="s">
        <v>7</v>
      </c>
      <c r="EV634" s="27" t="s">
        <v>7</v>
      </c>
      <c r="EW634" s="27" t="s">
        <v>8</v>
      </c>
      <c r="FJ634" s="27" t="s">
        <v>7</v>
      </c>
      <c r="FO634" s="27" t="s">
        <v>8</v>
      </c>
      <c r="FQ634" s="27" t="s">
        <v>8</v>
      </c>
      <c r="FU634" s="27" t="s">
        <v>8</v>
      </c>
      <c r="FV634" s="27" t="s">
        <v>7</v>
      </c>
      <c r="FW634" s="27" t="s">
        <v>8</v>
      </c>
      <c r="FZ634" s="27" t="s">
        <v>7</v>
      </c>
      <c r="GB634" s="27" t="s">
        <v>7</v>
      </c>
      <c r="GC634" s="27" t="s">
        <v>8</v>
      </c>
      <c r="GD634" s="27" t="s">
        <v>7</v>
      </c>
      <c r="GE634" s="27" t="s">
        <v>8</v>
      </c>
      <c r="GF634" s="27" t="s">
        <v>7</v>
      </c>
      <c r="HO634" s="27" t="s">
        <v>8</v>
      </c>
      <c r="HP634" s="27" t="s">
        <v>7</v>
      </c>
      <c r="JS634" s="27" t="s">
        <v>8</v>
      </c>
      <c r="JT634" s="27" t="s">
        <v>7</v>
      </c>
      <c r="JU634" s="27" t="s">
        <v>8</v>
      </c>
      <c r="KX634" s="27" t="s">
        <v>7</v>
      </c>
      <c r="NM634" s="27" t="s">
        <v>8</v>
      </c>
      <c r="NN634" s="27" t="s">
        <v>7</v>
      </c>
      <c r="NQ634" s="27" t="s">
        <v>8</v>
      </c>
      <c r="NR634" s="27" t="s">
        <v>7</v>
      </c>
      <c r="NS634" s="27" t="s">
        <v>8</v>
      </c>
      <c r="NT634" s="27" t="s">
        <v>7</v>
      </c>
      <c r="NU634" s="27" t="s">
        <v>8</v>
      </c>
      <c r="QN634" s="27" t="s">
        <v>7</v>
      </c>
      <c r="QO634" s="27" t="s">
        <v>8</v>
      </c>
      <c r="QP634" s="27" t="s">
        <v>7</v>
      </c>
      <c r="QQ634" s="27" t="s">
        <v>8</v>
      </c>
      <c r="QR634" s="27" t="s">
        <v>7</v>
      </c>
      <c r="QS634" s="27" t="s">
        <v>8</v>
      </c>
      <c r="QT634" s="27" t="s">
        <v>7</v>
      </c>
      <c r="QU634" s="27" t="s">
        <v>8</v>
      </c>
      <c r="QV634" s="27" t="s">
        <v>7</v>
      </c>
      <c r="QW634" s="27" t="s">
        <v>8</v>
      </c>
      <c r="QX634" s="27" t="s">
        <v>7</v>
      </c>
      <c r="QY634" s="27" t="s">
        <v>8</v>
      </c>
      <c r="QZ634" s="27" t="s">
        <v>7</v>
      </c>
      <c r="RA634" s="27" t="s">
        <v>8</v>
      </c>
      <c r="RB634" s="27" t="s">
        <v>7</v>
      </c>
      <c r="RC634" s="27" t="s">
        <v>8</v>
      </c>
      <c r="UL634" s="27" t="s">
        <v>7</v>
      </c>
      <c r="UM634" s="27" t="s">
        <v>8</v>
      </c>
      <c r="UO634" s="27" t="s">
        <v>8</v>
      </c>
      <c r="UP634" s="27" t="s">
        <v>7</v>
      </c>
    </row>
    <row r="635" spans="1:562" x14ac:dyDescent="0.25">
      <c r="A635" s="7">
        <v>0.38653760856489122</v>
      </c>
      <c r="B635"/>
      <c r="C635"/>
      <c r="D635"/>
      <c r="E635"/>
      <c r="V635" s="27" t="s">
        <v>7</v>
      </c>
      <c r="W635" s="27" t="s">
        <v>8</v>
      </c>
      <c r="X635" s="27" t="s">
        <v>7</v>
      </c>
      <c r="Z635" s="27" t="s">
        <v>7</v>
      </c>
      <c r="AA635" s="27" t="s">
        <v>8</v>
      </c>
      <c r="AL635" s="27" t="s">
        <v>7</v>
      </c>
      <c r="AM635" s="27" t="s">
        <v>8</v>
      </c>
      <c r="AN635" s="27" t="s">
        <v>7</v>
      </c>
      <c r="AP635" s="27" t="s">
        <v>7</v>
      </c>
      <c r="AQ635" s="27" t="s">
        <v>8</v>
      </c>
      <c r="AR635" s="27" t="s">
        <v>7</v>
      </c>
      <c r="AS635" s="27" t="s">
        <v>8</v>
      </c>
      <c r="AT635" s="27" t="s">
        <v>7</v>
      </c>
      <c r="AV635" s="27" t="s">
        <v>7</v>
      </c>
      <c r="AX635" s="27" t="s">
        <v>7</v>
      </c>
      <c r="BB635" s="27" t="s">
        <v>7</v>
      </c>
      <c r="BC635" s="27" t="s">
        <v>8</v>
      </c>
      <c r="BF635" s="27" t="s">
        <v>7</v>
      </c>
      <c r="EV635" s="27" t="s">
        <v>7</v>
      </c>
      <c r="EW635" s="27" t="s">
        <v>8</v>
      </c>
      <c r="FJ635" s="27" t="s">
        <v>7</v>
      </c>
      <c r="FO635" s="27" t="s">
        <v>8</v>
      </c>
      <c r="FP635" s="27" t="s">
        <v>7</v>
      </c>
      <c r="FQ635" s="27" t="s">
        <v>8</v>
      </c>
      <c r="FR635" s="27" t="s">
        <v>7</v>
      </c>
      <c r="FU635" s="27" t="s">
        <v>8</v>
      </c>
      <c r="FV635" s="27" t="s">
        <v>7</v>
      </c>
      <c r="GB635" s="27" t="s">
        <v>7</v>
      </c>
      <c r="GD635" s="27" t="s">
        <v>7</v>
      </c>
      <c r="GF635" s="27" t="s">
        <v>7</v>
      </c>
      <c r="HO635" s="27" t="s">
        <v>8</v>
      </c>
      <c r="HP635" s="27" t="s">
        <v>7</v>
      </c>
      <c r="JS635" s="27" t="s">
        <v>8</v>
      </c>
      <c r="JT635" s="27" t="s">
        <v>7</v>
      </c>
      <c r="JU635" s="27" t="s">
        <v>8</v>
      </c>
      <c r="KX635" s="27" t="s">
        <v>7</v>
      </c>
      <c r="NM635" s="27" t="s">
        <v>8</v>
      </c>
      <c r="NN635" s="27" t="s">
        <v>7</v>
      </c>
      <c r="NQ635" s="27" t="s">
        <v>8</v>
      </c>
      <c r="NR635" s="27" t="s">
        <v>7</v>
      </c>
      <c r="NS635" s="27" t="s">
        <v>8</v>
      </c>
      <c r="NT635" s="27" t="s">
        <v>7</v>
      </c>
      <c r="NU635" s="27" t="s">
        <v>8</v>
      </c>
      <c r="QN635" s="27" t="s">
        <v>7</v>
      </c>
      <c r="QO635" s="27" t="s">
        <v>8</v>
      </c>
      <c r="QP635" s="27" t="s">
        <v>7</v>
      </c>
      <c r="QQ635" s="27" t="s">
        <v>8</v>
      </c>
      <c r="QR635" s="27" t="s">
        <v>7</v>
      </c>
      <c r="QS635" s="27" t="s">
        <v>8</v>
      </c>
      <c r="QT635" s="27" t="s">
        <v>7</v>
      </c>
      <c r="QU635" s="27" t="s">
        <v>8</v>
      </c>
      <c r="QV635" s="27" t="s">
        <v>7</v>
      </c>
      <c r="QW635" s="27" t="s">
        <v>8</v>
      </c>
      <c r="QX635" s="27" t="s">
        <v>7</v>
      </c>
      <c r="QY635" s="27" t="s">
        <v>8</v>
      </c>
      <c r="QZ635" s="27" t="s">
        <v>7</v>
      </c>
      <c r="RB635" s="27" t="s">
        <v>7</v>
      </c>
      <c r="UL635" s="27" t="s">
        <v>7</v>
      </c>
      <c r="UM635" s="27" t="s">
        <v>8</v>
      </c>
      <c r="UN635" s="27" t="s">
        <v>7</v>
      </c>
      <c r="UO635" s="27" t="s">
        <v>8</v>
      </c>
      <c r="UP635" s="27" t="s">
        <v>7</v>
      </c>
    </row>
    <row r="636" spans="1:562" x14ac:dyDescent="0.25">
      <c r="A636" s="7">
        <v>0.37895843976950117</v>
      </c>
      <c r="B636"/>
      <c r="C636"/>
      <c r="D636"/>
      <c r="E636"/>
      <c r="V636" s="27" t="s">
        <v>7</v>
      </c>
      <c r="W636" s="27" t="s">
        <v>8</v>
      </c>
      <c r="Z636" s="27" t="s">
        <v>7</v>
      </c>
      <c r="AL636" s="27" t="s">
        <v>7</v>
      </c>
      <c r="AP636" s="27" t="s">
        <v>7</v>
      </c>
      <c r="AQ636" s="27" t="s">
        <v>8</v>
      </c>
      <c r="AR636" s="27" t="s">
        <v>7</v>
      </c>
      <c r="AS636" s="27" t="s">
        <v>8</v>
      </c>
      <c r="BB636" s="27" t="s">
        <v>7</v>
      </c>
      <c r="BC636" s="27" t="s">
        <v>8</v>
      </c>
      <c r="EV636" s="27" t="s">
        <v>7</v>
      </c>
      <c r="FJ636" s="27" t="s">
        <v>7</v>
      </c>
      <c r="FM636" s="27" t="s">
        <v>8</v>
      </c>
      <c r="FO636" s="27" t="s">
        <v>8</v>
      </c>
      <c r="FP636" s="27" t="s">
        <v>7</v>
      </c>
      <c r="FQ636" s="27" t="s">
        <v>8</v>
      </c>
      <c r="FR636" s="27" t="s">
        <v>7</v>
      </c>
      <c r="FU636" s="27" t="s">
        <v>8</v>
      </c>
      <c r="GF636" s="27" t="s">
        <v>7</v>
      </c>
      <c r="HM636" s="27" t="s">
        <v>8</v>
      </c>
      <c r="HO636" s="27" t="s">
        <v>8</v>
      </c>
      <c r="HP636" s="27" t="s">
        <v>7</v>
      </c>
      <c r="JS636" s="27" t="s">
        <v>8</v>
      </c>
      <c r="JT636" s="27" t="s">
        <v>7</v>
      </c>
      <c r="KX636" s="27" t="s">
        <v>7</v>
      </c>
      <c r="NM636" s="27" t="s">
        <v>8</v>
      </c>
      <c r="NN636" s="27" t="s">
        <v>7</v>
      </c>
      <c r="NQ636" s="27" t="s">
        <v>8</v>
      </c>
      <c r="NR636" s="27" t="s">
        <v>7</v>
      </c>
      <c r="NS636" s="27" t="s">
        <v>8</v>
      </c>
      <c r="NT636" s="27" t="s">
        <v>7</v>
      </c>
      <c r="NU636" s="27" t="s">
        <v>8</v>
      </c>
      <c r="QN636" s="27" t="s">
        <v>7</v>
      </c>
      <c r="QO636" s="27" t="s">
        <v>8</v>
      </c>
      <c r="QP636" s="27" t="s">
        <v>7</v>
      </c>
      <c r="QQ636" s="27" t="s">
        <v>8</v>
      </c>
      <c r="QR636" s="27" t="s">
        <v>7</v>
      </c>
      <c r="QS636" s="27" t="s">
        <v>8</v>
      </c>
      <c r="QT636" s="27" t="s">
        <v>7</v>
      </c>
      <c r="QU636" s="27" t="s">
        <v>8</v>
      </c>
      <c r="QV636" s="27" t="s">
        <v>7</v>
      </c>
      <c r="QW636" s="27" t="s">
        <v>8</v>
      </c>
      <c r="QX636" s="27" t="s">
        <v>7</v>
      </c>
      <c r="UL636" s="27" t="s">
        <v>7</v>
      </c>
      <c r="UM636" s="27" t="s">
        <v>8</v>
      </c>
      <c r="UN636" s="27" t="s">
        <v>7</v>
      </c>
      <c r="UO636" s="27" t="s">
        <v>8</v>
      </c>
      <c r="UP636" s="27" t="s">
        <v>7</v>
      </c>
    </row>
    <row r="637" spans="1:562" x14ac:dyDescent="0.25">
      <c r="A637" s="7">
        <v>0.37152788212696197</v>
      </c>
      <c r="B637"/>
      <c r="C637"/>
      <c r="D637"/>
      <c r="E637"/>
      <c r="V637" s="27" t="s">
        <v>7</v>
      </c>
      <c r="W637" s="27" t="s">
        <v>8</v>
      </c>
      <c r="AP637" s="27" t="s">
        <v>7</v>
      </c>
      <c r="AQ637" s="27" t="s">
        <v>8</v>
      </c>
      <c r="AR637" s="27" t="s">
        <v>7</v>
      </c>
      <c r="AS637" s="27" t="s">
        <v>8</v>
      </c>
      <c r="BB637" s="27" t="s">
        <v>7</v>
      </c>
      <c r="BC637" s="27" t="s">
        <v>8</v>
      </c>
      <c r="FJ637" s="27" t="s">
        <v>7</v>
      </c>
      <c r="FM637" s="27" t="s">
        <v>8</v>
      </c>
      <c r="FN637" s="27" t="s">
        <v>7</v>
      </c>
      <c r="FO637" s="27" t="s">
        <v>8</v>
      </c>
      <c r="FP637" s="27" t="s">
        <v>7</v>
      </c>
      <c r="FQ637" s="27" t="s">
        <v>8</v>
      </c>
      <c r="FR637" s="27" t="s">
        <v>7</v>
      </c>
      <c r="FU637" s="27" t="s">
        <v>8</v>
      </c>
      <c r="GF637" s="27" t="s">
        <v>7</v>
      </c>
      <c r="HK637" s="27" t="s">
        <v>8</v>
      </c>
      <c r="HM637" s="27" t="s">
        <v>8</v>
      </c>
      <c r="HN637" s="27" t="s">
        <v>7</v>
      </c>
      <c r="HO637" s="27" t="s">
        <v>8</v>
      </c>
      <c r="HP637" s="27" t="s">
        <v>7</v>
      </c>
      <c r="JI637" s="27" t="s">
        <v>8</v>
      </c>
      <c r="JO637" s="27" t="s">
        <v>8</v>
      </c>
      <c r="JQ637" s="27" t="s">
        <v>8</v>
      </c>
      <c r="JS637" s="27" t="s">
        <v>8</v>
      </c>
      <c r="KX637" s="27" t="s">
        <v>7</v>
      </c>
      <c r="NM637" s="27" t="s">
        <v>8</v>
      </c>
      <c r="NN637" s="27" t="s">
        <v>7</v>
      </c>
      <c r="NQ637" s="27" t="s">
        <v>8</v>
      </c>
      <c r="NR637" s="27" t="s">
        <v>7</v>
      </c>
      <c r="NS637" s="27" t="s">
        <v>8</v>
      </c>
      <c r="NT637" s="27" t="s">
        <v>7</v>
      </c>
      <c r="QN637" s="27" t="s">
        <v>7</v>
      </c>
      <c r="QO637" s="27" t="s">
        <v>8</v>
      </c>
      <c r="QP637" s="27" t="s">
        <v>7</v>
      </c>
      <c r="QQ637" s="27" t="s">
        <v>8</v>
      </c>
      <c r="QR637" s="27" t="s">
        <v>7</v>
      </c>
      <c r="QS637" s="27" t="s">
        <v>8</v>
      </c>
      <c r="QT637" s="27" t="s">
        <v>7</v>
      </c>
      <c r="QU637" s="27" t="s">
        <v>8</v>
      </c>
      <c r="QV637" s="27" t="s">
        <v>7</v>
      </c>
      <c r="QW637" s="27" t="s">
        <v>8</v>
      </c>
      <c r="UL637" s="27" t="s">
        <v>7</v>
      </c>
      <c r="UM637" s="27" t="s">
        <v>8</v>
      </c>
      <c r="UN637" s="27" t="s">
        <v>7</v>
      </c>
      <c r="UO637" s="27" t="s">
        <v>8</v>
      </c>
      <c r="UP637" s="27" t="s">
        <v>7</v>
      </c>
    </row>
    <row r="638" spans="1:562" x14ac:dyDescent="0.25">
      <c r="A638" s="7">
        <v>0.36424302169310002</v>
      </c>
      <c r="B638"/>
      <c r="C638"/>
      <c r="D638"/>
      <c r="E638"/>
      <c r="V638" s="27" t="s">
        <v>7</v>
      </c>
      <c r="AP638" s="27" t="s">
        <v>7</v>
      </c>
      <c r="AQ638" s="27" t="s">
        <v>8</v>
      </c>
      <c r="AR638" s="27" t="s">
        <v>7</v>
      </c>
      <c r="AS638" s="27" t="s">
        <v>8</v>
      </c>
      <c r="BB638" s="27" t="s">
        <v>7</v>
      </c>
      <c r="FJ638" s="27" t="s">
        <v>7</v>
      </c>
      <c r="FM638" s="27" t="s">
        <v>8</v>
      </c>
      <c r="FN638" s="27" t="s">
        <v>7</v>
      </c>
      <c r="FO638" s="27" t="s">
        <v>8</v>
      </c>
      <c r="FP638" s="27" t="s">
        <v>7</v>
      </c>
      <c r="FQ638" s="27" t="s">
        <v>8</v>
      </c>
      <c r="FR638" s="27" t="s">
        <v>7</v>
      </c>
      <c r="FU638" s="27" t="s">
        <v>8</v>
      </c>
      <c r="GF638" s="27" t="s">
        <v>7</v>
      </c>
      <c r="HK638" s="27" t="s">
        <v>8</v>
      </c>
      <c r="HL638" s="27" t="s">
        <v>7</v>
      </c>
      <c r="HM638" s="27" t="s">
        <v>8</v>
      </c>
      <c r="HN638" s="27" t="s">
        <v>7</v>
      </c>
      <c r="HO638" s="27" t="s">
        <v>8</v>
      </c>
      <c r="HP638" s="27" t="s">
        <v>7</v>
      </c>
      <c r="JI638" s="27" t="s">
        <v>8</v>
      </c>
      <c r="JJ638" s="27" t="s">
        <v>7</v>
      </c>
      <c r="JO638" s="27" t="s">
        <v>8</v>
      </c>
      <c r="JP638" s="27" t="s">
        <v>7</v>
      </c>
      <c r="JQ638" s="27" t="s">
        <v>8</v>
      </c>
      <c r="JR638" s="27" t="s">
        <v>7</v>
      </c>
      <c r="JS638" s="27" t="s">
        <v>8</v>
      </c>
      <c r="KX638" s="27" t="s">
        <v>7</v>
      </c>
      <c r="NM638" s="27" t="s">
        <v>8</v>
      </c>
      <c r="NN638" s="27" t="s">
        <v>7</v>
      </c>
      <c r="NQ638" s="27" t="s">
        <v>8</v>
      </c>
      <c r="NR638" s="27" t="s">
        <v>7</v>
      </c>
      <c r="NS638" s="27" t="s">
        <v>8</v>
      </c>
      <c r="QN638" s="27" t="s">
        <v>7</v>
      </c>
      <c r="QO638" s="27" t="s">
        <v>8</v>
      </c>
      <c r="QP638" s="27" t="s">
        <v>7</v>
      </c>
      <c r="QQ638" s="27" t="s">
        <v>8</v>
      </c>
      <c r="QR638" s="27" t="s">
        <v>7</v>
      </c>
      <c r="QT638" s="27" t="s">
        <v>7</v>
      </c>
      <c r="QV638" s="27" t="s">
        <v>7</v>
      </c>
      <c r="QW638" s="27" t="s">
        <v>8</v>
      </c>
      <c r="UL638" s="27" t="s">
        <v>7</v>
      </c>
      <c r="UM638" s="27" t="s">
        <v>8</v>
      </c>
      <c r="UN638" s="27" t="s">
        <v>7</v>
      </c>
      <c r="UO638" s="27" t="s">
        <v>8</v>
      </c>
    </row>
    <row r="639" spans="1:562" x14ac:dyDescent="0.25">
      <c r="A639" s="7">
        <v>0.35710100165990194</v>
      </c>
      <c r="B639"/>
      <c r="C639"/>
      <c r="D639"/>
      <c r="E639"/>
      <c r="AP639" s="27" t="s">
        <v>7</v>
      </c>
      <c r="AR639" s="27" t="s">
        <v>7</v>
      </c>
      <c r="FJ639" s="27" t="s">
        <v>7</v>
      </c>
      <c r="FM639" s="27" t="s">
        <v>8</v>
      </c>
      <c r="FN639" s="27" t="s">
        <v>7</v>
      </c>
      <c r="FP639" s="27" t="s">
        <v>7</v>
      </c>
      <c r="FQ639" s="27" t="s">
        <v>8</v>
      </c>
      <c r="FR639" s="27" t="s">
        <v>7</v>
      </c>
      <c r="FU639" s="27" t="s">
        <v>8</v>
      </c>
      <c r="GF639" s="27" t="s">
        <v>7</v>
      </c>
      <c r="HK639" s="27" t="s">
        <v>8</v>
      </c>
      <c r="HL639" s="27" t="s">
        <v>7</v>
      </c>
      <c r="HM639" s="27" t="s">
        <v>8</v>
      </c>
      <c r="HN639" s="27" t="s">
        <v>7</v>
      </c>
      <c r="HO639" s="27" t="s">
        <v>8</v>
      </c>
      <c r="HP639" s="27" t="s">
        <v>7</v>
      </c>
      <c r="HQ639" s="27" t="s">
        <v>8</v>
      </c>
      <c r="JI639" s="27" t="s">
        <v>8</v>
      </c>
      <c r="JJ639" s="27" t="s">
        <v>7</v>
      </c>
      <c r="JO639" s="27" t="s">
        <v>8</v>
      </c>
      <c r="JP639" s="27" t="s">
        <v>7</v>
      </c>
      <c r="JQ639" s="27" t="s">
        <v>8</v>
      </c>
      <c r="JR639" s="27" t="s">
        <v>7</v>
      </c>
      <c r="JS639" s="27" t="s">
        <v>8</v>
      </c>
      <c r="KX639" s="27" t="s">
        <v>7</v>
      </c>
      <c r="LW639" s="27" t="s">
        <v>8</v>
      </c>
      <c r="NM639" s="27" t="s">
        <v>8</v>
      </c>
      <c r="NN639" s="27" t="s">
        <v>7</v>
      </c>
      <c r="NQ639" s="27" t="s">
        <v>8</v>
      </c>
      <c r="NR639" s="27" t="s">
        <v>7</v>
      </c>
      <c r="NS639" s="27" t="s">
        <v>8</v>
      </c>
      <c r="QN639" s="27" t="s">
        <v>7</v>
      </c>
      <c r="QO639" s="27" t="s">
        <v>8</v>
      </c>
      <c r="QP639" s="27" t="s">
        <v>7</v>
      </c>
      <c r="QQ639" s="27" t="s">
        <v>8</v>
      </c>
      <c r="QV639" s="27" t="s">
        <v>7</v>
      </c>
      <c r="QW639" s="27" t="s">
        <v>8</v>
      </c>
      <c r="UL639" s="27" t="s">
        <v>7</v>
      </c>
      <c r="UM639" s="27" t="s">
        <v>8</v>
      </c>
      <c r="UN639" s="27" t="s">
        <v>7</v>
      </c>
      <c r="UO639" s="27" t="s">
        <v>8</v>
      </c>
    </row>
    <row r="640" spans="1:562" x14ac:dyDescent="0.25">
      <c r="A640" s="7">
        <v>0.35009902123519804</v>
      </c>
      <c r="B640"/>
      <c r="C640"/>
      <c r="D640"/>
      <c r="E640"/>
      <c r="FJ640" s="27" t="s">
        <v>7</v>
      </c>
      <c r="FK640" s="27" t="s">
        <v>8</v>
      </c>
      <c r="FM640" s="27" t="s">
        <v>8</v>
      </c>
      <c r="FP640" s="27" t="s">
        <v>7</v>
      </c>
      <c r="FQ640" s="27" t="s">
        <v>8</v>
      </c>
      <c r="FR640" s="27" t="s">
        <v>7</v>
      </c>
      <c r="FU640" s="27" t="s">
        <v>8</v>
      </c>
      <c r="GF640" s="27" t="s">
        <v>7</v>
      </c>
      <c r="HK640" s="27" t="s">
        <v>8</v>
      </c>
      <c r="HL640" s="27" t="s">
        <v>7</v>
      </c>
      <c r="HM640" s="27" t="s">
        <v>8</v>
      </c>
      <c r="HN640" s="27" t="s">
        <v>7</v>
      </c>
      <c r="HO640" s="27" t="s">
        <v>8</v>
      </c>
      <c r="HP640" s="27" t="s">
        <v>7</v>
      </c>
      <c r="HQ640" s="27" t="s">
        <v>8</v>
      </c>
      <c r="HR640" s="27" t="s">
        <v>7</v>
      </c>
      <c r="JI640" s="27" t="s">
        <v>8</v>
      </c>
      <c r="JJ640" s="27" t="s">
        <v>7</v>
      </c>
      <c r="JO640" s="27" t="s">
        <v>8</v>
      </c>
      <c r="JP640" s="27" t="s">
        <v>7</v>
      </c>
      <c r="JQ640" s="27" t="s">
        <v>8</v>
      </c>
      <c r="JR640" s="27" t="s">
        <v>7</v>
      </c>
      <c r="JS640" s="27" t="s">
        <v>8</v>
      </c>
      <c r="KX640" s="27" t="s">
        <v>7</v>
      </c>
      <c r="LW640" s="27" t="s">
        <v>8</v>
      </c>
      <c r="LX640" s="27" t="s">
        <v>7</v>
      </c>
      <c r="NM640" s="27" t="s">
        <v>8</v>
      </c>
      <c r="NN640" s="27" t="s">
        <v>7</v>
      </c>
      <c r="NQ640" s="27" t="s">
        <v>8</v>
      </c>
      <c r="NR640" s="27" t="s">
        <v>7</v>
      </c>
      <c r="NS640" s="27" t="s">
        <v>8</v>
      </c>
      <c r="QN640" s="27" t="s">
        <v>7</v>
      </c>
      <c r="QO640" s="27" t="s">
        <v>8</v>
      </c>
      <c r="QP640" s="27" t="s">
        <v>7</v>
      </c>
      <c r="QQ640" s="27" t="s">
        <v>8</v>
      </c>
      <c r="QV640" s="27" t="s">
        <v>7</v>
      </c>
      <c r="QW640" s="27" t="s">
        <v>8</v>
      </c>
      <c r="UL640" s="27" t="s">
        <v>7</v>
      </c>
      <c r="UM640" s="27" t="s">
        <v>8</v>
      </c>
      <c r="UN640" s="27" t="s">
        <v>7</v>
      </c>
    </row>
    <row r="641" spans="1:559" x14ac:dyDescent="0.25">
      <c r="A641" s="7">
        <v>0.34323433454431179</v>
      </c>
      <c r="B641"/>
      <c r="C641"/>
      <c r="D641"/>
      <c r="E641"/>
      <c r="FJ641" s="27" t="s">
        <v>7</v>
      </c>
      <c r="FK641" s="27" t="s">
        <v>8</v>
      </c>
      <c r="FL641" s="27" t="s">
        <v>7</v>
      </c>
      <c r="FM641" s="27" t="s">
        <v>8</v>
      </c>
      <c r="FP641" s="27" t="s">
        <v>7</v>
      </c>
      <c r="FR641" s="27" t="s">
        <v>7</v>
      </c>
      <c r="FS641" s="27" t="s">
        <v>8</v>
      </c>
      <c r="FU641" s="27" t="s">
        <v>8</v>
      </c>
      <c r="GF641" s="27" t="s">
        <v>7</v>
      </c>
      <c r="HK641" s="27" t="s">
        <v>8</v>
      </c>
      <c r="HL641" s="27" t="s">
        <v>7</v>
      </c>
      <c r="HM641" s="27" t="s">
        <v>8</v>
      </c>
      <c r="HN641" s="27" t="s">
        <v>7</v>
      </c>
      <c r="HO641" s="27" t="s">
        <v>8</v>
      </c>
      <c r="HP641" s="27" t="s">
        <v>7</v>
      </c>
      <c r="HQ641" s="27" t="s">
        <v>8</v>
      </c>
      <c r="HR641" s="27" t="s">
        <v>7</v>
      </c>
      <c r="JI641" s="27" t="s">
        <v>8</v>
      </c>
      <c r="JJ641" s="27" t="s">
        <v>7</v>
      </c>
      <c r="JK641" s="27" t="s">
        <v>8</v>
      </c>
      <c r="JM641" s="27" t="s">
        <v>8</v>
      </c>
      <c r="JO641" s="27" t="s">
        <v>8</v>
      </c>
      <c r="JP641" s="27" t="s">
        <v>7</v>
      </c>
      <c r="JQ641" s="27" t="s">
        <v>8</v>
      </c>
      <c r="JR641" s="27" t="s">
        <v>7</v>
      </c>
      <c r="JS641" s="27" t="s">
        <v>8</v>
      </c>
      <c r="KX641" s="27" t="s">
        <v>7</v>
      </c>
      <c r="LW641" s="27" t="s">
        <v>8</v>
      </c>
      <c r="LX641" s="27" t="s">
        <v>7</v>
      </c>
      <c r="NM641" s="27" t="s">
        <v>8</v>
      </c>
      <c r="NN641" s="27" t="s">
        <v>7</v>
      </c>
      <c r="NQ641" s="27" t="s">
        <v>8</v>
      </c>
      <c r="NR641" s="27" t="s">
        <v>7</v>
      </c>
      <c r="QN641" s="27" t="s">
        <v>7</v>
      </c>
      <c r="QP641" s="27" t="s">
        <v>7</v>
      </c>
      <c r="QV641" s="27" t="s">
        <v>7</v>
      </c>
      <c r="QW641" s="27" t="s">
        <v>8</v>
      </c>
      <c r="UL641" s="27" t="s">
        <v>7</v>
      </c>
      <c r="UM641" s="27" t="s">
        <v>8</v>
      </c>
    </row>
    <row r="642" spans="1:559" x14ac:dyDescent="0.25">
      <c r="A642" s="7">
        <v>0.33650424955324681</v>
      </c>
      <c r="B642"/>
      <c r="C642"/>
      <c r="D642"/>
      <c r="E642"/>
      <c r="FJ642" s="27" t="s">
        <v>7</v>
      </c>
      <c r="FK642" s="27" t="s">
        <v>8</v>
      </c>
      <c r="FL642" s="27" t="s">
        <v>7</v>
      </c>
      <c r="FM642" s="27" t="s">
        <v>8</v>
      </c>
      <c r="FR642" s="27" t="s">
        <v>7</v>
      </c>
      <c r="FS642" s="27" t="s">
        <v>8</v>
      </c>
      <c r="FT642" s="27" t="s">
        <v>7</v>
      </c>
      <c r="FU642" s="27" t="s">
        <v>8</v>
      </c>
      <c r="GF642" s="27" t="s">
        <v>7</v>
      </c>
      <c r="HK642" s="27" t="s">
        <v>8</v>
      </c>
      <c r="HL642" s="27" t="s">
        <v>7</v>
      </c>
      <c r="HN642" s="27" t="s">
        <v>7</v>
      </c>
      <c r="HP642" s="27" t="s">
        <v>7</v>
      </c>
      <c r="HQ642" s="27" t="s">
        <v>8</v>
      </c>
      <c r="HR642" s="27" t="s">
        <v>7</v>
      </c>
      <c r="JI642" s="27" t="s">
        <v>8</v>
      </c>
      <c r="JJ642" s="27" t="s">
        <v>7</v>
      </c>
      <c r="JK642" s="27" t="s">
        <v>8</v>
      </c>
      <c r="JL642" s="27" t="s">
        <v>7</v>
      </c>
      <c r="JM642" s="27" t="s">
        <v>8</v>
      </c>
      <c r="JN642" s="27" t="s">
        <v>7</v>
      </c>
      <c r="JO642" s="27" t="s">
        <v>8</v>
      </c>
      <c r="JP642" s="27" t="s">
        <v>7</v>
      </c>
      <c r="JQ642" s="27" t="s">
        <v>8</v>
      </c>
      <c r="JR642" s="27" t="s">
        <v>7</v>
      </c>
      <c r="JS642" s="27" t="s">
        <v>8</v>
      </c>
      <c r="KX642" s="27" t="s">
        <v>7</v>
      </c>
      <c r="LC642" s="27" t="s">
        <v>8</v>
      </c>
      <c r="LW642" s="27" t="s">
        <v>8</v>
      </c>
      <c r="LX642" s="27" t="s">
        <v>7</v>
      </c>
      <c r="MO642" s="27" t="s">
        <v>8</v>
      </c>
      <c r="NM642" s="27" t="s">
        <v>8</v>
      </c>
      <c r="NN642" s="27" t="s">
        <v>7</v>
      </c>
      <c r="NO642" s="27" t="s">
        <v>8</v>
      </c>
      <c r="NQ642" s="27" t="s">
        <v>8</v>
      </c>
      <c r="QV642" s="18" t="s">
        <v>7</v>
      </c>
      <c r="QW642" s="27" t="s">
        <v>8</v>
      </c>
      <c r="UL642" s="27" t="s">
        <v>7</v>
      </c>
      <c r="UM642" s="27" t="s">
        <v>8</v>
      </c>
    </row>
    <row r="643" spans="1:559" x14ac:dyDescent="0.25">
      <c r="A643" s="7">
        <v>0.3299061270129871</v>
      </c>
      <c r="B643"/>
      <c r="C643"/>
      <c r="D643"/>
      <c r="E643"/>
      <c r="FJ643" s="27" t="s">
        <v>7</v>
      </c>
      <c r="FK643" s="27" t="s">
        <v>8</v>
      </c>
      <c r="FL643" s="27" t="s">
        <v>7</v>
      </c>
      <c r="FM643" s="27" t="s">
        <v>8</v>
      </c>
      <c r="FR643" s="27" t="s">
        <v>7</v>
      </c>
      <c r="FS643" s="27" t="s">
        <v>8</v>
      </c>
      <c r="FT643" s="27" t="s">
        <v>7</v>
      </c>
      <c r="FU643" s="27" t="s">
        <v>8</v>
      </c>
      <c r="GF643" s="27" t="s">
        <v>7</v>
      </c>
      <c r="HK643" s="27" t="s">
        <v>8</v>
      </c>
      <c r="HP643" s="27" t="s">
        <v>7</v>
      </c>
      <c r="HQ643" s="27" t="s">
        <v>8</v>
      </c>
      <c r="HR643" s="27" t="s">
        <v>7</v>
      </c>
      <c r="HS643" s="27" t="s">
        <v>8</v>
      </c>
      <c r="JI643" s="27" t="s">
        <v>8</v>
      </c>
      <c r="JJ643" s="27" t="s">
        <v>7</v>
      </c>
      <c r="JK643" s="27" t="s">
        <v>8</v>
      </c>
      <c r="JL643" s="27" t="s">
        <v>7</v>
      </c>
      <c r="JM643" s="27" t="s">
        <v>8</v>
      </c>
      <c r="JN643" s="27" t="s">
        <v>7</v>
      </c>
      <c r="JO643" s="27" t="s">
        <v>8</v>
      </c>
      <c r="JP643" s="27" t="s">
        <v>7</v>
      </c>
      <c r="JQ643" s="27" t="s">
        <v>8</v>
      </c>
      <c r="JR643" s="27" t="s">
        <v>7</v>
      </c>
      <c r="JS643" s="27" t="s">
        <v>8</v>
      </c>
      <c r="KX643" s="27" t="s">
        <v>7</v>
      </c>
      <c r="LC643" s="27" t="s">
        <v>8</v>
      </c>
      <c r="LD643" s="27" t="s">
        <v>7</v>
      </c>
      <c r="LI643" s="27" t="s">
        <v>8</v>
      </c>
      <c r="LW643" s="27" t="s">
        <v>8</v>
      </c>
      <c r="LX643" s="27" t="s">
        <v>7</v>
      </c>
      <c r="MO643" s="27" t="s">
        <v>8</v>
      </c>
      <c r="MP643" s="27" t="s">
        <v>7</v>
      </c>
      <c r="NK643" s="27" t="s">
        <v>8</v>
      </c>
      <c r="NM643" s="27" t="s">
        <v>8</v>
      </c>
      <c r="NN643" s="27" t="s">
        <v>7</v>
      </c>
      <c r="NO643" s="27" t="s">
        <v>8</v>
      </c>
      <c r="NP643" s="27" t="s">
        <v>7</v>
      </c>
      <c r="NQ643" s="27" t="s">
        <v>8</v>
      </c>
      <c r="QV643" s="27" t="s">
        <v>7</v>
      </c>
      <c r="QW643" s="27" t="s">
        <v>8</v>
      </c>
      <c r="UL643" s="27" t="s">
        <v>7</v>
      </c>
    </row>
    <row r="644" spans="1:559" x14ac:dyDescent="0.25">
      <c r="A644" s="7">
        <v>0.32343737942449713</v>
      </c>
      <c r="B644"/>
      <c r="C644"/>
      <c r="D644"/>
      <c r="E644"/>
      <c r="FJ644" s="27" t="s">
        <v>7</v>
      </c>
      <c r="FK644" s="27" t="s">
        <v>8</v>
      </c>
      <c r="FL644" s="27" t="s">
        <v>7</v>
      </c>
      <c r="FM644" s="27" t="s">
        <v>8</v>
      </c>
      <c r="FR644" s="27" t="s">
        <v>7</v>
      </c>
      <c r="FT644" s="27" t="s">
        <v>7</v>
      </c>
      <c r="FU644" s="27" t="s">
        <v>8</v>
      </c>
      <c r="GF644" s="27" t="s">
        <v>7</v>
      </c>
      <c r="GM644" s="27" t="s">
        <v>8</v>
      </c>
      <c r="HK644" s="27" t="s">
        <v>8</v>
      </c>
      <c r="HP644" s="27" t="s">
        <v>7</v>
      </c>
      <c r="HQ644" s="27" t="s">
        <v>8</v>
      </c>
      <c r="HR644" s="27" t="s">
        <v>7</v>
      </c>
      <c r="HS644" s="27" t="s">
        <v>8</v>
      </c>
      <c r="HT644" s="27" t="s">
        <v>7</v>
      </c>
      <c r="JI644" s="27" t="s">
        <v>8</v>
      </c>
      <c r="JJ644" s="27" t="s">
        <v>7</v>
      </c>
      <c r="JK644" s="27" t="s">
        <v>8</v>
      </c>
      <c r="JL644" s="27" t="s">
        <v>7</v>
      </c>
      <c r="JN644" s="27" t="s">
        <v>7</v>
      </c>
      <c r="JO644" s="27" t="s">
        <v>8</v>
      </c>
      <c r="JP644" s="27" t="s">
        <v>7</v>
      </c>
      <c r="JQ644" s="27" t="s">
        <v>8</v>
      </c>
      <c r="JR644" s="27" t="s">
        <v>7</v>
      </c>
      <c r="JS644" s="27" t="s">
        <v>8</v>
      </c>
      <c r="KX644" s="27" t="s">
        <v>7</v>
      </c>
      <c r="LC644" s="27" t="s">
        <v>8</v>
      </c>
      <c r="LD644" s="27" t="s">
        <v>7</v>
      </c>
      <c r="LI644" s="27" t="s">
        <v>8</v>
      </c>
      <c r="LJ644" s="27" t="s">
        <v>7</v>
      </c>
      <c r="LW644" s="27" t="s">
        <v>8</v>
      </c>
      <c r="LX644" s="27" t="s">
        <v>7</v>
      </c>
      <c r="ME644" s="27" t="s">
        <v>8</v>
      </c>
      <c r="MO644" s="27" t="s">
        <v>8</v>
      </c>
      <c r="MP644" s="27" t="s">
        <v>7</v>
      </c>
      <c r="NK644" s="27" t="s">
        <v>8</v>
      </c>
      <c r="NL644" s="27" t="s">
        <v>7</v>
      </c>
      <c r="NM644" s="27" t="s">
        <v>8</v>
      </c>
      <c r="NN644" s="27" t="s">
        <v>7</v>
      </c>
      <c r="NO644" s="27" t="s">
        <v>8</v>
      </c>
      <c r="NP644" s="27" t="s">
        <v>7</v>
      </c>
      <c r="NQ644" s="27" t="s">
        <v>8</v>
      </c>
      <c r="QV644" s="27" t="s">
        <v>7</v>
      </c>
      <c r="QW644" s="27" t="s">
        <v>8</v>
      </c>
    </row>
    <row r="645" spans="1:559" x14ac:dyDescent="0.25">
      <c r="A645" s="7">
        <v>0.31709547002401678</v>
      </c>
      <c r="B645"/>
      <c r="C645"/>
      <c r="D645"/>
      <c r="E645"/>
      <c r="FJ645" s="27" t="s">
        <v>7</v>
      </c>
      <c r="FK645" s="27" t="s">
        <v>8</v>
      </c>
      <c r="FL645" s="27" t="s">
        <v>7</v>
      </c>
      <c r="FM645" s="27" t="s">
        <v>8</v>
      </c>
      <c r="FT645" s="27" t="s">
        <v>7</v>
      </c>
      <c r="FU645" s="27" t="s">
        <v>8</v>
      </c>
      <c r="GF645" s="27" t="s">
        <v>7</v>
      </c>
      <c r="GG645" s="27" t="s">
        <v>8</v>
      </c>
      <c r="GK645" s="27" t="s">
        <v>8</v>
      </c>
      <c r="GM645" s="27" t="s">
        <v>8</v>
      </c>
      <c r="GN645" s="27" t="s">
        <v>7</v>
      </c>
      <c r="HK645" s="27" t="s">
        <v>8</v>
      </c>
      <c r="HP645" s="27" t="s">
        <v>7</v>
      </c>
      <c r="HQ645" s="27" t="s">
        <v>8</v>
      </c>
      <c r="HR645" s="27" t="s">
        <v>7</v>
      </c>
      <c r="HS645" s="27" t="s">
        <v>8</v>
      </c>
      <c r="HT645" s="27" t="s">
        <v>7</v>
      </c>
      <c r="JI645" s="27" t="s">
        <v>8</v>
      </c>
      <c r="JJ645" s="27" t="s">
        <v>7</v>
      </c>
      <c r="JK645" s="27" t="s">
        <v>8</v>
      </c>
      <c r="JN645" s="27" t="s">
        <v>7</v>
      </c>
      <c r="JO645" s="27" t="s">
        <v>8</v>
      </c>
      <c r="JP645" s="27" t="s">
        <v>7</v>
      </c>
      <c r="JQ645" s="27" t="s">
        <v>8</v>
      </c>
      <c r="JR645" s="27" t="s">
        <v>7</v>
      </c>
      <c r="KX645" s="27" t="s">
        <v>7</v>
      </c>
      <c r="KY645" s="27" t="s">
        <v>8</v>
      </c>
      <c r="LA645" s="27" t="s">
        <v>8</v>
      </c>
      <c r="LC645" s="27" t="s">
        <v>8</v>
      </c>
      <c r="LD645" s="27" t="s">
        <v>7</v>
      </c>
      <c r="LI645" s="27" t="s">
        <v>8</v>
      </c>
      <c r="LJ645" s="27" t="s">
        <v>7</v>
      </c>
      <c r="LW645" s="27" t="s">
        <v>8</v>
      </c>
      <c r="LX645" s="27" t="s">
        <v>7</v>
      </c>
      <c r="ME645" s="27" t="s">
        <v>8</v>
      </c>
      <c r="MF645" s="27" t="s">
        <v>7</v>
      </c>
      <c r="MO645" s="27" t="s">
        <v>8</v>
      </c>
      <c r="MP645" s="27" t="s">
        <v>7</v>
      </c>
      <c r="MS645" s="27" t="s">
        <v>8</v>
      </c>
      <c r="NK645" s="27" t="s">
        <v>8</v>
      </c>
      <c r="NL645" s="27" t="s">
        <v>7</v>
      </c>
      <c r="NM645" s="27" t="s">
        <v>8</v>
      </c>
      <c r="NN645" s="27" t="s">
        <v>7</v>
      </c>
      <c r="NO645" s="27" t="s">
        <v>8</v>
      </c>
      <c r="NP645" s="27" t="s">
        <v>7</v>
      </c>
      <c r="NQ645" s="27" t="s">
        <v>8</v>
      </c>
      <c r="QV645" s="27" t="s">
        <v>7</v>
      </c>
    </row>
    <row r="646" spans="1:559" x14ac:dyDescent="0.25">
      <c r="A646" s="7">
        <v>0.31087791178825175</v>
      </c>
      <c r="B646"/>
      <c r="C646"/>
      <c r="D646"/>
      <c r="E646"/>
      <c r="FJ646" s="27" t="s">
        <v>7</v>
      </c>
      <c r="FK646" s="27" t="s">
        <v>8</v>
      </c>
      <c r="FL646" s="27" t="s">
        <v>7</v>
      </c>
      <c r="FM646" s="27" t="s">
        <v>8</v>
      </c>
      <c r="FT646" s="27" t="s">
        <v>7</v>
      </c>
      <c r="FU646" s="27" t="s">
        <v>8</v>
      </c>
      <c r="GF646" s="27" t="s">
        <v>7</v>
      </c>
      <c r="GG646" s="27" t="s">
        <v>8</v>
      </c>
      <c r="GH646" s="27" t="s">
        <v>7</v>
      </c>
      <c r="GK646" s="27" t="s">
        <v>8</v>
      </c>
      <c r="GL646" s="27" t="s">
        <v>7</v>
      </c>
      <c r="GM646" s="27" t="s">
        <v>8</v>
      </c>
      <c r="GN646" s="27" t="s">
        <v>7</v>
      </c>
      <c r="GQ646" s="27" t="s">
        <v>8</v>
      </c>
      <c r="HK646" s="27" t="s">
        <v>8</v>
      </c>
      <c r="HP646" s="27" t="s">
        <v>7</v>
      </c>
      <c r="HQ646" s="27" t="s">
        <v>8</v>
      </c>
      <c r="HR646" s="27" t="s">
        <v>7</v>
      </c>
      <c r="HS646" s="27" t="s">
        <v>8</v>
      </c>
      <c r="HT646" s="27" t="s">
        <v>7</v>
      </c>
      <c r="JI646" s="27" t="s">
        <v>8</v>
      </c>
      <c r="JJ646" s="27" t="s">
        <v>7</v>
      </c>
      <c r="JK646" s="27" t="s">
        <v>8</v>
      </c>
      <c r="JN646" s="27" t="s">
        <v>7</v>
      </c>
      <c r="JP646" s="27" t="s">
        <v>7</v>
      </c>
      <c r="KX646" s="27" t="s">
        <v>7</v>
      </c>
      <c r="KY646" s="27" t="s">
        <v>8</v>
      </c>
      <c r="KZ646" s="27" t="s">
        <v>7</v>
      </c>
      <c r="LA646" s="27" t="s">
        <v>8</v>
      </c>
      <c r="LB646" s="27" t="s">
        <v>7</v>
      </c>
      <c r="LC646" s="27" t="s">
        <v>8</v>
      </c>
      <c r="LD646" s="27" t="s">
        <v>7</v>
      </c>
      <c r="LI646" s="27" t="s">
        <v>8</v>
      </c>
      <c r="LJ646" s="27" t="s">
        <v>7</v>
      </c>
      <c r="LW646" s="27" t="s">
        <v>8</v>
      </c>
      <c r="LX646" s="27" t="s">
        <v>7</v>
      </c>
      <c r="ME646" s="27" t="s">
        <v>8</v>
      </c>
      <c r="MF646" s="27" t="s">
        <v>7</v>
      </c>
      <c r="MO646" s="27" t="s">
        <v>8</v>
      </c>
      <c r="MP646" s="27" t="s">
        <v>7</v>
      </c>
      <c r="MS646" s="27" t="s">
        <v>8</v>
      </c>
      <c r="MT646" s="27" t="s">
        <v>7</v>
      </c>
      <c r="NK646" s="27" t="s">
        <v>8</v>
      </c>
      <c r="NL646" s="27" t="s">
        <v>7</v>
      </c>
      <c r="NM646" s="27" t="s">
        <v>8</v>
      </c>
      <c r="NN646" s="27" t="s">
        <v>7</v>
      </c>
      <c r="NO646" s="27" t="s">
        <v>8</v>
      </c>
      <c r="NP646" s="27" t="s">
        <v>7</v>
      </c>
      <c r="NQ646" s="27" t="s">
        <v>8</v>
      </c>
    </row>
    <row r="647" spans="1:559" x14ac:dyDescent="0.25">
      <c r="A647" s="7">
        <v>0.30478226645907036</v>
      </c>
      <c r="B647"/>
      <c r="C647"/>
      <c r="D647"/>
      <c r="E647"/>
      <c r="FJ647" s="27" t="s">
        <v>7</v>
      </c>
      <c r="FK647" s="27" t="s">
        <v>8</v>
      </c>
      <c r="FL647" s="27" t="s">
        <v>7</v>
      </c>
      <c r="FT647" s="27" t="s">
        <v>7</v>
      </c>
      <c r="FU647" s="27" t="s">
        <v>8</v>
      </c>
      <c r="GF647" s="27" t="s">
        <v>7</v>
      </c>
      <c r="GG647" s="27" t="s">
        <v>8</v>
      </c>
      <c r="GH647" s="27" t="s">
        <v>7</v>
      </c>
      <c r="GI647" s="27" t="s">
        <v>8</v>
      </c>
      <c r="GK647" s="27" t="s">
        <v>8</v>
      </c>
      <c r="GL647" s="27" t="s">
        <v>7</v>
      </c>
      <c r="GM647" s="27" t="s">
        <v>8</v>
      </c>
      <c r="GN647" s="27" t="s">
        <v>7</v>
      </c>
      <c r="GO647" s="27" t="s">
        <v>8</v>
      </c>
      <c r="GQ647" s="27" t="s">
        <v>8</v>
      </c>
      <c r="GR647" s="27" t="s">
        <v>7</v>
      </c>
      <c r="HK647" s="27" t="s">
        <v>8</v>
      </c>
      <c r="HP647" s="27" t="s">
        <v>7</v>
      </c>
      <c r="HR647" s="27" t="s">
        <v>7</v>
      </c>
      <c r="HT647" s="27" t="s">
        <v>7</v>
      </c>
      <c r="JI647" s="27" t="s">
        <v>8</v>
      </c>
      <c r="JJ647" s="27" t="s">
        <v>7</v>
      </c>
      <c r="JK647" s="27" t="s">
        <v>8</v>
      </c>
      <c r="KX647" s="27" t="s">
        <v>7</v>
      </c>
      <c r="KY647" s="27" t="s">
        <v>8</v>
      </c>
      <c r="KZ647" s="27" t="s">
        <v>7</v>
      </c>
      <c r="LA647" s="27" t="s">
        <v>8</v>
      </c>
      <c r="LB647" s="27" t="s">
        <v>7</v>
      </c>
      <c r="LC647" s="27" t="s">
        <v>8</v>
      </c>
      <c r="LD647" s="27" t="s">
        <v>7</v>
      </c>
      <c r="LI647" s="27" t="s">
        <v>8</v>
      </c>
      <c r="LJ647" s="27" t="s">
        <v>7</v>
      </c>
      <c r="LW647" s="27" t="s">
        <v>8</v>
      </c>
      <c r="LX647" s="27" t="s">
        <v>7</v>
      </c>
      <c r="ME647" s="27" t="s">
        <v>8</v>
      </c>
      <c r="MF647" s="27" t="s">
        <v>7</v>
      </c>
      <c r="MO647" s="27" t="s">
        <v>8</v>
      </c>
      <c r="MP647" s="27" t="s">
        <v>7</v>
      </c>
      <c r="MS647" s="27" t="s">
        <v>8</v>
      </c>
      <c r="MT647" s="27" t="s">
        <v>7</v>
      </c>
      <c r="NK647" s="27" t="s">
        <v>8</v>
      </c>
      <c r="NL647" s="27" t="s">
        <v>7</v>
      </c>
      <c r="NM647" s="27" t="s">
        <v>8</v>
      </c>
      <c r="NN647" s="27" t="s">
        <v>7</v>
      </c>
      <c r="NO647" s="27" t="s">
        <v>8</v>
      </c>
      <c r="NP647" s="27" t="s">
        <v>7</v>
      </c>
      <c r="NQ647" s="27" t="s">
        <v>8</v>
      </c>
    </row>
    <row r="648" spans="1:559" x14ac:dyDescent="0.25">
      <c r="A648" s="7">
        <v>0.29880614358732388</v>
      </c>
      <c r="B648"/>
      <c r="C648"/>
      <c r="D648"/>
      <c r="E648"/>
      <c r="FJ648" s="27" t="s">
        <v>7</v>
      </c>
      <c r="FK648" s="27" t="s">
        <v>8</v>
      </c>
      <c r="FT648" s="27" t="s">
        <v>7</v>
      </c>
      <c r="FU648" s="27" t="s">
        <v>8</v>
      </c>
      <c r="GF648" s="27" t="s">
        <v>7</v>
      </c>
      <c r="GG648" s="27" t="s">
        <v>8</v>
      </c>
      <c r="GH648" s="27" t="s">
        <v>7</v>
      </c>
      <c r="GI648" s="27" t="s">
        <v>8</v>
      </c>
      <c r="GJ648" s="27" t="s">
        <v>7</v>
      </c>
      <c r="GK648" s="27" t="s">
        <v>8</v>
      </c>
      <c r="GL648" s="27" t="s">
        <v>7</v>
      </c>
      <c r="GN648" s="27" t="s">
        <v>7</v>
      </c>
      <c r="GO648" s="27" t="s">
        <v>8</v>
      </c>
      <c r="GP648" s="27" t="s">
        <v>7</v>
      </c>
      <c r="GQ648" s="27" t="s">
        <v>8</v>
      </c>
      <c r="GR648" s="27" t="s">
        <v>7</v>
      </c>
      <c r="GW648" s="27" t="s">
        <v>8</v>
      </c>
      <c r="HK648" s="27" t="s">
        <v>8</v>
      </c>
      <c r="HT648" s="27" t="s">
        <v>7</v>
      </c>
      <c r="HY648" s="27" t="s">
        <v>8</v>
      </c>
      <c r="JI648" s="27" t="s">
        <v>8</v>
      </c>
      <c r="JJ648" s="27" t="s">
        <v>7</v>
      </c>
      <c r="JK648" s="27" t="s">
        <v>8</v>
      </c>
      <c r="KX648" s="27" t="s">
        <v>7</v>
      </c>
      <c r="KY648" s="27" t="s">
        <v>8</v>
      </c>
      <c r="KZ648" s="27" t="s">
        <v>7</v>
      </c>
      <c r="LA648" s="27" t="s">
        <v>8</v>
      </c>
      <c r="LB648" s="27" t="s">
        <v>7</v>
      </c>
      <c r="LC648" s="27" t="s">
        <v>8</v>
      </c>
      <c r="LD648" s="27" t="s">
        <v>7</v>
      </c>
      <c r="LI648" s="27" t="s">
        <v>8</v>
      </c>
      <c r="LJ648" s="27" t="s">
        <v>7</v>
      </c>
      <c r="LK648" s="27" t="s">
        <v>8</v>
      </c>
      <c r="LW648" s="27" t="s">
        <v>8</v>
      </c>
      <c r="LX648" s="27" t="s">
        <v>7</v>
      </c>
      <c r="ME648" s="27" t="s">
        <v>8</v>
      </c>
      <c r="MF648" s="27" t="s">
        <v>7</v>
      </c>
      <c r="MK648" s="27" t="s">
        <v>8</v>
      </c>
      <c r="MO648" s="27" t="s">
        <v>8</v>
      </c>
      <c r="MP648" s="27" t="s">
        <v>7</v>
      </c>
      <c r="MQ648" s="27" t="s">
        <v>8</v>
      </c>
      <c r="MS648" s="27" t="s">
        <v>8</v>
      </c>
      <c r="MT648" s="27" t="s">
        <v>7</v>
      </c>
      <c r="NE648" s="27" t="s">
        <v>8</v>
      </c>
      <c r="NK648" s="27" t="s">
        <v>8</v>
      </c>
      <c r="NL648" s="27" t="s">
        <v>7</v>
      </c>
      <c r="NM648" s="27" t="s">
        <v>8</v>
      </c>
      <c r="NN648" s="27" t="s">
        <v>7</v>
      </c>
      <c r="NO648" s="27" t="s">
        <v>8</v>
      </c>
      <c r="NP648" s="27" t="s">
        <v>7</v>
      </c>
      <c r="NQ648" s="27" t="s">
        <v>8</v>
      </c>
    </row>
    <row r="649" spans="1:559" x14ac:dyDescent="0.25">
      <c r="A649" s="7">
        <v>0.2929471995954156</v>
      </c>
      <c r="B649"/>
      <c r="C649"/>
      <c r="D649"/>
      <c r="E649"/>
      <c r="FJ649" s="27" t="s">
        <v>7</v>
      </c>
      <c r="FK649" s="27" t="s">
        <v>8</v>
      </c>
      <c r="FT649" s="27" t="s">
        <v>7</v>
      </c>
      <c r="FU649" s="27" t="s">
        <v>8</v>
      </c>
      <c r="GF649" s="27" t="s">
        <v>7</v>
      </c>
      <c r="GG649" s="27" t="s">
        <v>8</v>
      </c>
      <c r="GH649" s="27" t="s">
        <v>7</v>
      </c>
      <c r="GI649" s="27" t="s">
        <v>8</v>
      </c>
      <c r="GJ649" s="27" t="s">
        <v>7</v>
      </c>
      <c r="GK649" s="27" t="s">
        <v>8</v>
      </c>
      <c r="GN649" s="27" t="s">
        <v>7</v>
      </c>
      <c r="GO649" s="27" t="s">
        <v>8</v>
      </c>
      <c r="GP649" s="27" t="s">
        <v>7</v>
      </c>
      <c r="GQ649" s="27" t="s">
        <v>8</v>
      </c>
      <c r="GR649" s="27" t="s">
        <v>7</v>
      </c>
      <c r="GW649" s="27" t="s">
        <v>8</v>
      </c>
      <c r="GX649" s="27" t="s">
        <v>7</v>
      </c>
      <c r="HI649" s="27" t="s">
        <v>8</v>
      </c>
      <c r="HK649" s="27" t="s">
        <v>8</v>
      </c>
      <c r="HT649" s="27" t="s">
        <v>7</v>
      </c>
      <c r="HY649" s="27" t="s">
        <v>8</v>
      </c>
      <c r="HZ649" s="27" t="s">
        <v>7</v>
      </c>
      <c r="IG649" s="27" t="s">
        <v>8</v>
      </c>
      <c r="JG649" s="27" t="s">
        <v>8</v>
      </c>
      <c r="JI649" s="27" t="s">
        <v>8</v>
      </c>
      <c r="JJ649" s="27" t="s">
        <v>7</v>
      </c>
      <c r="KX649" s="27" t="s">
        <v>7</v>
      </c>
      <c r="KY649" s="27" t="s">
        <v>8</v>
      </c>
      <c r="KZ649" s="27" t="s">
        <v>7</v>
      </c>
      <c r="LA649" s="27" t="s">
        <v>8</v>
      </c>
      <c r="LB649" s="27" t="s">
        <v>7</v>
      </c>
      <c r="LD649" s="27" t="s">
        <v>7</v>
      </c>
      <c r="LI649" s="27" t="s">
        <v>8</v>
      </c>
      <c r="LJ649" s="27" t="s">
        <v>7</v>
      </c>
      <c r="LK649" s="27" t="s">
        <v>8</v>
      </c>
      <c r="LL649" s="27" t="s">
        <v>7</v>
      </c>
      <c r="LW649" s="27" t="s">
        <v>8</v>
      </c>
      <c r="LX649" s="27" t="s">
        <v>7</v>
      </c>
      <c r="ME649" s="27" t="s">
        <v>8</v>
      </c>
      <c r="MF649" s="27" t="s">
        <v>7</v>
      </c>
      <c r="MK649" s="27" t="s">
        <v>8</v>
      </c>
      <c r="ML649" s="27" t="s">
        <v>7</v>
      </c>
      <c r="MO649" s="27" t="s">
        <v>8</v>
      </c>
      <c r="MP649" s="27" t="s">
        <v>7</v>
      </c>
      <c r="MQ649" s="27" t="s">
        <v>8</v>
      </c>
      <c r="MR649" s="27" t="s">
        <v>7</v>
      </c>
      <c r="MS649" s="27" t="s">
        <v>8</v>
      </c>
      <c r="MT649" s="27" t="s">
        <v>7</v>
      </c>
      <c r="NE649" s="27" t="s">
        <v>8</v>
      </c>
      <c r="NF649" s="27" t="s">
        <v>7</v>
      </c>
      <c r="NK649" s="27" t="s">
        <v>8</v>
      </c>
      <c r="NL649" s="27" t="s">
        <v>7</v>
      </c>
      <c r="NM649" s="27" t="s">
        <v>8</v>
      </c>
      <c r="NN649" s="27" t="s">
        <v>7</v>
      </c>
      <c r="NO649" s="27" t="s">
        <v>8</v>
      </c>
      <c r="NP649" s="27" t="s">
        <v>7</v>
      </c>
    </row>
    <row r="650" spans="1:559" x14ac:dyDescent="0.25">
      <c r="A650" s="7">
        <v>0.28720313685825055</v>
      </c>
      <c r="B650"/>
      <c r="C650"/>
      <c r="D650"/>
      <c r="E650"/>
      <c r="FJ650" s="27" t="s">
        <v>7</v>
      </c>
      <c r="FK650" s="27" t="s">
        <v>8</v>
      </c>
      <c r="FT650" s="27" t="s">
        <v>7</v>
      </c>
      <c r="FU650" s="27" t="s">
        <v>8</v>
      </c>
      <c r="GF650" s="27" t="s">
        <v>7</v>
      </c>
      <c r="GG650" s="27" t="s">
        <v>8</v>
      </c>
      <c r="GH650" s="27" t="s">
        <v>7</v>
      </c>
      <c r="GI650" s="27" t="s">
        <v>8</v>
      </c>
      <c r="GJ650" s="27" t="s">
        <v>7</v>
      </c>
      <c r="GK650" s="27" t="s">
        <v>8</v>
      </c>
      <c r="GN650" s="27" t="s">
        <v>7</v>
      </c>
      <c r="GP650" s="27" t="s">
        <v>7</v>
      </c>
      <c r="GR650" s="27" t="s">
        <v>7</v>
      </c>
      <c r="GW650" s="27" t="s">
        <v>8</v>
      </c>
      <c r="GX650" s="27" t="s">
        <v>7</v>
      </c>
      <c r="HI650" s="27" t="s">
        <v>8</v>
      </c>
      <c r="HJ650" s="27" t="s">
        <v>7</v>
      </c>
      <c r="HK650" s="27" t="s">
        <v>8</v>
      </c>
      <c r="HT650" s="27" t="s">
        <v>7</v>
      </c>
      <c r="HY650" s="27" t="s">
        <v>8</v>
      </c>
      <c r="HZ650" s="27" t="s">
        <v>7</v>
      </c>
      <c r="IG650" s="27" t="s">
        <v>8</v>
      </c>
      <c r="IH650" s="27" t="s">
        <v>7</v>
      </c>
      <c r="JG650" s="27" t="s">
        <v>8</v>
      </c>
      <c r="JH650" s="27" t="s">
        <v>7</v>
      </c>
      <c r="JI650" s="27" t="s">
        <v>8</v>
      </c>
      <c r="KX650" s="27" t="s">
        <v>7</v>
      </c>
      <c r="KY650" s="27" t="s">
        <v>8</v>
      </c>
      <c r="KZ650" s="27" t="s">
        <v>7</v>
      </c>
      <c r="LA650" s="27" t="s">
        <v>8</v>
      </c>
      <c r="LD650" s="27" t="s">
        <v>7</v>
      </c>
      <c r="LG650" s="27" t="s">
        <v>8</v>
      </c>
      <c r="LI650" s="27" t="s">
        <v>8</v>
      </c>
      <c r="LJ650" s="27" t="s">
        <v>7</v>
      </c>
      <c r="LK650" s="27" t="s">
        <v>8</v>
      </c>
      <c r="LL650" s="27" t="s">
        <v>7</v>
      </c>
      <c r="LW650" s="27" t="s">
        <v>8</v>
      </c>
      <c r="LX650" s="27" t="s">
        <v>7</v>
      </c>
      <c r="ME650" s="27" t="s">
        <v>8</v>
      </c>
      <c r="MF650" s="27" t="s">
        <v>7</v>
      </c>
      <c r="MK650" s="27" t="s">
        <v>8</v>
      </c>
      <c r="ML650" s="27" t="s">
        <v>7</v>
      </c>
      <c r="MM650" s="27" t="s">
        <v>8</v>
      </c>
      <c r="MO650" s="27" t="s">
        <v>8</v>
      </c>
      <c r="MP650" s="27" t="s">
        <v>7</v>
      </c>
      <c r="MQ650" s="27" t="s">
        <v>8</v>
      </c>
      <c r="MR650" s="27" t="s">
        <v>7</v>
      </c>
      <c r="MS650" s="27" t="s">
        <v>8</v>
      </c>
      <c r="MT650" s="27" t="s">
        <v>7</v>
      </c>
      <c r="NC650" s="27" t="s">
        <v>8</v>
      </c>
      <c r="NE650" s="27" t="s">
        <v>8</v>
      </c>
      <c r="NF650" s="27" t="s">
        <v>7</v>
      </c>
      <c r="NK650" s="27" t="s">
        <v>8</v>
      </c>
      <c r="NL650" s="27" t="s">
        <v>7</v>
      </c>
      <c r="NM650" s="27" t="s">
        <v>8</v>
      </c>
      <c r="NN650" s="27" t="s">
        <v>7</v>
      </c>
      <c r="NO650" s="27" t="s">
        <v>8</v>
      </c>
    </row>
    <row r="651" spans="1:559" x14ac:dyDescent="0.25">
      <c r="A651" s="7">
        <v>0.28157170280220645</v>
      </c>
      <c r="B651"/>
      <c r="C651"/>
      <c r="D651"/>
      <c r="E651"/>
      <c r="FJ651" s="27" t="s">
        <v>7</v>
      </c>
      <c r="FK651" s="27" t="s">
        <v>8</v>
      </c>
      <c r="FT651" s="27" t="s">
        <v>7</v>
      </c>
      <c r="GF651" s="27" t="s">
        <v>7</v>
      </c>
      <c r="GG651" s="27" t="s">
        <v>8</v>
      </c>
      <c r="GH651" s="27" t="s">
        <v>7</v>
      </c>
      <c r="GI651" s="27" t="s">
        <v>8</v>
      </c>
      <c r="GJ651" s="27" t="s">
        <v>7</v>
      </c>
      <c r="GR651" s="27" t="s">
        <v>7</v>
      </c>
      <c r="GW651" s="27" t="s">
        <v>8</v>
      </c>
      <c r="GX651" s="27" t="s">
        <v>7</v>
      </c>
      <c r="HE651" s="27" t="s">
        <v>8</v>
      </c>
      <c r="HG651" s="27" t="s">
        <v>8</v>
      </c>
      <c r="HI651" s="27" t="s">
        <v>8</v>
      </c>
      <c r="HJ651" s="27" t="s">
        <v>7</v>
      </c>
      <c r="HK651" s="27" t="s">
        <v>8</v>
      </c>
      <c r="HT651" s="27" t="s">
        <v>7</v>
      </c>
      <c r="HY651" s="27" t="s">
        <v>8</v>
      </c>
      <c r="HZ651" s="27" t="s">
        <v>7</v>
      </c>
      <c r="IG651" s="27" t="s">
        <v>8</v>
      </c>
      <c r="IH651" s="27" t="s">
        <v>7</v>
      </c>
      <c r="JG651" s="27" t="s">
        <v>8</v>
      </c>
      <c r="JH651" s="27" t="s">
        <v>7</v>
      </c>
      <c r="JI651" s="27" t="s">
        <v>8</v>
      </c>
      <c r="KX651" s="27" t="s">
        <v>7</v>
      </c>
      <c r="KY651" s="27" t="s">
        <v>8</v>
      </c>
      <c r="KZ651" s="27" t="s">
        <v>7</v>
      </c>
      <c r="LD651" s="27" t="s">
        <v>7</v>
      </c>
      <c r="LE651" s="27" t="s">
        <v>8</v>
      </c>
      <c r="LG651" s="27" t="s">
        <v>8</v>
      </c>
      <c r="LH651" s="27" t="s">
        <v>7</v>
      </c>
      <c r="LI651" s="27" t="s">
        <v>8</v>
      </c>
      <c r="LJ651" s="27" t="s">
        <v>7</v>
      </c>
      <c r="LK651" s="27" t="s">
        <v>8</v>
      </c>
      <c r="LL651" s="27" t="s">
        <v>7</v>
      </c>
      <c r="LM651" s="27" t="s">
        <v>8</v>
      </c>
      <c r="LW651" s="27" t="s">
        <v>8</v>
      </c>
      <c r="LX651" s="27" t="s">
        <v>7</v>
      </c>
      <c r="ME651" s="27" t="s">
        <v>8</v>
      </c>
      <c r="MF651" s="27" t="s">
        <v>7</v>
      </c>
      <c r="MK651" s="27" t="s">
        <v>8</v>
      </c>
      <c r="ML651" s="27" t="s">
        <v>7</v>
      </c>
      <c r="MM651" s="27" t="s">
        <v>8</v>
      </c>
      <c r="MN651" s="27" t="s">
        <v>7</v>
      </c>
      <c r="MO651" s="27" t="s">
        <v>8</v>
      </c>
      <c r="MP651" s="27" t="s">
        <v>7</v>
      </c>
      <c r="MQ651" s="27" t="s">
        <v>8</v>
      </c>
      <c r="MR651" s="27" t="s">
        <v>7</v>
      </c>
      <c r="MS651" s="27" t="s">
        <v>8</v>
      </c>
      <c r="MT651" s="27" t="s">
        <v>7</v>
      </c>
      <c r="NC651" s="27" t="s">
        <v>8</v>
      </c>
      <c r="ND651" s="27" t="s">
        <v>7</v>
      </c>
      <c r="NE651" s="27" t="s">
        <v>8</v>
      </c>
      <c r="NF651" s="27" t="s">
        <v>7</v>
      </c>
      <c r="NK651" s="27" t="s">
        <v>8</v>
      </c>
      <c r="NL651" s="27" t="s">
        <v>7</v>
      </c>
      <c r="NM651" s="27" t="s">
        <v>8</v>
      </c>
      <c r="NN651" s="27" t="s">
        <v>7</v>
      </c>
      <c r="NO651" s="27" t="s">
        <v>8</v>
      </c>
    </row>
    <row r="652" spans="1:559" x14ac:dyDescent="0.25">
      <c r="A652" s="7">
        <v>0.27605068902177105</v>
      </c>
      <c r="B652"/>
      <c r="C652"/>
      <c r="D652"/>
      <c r="E652"/>
      <c r="FJ652" s="27" t="s">
        <v>7</v>
      </c>
      <c r="FK652" s="27" t="s">
        <v>8</v>
      </c>
      <c r="GF652" s="27" t="s">
        <v>7</v>
      </c>
      <c r="GG652" s="27" t="s">
        <v>8</v>
      </c>
      <c r="GH652" s="27" t="s">
        <v>7</v>
      </c>
      <c r="GI652" s="27" t="s">
        <v>8</v>
      </c>
      <c r="GR652" s="27" t="s">
        <v>7</v>
      </c>
      <c r="GW652" s="27" t="s">
        <v>8</v>
      </c>
      <c r="GX652" s="27" t="s">
        <v>7</v>
      </c>
      <c r="HE652" s="27" t="s">
        <v>8</v>
      </c>
      <c r="HF652" s="27" t="s">
        <v>7</v>
      </c>
      <c r="HG652" s="27" t="s">
        <v>8</v>
      </c>
      <c r="HH652" s="27" t="s">
        <v>7</v>
      </c>
      <c r="HI652" s="27" t="s">
        <v>8</v>
      </c>
      <c r="HJ652" s="27" t="s">
        <v>7</v>
      </c>
      <c r="HT652" s="27" t="s">
        <v>7</v>
      </c>
      <c r="HU652" s="27" t="s">
        <v>8</v>
      </c>
      <c r="HY652" s="27" t="s">
        <v>8</v>
      </c>
      <c r="HZ652" s="27" t="s">
        <v>7</v>
      </c>
      <c r="IG652" s="27" t="s">
        <v>8</v>
      </c>
      <c r="IH652" s="27" t="s">
        <v>7</v>
      </c>
      <c r="JG652" s="27" t="s">
        <v>8</v>
      </c>
      <c r="JH652" s="27" t="s">
        <v>7</v>
      </c>
      <c r="JI652" s="27" t="s">
        <v>8</v>
      </c>
      <c r="KX652" s="27" t="s">
        <v>7</v>
      </c>
      <c r="LD652" s="27" t="s">
        <v>7</v>
      </c>
      <c r="LE652" s="27" t="s">
        <v>8</v>
      </c>
      <c r="LF652" s="27" t="s">
        <v>7</v>
      </c>
      <c r="LG652" s="27" t="s">
        <v>8</v>
      </c>
      <c r="LH652" s="27" t="s">
        <v>7</v>
      </c>
      <c r="LI652" s="27" t="s">
        <v>8</v>
      </c>
      <c r="LJ652" s="27" t="s">
        <v>7</v>
      </c>
      <c r="LK652" s="27" t="s">
        <v>8</v>
      </c>
      <c r="LL652" s="27" t="s">
        <v>7</v>
      </c>
      <c r="LM652" s="27" t="s">
        <v>8</v>
      </c>
      <c r="LN652" s="27" t="s">
        <v>7</v>
      </c>
      <c r="LW652" s="27" t="s">
        <v>8</v>
      </c>
      <c r="LX652" s="27" t="s">
        <v>7</v>
      </c>
      <c r="ME652" s="27" t="s">
        <v>8</v>
      </c>
      <c r="MF652" s="27" t="s">
        <v>7</v>
      </c>
      <c r="MK652" s="27" t="s">
        <v>8</v>
      </c>
      <c r="ML652" s="27" t="s">
        <v>7</v>
      </c>
      <c r="MM652" s="27" t="s">
        <v>8</v>
      </c>
      <c r="MN652" s="27" t="s">
        <v>7</v>
      </c>
      <c r="MO652" s="27" t="s">
        <v>8</v>
      </c>
      <c r="MP652" s="27" t="s">
        <v>7</v>
      </c>
      <c r="MQ652" s="27" t="s">
        <v>8</v>
      </c>
      <c r="MR652" s="27" t="s">
        <v>7</v>
      </c>
      <c r="MS652" s="27" t="s">
        <v>8</v>
      </c>
      <c r="MT652" s="27" t="s">
        <v>7</v>
      </c>
      <c r="NC652" s="27" t="s">
        <v>8</v>
      </c>
      <c r="ND652" s="27" t="s">
        <v>7</v>
      </c>
      <c r="NE652" s="27" t="s">
        <v>8</v>
      </c>
      <c r="NF652" s="27" t="s">
        <v>7</v>
      </c>
      <c r="NK652" s="27" t="s">
        <v>8</v>
      </c>
      <c r="NL652" s="27" t="s">
        <v>7</v>
      </c>
      <c r="NM652" s="27" t="s">
        <v>8</v>
      </c>
      <c r="NN652" s="27" t="s">
        <v>7</v>
      </c>
    </row>
    <row r="653" spans="1:559" x14ac:dyDescent="0.25">
      <c r="A653" s="7">
        <v>0.27063793041350104</v>
      </c>
      <c r="B653"/>
      <c r="C653"/>
      <c r="D653"/>
      <c r="E653"/>
      <c r="FJ653" s="27" t="s">
        <v>7</v>
      </c>
      <c r="FK653" s="27" t="s">
        <v>8</v>
      </c>
      <c r="GF653" s="27" t="s">
        <v>7</v>
      </c>
      <c r="GG653" s="27" t="s">
        <v>8</v>
      </c>
      <c r="GH653" s="27" t="s">
        <v>7</v>
      </c>
      <c r="GI653" s="27" t="s">
        <v>8</v>
      </c>
      <c r="GR653" s="27" t="s">
        <v>7</v>
      </c>
      <c r="GW653" s="27" t="s">
        <v>8</v>
      </c>
      <c r="GX653" s="27" t="s">
        <v>7</v>
      </c>
      <c r="HC653" s="27" t="s">
        <v>8</v>
      </c>
      <c r="HE653" s="27" t="s">
        <v>8</v>
      </c>
      <c r="HF653" s="27" t="s">
        <v>7</v>
      </c>
      <c r="HG653" s="27" t="s">
        <v>8</v>
      </c>
      <c r="HH653" s="27" t="s">
        <v>7</v>
      </c>
      <c r="HI653" s="27" t="s">
        <v>8</v>
      </c>
      <c r="HT653" s="27" t="s">
        <v>7</v>
      </c>
      <c r="HU653" s="27" t="s">
        <v>8</v>
      </c>
      <c r="HV653" s="27" t="s">
        <v>7</v>
      </c>
      <c r="HY653" s="27" t="s">
        <v>8</v>
      </c>
      <c r="HZ653" s="27" t="s">
        <v>7</v>
      </c>
      <c r="IG653" s="27" t="s">
        <v>8</v>
      </c>
      <c r="IH653" s="27" t="s">
        <v>7</v>
      </c>
      <c r="JG653" s="27" t="s">
        <v>8</v>
      </c>
      <c r="JH653" s="27" t="s">
        <v>7</v>
      </c>
      <c r="JI653" s="27" t="s">
        <v>8</v>
      </c>
      <c r="LD653" s="27" t="s">
        <v>7</v>
      </c>
      <c r="LE653" s="27" t="s">
        <v>8</v>
      </c>
      <c r="LF653" s="27" t="s">
        <v>7</v>
      </c>
      <c r="LG653" s="27" t="s">
        <v>8</v>
      </c>
      <c r="LH653" s="27" t="s">
        <v>7</v>
      </c>
      <c r="LI653" s="27" t="s">
        <v>8</v>
      </c>
      <c r="LJ653" s="27" t="s">
        <v>7</v>
      </c>
      <c r="LK653" s="27" t="s">
        <v>8</v>
      </c>
      <c r="LL653" s="27" t="s">
        <v>7</v>
      </c>
      <c r="LM653" s="27" t="s">
        <v>8</v>
      </c>
      <c r="LN653" s="27" t="s">
        <v>7</v>
      </c>
      <c r="LW653" s="27" t="s">
        <v>8</v>
      </c>
      <c r="LX653" s="27" t="s">
        <v>7</v>
      </c>
      <c r="MC653" s="27" t="s">
        <v>8</v>
      </c>
      <c r="ME653" s="27" t="s">
        <v>8</v>
      </c>
      <c r="MF653" s="27" t="s">
        <v>7</v>
      </c>
      <c r="MI653" s="27" t="s">
        <v>8</v>
      </c>
      <c r="MK653" s="27" t="s">
        <v>8</v>
      </c>
      <c r="ML653" s="27" t="s">
        <v>7</v>
      </c>
      <c r="MM653" s="27" t="s">
        <v>8</v>
      </c>
      <c r="MN653" s="27" t="s">
        <v>7</v>
      </c>
      <c r="MO653" s="27" t="s">
        <v>8</v>
      </c>
      <c r="MP653" s="27" t="s">
        <v>7</v>
      </c>
      <c r="MQ653" s="27" t="s">
        <v>8</v>
      </c>
      <c r="MR653" s="27" t="s">
        <v>7</v>
      </c>
      <c r="MT653" s="27" t="s">
        <v>7</v>
      </c>
      <c r="NC653" s="27" t="s">
        <v>8</v>
      </c>
      <c r="ND653" s="27" t="s">
        <v>7</v>
      </c>
      <c r="NE653" s="27" t="s">
        <v>8</v>
      </c>
      <c r="NF653" s="27" t="s">
        <v>7</v>
      </c>
      <c r="NI653" s="27" t="s">
        <v>8</v>
      </c>
      <c r="NK653" s="27" t="s">
        <v>8</v>
      </c>
      <c r="NL653" s="27" t="s">
        <v>7</v>
      </c>
      <c r="NM653" s="27" t="s">
        <v>8</v>
      </c>
    </row>
    <row r="654" spans="1:559" x14ac:dyDescent="0.25">
      <c r="A654" s="7">
        <v>0.26533130432696184</v>
      </c>
      <c r="B654"/>
      <c r="C654"/>
      <c r="D654"/>
      <c r="E654"/>
      <c r="FJ654" s="27" t="s">
        <v>7</v>
      </c>
      <c r="FK654" s="27" t="s">
        <v>8</v>
      </c>
      <c r="GF654" s="27" t="s">
        <v>7</v>
      </c>
      <c r="GH654" s="27" t="s">
        <v>7</v>
      </c>
      <c r="GI654" s="27" t="s">
        <v>8</v>
      </c>
      <c r="GR654" s="27" t="s">
        <v>7</v>
      </c>
      <c r="GW654" s="27" t="s">
        <v>8</v>
      </c>
      <c r="GX654" s="27" t="s">
        <v>7</v>
      </c>
      <c r="HC654" s="27" t="s">
        <v>8</v>
      </c>
      <c r="HD654" s="27" t="s">
        <v>7</v>
      </c>
      <c r="HE654" s="27" t="s">
        <v>8</v>
      </c>
      <c r="HF654" s="27" t="s">
        <v>7</v>
      </c>
      <c r="HG654" s="27" t="s">
        <v>8</v>
      </c>
      <c r="HH654" s="27" t="s">
        <v>7</v>
      </c>
      <c r="HI654" s="27" t="s">
        <v>8</v>
      </c>
      <c r="HT654" s="27" t="s">
        <v>7</v>
      </c>
      <c r="HU654" s="27" t="s">
        <v>8</v>
      </c>
      <c r="HV654" s="27" t="s">
        <v>7</v>
      </c>
      <c r="HY654" s="27" t="s">
        <v>8</v>
      </c>
      <c r="HZ654" s="27" t="s">
        <v>7</v>
      </c>
      <c r="IG654" s="27" t="s">
        <v>8</v>
      </c>
      <c r="IH654" s="27" t="s">
        <v>7</v>
      </c>
      <c r="JG654" s="27" t="s">
        <v>8</v>
      </c>
      <c r="JH654" s="27" t="s">
        <v>7</v>
      </c>
      <c r="LD654" s="27" t="s">
        <v>7</v>
      </c>
      <c r="LF654" s="27" t="s">
        <v>7</v>
      </c>
      <c r="LG654" s="27" t="s">
        <v>8</v>
      </c>
      <c r="LH654" s="27" t="s">
        <v>7</v>
      </c>
      <c r="LI654" s="27" t="s">
        <v>8</v>
      </c>
      <c r="LJ654" s="27" t="s">
        <v>7</v>
      </c>
      <c r="LK654" s="27" t="s">
        <v>8</v>
      </c>
      <c r="LL654" s="27" t="s">
        <v>7</v>
      </c>
      <c r="LM654" s="27" t="s">
        <v>8</v>
      </c>
      <c r="LN654" s="27" t="s">
        <v>7</v>
      </c>
      <c r="LW654" s="27" t="s">
        <v>8</v>
      </c>
      <c r="LX654" s="27" t="s">
        <v>7</v>
      </c>
      <c r="MC654" s="27" t="s">
        <v>8</v>
      </c>
      <c r="MD654" s="27" t="s">
        <v>7</v>
      </c>
      <c r="ME654" s="27" t="s">
        <v>8</v>
      </c>
      <c r="MF654" s="27" t="s">
        <v>7</v>
      </c>
      <c r="MG654" s="27" t="s">
        <v>8</v>
      </c>
      <c r="MI654" s="27" t="s">
        <v>8</v>
      </c>
      <c r="MJ654" s="27" t="s">
        <v>7</v>
      </c>
      <c r="MK654" s="27" t="s">
        <v>8</v>
      </c>
      <c r="ML654" s="27" t="s">
        <v>7</v>
      </c>
      <c r="MM654" s="27" t="s">
        <v>8</v>
      </c>
      <c r="MN654" s="27" t="s">
        <v>7</v>
      </c>
      <c r="MO654" s="27" t="s">
        <v>8</v>
      </c>
      <c r="MP654" s="27" t="s">
        <v>7</v>
      </c>
      <c r="MT654" s="27" t="s">
        <v>7</v>
      </c>
      <c r="NC654" s="27" t="s">
        <v>8</v>
      </c>
      <c r="ND654" s="27" t="s">
        <v>7</v>
      </c>
      <c r="NE654" s="27" t="s">
        <v>8</v>
      </c>
      <c r="NF654" s="27" t="s">
        <v>7</v>
      </c>
      <c r="NG654" s="27" t="s">
        <v>8</v>
      </c>
      <c r="NI654" s="27" t="s">
        <v>8</v>
      </c>
      <c r="NJ654" s="27" t="s">
        <v>7</v>
      </c>
      <c r="NK654" s="27" t="s">
        <v>8</v>
      </c>
      <c r="NL654" s="27" t="s">
        <v>7</v>
      </c>
      <c r="NM654" s="27" t="s">
        <v>8</v>
      </c>
    </row>
    <row r="655" spans="1:559" x14ac:dyDescent="0.25">
      <c r="A655" s="7">
        <v>0.26012872973231554</v>
      </c>
      <c r="B655"/>
      <c r="C655"/>
      <c r="D655"/>
      <c r="E655"/>
      <c r="FJ655" s="27" t="s">
        <v>7</v>
      </c>
      <c r="FK655" s="27" t="s">
        <v>8</v>
      </c>
      <c r="GH655" s="27" t="s">
        <v>7</v>
      </c>
      <c r="GR655" s="27" t="s">
        <v>7</v>
      </c>
      <c r="GW655" s="27" t="s">
        <v>8</v>
      </c>
      <c r="GX655" s="27" t="s">
        <v>7</v>
      </c>
      <c r="HC655" s="27" t="s">
        <v>8</v>
      </c>
      <c r="HD655" s="27" t="s">
        <v>7</v>
      </c>
      <c r="HE655" s="27" t="s">
        <v>8</v>
      </c>
      <c r="HF655" s="27" t="s">
        <v>7</v>
      </c>
      <c r="HG655" s="27" t="s">
        <v>8</v>
      </c>
      <c r="HH655" s="27" t="s">
        <v>7</v>
      </c>
      <c r="HI655" s="27" t="s">
        <v>8</v>
      </c>
      <c r="HT655" s="27" t="s">
        <v>7</v>
      </c>
      <c r="HU655" s="27" t="s">
        <v>8</v>
      </c>
      <c r="HV655" s="27" t="s">
        <v>7</v>
      </c>
      <c r="HY655" s="27" t="s">
        <v>8</v>
      </c>
      <c r="HZ655" s="27" t="s">
        <v>7</v>
      </c>
      <c r="IG655" s="27" t="s">
        <v>8</v>
      </c>
      <c r="IH655" s="27" t="s">
        <v>7</v>
      </c>
      <c r="IU655" s="27" t="s">
        <v>8</v>
      </c>
      <c r="IW655" s="27" t="s">
        <v>8</v>
      </c>
      <c r="JG655" s="27" t="s">
        <v>8</v>
      </c>
      <c r="LF655" s="27" t="s">
        <v>7</v>
      </c>
      <c r="LG655" s="27" t="s">
        <v>8</v>
      </c>
      <c r="LH655" s="27" t="s">
        <v>7</v>
      </c>
      <c r="LI655" s="27" t="s">
        <v>8</v>
      </c>
      <c r="LJ655" s="27" t="s">
        <v>7</v>
      </c>
      <c r="LK655" s="27" t="s">
        <v>8</v>
      </c>
      <c r="LL655" s="27" t="s">
        <v>7</v>
      </c>
      <c r="LM655" s="27" t="s">
        <v>8</v>
      </c>
      <c r="LN655" s="27" t="s">
        <v>7</v>
      </c>
      <c r="LW655" s="27" t="s">
        <v>8</v>
      </c>
      <c r="LX655" s="27" t="s">
        <v>7</v>
      </c>
      <c r="LY655" s="27" t="s">
        <v>8</v>
      </c>
      <c r="MC655" s="27" t="s">
        <v>8</v>
      </c>
      <c r="MD655" s="27" t="s">
        <v>7</v>
      </c>
      <c r="ME655" s="27" t="s">
        <v>8</v>
      </c>
      <c r="MF655" s="27" t="s">
        <v>7</v>
      </c>
      <c r="MG655" s="27" t="s">
        <v>8</v>
      </c>
      <c r="MH655" s="27" t="s">
        <v>7</v>
      </c>
      <c r="MI655" s="27" t="s">
        <v>8</v>
      </c>
      <c r="MJ655" s="27" t="s">
        <v>7</v>
      </c>
      <c r="MK655" s="27" t="s">
        <v>8</v>
      </c>
      <c r="ML655" s="27" t="s">
        <v>7</v>
      </c>
      <c r="MN655" s="27" t="s">
        <v>7</v>
      </c>
      <c r="MO655" s="27" t="s">
        <v>8</v>
      </c>
      <c r="MT655" s="27" t="s">
        <v>7</v>
      </c>
      <c r="NC655" s="27" t="s">
        <v>8</v>
      </c>
      <c r="ND655" s="27" t="s">
        <v>7</v>
      </c>
      <c r="NE655" s="27" t="s">
        <v>8</v>
      </c>
      <c r="NF655" s="27" t="s">
        <v>7</v>
      </c>
      <c r="NG655" s="27" t="s">
        <v>8</v>
      </c>
      <c r="NH655" s="27" t="s">
        <v>7</v>
      </c>
      <c r="NI655" s="27" t="s">
        <v>8</v>
      </c>
      <c r="NJ655" s="27" t="s">
        <v>7</v>
      </c>
      <c r="NK655" s="27" t="s">
        <v>8</v>
      </c>
      <c r="NL655" s="27" t="s">
        <v>7</v>
      </c>
      <c r="NM655" s="27" t="s">
        <v>8</v>
      </c>
    </row>
    <row r="656" spans="1:559" x14ac:dyDescent="0.25">
      <c r="A656" s="7">
        <v>0.25502816640423093</v>
      </c>
      <c r="B656"/>
      <c r="C656"/>
      <c r="D656"/>
      <c r="E656"/>
      <c r="FJ656" s="27" t="s">
        <v>7</v>
      </c>
      <c r="GR656" s="27" t="s">
        <v>7</v>
      </c>
      <c r="GS656" s="27" t="s">
        <v>8</v>
      </c>
      <c r="GW656" s="27" t="s">
        <v>8</v>
      </c>
      <c r="GX656" s="27" t="s">
        <v>7</v>
      </c>
      <c r="HC656" s="27" t="s">
        <v>8</v>
      </c>
      <c r="HD656" s="27" t="s">
        <v>7</v>
      </c>
      <c r="HE656" s="27" t="s">
        <v>8</v>
      </c>
      <c r="HF656" s="27" t="s">
        <v>7</v>
      </c>
      <c r="HG656" s="27" t="s">
        <v>8</v>
      </c>
      <c r="HH656" s="27" t="s">
        <v>7</v>
      </c>
      <c r="HI656" s="27" t="s">
        <v>8</v>
      </c>
      <c r="HT656" s="27" t="s">
        <v>7</v>
      </c>
      <c r="HU656" s="27" t="s">
        <v>8</v>
      </c>
      <c r="HV656" s="27" t="s">
        <v>7</v>
      </c>
      <c r="HW656" s="27" t="s">
        <v>8</v>
      </c>
      <c r="HY656" s="27" t="s">
        <v>8</v>
      </c>
      <c r="HZ656" s="27" t="s">
        <v>7</v>
      </c>
      <c r="IG656" s="27" t="s">
        <v>8</v>
      </c>
      <c r="IH656" s="27" t="s">
        <v>7</v>
      </c>
      <c r="IU656" s="27" t="s">
        <v>8</v>
      </c>
      <c r="IV656" s="27" t="s">
        <v>7</v>
      </c>
      <c r="IW656" s="27" t="s">
        <v>8</v>
      </c>
      <c r="IX656" s="27" t="s">
        <v>7</v>
      </c>
      <c r="JG656" s="27" t="s">
        <v>8</v>
      </c>
      <c r="LF656" s="27" t="s">
        <v>7</v>
      </c>
      <c r="LG656" s="27" t="s">
        <v>8</v>
      </c>
      <c r="LH656" s="27" t="s">
        <v>7</v>
      </c>
      <c r="LI656" s="27" t="s">
        <v>8</v>
      </c>
      <c r="LJ656" s="27" t="s">
        <v>7</v>
      </c>
      <c r="LL656" s="27" t="s">
        <v>7</v>
      </c>
      <c r="LM656" s="27" t="s">
        <v>8</v>
      </c>
      <c r="LN656" s="27" t="s">
        <v>7</v>
      </c>
      <c r="LW656" s="27" t="s">
        <v>8</v>
      </c>
      <c r="LX656" s="27" t="s">
        <v>7</v>
      </c>
      <c r="LY656" s="27" t="s">
        <v>8</v>
      </c>
      <c r="LZ656" s="27" t="s">
        <v>7</v>
      </c>
      <c r="MC656" s="27" t="s">
        <v>8</v>
      </c>
      <c r="MD656" s="27" t="s">
        <v>7</v>
      </c>
      <c r="MF656" s="27" t="s">
        <v>7</v>
      </c>
      <c r="MG656" s="27" t="s">
        <v>8</v>
      </c>
      <c r="MH656" s="27" t="s">
        <v>7</v>
      </c>
      <c r="MI656" s="27" t="s">
        <v>8</v>
      </c>
      <c r="MJ656" s="27" t="s">
        <v>7</v>
      </c>
      <c r="MK656" s="27" t="s">
        <v>8</v>
      </c>
      <c r="MN656" s="27" t="s">
        <v>7</v>
      </c>
      <c r="MO656" s="27" t="s">
        <v>8</v>
      </c>
      <c r="MT656" s="27" t="s">
        <v>7</v>
      </c>
      <c r="MW656" s="27" t="s">
        <v>8</v>
      </c>
      <c r="NC656" s="27" t="s">
        <v>8</v>
      </c>
      <c r="ND656" s="27" t="s">
        <v>7</v>
      </c>
      <c r="NE656" s="27" t="s">
        <v>8</v>
      </c>
      <c r="NF656" s="27" t="s">
        <v>7</v>
      </c>
      <c r="NG656" s="27" t="s">
        <v>8</v>
      </c>
      <c r="NH656" s="27" t="s">
        <v>7</v>
      </c>
      <c r="NI656" s="27" t="s">
        <v>8</v>
      </c>
      <c r="NJ656" s="27" t="s">
        <v>7</v>
      </c>
      <c r="NK656" s="27" t="s">
        <v>8</v>
      </c>
      <c r="NL656" s="27" t="s">
        <v>7</v>
      </c>
      <c r="NM656" s="27" t="s">
        <v>8</v>
      </c>
    </row>
    <row r="657" spans="1:377" x14ac:dyDescent="0.25">
      <c r="A657" s="7">
        <v>0.25002761412179503</v>
      </c>
      <c r="B657"/>
      <c r="C657"/>
      <c r="D657"/>
      <c r="E657"/>
      <c r="GR657" s="27" t="s">
        <v>7</v>
      </c>
      <c r="GS657" s="27" t="s">
        <v>8</v>
      </c>
      <c r="GT657" s="27" t="s">
        <v>7</v>
      </c>
      <c r="GU657" s="27" t="s">
        <v>8</v>
      </c>
      <c r="GW657" s="27" t="s">
        <v>8</v>
      </c>
      <c r="GX657" s="27" t="s">
        <v>7</v>
      </c>
      <c r="HC657" s="27" t="s">
        <v>8</v>
      </c>
      <c r="HD657" s="27" t="s">
        <v>7</v>
      </c>
      <c r="HE657" s="27" t="s">
        <v>8</v>
      </c>
      <c r="HF657" s="27" t="s">
        <v>7</v>
      </c>
      <c r="HG657" s="27" t="s">
        <v>8</v>
      </c>
      <c r="HH657" s="27" t="s">
        <v>7</v>
      </c>
      <c r="HT657" s="27" t="s">
        <v>7</v>
      </c>
      <c r="HU657" s="27" t="s">
        <v>8</v>
      </c>
      <c r="HV657" s="27" t="s">
        <v>7</v>
      </c>
      <c r="HW657" s="27" t="s">
        <v>8</v>
      </c>
      <c r="HX657" s="27" t="s">
        <v>7</v>
      </c>
      <c r="HY657" s="27" t="s">
        <v>8</v>
      </c>
      <c r="HZ657" s="27" t="s">
        <v>7</v>
      </c>
      <c r="IG657" s="27" t="s">
        <v>8</v>
      </c>
      <c r="IH657" s="27" t="s">
        <v>7</v>
      </c>
      <c r="IU657" s="27" t="s">
        <v>8</v>
      </c>
      <c r="IV657" s="27" t="s">
        <v>7</v>
      </c>
      <c r="IW657" s="27" t="s">
        <v>8</v>
      </c>
      <c r="IX657" s="27" t="s">
        <v>7</v>
      </c>
      <c r="JE657" s="27" t="s">
        <v>8</v>
      </c>
      <c r="JG657" s="27" t="s">
        <v>8</v>
      </c>
      <c r="LF657" s="27" t="s">
        <v>7</v>
      </c>
      <c r="LG657" s="27" t="s">
        <v>8</v>
      </c>
      <c r="LH657" s="27" t="s">
        <v>7</v>
      </c>
      <c r="LI657" s="27" t="s">
        <v>8</v>
      </c>
      <c r="LL657" s="27" t="s">
        <v>7</v>
      </c>
      <c r="LM657" s="27" t="s">
        <v>8</v>
      </c>
      <c r="LN657" s="27" t="s">
        <v>7</v>
      </c>
      <c r="LO657" s="27" t="s">
        <v>8</v>
      </c>
      <c r="LW657" s="27" t="s">
        <v>8</v>
      </c>
      <c r="LX657" s="27" t="s">
        <v>7</v>
      </c>
      <c r="LY657" s="27" t="s">
        <v>8</v>
      </c>
      <c r="LZ657" s="27" t="s">
        <v>7</v>
      </c>
      <c r="MA657" s="27" t="s">
        <v>8</v>
      </c>
      <c r="MC657" s="27" t="s">
        <v>8</v>
      </c>
      <c r="MF657" s="27" t="s">
        <v>7</v>
      </c>
      <c r="MG657" s="27" t="s">
        <v>8</v>
      </c>
      <c r="MH657" s="27" t="s">
        <v>7</v>
      </c>
      <c r="MJ657" s="27" t="s">
        <v>7</v>
      </c>
      <c r="MK657" s="27" t="s">
        <v>8</v>
      </c>
      <c r="MN657" s="27" t="s">
        <v>7</v>
      </c>
      <c r="MO657" s="27" t="s">
        <v>8</v>
      </c>
      <c r="MT657" s="27" t="s">
        <v>7</v>
      </c>
      <c r="MU657" s="27" t="s">
        <v>8</v>
      </c>
      <c r="MW657" s="27" t="s">
        <v>8</v>
      </c>
      <c r="MX657" s="27" t="s">
        <v>7</v>
      </c>
      <c r="NC657" s="27" t="s">
        <v>8</v>
      </c>
      <c r="ND657" s="27" t="s">
        <v>7</v>
      </c>
      <c r="NE657" s="27" t="s">
        <v>8</v>
      </c>
      <c r="NF657" s="27" t="s">
        <v>7</v>
      </c>
      <c r="NG657" s="27" t="s">
        <v>8</v>
      </c>
      <c r="NH657" s="27" t="s">
        <v>7</v>
      </c>
      <c r="NI657" s="27" t="s">
        <v>8</v>
      </c>
      <c r="NJ657" s="27" t="s">
        <v>7</v>
      </c>
      <c r="NK657" s="27" t="s">
        <v>8</v>
      </c>
      <c r="NL657" s="27" t="s">
        <v>7</v>
      </c>
      <c r="NM657" s="27" t="s">
        <v>8</v>
      </c>
    </row>
    <row r="658" spans="1:377" x14ac:dyDescent="0.25">
      <c r="A658" s="7">
        <v>0.24512511188411276</v>
      </c>
      <c r="B658"/>
      <c r="C658"/>
      <c r="D658"/>
      <c r="E658"/>
      <c r="GR658" s="27" t="s">
        <v>7</v>
      </c>
      <c r="GS658" s="27" t="s">
        <v>8</v>
      </c>
      <c r="GT658" s="27" t="s">
        <v>7</v>
      </c>
      <c r="GU658" s="27" t="s">
        <v>8</v>
      </c>
      <c r="GV658" s="27" t="s">
        <v>7</v>
      </c>
      <c r="GW658" s="27" t="s">
        <v>8</v>
      </c>
      <c r="GX658" s="27" t="s">
        <v>7</v>
      </c>
      <c r="GY658" s="27" t="s">
        <v>8</v>
      </c>
      <c r="HC658" s="27" t="s">
        <v>8</v>
      </c>
      <c r="HD658" s="27" t="s">
        <v>7</v>
      </c>
      <c r="HF658" s="27" t="s">
        <v>7</v>
      </c>
      <c r="HT658" s="27" t="s">
        <v>7</v>
      </c>
      <c r="HU658" s="27" t="s">
        <v>8</v>
      </c>
      <c r="HV658" s="27" t="s">
        <v>7</v>
      </c>
      <c r="HW658" s="27" t="s">
        <v>8</v>
      </c>
      <c r="HX658" s="27" t="s">
        <v>7</v>
      </c>
      <c r="HY658" s="27" t="s">
        <v>8</v>
      </c>
      <c r="HZ658" s="27" t="s">
        <v>7</v>
      </c>
      <c r="IG658" s="27" t="s">
        <v>8</v>
      </c>
      <c r="IH658" s="27" t="s">
        <v>7</v>
      </c>
      <c r="IU658" s="27" t="s">
        <v>8</v>
      </c>
      <c r="IV658" s="27" t="s">
        <v>7</v>
      </c>
      <c r="IW658" s="27" t="s">
        <v>8</v>
      </c>
      <c r="IX658" s="27" t="s">
        <v>7</v>
      </c>
      <c r="JE658" s="27" t="s">
        <v>8</v>
      </c>
      <c r="JF658" s="27" t="s">
        <v>7</v>
      </c>
      <c r="JG658" s="27" t="s">
        <v>8</v>
      </c>
      <c r="LF658" s="27" t="s">
        <v>7</v>
      </c>
      <c r="LG658" s="27" t="s">
        <v>8</v>
      </c>
      <c r="LH658" s="27" t="s">
        <v>7</v>
      </c>
      <c r="LL658" s="27" t="s">
        <v>7</v>
      </c>
      <c r="LN658" s="27" t="s">
        <v>7</v>
      </c>
      <c r="LO658" s="27" t="s">
        <v>8</v>
      </c>
      <c r="LP658" s="27" t="s">
        <v>7</v>
      </c>
      <c r="LW658" s="27" t="s">
        <v>8</v>
      </c>
      <c r="LX658" s="27" t="s">
        <v>7</v>
      </c>
      <c r="LY658" s="27" t="s">
        <v>8</v>
      </c>
      <c r="LZ658" s="27" t="s">
        <v>7</v>
      </c>
      <c r="MA658" s="27" t="s">
        <v>8</v>
      </c>
      <c r="MB658" s="27" t="s">
        <v>7</v>
      </c>
      <c r="MC658" s="27" t="s">
        <v>8</v>
      </c>
      <c r="MF658" s="27" t="s">
        <v>7</v>
      </c>
      <c r="MG658" s="27" t="s">
        <v>8</v>
      </c>
      <c r="MJ658" s="27" t="s">
        <v>7</v>
      </c>
      <c r="MK658" s="27" t="s">
        <v>8</v>
      </c>
      <c r="MN658" s="27" t="s">
        <v>7</v>
      </c>
      <c r="MT658" s="27" t="s">
        <v>7</v>
      </c>
      <c r="MU658" s="27" t="s">
        <v>8</v>
      </c>
      <c r="MV658" s="27" t="s">
        <v>7</v>
      </c>
      <c r="MW658" s="27" t="s">
        <v>8</v>
      </c>
      <c r="MX658" s="27" t="s">
        <v>7</v>
      </c>
      <c r="NC658" s="27" t="s">
        <v>8</v>
      </c>
      <c r="ND658" s="27" t="s">
        <v>7</v>
      </c>
      <c r="NE658" s="27" t="s">
        <v>8</v>
      </c>
      <c r="NF658" s="27" t="s">
        <v>7</v>
      </c>
      <c r="NG658" s="27" t="s">
        <v>8</v>
      </c>
      <c r="NH658" s="27" t="s">
        <v>7</v>
      </c>
      <c r="NI658" s="27" t="s">
        <v>8</v>
      </c>
      <c r="NJ658" s="27" t="s">
        <v>7</v>
      </c>
      <c r="NK658" s="27" t="s">
        <v>8</v>
      </c>
      <c r="NL658" s="27" t="s">
        <v>7</v>
      </c>
    </row>
    <row r="659" spans="1:377" x14ac:dyDescent="0.25">
      <c r="A659" s="7">
        <v>0.24031873714128701</v>
      </c>
      <c r="B659"/>
      <c r="C659"/>
      <c r="D659"/>
      <c r="E659"/>
      <c r="GR659" s="27" t="s">
        <v>7</v>
      </c>
      <c r="GS659" s="27" t="s">
        <v>8</v>
      </c>
      <c r="GT659" s="27" t="s">
        <v>7</v>
      </c>
      <c r="GU659" s="27" t="s">
        <v>8</v>
      </c>
      <c r="GV659" s="27" t="s">
        <v>7</v>
      </c>
      <c r="GW659" s="27" t="s">
        <v>8</v>
      </c>
      <c r="GX659" s="27" t="s">
        <v>7</v>
      </c>
      <c r="GY659" s="27" t="s">
        <v>8</v>
      </c>
      <c r="GZ659" s="27" t="s">
        <v>7</v>
      </c>
      <c r="HC659" s="27" t="s">
        <v>8</v>
      </c>
      <c r="HT659" s="27" t="s">
        <v>7</v>
      </c>
      <c r="HU659" s="27" t="s">
        <v>8</v>
      </c>
      <c r="HV659" s="27" t="s">
        <v>7</v>
      </c>
      <c r="HX659" s="27" t="s">
        <v>7</v>
      </c>
      <c r="HZ659" s="27" t="s">
        <v>7</v>
      </c>
      <c r="IA659" s="27" t="s">
        <v>8</v>
      </c>
      <c r="IG659" s="27" t="s">
        <v>8</v>
      </c>
      <c r="IH659" s="27" t="s">
        <v>7</v>
      </c>
      <c r="IU659" s="27" t="s">
        <v>8</v>
      </c>
      <c r="IV659" s="27" t="s">
        <v>7</v>
      </c>
      <c r="IW659" s="27" t="s">
        <v>8</v>
      </c>
      <c r="IX659" s="27" t="s">
        <v>7</v>
      </c>
      <c r="JE659" s="27" t="s">
        <v>8</v>
      </c>
      <c r="JF659" s="27" t="s">
        <v>7</v>
      </c>
      <c r="JG659" s="27" t="s">
        <v>8</v>
      </c>
      <c r="LF659" s="27" t="s">
        <v>7</v>
      </c>
      <c r="LG659" s="27" t="s">
        <v>8</v>
      </c>
      <c r="LN659" s="27" t="s">
        <v>7</v>
      </c>
      <c r="LO659" s="27" t="s">
        <v>8</v>
      </c>
      <c r="LP659" s="27" t="s">
        <v>7</v>
      </c>
      <c r="LW659" s="27" t="s">
        <v>8</v>
      </c>
      <c r="LX659" s="27" t="s">
        <v>7</v>
      </c>
      <c r="LY659" s="27" t="s">
        <v>8</v>
      </c>
      <c r="LZ659" s="27" t="s">
        <v>7</v>
      </c>
      <c r="MA659" s="27" t="s">
        <v>8</v>
      </c>
      <c r="MB659" s="27" t="s">
        <v>7</v>
      </c>
      <c r="MC659" s="27" t="s">
        <v>8</v>
      </c>
      <c r="MF659" s="27" t="s">
        <v>7</v>
      </c>
      <c r="MG659" s="27" t="s">
        <v>8</v>
      </c>
      <c r="MJ659" s="27" t="s">
        <v>7</v>
      </c>
      <c r="MT659" s="27" t="s">
        <v>7</v>
      </c>
      <c r="MU659" s="27" t="s">
        <v>8</v>
      </c>
      <c r="MV659" s="27" t="s">
        <v>7</v>
      </c>
      <c r="MW659" s="27" t="s">
        <v>8</v>
      </c>
      <c r="MX659" s="27" t="s">
        <v>7</v>
      </c>
      <c r="NC659" s="27" t="s">
        <v>8</v>
      </c>
      <c r="ND659" s="27" t="s">
        <v>7</v>
      </c>
      <c r="NE659" s="27" t="s">
        <v>8</v>
      </c>
      <c r="NF659" s="27" t="s">
        <v>7</v>
      </c>
      <c r="NG659" s="27" t="s">
        <v>8</v>
      </c>
      <c r="NH659" s="27" t="s">
        <v>7</v>
      </c>
      <c r="NI659" s="27" t="s">
        <v>8</v>
      </c>
      <c r="NJ659" s="27" t="s">
        <v>7</v>
      </c>
    </row>
    <row r="660" spans="1:377" x14ac:dyDescent="0.25">
      <c r="A660" s="7">
        <v>0.23560660504047748</v>
      </c>
      <c r="B660"/>
      <c r="C660"/>
      <c r="D660"/>
      <c r="E660"/>
      <c r="GR660" s="27" t="s">
        <v>7</v>
      </c>
      <c r="GS660" s="27" t="s">
        <v>8</v>
      </c>
      <c r="GT660" s="27" t="s">
        <v>7</v>
      </c>
      <c r="GU660" s="27" t="s">
        <v>8</v>
      </c>
      <c r="GV660" s="27" t="s">
        <v>7</v>
      </c>
      <c r="GW660" s="27" t="s">
        <v>8</v>
      </c>
      <c r="GX660" s="27" t="s">
        <v>7</v>
      </c>
      <c r="GY660" s="27" t="s">
        <v>8</v>
      </c>
      <c r="GZ660" s="27" t="s">
        <v>7</v>
      </c>
      <c r="HA660" s="27" t="s">
        <v>8</v>
      </c>
      <c r="HC660" s="27" t="s">
        <v>8</v>
      </c>
      <c r="HT660" s="27" t="s">
        <v>7</v>
      </c>
      <c r="HZ660" s="27" t="s">
        <v>7</v>
      </c>
      <c r="IA660" s="27" t="s">
        <v>8</v>
      </c>
      <c r="IB660" s="27" t="s">
        <v>7</v>
      </c>
      <c r="IG660" s="27" t="s">
        <v>8</v>
      </c>
      <c r="IH660" s="27" t="s">
        <v>7</v>
      </c>
      <c r="IU660" s="27" t="s">
        <v>8</v>
      </c>
      <c r="IV660" s="27" t="s">
        <v>7</v>
      </c>
      <c r="IW660" s="27" t="s">
        <v>8</v>
      </c>
      <c r="IX660" s="27" t="s">
        <v>7</v>
      </c>
      <c r="IY660" s="27" t="s">
        <v>8</v>
      </c>
      <c r="JC660" s="27" t="s">
        <v>8</v>
      </c>
      <c r="JE660" s="27" t="s">
        <v>8</v>
      </c>
      <c r="JF660" s="27" t="s">
        <v>7</v>
      </c>
      <c r="JG660" s="27" t="s">
        <v>8</v>
      </c>
      <c r="LF660" s="27" t="s">
        <v>7</v>
      </c>
      <c r="LG660" s="27" t="s">
        <v>8</v>
      </c>
      <c r="LN660" s="27" t="s">
        <v>7</v>
      </c>
      <c r="LP660" s="27" t="s">
        <v>7</v>
      </c>
      <c r="LW660" s="27" t="s">
        <v>8</v>
      </c>
      <c r="LX660" s="27" t="s">
        <v>7</v>
      </c>
      <c r="LY660" s="27" t="s">
        <v>8</v>
      </c>
      <c r="LZ660" s="27" t="s">
        <v>7</v>
      </c>
      <c r="MB660" s="27" t="s">
        <v>7</v>
      </c>
      <c r="MC660" s="27" t="s">
        <v>8</v>
      </c>
      <c r="MF660" s="27" t="s">
        <v>7</v>
      </c>
      <c r="MG660" s="27" t="s">
        <v>8</v>
      </c>
      <c r="MT660" s="27" t="s">
        <v>7</v>
      </c>
      <c r="MU660" s="27" t="s">
        <v>8</v>
      </c>
      <c r="MV660" s="27" t="s">
        <v>7</v>
      </c>
      <c r="MW660" s="27" t="s">
        <v>8</v>
      </c>
      <c r="MX660" s="27" t="s">
        <v>7</v>
      </c>
      <c r="NC660" s="27" t="s">
        <v>8</v>
      </c>
      <c r="ND660" s="27" t="s">
        <v>7</v>
      </c>
      <c r="NE660" s="27" t="s">
        <v>8</v>
      </c>
      <c r="NF660" s="27" t="s">
        <v>7</v>
      </c>
      <c r="NG660" s="27" t="s">
        <v>8</v>
      </c>
      <c r="NH660" s="27" t="s">
        <v>7</v>
      </c>
    </row>
    <row r="661" spans="1:377" x14ac:dyDescent="0.25">
      <c r="A661" s="7">
        <v>0.23098686768674265</v>
      </c>
      <c r="B661"/>
      <c r="C661"/>
      <c r="D661"/>
      <c r="E661"/>
      <c r="GR661" s="27" t="s">
        <v>7</v>
      </c>
      <c r="GT661" s="27" t="s">
        <v>7</v>
      </c>
      <c r="GV661" s="27" t="s">
        <v>7</v>
      </c>
      <c r="GX661" s="27" t="s">
        <v>7</v>
      </c>
      <c r="GY661" s="27" t="s">
        <v>8</v>
      </c>
      <c r="GZ661" s="27" t="s">
        <v>7</v>
      </c>
      <c r="HA661" s="27" t="s">
        <v>8</v>
      </c>
      <c r="HB661" s="27" t="s">
        <v>7</v>
      </c>
      <c r="HC661" s="27" t="s">
        <v>8</v>
      </c>
      <c r="HZ661" s="27" t="s">
        <v>7</v>
      </c>
      <c r="IA661" s="27" t="s">
        <v>8</v>
      </c>
      <c r="IB661" s="27" t="s">
        <v>7</v>
      </c>
      <c r="IG661" s="27" t="s">
        <v>8</v>
      </c>
      <c r="IH661" s="27" t="s">
        <v>7</v>
      </c>
      <c r="IU661" s="27" t="s">
        <v>8</v>
      </c>
      <c r="IV661" s="27" t="s">
        <v>7</v>
      </c>
      <c r="IW661" s="27" t="s">
        <v>8</v>
      </c>
      <c r="IX661" s="27" t="s">
        <v>7</v>
      </c>
      <c r="IY661" s="27" t="s">
        <v>8</v>
      </c>
      <c r="IZ661" s="27" t="s">
        <v>7</v>
      </c>
      <c r="JA661" s="27" t="s">
        <v>8</v>
      </c>
      <c r="JC661" s="27" t="s">
        <v>8</v>
      </c>
      <c r="JD661" s="27" t="s">
        <v>7</v>
      </c>
      <c r="JE661" s="27" t="s">
        <v>8</v>
      </c>
      <c r="JF661" s="27" t="s">
        <v>7</v>
      </c>
      <c r="JG661" s="27" t="s">
        <v>8</v>
      </c>
      <c r="LF661" s="27" t="s">
        <v>7</v>
      </c>
      <c r="LP661" s="27" t="s">
        <v>7</v>
      </c>
      <c r="LQ661" s="27" t="s">
        <v>8</v>
      </c>
      <c r="LW661" s="27" t="s">
        <v>8</v>
      </c>
      <c r="LX661" s="27" t="s">
        <v>7</v>
      </c>
      <c r="MB661" s="27" t="s">
        <v>7</v>
      </c>
      <c r="MC661" s="27" t="s">
        <v>8</v>
      </c>
      <c r="MF661" s="27" t="s">
        <v>7</v>
      </c>
      <c r="MG661" s="27" t="s">
        <v>8</v>
      </c>
      <c r="MT661" s="27" t="s">
        <v>7</v>
      </c>
      <c r="MU661" s="27" t="s">
        <v>8</v>
      </c>
      <c r="MV661" s="27" t="s">
        <v>7</v>
      </c>
      <c r="MW661" s="27" t="s">
        <v>8</v>
      </c>
      <c r="MX661" s="27" t="s">
        <v>7</v>
      </c>
      <c r="NC661" s="27" t="s">
        <v>8</v>
      </c>
      <c r="ND661" s="27" t="s">
        <v>7</v>
      </c>
      <c r="NF661" s="27" t="s">
        <v>7</v>
      </c>
      <c r="NG661" s="27" t="s">
        <v>8</v>
      </c>
    </row>
    <row r="662" spans="1:377" x14ac:dyDescent="0.25">
      <c r="A662" s="7">
        <v>0.22645771341837515</v>
      </c>
      <c r="B662"/>
      <c r="C662"/>
      <c r="D662"/>
      <c r="E662"/>
      <c r="GX662" s="27" t="s">
        <v>7</v>
      </c>
      <c r="GY662" s="27" t="s">
        <v>8</v>
      </c>
      <c r="GZ662" s="27" t="s">
        <v>7</v>
      </c>
      <c r="HA662" s="27" t="s">
        <v>8</v>
      </c>
      <c r="HB662" s="27" t="s">
        <v>7</v>
      </c>
      <c r="HC662" s="27" t="s">
        <v>8</v>
      </c>
      <c r="HZ662" s="27" t="s">
        <v>7</v>
      </c>
      <c r="IA662" s="27" t="s">
        <v>8</v>
      </c>
      <c r="IB662" s="27" t="s">
        <v>7</v>
      </c>
      <c r="IG662" s="27" t="s">
        <v>8</v>
      </c>
      <c r="IH662" s="27" t="s">
        <v>7</v>
      </c>
      <c r="II662" s="27" t="s">
        <v>8</v>
      </c>
      <c r="IM662" s="27" t="s">
        <v>8</v>
      </c>
      <c r="IU662" s="27" t="s">
        <v>8</v>
      </c>
      <c r="IV662" s="27" t="s">
        <v>7</v>
      </c>
      <c r="IW662" s="27" t="s">
        <v>8</v>
      </c>
      <c r="IX662" s="27" t="s">
        <v>7</v>
      </c>
      <c r="IY662" s="27" t="s">
        <v>8</v>
      </c>
      <c r="IZ662" s="27" t="s">
        <v>7</v>
      </c>
      <c r="JA662" s="27" t="s">
        <v>8</v>
      </c>
      <c r="JB662" s="27" t="s">
        <v>7</v>
      </c>
      <c r="JC662" s="27" t="s">
        <v>8</v>
      </c>
      <c r="JD662" s="27" t="s">
        <v>7</v>
      </c>
      <c r="JE662" s="27" t="s">
        <v>8</v>
      </c>
      <c r="JF662" s="27" t="s">
        <v>7</v>
      </c>
      <c r="LP662" s="27" t="s">
        <v>7</v>
      </c>
      <c r="LQ662" s="27" t="s">
        <v>8</v>
      </c>
      <c r="LR662" s="27" t="s">
        <v>7</v>
      </c>
      <c r="LW662" s="27" t="s">
        <v>8</v>
      </c>
      <c r="MB662" s="27" t="s">
        <v>7</v>
      </c>
      <c r="MC662" s="27" t="s">
        <v>8</v>
      </c>
      <c r="MF662" s="27" t="s">
        <v>7</v>
      </c>
      <c r="MG662" s="27" t="s">
        <v>8</v>
      </c>
      <c r="MT662" s="27" t="s">
        <v>7</v>
      </c>
      <c r="MU662" s="27" t="s">
        <v>8</v>
      </c>
      <c r="MV662" s="27" t="s">
        <v>7</v>
      </c>
      <c r="MX662" s="27" t="s">
        <v>7</v>
      </c>
      <c r="NC662" s="27" t="s">
        <v>8</v>
      </c>
      <c r="NF662" s="27" t="s">
        <v>7</v>
      </c>
      <c r="NG662" s="27" t="s">
        <v>8</v>
      </c>
    </row>
    <row r="663" spans="1:377" x14ac:dyDescent="0.25">
      <c r="A663" s="7">
        <v>0.22201736609644623</v>
      </c>
      <c r="B663"/>
      <c r="C663"/>
      <c r="D663"/>
      <c r="E663"/>
      <c r="GX663" s="27" t="s">
        <v>7</v>
      </c>
      <c r="GZ663" s="27" t="s">
        <v>7</v>
      </c>
      <c r="HB663" s="27" t="s">
        <v>7</v>
      </c>
      <c r="HZ663" s="27" t="s">
        <v>7</v>
      </c>
      <c r="IA663" s="27" t="s">
        <v>8</v>
      </c>
      <c r="IB663" s="27" t="s">
        <v>7</v>
      </c>
      <c r="IG663" s="27" t="s">
        <v>8</v>
      </c>
      <c r="IH663" s="27" t="s">
        <v>7</v>
      </c>
      <c r="II663" s="27" t="s">
        <v>8</v>
      </c>
      <c r="IJ663" s="27" t="s">
        <v>7</v>
      </c>
      <c r="IM663" s="27" t="s">
        <v>8</v>
      </c>
      <c r="IN663" s="27" t="s">
        <v>7</v>
      </c>
      <c r="IU663" s="27" t="s">
        <v>8</v>
      </c>
      <c r="IV663" s="27" t="s">
        <v>7</v>
      </c>
      <c r="IW663" s="27" t="s">
        <v>8</v>
      </c>
      <c r="IX663" s="27" t="s">
        <v>7</v>
      </c>
      <c r="IY663" s="27" t="s">
        <v>8</v>
      </c>
      <c r="IZ663" s="27" t="s">
        <v>7</v>
      </c>
      <c r="JA663" s="27" t="s">
        <v>8</v>
      </c>
      <c r="JB663" s="27" t="s">
        <v>7</v>
      </c>
      <c r="JC663" s="27" t="s">
        <v>8</v>
      </c>
      <c r="JD663" s="27" t="s">
        <v>7</v>
      </c>
      <c r="JE663" s="27" t="s">
        <v>8</v>
      </c>
      <c r="LP663" s="27" t="s">
        <v>7</v>
      </c>
      <c r="LQ663" s="27" t="s">
        <v>8</v>
      </c>
      <c r="LR663" s="27" t="s">
        <v>7</v>
      </c>
      <c r="LW663" s="27" t="s">
        <v>8</v>
      </c>
      <c r="MB663" s="27" t="s">
        <v>7</v>
      </c>
      <c r="MF663" s="27" t="s">
        <v>7</v>
      </c>
      <c r="MG663" s="27" t="s">
        <v>8</v>
      </c>
      <c r="MT663" s="27" t="s">
        <v>7</v>
      </c>
      <c r="MU663" s="27" t="s">
        <v>8</v>
      </c>
      <c r="MX663" s="27" t="s">
        <v>7</v>
      </c>
      <c r="NC663" s="27" t="s">
        <v>8</v>
      </c>
      <c r="NF663" s="27" t="s">
        <v>7</v>
      </c>
      <c r="NG663" s="27" t="s">
        <v>8</v>
      </c>
    </row>
    <row r="664" spans="1:377" x14ac:dyDescent="0.25">
      <c r="A664" s="7">
        <v>0.21766408440828061</v>
      </c>
      <c r="B664"/>
      <c r="C664"/>
      <c r="D664"/>
      <c r="E664"/>
      <c r="HZ664" s="27" t="s">
        <v>7</v>
      </c>
      <c r="IA664" s="27" t="s">
        <v>8</v>
      </c>
      <c r="IB664" s="27" t="s">
        <v>7</v>
      </c>
      <c r="IG664" s="27" t="s">
        <v>8</v>
      </c>
      <c r="IH664" s="27" t="s">
        <v>7</v>
      </c>
      <c r="II664" s="27" t="s">
        <v>8</v>
      </c>
      <c r="IJ664" s="27" t="s">
        <v>7</v>
      </c>
      <c r="IM664" s="27" t="s">
        <v>8</v>
      </c>
      <c r="IN664" s="27" t="s">
        <v>7</v>
      </c>
      <c r="IU664" s="27" t="s">
        <v>8</v>
      </c>
      <c r="IV664" s="27" t="s">
        <v>7</v>
      </c>
      <c r="IW664" s="27" t="s">
        <v>8</v>
      </c>
      <c r="IX664" s="27" t="s">
        <v>7</v>
      </c>
      <c r="IY664" s="27" t="s">
        <v>8</v>
      </c>
      <c r="IZ664" s="27" t="s">
        <v>7</v>
      </c>
      <c r="JA664" s="27" t="s">
        <v>8</v>
      </c>
      <c r="JB664" s="27" t="s">
        <v>7</v>
      </c>
      <c r="JC664" s="27" t="s">
        <v>8</v>
      </c>
      <c r="JD664" s="27" t="s">
        <v>7</v>
      </c>
      <c r="JE664" s="27" t="s">
        <v>8</v>
      </c>
      <c r="LP664" s="27" t="s">
        <v>7</v>
      </c>
      <c r="LQ664" s="27" t="s">
        <v>8</v>
      </c>
      <c r="LR664" s="27" t="s">
        <v>7</v>
      </c>
      <c r="LS664" s="27" t="s">
        <v>8</v>
      </c>
      <c r="LW664" s="27" t="s">
        <v>8</v>
      </c>
      <c r="MF664" s="27" t="s">
        <v>7</v>
      </c>
      <c r="MG664" s="27" t="s">
        <v>8</v>
      </c>
      <c r="MT664" s="27" t="s">
        <v>7</v>
      </c>
      <c r="MX664" s="27" t="s">
        <v>7</v>
      </c>
      <c r="NA664" s="27" t="s">
        <v>8</v>
      </c>
      <c r="NC664" s="27" t="s">
        <v>8</v>
      </c>
      <c r="NF664" s="27" t="s">
        <v>7</v>
      </c>
      <c r="NG664" s="27" t="s">
        <v>8</v>
      </c>
    </row>
    <row r="665" spans="1:377" x14ac:dyDescent="0.25">
      <c r="A665" s="7">
        <v>0.21339616118458882</v>
      </c>
      <c r="B665"/>
      <c r="C665"/>
      <c r="D665"/>
      <c r="E665"/>
      <c r="HZ665" s="27" t="s">
        <v>7</v>
      </c>
      <c r="IB665" s="27" t="s">
        <v>7</v>
      </c>
      <c r="IG665" s="27" t="s">
        <v>8</v>
      </c>
      <c r="IH665" s="27" t="s">
        <v>7</v>
      </c>
      <c r="II665" s="27" t="s">
        <v>8</v>
      </c>
      <c r="IJ665" s="27" t="s">
        <v>7</v>
      </c>
      <c r="IM665" s="27" t="s">
        <v>8</v>
      </c>
      <c r="IN665" s="27" t="s">
        <v>7</v>
      </c>
      <c r="IU665" s="27" t="s">
        <v>8</v>
      </c>
      <c r="IV665" s="27" t="s">
        <v>7</v>
      </c>
      <c r="IW665" s="27" t="s">
        <v>8</v>
      </c>
      <c r="IX665" s="27" t="s">
        <v>7</v>
      </c>
      <c r="IY665" s="27" t="s">
        <v>8</v>
      </c>
      <c r="IZ665" s="27" t="s">
        <v>7</v>
      </c>
      <c r="JB665" s="27" t="s">
        <v>7</v>
      </c>
      <c r="JC665" s="27" t="s">
        <v>8</v>
      </c>
      <c r="JD665" s="27" t="s">
        <v>7</v>
      </c>
      <c r="LP665" s="27" t="s">
        <v>7</v>
      </c>
      <c r="LQ665" s="27" t="s">
        <v>8</v>
      </c>
      <c r="LR665" s="27" t="s">
        <v>7</v>
      </c>
      <c r="LS665" s="27" t="s">
        <v>8</v>
      </c>
      <c r="LT665" s="27" t="s">
        <v>7</v>
      </c>
      <c r="LU665" s="27" t="s">
        <v>8</v>
      </c>
      <c r="LW665" s="27" t="s">
        <v>8</v>
      </c>
      <c r="MF665" s="27" t="s">
        <v>7</v>
      </c>
      <c r="MX665" s="27" t="s">
        <v>7</v>
      </c>
      <c r="MY665" s="27" t="s">
        <v>8</v>
      </c>
      <c r="NA665" s="27" t="s">
        <v>8</v>
      </c>
      <c r="NB665" s="27" t="s">
        <v>7</v>
      </c>
      <c r="NC665" s="27" t="s">
        <v>8</v>
      </c>
      <c r="NF665" s="27" t="s">
        <v>7</v>
      </c>
      <c r="NG665" s="27" t="s">
        <v>8</v>
      </c>
    </row>
    <row r="666" spans="1:377" x14ac:dyDescent="0.25">
      <c r="A666" s="7">
        <v>0.20921192272998904</v>
      </c>
      <c r="B666"/>
      <c r="C666"/>
      <c r="D666"/>
      <c r="E666"/>
      <c r="IB666" s="27" t="s">
        <v>7</v>
      </c>
      <c r="IG666" s="27" t="s">
        <v>8</v>
      </c>
      <c r="IH666" s="27" t="s">
        <v>7</v>
      </c>
      <c r="II666" s="27" t="s">
        <v>8</v>
      </c>
      <c r="IJ666" s="27" t="s">
        <v>7</v>
      </c>
      <c r="IK666" s="27" t="s">
        <v>8</v>
      </c>
      <c r="IM666" s="27" t="s">
        <v>8</v>
      </c>
      <c r="IN666" s="27" t="s">
        <v>7</v>
      </c>
      <c r="IO666" s="27" t="s">
        <v>8</v>
      </c>
      <c r="IU666" s="27" t="s">
        <v>8</v>
      </c>
      <c r="IV666" s="27" t="s">
        <v>7</v>
      </c>
      <c r="IW666" s="27" t="s">
        <v>8</v>
      </c>
      <c r="IX666" s="27" t="s">
        <v>7</v>
      </c>
      <c r="IY666" s="27" t="s">
        <v>8</v>
      </c>
      <c r="JB666" s="27" t="s">
        <v>7</v>
      </c>
      <c r="JC666" s="27" t="s">
        <v>8</v>
      </c>
      <c r="LP666" s="27" t="s">
        <v>7</v>
      </c>
      <c r="LQ666" s="27" t="s">
        <v>8</v>
      </c>
      <c r="LR666" s="27" t="s">
        <v>7</v>
      </c>
      <c r="LS666" s="27" t="s">
        <v>8</v>
      </c>
      <c r="LT666" s="27" t="s">
        <v>7</v>
      </c>
      <c r="LU666" s="27" t="s">
        <v>8</v>
      </c>
      <c r="LV666" s="27" t="s">
        <v>7</v>
      </c>
      <c r="LW666" s="27" t="s">
        <v>8</v>
      </c>
      <c r="MX666" s="27" t="s">
        <v>7</v>
      </c>
      <c r="MY666" s="27" t="s">
        <v>8</v>
      </c>
      <c r="MZ666" s="27" t="s">
        <v>7</v>
      </c>
      <c r="NA666" s="27" t="s">
        <v>8</v>
      </c>
      <c r="NB666" s="27" t="s">
        <v>7</v>
      </c>
      <c r="NC666" s="27" t="s">
        <v>8</v>
      </c>
      <c r="NF666" s="27" t="s">
        <v>7</v>
      </c>
      <c r="NG666" s="27" t="s">
        <v>8</v>
      </c>
    </row>
    <row r="667" spans="1:377" x14ac:dyDescent="0.25">
      <c r="A667" s="7">
        <v>0.20510972816665593</v>
      </c>
      <c r="B667"/>
      <c r="C667"/>
      <c r="D667"/>
      <c r="E667"/>
      <c r="IB667" s="27" t="s">
        <v>7</v>
      </c>
      <c r="IG667" s="27" t="s">
        <v>8</v>
      </c>
      <c r="IH667" s="27" t="s">
        <v>7</v>
      </c>
      <c r="II667" s="27" t="s">
        <v>8</v>
      </c>
      <c r="IJ667" s="27" t="s">
        <v>7</v>
      </c>
      <c r="IK667" s="27" t="s">
        <v>8</v>
      </c>
      <c r="IL667" s="27" t="s">
        <v>7</v>
      </c>
      <c r="IM667" s="27" t="s">
        <v>8</v>
      </c>
      <c r="IN667" s="27" t="s">
        <v>7</v>
      </c>
      <c r="IO667" s="27" t="s">
        <v>8</v>
      </c>
      <c r="IP667" s="27" t="s">
        <v>7</v>
      </c>
      <c r="IS667" s="27" t="s">
        <v>8</v>
      </c>
      <c r="IU667" s="27" t="s">
        <v>8</v>
      </c>
      <c r="IV667" s="27" t="s">
        <v>7</v>
      </c>
      <c r="IX667" s="27" t="s">
        <v>7</v>
      </c>
      <c r="JB667" s="27" t="s">
        <v>7</v>
      </c>
      <c r="JC667" s="27" t="s">
        <v>8</v>
      </c>
      <c r="LP667" s="27" t="s">
        <v>7</v>
      </c>
      <c r="LQ667" s="27" t="s">
        <v>8</v>
      </c>
      <c r="LR667" s="27" t="s">
        <v>7</v>
      </c>
      <c r="LS667" s="27" t="s">
        <v>8</v>
      </c>
      <c r="LT667" s="27" t="s">
        <v>7</v>
      </c>
      <c r="LU667" s="27" t="s">
        <v>8</v>
      </c>
      <c r="LV667" s="27" t="s">
        <v>7</v>
      </c>
      <c r="LW667" s="27" t="s">
        <v>8</v>
      </c>
      <c r="MX667" s="27" t="s">
        <v>7</v>
      </c>
      <c r="MY667" s="27" t="s">
        <v>8</v>
      </c>
      <c r="MZ667" s="27" t="s">
        <v>7</v>
      </c>
      <c r="NA667" s="27" t="s">
        <v>8</v>
      </c>
      <c r="NB667" s="27" t="s">
        <v>7</v>
      </c>
      <c r="NC667" s="27" t="s">
        <v>8</v>
      </c>
      <c r="NF667" s="27" t="s">
        <v>7</v>
      </c>
    </row>
    <row r="668" spans="1:377" x14ac:dyDescent="0.25">
      <c r="A668" s="7">
        <v>0.20108796879083912</v>
      </c>
      <c r="B668"/>
      <c r="C668"/>
      <c r="D668"/>
      <c r="E668"/>
      <c r="IB668" s="27" t="s">
        <v>7</v>
      </c>
      <c r="IG668" s="27" t="s">
        <v>8</v>
      </c>
      <c r="IH668" s="27" t="s">
        <v>7</v>
      </c>
      <c r="II668" s="27" t="s">
        <v>8</v>
      </c>
      <c r="IJ668" s="27" t="s">
        <v>7</v>
      </c>
      <c r="IK668" s="27" t="s">
        <v>8</v>
      </c>
      <c r="IL668" s="27" t="s">
        <v>7</v>
      </c>
      <c r="IM668" s="27" t="s">
        <v>8</v>
      </c>
      <c r="IN668" s="27" t="s">
        <v>7</v>
      </c>
      <c r="IO668" s="27" t="s">
        <v>8</v>
      </c>
      <c r="IP668" s="27" t="s">
        <v>7</v>
      </c>
      <c r="IS668" s="27" t="s">
        <v>8</v>
      </c>
      <c r="IT668" s="27" t="s">
        <v>7</v>
      </c>
      <c r="IU668" s="27" t="s">
        <v>8</v>
      </c>
      <c r="JB668" s="27" t="s">
        <v>7</v>
      </c>
      <c r="JC668" s="27" t="s">
        <v>8</v>
      </c>
      <c r="LP668" s="27" t="s">
        <v>7</v>
      </c>
      <c r="LQ668" s="27" t="s">
        <v>8</v>
      </c>
      <c r="LR668" s="27" t="s">
        <v>7</v>
      </c>
      <c r="LS668" s="27" t="s">
        <v>8</v>
      </c>
      <c r="LT668" s="27" t="s">
        <v>7</v>
      </c>
      <c r="LU668" s="27" t="s">
        <v>8</v>
      </c>
      <c r="LV668" s="27" t="s">
        <v>7</v>
      </c>
      <c r="MX668" s="27" t="s">
        <v>7</v>
      </c>
      <c r="MZ668" s="27" t="s">
        <v>7</v>
      </c>
      <c r="NB668" s="27" t="s">
        <v>7</v>
      </c>
    </row>
    <row r="669" spans="1:377" x14ac:dyDescent="0.25">
      <c r="A669" s="7">
        <v>0.19714506744199917</v>
      </c>
      <c r="B669"/>
      <c r="C669"/>
      <c r="D669"/>
      <c r="E669"/>
      <c r="IB669" s="27" t="s">
        <v>7</v>
      </c>
      <c r="IG669" s="27" t="s">
        <v>8</v>
      </c>
      <c r="IH669" s="27" t="s">
        <v>7</v>
      </c>
      <c r="II669" s="27" t="s">
        <v>8</v>
      </c>
      <c r="IJ669" s="27" t="s">
        <v>7</v>
      </c>
      <c r="IK669" s="27" t="s">
        <v>8</v>
      </c>
      <c r="IL669" s="27" t="s">
        <v>7</v>
      </c>
      <c r="IM669" s="27" t="s">
        <v>8</v>
      </c>
      <c r="IN669" s="27" t="s">
        <v>7</v>
      </c>
      <c r="IO669" s="27" t="s">
        <v>8</v>
      </c>
      <c r="IP669" s="27" t="s">
        <v>7</v>
      </c>
      <c r="IQ669" s="27" t="s">
        <v>8</v>
      </c>
      <c r="IS669" s="27" t="s">
        <v>8</v>
      </c>
      <c r="IT669" s="27" t="s">
        <v>7</v>
      </c>
      <c r="IU669" s="27" t="s">
        <v>8</v>
      </c>
      <c r="JB669" s="27" t="s">
        <v>7</v>
      </c>
      <c r="JC669" s="27" t="s">
        <v>8</v>
      </c>
      <c r="LP669" s="27" t="s">
        <v>7</v>
      </c>
      <c r="LQ669" s="27" t="s">
        <v>8</v>
      </c>
      <c r="LR669" s="27" t="s">
        <v>7</v>
      </c>
      <c r="LS669" s="27" t="s">
        <v>8</v>
      </c>
      <c r="LT669" s="27" t="s">
        <v>7</v>
      </c>
      <c r="LU669" s="27" t="s">
        <v>8</v>
      </c>
    </row>
    <row r="670" spans="1:377" x14ac:dyDescent="0.25">
      <c r="A670" s="7">
        <v>0.19327947788431293</v>
      </c>
      <c r="B670"/>
      <c r="C670"/>
      <c r="D670"/>
      <c r="E670"/>
      <c r="IB670" s="27" t="s">
        <v>7</v>
      </c>
      <c r="IG670" s="27" t="s">
        <v>8</v>
      </c>
      <c r="IH670" s="27" t="s">
        <v>7</v>
      </c>
      <c r="II670" s="27" t="s">
        <v>8</v>
      </c>
      <c r="IJ670" s="27" t="s">
        <v>7</v>
      </c>
      <c r="IK670" s="27" t="s">
        <v>8</v>
      </c>
      <c r="IL670" s="27" t="s">
        <v>7</v>
      </c>
      <c r="IN670" s="27" t="s">
        <v>7</v>
      </c>
      <c r="IO670" s="27" t="s">
        <v>8</v>
      </c>
      <c r="IP670" s="27" t="s">
        <v>7</v>
      </c>
      <c r="IQ670" s="27" t="s">
        <v>8</v>
      </c>
      <c r="IR670" s="27" t="s">
        <v>7</v>
      </c>
      <c r="IS670" s="27" t="s">
        <v>8</v>
      </c>
      <c r="IT670" s="27" t="s">
        <v>7</v>
      </c>
      <c r="IU670" s="27" t="s">
        <v>8</v>
      </c>
      <c r="JB670" s="27" t="s">
        <v>7</v>
      </c>
      <c r="JC670" s="27" t="s">
        <v>8</v>
      </c>
      <c r="LP670" s="27" t="s">
        <v>7</v>
      </c>
      <c r="LR670" s="27" t="s">
        <v>7</v>
      </c>
      <c r="LS670" s="27" t="s">
        <v>8</v>
      </c>
      <c r="LT670" s="27" t="s">
        <v>7</v>
      </c>
    </row>
    <row r="671" spans="1:377" x14ac:dyDescent="0.25">
      <c r="A671" s="7">
        <v>0.18948968420030682</v>
      </c>
      <c r="B671"/>
      <c r="C671"/>
      <c r="D671"/>
      <c r="E671"/>
      <c r="IB671" s="27" t="s">
        <v>7</v>
      </c>
      <c r="IG671" s="27" t="s">
        <v>8</v>
      </c>
      <c r="IH671" s="27" t="s">
        <v>7</v>
      </c>
      <c r="II671" s="27" t="s">
        <v>8</v>
      </c>
      <c r="IJ671" s="27" t="s">
        <v>7</v>
      </c>
      <c r="IK671" s="27" t="s">
        <v>8</v>
      </c>
      <c r="IN671" s="27" t="s">
        <v>7</v>
      </c>
      <c r="IO671" s="27" t="s">
        <v>8</v>
      </c>
      <c r="IP671" s="27" t="s">
        <v>7</v>
      </c>
      <c r="IQ671" s="27" t="s">
        <v>8</v>
      </c>
      <c r="IR671" s="27" t="s">
        <v>7</v>
      </c>
      <c r="IS671" s="27" t="s">
        <v>8</v>
      </c>
      <c r="IT671" s="27" t="s">
        <v>7</v>
      </c>
      <c r="IU671" s="27" t="s">
        <v>8</v>
      </c>
      <c r="JB671" s="27" t="s">
        <v>7</v>
      </c>
      <c r="JC671" s="27" t="s">
        <v>8</v>
      </c>
      <c r="LR671" s="27" t="s">
        <v>7</v>
      </c>
    </row>
    <row r="672" spans="1:377" x14ac:dyDescent="0.25">
      <c r="A672" s="7">
        <v>0.18577420019637925</v>
      </c>
      <c r="B672"/>
      <c r="C672"/>
      <c r="D672"/>
      <c r="E672"/>
      <c r="IB672" s="27" t="s">
        <v>7</v>
      </c>
      <c r="IG672" s="27" t="s">
        <v>8</v>
      </c>
      <c r="IH672" s="27" t="s">
        <v>7</v>
      </c>
      <c r="II672" s="27" t="s">
        <v>8</v>
      </c>
      <c r="IJ672" s="27" t="s">
        <v>7</v>
      </c>
      <c r="IN672" s="27" t="s">
        <v>7</v>
      </c>
      <c r="IO672" s="27" t="s">
        <v>8</v>
      </c>
      <c r="IP672" s="27" t="s">
        <v>7</v>
      </c>
      <c r="IR672" s="27" t="s">
        <v>7</v>
      </c>
      <c r="IS672" s="27" t="s">
        <v>8</v>
      </c>
      <c r="IT672" s="27" t="s">
        <v>7</v>
      </c>
      <c r="JB672" s="27" t="s">
        <v>7</v>
      </c>
      <c r="JC672" s="27" t="s">
        <v>8</v>
      </c>
    </row>
    <row r="673" spans="1:262" x14ac:dyDescent="0.25">
      <c r="A673" s="7">
        <v>0.18213156881997963</v>
      </c>
      <c r="B673"/>
      <c r="C673"/>
      <c r="D673"/>
      <c r="E673"/>
      <c r="IB673" s="27" t="s">
        <v>7</v>
      </c>
      <c r="IG673" s="27" t="s">
        <v>8</v>
      </c>
      <c r="IH673" s="27" t="s">
        <v>7</v>
      </c>
      <c r="II673" s="27" t="s">
        <v>8</v>
      </c>
      <c r="IN673" s="27" t="s">
        <v>7</v>
      </c>
      <c r="IO673" s="27" t="s">
        <v>8</v>
      </c>
      <c r="IR673" s="27" t="s">
        <v>7</v>
      </c>
      <c r="JB673" s="27" t="s">
        <v>7</v>
      </c>
    </row>
    <row r="674" spans="1:262" x14ac:dyDescent="0.25">
      <c r="A674" s="7">
        <v>0.17856036158821534</v>
      </c>
      <c r="B674"/>
      <c r="C674"/>
      <c r="D674"/>
      <c r="E674"/>
      <c r="IB674" s="27" t="s">
        <v>7</v>
      </c>
      <c r="IG674" s="27" t="s">
        <v>8</v>
      </c>
      <c r="IH674" s="27" t="s">
        <v>7</v>
      </c>
      <c r="II674" s="27" t="s">
        <v>8</v>
      </c>
      <c r="IN674" s="27" t="s">
        <v>7</v>
      </c>
      <c r="IO674" s="27" t="s">
        <v>8</v>
      </c>
    </row>
    <row r="675" spans="1:262" x14ac:dyDescent="0.25">
      <c r="A675" s="7">
        <v>0.17505917802766208</v>
      </c>
      <c r="B675"/>
      <c r="C675"/>
      <c r="D675"/>
      <c r="E675"/>
      <c r="IB675" s="27" t="s">
        <v>7</v>
      </c>
      <c r="IG675" s="27" t="s">
        <v>8</v>
      </c>
      <c r="IH675" s="27" t="s">
        <v>7</v>
      </c>
      <c r="II675" s="27" t="s">
        <v>8</v>
      </c>
      <c r="IN675" s="27" t="s">
        <v>7</v>
      </c>
    </row>
    <row r="676" spans="1:262" x14ac:dyDescent="0.25">
      <c r="A676" s="7">
        <v>0.17162664512515888</v>
      </c>
      <c r="B676"/>
      <c r="C676"/>
      <c r="D676"/>
      <c r="E676"/>
      <c r="IB676" s="27" t="s">
        <v>7</v>
      </c>
      <c r="IE676" s="27" t="s">
        <v>8</v>
      </c>
      <c r="IG676" s="27" t="s">
        <v>8</v>
      </c>
      <c r="IH676" s="27" t="s">
        <v>7</v>
      </c>
      <c r="II676" s="27" t="s">
        <v>8</v>
      </c>
    </row>
    <row r="677" spans="1:262" x14ac:dyDescent="0.25">
      <c r="A677" s="7">
        <v>0.16826141678937145</v>
      </c>
      <c r="B677"/>
      <c r="C677"/>
      <c r="D677"/>
      <c r="E677"/>
      <c r="IB677" s="27" t="s">
        <v>7</v>
      </c>
      <c r="IE677" s="27" t="s">
        <v>8</v>
      </c>
      <c r="IF677" s="27" t="s">
        <v>7</v>
      </c>
      <c r="IG677" s="27" t="s">
        <v>8</v>
      </c>
      <c r="IH677" s="27" t="s">
        <v>7</v>
      </c>
      <c r="II677" s="27" t="s">
        <v>8</v>
      </c>
    </row>
    <row r="678" spans="1:262" x14ac:dyDescent="0.25">
      <c r="A678" s="7">
        <v>0.16496217332291319</v>
      </c>
      <c r="B678"/>
      <c r="C678"/>
      <c r="D678"/>
      <c r="E678"/>
      <c r="IB678" s="27" t="s">
        <v>7</v>
      </c>
      <c r="IE678" s="27" t="s">
        <v>8</v>
      </c>
      <c r="IF678" s="27" t="s">
        <v>7</v>
      </c>
      <c r="IG678" s="27" t="s">
        <v>8</v>
      </c>
      <c r="IH678" s="27" t="s">
        <v>7</v>
      </c>
      <c r="II678" s="27" t="s">
        <v>8</v>
      </c>
    </row>
    <row r="679" spans="1:262" x14ac:dyDescent="0.25">
      <c r="A679" s="7">
        <v>0.16172762090481685</v>
      </c>
      <c r="B679"/>
      <c r="C679"/>
      <c r="D679"/>
      <c r="E679"/>
      <c r="IB679" s="27" t="s">
        <v>7</v>
      </c>
      <c r="IE679" s="27" t="s">
        <v>8</v>
      </c>
      <c r="IF679" s="27" t="s">
        <v>7</v>
      </c>
      <c r="IG679" s="27" t="s">
        <v>8</v>
      </c>
      <c r="IH679" s="27" t="s">
        <v>7</v>
      </c>
      <c r="II679" s="27" t="s">
        <v>8</v>
      </c>
    </row>
    <row r="680" spans="1:262" x14ac:dyDescent="0.25">
      <c r="A680" s="7">
        <v>0.15855649108315376</v>
      </c>
      <c r="B680"/>
      <c r="C680"/>
      <c r="D680"/>
      <c r="E680"/>
      <c r="IB680" s="27" t="s">
        <v>7</v>
      </c>
      <c r="IE680" s="27" t="s">
        <v>8</v>
      </c>
      <c r="IF680" s="27" t="s">
        <v>7</v>
      </c>
      <c r="IG680" s="27" t="s">
        <v>8</v>
      </c>
      <c r="IH680" s="27" t="s">
        <v>7</v>
      </c>
      <c r="II680" s="27" t="s">
        <v>8</v>
      </c>
    </row>
    <row r="681" spans="1:262" x14ac:dyDescent="0.25">
      <c r="A681" s="7">
        <v>0.15544754027760171</v>
      </c>
      <c r="B681"/>
      <c r="C681"/>
      <c r="D681"/>
      <c r="E681"/>
      <c r="IB681" s="27" t="s">
        <v>7</v>
      </c>
      <c r="IE681" s="27" t="s">
        <v>8</v>
      </c>
      <c r="IF681" s="27" t="s">
        <v>7</v>
      </c>
      <c r="IG681" s="27" t="s">
        <v>8</v>
      </c>
      <c r="IH681" s="27" t="s">
        <v>7</v>
      </c>
    </row>
    <row r="682" spans="1:262" x14ac:dyDescent="0.25">
      <c r="A682" s="7">
        <v>0.15239954929176638</v>
      </c>
      <c r="B682"/>
      <c r="C682"/>
      <c r="D682"/>
      <c r="E682"/>
      <c r="IB682" s="27" t="s">
        <v>7</v>
      </c>
      <c r="IE682" s="27" t="s">
        <v>8</v>
      </c>
      <c r="IF682" s="27" t="s">
        <v>7</v>
      </c>
      <c r="IG682" s="27" t="s">
        <v>8</v>
      </c>
    </row>
    <row r="683" spans="1:262" x14ac:dyDescent="0.25">
      <c r="A683" s="7">
        <v>0.14941132283506509</v>
      </c>
      <c r="B683"/>
      <c r="C683"/>
      <c r="D683"/>
      <c r="E683"/>
      <c r="IB683" s="27" t="s">
        <v>7</v>
      </c>
      <c r="IE683" s="27" t="s">
        <v>8</v>
      </c>
      <c r="IF683" s="27" t="s">
        <v>7</v>
      </c>
      <c r="IG683" s="27" t="s">
        <v>8</v>
      </c>
    </row>
    <row r="684" spans="1:262" x14ac:dyDescent="0.25">
      <c r="A684" s="7">
        <v>0.14648168905398537</v>
      </c>
      <c r="B684"/>
      <c r="C684"/>
      <c r="D684"/>
      <c r="E684"/>
      <c r="IB684" s="27" t="s">
        <v>7</v>
      </c>
      <c r="IE684" s="27" t="s">
        <v>8</v>
      </c>
      <c r="IF684" s="27" t="s">
        <v>7</v>
      </c>
      <c r="IG684" s="27" t="s">
        <v>8</v>
      </c>
    </row>
    <row r="685" spans="1:262" x14ac:dyDescent="0.25">
      <c r="A685" s="7">
        <v>0.14360949907253467</v>
      </c>
      <c r="B685"/>
      <c r="C685"/>
      <c r="D685"/>
      <c r="E685"/>
      <c r="IB685" s="27" t="s">
        <v>7</v>
      </c>
      <c r="IE685" s="27" t="s">
        <v>8</v>
      </c>
      <c r="IF685" s="27" t="s">
        <v>7</v>
      </c>
      <c r="IG685" s="27" t="s">
        <v>8</v>
      </c>
    </row>
    <row r="686" spans="1:262" x14ac:dyDescent="0.25">
      <c r="A686" s="7">
        <v>0.14079362654170066</v>
      </c>
      <c r="B686"/>
      <c r="C686"/>
      <c r="D686"/>
      <c r="E686"/>
      <c r="IB686" s="27" t="s">
        <v>7</v>
      </c>
      <c r="IE686" s="27" t="s">
        <v>8</v>
      </c>
      <c r="IF686" s="27" t="s">
        <v>7</v>
      </c>
      <c r="IG686" s="27" t="s">
        <v>8</v>
      </c>
    </row>
    <row r="687" spans="1:262" x14ac:dyDescent="0.25">
      <c r="A687" s="7">
        <v>0.13803296719774574</v>
      </c>
      <c r="B687"/>
      <c r="C687"/>
      <c r="D687"/>
      <c r="E687"/>
      <c r="IB687" s="27" t="s">
        <v>7</v>
      </c>
      <c r="IC687" s="27" t="s">
        <v>8</v>
      </c>
      <c r="IE687" s="27" t="s">
        <v>8</v>
      </c>
      <c r="IF687" s="27" t="s">
        <v>7</v>
      </c>
      <c r="IG687" s="27" t="s">
        <v>8</v>
      </c>
    </row>
    <row r="688" spans="1:262" x14ac:dyDescent="0.25">
      <c r="A688" s="7">
        <v>0.1353264384291625</v>
      </c>
      <c r="B688"/>
      <c r="C688"/>
      <c r="D688"/>
      <c r="E688"/>
      <c r="IB688" s="27" t="s">
        <v>7</v>
      </c>
      <c r="IC688" s="27" t="s">
        <v>8</v>
      </c>
      <c r="ID688" s="27" t="s">
        <v>7</v>
      </c>
      <c r="IE688" s="27" t="s">
        <v>8</v>
      </c>
      <c r="IF688" s="27" t="s">
        <v>7</v>
      </c>
    </row>
    <row r="689" spans="1:239" x14ac:dyDescent="0.25">
      <c r="A689" s="7">
        <v>0.13267297885212009</v>
      </c>
      <c r="B689"/>
      <c r="C689"/>
      <c r="D689"/>
      <c r="E689"/>
      <c r="IB689" s="27" t="s">
        <v>7</v>
      </c>
      <c r="IC689" s="27" t="s">
        <v>8</v>
      </c>
      <c r="ID689" s="27" t="s">
        <v>7</v>
      </c>
      <c r="IE689" s="27" t="s">
        <v>8</v>
      </c>
    </row>
    <row r="690" spans="1:239" x14ac:dyDescent="0.25">
      <c r="A690" s="7">
        <v>0.13007154789423539</v>
      </c>
      <c r="B690"/>
      <c r="C690"/>
      <c r="D690"/>
      <c r="E690"/>
      <c r="IB690" s="27" t="s">
        <v>7</v>
      </c>
      <c r="IC690" s="27" t="s">
        <v>8</v>
      </c>
      <c r="ID690" s="27" t="s">
        <v>7</v>
      </c>
      <c r="IE690" s="27" t="s">
        <v>8</v>
      </c>
    </row>
    <row r="691" spans="1:239" x14ac:dyDescent="0.25">
      <c r="A691" s="7">
        <v>0.12752112538650529</v>
      </c>
      <c r="B691"/>
      <c r="C691"/>
      <c r="D691"/>
      <c r="E691"/>
      <c r="IB691" s="27" t="s">
        <v>7</v>
      </c>
      <c r="IC691" s="27" t="s">
        <v>8</v>
      </c>
      <c r="ID691" s="27" t="s">
        <v>7</v>
      </c>
      <c r="IE691" s="27" t="s">
        <v>8</v>
      </c>
    </row>
    <row r="692" spans="1:239" x14ac:dyDescent="0.25">
      <c r="A692" s="7">
        <v>0.12502071116324048</v>
      </c>
      <c r="B692"/>
      <c r="C692"/>
      <c r="D692"/>
      <c r="E692"/>
      <c r="IB692" s="27" t="s">
        <v>7</v>
      </c>
      <c r="IC692" s="27" t="s">
        <v>8</v>
      </c>
      <c r="ID692" s="27" t="s">
        <v>7</v>
      </c>
      <c r="IE692" s="27" t="s">
        <v>8</v>
      </c>
    </row>
    <row r="693" spans="1:239" x14ac:dyDescent="0.25">
      <c r="A693" s="7">
        <v>0.1225693246698436</v>
      </c>
      <c r="B693"/>
      <c r="C693"/>
      <c r="D693"/>
      <c r="E693"/>
      <c r="IB693" s="27" t="s">
        <v>7</v>
      </c>
      <c r="IC693" s="27" t="s">
        <v>8</v>
      </c>
      <c r="ID693" s="27" t="s">
        <v>7</v>
      </c>
      <c r="IE693" s="27" t="s">
        <v>8</v>
      </c>
    </row>
    <row r="694" spans="1:239" x14ac:dyDescent="0.25">
      <c r="A694" s="7">
        <v>0.12016600457827803</v>
      </c>
      <c r="B694"/>
      <c r="C694"/>
      <c r="D694"/>
      <c r="E694"/>
      <c r="IB694" s="27" t="s">
        <v>7</v>
      </c>
      <c r="IC694" s="27" t="s">
        <v>8</v>
      </c>
      <c r="ID694" s="27" t="s">
        <v>7</v>
      </c>
      <c r="IE694" s="27" t="s">
        <v>8</v>
      </c>
    </row>
    <row r="695" spans="1:239" x14ac:dyDescent="0.25">
      <c r="A695" s="7">
        <v>0.1178098084100765</v>
      </c>
      <c r="B695"/>
      <c r="C695"/>
      <c r="D695"/>
      <c r="E695"/>
      <c r="IB695" s="27" t="s">
        <v>7</v>
      </c>
      <c r="IC695" s="27" t="s">
        <v>8</v>
      </c>
      <c r="ID695" s="27" t="s">
        <v>7</v>
      </c>
      <c r="IE695" s="27" t="s">
        <v>8</v>
      </c>
    </row>
    <row r="696" spans="1:239" x14ac:dyDescent="0.25">
      <c r="A696" s="7">
        <v>0.11549981216674166</v>
      </c>
      <c r="B696"/>
      <c r="C696"/>
      <c r="D696"/>
      <c r="E696"/>
      <c r="IB696" s="27" t="s">
        <v>7</v>
      </c>
      <c r="IC696" s="27" t="s">
        <v>8</v>
      </c>
      <c r="ID696" s="27" t="s">
        <v>7</v>
      </c>
      <c r="IE696" s="27" t="s">
        <v>8</v>
      </c>
    </row>
    <row r="697" spans="1:239" x14ac:dyDescent="0.25">
      <c r="A697" s="7">
        <v>0.11323510996739378</v>
      </c>
      <c r="B697"/>
      <c r="C697"/>
      <c r="D697"/>
      <c r="E697"/>
      <c r="IB697" s="27" t="s">
        <v>7</v>
      </c>
      <c r="IC697" s="27" t="s">
        <v>8</v>
      </c>
      <c r="ID697" s="27" t="s">
        <v>7</v>
      </c>
      <c r="IE697" s="27" t="s">
        <v>8</v>
      </c>
    </row>
    <row r="698" spans="1:239" x14ac:dyDescent="0.25">
      <c r="A698" s="7">
        <v>0.11101481369352331</v>
      </c>
      <c r="B698"/>
      <c r="C698"/>
      <c r="D698"/>
      <c r="E698"/>
      <c r="IB698" s="27" t="s">
        <v>7</v>
      </c>
      <c r="IC698" s="27" t="s">
        <v>8</v>
      </c>
      <c r="ID698" s="27" t="s">
        <v>7</v>
      </c>
      <c r="IE698" s="27" t="s">
        <v>8</v>
      </c>
    </row>
    <row r="699" spans="1:239" x14ac:dyDescent="0.25">
      <c r="A699" s="7">
        <v>0.10883805264070913</v>
      </c>
      <c r="B699"/>
      <c r="C699"/>
      <c r="D699"/>
      <c r="E699"/>
      <c r="IB699" s="27" t="s">
        <v>7</v>
      </c>
      <c r="IC699" s="27" t="s">
        <v>8</v>
      </c>
      <c r="ID699" s="27" t="s">
        <v>7</v>
      </c>
      <c r="IE699" s="27" t="s">
        <v>8</v>
      </c>
    </row>
    <row r="700" spans="1:239" x14ac:dyDescent="0.25">
      <c r="A700" s="7">
        <v>0.10670397317716582</v>
      </c>
      <c r="B700"/>
      <c r="C700"/>
      <c r="D700"/>
      <c r="E700"/>
      <c r="IB700" s="27" t="s">
        <v>7</v>
      </c>
      <c r="IC700" s="27" t="s">
        <v>8</v>
      </c>
      <c r="ID700" s="27" t="s">
        <v>7</v>
      </c>
      <c r="IE700" s="27" t="s">
        <v>8</v>
      </c>
    </row>
    <row r="701" spans="1:239" x14ac:dyDescent="0.25">
      <c r="A701" s="7">
        <v>0.1046117384089861</v>
      </c>
      <c r="B701"/>
      <c r="C701"/>
      <c r="D701"/>
      <c r="E701"/>
      <c r="IB701" s="27" t="s">
        <v>7</v>
      </c>
      <c r="IC701" s="27" t="s">
        <v>8</v>
      </c>
      <c r="ID701" s="27" t="s">
        <v>7</v>
      </c>
      <c r="IE701" s="27" t="s">
        <v>8</v>
      </c>
    </row>
    <row r="702" spans="1:239" x14ac:dyDescent="0.25">
      <c r="A702" s="7">
        <v>0.10256052785194716</v>
      </c>
      <c r="B702"/>
      <c r="C702"/>
      <c r="D702"/>
      <c r="E702"/>
      <c r="IB702" s="27" t="s">
        <v>7</v>
      </c>
      <c r="IC702" s="27" t="s">
        <v>8</v>
      </c>
      <c r="ID702" s="27" t="s">
        <v>7</v>
      </c>
    </row>
    <row r="703" spans="1:239" x14ac:dyDescent="0.25">
      <c r="A703" s="7">
        <v>0.10054953710975212</v>
      </c>
      <c r="B703"/>
      <c r="C703"/>
      <c r="D703"/>
      <c r="E703"/>
      <c r="IB703" s="27" t="s">
        <v>7</v>
      </c>
      <c r="IC703" s="27" t="s">
        <v>8</v>
      </c>
    </row>
    <row r="704" spans="1:239" x14ac:dyDescent="0.25">
      <c r="A704" s="7">
        <v>9.8577977558580512E-2</v>
      </c>
      <c r="B704"/>
      <c r="C704"/>
      <c r="D704"/>
      <c r="E704"/>
      <c r="IB704" s="27" t="s">
        <v>7</v>
      </c>
      <c r="IC704" s="27" t="s">
        <v>8</v>
      </c>
    </row>
    <row r="705" spans="1:237" x14ac:dyDescent="0.25">
      <c r="A705" s="7">
        <v>9.6645076037824032E-2</v>
      </c>
      <c r="B705"/>
      <c r="C705"/>
      <c r="D705"/>
      <c r="E705"/>
      <c r="IB705" s="27" t="s">
        <v>7</v>
      </c>
      <c r="IC705" s="27" t="s">
        <v>8</v>
      </c>
    </row>
    <row r="706" spans="1:237" x14ac:dyDescent="0.25">
      <c r="A706" s="7">
        <v>9.4750074546886304E-2</v>
      </c>
      <c r="B706"/>
      <c r="C706"/>
      <c r="D706"/>
      <c r="E706"/>
      <c r="IB706" s="27" t="s">
        <v>7</v>
      </c>
      <c r="IC706" s="27" t="s">
        <v>8</v>
      </c>
    </row>
    <row r="707" spans="1:237" x14ac:dyDescent="0.25">
      <c r="A707" s="7">
        <v>9.2892229947927743E-2</v>
      </c>
      <c r="B707"/>
      <c r="C707"/>
      <c r="D707"/>
      <c r="E707"/>
      <c r="IB707" s="27" t="s">
        <v>7</v>
      </c>
      <c r="IC707" s="27" t="s">
        <v>8</v>
      </c>
    </row>
    <row r="708" spans="1:237" x14ac:dyDescent="0.25">
      <c r="A708" s="7">
        <v>9.1070813674438963E-2</v>
      </c>
      <c r="B708"/>
      <c r="C708"/>
      <c r="D708"/>
      <c r="E708"/>
      <c r="IB708" s="27" t="s">
        <v>7</v>
      </c>
    </row>
    <row r="709" spans="1:237" x14ac:dyDescent="0.25">
      <c r="A709" s="7">
        <v>8.9285111445528392E-2</v>
      </c>
      <c r="B709"/>
      <c r="C709"/>
      <c r="D709"/>
      <c r="E709"/>
    </row>
    <row r="710" spans="1:237" x14ac:dyDescent="0.25">
      <c r="A710" s="7">
        <v>8.7534422985812155E-2</v>
      </c>
      <c r="B710"/>
      <c r="C710"/>
      <c r="D710"/>
      <c r="E710"/>
    </row>
    <row r="711" spans="1:237" x14ac:dyDescent="0.25">
      <c r="A711" s="7">
        <v>8.5818061750796232E-2</v>
      </c>
      <c r="B711"/>
      <c r="C711"/>
      <c r="D711"/>
      <c r="E711"/>
    </row>
    <row r="712" spans="1:237" x14ac:dyDescent="0.25">
      <c r="A712" s="7">
        <v>8.4135354657643366E-2</v>
      </c>
      <c r="B712"/>
      <c r="C712"/>
      <c r="D712"/>
      <c r="E712"/>
    </row>
    <row r="713" spans="1:237" x14ac:dyDescent="0.25">
      <c r="A713" s="7">
        <v>8.248564182121898E-2</v>
      </c>
      <c r="B713"/>
      <c r="C713"/>
      <c r="D713"/>
      <c r="E713"/>
    </row>
    <row r="714" spans="1:237" x14ac:dyDescent="0.25">
      <c r="A714" s="7">
        <v>8.0868276295312735E-2</v>
      </c>
      <c r="B714"/>
      <c r="C714"/>
      <c r="D714"/>
      <c r="E714"/>
    </row>
    <row r="715" spans="1:237" x14ac:dyDescent="0.25">
      <c r="A715" s="7">
        <v>7.9282623818934056E-2</v>
      </c>
      <c r="B715"/>
      <c r="C715"/>
      <c r="D715"/>
      <c r="E715"/>
    </row>
    <row r="716" spans="1:237" x14ac:dyDescent="0.25">
      <c r="A716" s="7">
        <v>7.7728062567582412E-2</v>
      </c>
      <c r="B716"/>
      <c r="C716"/>
      <c r="D716"/>
      <c r="E716"/>
    </row>
    <row r="717" spans="1:237" x14ac:dyDescent="0.25">
      <c r="A717" s="7">
        <v>7.6203982909394521E-2</v>
      </c>
      <c r="B717"/>
      <c r="C717"/>
      <c r="D717"/>
      <c r="E717"/>
    </row>
    <row r="718" spans="1:237" x14ac:dyDescent="0.25">
      <c r="A718" s="7">
        <v>7.4709787166073058E-2</v>
      </c>
      <c r="B718"/>
      <c r="C718"/>
      <c r="D718"/>
      <c r="E718"/>
    </row>
    <row r="719" spans="1:237" x14ac:dyDescent="0.25">
      <c r="A719" s="7">
        <v>7.3244889378503E-2</v>
      </c>
      <c r="B719"/>
      <c r="C719"/>
      <c r="D719"/>
      <c r="E719"/>
    </row>
    <row r="720" spans="1:237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596" operator="equal">
      <formula>$U$1</formula>
    </cfRule>
    <cfRule type="cellIs" dxfId="89" priority="1597" operator="equal">
      <formula>$S$1</formula>
    </cfRule>
  </conditionalFormatting>
  <conditionalFormatting sqref="D27">
    <cfRule type="cellIs" dxfId="88" priority="1594" operator="equal">
      <formula>$S$1</formula>
    </cfRule>
    <cfRule type="cellIs" dxfId="87" priority="1595" operator="equal">
      <formula>$U$1</formula>
    </cfRule>
  </conditionalFormatting>
  <conditionalFormatting sqref="C164">
    <cfRule type="cellIs" dxfId="86" priority="1592" operator="equal">
      <formula>$U$1</formula>
    </cfRule>
    <cfRule type="cellIs" dxfId="85" priority="1593" operator="equal">
      <formula>$S$1</formula>
    </cfRule>
  </conditionalFormatting>
  <conditionalFormatting sqref="D164">
    <cfRule type="cellIs" dxfId="84" priority="1590" operator="equal">
      <formula>$S$1</formula>
    </cfRule>
    <cfRule type="cellIs" dxfId="83" priority="1591" operator="equal">
      <formula>$U$1</formula>
    </cfRule>
  </conditionalFormatting>
  <conditionalFormatting sqref="C55">
    <cfRule type="cellIs" dxfId="82" priority="1588" operator="equal">
      <formula>$U$1</formula>
    </cfRule>
    <cfRule type="cellIs" dxfId="81" priority="1589" operator="equal">
      <formula>$S$1</formula>
    </cfRule>
  </conditionalFormatting>
  <conditionalFormatting sqref="D55">
    <cfRule type="cellIs" dxfId="80" priority="1586" operator="equal">
      <formula>$S$1</formula>
    </cfRule>
    <cfRule type="cellIs" dxfId="79" priority="1587" operator="equal">
      <formula>$U$1</formula>
    </cfRule>
  </conditionalFormatting>
  <conditionalFormatting sqref="C89">
    <cfRule type="cellIs" dxfId="78" priority="1584" operator="equal">
      <formula>$U$1</formula>
    </cfRule>
    <cfRule type="cellIs" dxfId="77" priority="1585" operator="equal">
      <formula>$S$1</formula>
    </cfRule>
  </conditionalFormatting>
  <conditionalFormatting sqref="D89">
    <cfRule type="cellIs" dxfId="76" priority="1582" operator="equal">
      <formula>$S$1</formula>
    </cfRule>
    <cfRule type="cellIs" dxfId="75" priority="1583" operator="equal">
      <formula>$U$1</formula>
    </cfRule>
  </conditionalFormatting>
  <conditionalFormatting sqref="C136">
    <cfRule type="cellIs" dxfId="74" priority="1580" operator="equal">
      <formula>$U$1</formula>
    </cfRule>
    <cfRule type="cellIs" dxfId="73" priority="1581" operator="equal">
      <formula>$S$1</formula>
    </cfRule>
  </conditionalFormatting>
  <conditionalFormatting sqref="D136">
    <cfRule type="cellIs" dxfId="72" priority="1578" operator="equal">
      <formula>$S$1</formula>
    </cfRule>
    <cfRule type="cellIs" dxfId="71" priority="1579" operator="equal">
      <formula>$U$1</formula>
    </cfRule>
  </conditionalFormatting>
  <conditionalFormatting sqref="C1">
    <cfRule type="cellIs" dxfId="70" priority="157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HG258" sqref="HG25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$A$257</v>
      </c>
      <c r="D111" s="1" t="str">
        <f>ADDRESS(C121-1,D121,1,1)</f>
        <v>$HG$257</v>
      </c>
      <c r="E111"/>
    </row>
    <row r="112" spans="1:5" x14ac:dyDescent="0.25">
      <c r="A112" s="30">
        <v>515.50191262726139</v>
      </c>
      <c r="C112" s="1" t="str">
        <f>ADDRESS(C121,1,1,1)</f>
        <v>$A$258</v>
      </c>
      <c r="D112" s="1" t="str">
        <f>ADDRESS(C121,D121-1,1,1)</f>
        <v>$HF$258</v>
      </c>
      <c r="E112"/>
    </row>
    <row r="113" spans="1:5" x14ac:dyDescent="0.25">
      <c r="A113" s="30">
        <v>490.95420250215363</v>
      </c>
      <c r="C113" s="1" t="str">
        <f>ADDRESS(C121+1,1,1,1)</f>
        <v>$A$259</v>
      </c>
      <c r="D113" s="1" t="str">
        <f>ADDRESS(C121-1,D121+1,1,1)</f>
        <v>$HH$257</v>
      </c>
    </row>
    <row r="114" spans="1:5" x14ac:dyDescent="0.25">
      <c r="A114" s="30">
        <v>467.57543095443202</v>
      </c>
      <c r="C114" s="1" t="str">
        <f>ADDRESS(C121,D121,1,1)</f>
        <v>$HG$258</v>
      </c>
      <c r="D114" s="1" t="str">
        <f>ADDRESS(C121+1,D121+1,1,1)</f>
        <v>$HH$259</v>
      </c>
    </row>
    <row r="115" spans="1:5" x14ac:dyDescent="0.25">
      <c r="A115" s="30">
        <v>445.30993424231622</v>
      </c>
      <c r="C115" s="1" t="str">
        <f>ADDRESS(C121+1,D121,1,1)</f>
        <v>$HG$259</v>
      </c>
    </row>
    <row r="116" spans="1:5" x14ac:dyDescent="0.25">
      <c r="A116" s="30">
        <v>424.10469927839637</v>
      </c>
      <c r="C116" s="1">
        <f>C117-1</f>
        <v>257</v>
      </c>
    </row>
    <row r="117" spans="1:5" x14ac:dyDescent="0.25">
      <c r="A117" s="30">
        <v>403.9092374079965</v>
      </c>
      <c r="C117" s="1">
        <f>C121</f>
        <v>258</v>
      </c>
      <c r="D117" s="1">
        <f>D121</f>
        <v>215</v>
      </c>
    </row>
    <row r="118" spans="1:5" x14ac:dyDescent="0.25">
      <c r="A118" s="30">
        <v>384.6754641980919</v>
      </c>
      <c r="C118" s="1">
        <f>C117+1</f>
        <v>259</v>
      </c>
      <c r="D118" s="1">
        <f>D117+1</f>
        <v>216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258</v>
      </c>
      <c r="D121" s="19">
        <v>215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R258</v>
      </c>
      <c r="D123" s="1" t="str">
        <f>"C"&amp;D121</f>
        <v>C215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0.41552065486748019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212" x14ac:dyDescent="0.25">
      <c r="A225" s="30">
        <v>2.0789281794113688</v>
      </c>
      <c r="E225"/>
    </row>
    <row r="226" spans="1:212" x14ac:dyDescent="0.25">
      <c r="A226" s="30">
        <v>1.9799315994393987</v>
      </c>
      <c r="E226"/>
      <c r="FA226" s="27" t="s">
        <v>8</v>
      </c>
      <c r="GU226" s="27" t="s">
        <v>8</v>
      </c>
    </row>
    <row r="227" spans="1:212" x14ac:dyDescent="0.25">
      <c r="A227" s="30">
        <v>1.8856491423232367</v>
      </c>
      <c r="E227"/>
      <c r="FA227" s="27" t="s">
        <v>8</v>
      </c>
      <c r="FB227" s="27" t="s">
        <v>7</v>
      </c>
      <c r="GU227" s="27" t="s">
        <v>8</v>
      </c>
      <c r="GV227" s="27" t="s">
        <v>7</v>
      </c>
    </row>
    <row r="228" spans="1:212" x14ac:dyDescent="0.25">
      <c r="A228" s="30">
        <v>1.7958563260221301</v>
      </c>
      <c r="C228" s="7"/>
      <c r="D228"/>
      <c r="E228"/>
      <c r="FA228" s="27" t="s">
        <v>8</v>
      </c>
      <c r="FB228" s="27" t="s">
        <v>7</v>
      </c>
      <c r="GU228" s="27" t="s">
        <v>8</v>
      </c>
      <c r="GV228" s="27" t="s">
        <v>7</v>
      </c>
    </row>
    <row r="229" spans="1:212" x14ac:dyDescent="0.25">
      <c r="A229" s="30">
        <v>1.7103393581163142</v>
      </c>
      <c r="E229"/>
      <c r="FA229" s="27" t="s">
        <v>8</v>
      </c>
      <c r="FB229" s="27" t="s">
        <v>7</v>
      </c>
      <c r="GU229" s="27" t="s">
        <v>8</v>
      </c>
      <c r="GV229" s="27" t="s">
        <v>7</v>
      </c>
    </row>
    <row r="230" spans="1:212" x14ac:dyDescent="0.25">
      <c r="A230" s="30">
        <v>1.628894626777442</v>
      </c>
      <c r="E230"/>
      <c r="FA230" s="27" t="s">
        <v>8</v>
      </c>
      <c r="FB230" s="27" t="s">
        <v>7</v>
      </c>
      <c r="GU230" s="27" t="s">
        <v>8</v>
      </c>
      <c r="GV230" s="27" t="s">
        <v>7</v>
      </c>
    </row>
    <row r="231" spans="1:212" x14ac:dyDescent="0.25">
      <c r="A231" s="30">
        <v>1.5513282159785162</v>
      </c>
      <c r="C231"/>
      <c r="D231"/>
      <c r="E231"/>
      <c r="EW231" s="27" t="s">
        <v>8</v>
      </c>
      <c r="FA231" s="27" t="s">
        <v>8</v>
      </c>
      <c r="FB231" s="27" t="s">
        <v>7</v>
      </c>
      <c r="FE231" s="27" t="s">
        <v>8</v>
      </c>
      <c r="GU231" s="27" t="s">
        <v>8</v>
      </c>
      <c r="GV231" s="27" t="s">
        <v>7</v>
      </c>
    </row>
    <row r="232" spans="1:212" x14ac:dyDescent="0.25">
      <c r="A232" s="30">
        <v>1.477455443789063</v>
      </c>
      <c r="E232"/>
      <c r="EW232" s="27" t="s">
        <v>8</v>
      </c>
      <c r="EX232" s="27" t="s">
        <v>7</v>
      </c>
      <c r="EY232" s="27" t="s">
        <v>8</v>
      </c>
      <c r="FA232" s="27" t="s">
        <v>8</v>
      </c>
      <c r="FB232" s="27" t="s">
        <v>7</v>
      </c>
      <c r="FE232" s="27" t="s">
        <v>8</v>
      </c>
      <c r="FF232" s="27" t="s">
        <v>7</v>
      </c>
      <c r="GU232" s="27" t="s">
        <v>8</v>
      </c>
      <c r="GV232" s="27" t="s">
        <v>7</v>
      </c>
    </row>
    <row r="233" spans="1:212" x14ac:dyDescent="0.25">
      <c r="A233" s="30">
        <v>1.4071004226562505</v>
      </c>
      <c r="E233"/>
      <c r="EW233" s="27" t="s">
        <v>8</v>
      </c>
      <c r="EX233" s="27" t="s">
        <v>7</v>
      </c>
      <c r="EY233" s="27" t="s">
        <v>8</v>
      </c>
      <c r="EZ233" s="27" t="s">
        <v>7</v>
      </c>
      <c r="FA233" s="27" t="s">
        <v>8</v>
      </c>
      <c r="FB233" s="27" t="s">
        <v>7</v>
      </c>
      <c r="FE233" s="27" t="s">
        <v>8</v>
      </c>
      <c r="FF233" s="27" t="s">
        <v>7</v>
      </c>
      <c r="GU233" s="27" t="s">
        <v>8</v>
      </c>
      <c r="GV233" s="27" t="s">
        <v>7</v>
      </c>
    </row>
    <row r="234" spans="1:212" x14ac:dyDescent="0.25">
      <c r="A234" s="30">
        <v>1.3400956406250004</v>
      </c>
      <c r="E234"/>
      <c r="EW234" s="27" t="s">
        <v>8</v>
      </c>
      <c r="EX234" s="27" t="s">
        <v>7</v>
      </c>
      <c r="EY234" s="27" t="s">
        <v>8</v>
      </c>
      <c r="EZ234" s="27" t="s">
        <v>7</v>
      </c>
      <c r="FA234" s="27" t="s">
        <v>8</v>
      </c>
      <c r="FB234" s="27" t="s">
        <v>7</v>
      </c>
      <c r="FE234" s="27" t="s">
        <v>8</v>
      </c>
      <c r="FF234" s="27" t="s">
        <v>7</v>
      </c>
      <c r="GU234" s="27" t="s">
        <v>8</v>
      </c>
      <c r="GV234" s="27" t="s">
        <v>7</v>
      </c>
    </row>
    <row r="235" spans="1:212" x14ac:dyDescent="0.25">
      <c r="A235" s="30">
        <v>1.2762815625000004</v>
      </c>
      <c r="C235"/>
      <c r="E235" t="s">
        <v>8</v>
      </c>
      <c r="EW235" s="27" t="s">
        <v>8</v>
      </c>
      <c r="EX235" s="27" t="s">
        <v>7</v>
      </c>
      <c r="EY235" s="27" t="s">
        <v>8</v>
      </c>
      <c r="EZ235" s="27" t="s">
        <v>7</v>
      </c>
      <c r="FA235" s="27" t="s">
        <v>8</v>
      </c>
      <c r="FB235" s="27" t="s">
        <v>7</v>
      </c>
      <c r="FE235" s="27" t="s">
        <v>8</v>
      </c>
      <c r="FF235" s="27" t="s">
        <v>7</v>
      </c>
      <c r="GU235" s="27" t="s">
        <v>8</v>
      </c>
      <c r="GV235" s="27" t="s">
        <v>7</v>
      </c>
    </row>
    <row r="236" spans="1:212" x14ac:dyDescent="0.25">
      <c r="A236" s="30">
        <v>1.2155062500000002</v>
      </c>
      <c r="E236" t="s">
        <v>8</v>
      </c>
      <c r="F236" s="27" t="s">
        <v>7</v>
      </c>
      <c r="EU236" s="27" t="s">
        <v>8</v>
      </c>
      <c r="EW236" s="27" t="s">
        <v>8</v>
      </c>
      <c r="EX236" s="27" t="s">
        <v>7</v>
      </c>
      <c r="EY236" s="27" t="s">
        <v>8</v>
      </c>
      <c r="EZ236" s="27" t="s">
        <v>7</v>
      </c>
      <c r="FB236" s="27" t="s">
        <v>7</v>
      </c>
      <c r="FC236" s="27" t="s">
        <v>8</v>
      </c>
      <c r="FE236" s="27" t="s">
        <v>8</v>
      </c>
      <c r="FF236" s="27" t="s">
        <v>7</v>
      </c>
      <c r="GU236" s="27" t="s">
        <v>8</v>
      </c>
      <c r="GV236" s="27" t="s">
        <v>7</v>
      </c>
      <c r="GW236" s="27" t="s">
        <v>8</v>
      </c>
      <c r="HC236" s="27" t="s">
        <v>8</v>
      </c>
    </row>
    <row r="237" spans="1:21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F237" s="27" t="s">
        <v>7</v>
      </c>
      <c r="AM237" s="27" t="s">
        <v>8</v>
      </c>
      <c r="EU237" s="27" t="s">
        <v>8</v>
      </c>
      <c r="EV237" s="27" t="s">
        <v>7</v>
      </c>
      <c r="EW237" s="27" t="s">
        <v>8</v>
      </c>
      <c r="EX237" s="27" t="s">
        <v>7</v>
      </c>
      <c r="FB237" s="27" t="s">
        <v>7</v>
      </c>
      <c r="FC237" s="27" t="s">
        <v>8</v>
      </c>
      <c r="FD237" s="27" t="s">
        <v>7</v>
      </c>
      <c r="FE237" s="27" t="s">
        <v>8</v>
      </c>
      <c r="FF237" s="27" t="s">
        <v>7</v>
      </c>
      <c r="GU237" s="27" t="s">
        <v>8</v>
      </c>
      <c r="GV237" s="27" t="s">
        <v>7</v>
      </c>
      <c r="GW237" s="27" t="s">
        <v>8</v>
      </c>
      <c r="GX237" s="27" t="s">
        <v>7</v>
      </c>
      <c r="HC237" s="27" t="s">
        <v>8</v>
      </c>
      <c r="HD237" s="27" t="s">
        <v>7</v>
      </c>
    </row>
    <row r="238" spans="1:212" x14ac:dyDescent="0.25">
      <c r="A238" s="30">
        <v>1.1025</v>
      </c>
      <c r="E238" t="s">
        <v>8</v>
      </c>
      <c r="F238" s="27" t="s">
        <v>7</v>
      </c>
      <c r="AM238" s="27" t="s">
        <v>8</v>
      </c>
      <c r="AN238" s="27" t="s">
        <v>7</v>
      </c>
      <c r="EU238" s="27" t="s">
        <v>8</v>
      </c>
      <c r="EV238" s="27" t="s">
        <v>7</v>
      </c>
      <c r="EW238" s="27" t="s">
        <v>8</v>
      </c>
      <c r="FB238" s="27" t="s">
        <v>7</v>
      </c>
      <c r="FC238" s="27" t="s">
        <v>8</v>
      </c>
      <c r="FD238" s="27" t="s">
        <v>7</v>
      </c>
      <c r="FE238" s="27" t="s">
        <v>8</v>
      </c>
      <c r="FF238" s="27" t="s">
        <v>7</v>
      </c>
      <c r="GU238" s="27" t="s">
        <v>8</v>
      </c>
      <c r="GV238" s="27" t="s">
        <v>7</v>
      </c>
      <c r="GW238" s="27" t="s">
        <v>8</v>
      </c>
      <c r="GX238" s="27" t="s">
        <v>7</v>
      </c>
      <c r="HC238" s="27" t="s">
        <v>8</v>
      </c>
      <c r="HD238" s="27" t="s">
        <v>7</v>
      </c>
    </row>
    <row r="239" spans="1:212" x14ac:dyDescent="0.25">
      <c r="A239" s="30">
        <v>1.05</v>
      </c>
      <c r="E239" t="s">
        <v>8</v>
      </c>
      <c r="F239" s="27" t="s">
        <v>7</v>
      </c>
      <c r="AM239" s="27" t="s">
        <v>8</v>
      </c>
      <c r="AN239" s="27" t="s">
        <v>7</v>
      </c>
      <c r="EM239" s="27" t="s">
        <v>8</v>
      </c>
      <c r="EU239" s="27" t="s">
        <v>8</v>
      </c>
      <c r="EV239" s="27" t="s">
        <v>7</v>
      </c>
      <c r="FB239" s="27" t="s">
        <v>7</v>
      </c>
      <c r="FC239" s="27" t="s">
        <v>8</v>
      </c>
      <c r="FD239" s="27" t="s">
        <v>7</v>
      </c>
      <c r="FF239" s="27" t="s">
        <v>7</v>
      </c>
      <c r="GU239" s="27" t="s">
        <v>8</v>
      </c>
      <c r="GV239" s="27" t="s">
        <v>7</v>
      </c>
      <c r="GW239" s="27" t="s">
        <v>8</v>
      </c>
      <c r="GX239" s="27" t="s">
        <v>7</v>
      </c>
      <c r="GY239" s="27" t="s">
        <v>8</v>
      </c>
      <c r="HC239" s="27" t="s">
        <v>8</v>
      </c>
      <c r="HD239" s="27" t="s">
        <v>7</v>
      </c>
    </row>
    <row r="240" spans="1:212" x14ac:dyDescent="0.25">
      <c r="A240" s="30">
        <v>1</v>
      </c>
      <c r="E240" s="29" t="s">
        <v>8</v>
      </c>
      <c r="F240" s="27" t="s">
        <v>7</v>
      </c>
      <c r="AC240" s="27" t="s">
        <v>8</v>
      </c>
      <c r="AE240" s="27" t="s">
        <v>8</v>
      </c>
      <c r="AK240" s="27" t="s">
        <v>8</v>
      </c>
      <c r="AM240" s="27" t="s">
        <v>8</v>
      </c>
      <c r="AN240" s="27" t="s">
        <v>7</v>
      </c>
      <c r="EM240" s="27" t="s">
        <v>8</v>
      </c>
      <c r="EN240" s="27" t="s">
        <v>7</v>
      </c>
      <c r="ES240" s="27" t="s">
        <v>8</v>
      </c>
      <c r="EU240" s="27" t="s">
        <v>8</v>
      </c>
      <c r="FB240" s="27" t="s">
        <v>7</v>
      </c>
      <c r="FC240" s="27" t="s">
        <v>8</v>
      </c>
      <c r="FF240" s="27" t="s">
        <v>7</v>
      </c>
      <c r="GU240" s="27" t="s">
        <v>8</v>
      </c>
      <c r="GV240" s="27" t="s">
        <v>7</v>
      </c>
      <c r="GW240" s="27" t="s">
        <v>8</v>
      </c>
      <c r="GX240" s="27" t="s">
        <v>7</v>
      </c>
      <c r="GY240" s="27" t="s">
        <v>8</v>
      </c>
      <c r="GZ240" s="27" t="s">
        <v>7</v>
      </c>
      <c r="HC240" s="27" t="s">
        <v>8</v>
      </c>
      <c r="HD240" s="27" t="s">
        <v>7</v>
      </c>
    </row>
    <row r="241" spans="1:214" x14ac:dyDescent="0.25">
      <c r="A241" s="30">
        <v>0.952380952380952</v>
      </c>
      <c r="B241"/>
      <c r="C241"/>
      <c r="D241"/>
      <c r="E241"/>
      <c r="F241" s="27" t="s">
        <v>7</v>
      </c>
      <c r="AC241" s="27" t="s">
        <v>8</v>
      </c>
      <c r="AD241" s="27" t="s">
        <v>7</v>
      </c>
      <c r="AE241" s="27" t="s">
        <v>8</v>
      </c>
      <c r="AF241" s="27" t="s">
        <v>7</v>
      </c>
      <c r="AK241" s="27" t="s">
        <v>8</v>
      </c>
      <c r="AL241" s="27" t="s">
        <v>7</v>
      </c>
      <c r="AM241" s="27" t="s">
        <v>8</v>
      </c>
      <c r="AN241" s="27" t="s">
        <v>7</v>
      </c>
      <c r="AO241" s="27" t="s">
        <v>8</v>
      </c>
      <c r="EM241" s="27" t="s">
        <v>8</v>
      </c>
      <c r="EN241" s="27" t="s">
        <v>7</v>
      </c>
      <c r="EO241" s="27" t="s">
        <v>8</v>
      </c>
      <c r="EQ241" s="27" t="s">
        <v>8</v>
      </c>
      <c r="ES241" s="27" t="s">
        <v>8</v>
      </c>
      <c r="ET241" s="27" t="s">
        <v>7</v>
      </c>
      <c r="EU241" s="27" t="s">
        <v>8</v>
      </c>
      <c r="FB241" s="27" t="s">
        <v>7</v>
      </c>
      <c r="FC241" s="27" t="s">
        <v>8</v>
      </c>
      <c r="FF241" s="27" t="s">
        <v>7</v>
      </c>
      <c r="GU241" s="27" t="s">
        <v>8</v>
      </c>
      <c r="GV241" s="27" t="s">
        <v>7</v>
      </c>
      <c r="GW241" s="27" t="s">
        <v>8</v>
      </c>
      <c r="GX241" s="27" t="s">
        <v>7</v>
      </c>
      <c r="GY241" s="27" t="s">
        <v>8</v>
      </c>
      <c r="GZ241" s="27" t="s">
        <v>7</v>
      </c>
      <c r="HC241" s="27" t="s">
        <v>8</v>
      </c>
      <c r="HD241" s="27" t="s">
        <v>7</v>
      </c>
    </row>
    <row r="242" spans="1:214" x14ac:dyDescent="0.25">
      <c r="A242" s="30">
        <v>0.90702947845804915</v>
      </c>
      <c r="B242"/>
      <c r="C242"/>
      <c r="D242"/>
      <c r="E242"/>
      <c r="F242" s="27" t="s">
        <v>7</v>
      </c>
      <c r="AC242" s="27" t="s">
        <v>8</v>
      </c>
      <c r="AD242" s="27" t="s">
        <v>7</v>
      </c>
      <c r="AE242" s="27" t="s">
        <v>8</v>
      </c>
      <c r="AF242" s="27" t="s">
        <v>7</v>
      </c>
      <c r="AK242" s="27" t="s">
        <v>8</v>
      </c>
      <c r="AL242" s="27" t="s">
        <v>7</v>
      </c>
      <c r="AM242" s="27" t="s">
        <v>8</v>
      </c>
      <c r="AN242" s="27" t="s">
        <v>7</v>
      </c>
      <c r="AO242" s="27" t="s">
        <v>8</v>
      </c>
      <c r="AP242" s="27" t="s">
        <v>7</v>
      </c>
      <c r="EM242" s="27" t="s">
        <v>8</v>
      </c>
      <c r="EN242" s="27" t="s">
        <v>7</v>
      </c>
      <c r="EO242" s="27" t="s">
        <v>8</v>
      </c>
      <c r="EP242" s="27" t="s">
        <v>7</v>
      </c>
      <c r="EQ242" s="27" t="s">
        <v>8</v>
      </c>
      <c r="ER242" s="27" t="s">
        <v>7</v>
      </c>
      <c r="ES242" s="27" t="s">
        <v>8</v>
      </c>
      <c r="ET242" s="27" t="s">
        <v>7</v>
      </c>
      <c r="EU242" s="27" t="s">
        <v>8</v>
      </c>
      <c r="FB242" s="27" t="s">
        <v>7</v>
      </c>
      <c r="FC242" s="27" t="s">
        <v>8</v>
      </c>
      <c r="FF242" s="27" t="s">
        <v>7</v>
      </c>
      <c r="GU242" s="27" t="s">
        <v>8</v>
      </c>
      <c r="GV242" s="27" t="s">
        <v>7</v>
      </c>
      <c r="GW242" s="27" t="s">
        <v>8</v>
      </c>
      <c r="GX242" s="27" t="s">
        <v>7</v>
      </c>
      <c r="GY242" s="27" t="s">
        <v>8</v>
      </c>
      <c r="GZ242" s="27" t="s">
        <v>7</v>
      </c>
      <c r="HA242" s="27" t="s">
        <v>8</v>
      </c>
      <c r="HC242" s="27" t="s">
        <v>8</v>
      </c>
      <c r="HD242" s="27" t="s">
        <v>7</v>
      </c>
    </row>
    <row r="243" spans="1:214" x14ac:dyDescent="0.25">
      <c r="A243" s="30">
        <v>0.86383759853147501</v>
      </c>
      <c r="B243"/>
      <c r="C243"/>
      <c r="D243"/>
      <c r="E243"/>
      <c r="F243" s="27" t="s">
        <v>7</v>
      </c>
      <c r="AC243" s="27" t="s">
        <v>8</v>
      </c>
      <c r="AD243" s="27" t="s">
        <v>7</v>
      </c>
      <c r="AE243" s="27" t="s">
        <v>8</v>
      </c>
      <c r="AF243" s="27" t="s">
        <v>7</v>
      </c>
      <c r="AK243" s="27" t="s">
        <v>8</v>
      </c>
      <c r="AL243" s="27" t="s">
        <v>7</v>
      </c>
      <c r="AN243" s="27" t="s">
        <v>7</v>
      </c>
      <c r="AO243" s="27" t="s">
        <v>8</v>
      </c>
      <c r="AP243" s="27" t="s">
        <v>7</v>
      </c>
      <c r="EM243" s="27" t="s">
        <v>8</v>
      </c>
      <c r="EN243" s="27" t="s">
        <v>7</v>
      </c>
      <c r="EO243" s="27" t="s">
        <v>8</v>
      </c>
      <c r="EP243" s="27" t="s">
        <v>7</v>
      </c>
      <c r="EQ243" s="27" t="s">
        <v>8</v>
      </c>
      <c r="ER243" s="27" t="s">
        <v>7</v>
      </c>
      <c r="ES243" s="27" t="s">
        <v>8</v>
      </c>
      <c r="ET243" s="27" t="s">
        <v>7</v>
      </c>
      <c r="EU243" s="27" t="s">
        <v>8</v>
      </c>
      <c r="FB243" s="27" t="s">
        <v>7</v>
      </c>
      <c r="FC243" s="27" t="s">
        <v>8</v>
      </c>
      <c r="FF243" s="27" t="s">
        <v>7</v>
      </c>
      <c r="GU243" s="27" t="s">
        <v>8</v>
      </c>
      <c r="GV243" s="27" t="s">
        <v>7</v>
      </c>
      <c r="GW243" s="27" t="s">
        <v>8</v>
      </c>
      <c r="GX243" s="27" t="s">
        <v>7</v>
      </c>
      <c r="GY243" s="27" t="s">
        <v>8</v>
      </c>
      <c r="GZ243" s="27" t="s">
        <v>7</v>
      </c>
      <c r="HA243" s="27" t="s">
        <v>8</v>
      </c>
      <c r="HB243" s="27" t="s">
        <v>7</v>
      </c>
      <c r="HC243" s="27" t="s">
        <v>8</v>
      </c>
      <c r="HD243" s="27" t="s">
        <v>7</v>
      </c>
    </row>
    <row r="244" spans="1:214" x14ac:dyDescent="0.25">
      <c r="A244" s="30">
        <v>0.82270247479188063</v>
      </c>
      <c r="B244"/>
      <c r="C244"/>
      <c r="D244"/>
      <c r="E244"/>
      <c r="F244" s="27" t="s">
        <v>7</v>
      </c>
      <c r="AA244" s="27" t="s">
        <v>8</v>
      </c>
      <c r="AC244" s="27" t="s">
        <v>8</v>
      </c>
      <c r="AD244" s="27" t="s">
        <v>7</v>
      </c>
      <c r="AE244" s="27" t="s">
        <v>8</v>
      </c>
      <c r="AF244" s="27" t="s">
        <v>7</v>
      </c>
      <c r="AG244" s="27" t="s">
        <v>8</v>
      </c>
      <c r="AI244" s="27" t="s">
        <v>8</v>
      </c>
      <c r="AK244" s="27" t="s">
        <v>8</v>
      </c>
      <c r="AN244" s="27" t="s">
        <v>7</v>
      </c>
      <c r="AP244" s="27" t="s">
        <v>7</v>
      </c>
      <c r="EM244" s="27" t="s">
        <v>8</v>
      </c>
      <c r="EN244" s="27" t="s">
        <v>7</v>
      </c>
      <c r="EP244" s="27" t="s">
        <v>7</v>
      </c>
      <c r="ER244" s="27" t="s">
        <v>7</v>
      </c>
      <c r="ET244" s="27" t="s">
        <v>7</v>
      </c>
      <c r="EU244" s="27" t="s">
        <v>8</v>
      </c>
      <c r="FB244" s="27" t="s">
        <v>7</v>
      </c>
      <c r="FF244" s="27" t="s">
        <v>7</v>
      </c>
      <c r="GU244" s="27" t="s">
        <v>8</v>
      </c>
      <c r="GV244" s="27" t="s">
        <v>7</v>
      </c>
      <c r="GW244" s="27" t="s">
        <v>8</v>
      </c>
      <c r="GX244" s="27" t="s">
        <v>7</v>
      </c>
      <c r="GY244" s="27" t="s">
        <v>8</v>
      </c>
      <c r="GZ244" s="27" t="s">
        <v>7</v>
      </c>
      <c r="HA244" s="27" t="s">
        <v>8</v>
      </c>
      <c r="HB244" s="27" t="s">
        <v>7</v>
      </c>
      <c r="HC244" s="27" t="s">
        <v>8</v>
      </c>
      <c r="HD244" s="27" t="s">
        <v>7</v>
      </c>
    </row>
    <row r="245" spans="1:214" x14ac:dyDescent="0.25">
      <c r="A245" s="30">
        <v>0.78352616646845741</v>
      </c>
      <c r="B245"/>
      <c r="C245"/>
      <c r="D245"/>
      <c r="E245"/>
      <c r="F245" s="27" t="s">
        <v>7</v>
      </c>
      <c r="AA245" s="27" t="s">
        <v>8</v>
      </c>
      <c r="AB245" s="27" t="s">
        <v>7</v>
      </c>
      <c r="AC245" s="27" t="s">
        <v>8</v>
      </c>
      <c r="AD245" s="27" t="s">
        <v>7</v>
      </c>
      <c r="AF245" s="27" t="s">
        <v>7</v>
      </c>
      <c r="AG245" s="27" t="s">
        <v>8</v>
      </c>
      <c r="AH245" s="27" t="s">
        <v>7</v>
      </c>
      <c r="AI245" s="27" t="s">
        <v>8</v>
      </c>
      <c r="AJ245" s="27" t="s">
        <v>7</v>
      </c>
      <c r="AK245" s="27" t="s">
        <v>8</v>
      </c>
      <c r="AP245" s="27" t="s">
        <v>7</v>
      </c>
      <c r="EA245" s="27" t="s">
        <v>8</v>
      </c>
      <c r="EM245" s="27" t="s">
        <v>8</v>
      </c>
      <c r="ET245" s="27" t="s">
        <v>7</v>
      </c>
      <c r="FF245" s="27" t="s">
        <v>7</v>
      </c>
      <c r="GU245" s="27" t="s">
        <v>8</v>
      </c>
      <c r="GV245" s="27" t="s">
        <v>7</v>
      </c>
      <c r="GW245" s="27" t="s">
        <v>8</v>
      </c>
      <c r="GX245" s="27" t="s">
        <v>7</v>
      </c>
      <c r="GY245" s="27" t="s">
        <v>8</v>
      </c>
      <c r="GZ245" s="27" t="s">
        <v>7</v>
      </c>
      <c r="HB245" s="27" t="s">
        <v>7</v>
      </c>
      <c r="HD245" s="27" t="s">
        <v>7</v>
      </c>
    </row>
    <row r="246" spans="1:214" x14ac:dyDescent="0.25">
      <c r="A246" s="30">
        <v>0.74621539663662584</v>
      </c>
      <c r="B246"/>
      <c r="C246"/>
      <c r="D246"/>
      <c r="E246"/>
      <c r="F246" s="27" t="s">
        <v>7</v>
      </c>
      <c r="Y246" s="27" t="s">
        <v>8</v>
      </c>
      <c r="AA246" s="27" t="s">
        <v>8</v>
      </c>
      <c r="AB246" s="27" t="s">
        <v>7</v>
      </c>
      <c r="AC246" s="27" t="s">
        <v>8</v>
      </c>
      <c r="AF246" s="27" t="s">
        <v>7</v>
      </c>
      <c r="AG246" s="27" t="s">
        <v>8</v>
      </c>
      <c r="AH246" s="27" t="s">
        <v>7</v>
      </c>
      <c r="AI246" s="27" t="s">
        <v>8</v>
      </c>
      <c r="AJ246" s="27" t="s">
        <v>7</v>
      </c>
      <c r="AK246" s="27" t="s">
        <v>8</v>
      </c>
      <c r="AP246" s="27" t="s">
        <v>7</v>
      </c>
      <c r="EA246" s="27" t="s">
        <v>8</v>
      </c>
      <c r="EB246" s="27" t="s">
        <v>7</v>
      </c>
      <c r="EE246" s="27" t="s">
        <v>8</v>
      </c>
      <c r="EM246" s="27" t="s">
        <v>8</v>
      </c>
      <c r="FF246" s="27" t="s">
        <v>7</v>
      </c>
      <c r="GK246" s="27" t="s">
        <v>8</v>
      </c>
      <c r="GU246" s="27" t="s">
        <v>8</v>
      </c>
      <c r="GV246" s="27" t="s">
        <v>7</v>
      </c>
      <c r="GW246" s="27" t="s">
        <v>8</v>
      </c>
      <c r="GX246" s="27" t="s">
        <v>7</v>
      </c>
      <c r="GY246" s="27" t="s">
        <v>8</v>
      </c>
      <c r="HD246" s="27" t="s">
        <v>7</v>
      </c>
      <c r="HE246" s="27" t="s">
        <v>8</v>
      </c>
    </row>
    <row r="247" spans="1:214" x14ac:dyDescent="0.25">
      <c r="A247" s="30">
        <v>0.71068133013011958</v>
      </c>
      <c r="B247"/>
      <c r="C247"/>
      <c r="D247"/>
      <c r="E247"/>
      <c r="F247" s="27" t="s">
        <v>7</v>
      </c>
      <c r="Y247" s="27" t="s">
        <v>8</v>
      </c>
      <c r="Z247" s="27" t="s">
        <v>7</v>
      </c>
      <c r="AA247" s="27" t="s">
        <v>8</v>
      </c>
      <c r="AB247" s="27" t="s">
        <v>7</v>
      </c>
      <c r="AF247" s="27" t="s">
        <v>7</v>
      </c>
      <c r="AG247" s="27" t="s">
        <v>8</v>
      </c>
      <c r="AH247" s="27" t="s">
        <v>7</v>
      </c>
      <c r="AI247" s="27" t="s">
        <v>8</v>
      </c>
      <c r="AJ247" s="27" t="s">
        <v>7</v>
      </c>
      <c r="AP247" s="27" t="s">
        <v>7</v>
      </c>
      <c r="CK247" s="27" t="s">
        <v>8</v>
      </c>
      <c r="EA247" s="27" t="s">
        <v>8</v>
      </c>
      <c r="EB247" s="27" t="s">
        <v>7</v>
      </c>
      <c r="EC247" s="27" t="s">
        <v>8</v>
      </c>
      <c r="EE247" s="27" t="s">
        <v>8</v>
      </c>
      <c r="EF247" s="27" t="s">
        <v>7</v>
      </c>
      <c r="EM247" s="27" t="s">
        <v>8</v>
      </c>
      <c r="FF247" s="27" t="s">
        <v>7</v>
      </c>
      <c r="GA247" s="27" t="s">
        <v>8</v>
      </c>
      <c r="GK247" s="27" t="s">
        <v>8</v>
      </c>
      <c r="GL247" s="27" t="s">
        <v>7</v>
      </c>
      <c r="GO247" s="27" t="s">
        <v>8</v>
      </c>
      <c r="GU247" s="27" t="s">
        <v>8</v>
      </c>
      <c r="GV247" s="27" t="s">
        <v>7</v>
      </c>
      <c r="GW247" s="27" t="s">
        <v>8</v>
      </c>
      <c r="GX247" s="27" t="s">
        <v>7</v>
      </c>
      <c r="GY247" s="27" t="s">
        <v>8</v>
      </c>
      <c r="HD247" s="27" t="s">
        <v>7</v>
      </c>
      <c r="HE247" s="27" t="s">
        <v>8</v>
      </c>
      <c r="HF247" s="27" t="s">
        <v>7</v>
      </c>
    </row>
    <row r="248" spans="1:214" x14ac:dyDescent="0.25">
      <c r="A248" s="30">
        <v>0.676839362028685</v>
      </c>
      <c r="B248"/>
      <c r="C248"/>
      <c r="D248"/>
      <c r="E248"/>
      <c r="F248" s="27" t="s">
        <v>7</v>
      </c>
      <c r="G248" s="27" t="s">
        <v>8</v>
      </c>
      <c r="Y248" s="27" t="s">
        <v>8</v>
      </c>
      <c r="Z248" s="27" t="s">
        <v>7</v>
      </c>
      <c r="AA248" s="27" t="s">
        <v>8</v>
      </c>
      <c r="AF248" s="27" t="s">
        <v>7</v>
      </c>
      <c r="AG248" s="27" t="s">
        <v>8</v>
      </c>
      <c r="AH248" s="27" t="s">
        <v>7</v>
      </c>
      <c r="AI248" s="27" t="s">
        <v>8</v>
      </c>
      <c r="AP248" s="27" t="s">
        <v>7</v>
      </c>
      <c r="CK248" s="27" t="s">
        <v>8</v>
      </c>
      <c r="CL248" s="27" t="s">
        <v>7</v>
      </c>
      <c r="EA248" s="27" t="s">
        <v>8</v>
      </c>
      <c r="EB248" s="27" t="s">
        <v>7</v>
      </c>
      <c r="EC248" s="27" t="s">
        <v>8</v>
      </c>
      <c r="ED248" s="27" t="s">
        <v>7</v>
      </c>
      <c r="EE248" s="27" t="s">
        <v>8</v>
      </c>
      <c r="EF248" s="27" t="s">
        <v>7</v>
      </c>
      <c r="EM248" s="27" t="s">
        <v>8</v>
      </c>
      <c r="FF248" s="27" t="s">
        <v>7</v>
      </c>
      <c r="FG248" s="27" t="s">
        <v>8</v>
      </c>
      <c r="FO248" s="27" t="s">
        <v>8</v>
      </c>
      <c r="FW248" s="27" t="s">
        <v>8</v>
      </c>
      <c r="FY248" s="27" t="s">
        <v>8</v>
      </c>
      <c r="GA248" s="27" t="s">
        <v>8</v>
      </c>
      <c r="GB248" s="27" t="s">
        <v>7</v>
      </c>
      <c r="GG248" s="27" t="s">
        <v>8</v>
      </c>
      <c r="GK248" s="27" t="s">
        <v>8</v>
      </c>
      <c r="GL248" s="27" t="s">
        <v>7</v>
      </c>
      <c r="GO248" s="27" t="s">
        <v>8</v>
      </c>
      <c r="GP248" s="27" t="s">
        <v>7</v>
      </c>
      <c r="GQ248" s="27" t="s">
        <v>8</v>
      </c>
      <c r="GS248" s="27" t="s">
        <v>8</v>
      </c>
      <c r="GU248" s="27" t="s">
        <v>8</v>
      </c>
      <c r="GV248" s="27" t="s">
        <v>7</v>
      </c>
      <c r="GW248" s="27" t="s">
        <v>8</v>
      </c>
      <c r="GX248" s="27" t="s">
        <v>7</v>
      </c>
      <c r="HD248" s="27" t="s">
        <v>7</v>
      </c>
      <c r="HE248" s="27" t="s">
        <v>8</v>
      </c>
      <c r="HF248" s="27" t="s">
        <v>7</v>
      </c>
    </row>
    <row r="249" spans="1:214" x14ac:dyDescent="0.25">
      <c r="A249" s="30">
        <v>0.64460891621779492</v>
      </c>
      <c r="B249"/>
      <c r="C249"/>
      <c r="D249"/>
      <c r="E249"/>
      <c r="F249" s="27" t="s">
        <v>7</v>
      </c>
      <c r="G249" s="27" t="s">
        <v>8</v>
      </c>
      <c r="H249" s="27" t="s">
        <v>7</v>
      </c>
      <c r="W249" s="27" t="s">
        <v>8</v>
      </c>
      <c r="Y249" s="27" t="s">
        <v>8</v>
      </c>
      <c r="Z249" s="27" t="s">
        <v>7</v>
      </c>
      <c r="AA249" s="27" t="s">
        <v>8</v>
      </c>
      <c r="AF249" s="27" t="s">
        <v>7</v>
      </c>
      <c r="AG249" s="27" t="s">
        <v>8</v>
      </c>
      <c r="AH249" s="27" t="s">
        <v>7</v>
      </c>
      <c r="AP249" s="27" t="s">
        <v>7</v>
      </c>
      <c r="CK249" s="27" t="s">
        <v>8</v>
      </c>
      <c r="CL249" s="27" t="s">
        <v>7</v>
      </c>
      <c r="EA249" s="27" t="s">
        <v>8</v>
      </c>
      <c r="EB249" s="27" t="s">
        <v>7</v>
      </c>
      <c r="EC249" s="27" t="s">
        <v>8</v>
      </c>
      <c r="ED249" s="27" t="s">
        <v>7</v>
      </c>
      <c r="EE249" s="27" t="s">
        <v>8</v>
      </c>
      <c r="EF249" s="27" t="s">
        <v>7</v>
      </c>
      <c r="EM249" s="27" t="s">
        <v>8</v>
      </c>
      <c r="FF249" s="27" t="s">
        <v>7</v>
      </c>
      <c r="FG249" s="27" t="s">
        <v>8</v>
      </c>
      <c r="FH249" s="27" t="s">
        <v>7</v>
      </c>
      <c r="FI249" s="27" t="s">
        <v>8</v>
      </c>
      <c r="FK249" s="27" t="s">
        <v>8</v>
      </c>
      <c r="FM249" s="27" t="s">
        <v>8</v>
      </c>
      <c r="FO249" s="27" t="s">
        <v>8</v>
      </c>
      <c r="FP249" s="27" t="s">
        <v>7</v>
      </c>
      <c r="FW249" s="27" t="s">
        <v>8</v>
      </c>
      <c r="FX249" s="27" t="s">
        <v>7</v>
      </c>
      <c r="FY249" s="27" t="s">
        <v>8</v>
      </c>
      <c r="FZ249" s="27" t="s">
        <v>7</v>
      </c>
      <c r="GA249" s="27" t="s">
        <v>8</v>
      </c>
      <c r="GB249" s="27" t="s">
        <v>7</v>
      </c>
      <c r="GG249" s="27" t="s">
        <v>8</v>
      </c>
      <c r="GH249" s="27" t="s">
        <v>7</v>
      </c>
      <c r="GK249" s="27" t="s">
        <v>8</v>
      </c>
      <c r="GL249" s="27" t="s">
        <v>7</v>
      </c>
      <c r="GM249" s="27" t="s">
        <v>8</v>
      </c>
      <c r="GO249" s="27" t="s">
        <v>8</v>
      </c>
      <c r="GP249" s="27" t="s">
        <v>7</v>
      </c>
      <c r="GQ249" s="27" t="s">
        <v>8</v>
      </c>
      <c r="GR249" s="27" t="s">
        <v>7</v>
      </c>
      <c r="GS249" s="27" t="s">
        <v>8</v>
      </c>
      <c r="GT249" s="27" t="s">
        <v>7</v>
      </c>
      <c r="GU249" s="27" t="s">
        <v>8</v>
      </c>
      <c r="GV249" s="27" t="s">
        <v>7</v>
      </c>
      <c r="GW249" s="27" t="s">
        <v>8</v>
      </c>
      <c r="HD249" s="27" t="s">
        <v>7</v>
      </c>
      <c r="HE249" s="27" t="s">
        <v>8</v>
      </c>
      <c r="HF249" s="27" t="s">
        <v>7</v>
      </c>
    </row>
    <row r="250" spans="1:214" x14ac:dyDescent="0.25">
      <c r="A250" s="30">
        <v>0.61391325354075688</v>
      </c>
      <c r="B250"/>
      <c r="C250"/>
      <c r="D250"/>
      <c r="E250"/>
      <c r="F250" s="27" t="s">
        <v>7</v>
      </c>
      <c r="G250" s="27" t="s">
        <v>8</v>
      </c>
      <c r="H250" s="27" t="s">
        <v>7</v>
      </c>
      <c r="W250" s="27" t="s">
        <v>8</v>
      </c>
      <c r="X250" s="27" t="s">
        <v>7</v>
      </c>
      <c r="Y250" s="27" t="s">
        <v>8</v>
      </c>
      <c r="Z250" s="27" t="s">
        <v>7</v>
      </c>
      <c r="AF250" s="27" t="s">
        <v>7</v>
      </c>
      <c r="AG250" s="27" t="s">
        <v>8</v>
      </c>
      <c r="AP250" s="27" t="s">
        <v>7</v>
      </c>
      <c r="AQ250" s="27" t="s">
        <v>8</v>
      </c>
      <c r="CK250" s="27" t="s">
        <v>8</v>
      </c>
      <c r="CL250" s="27" t="s">
        <v>7</v>
      </c>
      <c r="EA250" s="27" t="s">
        <v>8</v>
      </c>
      <c r="EB250" s="27" t="s">
        <v>7</v>
      </c>
      <c r="EC250" s="27" t="s">
        <v>8</v>
      </c>
      <c r="ED250" s="27" t="s">
        <v>7</v>
      </c>
      <c r="EF250" s="27" t="s">
        <v>7</v>
      </c>
      <c r="EM250" s="27" t="s">
        <v>8</v>
      </c>
      <c r="FF250" s="27" t="s">
        <v>7</v>
      </c>
      <c r="FG250" s="27" t="s">
        <v>8</v>
      </c>
      <c r="FH250" s="27" t="s">
        <v>7</v>
      </c>
      <c r="FI250" s="27" t="s">
        <v>8</v>
      </c>
      <c r="FJ250" s="27" t="s">
        <v>7</v>
      </c>
      <c r="FK250" s="27" t="s">
        <v>8</v>
      </c>
      <c r="FL250" s="27" t="s">
        <v>7</v>
      </c>
      <c r="FM250" s="27" t="s">
        <v>8</v>
      </c>
      <c r="FN250" s="27" t="s">
        <v>7</v>
      </c>
      <c r="FO250" s="27" t="s">
        <v>8</v>
      </c>
      <c r="FP250" s="27" t="s">
        <v>7</v>
      </c>
      <c r="FW250" s="27" t="s">
        <v>8</v>
      </c>
      <c r="FX250" s="27" t="s">
        <v>7</v>
      </c>
      <c r="FY250" s="27" t="s">
        <v>8</v>
      </c>
      <c r="FZ250" s="27" t="s">
        <v>7</v>
      </c>
      <c r="GA250" s="27" t="s">
        <v>8</v>
      </c>
      <c r="GB250" s="27" t="s">
        <v>7</v>
      </c>
      <c r="GC250" s="27" t="s">
        <v>8</v>
      </c>
      <c r="GE250" s="27" t="s">
        <v>8</v>
      </c>
      <c r="GG250" s="27" t="s">
        <v>8</v>
      </c>
      <c r="GH250" s="27" t="s">
        <v>7</v>
      </c>
      <c r="GK250" s="27" t="s">
        <v>8</v>
      </c>
      <c r="GL250" s="27" t="s">
        <v>7</v>
      </c>
      <c r="GM250" s="27" t="s">
        <v>8</v>
      </c>
      <c r="GN250" s="27" t="s">
        <v>7</v>
      </c>
      <c r="GO250" s="27" t="s">
        <v>8</v>
      </c>
      <c r="GP250" s="27" t="s">
        <v>7</v>
      </c>
      <c r="GQ250" s="27" t="s">
        <v>8</v>
      </c>
      <c r="GR250" s="27" t="s">
        <v>7</v>
      </c>
      <c r="GS250" s="27" t="s">
        <v>8</v>
      </c>
      <c r="GT250" s="27" t="s">
        <v>7</v>
      </c>
      <c r="GU250" s="27" t="s">
        <v>8</v>
      </c>
      <c r="GV250" s="27" t="s">
        <v>7</v>
      </c>
      <c r="HD250" s="27" t="s">
        <v>7</v>
      </c>
      <c r="HE250" s="27" t="s">
        <v>8</v>
      </c>
      <c r="HF250" s="27" t="s">
        <v>7</v>
      </c>
    </row>
    <row r="251" spans="1:214" x14ac:dyDescent="0.25">
      <c r="A251" s="30">
        <v>0.58467928908643485</v>
      </c>
      <c r="B251"/>
      <c r="C251"/>
      <c r="D251"/>
      <c r="E251"/>
      <c r="F251" s="27" t="s">
        <v>7</v>
      </c>
      <c r="G251" s="27" t="s">
        <v>8</v>
      </c>
      <c r="H251" s="27" t="s">
        <v>7</v>
      </c>
      <c r="W251" s="27" t="s">
        <v>8</v>
      </c>
      <c r="X251" s="27" t="s">
        <v>7</v>
      </c>
      <c r="Y251" s="27" t="s">
        <v>8</v>
      </c>
      <c r="AF251" s="27" t="s">
        <v>7</v>
      </c>
      <c r="AP251" s="27" t="s">
        <v>7</v>
      </c>
      <c r="AQ251" s="27" t="s">
        <v>8</v>
      </c>
      <c r="AR251" s="27" t="s">
        <v>7</v>
      </c>
      <c r="AU251" s="27" t="s">
        <v>8</v>
      </c>
      <c r="CK251" s="27" t="s">
        <v>8</v>
      </c>
      <c r="CL251" s="27" t="s">
        <v>7</v>
      </c>
      <c r="EA251" s="27" t="s">
        <v>8</v>
      </c>
      <c r="EB251" s="27" t="s">
        <v>7</v>
      </c>
      <c r="EF251" s="27" t="s">
        <v>7</v>
      </c>
      <c r="EK251" s="27" t="s">
        <v>8</v>
      </c>
      <c r="EM251" s="27" t="s">
        <v>8</v>
      </c>
      <c r="FF251" s="27" t="s">
        <v>7</v>
      </c>
      <c r="FG251" s="27" t="s">
        <v>8</v>
      </c>
      <c r="FH251" s="27" t="s">
        <v>7</v>
      </c>
      <c r="FI251" s="27" t="s">
        <v>8</v>
      </c>
      <c r="FJ251" s="27" t="s">
        <v>7</v>
      </c>
      <c r="FK251" s="27" t="s">
        <v>8</v>
      </c>
      <c r="FL251" s="27" t="s">
        <v>7</v>
      </c>
      <c r="FM251" s="27" t="s">
        <v>8</v>
      </c>
      <c r="FN251" s="27" t="s">
        <v>7</v>
      </c>
      <c r="FO251" s="27" t="s">
        <v>8</v>
      </c>
      <c r="FP251" s="27" t="s">
        <v>7</v>
      </c>
      <c r="FW251" s="27" t="s">
        <v>8</v>
      </c>
      <c r="FX251" s="27" t="s">
        <v>7</v>
      </c>
      <c r="FY251" s="27" t="s">
        <v>8</v>
      </c>
      <c r="FZ251" s="27" t="s">
        <v>7</v>
      </c>
      <c r="GB251" s="27" t="s">
        <v>7</v>
      </c>
      <c r="GC251" s="27" t="s">
        <v>8</v>
      </c>
      <c r="GD251" s="27" t="s">
        <v>7</v>
      </c>
      <c r="GE251" s="27" t="s">
        <v>8</v>
      </c>
      <c r="GF251" s="27" t="s">
        <v>7</v>
      </c>
      <c r="GG251" s="27" t="s">
        <v>8</v>
      </c>
      <c r="GH251" s="27" t="s">
        <v>7</v>
      </c>
      <c r="GK251" s="27" t="s">
        <v>8</v>
      </c>
      <c r="GL251" s="27" t="s">
        <v>7</v>
      </c>
      <c r="GM251" s="27" t="s">
        <v>8</v>
      </c>
      <c r="GN251" s="27" t="s">
        <v>7</v>
      </c>
      <c r="GO251" s="27" t="s">
        <v>8</v>
      </c>
      <c r="GP251" s="27" t="s">
        <v>7</v>
      </c>
      <c r="GQ251" s="27" t="s">
        <v>8</v>
      </c>
      <c r="GR251" s="27" t="s">
        <v>7</v>
      </c>
      <c r="GS251" s="27" t="s">
        <v>8</v>
      </c>
      <c r="GT251" s="27" t="s">
        <v>7</v>
      </c>
      <c r="GU251" s="27" t="s">
        <v>8</v>
      </c>
      <c r="HD251" s="27" t="s">
        <v>7</v>
      </c>
      <c r="HF251" s="27" t="s">
        <v>7</v>
      </c>
    </row>
    <row r="252" spans="1:214" x14ac:dyDescent="0.25">
      <c r="A252" s="30">
        <v>0.55683741817755672</v>
      </c>
      <c r="B252"/>
      <c r="C252"/>
      <c r="D252"/>
      <c r="E252"/>
      <c r="F252" s="27" t="s">
        <v>7</v>
      </c>
      <c r="G252" s="27" t="s">
        <v>8</v>
      </c>
      <c r="H252" s="27" t="s">
        <v>7</v>
      </c>
      <c r="I252" s="27" t="s">
        <v>8</v>
      </c>
      <c r="Q252" s="27" t="s">
        <v>8</v>
      </c>
      <c r="W252" s="27" t="s">
        <v>8</v>
      </c>
      <c r="X252" s="27" t="s">
        <v>7</v>
      </c>
      <c r="Y252" s="27" t="s">
        <v>8</v>
      </c>
      <c r="AP252" s="27" t="s">
        <v>7</v>
      </c>
      <c r="AQ252" s="27" t="s">
        <v>8</v>
      </c>
      <c r="AR252" s="27" t="s">
        <v>7</v>
      </c>
      <c r="AU252" s="27" t="s">
        <v>8</v>
      </c>
      <c r="AV252" s="27" t="s">
        <v>7</v>
      </c>
      <c r="CI252" s="27" t="s">
        <v>8</v>
      </c>
      <c r="CK252" s="27" t="s">
        <v>8</v>
      </c>
      <c r="CL252" s="27" t="s">
        <v>7</v>
      </c>
      <c r="CO252" s="27" t="s">
        <v>8</v>
      </c>
      <c r="EA252" s="27" t="s">
        <v>8</v>
      </c>
      <c r="EF252" s="27" t="s">
        <v>7</v>
      </c>
      <c r="EK252" s="27" t="s">
        <v>8</v>
      </c>
      <c r="EL252" s="27" t="s">
        <v>7</v>
      </c>
      <c r="EM252" s="27" t="s">
        <v>8</v>
      </c>
      <c r="FF252" s="27" t="s">
        <v>7</v>
      </c>
      <c r="FG252" s="27" t="s">
        <v>8</v>
      </c>
      <c r="FH252" s="27" t="s">
        <v>7</v>
      </c>
      <c r="FJ252" s="27" t="s">
        <v>7</v>
      </c>
      <c r="FK252" s="27" t="s">
        <v>8</v>
      </c>
      <c r="FL252" s="27" t="s">
        <v>7</v>
      </c>
      <c r="FM252" s="27" t="s">
        <v>8</v>
      </c>
      <c r="FN252" s="27" t="s">
        <v>7</v>
      </c>
      <c r="FP252" s="27" t="s">
        <v>7</v>
      </c>
      <c r="FQ252" s="27" t="s">
        <v>8</v>
      </c>
      <c r="FW252" s="27" t="s">
        <v>8</v>
      </c>
      <c r="FX252" s="27" t="s">
        <v>7</v>
      </c>
      <c r="GB252" s="27" t="s">
        <v>7</v>
      </c>
      <c r="GC252" s="27" t="s">
        <v>8</v>
      </c>
      <c r="GD252" s="27" t="s">
        <v>7</v>
      </c>
      <c r="GE252" s="27" t="s">
        <v>8</v>
      </c>
      <c r="GF252" s="27" t="s">
        <v>7</v>
      </c>
      <c r="GG252" s="27" t="s">
        <v>8</v>
      </c>
      <c r="GH252" s="27" t="s">
        <v>7</v>
      </c>
      <c r="GK252" s="27" t="s">
        <v>8</v>
      </c>
      <c r="GL252" s="27" t="s">
        <v>7</v>
      </c>
      <c r="GM252" s="27" t="s">
        <v>8</v>
      </c>
      <c r="GN252" s="27" t="s">
        <v>7</v>
      </c>
      <c r="GO252" s="27" t="s">
        <v>8</v>
      </c>
      <c r="GP252" s="27" t="s">
        <v>7</v>
      </c>
      <c r="GQ252" s="27" t="s">
        <v>8</v>
      </c>
      <c r="GR252" s="27" t="s">
        <v>7</v>
      </c>
      <c r="GS252" s="27" t="s">
        <v>8</v>
      </c>
      <c r="GT252" s="27" t="s">
        <v>7</v>
      </c>
      <c r="GU252" s="27" t="s">
        <v>8</v>
      </c>
      <c r="HF252" s="27" t="s">
        <v>7</v>
      </c>
    </row>
    <row r="253" spans="1:214" x14ac:dyDescent="0.25">
      <c r="A253" s="30">
        <v>0.53032135064529184</v>
      </c>
      <c r="B253"/>
      <c r="C253"/>
      <c r="D253"/>
      <c r="E253"/>
      <c r="F253" s="27" t="s">
        <v>7</v>
      </c>
      <c r="G253" s="27" t="s">
        <v>8</v>
      </c>
      <c r="H253" s="27" t="s">
        <v>7</v>
      </c>
      <c r="I253" s="27" t="s">
        <v>8</v>
      </c>
      <c r="J253" s="27" t="s">
        <v>7</v>
      </c>
      <c r="M253" s="27" t="s">
        <v>8</v>
      </c>
      <c r="Q253" s="27" t="s">
        <v>8</v>
      </c>
      <c r="R253" s="27" t="s">
        <v>7</v>
      </c>
      <c r="W253" s="27" t="s">
        <v>8</v>
      </c>
      <c r="X253" s="27" t="s">
        <v>7</v>
      </c>
      <c r="Y253" s="27" t="s">
        <v>8</v>
      </c>
      <c r="AP253" s="27" t="s">
        <v>7</v>
      </c>
      <c r="AQ253" s="27" t="s">
        <v>8</v>
      </c>
      <c r="AR253" s="27" t="s">
        <v>7</v>
      </c>
      <c r="AU253" s="27" t="s">
        <v>8</v>
      </c>
      <c r="AV253" s="27" t="s">
        <v>7</v>
      </c>
      <c r="AW253" s="27" t="s">
        <v>8</v>
      </c>
      <c r="CI253" s="27" t="s">
        <v>8</v>
      </c>
      <c r="CJ253" s="27" t="s">
        <v>7</v>
      </c>
      <c r="CK253" s="27" t="s">
        <v>8</v>
      </c>
      <c r="CL253" s="27" t="s">
        <v>7</v>
      </c>
      <c r="CO253" s="27" t="s">
        <v>8</v>
      </c>
      <c r="CP253" s="27" t="s">
        <v>7</v>
      </c>
      <c r="EA253" s="27" t="s">
        <v>8</v>
      </c>
      <c r="EF253" s="27" t="s">
        <v>7</v>
      </c>
      <c r="EG253" s="27" t="s">
        <v>8</v>
      </c>
      <c r="EK253" s="27" t="s">
        <v>8</v>
      </c>
      <c r="EL253" s="27" t="s">
        <v>7</v>
      </c>
      <c r="EM253" s="27" t="s">
        <v>8</v>
      </c>
      <c r="FF253" s="27" t="s">
        <v>7</v>
      </c>
      <c r="FG253" s="27" t="s">
        <v>8</v>
      </c>
      <c r="FJ253" s="27" t="s">
        <v>7</v>
      </c>
      <c r="FK253" s="27" t="s">
        <v>8</v>
      </c>
      <c r="FL253" s="27" t="s">
        <v>7</v>
      </c>
      <c r="FM253" s="27" t="s">
        <v>8</v>
      </c>
      <c r="FP253" s="27" t="s">
        <v>7</v>
      </c>
      <c r="FQ253" s="27" t="s">
        <v>8</v>
      </c>
      <c r="FR253" s="27" t="s">
        <v>7</v>
      </c>
      <c r="FW253" s="27" t="s">
        <v>8</v>
      </c>
      <c r="GB253" s="27" t="s">
        <v>7</v>
      </c>
      <c r="GC253" s="27" t="s">
        <v>8</v>
      </c>
      <c r="GD253" s="27" t="s">
        <v>7</v>
      </c>
      <c r="GE253" s="27" t="s">
        <v>8</v>
      </c>
      <c r="GF253" s="27" t="s">
        <v>7</v>
      </c>
      <c r="GG253" s="27" t="s">
        <v>8</v>
      </c>
      <c r="GH253" s="27" t="s">
        <v>7</v>
      </c>
      <c r="GK253" s="27" t="s">
        <v>8</v>
      </c>
      <c r="GL253" s="27" t="s">
        <v>7</v>
      </c>
      <c r="GM253" s="27" t="s">
        <v>8</v>
      </c>
      <c r="GN253" s="27" t="s">
        <v>7</v>
      </c>
      <c r="GO253" s="27" t="s">
        <v>8</v>
      </c>
      <c r="GP253" s="27" t="s">
        <v>7</v>
      </c>
      <c r="GR253" s="27" t="s">
        <v>7</v>
      </c>
      <c r="GS253" s="27" t="s">
        <v>8</v>
      </c>
      <c r="GT253" s="27" t="s">
        <v>7</v>
      </c>
      <c r="GU253" s="27" t="s">
        <v>8</v>
      </c>
      <c r="HF253" s="27" t="s">
        <v>7</v>
      </c>
    </row>
    <row r="254" spans="1:214" x14ac:dyDescent="0.25">
      <c r="A254" s="30">
        <v>0.50506795299551588</v>
      </c>
      <c r="B254"/>
      <c r="C254"/>
      <c r="D254"/>
      <c r="E254"/>
      <c r="F254" s="27" t="s">
        <v>7</v>
      </c>
      <c r="H254" s="27" t="s">
        <v>7</v>
      </c>
      <c r="I254" s="27" t="s">
        <v>8</v>
      </c>
      <c r="J254" s="27" t="s">
        <v>7</v>
      </c>
      <c r="M254" s="27" t="s">
        <v>8</v>
      </c>
      <c r="N254" s="27" t="s">
        <v>7</v>
      </c>
      <c r="Q254" s="27" t="s">
        <v>8</v>
      </c>
      <c r="R254" s="27" t="s">
        <v>7</v>
      </c>
      <c r="W254" s="27" t="s">
        <v>8</v>
      </c>
      <c r="X254" s="27" t="s">
        <v>7</v>
      </c>
      <c r="Y254" s="27" t="s">
        <v>8</v>
      </c>
      <c r="AP254" s="27" t="s">
        <v>7</v>
      </c>
      <c r="AR254" s="27" t="s">
        <v>7</v>
      </c>
      <c r="AU254" s="27" t="s">
        <v>8</v>
      </c>
      <c r="AV254" s="27" t="s">
        <v>7</v>
      </c>
      <c r="AW254" s="27" t="s">
        <v>8</v>
      </c>
      <c r="AX254" s="27" t="s">
        <v>7</v>
      </c>
      <c r="CI254" s="27" t="s">
        <v>8</v>
      </c>
      <c r="CJ254" s="27" t="s">
        <v>7</v>
      </c>
      <c r="CK254" s="27" t="s">
        <v>8</v>
      </c>
      <c r="CL254" s="27" t="s">
        <v>7</v>
      </c>
      <c r="CM254" s="27" t="s">
        <v>8</v>
      </c>
      <c r="CO254" s="27" t="s">
        <v>8</v>
      </c>
      <c r="CP254" s="27" t="s">
        <v>7</v>
      </c>
      <c r="CQ254" s="27" t="s">
        <v>8</v>
      </c>
      <c r="EA254" s="27" t="s">
        <v>8</v>
      </c>
      <c r="EF254" s="27" t="s">
        <v>7</v>
      </c>
      <c r="EG254" s="27" t="s">
        <v>8</v>
      </c>
      <c r="EH254" s="27" t="s">
        <v>7</v>
      </c>
      <c r="EI254" s="27" t="s">
        <v>8</v>
      </c>
      <c r="EK254" s="27" t="s">
        <v>8</v>
      </c>
      <c r="EL254" s="27" t="s">
        <v>7</v>
      </c>
      <c r="FF254" s="27" t="s">
        <v>7</v>
      </c>
      <c r="FG254" s="27" t="s">
        <v>8</v>
      </c>
      <c r="FJ254" s="27" t="s">
        <v>7</v>
      </c>
      <c r="FK254" s="27" t="s">
        <v>8</v>
      </c>
      <c r="FL254" s="27" t="s">
        <v>7</v>
      </c>
      <c r="FP254" s="27" t="s">
        <v>7</v>
      </c>
      <c r="FQ254" s="27" t="s">
        <v>8</v>
      </c>
      <c r="FR254" s="27" t="s">
        <v>7</v>
      </c>
      <c r="FW254" s="27" t="s">
        <v>8</v>
      </c>
      <c r="GB254" s="27" t="s">
        <v>7</v>
      </c>
      <c r="GC254" s="27" t="s">
        <v>8</v>
      </c>
      <c r="GD254" s="27" t="s">
        <v>7</v>
      </c>
      <c r="GF254" s="27" t="s">
        <v>7</v>
      </c>
      <c r="GG254" s="27" t="s">
        <v>8</v>
      </c>
      <c r="GH254" s="27" t="s">
        <v>7</v>
      </c>
      <c r="GI254" s="27" t="s">
        <v>8</v>
      </c>
      <c r="GK254" s="27" t="s">
        <v>8</v>
      </c>
      <c r="GL254" s="27" t="s">
        <v>7</v>
      </c>
      <c r="GN254" s="27" t="s">
        <v>7</v>
      </c>
      <c r="GR254" s="27" t="s">
        <v>7</v>
      </c>
      <c r="GS254" s="27" t="s">
        <v>8</v>
      </c>
      <c r="GT254" s="27" t="s">
        <v>7</v>
      </c>
      <c r="HF254" s="27" t="s">
        <v>7</v>
      </c>
    </row>
    <row r="255" spans="1:214" x14ac:dyDescent="0.25">
      <c r="A255" s="30">
        <v>0.48101709809096732</v>
      </c>
      <c r="E255"/>
      <c r="H255" s="27" t="s">
        <v>7</v>
      </c>
      <c r="I255" s="27" t="s">
        <v>8</v>
      </c>
      <c r="J255" s="27" t="s">
        <v>7</v>
      </c>
      <c r="M255" s="27" t="s">
        <v>8</v>
      </c>
      <c r="N255" s="27" t="s">
        <v>7</v>
      </c>
      <c r="Q255" s="27" t="s">
        <v>8</v>
      </c>
      <c r="R255" s="27" t="s">
        <v>7</v>
      </c>
      <c r="W255" s="27" t="s">
        <v>8</v>
      </c>
      <c r="X255" s="27" t="s">
        <v>7</v>
      </c>
      <c r="AR255" s="27" t="s">
        <v>7</v>
      </c>
      <c r="AS255" s="27" t="s">
        <v>8</v>
      </c>
      <c r="AU255" s="27" t="s">
        <v>8</v>
      </c>
      <c r="AV255" s="27" t="s">
        <v>7</v>
      </c>
      <c r="AW255" s="27" t="s">
        <v>8</v>
      </c>
      <c r="AX255" s="27" t="s">
        <v>7</v>
      </c>
      <c r="CI255" s="27" t="s">
        <v>8</v>
      </c>
      <c r="CJ255" s="27" t="s">
        <v>7</v>
      </c>
      <c r="CK255" s="27" t="s">
        <v>8</v>
      </c>
      <c r="CL255" s="27" t="s">
        <v>7</v>
      </c>
      <c r="CM255" s="27" t="s">
        <v>8</v>
      </c>
      <c r="CN255" s="27" t="s">
        <v>7</v>
      </c>
      <c r="CO255" s="27" t="s">
        <v>8</v>
      </c>
      <c r="CP255" s="27" t="s">
        <v>7</v>
      </c>
      <c r="CQ255" s="27" t="s">
        <v>8</v>
      </c>
      <c r="CR255" s="27" t="s">
        <v>7</v>
      </c>
      <c r="DW255" s="27" t="s">
        <v>8</v>
      </c>
      <c r="EA255" s="27" t="s">
        <v>8</v>
      </c>
      <c r="EF255" s="27" t="s">
        <v>7</v>
      </c>
      <c r="EG255" s="27" t="s">
        <v>8</v>
      </c>
      <c r="EH255" s="27" t="s">
        <v>7</v>
      </c>
      <c r="EI255" s="27" t="s">
        <v>8</v>
      </c>
      <c r="EJ255" s="27" t="s">
        <v>7</v>
      </c>
      <c r="EK255" s="27" t="s">
        <v>8</v>
      </c>
      <c r="FF255" s="27" t="s">
        <v>7</v>
      </c>
      <c r="FJ255" s="27" t="s">
        <v>7</v>
      </c>
      <c r="FK255" s="27" t="s">
        <v>8</v>
      </c>
      <c r="FP255" s="27" t="s">
        <v>7</v>
      </c>
      <c r="FQ255" s="27" t="s">
        <v>8</v>
      </c>
      <c r="FR255" s="27" t="s">
        <v>7</v>
      </c>
      <c r="FW255" s="27" t="s">
        <v>8</v>
      </c>
      <c r="GB255" s="27" t="s">
        <v>7</v>
      </c>
      <c r="GF255" s="27" t="s">
        <v>7</v>
      </c>
      <c r="GG255" s="27" t="s">
        <v>8</v>
      </c>
      <c r="GH255" s="27" t="s">
        <v>7</v>
      </c>
      <c r="GI255" s="27" t="s">
        <v>8</v>
      </c>
      <c r="GJ255" s="27" t="s">
        <v>7</v>
      </c>
      <c r="GK255" s="27" t="s">
        <v>8</v>
      </c>
      <c r="GR255" s="27" t="s">
        <v>7</v>
      </c>
      <c r="HF255" s="27" t="s">
        <v>7</v>
      </c>
    </row>
    <row r="256" spans="1:214" x14ac:dyDescent="0.25">
      <c r="A256" s="30">
        <v>0.45811152199139726</v>
      </c>
      <c r="E256"/>
      <c r="H256" s="27" t="s">
        <v>7</v>
      </c>
      <c r="J256" s="27" t="s">
        <v>7</v>
      </c>
      <c r="M256" s="27" t="s">
        <v>8</v>
      </c>
      <c r="N256" s="27" t="s">
        <v>7</v>
      </c>
      <c r="Q256" s="27" t="s">
        <v>8</v>
      </c>
      <c r="R256" s="27" t="s">
        <v>7</v>
      </c>
      <c r="S256" s="27" t="s">
        <v>8</v>
      </c>
      <c r="U256" s="27" t="s">
        <v>8</v>
      </c>
      <c r="W256" s="27" t="s">
        <v>8</v>
      </c>
      <c r="AR256" s="27" t="s">
        <v>7</v>
      </c>
      <c r="AS256" s="27" t="s">
        <v>8</v>
      </c>
      <c r="AT256" s="27" t="s">
        <v>7</v>
      </c>
      <c r="AU256" s="27" t="s">
        <v>8</v>
      </c>
      <c r="AV256" s="27" t="s">
        <v>7</v>
      </c>
      <c r="AX256" s="27" t="s">
        <v>7</v>
      </c>
      <c r="BA256" s="27" t="s">
        <v>8</v>
      </c>
      <c r="CI256" s="27" t="s">
        <v>8</v>
      </c>
      <c r="CJ256" s="27" t="s">
        <v>7</v>
      </c>
      <c r="CL256" s="27" t="s">
        <v>7</v>
      </c>
      <c r="CM256" s="27" t="s">
        <v>8</v>
      </c>
      <c r="CN256" s="27" t="s">
        <v>7</v>
      </c>
      <c r="CO256" s="27" t="s">
        <v>8</v>
      </c>
      <c r="CP256" s="27" t="s">
        <v>7</v>
      </c>
      <c r="CQ256" s="27" t="s">
        <v>8</v>
      </c>
      <c r="CR256" s="27" t="s">
        <v>7</v>
      </c>
      <c r="DW256" s="27" t="s">
        <v>8</v>
      </c>
      <c r="DX256" s="27" t="s">
        <v>7</v>
      </c>
      <c r="DY256" s="27" t="s">
        <v>8</v>
      </c>
      <c r="EA256" s="27" t="s">
        <v>8</v>
      </c>
      <c r="EF256" s="27" t="s">
        <v>7</v>
      </c>
      <c r="EG256" s="27" t="s">
        <v>8</v>
      </c>
      <c r="EH256" s="27" t="s">
        <v>7</v>
      </c>
      <c r="EI256" s="27" t="s">
        <v>8</v>
      </c>
      <c r="EJ256" s="27" t="s">
        <v>7</v>
      </c>
      <c r="EK256" s="27" t="s">
        <v>8</v>
      </c>
      <c r="FJ256" s="27" t="s">
        <v>7</v>
      </c>
      <c r="FK256" s="27" t="s">
        <v>8</v>
      </c>
      <c r="FP256" s="27" t="s">
        <v>7</v>
      </c>
      <c r="FQ256" s="27" t="s">
        <v>8</v>
      </c>
      <c r="FR256" s="27" t="s">
        <v>7</v>
      </c>
      <c r="FW256" s="27" t="s">
        <v>8</v>
      </c>
      <c r="GF256" s="27" t="s">
        <v>7</v>
      </c>
      <c r="GG256" s="27" t="s">
        <v>8</v>
      </c>
      <c r="GH256" s="27" t="s">
        <v>7</v>
      </c>
      <c r="GI256" s="27" t="s">
        <v>8</v>
      </c>
      <c r="GJ256" s="27" t="s">
        <v>7</v>
      </c>
      <c r="GK256" s="27" t="s">
        <v>8</v>
      </c>
      <c r="HF256" s="27" t="s">
        <v>7</v>
      </c>
    </row>
    <row r="257" spans="1:215" x14ac:dyDescent="0.25">
      <c r="A257" s="30">
        <v>0.43629668761085438</v>
      </c>
      <c r="B257"/>
      <c r="C257"/>
      <c r="D257"/>
      <c r="E257"/>
      <c r="J257" s="27" t="s">
        <v>7</v>
      </c>
      <c r="K257" s="27" t="s">
        <v>8</v>
      </c>
      <c r="M257" s="27" t="s">
        <v>8</v>
      </c>
      <c r="N257" s="27" t="s">
        <v>7</v>
      </c>
      <c r="O257" s="27" t="s">
        <v>8</v>
      </c>
      <c r="Q257" s="27" t="s">
        <v>8</v>
      </c>
      <c r="R257" s="27" t="s">
        <v>7</v>
      </c>
      <c r="S257" s="27" t="s">
        <v>8</v>
      </c>
      <c r="T257" s="27" t="s">
        <v>7</v>
      </c>
      <c r="U257" s="27" t="s">
        <v>8</v>
      </c>
      <c r="V257" s="27" t="s">
        <v>7</v>
      </c>
      <c r="W257" s="27" t="s">
        <v>8</v>
      </c>
      <c r="AR257" s="27" t="s">
        <v>7</v>
      </c>
      <c r="AS257" s="27" t="s">
        <v>8</v>
      </c>
      <c r="AT257" s="27" t="s">
        <v>7</v>
      </c>
      <c r="AU257" s="27" t="s">
        <v>8</v>
      </c>
      <c r="AX257" s="27" t="s">
        <v>7</v>
      </c>
      <c r="BA257" s="27" t="s">
        <v>8</v>
      </c>
      <c r="BB257" s="27" t="s">
        <v>7</v>
      </c>
      <c r="BI257" s="27" t="s">
        <v>8</v>
      </c>
      <c r="CI257" s="27" t="s">
        <v>8</v>
      </c>
      <c r="CL257" s="27" t="s">
        <v>7</v>
      </c>
      <c r="CN257" s="27" t="s">
        <v>7</v>
      </c>
      <c r="CO257" s="27" t="s">
        <v>8</v>
      </c>
      <c r="CP257" s="27" t="s">
        <v>7</v>
      </c>
      <c r="CR257" s="27" t="s">
        <v>7</v>
      </c>
      <c r="DW257" s="27" t="s">
        <v>8</v>
      </c>
      <c r="DX257" s="27" t="s">
        <v>7</v>
      </c>
      <c r="DY257" s="27" t="s">
        <v>8</v>
      </c>
      <c r="DZ257" s="27" t="s">
        <v>7</v>
      </c>
      <c r="EA257" s="27" t="s">
        <v>8</v>
      </c>
      <c r="EF257" s="27" t="s">
        <v>7</v>
      </c>
      <c r="EH257" s="27" t="s">
        <v>7</v>
      </c>
      <c r="EJ257" s="27" t="s">
        <v>7</v>
      </c>
      <c r="FJ257" s="27" t="s">
        <v>7</v>
      </c>
      <c r="FP257" s="27" t="s">
        <v>7</v>
      </c>
      <c r="FR257" s="27" t="s">
        <v>7</v>
      </c>
      <c r="FU257" s="27" t="s">
        <v>8</v>
      </c>
      <c r="FW257" s="27" t="s">
        <v>8</v>
      </c>
      <c r="GF257" s="27" t="s">
        <v>7</v>
      </c>
      <c r="GG257" s="27" t="s">
        <v>8</v>
      </c>
      <c r="GH257" s="27" t="s">
        <v>7</v>
      </c>
      <c r="GI257" s="27" t="s">
        <v>8</v>
      </c>
      <c r="GJ257" s="27" t="s">
        <v>7</v>
      </c>
      <c r="HF257" s="27" t="s">
        <v>7</v>
      </c>
    </row>
    <row r="258" spans="1:215" x14ac:dyDescent="0.25">
      <c r="A258" s="30">
        <v>0.41552065486748019</v>
      </c>
      <c r="B258"/>
      <c r="C258"/>
      <c r="D258"/>
      <c r="E258"/>
      <c r="J258" s="27" t="s">
        <v>7</v>
      </c>
      <c r="K258" s="27" t="s">
        <v>8</v>
      </c>
      <c r="L258" s="27" t="s">
        <v>7</v>
      </c>
      <c r="M258" s="27" t="s">
        <v>8</v>
      </c>
      <c r="N258" s="27" t="s">
        <v>7</v>
      </c>
      <c r="O258" s="27" t="s">
        <v>8</v>
      </c>
      <c r="P258" s="27" t="s">
        <v>7</v>
      </c>
      <c r="Q258" s="27" t="s">
        <v>8</v>
      </c>
      <c r="R258" s="27" t="s">
        <v>7</v>
      </c>
      <c r="S258" s="27" t="s">
        <v>8</v>
      </c>
      <c r="T258" s="27" t="s">
        <v>7</v>
      </c>
      <c r="U258" s="27" t="s">
        <v>8</v>
      </c>
      <c r="V258" s="27" t="s">
        <v>7</v>
      </c>
      <c r="W258" s="27" t="s">
        <v>8</v>
      </c>
      <c r="AR258" s="27" t="s">
        <v>7</v>
      </c>
      <c r="AS258" s="27" t="s">
        <v>8</v>
      </c>
      <c r="AT258" s="27" t="s">
        <v>7</v>
      </c>
      <c r="AX258" s="27" t="s">
        <v>7</v>
      </c>
      <c r="BA258" s="27" t="s">
        <v>8</v>
      </c>
      <c r="BB258" s="27" t="s">
        <v>7</v>
      </c>
      <c r="BI258" s="27" t="s">
        <v>8</v>
      </c>
      <c r="BJ258" s="27" t="s">
        <v>7</v>
      </c>
      <c r="CI258" s="27" t="s">
        <v>8</v>
      </c>
      <c r="CN258" s="27" t="s">
        <v>7</v>
      </c>
      <c r="CR258" s="27" t="s">
        <v>7</v>
      </c>
      <c r="DW258" s="27" t="s">
        <v>8</v>
      </c>
      <c r="DX258" s="27" t="s">
        <v>7</v>
      </c>
      <c r="DY258" s="27" t="s">
        <v>8</v>
      </c>
      <c r="DZ258" s="27" t="s">
        <v>7</v>
      </c>
      <c r="EA258" s="27" t="s">
        <v>8</v>
      </c>
      <c r="FR258" s="27" t="s">
        <v>7</v>
      </c>
      <c r="FS258" s="27" t="s">
        <v>8</v>
      </c>
      <c r="FU258" s="27" t="s">
        <v>8</v>
      </c>
      <c r="FV258" s="27" t="s">
        <v>7</v>
      </c>
      <c r="FW258" s="27" t="s">
        <v>8</v>
      </c>
      <c r="GF258" s="27" t="s">
        <v>7</v>
      </c>
      <c r="GH258" s="27" t="s">
        <v>7</v>
      </c>
      <c r="HF258" s="27" t="s">
        <v>7</v>
      </c>
      <c r="HG258" s="27" t="s">
        <v>8</v>
      </c>
    </row>
    <row r="259" spans="1:215" x14ac:dyDescent="0.25">
      <c r="A259" s="30">
        <v>0.39573395701664765</v>
      </c>
      <c r="B259"/>
      <c r="C259"/>
      <c r="D259"/>
      <c r="E259"/>
      <c r="J259" s="27" t="s">
        <v>7</v>
      </c>
      <c r="K259" s="27" t="s">
        <v>8</v>
      </c>
      <c r="L259" s="27" t="s">
        <v>7</v>
      </c>
      <c r="M259" s="27" t="s">
        <v>8</v>
      </c>
      <c r="N259" s="27" t="s">
        <v>7</v>
      </c>
      <c r="O259" s="27" t="s">
        <v>8</v>
      </c>
      <c r="P259" s="27" t="s">
        <v>7</v>
      </c>
      <c r="Q259" s="27" t="s">
        <v>8</v>
      </c>
      <c r="R259" s="27" t="s">
        <v>7</v>
      </c>
      <c r="T259" s="27" t="s">
        <v>7</v>
      </c>
      <c r="U259" s="27" t="s">
        <v>8</v>
      </c>
      <c r="V259" s="27" t="s">
        <v>7</v>
      </c>
      <c r="AR259" s="27" t="s">
        <v>7</v>
      </c>
      <c r="AS259" s="27" t="s">
        <v>8</v>
      </c>
      <c r="AX259" s="27" t="s">
        <v>7</v>
      </c>
      <c r="AY259" s="27" t="s">
        <v>8</v>
      </c>
      <c r="BA259" s="27" t="s">
        <v>8</v>
      </c>
      <c r="BB259" s="27" t="s">
        <v>7</v>
      </c>
      <c r="BI259" s="27" t="s">
        <v>8</v>
      </c>
      <c r="BJ259" s="27" t="s">
        <v>7</v>
      </c>
      <c r="CI259" s="27" t="s">
        <v>8</v>
      </c>
      <c r="CR259" s="27" t="s">
        <v>7</v>
      </c>
      <c r="DW259" s="27" t="s">
        <v>8</v>
      </c>
      <c r="DX259" s="27" t="s">
        <v>7</v>
      </c>
      <c r="DY259" s="27" t="s">
        <v>8</v>
      </c>
      <c r="DZ259" s="27" t="s">
        <v>7</v>
      </c>
      <c r="EA259" s="27" t="s">
        <v>8</v>
      </c>
      <c r="FR259" s="27" t="s">
        <v>7</v>
      </c>
      <c r="FS259" s="27" t="s">
        <v>8</v>
      </c>
      <c r="FT259" s="27" t="s">
        <v>7</v>
      </c>
      <c r="FU259" s="27" t="s">
        <v>8</v>
      </c>
      <c r="FV259" s="27" t="s">
        <v>7</v>
      </c>
      <c r="FW259" s="27" t="s">
        <v>8</v>
      </c>
      <c r="HF259" s="27" t="s">
        <v>7</v>
      </c>
      <c r="HG259" s="27" t="s">
        <v>8</v>
      </c>
    </row>
    <row r="260" spans="1:215" x14ac:dyDescent="0.25">
      <c r="A260" s="30">
        <v>0.37688948287299762</v>
      </c>
      <c r="B260"/>
      <c r="C260"/>
      <c r="D260"/>
      <c r="E260"/>
      <c r="J260" s="27" t="s">
        <v>7</v>
      </c>
      <c r="L260" s="27" t="s">
        <v>7</v>
      </c>
      <c r="N260" s="27" t="s">
        <v>7</v>
      </c>
      <c r="P260" s="27" t="s">
        <v>7</v>
      </c>
      <c r="Q260" s="27" t="s">
        <v>8</v>
      </c>
      <c r="T260" s="27" t="s">
        <v>7</v>
      </c>
      <c r="AR260" s="27" t="s">
        <v>7</v>
      </c>
      <c r="AX260" s="27" t="s">
        <v>7</v>
      </c>
      <c r="AY260" s="27" t="s">
        <v>8</v>
      </c>
      <c r="AZ260" s="27" t="s">
        <v>7</v>
      </c>
      <c r="BA260" s="27" t="s">
        <v>8</v>
      </c>
      <c r="BB260" s="27" t="s">
        <v>7</v>
      </c>
      <c r="BI260" s="27" t="s">
        <v>8</v>
      </c>
      <c r="BJ260" s="27" t="s">
        <v>7</v>
      </c>
      <c r="CI260" s="27" t="s">
        <v>8</v>
      </c>
      <c r="CR260" s="27" t="s">
        <v>7</v>
      </c>
      <c r="DW260" s="27" t="s">
        <v>8</v>
      </c>
      <c r="DX260" s="27" t="s">
        <v>7</v>
      </c>
      <c r="DY260" s="27" t="s">
        <v>8</v>
      </c>
      <c r="DZ260" s="27" t="s">
        <v>7</v>
      </c>
      <c r="EA260" s="27" t="s">
        <v>8</v>
      </c>
      <c r="FR260" s="27" t="s">
        <v>7</v>
      </c>
      <c r="FS260" s="27" t="s">
        <v>8</v>
      </c>
      <c r="FT260" s="27" t="s">
        <v>7</v>
      </c>
      <c r="FU260" s="27" t="s">
        <v>8</v>
      </c>
      <c r="FV260" s="27" t="s">
        <v>7</v>
      </c>
      <c r="FW260" s="27" t="s">
        <v>8</v>
      </c>
      <c r="HF260" s="27" t="s">
        <v>7</v>
      </c>
      <c r="HG260" s="27" t="s">
        <v>8</v>
      </c>
    </row>
    <row r="261" spans="1:215" x14ac:dyDescent="0.25">
      <c r="A261" s="30">
        <v>0.35894236464094997</v>
      </c>
      <c r="B261"/>
      <c r="C261"/>
      <c r="D261"/>
      <c r="E261"/>
      <c r="P261" s="27" t="s">
        <v>7</v>
      </c>
      <c r="AX261" s="27" t="s">
        <v>7</v>
      </c>
      <c r="AY261" s="27" t="s">
        <v>8</v>
      </c>
      <c r="AZ261" s="27" t="s">
        <v>7</v>
      </c>
      <c r="BA261" s="27" t="s">
        <v>8</v>
      </c>
      <c r="BB261" s="27" t="s">
        <v>7</v>
      </c>
      <c r="BI261" s="27" t="s">
        <v>8</v>
      </c>
      <c r="BJ261" s="27" t="s">
        <v>7</v>
      </c>
      <c r="BK261" s="27" t="s">
        <v>8</v>
      </c>
      <c r="CE261" s="27" t="s">
        <v>8</v>
      </c>
      <c r="CG261" s="27" t="s">
        <v>8</v>
      </c>
      <c r="CI261" s="27" t="s">
        <v>8</v>
      </c>
      <c r="CR261" s="27" t="s">
        <v>7</v>
      </c>
      <c r="DE261" s="27" t="s">
        <v>8</v>
      </c>
      <c r="DW261" s="27" t="s">
        <v>8</v>
      </c>
      <c r="DX261" s="27" t="s">
        <v>7</v>
      </c>
      <c r="DY261" s="27" t="s">
        <v>8</v>
      </c>
      <c r="DZ261" s="27" t="s">
        <v>7</v>
      </c>
      <c r="EA261" s="27" t="s">
        <v>8</v>
      </c>
      <c r="FR261" s="27" t="s">
        <v>7</v>
      </c>
      <c r="FS261" s="27" t="s">
        <v>8</v>
      </c>
      <c r="FT261" s="27" t="s">
        <v>7</v>
      </c>
      <c r="FU261" s="27" t="s">
        <v>8</v>
      </c>
      <c r="FV261" s="27" t="s">
        <v>7</v>
      </c>
      <c r="FW261" s="27" t="s">
        <v>8</v>
      </c>
      <c r="HF261" s="27" t="s">
        <v>7</v>
      </c>
      <c r="HG261" s="27" t="s">
        <v>8</v>
      </c>
    </row>
    <row r="262" spans="1:215" x14ac:dyDescent="0.25">
      <c r="A262" s="30">
        <v>0.34184987108661891</v>
      </c>
      <c r="B262"/>
      <c r="C262"/>
      <c r="D262"/>
      <c r="E262"/>
      <c r="AX262" s="27" t="s">
        <v>7</v>
      </c>
      <c r="AY262" s="27" t="s">
        <v>8</v>
      </c>
      <c r="AZ262" s="27" t="s">
        <v>7</v>
      </c>
      <c r="BA262" s="27" t="s">
        <v>8</v>
      </c>
      <c r="BB262" s="27" t="s">
        <v>7</v>
      </c>
      <c r="BI262" s="27" t="s">
        <v>8</v>
      </c>
      <c r="BJ262" s="27" t="s">
        <v>7</v>
      </c>
      <c r="BK262" s="27" t="s">
        <v>8</v>
      </c>
      <c r="BL262" s="27" t="s">
        <v>7</v>
      </c>
      <c r="CE262" s="27" t="s">
        <v>8</v>
      </c>
      <c r="CF262" s="27" t="s">
        <v>7</v>
      </c>
      <c r="CG262" s="27" t="s">
        <v>8</v>
      </c>
      <c r="CH262" s="27" t="s">
        <v>7</v>
      </c>
      <c r="CI262" s="27" t="s">
        <v>8</v>
      </c>
      <c r="CR262" s="27" t="s">
        <v>7</v>
      </c>
      <c r="DE262" s="27" t="s">
        <v>8</v>
      </c>
      <c r="DF262" s="27" t="s">
        <v>7</v>
      </c>
      <c r="DK262" s="27" t="s">
        <v>8</v>
      </c>
      <c r="DW262" s="27" t="s">
        <v>8</v>
      </c>
      <c r="DX262" s="27" t="s">
        <v>7</v>
      </c>
      <c r="DY262" s="27" t="s">
        <v>8</v>
      </c>
      <c r="DZ262" s="27" t="s">
        <v>7</v>
      </c>
      <c r="FR262" s="27" t="s">
        <v>7</v>
      </c>
      <c r="FT262" s="27" t="s">
        <v>7</v>
      </c>
      <c r="FV262" s="18" t="s">
        <v>7</v>
      </c>
      <c r="FW262" s="27" t="s">
        <v>8</v>
      </c>
      <c r="HF262" s="27" t="s">
        <v>7</v>
      </c>
      <c r="HG262" s="27" t="s">
        <v>8</v>
      </c>
    </row>
    <row r="263" spans="1:215" x14ac:dyDescent="0.25">
      <c r="A263" s="30">
        <v>0.32557130579677979</v>
      </c>
      <c r="B263"/>
      <c r="C263"/>
      <c r="D263"/>
      <c r="E263"/>
      <c r="AX263" s="27" t="s">
        <v>7</v>
      </c>
      <c r="AY263" s="27" t="s">
        <v>8</v>
      </c>
      <c r="AZ263" s="27" t="s">
        <v>7</v>
      </c>
      <c r="BA263" s="27" t="s">
        <v>8</v>
      </c>
      <c r="BB263" s="27" t="s">
        <v>7</v>
      </c>
      <c r="BI263" s="27" t="s">
        <v>8</v>
      </c>
      <c r="BJ263" s="27" t="s">
        <v>7</v>
      </c>
      <c r="BK263" s="27" t="s">
        <v>8</v>
      </c>
      <c r="BL263" s="27" t="s">
        <v>7</v>
      </c>
      <c r="CE263" s="27" t="s">
        <v>8</v>
      </c>
      <c r="CF263" s="27" t="s">
        <v>7</v>
      </c>
      <c r="CG263" s="27" t="s">
        <v>8</v>
      </c>
      <c r="CH263" s="27" t="s">
        <v>7</v>
      </c>
      <c r="CI263" s="27" t="s">
        <v>8</v>
      </c>
      <c r="CR263" s="27" t="s">
        <v>7</v>
      </c>
      <c r="CS263" s="27" t="s">
        <v>8</v>
      </c>
      <c r="CW263" s="27" t="s">
        <v>8</v>
      </c>
      <c r="DE263" s="27" t="s">
        <v>8</v>
      </c>
      <c r="DF263" s="27" t="s">
        <v>7</v>
      </c>
      <c r="DK263" s="27" t="s">
        <v>8</v>
      </c>
      <c r="DL263" s="27" t="s">
        <v>7</v>
      </c>
      <c r="DU263" s="27" t="s">
        <v>8</v>
      </c>
      <c r="DW263" s="27" t="s">
        <v>8</v>
      </c>
      <c r="DX263" s="27" t="s">
        <v>7</v>
      </c>
      <c r="DY263" s="27" t="s">
        <v>8</v>
      </c>
      <c r="FV263" s="27" t="s">
        <v>7</v>
      </c>
      <c r="HF263" s="27" t="s">
        <v>7</v>
      </c>
    </row>
    <row r="264" spans="1:215" x14ac:dyDescent="0.25">
      <c r="A264" s="30">
        <v>0.3100679102826473</v>
      </c>
      <c r="B264"/>
      <c r="C264"/>
      <c r="D264"/>
      <c r="E264"/>
      <c r="AX264" s="27" t="s">
        <v>7</v>
      </c>
      <c r="AY264" s="27" t="s">
        <v>8</v>
      </c>
      <c r="AZ264" s="27" t="s">
        <v>7</v>
      </c>
      <c r="BA264" s="27" t="s">
        <v>8</v>
      </c>
      <c r="BB264" s="27" t="s">
        <v>7</v>
      </c>
      <c r="BC264" s="27" t="s">
        <v>8</v>
      </c>
      <c r="BE264" s="27" t="s">
        <v>8</v>
      </c>
      <c r="BI264" s="27" t="s">
        <v>8</v>
      </c>
      <c r="BJ264" s="27" t="s">
        <v>7</v>
      </c>
      <c r="BL264" s="27" t="s">
        <v>7</v>
      </c>
      <c r="CE264" s="27" t="s">
        <v>8</v>
      </c>
      <c r="CF264" s="27" t="s">
        <v>7</v>
      </c>
      <c r="CG264" s="27" t="s">
        <v>8</v>
      </c>
      <c r="CH264" s="27" t="s">
        <v>7</v>
      </c>
      <c r="CR264" s="27" t="s">
        <v>7</v>
      </c>
      <c r="CS264" s="27" t="s">
        <v>8</v>
      </c>
      <c r="CT264" s="27" t="s">
        <v>7</v>
      </c>
      <c r="CW264" s="27" t="s">
        <v>8</v>
      </c>
      <c r="CX264" s="27" t="s">
        <v>7</v>
      </c>
      <c r="DE264" s="27" t="s">
        <v>8</v>
      </c>
      <c r="DF264" s="27" t="s">
        <v>7</v>
      </c>
      <c r="DG264" s="27" t="s">
        <v>8</v>
      </c>
      <c r="DK264" s="27" t="s">
        <v>8</v>
      </c>
      <c r="DL264" s="27" t="s">
        <v>7</v>
      </c>
      <c r="DM264" s="27" t="s">
        <v>8</v>
      </c>
      <c r="DU264" s="27" t="s">
        <v>8</v>
      </c>
      <c r="DV264" s="27" t="s">
        <v>7</v>
      </c>
      <c r="DW264" s="27" t="s">
        <v>8</v>
      </c>
      <c r="DX264" s="27" t="s">
        <v>7</v>
      </c>
      <c r="DY264" s="27" t="s">
        <v>8</v>
      </c>
    </row>
    <row r="265" spans="1:215" x14ac:dyDescent="0.25">
      <c r="A265" s="30">
        <v>0.2953027716977592</v>
      </c>
      <c r="B265"/>
      <c r="C265"/>
      <c r="D265"/>
      <c r="E265"/>
      <c r="AX265" s="27" t="s">
        <v>7</v>
      </c>
      <c r="AY265" s="27" t="s">
        <v>8</v>
      </c>
      <c r="AZ265" s="27" t="s">
        <v>7</v>
      </c>
      <c r="BA265" s="27" t="s">
        <v>8</v>
      </c>
      <c r="BB265" s="27" t="s">
        <v>7</v>
      </c>
      <c r="BC265" s="27" t="s">
        <v>8</v>
      </c>
      <c r="BD265" s="27" t="s">
        <v>7</v>
      </c>
      <c r="BE265" s="27" t="s">
        <v>8</v>
      </c>
      <c r="BF265" s="27" t="s">
        <v>7</v>
      </c>
      <c r="BG265" s="27" t="s">
        <v>8</v>
      </c>
      <c r="BI265" s="27" t="s">
        <v>8</v>
      </c>
      <c r="BL265" s="27" t="s">
        <v>7</v>
      </c>
      <c r="BM265" s="27" t="s">
        <v>8</v>
      </c>
      <c r="CE265" s="27" t="s">
        <v>8</v>
      </c>
      <c r="CF265" s="27" t="s">
        <v>7</v>
      </c>
      <c r="CR265" s="27" t="s">
        <v>7</v>
      </c>
      <c r="CS265" s="27" t="s">
        <v>8</v>
      </c>
      <c r="CT265" s="27" t="s">
        <v>7</v>
      </c>
      <c r="CW265" s="27" t="s">
        <v>8</v>
      </c>
      <c r="CX265" s="27" t="s">
        <v>7</v>
      </c>
      <c r="CY265" s="27" t="s">
        <v>8</v>
      </c>
      <c r="DE265" s="27" t="s">
        <v>8</v>
      </c>
      <c r="DF265" s="27" t="s">
        <v>7</v>
      </c>
      <c r="DG265" s="27" t="s">
        <v>8</v>
      </c>
      <c r="DH265" s="27" t="s">
        <v>7</v>
      </c>
      <c r="DI265" s="27" t="s">
        <v>8</v>
      </c>
      <c r="DK265" s="27" t="s">
        <v>8</v>
      </c>
      <c r="DL265" s="27" t="s">
        <v>7</v>
      </c>
      <c r="DM265" s="27" t="s">
        <v>8</v>
      </c>
      <c r="DN265" s="27" t="s">
        <v>7</v>
      </c>
      <c r="DS265" s="27" t="s">
        <v>8</v>
      </c>
      <c r="DU265" s="27" t="s">
        <v>8</v>
      </c>
      <c r="DV265" s="27" t="s">
        <v>7</v>
      </c>
      <c r="DW265" s="27" t="s">
        <v>8</v>
      </c>
      <c r="DX265" s="27" t="s">
        <v>7</v>
      </c>
      <c r="DY265" s="27" t="s">
        <v>8</v>
      </c>
    </row>
    <row r="266" spans="1:215" x14ac:dyDescent="0.25">
      <c r="A266" s="30">
        <v>0.28124073495024676</v>
      </c>
      <c r="B266"/>
      <c r="C266"/>
      <c r="D266"/>
      <c r="E266"/>
      <c r="AX266" s="27" t="s">
        <v>7</v>
      </c>
      <c r="AY266" s="27" t="s">
        <v>8</v>
      </c>
      <c r="AZ266" s="27" t="s">
        <v>7</v>
      </c>
      <c r="BB266" s="27" t="s">
        <v>7</v>
      </c>
      <c r="BC266" s="27" t="s">
        <v>8</v>
      </c>
      <c r="BD266" s="27" t="s">
        <v>7</v>
      </c>
      <c r="BE266" s="27" t="s">
        <v>8</v>
      </c>
      <c r="BF266" s="27" t="s">
        <v>7</v>
      </c>
      <c r="BG266" s="27" t="s">
        <v>8</v>
      </c>
      <c r="BH266" s="27" t="s">
        <v>7</v>
      </c>
      <c r="BI266" s="27" t="s">
        <v>8</v>
      </c>
      <c r="BL266" s="27" t="s">
        <v>7</v>
      </c>
      <c r="BM266" s="27" t="s">
        <v>8</v>
      </c>
      <c r="BN266" s="27" t="s">
        <v>7</v>
      </c>
      <c r="BS266" s="27" t="s">
        <v>8</v>
      </c>
      <c r="CE266" s="27" t="s">
        <v>8</v>
      </c>
      <c r="CR266" s="27" t="s">
        <v>7</v>
      </c>
      <c r="CT266" s="27" t="s">
        <v>7</v>
      </c>
      <c r="CU266" s="27" t="s">
        <v>8</v>
      </c>
      <c r="CW266" s="27" t="s">
        <v>8</v>
      </c>
      <c r="CX266" s="27" t="s">
        <v>7</v>
      </c>
      <c r="CY266" s="27" t="s">
        <v>8</v>
      </c>
      <c r="CZ266" s="27" t="s">
        <v>7</v>
      </c>
      <c r="DA266" s="27" t="s">
        <v>8</v>
      </c>
      <c r="DE266" s="27" t="s">
        <v>8</v>
      </c>
      <c r="DF266" s="27" t="s">
        <v>7</v>
      </c>
      <c r="DG266" s="27" t="s">
        <v>8</v>
      </c>
      <c r="DH266" s="27" t="s">
        <v>7</v>
      </c>
      <c r="DI266" s="27" t="s">
        <v>8</v>
      </c>
      <c r="DJ266" s="27" t="s">
        <v>7</v>
      </c>
      <c r="DK266" s="27" t="s">
        <v>8</v>
      </c>
      <c r="DL266" s="27" t="s">
        <v>7</v>
      </c>
      <c r="DM266" s="27" t="s">
        <v>8</v>
      </c>
      <c r="DN266" s="27" t="s">
        <v>7</v>
      </c>
      <c r="DQ266" s="27" t="s">
        <v>8</v>
      </c>
      <c r="DS266" s="27" t="s">
        <v>8</v>
      </c>
      <c r="DT266" s="27" t="s">
        <v>7</v>
      </c>
      <c r="DU266" s="27" t="s">
        <v>8</v>
      </c>
      <c r="DV266" s="27" t="s">
        <v>7</v>
      </c>
      <c r="DW266" s="27" t="s">
        <v>8</v>
      </c>
      <c r="DX266" s="27" t="s">
        <v>7</v>
      </c>
    </row>
    <row r="267" spans="1:215" x14ac:dyDescent="0.25">
      <c r="A267" s="30">
        <v>0.26784831900023492</v>
      </c>
      <c r="B267"/>
      <c r="C267"/>
      <c r="D267"/>
      <c r="E267"/>
      <c r="AX267" s="27" t="s">
        <v>7</v>
      </c>
      <c r="AY267" s="27" t="s">
        <v>8</v>
      </c>
      <c r="BB267" s="27" t="s">
        <v>7</v>
      </c>
      <c r="BD267" s="27" t="s">
        <v>7</v>
      </c>
      <c r="BF267" s="27" t="s">
        <v>7</v>
      </c>
      <c r="BG267" s="27" t="s">
        <v>8</v>
      </c>
      <c r="BH267" s="27" t="s">
        <v>7</v>
      </c>
      <c r="BI267" s="27" t="s">
        <v>8</v>
      </c>
      <c r="BL267" s="27" t="s">
        <v>7</v>
      </c>
      <c r="BM267" s="27" t="s">
        <v>8</v>
      </c>
      <c r="BN267" s="27" t="s">
        <v>7</v>
      </c>
      <c r="BS267" s="27" t="s">
        <v>8</v>
      </c>
      <c r="BT267" s="27" t="s">
        <v>7</v>
      </c>
      <c r="CE267" s="27" t="s">
        <v>8</v>
      </c>
      <c r="CT267" s="27" t="s">
        <v>7</v>
      </c>
      <c r="CU267" s="27" t="s">
        <v>8</v>
      </c>
      <c r="CV267" s="27" t="s">
        <v>7</v>
      </c>
      <c r="CW267" s="27" t="s">
        <v>8</v>
      </c>
      <c r="CX267" s="27" t="s">
        <v>7</v>
      </c>
      <c r="CY267" s="27" t="s">
        <v>8</v>
      </c>
      <c r="CZ267" s="27" t="s">
        <v>7</v>
      </c>
      <c r="DA267" s="27" t="s">
        <v>8</v>
      </c>
      <c r="DB267" s="27" t="s">
        <v>7</v>
      </c>
      <c r="DE267" s="27" t="s">
        <v>8</v>
      </c>
      <c r="DF267" s="27" t="s">
        <v>7</v>
      </c>
      <c r="DG267" s="27" t="s">
        <v>8</v>
      </c>
      <c r="DH267" s="27" t="s">
        <v>7</v>
      </c>
      <c r="DI267" s="27" t="s">
        <v>8</v>
      </c>
      <c r="DJ267" s="27" t="s">
        <v>7</v>
      </c>
      <c r="DK267" s="27" t="s">
        <v>8</v>
      </c>
      <c r="DL267" s="27" t="s">
        <v>7</v>
      </c>
      <c r="DN267" s="27" t="s">
        <v>7</v>
      </c>
      <c r="DQ267" s="27" t="s">
        <v>8</v>
      </c>
      <c r="DR267" s="27" t="s">
        <v>7</v>
      </c>
      <c r="DS267" s="27" t="s">
        <v>8</v>
      </c>
      <c r="DT267" s="27" t="s">
        <v>7</v>
      </c>
      <c r="DU267" s="27" t="s">
        <v>8</v>
      </c>
      <c r="DV267" s="27" t="s">
        <v>7</v>
      </c>
      <c r="DW267" s="27" t="s">
        <v>8</v>
      </c>
    </row>
    <row r="268" spans="1:215" x14ac:dyDescent="0.25">
      <c r="A268" s="30">
        <v>0.25509363714308075</v>
      </c>
      <c r="B268"/>
      <c r="C268"/>
      <c r="D268"/>
      <c r="E268"/>
      <c r="AX268" s="27" t="s">
        <v>7</v>
      </c>
      <c r="BF268" s="27" t="s">
        <v>7</v>
      </c>
      <c r="BG268" s="27" t="s">
        <v>8</v>
      </c>
      <c r="BH268" s="27" t="s">
        <v>7</v>
      </c>
      <c r="BI268" s="27" t="s">
        <v>8</v>
      </c>
      <c r="BL268" s="27" t="s">
        <v>7</v>
      </c>
      <c r="BM268" s="27" t="s">
        <v>8</v>
      </c>
      <c r="BN268" s="27" t="s">
        <v>7</v>
      </c>
      <c r="BS268" s="27" t="s">
        <v>8</v>
      </c>
      <c r="BT268" s="27" t="s">
        <v>7</v>
      </c>
      <c r="CA268" s="27" t="s">
        <v>8</v>
      </c>
      <c r="CC268" s="27" t="s">
        <v>8</v>
      </c>
      <c r="CE268" s="27" t="s">
        <v>8</v>
      </c>
      <c r="CT268" s="27" t="s">
        <v>7</v>
      </c>
      <c r="CU268" s="27" t="s">
        <v>8</v>
      </c>
      <c r="CV268" s="27" t="s">
        <v>7</v>
      </c>
      <c r="CW268" s="27" t="s">
        <v>8</v>
      </c>
      <c r="CX268" s="27" t="s">
        <v>7</v>
      </c>
      <c r="CZ268" s="27" t="s">
        <v>7</v>
      </c>
      <c r="DA268" s="27" t="s">
        <v>8</v>
      </c>
      <c r="DB268" s="27" t="s">
        <v>7</v>
      </c>
      <c r="DE268" s="27" t="s">
        <v>8</v>
      </c>
      <c r="DF268" s="27" t="s">
        <v>7</v>
      </c>
      <c r="DG268" s="27" t="s">
        <v>8</v>
      </c>
      <c r="DH268" s="27" t="s">
        <v>7</v>
      </c>
      <c r="DI268" s="27" t="s">
        <v>8</v>
      </c>
      <c r="DJ268" s="27" t="s">
        <v>7</v>
      </c>
      <c r="DN268" s="27" t="s">
        <v>7</v>
      </c>
      <c r="DO268" s="27" t="s">
        <v>8</v>
      </c>
      <c r="DQ268" s="27" t="s">
        <v>8</v>
      </c>
      <c r="DR268" s="27" t="s">
        <v>7</v>
      </c>
      <c r="DS268" s="27" t="s">
        <v>8</v>
      </c>
      <c r="DT268" s="27" t="s">
        <v>7</v>
      </c>
      <c r="DU268" s="27" t="s">
        <v>8</v>
      </c>
      <c r="DV268" s="27" t="s">
        <v>7</v>
      </c>
    </row>
    <row r="269" spans="1:215" x14ac:dyDescent="0.25">
      <c r="A269" s="30">
        <v>0.24294632108864825</v>
      </c>
      <c r="B269"/>
      <c r="C269"/>
      <c r="D269"/>
      <c r="E269"/>
      <c r="BF269" s="27" t="s">
        <v>7</v>
      </c>
      <c r="BG269" s="27" t="s">
        <v>8</v>
      </c>
      <c r="BH269" s="27" t="s">
        <v>7</v>
      </c>
      <c r="BI269" s="27" t="s">
        <v>8</v>
      </c>
      <c r="BL269" s="27" t="s">
        <v>7</v>
      </c>
      <c r="BN269" s="27" t="s">
        <v>7</v>
      </c>
      <c r="BS269" s="27" t="s">
        <v>8</v>
      </c>
      <c r="BT269" s="27" t="s">
        <v>7</v>
      </c>
      <c r="CA269" s="27" t="s">
        <v>8</v>
      </c>
      <c r="CB269" s="27" t="s">
        <v>7</v>
      </c>
      <c r="CC269" s="27" t="s">
        <v>8</v>
      </c>
      <c r="CD269" s="27" t="s">
        <v>7</v>
      </c>
      <c r="CE269" s="27" t="s">
        <v>8</v>
      </c>
      <c r="CT269" s="27" t="s">
        <v>7</v>
      </c>
      <c r="CU269" s="27" t="s">
        <v>8</v>
      </c>
      <c r="CV269" s="27" t="s">
        <v>7</v>
      </c>
      <c r="CZ269" s="27" t="s">
        <v>7</v>
      </c>
      <c r="DB269" s="27" t="s">
        <v>7</v>
      </c>
      <c r="DE269" s="27" t="s">
        <v>8</v>
      </c>
      <c r="DF269" s="27" t="s">
        <v>7</v>
      </c>
      <c r="DG269" s="27" t="s">
        <v>8</v>
      </c>
      <c r="DH269" s="27" t="s">
        <v>7</v>
      </c>
      <c r="DI269" s="27" t="s">
        <v>8</v>
      </c>
      <c r="DN269" s="27" t="s">
        <v>7</v>
      </c>
      <c r="DO269" s="27" t="s">
        <v>8</v>
      </c>
      <c r="DP269" s="27" t="s">
        <v>7</v>
      </c>
      <c r="DQ269" s="27" t="s">
        <v>8</v>
      </c>
      <c r="DR269" s="27" t="s">
        <v>7</v>
      </c>
      <c r="DS269" s="27" t="s">
        <v>8</v>
      </c>
      <c r="DT269" s="27" t="s">
        <v>7</v>
      </c>
      <c r="DU269" s="27" t="s">
        <v>8</v>
      </c>
    </row>
    <row r="270" spans="1:215" x14ac:dyDescent="0.25">
      <c r="A270" s="30">
        <v>0.23137744865585538</v>
      </c>
      <c r="B270"/>
      <c r="C270"/>
      <c r="D270"/>
      <c r="E270"/>
      <c r="BF270" s="27" t="s">
        <v>7</v>
      </c>
      <c r="BH270" s="27" t="s">
        <v>7</v>
      </c>
      <c r="BI270" s="27" t="s">
        <v>8</v>
      </c>
      <c r="BN270" s="27" t="s">
        <v>7</v>
      </c>
      <c r="BS270" s="27" t="s">
        <v>8</v>
      </c>
      <c r="BT270" s="27" t="s">
        <v>7</v>
      </c>
      <c r="CA270" s="27" t="s">
        <v>8</v>
      </c>
      <c r="CB270" s="27" t="s">
        <v>7</v>
      </c>
      <c r="CC270" s="27" t="s">
        <v>8</v>
      </c>
      <c r="CD270" s="27" t="s">
        <v>7</v>
      </c>
      <c r="CE270" s="27" t="s">
        <v>8</v>
      </c>
      <c r="CT270" s="27" t="s">
        <v>7</v>
      </c>
      <c r="DB270" s="27" t="s">
        <v>7</v>
      </c>
      <c r="DC270" s="27" t="s">
        <v>8</v>
      </c>
      <c r="DE270" s="27" t="s">
        <v>8</v>
      </c>
      <c r="DF270" s="27" t="s">
        <v>7</v>
      </c>
      <c r="DG270" s="27" t="s">
        <v>8</v>
      </c>
      <c r="DH270" s="27" t="s">
        <v>7</v>
      </c>
      <c r="DI270" s="27" t="s">
        <v>8</v>
      </c>
      <c r="DN270" s="27" t="s">
        <v>7</v>
      </c>
      <c r="DO270" s="27" t="s">
        <v>8</v>
      </c>
      <c r="DP270" s="27" t="s">
        <v>7</v>
      </c>
      <c r="DQ270" s="27" t="s">
        <v>8</v>
      </c>
      <c r="DR270" s="27" t="s">
        <v>7</v>
      </c>
      <c r="DT270" s="27" t="s">
        <v>7</v>
      </c>
      <c r="DU270" s="27" t="s">
        <v>8</v>
      </c>
    </row>
    <row r="271" spans="1:215" x14ac:dyDescent="0.25">
      <c r="A271" s="30">
        <v>0.22035947491033836</v>
      </c>
      <c r="B271"/>
      <c r="C271"/>
      <c r="D271"/>
      <c r="E271"/>
      <c r="BH271" s="27" t="s">
        <v>7</v>
      </c>
      <c r="BN271" s="27" t="s">
        <v>7</v>
      </c>
      <c r="BS271" s="27" t="s">
        <v>8</v>
      </c>
      <c r="BT271" s="27" t="s">
        <v>7</v>
      </c>
      <c r="BU271" s="27" t="s">
        <v>8</v>
      </c>
      <c r="BW271" s="27" t="s">
        <v>8</v>
      </c>
      <c r="CA271" s="27" t="s">
        <v>8</v>
      </c>
      <c r="CB271" s="27" t="s">
        <v>7</v>
      </c>
      <c r="CC271" s="27" t="s">
        <v>8</v>
      </c>
      <c r="CD271" s="27" t="s">
        <v>7</v>
      </c>
      <c r="CE271" s="27" t="s">
        <v>8</v>
      </c>
      <c r="DB271" s="27" t="s">
        <v>7</v>
      </c>
      <c r="DC271" s="27" t="s">
        <v>8</v>
      </c>
      <c r="DD271" s="27" t="s">
        <v>7</v>
      </c>
      <c r="DE271" s="27" t="s">
        <v>8</v>
      </c>
      <c r="DF271" s="27" t="s">
        <v>7</v>
      </c>
      <c r="DH271" s="27" t="s">
        <v>7</v>
      </c>
      <c r="DN271" s="27" t="s">
        <v>7</v>
      </c>
      <c r="DP271" s="27" t="s">
        <v>7</v>
      </c>
      <c r="DQ271" s="27" t="s">
        <v>8</v>
      </c>
      <c r="DT271" s="27" t="s">
        <v>7</v>
      </c>
      <c r="DU271" s="27" t="s">
        <v>8</v>
      </c>
    </row>
    <row r="272" spans="1:215" x14ac:dyDescent="0.25">
      <c r="A272" s="30">
        <v>0.20986616658127455</v>
      </c>
      <c r="B272"/>
      <c r="C272"/>
      <c r="D272"/>
      <c r="E272"/>
      <c r="BN272" s="27" t="s">
        <v>7</v>
      </c>
      <c r="BS272" s="27" t="s">
        <v>8</v>
      </c>
      <c r="BT272" s="27" t="s">
        <v>7</v>
      </c>
      <c r="BU272" s="27" t="s">
        <v>8</v>
      </c>
      <c r="BV272" s="27" t="s">
        <v>7</v>
      </c>
      <c r="BW272" s="27" t="s">
        <v>8</v>
      </c>
      <c r="BX272" s="27" t="s">
        <v>7</v>
      </c>
      <c r="BY272" s="27" t="s">
        <v>8</v>
      </c>
      <c r="CA272" s="27" t="s">
        <v>8</v>
      </c>
      <c r="CB272" s="27" t="s">
        <v>7</v>
      </c>
      <c r="CD272" s="27" t="s">
        <v>7</v>
      </c>
      <c r="CE272" s="27" t="s">
        <v>8</v>
      </c>
      <c r="DB272" s="27" t="s">
        <v>7</v>
      </c>
      <c r="DC272" s="27" t="s">
        <v>8</v>
      </c>
      <c r="DD272" s="27" t="s">
        <v>7</v>
      </c>
      <c r="DE272" s="27" t="s">
        <v>8</v>
      </c>
      <c r="DP272" s="27" t="s">
        <v>7</v>
      </c>
      <c r="DQ272" s="27" t="s">
        <v>8</v>
      </c>
      <c r="DT272" s="27" t="s">
        <v>7</v>
      </c>
    </row>
    <row r="273" spans="1:120" x14ac:dyDescent="0.25">
      <c r="A273" s="30">
        <v>0.19987253960121379</v>
      </c>
      <c r="B273"/>
      <c r="C273"/>
      <c r="D273"/>
      <c r="E273"/>
      <c r="BN273" s="27" t="s">
        <v>7</v>
      </c>
      <c r="BS273" s="27" t="s">
        <v>8</v>
      </c>
      <c r="BT273" s="27" t="s">
        <v>7</v>
      </c>
      <c r="BU273" s="27" t="s">
        <v>8</v>
      </c>
      <c r="BV273" s="27" t="s">
        <v>7</v>
      </c>
      <c r="BW273" s="27" t="s">
        <v>8</v>
      </c>
      <c r="BX273" s="27" t="s">
        <v>7</v>
      </c>
      <c r="BY273" s="27" t="s">
        <v>8</v>
      </c>
      <c r="BZ273" s="27" t="s">
        <v>7</v>
      </c>
      <c r="CA273" s="27" t="s">
        <v>8</v>
      </c>
      <c r="CD273" s="27" t="s">
        <v>7</v>
      </c>
      <c r="CE273" s="27" t="s">
        <v>8</v>
      </c>
      <c r="DB273" s="27" t="s">
        <v>7</v>
      </c>
      <c r="DC273" s="27" t="s">
        <v>8</v>
      </c>
      <c r="DD273" s="27" t="s">
        <v>7</v>
      </c>
      <c r="DE273" s="27" t="s">
        <v>8</v>
      </c>
      <c r="DP273" s="27" t="s">
        <v>7</v>
      </c>
    </row>
    <row r="274" spans="1:120" x14ac:dyDescent="0.25">
      <c r="A274" s="30">
        <v>0.19035479962020352</v>
      </c>
      <c r="B274"/>
      <c r="C274"/>
      <c r="D274"/>
      <c r="E274"/>
      <c r="BN274" s="27" t="s">
        <v>7</v>
      </c>
      <c r="BS274" s="27" t="s">
        <v>8</v>
      </c>
      <c r="BT274" s="27" t="s">
        <v>7</v>
      </c>
      <c r="BU274" s="27" t="s">
        <v>8</v>
      </c>
      <c r="BV274" s="27" t="s">
        <v>7</v>
      </c>
      <c r="BX274" s="27" t="s">
        <v>7</v>
      </c>
      <c r="BY274" s="27" t="s">
        <v>8</v>
      </c>
      <c r="BZ274" s="27" t="s">
        <v>7</v>
      </c>
      <c r="CA274" s="27" t="s">
        <v>8</v>
      </c>
      <c r="CD274" s="27" t="s">
        <v>7</v>
      </c>
      <c r="CE274" s="27" t="s">
        <v>8</v>
      </c>
      <c r="DB274" s="27" t="s">
        <v>7</v>
      </c>
      <c r="DD274" s="27" t="s">
        <v>7</v>
      </c>
    </row>
    <row r="275" spans="1:120" x14ac:dyDescent="0.25">
      <c r="A275" s="30">
        <v>0.18129028535257471</v>
      </c>
      <c r="B275"/>
      <c r="C275"/>
      <c r="D275"/>
      <c r="E275"/>
      <c r="BN275" s="27" t="s">
        <v>7</v>
      </c>
      <c r="BS275" s="27" t="s">
        <v>8</v>
      </c>
      <c r="BT275" s="27" t="s">
        <v>7</v>
      </c>
      <c r="BU275" s="27" t="s">
        <v>8</v>
      </c>
      <c r="BX275" s="27" t="s">
        <v>7</v>
      </c>
      <c r="BZ275" s="27" t="s">
        <v>7</v>
      </c>
      <c r="CD275" s="27" t="s">
        <v>7</v>
      </c>
    </row>
    <row r="276" spans="1:120" x14ac:dyDescent="0.25">
      <c r="A276" s="30">
        <v>0.17265741462149967</v>
      </c>
      <c r="B276"/>
      <c r="C276"/>
      <c r="D276"/>
      <c r="E276"/>
      <c r="BN276" s="27" t="s">
        <v>7</v>
      </c>
      <c r="BS276" s="27" t="s">
        <v>8</v>
      </c>
      <c r="BT276" s="27" t="s">
        <v>7</v>
      </c>
      <c r="BU276" s="27" t="s">
        <v>8</v>
      </c>
    </row>
    <row r="277" spans="1:120" x14ac:dyDescent="0.25">
      <c r="A277" s="30">
        <v>0.16443563297285677</v>
      </c>
      <c r="B277"/>
      <c r="C277"/>
      <c r="D277"/>
      <c r="E277"/>
      <c r="BN277" s="27" t="s">
        <v>7</v>
      </c>
      <c r="BQ277" s="27" t="s">
        <v>8</v>
      </c>
      <c r="BS277" s="27" t="s">
        <v>8</v>
      </c>
      <c r="BT277" s="27" t="s">
        <v>7</v>
      </c>
      <c r="BU277" s="27" t="s">
        <v>8</v>
      </c>
    </row>
    <row r="278" spans="1:120" x14ac:dyDescent="0.25">
      <c r="A278" s="30">
        <v>0.15660536473605399</v>
      </c>
      <c r="B278"/>
      <c r="C278"/>
      <c r="D278"/>
      <c r="E278"/>
      <c r="BN278" s="27" t="s">
        <v>7</v>
      </c>
      <c r="BQ278" s="27" t="s">
        <v>8</v>
      </c>
      <c r="BR278" s="27" t="s">
        <v>7</v>
      </c>
      <c r="BS278" s="27" t="s">
        <v>8</v>
      </c>
      <c r="BT278" s="27" t="s">
        <v>7</v>
      </c>
    </row>
    <row r="279" spans="1:120" x14ac:dyDescent="0.25">
      <c r="A279" s="30">
        <v>0.14914796641528946</v>
      </c>
      <c r="B279"/>
      <c r="C279"/>
      <c r="D279"/>
      <c r="E279"/>
      <c r="BN279" s="27" t="s">
        <v>7</v>
      </c>
      <c r="BQ279" s="27" t="s">
        <v>8</v>
      </c>
      <c r="BR279" s="27" t="s">
        <v>7</v>
      </c>
      <c r="BS279" s="27" t="s">
        <v>8</v>
      </c>
    </row>
    <row r="280" spans="1:120" x14ac:dyDescent="0.25">
      <c r="A280" s="30">
        <v>0.14204568230027562</v>
      </c>
      <c r="B280"/>
      <c r="C280"/>
      <c r="D280"/>
      <c r="E280"/>
      <c r="BN280" s="27" t="s">
        <v>7</v>
      </c>
      <c r="BQ280" s="27" t="s">
        <v>8</v>
      </c>
      <c r="BR280" s="27" t="s">
        <v>7</v>
      </c>
      <c r="BS280" s="27" t="s">
        <v>8</v>
      </c>
    </row>
    <row r="281" spans="1:120" x14ac:dyDescent="0.25">
      <c r="A281" s="30">
        <v>0.13528160219073862</v>
      </c>
      <c r="B281"/>
      <c r="C281"/>
      <c r="D281"/>
      <c r="E281"/>
      <c r="BN281" s="27" t="s">
        <v>7</v>
      </c>
      <c r="BO281" s="27" t="s">
        <v>8</v>
      </c>
      <c r="BQ281" s="27" t="s">
        <v>8</v>
      </c>
      <c r="BR281" s="27" t="s">
        <v>7</v>
      </c>
    </row>
    <row r="282" spans="1:120" x14ac:dyDescent="0.25">
      <c r="A282" s="30">
        <v>0.12883962113403674</v>
      </c>
      <c r="B282"/>
      <c r="C282"/>
      <c r="D282"/>
      <c r="E282"/>
      <c r="BN282" s="27" t="s">
        <v>7</v>
      </c>
      <c r="BO282" s="27" t="s">
        <v>8</v>
      </c>
      <c r="BP282" s="27" t="s">
        <v>7</v>
      </c>
      <c r="BQ282" s="27" t="s">
        <v>8</v>
      </c>
    </row>
    <row r="283" spans="1:120" x14ac:dyDescent="0.25">
      <c r="A283" s="30">
        <v>0.12270440108003494</v>
      </c>
      <c r="B283"/>
      <c r="C283"/>
      <c r="D283"/>
      <c r="E283"/>
      <c r="BN283" s="27" t="s">
        <v>7</v>
      </c>
      <c r="BO283" s="27" t="s">
        <v>8</v>
      </c>
      <c r="BP283" s="27" t="s">
        <v>7</v>
      </c>
      <c r="BQ283" s="27" t="s">
        <v>8</v>
      </c>
    </row>
    <row r="284" spans="1:120" x14ac:dyDescent="0.25">
      <c r="A284" s="30">
        <v>0.11686133436193799</v>
      </c>
      <c r="B284"/>
      <c r="C284"/>
      <c r="D284"/>
      <c r="E284"/>
      <c r="BN284" s="27" t="s">
        <v>7</v>
      </c>
      <c r="BO284" s="27" t="s">
        <v>8</v>
      </c>
      <c r="BP284" s="27" t="s">
        <v>7</v>
      </c>
      <c r="BQ284" s="27" t="s">
        <v>8</v>
      </c>
    </row>
    <row r="285" spans="1:120" x14ac:dyDescent="0.25">
      <c r="A285" s="30">
        <v>0.11129650891613138</v>
      </c>
      <c r="B285"/>
      <c r="C285"/>
      <c r="D285"/>
      <c r="E285"/>
      <c r="BN285" s="27" t="s">
        <v>7</v>
      </c>
      <c r="BO285" s="27" t="s">
        <v>8</v>
      </c>
      <c r="BP285" s="27" t="s">
        <v>7</v>
      </c>
      <c r="BQ285" s="27" t="s">
        <v>8</v>
      </c>
    </row>
    <row r="286" spans="1:120" x14ac:dyDescent="0.25">
      <c r="A286" s="30">
        <v>0.10599667515822032</v>
      </c>
      <c r="B286"/>
      <c r="C286"/>
      <c r="D286"/>
      <c r="E286"/>
      <c r="BN286" s="27" t="s">
        <v>7</v>
      </c>
      <c r="BO286" s="27" t="s">
        <v>8</v>
      </c>
      <c r="BP286" s="27" t="s">
        <v>7</v>
      </c>
    </row>
    <row r="287" spans="1:120" x14ac:dyDescent="0.25">
      <c r="A287" s="30">
        <v>0.10094921443640027</v>
      </c>
      <c r="B287"/>
      <c r="C287"/>
      <c r="D287"/>
      <c r="E287"/>
      <c r="BN287" s="27" t="s">
        <v>7</v>
      </c>
      <c r="BO287" s="27" t="s">
        <v>8</v>
      </c>
    </row>
    <row r="288" spans="1:120" x14ac:dyDescent="0.25">
      <c r="A288" s="30">
        <v>9.6142108987047836E-2</v>
      </c>
      <c r="B288"/>
      <c r="C288"/>
      <c r="D288"/>
      <c r="E288"/>
      <c r="BN288" s="27" t="s">
        <v>7</v>
      </c>
      <c r="BO288" s="27" t="s">
        <v>8</v>
      </c>
    </row>
    <row r="289" spans="1:66" x14ac:dyDescent="0.25">
      <c r="A289" s="30">
        <v>9.1563913320997906E-2</v>
      </c>
      <c r="B289"/>
      <c r="C289"/>
      <c r="D289"/>
      <c r="E289"/>
      <c r="BN289" s="27" t="s">
        <v>7</v>
      </c>
    </row>
    <row r="290" spans="1:66" x14ac:dyDescent="0.25">
      <c r="A290" s="30">
        <v>8.7203726972378923E-2</v>
      </c>
      <c r="B290"/>
      <c r="C290"/>
      <c r="D290"/>
      <c r="E290"/>
    </row>
    <row r="291" spans="1:66" x14ac:dyDescent="0.25">
      <c r="A291" s="30">
        <v>8.3051168545122747E-2</v>
      </c>
      <c r="B291"/>
      <c r="C291"/>
      <c r="D291"/>
      <c r="E291"/>
    </row>
    <row r="292" spans="1:66" x14ac:dyDescent="0.25">
      <c r="A292" s="30">
        <v>7.9096350995354961E-2</v>
      </c>
      <c r="B292"/>
      <c r="C292"/>
      <c r="D292"/>
      <c r="E292"/>
    </row>
    <row r="293" spans="1:66" x14ac:dyDescent="0.25">
      <c r="A293" s="30">
        <v>7.5329858090814217E-2</v>
      </c>
      <c r="B293"/>
      <c r="C293"/>
      <c r="D293"/>
      <c r="E293"/>
    </row>
    <row r="294" spans="1:66" x14ac:dyDescent="0.25">
      <c r="A294" s="30">
        <v>7.1742721991251604E-2</v>
      </c>
      <c r="B294"/>
      <c r="C294"/>
      <c r="D294"/>
      <c r="E294"/>
    </row>
    <row r="295" spans="1:66" x14ac:dyDescent="0.25">
      <c r="A295" s="30">
        <v>6.8326401896430078E-2</v>
      </c>
      <c r="B295"/>
      <c r="C295"/>
      <c r="D295"/>
      <c r="E295"/>
    </row>
    <row r="296" spans="1:66" x14ac:dyDescent="0.25">
      <c r="A296" s="30">
        <v>6.5072763710885759E-2</v>
      </c>
      <c r="B296"/>
      <c r="C296"/>
      <c r="D296"/>
      <c r="E296"/>
    </row>
    <row r="297" spans="1:66" x14ac:dyDescent="0.25">
      <c r="A297" s="30">
        <v>6.197406067703403E-2</v>
      </c>
      <c r="B297"/>
      <c r="C297"/>
      <c r="D297"/>
      <c r="E297"/>
    </row>
    <row r="298" spans="1:66" x14ac:dyDescent="0.25">
      <c r="A298" s="30">
        <v>5.9022914930508576E-2</v>
      </c>
      <c r="B298"/>
      <c r="C298"/>
      <c r="D298"/>
      <c r="E298"/>
    </row>
    <row r="299" spans="1:66" x14ac:dyDescent="0.25">
      <c r="A299" s="30">
        <v>5.6212299933817669E-2</v>
      </c>
      <c r="B299"/>
      <c r="C299"/>
      <c r="D299"/>
      <c r="E299"/>
    </row>
    <row r="300" spans="1:66" x14ac:dyDescent="0.25">
      <c r="A300" s="30">
        <v>5.3535523746492994E-2</v>
      </c>
      <c r="B300"/>
      <c r="C300"/>
      <c r="D300"/>
      <c r="E300"/>
    </row>
    <row r="301" spans="1:66" x14ac:dyDescent="0.25">
      <c r="A301" s="30">
        <v>5.0986213091898068E-2</v>
      </c>
      <c r="B301"/>
      <c r="C301"/>
      <c r="D301"/>
      <c r="E301"/>
    </row>
    <row r="302" spans="1:66" x14ac:dyDescent="0.25">
      <c r="A302" s="30">
        <v>4.8558298182760043E-2</v>
      </c>
      <c r="B302"/>
      <c r="C302"/>
      <c r="D302"/>
      <c r="E302"/>
    </row>
    <row r="303" spans="1:66" x14ac:dyDescent="0.25">
      <c r="A303" s="30">
        <v>4.6245998269295263E-2</v>
      </c>
      <c r="B303"/>
      <c r="C303"/>
      <c r="D303"/>
      <c r="E303"/>
    </row>
    <row r="304" spans="1:66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611" operator="equal">
      <formula>$U$1</formula>
    </cfRule>
    <cfRule type="cellIs" dxfId="67" priority="1612" operator="equal">
      <formula>$S$1</formula>
    </cfRule>
  </conditionalFormatting>
  <conditionalFormatting sqref="D136">
    <cfRule type="cellIs" dxfId="66" priority="1609" operator="equal">
      <formula>$S$1</formula>
    </cfRule>
    <cfRule type="cellIs" dxfId="65" priority="1610" operator="equal">
      <formula>$U$1</formula>
    </cfRule>
  </conditionalFormatting>
  <conditionalFormatting sqref="C162">
    <cfRule type="cellIs" dxfId="64" priority="1607" operator="equal">
      <formula>$U$1</formula>
    </cfRule>
    <cfRule type="cellIs" dxfId="63" priority="1608" operator="equal">
      <formula>$S$1</formula>
    </cfRule>
  </conditionalFormatting>
  <conditionalFormatting sqref="D162">
    <cfRule type="cellIs" dxfId="62" priority="1605" operator="equal">
      <formula>$S$1</formula>
    </cfRule>
    <cfRule type="cellIs" dxfId="61" priority="1606" operator="equal">
      <formula>$U$1</formula>
    </cfRule>
  </conditionalFormatting>
  <conditionalFormatting sqref="C187">
    <cfRule type="cellIs" dxfId="60" priority="1603" operator="equal">
      <formula>$U$1</formula>
    </cfRule>
    <cfRule type="cellIs" dxfId="59" priority="1604" operator="equal">
      <formula>$S$1</formula>
    </cfRule>
  </conditionalFormatting>
  <conditionalFormatting sqref="D187">
    <cfRule type="cellIs" dxfId="58" priority="1601" operator="equal">
      <formula>$S$1</formula>
    </cfRule>
    <cfRule type="cellIs" dxfId="57" priority="1602" operator="equal">
      <formula>$U$1</formula>
    </cfRule>
  </conditionalFormatting>
  <conditionalFormatting sqref="C212">
    <cfRule type="cellIs" dxfId="56" priority="1599" operator="equal">
      <formula>$U$1</formula>
    </cfRule>
    <cfRule type="cellIs" dxfId="55" priority="1600" operator="equal">
      <formula>$S$1</formula>
    </cfRule>
  </conditionalFormatting>
  <conditionalFormatting sqref="D212">
    <cfRule type="cellIs" dxfId="54" priority="1597" operator="equal">
      <formula>$S$1</formula>
    </cfRule>
    <cfRule type="cellIs" dxfId="53" priority="1598" operator="equal">
      <formula>$U$1</formula>
    </cfRule>
  </conditionalFormatting>
  <conditionalFormatting sqref="C237">
    <cfRule type="cellIs" dxfId="52" priority="1595" operator="equal">
      <formula>$U$1</formula>
    </cfRule>
    <cfRule type="cellIs" dxfId="51" priority="1596" operator="equal">
      <formula>$S$1</formula>
    </cfRule>
  </conditionalFormatting>
  <conditionalFormatting sqref="D237">
    <cfRule type="cellIs" dxfId="50" priority="1593" operator="equal">
      <formula>$S$1</formula>
    </cfRule>
    <cfRule type="cellIs" dxfId="49" priority="1594" operator="equal">
      <formula>$U$1</formula>
    </cfRule>
  </conditionalFormatting>
  <conditionalFormatting sqref="C106">
    <cfRule type="cellIs" dxfId="48" priority="1591" operator="equal">
      <formula>$U$1</formula>
    </cfRule>
    <cfRule type="cellIs" dxfId="47" priority="1592" operator="equal">
      <formula>$S$1</formula>
    </cfRule>
  </conditionalFormatting>
  <conditionalFormatting sqref="D106">
    <cfRule type="cellIs" dxfId="46" priority="1589" operator="equal">
      <formula>$S$1</formula>
    </cfRule>
    <cfRule type="cellIs" dxfId="45" priority="1590" operator="equal">
      <formula>$U$1</formula>
    </cfRule>
  </conditionalFormatting>
  <conditionalFormatting sqref="C81">
    <cfRule type="cellIs" dxfId="44" priority="1587" operator="equal">
      <formula>$U$1</formula>
    </cfRule>
    <cfRule type="cellIs" dxfId="43" priority="1588" operator="equal">
      <formula>$S$1</formula>
    </cfRule>
  </conditionalFormatting>
  <conditionalFormatting sqref="D81">
    <cfRule type="cellIs" dxfId="42" priority="1585" operator="equal">
      <formula>$S$1</formula>
    </cfRule>
    <cfRule type="cellIs" dxfId="41" priority="1586" operator="equal">
      <formula>$U$1</formula>
    </cfRule>
  </conditionalFormatting>
  <conditionalFormatting sqref="C56">
    <cfRule type="cellIs" dxfId="40" priority="1583" operator="equal">
      <formula>$U$1</formula>
    </cfRule>
    <cfRule type="cellIs" dxfId="39" priority="1584" operator="equal">
      <formula>$S$1</formula>
    </cfRule>
  </conditionalFormatting>
  <conditionalFormatting sqref="D56">
    <cfRule type="cellIs" dxfId="38" priority="1581" operator="equal">
      <formula>$S$1</formula>
    </cfRule>
    <cfRule type="cellIs" dxfId="37" priority="1582" operator="equal">
      <formula>$U$1</formula>
    </cfRule>
  </conditionalFormatting>
  <conditionalFormatting sqref="C31">
    <cfRule type="cellIs" dxfId="36" priority="1579" operator="equal">
      <formula>$U$1</formula>
    </cfRule>
    <cfRule type="cellIs" dxfId="35" priority="1580" operator="equal">
      <formula>$S$1</formula>
    </cfRule>
  </conditionalFormatting>
  <conditionalFormatting sqref="D31">
    <cfRule type="cellIs" dxfId="34" priority="1577" operator="equal">
      <formula>$S$1</formula>
    </cfRule>
    <cfRule type="cellIs" dxfId="33" priority="157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T133" sqref="BT13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$A$132</v>
      </c>
      <c r="D111" s="1" t="str">
        <f>ADDRESS(C121-1,D121,1,1)</f>
        <v>$BT$132</v>
      </c>
      <c r="E111"/>
    </row>
    <row r="112" spans="1:5" x14ac:dyDescent="0.25">
      <c r="A112" s="30">
        <v>2.3579476910000019</v>
      </c>
      <c r="C112" s="1" t="str">
        <f>ADDRESS(C121,1,1,1)</f>
        <v>$A$133</v>
      </c>
      <c r="D112" s="1" t="str">
        <f>ADDRESS(C121,D121-1,1,1)</f>
        <v>$BS$133</v>
      </c>
      <c r="E112"/>
    </row>
    <row r="113" spans="1:72" x14ac:dyDescent="0.25">
      <c r="A113" s="30">
        <v>2.1435888100000016</v>
      </c>
      <c r="C113" s="1" t="str">
        <f>ADDRESS(C121+1,1,1,1)</f>
        <v>$A$134</v>
      </c>
      <c r="D113" s="1" t="str">
        <f>ADDRESS(C121-1,D121+1,1,1)</f>
        <v>$BU$132</v>
      </c>
    </row>
    <row r="114" spans="1:72" x14ac:dyDescent="0.25">
      <c r="A114" s="30">
        <v>1.9487171000000014</v>
      </c>
      <c r="C114" s="1" t="str">
        <f>ADDRESS(C121,D121,1,1)</f>
        <v>$BT$133</v>
      </c>
      <c r="D114" s="1" t="str">
        <f>ADDRESS(C121+1,D121+1,1,1)</f>
        <v>$BU$134</v>
      </c>
      <c r="AS114" s="27" t="s">
        <v>8</v>
      </c>
      <c r="BM114" s="27" t="s">
        <v>8</v>
      </c>
    </row>
    <row r="115" spans="1:72" x14ac:dyDescent="0.25">
      <c r="A115" s="30">
        <v>1.7715610000000011</v>
      </c>
      <c r="C115" s="1" t="str">
        <f>ADDRESS(C121+1,D121,1,1)</f>
        <v>$BT$134</v>
      </c>
      <c r="AS115" s="27" t="s">
        <v>8</v>
      </c>
      <c r="AT115" s="27" t="s">
        <v>7</v>
      </c>
      <c r="BM115" s="27" t="s">
        <v>8</v>
      </c>
      <c r="BN115" s="27" t="s">
        <v>7</v>
      </c>
    </row>
    <row r="116" spans="1:72" x14ac:dyDescent="0.25">
      <c r="A116" s="30">
        <v>1.6105100000000008</v>
      </c>
      <c r="C116" s="1">
        <f>C117-1</f>
        <v>132</v>
      </c>
      <c r="AS116" s="27" t="s">
        <v>8</v>
      </c>
      <c r="AT116" s="27" t="s">
        <v>7</v>
      </c>
      <c r="BM116" s="27" t="s">
        <v>8</v>
      </c>
      <c r="BN116" s="27" t="s">
        <v>7</v>
      </c>
    </row>
    <row r="117" spans="1:72" x14ac:dyDescent="0.25">
      <c r="A117" s="30">
        <v>1.4641000000000006</v>
      </c>
      <c r="C117" s="1">
        <f>C121</f>
        <v>133</v>
      </c>
      <c r="D117" s="1">
        <f>D121</f>
        <v>72</v>
      </c>
      <c r="AS117" s="27" t="s">
        <v>8</v>
      </c>
      <c r="AT117" s="27" t="s">
        <v>7</v>
      </c>
      <c r="AU117" s="27" t="s">
        <v>8</v>
      </c>
      <c r="BM117" s="27" t="s">
        <v>8</v>
      </c>
      <c r="BN117" s="27" t="s">
        <v>7</v>
      </c>
    </row>
    <row r="118" spans="1:72" x14ac:dyDescent="0.25">
      <c r="A118" s="30">
        <v>1.3310000000000004</v>
      </c>
      <c r="C118" s="1">
        <f>C117+1</f>
        <v>134</v>
      </c>
      <c r="D118" s="1">
        <f>D117+1</f>
        <v>73</v>
      </c>
      <c r="AS118" s="27" t="s">
        <v>8</v>
      </c>
      <c r="AT118" s="27" t="s">
        <v>7</v>
      </c>
      <c r="AU118" s="27" t="s">
        <v>8</v>
      </c>
      <c r="AV118" s="27" t="s">
        <v>7</v>
      </c>
      <c r="BM118" s="27" t="s">
        <v>8</v>
      </c>
      <c r="BN118" s="27" t="s">
        <v>7</v>
      </c>
    </row>
    <row r="119" spans="1:72" x14ac:dyDescent="0.25">
      <c r="A119" s="30">
        <v>1.2100000000000002</v>
      </c>
      <c r="E119" s="1" t="s">
        <v>8</v>
      </c>
      <c r="AS119" s="27" t="s">
        <v>8</v>
      </c>
      <c r="AT119" s="27" t="s">
        <v>7</v>
      </c>
      <c r="AU119" s="27" t="s">
        <v>8</v>
      </c>
      <c r="AV119" s="27" t="s">
        <v>7</v>
      </c>
      <c r="BM119" s="27" t="s">
        <v>8</v>
      </c>
      <c r="BN119" s="27" t="s">
        <v>7</v>
      </c>
      <c r="BO119" s="27" t="s">
        <v>8</v>
      </c>
      <c r="BS119" s="27" t="s">
        <v>8</v>
      </c>
    </row>
    <row r="120" spans="1:72" x14ac:dyDescent="0.25">
      <c r="A120" s="30">
        <v>1.1000000000000001</v>
      </c>
      <c r="C120" s="1" t="s">
        <v>9</v>
      </c>
      <c r="E120" s="1" t="s">
        <v>8</v>
      </c>
      <c r="F120" s="27" t="s">
        <v>7</v>
      </c>
      <c r="M120" s="27" t="s">
        <v>8</v>
      </c>
      <c r="AS120" s="27" t="s">
        <v>8</v>
      </c>
      <c r="AT120" s="27" t="s">
        <v>7</v>
      </c>
      <c r="AU120" s="27" t="s">
        <v>8</v>
      </c>
      <c r="AV120" s="27" t="s">
        <v>7</v>
      </c>
      <c r="BM120" s="27" t="s">
        <v>8</v>
      </c>
      <c r="BN120" s="27" t="s">
        <v>7</v>
      </c>
      <c r="BO120" s="27" t="s">
        <v>8</v>
      </c>
      <c r="BP120" s="27" t="s">
        <v>7</v>
      </c>
      <c r="BS120" s="27" t="s">
        <v>8</v>
      </c>
      <c r="BT120" s="27" t="s">
        <v>7</v>
      </c>
    </row>
    <row r="121" spans="1:72" x14ac:dyDescent="0.25">
      <c r="A121" s="30">
        <v>1</v>
      </c>
      <c r="C121" s="18">
        <v>133</v>
      </c>
      <c r="D121" s="19">
        <v>72</v>
      </c>
      <c r="E121" s="18" t="s">
        <v>8</v>
      </c>
      <c r="F121" s="27" t="s">
        <v>7</v>
      </c>
      <c r="K121" s="27" t="s">
        <v>8</v>
      </c>
      <c r="M121" s="27" t="s">
        <v>8</v>
      </c>
      <c r="N121" s="27" t="s">
        <v>7</v>
      </c>
      <c r="AS121" s="27" t="s">
        <v>8</v>
      </c>
      <c r="AT121" s="27" t="s">
        <v>7</v>
      </c>
      <c r="AU121" s="27" t="s">
        <v>8</v>
      </c>
      <c r="AV121" s="27" t="s">
        <v>7</v>
      </c>
      <c r="BM121" s="27" t="s">
        <v>8</v>
      </c>
      <c r="BN121" s="27" t="s">
        <v>7</v>
      </c>
      <c r="BO121" s="27" t="s">
        <v>8</v>
      </c>
      <c r="BP121" s="27" t="s">
        <v>7</v>
      </c>
      <c r="BQ121" s="27" t="s">
        <v>8</v>
      </c>
      <c r="BS121" s="27" t="s">
        <v>8</v>
      </c>
      <c r="BT121" s="27" t="s">
        <v>7</v>
      </c>
    </row>
    <row r="122" spans="1:72" x14ac:dyDescent="0.25">
      <c r="A122" s="30">
        <v>0.90909090909090895</v>
      </c>
      <c r="C122" s="1" t="str">
        <f>INDEX(1:1048576,C117,D117)</f>
        <v>O</v>
      </c>
      <c r="F122" s="27" t="s">
        <v>7</v>
      </c>
      <c r="K122" s="27" t="s">
        <v>8</v>
      </c>
      <c r="L122" s="27" t="s">
        <v>7</v>
      </c>
      <c r="M122" s="27" t="s">
        <v>8</v>
      </c>
      <c r="N122" s="27" t="s">
        <v>7</v>
      </c>
      <c r="AS122" s="27" t="s">
        <v>8</v>
      </c>
      <c r="AT122" s="27" t="s">
        <v>7</v>
      </c>
      <c r="AU122" s="27" t="s">
        <v>8</v>
      </c>
      <c r="AV122" s="27" t="s">
        <v>7</v>
      </c>
      <c r="BM122" s="27" t="s">
        <v>8</v>
      </c>
      <c r="BN122" s="27" t="s">
        <v>7</v>
      </c>
      <c r="BO122" s="27" t="s">
        <v>8</v>
      </c>
      <c r="BP122" s="27" t="s">
        <v>7</v>
      </c>
      <c r="BQ122" s="27" t="s">
        <v>8</v>
      </c>
      <c r="BR122" s="27" t="s">
        <v>7</v>
      </c>
      <c r="BS122" s="27" t="s">
        <v>8</v>
      </c>
      <c r="BT122" s="27" t="s">
        <v>7</v>
      </c>
    </row>
    <row r="123" spans="1:72" x14ac:dyDescent="0.25">
      <c r="A123" s="30">
        <v>0.82644628099173523</v>
      </c>
      <c r="C123" s="1" t="str">
        <f>"R"&amp;C121</f>
        <v>R133</v>
      </c>
      <c r="D123" s="1" t="str">
        <f>"C"&amp;D121</f>
        <v>C72</v>
      </c>
      <c r="F123" s="27" t="s">
        <v>7</v>
      </c>
      <c r="K123" s="27" t="s">
        <v>8</v>
      </c>
      <c r="L123" s="27" t="s">
        <v>7</v>
      </c>
      <c r="M123" s="27" t="s">
        <v>8</v>
      </c>
      <c r="N123" s="27" t="s">
        <v>7</v>
      </c>
      <c r="AS123" s="27" t="s">
        <v>8</v>
      </c>
      <c r="AT123" s="27" t="s">
        <v>7</v>
      </c>
      <c r="AV123" s="27" t="s">
        <v>7</v>
      </c>
      <c r="BM123" s="27" t="s">
        <v>8</v>
      </c>
      <c r="BN123" s="27" t="s">
        <v>7</v>
      </c>
      <c r="BO123" s="27" t="s">
        <v>8</v>
      </c>
      <c r="BP123" s="27" t="s">
        <v>7</v>
      </c>
      <c r="BQ123" s="27" t="s">
        <v>8</v>
      </c>
      <c r="BR123" s="27" t="s">
        <v>7</v>
      </c>
      <c r="BS123" s="27" t="s">
        <v>8</v>
      </c>
      <c r="BT123" s="27" t="s">
        <v>7</v>
      </c>
    </row>
    <row r="124" spans="1:72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K124" s="27" t="s">
        <v>8</v>
      </c>
      <c r="L124" s="27" t="s">
        <v>7</v>
      </c>
      <c r="M124" s="27" t="s">
        <v>8</v>
      </c>
      <c r="N124" s="27" t="s">
        <v>7</v>
      </c>
      <c r="AQ124" s="27" t="s">
        <v>8</v>
      </c>
      <c r="AS124" s="27" t="s">
        <v>8</v>
      </c>
      <c r="AV124" s="27" t="s">
        <v>7</v>
      </c>
      <c r="BE124" s="27" t="s">
        <v>8</v>
      </c>
      <c r="BM124" s="27" t="s">
        <v>8</v>
      </c>
      <c r="BN124" s="27" t="s">
        <v>7</v>
      </c>
      <c r="BO124" s="27" t="s">
        <v>8</v>
      </c>
      <c r="BP124" s="27" t="s">
        <v>7</v>
      </c>
      <c r="BQ124" s="27" t="s">
        <v>8</v>
      </c>
      <c r="BR124" s="27" t="s">
        <v>7</v>
      </c>
      <c r="BT124" s="27" t="s">
        <v>7</v>
      </c>
    </row>
    <row r="125" spans="1:72" x14ac:dyDescent="0.25">
      <c r="A125" s="30">
        <v>0.68301345536507019</v>
      </c>
      <c r="F125" s="27" t="s">
        <v>7</v>
      </c>
      <c r="K125" s="27" t="s">
        <v>8</v>
      </c>
      <c r="L125" s="27" t="s">
        <v>7</v>
      </c>
      <c r="M125" s="27" t="s">
        <v>8</v>
      </c>
      <c r="N125" s="27" t="s">
        <v>7</v>
      </c>
      <c r="AA125" s="27" t="s">
        <v>8</v>
      </c>
      <c r="AQ125" s="27" t="s">
        <v>8</v>
      </c>
      <c r="AR125" s="27" t="s">
        <v>7</v>
      </c>
      <c r="AS125" s="27" t="s">
        <v>8</v>
      </c>
      <c r="AV125" s="27" t="s">
        <v>7</v>
      </c>
      <c r="AW125" s="27" t="s">
        <v>8</v>
      </c>
      <c r="AY125" s="27" t="s">
        <v>8</v>
      </c>
      <c r="BA125" s="27" t="s">
        <v>8</v>
      </c>
      <c r="BC125" s="27" t="s">
        <v>8</v>
      </c>
      <c r="BE125" s="27" t="s">
        <v>8</v>
      </c>
      <c r="BF125" s="27" t="s">
        <v>7</v>
      </c>
      <c r="BG125" s="27" t="s">
        <v>8</v>
      </c>
      <c r="BI125" s="27" t="s">
        <v>8</v>
      </c>
      <c r="BK125" s="27" t="s">
        <v>8</v>
      </c>
      <c r="BM125" s="27" t="s">
        <v>8</v>
      </c>
      <c r="BN125" s="27" t="s">
        <v>7</v>
      </c>
      <c r="BO125" s="27" t="s">
        <v>8</v>
      </c>
      <c r="BP125" s="27" t="s">
        <v>7</v>
      </c>
      <c r="BT125" s="27" t="s">
        <v>7</v>
      </c>
    </row>
    <row r="126" spans="1:72" x14ac:dyDescent="0.25">
      <c r="A126" s="30">
        <v>0.6209213230591546</v>
      </c>
      <c r="C126" s="1" t="s">
        <v>10</v>
      </c>
      <c r="F126" s="27" t="s">
        <v>7</v>
      </c>
      <c r="K126" s="27" t="s">
        <v>8</v>
      </c>
      <c r="L126" s="27" t="s">
        <v>7</v>
      </c>
      <c r="N126" s="27" t="s">
        <v>7</v>
      </c>
      <c r="AA126" s="27" t="s">
        <v>8</v>
      </c>
      <c r="AB126" s="27" t="s">
        <v>7</v>
      </c>
      <c r="AQ126" s="27" t="s">
        <v>8</v>
      </c>
      <c r="AR126" s="27" t="s">
        <v>7</v>
      </c>
      <c r="AS126" s="27" t="s">
        <v>8</v>
      </c>
      <c r="AV126" s="27" t="s">
        <v>7</v>
      </c>
      <c r="AW126" s="27" t="s">
        <v>8</v>
      </c>
      <c r="AX126" s="27" t="s">
        <v>7</v>
      </c>
      <c r="AY126" s="27" t="s">
        <v>8</v>
      </c>
      <c r="AZ126" s="27" t="s">
        <v>7</v>
      </c>
      <c r="BA126" s="27" t="s">
        <v>8</v>
      </c>
      <c r="BB126" s="27" t="s">
        <v>7</v>
      </c>
      <c r="BC126" s="27" t="s">
        <v>8</v>
      </c>
      <c r="BD126" s="27" t="s">
        <v>7</v>
      </c>
      <c r="BE126" s="27" t="s">
        <v>8</v>
      </c>
      <c r="BF126" s="27" t="s">
        <v>7</v>
      </c>
      <c r="BG126" s="27" t="s">
        <v>8</v>
      </c>
      <c r="BH126" s="27" t="s">
        <v>7</v>
      </c>
      <c r="BI126" s="27" t="s">
        <v>8</v>
      </c>
      <c r="BJ126" s="27" t="s">
        <v>7</v>
      </c>
      <c r="BK126" s="27" t="s">
        <v>8</v>
      </c>
      <c r="BL126" s="27" t="s">
        <v>7</v>
      </c>
      <c r="BM126" s="27" t="s">
        <v>8</v>
      </c>
      <c r="BN126" s="27" t="s">
        <v>7</v>
      </c>
      <c r="BT126" s="27" t="s">
        <v>7</v>
      </c>
    </row>
    <row r="127" spans="1:72" x14ac:dyDescent="0.25">
      <c r="A127" s="30">
        <v>0.56447393005377677</v>
      </c>
      <c r="C127" s="30">
        <v>0.31863081771035617</v>
      </c>
      <c r="D127"/>
      <c r="F127" s="27" t="s">
        <v>7</v>
      </c>
      <c r="K127" s="27" t="s">
        <v>8</v>
      </c>
      <c r="N127" s="27" t="s">
        <v>7</v>
      </c>
      <c r="O127" s="27" t="s">
        <v>8</v>
      </c>
      <c r="AA127" s="27" t="s">
        <v>8</v>
      </c>
      <c r="AB127" s="27" t="s">
        <v>7</v>
      </c>
      <c r="AC127" s="27" t="s">
        <v>8</v>
      </c>
      <c r="AQ127" s="27" t="s">
        <v>8</v>
      </c>
      <c r="AR127" s="27" t="s">
        <v>7</v>
      </c>
      <c r="AS127" s="27" t="s">
        <v>8</v>
      </c>
      <c r="AV127" s="27" t="s">
        <v>7</v>
      </c>
      <c r="AW127" s="27" t="s">
        <v>8</v>
      </c>
      <c r="AX127" s="27" t="s">
        <v>7</v>
      </c>
      <c r="AY127" s="27" t="s">
        <v>8</v>
      </c>
      <c r="AZ127" s="27" t="s">
        <v>7</v>
      </c>
      <c r="BA127" s="27" t="s">
        <v>8</v>
      </c>
      <c r="BB127" s="27" t="s">
        <v>7</v>
      </c>
      <c r="BC127" s="27" t="s">
        <v>8</v>
      </c>
      <c r="BD127" s="27" t="s">
        <v>7</v>
      </c>
      <c r="BE127" s="27" t="s">
        <v>8</v>
      </c>
      <c r="BF127" s="27" t="s">
        <v>7</v>
      </c>
      <c r="BG127" s="27" t="s">
        <v>8</v>
      </c>
      <c r="BH127" s="27" t="s">
        <v>7</v>
      </c>
      <c r="BI127" s="27" t="s">
        <v>8</v>
      </c>
      <c r="BJ127" s="27" t="s">
        <v>7</v>
      </c>
      <c r="BK127" s="27" t="s">
        <v>8</v>
      </c>
      <c r="BL127" s="27" t="s">
        <v>7</v>
      </c>
      <c r="BM127" s="27" t="s">
        <v>8</v>
      </c>
      <c r="BT127" s="27" t="s">
        <v>7</v>
      </c>
    </row>
    <row r="128" spans="1:72" x14ac:dyDescent="0.25">
      <c r="A128" s="30">
        <v>0.51315811823070612</v>
      </c>
      <c r="F128" s="27" t="s">
        <v>7</v>
      </c>
      <c r="G128" s="27" t="s">
        <v>8</v>
      </c>
      <c r="I128" s="27" t="s">
        <v>8</v>
      </c>
      <c r="K128" s="27" t="s">
        <v>8</v>
      </c>
      <c r="N128" s="27" t="s">
        <v>7</v>
      </c>
      <c r="O128" s="27" t="s">
        <v>8</v>
      </c>
      <c r="P128" s="27" t="s">
        <v>7</v>
      </c>
      <c r="AA128" s="27" t="s">
        <v>8</v>
      </c>
      <c r="AB128" s="27" t="s">
        <v>7</v>
      </c>
      <c r="AC128" s="27" t="s">
        <v>8</v>
      </c>
      <c r="AD128" s="27" t="s">
        <v>7</v>
      </c>
      <c r="AQ128" s="27" t="s">
        <v>8</v>
      </c>
      <c r="AR128" s="27" t="s">
        <v>7</v>
      </c>
      <c r="AS128" s="27" t="s">
        <v>8</v>
      </c>
      <c r="AV128" s="27" t="s">
        <v>7</v>
      </c>
      <c r="AX128" s="27" t="s">
        <v>7</v>
      </c>
      <c r="AY128" s="27" t="s">
        <v>8</v>
      </c>
      <c r="AZ128" s="27" t="s">
        <v>7</v>
      </c>
      <c r="BA128" s="27" t="s">
        <v>8</v>
      </c>
      <c r="BB128" s="27" t="s">
        <v>7</v>
      </c>
      <c r="BC128" s="27" t="s">
        <v>8</v>
      </c>
      <c r="BD128" s="27" t="s">
        <v>7</v>
      </c>
      <c r="BE128" s="27" t="s">
        <v>8</v>
      </c>
      <c r="BF128" s="27" t="s">
        <v>7</v>
      </c>
      <c r="BH128" s="27" t="s">
        <v>7</v>
      </c>
      <c r="BJ128" s="27" t="s">
        <v>7</v>
      </c>
      <c r="BK128" s="27" t="s">
        <v>8</v>
      </c>
      <c r="BL128" s="27" t="s">
        <v>7</v>
      </c>
      <c r="BT128" s="27" t="s">
        <v>7</v>
      </c>
    </row>
    <row r="129" spans="1:72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H129" s="27" t="s">
        <v>7</v>
      </c>
      <c r="I129" s="27" t="s">
        <v>8</v>
      </c>
      <c r="J129" s="27" t="s">
        <v>7</v>
      </c>
      <c r="K129" s="27" t="s">
        <v>8</v>
      </c>
      <c r="N129" s="27" t="s">
        <v>7</v>
      </c>
      <c r="O129" s="27" t="s">
        <v>8</v>
      </c>
      <c r="P129" s="27" t="s">
        <v>7</v>
      </c>
      <c r="S129" s="27" t="s">
        <v>8</v>
      </c>
      <c r="AA129" s="27" t="s">
        <v>8</v>
      </c>
      <c r="AB129" s="27" t="s">
        <v>7</v>
      </c>
      <c r="AC129" s="27" t="s">
        <v>8</v>
      </c>
      <c r="AD129" s="27" t="s">
        <v>7</v>
      </c>
      <c r="AO129" s="27" t="s">
        <v>8</v>
      </c>
      <c r="AQ129" s="27" t="s">
        <v>8</v>
      </c>
      <c r="AR129" s="27" t="s">
        <v>7</v>
      </c>
      <c r="AS129" s="27" t="s">
        <v>8</v>
      </c>
      <c r="AX129" s="27" t="s">
        <v>7</v>
      </c>
      <c r="AZ129" s="27" t="s">
        <v>7</v>
      </c>
      <c r="BA129" s="27" t="s">
        <v>8</v>
      </c>
      <c r="BB129" s="27" t="s">
        <v>7</v>
      </c>
      <c r="BC129" s="27" t="s">
        <v>8</v>
      </c>
      <c r="BD129" s="27" t="s">
        <v>7</v>
      </c>
      <c r="BE129" s="27" t="s">
        <v>8</v>
      </c>
      <c r="BJ129" s="27" t="s">
        <v>7</v>
      </c>
      <c r="BT129" s="27" t="s">
        <v>7</v>
      </c>
    </row>
    <row r="130" spans="1:72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H130" s="27" t="s">
        <v>7</v>
      </c>
      <c r="I130" s="27" t="s">
        <v>8</v>
      </c>
      <c r="J130" s="27" t="s">
        <v>7</v>
      </c>
      <c r="K130" s="27" t="s">
        <v>8</v>
      </c>
      <c r="N130" s="27" t="s">
        <v>7</v>
      </c>
      <c r="O130" s="27" t="s">
        <v>8</v>
      </c>
      <c r="P130" s="27" t="s">
        <v>7</v>
      </c>
      <c r="S130" s="27" t="s">
        <v>8</v>
      </c>
      <c r="T130" s="27" t="s">
        <v>7</v>
      </c>
      <c r="U130" s="27" t="s">
        <v>8</v>
      </c>
      <c r="AA130" s="27" t="s">
        <v>8</v>
      </c>
      <c r="AB130" s="27" t="s">
        <v>7</v>
      </c>
      <c r="AD130" s="27" t="s">
        <v>7</v>
      </c>
      <c r="AO130" s="27" t="s">
        <v>8</v>
      </c>
      <c r="AP130" s="27" t="s">
        <v>7</v>
      </c>
      <c r="AQ130" s="27" t="s">
        <v>8</v>
      </c>
      <c r="AR130" s="27" t="s">
        <v>7</v>
      </c>
      <c r="AZ130" s="27" t="s">
        <v>7</v>
      </c>
      <c r="BA130" s="27" t="s">
        <v>8</v>
      </c>
      <c r="BB130" s="27" t="s">
        <v>7</v>
      </c>
      <c r="BD130" s="27" t="s">
        <v>7</v>
      </c>
      <c r="BT130" s="27" t="s">
        <v>7</v>
      </c>
    </row>
    <row r="131" spans="1:72" x14ac:dyDescent="0.25">
      <c r="A131" s="30">
        <v>0.38554328942953109</v>
      </c>
      <c r="E131"/>
      <c r="F131" s="27" t="s">
        <v>7</v>
      </c>
      <c r="H131" s="27" t="s">
        <v>7</v>
      </c>
      <c r="J131" s="27" t="s">
        <v>7</v>
      </c>
      <c r="N131" s="27" t="s">
        <v>7</v>
      </c>
      <c r="P131" s="27" t="s">
        <v>7</v>
      </c>
      <c r="Q131" s="27" t="s">
        <v>8</v>
      </c>
      <c r="S131" s="27" t="s">
        <v>8</v>
      </c>
      <c r="T131" s="27" t="s">
        <v>7</v>
      </c>
      <c r="U131" s="27" t="s">
        <v>8</v>
      </c>
      <c r="V131" s="27" t="s">
        <v>7</v>
      </c>
      <c r="AA131" s="27" t="s">
        <v>8</v>
      </c>
      <c r="AD131" s="27" t="s">
        <v>7</v>
      </c>
      <c r="AO131" s="27" t="s">
        <v>8</v>
      </c>
      <c r="AP131" s="27" t="s">
        <v>7</v>
      </c>
      <c r="AQ131" s="27" t="s">
        <v>8</v>
      </c>
      <c r="AZ131" s="27" t="s">
        <v>7</v>
      </c>
      <c r="BA131" s="27" t="s">
        <v>8</v>
      </c>
      <c r="BT131" s="27" t="s">
        <v>7</v>
      </c>
    </row>
    <row r="132" spans="1:72" x14ac:dyDescent="0.25">
      <c r="A132" s="30">
        <v>0.35049389948139187</v>
      </c>
      <c r="C132" s="1" t="s">
        <v>13</v>
      </c>
      <c r="E132"/>
      <c r="P132" s="27" t="s">
        <v>7</v>
      </c>
      <c r="Q132" s="27" t="s">
        <v>8</v>
      </c>
      <c r="R132" s="27" t="s">
        <v>7</v>
      </c>
      <c r="S132" s="27" t="s">
        <v>8</v>
      </c>
      <c r="T132" s="27" t="s">
        <v>7</v>
      </c>
      <c r="U132" s="27" t="s">
        <v>8</v>
      </c>
      <c r="V132" s="27" t="s">
        <v>7</v>
      </c>
      <c r="AA132" s="27" t="s">
        <v>8</v>
      </c>
      <c r="AD132" s="27" t="s">
        <v>7</v>
      </c>
      <c r="AG132" s="27" t="s">
        <v>8</v>
      </c>
      <c r="AO132" s="27" t="s">
        <v>8</v>
      </c>
      <c r="AP132" s="27" t="s">
        <v>7</v>
      </c>
      <c r="AQ132" s="27" t="s">
        <v>8</v>
      </c>
      <c r="AZ132" s="18" t="s">
        <v>7</v>
      </c>
      <c r="BA132" s="27" t="s">
        <v>8</v>
      </c>
      <c r="BT132" s="27" t="s">
        <v>7</v>
      </c>
    </row>
    <row r="133" spans="1:72" x14ac:dyDescent="0.25">
      <c r="A133" s="30">
        <v>0.31863081771035617</v>
      </c>
      <c r="C133" s="1" t="str">
        <f>C122</f>
        <v>O</v>
      </c>
      <c r="E133"/>
      <c r="P133" s="27" t="s">
        <v>7</v>
      </c>
      <c r="Q133" s="27" t="s">
        <v>8</v>
      </c>
      <c r="R133" s="27" t="s">
        <v>7</v>
      </c>
      <c r="S133" s="27" t="s">
        <v>8</v>
      </c>
      <c r="T133" s="27" t="s">
        <v>7</v>
      </c>
      <c r="U133" s="27" t="s">
        <v>8</v>
      </c>
      <c r="V133" s="27" t="s">
        <v>7</v>
      </c>
      <c r="AA133" s="27" t="s">
        <v>8</v>
      </c>
      <c r="AD133" s="27" t="s">
        <v>7</v>
      </c>
      <c r="AE133" s="27" t="s">
        <v>8</v>
      </c>
      <c r="AG133" s="27" t="s">
        <v>8</v>
      </c>
      <c r="AH133" s="27" t="s">
        <v>7</v>
      </c>
      <c r="AI133" s="27" t="s">
        <v>8</v>
      </c>
      <c r="AK133" s="27" t="s">
        <v>8</v>
      </c>
      <c r="AO133" s="27" t="s">
        <v>8</v>
      </c>
      <c r="AP133" s="27" t="s">
        <v>7</v>
      </c>
      <c r="AQ133" s="27" t="s">
        <v>8</v>
      </c>
      <c r="AZ133" s="27" t="s">
        <v>7</v>
      </c>
      <c r="BT133" s="27" t="s">
        <v>7</v>
      </c>
    </row>
    <row r="134" spans="1:72" x14ac:dyDescent="0.25">
      <c r="A134" s="30">
        <v>0.28966437973668741</v>
      </c>
      <c r="C134"/>
      <c r="D134"/>
      <c r="E134"/>
      <c r="P134" s="27" t="s">
        <v>7</v>
      </c>
      <c r="Q134" s="27" t="s">
        <v>8</v>
      </c>
      <c r="R134" s="27" t="s">
        <v>7</v>
      </c>
      <c r="T134" s="27" t="s">
        <v>7</v>
      </c>
      <c r="U134" s="27" t="s">
        <v>8</v>
      </c>
      <c r="V134" s="27" t="s">
        <v>7</v>
      </c>
      <c r="W134" s="27" t="s">
        <v>8</v>
      </c>
      <c r="AA134" s="27" t="s">
        <v>8</v>
      </c>
      <c r="AD134" s="27" t="s">
        <v>7</v>
      </c>
      <c r="AE134" s="27" t="s">
        <v>8</v>
      </c>
      <c r="AF134" s="27" t="s">
        <v>7</v>
      </c>
      <c r="AG134" s="27" t="s">
        <v>8</v>
      </c>
      <c r="AH134" s="27" t="s">
        <v>7</v>
      </c>
      <c r="AI134" s="27" t="s">
        <v>8</v>
      </c>
      <c r="AJ134" s="27" t="s">
        <v>7</v>
      </c>
      <c r="AK134" s="27" t="s">
        <v>8</v>
      </c>
      <c r="AL134" s="27" t="s">
        <v>7</v>
      </c>
      <c r="AM134" s="27" t="s">
        <v>8</v>
      </c>
      <c r="AO134" s="27" t="s">
        <v>8</v>
      </c>
      <c r="AP134" s="27" t="s">
        <v>7</v>
      </c>
    </row>
    <row r="135" spans="1:72" x14ac:dyDescent="0.25">
      <c r="A135" s="30">
        <v>0.2633312543060794</v>
      </c>
      <c r="C135" s="1" t="s">
        <v>14</v>
      </c>
      <c r="E135"/>
      <c r="P135" s="27" t="s">
        <v>7</v>
      </c>
      <c r="T135" s="27" t="s">
        <v>7</v>
      </c>
      <c r="U135" s="27" t="s">
        <v>8</v>
      </c>
      <c r="V135" s="27" t="s">
        <v>7</v>
      </c>
      <c r="W135" s="27" t="s">
        <v>8</v>
      </c>
      <c r="X135" s="27" t="s">
        <v>7</v>
      </c>
      <c r="Y135" s="27" t="s">
        <v>8</v>
      </c>
      <c r="AA135" s="27" t="s">
        <v>8</v>
      </c>
      <c r="AD135" s="27" t="s">
        <v>7</v>
      </c>
      <c r="AE135" s="27" t="s">
        <v>8</v>
      </c>
      <c r="AF135" s="27" t="s">
        <v>7</v>
      </c>
      <c r="AG135" s="27" t="s">
        <v>8</v>
      </c>
      <c r="AH135" s="27" t="s">
        <v>7</v>
      </c>
      <c r="AI135" s="27" t="s">
        <v>8</v>
      </c>
      <c r="AJ135" s="27" t="s">
        <v>7</v>
      </c>
      <c r="AK135" s="27" t="s">
        <v>8</v>
      </c>
      <c r="AL135" s="27" t="s">
        <v>7</v>
      </c>
      <c r="AM135" s="27" t="s">
        <v>8</v>
      </c>
      <c r="AN135" s="27" t="s">
        <v>7</v>
      </c>
      <c r="AO135" s="27" t="s">
        <v>8</v>
      </c>
    </row>
    <row r="136" spans="1:7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T136" s="27" t="s">
        <v>7</v>
      </c>
      <c r="V136" s="27" t="s">
        <v>7</v>
      </c>
      <c r="W136" s="27" t="s">
        <v>8</v>
      </c>
      <c r="X136" s="27" t="s">
        <v>7</v>
      </c>
      <c r="Y136" s="27" t="s">
        <v>8</v>
      </c>
      <c r="Z136" s="27" t="s">
        <v>7</v>
      </c>
      <c r="AA136" s="27" t="s">
        <v>8</v>
      </c>
      <c r="AD136" s="27" t="s">
        <v>7</v>
      </c>
      <c r="AF136" s="27" t="s">
        <v>7</v>
      </c>
      <c r="AG136" s="27" t="s">
        <v>8</v>
      </c>
      <c r="AH136" s="27" t="s">
        <v>7</v>
      </c>
      <c r="AJ136" s="27" t="s">
        <v>7</v>
      </c>
      <c r="AK136" s="27" t="s">
        <v>8</v>
      </c>
      <c r="AL136" s="27" t="s">
        <v>7</v>
      </c>
      <c r="AM136" s="27" t="s">
        <v>8</v>
      </c>
      <c r="AN136" s="27" t="s">
        <v>7</v>
      </c>
      <c r="AO136" s="27" t="s">
        <v>8</v>
      </c>
    </row>
    <row r="137" spans="1:72" x14ac:dyDescent="0.25">
      <c r="A137" s="30">
        <v>0.2176291357901482</v>
      </c>
      <c r="E137"/>
      <c r="V137" s="27" t="s">
        <v>7</v>
      </c>
      <c r="W137" s="27" t="s">
        <v>8</v>
      </c>
      <c r="X137" s="27" t="s">
        <v>7</v>
      </c>
      <c r="Y137" s="27" t="s">
        <v>8</v>
      </c>
      <c r="Z137" s="27" t="s">
        <v>7</v>
      </c>
      <c r="AA137" s="27" t="s">
        <v>8</v>
      </c>
      <c r="AF137" s="27" t="s">
        <v>7</v>
      </c>
      <c r="AG137" s="27" t="s">
        <v>8</v>
      </c>
      <c r="AJ137" s="27" t="s">
        <v>7</v>
      </c>
      <c r="AL137" s="27" t="s">
        <v>7</v>
      </c>
      <c r="AN137" s="27" t="s">
        <v>7</v>
      </c>
    </row>
    <row r="138" spans="1:7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V138" s="27" t="s">
        <v>7</v>
      </c>
      <c r="W138" s="27" t="s">
        <v>8</v>
      </c>
      <c r="X138" s="27" t="s">
        <v>7</v>
      </c>
      <c r="Y138" s="27" t="s">
        <v>8</v>
      </c>
      <c r="Z138" s="27" t="s">
        <v>7</v>
      </c>
      <c r="AF138" s="27" t="s">
        <v>7</v>
      </c>
    </row>
    <row r="139" spans="1:72" x14ac:dyDescent="0.25">
      <c r="A139" s="30">
        <v>0.17985878990921333</v>
      </c>
      <c r="E139"/>
      <c r="V139" s="27" t="s">
        <v>7</v>
      </c>
      <c r="W139" s="27" t="s">
        <v>8</v>
      </c>
      <c r="X139" s="27" t="s">
        <v>7</v>
      </c>
      <c r="Y139" s="27" t="s">
        <v>8</v>
      </c>
    </row>
    <row r="140" spans="1:72" x14ac:dyDescent="0.25">
      <c r="A140" s="30">
        <v>0.16350799082655756</v>
      </c>
      <c r="C140" s="1">
        <v>0</v>
      </c>
      <c r="E140"/>
      <c r="V140" s="27" t="s">
        <v>7</v>
      </c>
      <c r="W140" s="27" t="s">
        <v>8</v>
      </c>
      <c r="X140" s="27" t="s">
        <v>7</v>
      </c>
    </row>
    <row r="141" spans="1:72" x14ac:dyDescent="0.25">
      <c r="A141" s="30">
        <v>0.14864362802414322</v>
      </c>
      <c r="C141" s="1">
        <v>1</v>
      </c>
      <c r="E141"/>
      <c r="V141" s="27" t="s">
        <v>7</v>
      </c>
      <c r="W141" s="27" t="s">
        <v>8</v>
      </c>
    </row>
    <row r="142" spans="1:72" x14ac:dyDescent="0.25">
      <c r="A142" s="30">
        <v>0.13513057093103928</v>
      </c>
      <c r="C142" s="1">
        <v>2</v>
      </c>
      <c r="E142"/>
      <c r="V142" s="27" t="s">
        <v>7</v>
      </c>
      <c r="W142" s="27" t="s">
        <v>8</v>
      </c>
    </row>
    <row r="143" spans="1:72" x14ac:dyDescent="0.25">
      <c r="A143" s="30">
        <v>0.12284597357367205</v>
      </c>
      <c r="C143" s="1">
        <v>3</v>
      </c>
      <c r="E143"/>
      <c r="V143" s="27" t="s">
        <v>7</v>
      </c>
      <c r="W143" s="27" t="s">
        <v>8</v>
      </c>
    </row>
    <row r="144" spans="1:72" x14ac:dyDescent="0.25">
      <c r="A144" s="30">
        <v>0.11167815779424731</v>
      </c>
      <c r="C144" s="1">
        <v>4</v>
      </c>
      <c r="E144"/>
      <c r="V144" s="27" t="s">
        <v>7</v>
      </c>
      <c r="W144" s="27" t="s">
        <v>8</v>
      </c>
    </row>
    <row r="145" spans="1:23" x14ac:dyDescent="0.25">
      <c r="A145" s="30">
        <v>0.10152559799477026</v>
      </c>
      <c r="B145"/>
      <c r="C145"/>
      <c r="D145"/>
      <c r="E145"/>
      <c r="V145" s="27" t="s">
        <v>7</v>
      </c>
      <c r="W145" s="27" t="s">
        <v>8</v>
      </c>
    </row>
    <row r="146" spans="1:23" x14ac:dyDescent="0.25">
      <c r="A146" s="30">
        <v>9.2295998177063854E-2</v>
      </c>
      <c r="B146"/>
      <c r="C146"/>
      <c r="D146"/>
      <c r="E146"/>
      <c r="V146" s="27" t="s">
        <v>7</v>
      </c>
    </row>
    <row r="147" spans="1:23" x14ac:dyDescent="0.25">
      <c r="A147" s="30">
        <v>8.3905452888239848E-2</v>
      </c>
      <c r="B147"/>
      <c r="C147"/>
      <c r="D147"/>
      <c r="E147"/>
    </row>
    <row r="148" spans="1:23" x14ac:dyDescent="0.25">
      <c r="A148" s="30">
        <v>7.6277684443854396E-2</v>
      </c>
      <c r="B148"/>
      <c r="C148"/>
      <c r="D148"/>
      <c r="E148"/>
    </row>
    <row r="149" spans="1:23" x14ac:dyDescent="0.25">
      <c r="A149" s="30">
        <v>6.9343349494413078E-2</v>
      </c>
      <c r="B149"/>
      <c r="C149"/>
      <c r="D149"/>
      <c r="E149"/>
    </row>
    <row r="150" spans="1:23" x14ac:dyDescent="0.25">
      <c r="A150" s="30">
        <v>6.3039408631284613E-2</v>
      </c>
      <c r="B150"/>
      <c r="C150"/>
      <c r="D150"/>
      <c r="E150"/>
    </row>
    <row r="151" spans="1:23" x14ac:dyDescent="0.25">
      <c r="A151" s="30">
        <v>5.7308553301167818E-2</v>
      </c>
      <c r="B151"/>
      <c r="C151"/>
      <c r="D151"/>
      <c r="E151"/>
    </row>
    <row r="152" spans="1:23" x14ac:dyDescent="0.25">
      <c r="A152" s="30">
        <v>5.2098684819243464E-2</v>
      </c>
      <c r="B152"/>
      <c r="C152"/>
      <c r="D152"/>
      <c r="E152"/>
    </row>
    <row r="153" spans="1:23" x14ac:dyDescent="0.25">
      <c r="A153" s="30">
        <v>4.7362440744766775E-2</v>
      </c>
      <c r="B153"/>
      <c r="C153"/>
      <c r="D153"/>
      <c r="E153"/>
    </row>
    <row r="154" spans="1:23" x14ac:dyDescent="0.25">
      <c r="A154" s="30">
        <v>4.3056764313424332E-2</v>
      </c>
      <c r="B154"/>
      <c r="C154"/>
      <c r="D154"/>
      <c r="E154"/>
    </row>
    <row r="155" spans="1:23" x14ac:dyDescent="0.25">
      <c r="A155" s="30">
        <v>3.9142513012203929E-2</v>
      </c>
      <c r="B155"/>
      <c r="C155"/>
      <c r="D155"/>
      <c r="E155"/>
    </row>
    <row r="156" spans="1:23" x14ac:dyDescent="0.25">
      <c r="A156" s="30">
        <v>3.55841027383672E-2</v>
      </c>
      <c r="B156"/>
      <c r="C156"/>
      <c r="D156"/>
      <c r="E156"/>
    </row>
    <row r="157" spans="1:23" x14ac:dyDescent="0.25">
      <c r="A157" s="30">
        <v>3.2349184307606541E-2</v>
      </c>
      <c r="B157"/>
      <c r="C157"/>
      <c r="D157"/>
      <c r="E157"/>
    </row>
    <row r="158" spans="1:23" x14ac:dyDescent="0.25">
      <c r="A158" s="30">
        <v>2.9408349370551395E-2</v>
      </c>
      <c r="B158"/>
      <c r="C158"/>
      <c r="D158"/>
      <c r="E158"/>
    </row>
    <row r="159" spans="1:23" x14ac:dyDescent="0.25">
      <c r="A159" s="30">
        <v>2.6734863064137627E-2</v>
      </c>
      <c r="B159"/>
      <c r="C159"/>
      <c r="D159"/>
      <c r="E159"/>
    </row>
    <row r="160" spans="1:23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595" operator="equal">
      <formula>$U$1</formula>
    </cfRule>
    <cfRule type="cellIs" dxfId="30" priority="1596" operator="equal">
      <formula>$S$1</formula>
    </cfRule>
  </conditionalFormatting>
  <conditionalFormatting sqref="D136">
    <cfRule type="cellIs" dxfId="29" priority="1593" operator="equal">
      <formula>$S$1</formula>
    </cfRule>
    <cfRule type="cellIs" dxfId="28" priority="1594" operator="equal">
      <formula>$U$1</formula>
    </cfRule>
  </conditionalFormatting>
  <conditionalFormatting sqref="C102">
    <cfRule type="cellIs" dxfId="27" priority="1591" operator="equal">
      <formula>$U$1</formula>
    </cfRule>
    <cfRule type="cellIs" dxfId="26" priority="1592" operator="equal">
      <formula>$S$1</formula>
    </cfRule>
  </conditionalFormatting>
  <conditionalFormatting sqref="D102">
    <cfRule type="cellIs" dxfId="25" priority="1589" operator="equal">
      <formula>$S$1</formula>
    </cfRule>
    <cfRule type="cellIs" dxfId="24" priority="1590" operator="equal">
      <formula>$U$1</formula>
    </cfRule>
  </conditionalFormatting>
  <conditionalFormatting sqref="C77">
    <cfRule type="cellIs" dxfId="23" priority="1587" operator="equal">
      <formula>$U$1</formula>
    </cfRule>
    <cfRule type="cellIs" dxfId="22" priority="1588" operator="equal">
      <formula>$S$1</formula>
    </cfRule>
  </conditionalFormatting>
  <conditionalFormatting sqref="D77">
    <cfRule type="cellIs" dxfId="21" priority="1585" operator="equal">
      <formula>$S$1</formula>
    </cfRule>
    <cfRule type="cellIs" dxfId="20" priority="1586" operator="equal">
      <formula>$U$1</formula>
    </cfRule>
  </conditionalFormatting>
  <conditionalFormatting sqref="C52">
    <cfRule type="cellIs" dxfId="19" priority="1583" operator="equal">
      <formula>$U$1</formula>
    </cfRule>
    <cfRule type="cellIs" dxfId="18" priority="1584" operator="equal">
      <formula>$S$1</formula>
    </cfRule>
  </conditionalFormatting>
  <conditionalFormatting sqref="D52">
    <cfRule type="cellIs" dxfId="17" priority="1581" operator="equal">
      <formula>$S$1</formula>
    </cfRule>
    <cfRule type="cellIs" dxfId="16" priority="1582" operator="equal">
      <formula>$U$1</formula>
    </cfRule>
  </conditionalFormatting>
  <conditionalFormatting sqref="C26">
    <cfRule type="cellIs" dxfId="15" priority="1579" operator="equal">
      <formula>$U$1</formula>
    </cfRule>
    <cfRule type="cellIs" dxfId="14" priority="1580" operator="equal">
      <formula>$S$1</formula>
    </cfRule>
  </conditionalFormatting>
  <conditionalFormatting sqref="D26">
    <cfRule type="cellIs" dxfId="13" priority="1577" operator="equal">
      <formula>$S$1</formula>
    </cfRule>
    <cfRule type="cellIs" dxfId="12" priority="157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2022-01-28T01:19:30Z</dcterms:modified>
</cp:coreProperties>
</file>