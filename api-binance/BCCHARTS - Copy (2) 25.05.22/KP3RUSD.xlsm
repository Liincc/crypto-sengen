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3978123-BDFA-4A64-B551-E9D0BB03255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C136" i="4" s="1"/>
  <c r="R765" i="1"/>
  <c r="C118" i="5"/>
  <c r="C118" i="4"/>
  <c r="C122" i="3"/>
  <c r="C133" i="3" s="1"/>
  <c r="D136" i="3" s="1"/>
  <c r="C118" i="3"/>
  <c r="C136" i="5" l="1"/>
  <c r="C138" i="5" s="1"/>
  <c r="D136" i="4"/>
  <c r="C138" i="4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S746" i="1" l="1"/>
  <c r="T746" i="1" s="1"/>
  <c r="R745" i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S725" i="1" l="1"/>
  <c r="T725" i="1" s="1"/>
  <c r="R724" i="1"/>
  <c r="R723" i="1" l="1"/>
  <c r="S724" i="1"/>
  <c r="T724" i="1" s="1"/>
  <c r="R722" i="1" l="1"/>
  <c r="S723" i="1"/>
  <c r="T723" i="1" s="1"/>
  <c r="S722" i="1" l="1"/>
  <c r="T722" i="1" s="1"/>
  <c r="R721" i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R670" i="1" l="1"/>
  <c r="S671" i="1"/>
  <c r="T671" i="1" s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S605" i="1" l="1"/>
  <c r="T605" i="1" s="1"/>
  <c r="R604" i="1"/>
  <c r="R603" i="1" l="1"/>
  <c r="S604" i="1"/>
  <c r="T604" i="1" s="1"/>
  <c r="R602" i="1" l="1"/>
  <c r="S603" i="1"/>
  <c r="T603" i="1" s="1"/>
  <c r="S602" i="1" l="1"/>
  <c r="T602" i="1" s="1"/>
  <c r="R601" i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R556" i="1" l="1"/>
  <c r="S557" i="1"/>
  <c r="T557" i="1" s="1"/>
  <c r="R555" i="1" l="1"/>
  <c r="S556" i="1"/>
  <c r="T556" i="1" s="1"/>
  <c r="S555" i="1" l="1"/>
  <c r="T555" i="1" s="1"/>
  <c r="R554" i="1"/>
  <c r="R553" i="1" l="1"/>
  <c r="S554" i="1"/>
  <c r="T554" i="1" s="1"/>
  <c r="S553" i="1" l="1"/>
  <c r="T553" i="1" s="1"/>
  <c r="R552" i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S447" i="1" l="1"/>
  <c r="T447" i="1" s="1"/>
  <c r="R446" i="1"/>
  <c r="S446" i="1" l="1"/>
  <c r="T446" i="1" s="1"/>
  <c r="R445" i="1"/>
  <c r="S445" i="1" l="1"/>
  <c r="T445" i="1" s="1"/>
  <c r="R444" i="1"/>
  <c r="S444" i="1" l="1"/>
  <c r="T444" i="1" s="1"/>
  <c r="R443" i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S304" i="1" l="1"/>
  <c r="T304" i="1" s="1"/>
  <c r="R303" i="1"/>
  <c r="S303" i="1" l="1"/>
  <c r="T303" i="1" s="1"/>
  <c r="R302" i="1"/>
  <c r="S302" i="1" l="1"/>
  <c r="T302" i="1" s="1"/>
  <c r="R301" i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S258" i="1" l="1"/>
  <c r="T258" i="1" s="1"/>
  <c r="R257" i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S242" i="1" l="1"/>
  <c r="T242" i="1" s="1"/>
  <c r="R241" i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S213" i="1" l="1"/>
  <c r="T213" i="1" s="1"/>
  <c r="R212" i="1"/>
  <c r="S212" i="1" l="1"/>
  <c r="T212" i="1" s="1"/>
  <c r="R211" i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S205" i="1" l="1"/>
  <c r="T205" i="1" s="1"/>
  <c r="R204" i="1"/>
  <c r="R203" i="1" l="1"/>
  <c r="S204" i="1"/>
  <c r="T204" i="1" s="1"/>
  <c r="S203" i="1" l="1"/>
  <c r="T203" i="1" s="1"/>
  <c r="R202" i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R110" i="1" l="1"/>
  <c r="S111" i="1"/>
  <c r="T111" i="1" s="1"/>
  <c r="S110" i="1" l="1"/>
  <c r="T110" i="1" s="1"/>
  <c r="R109" i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S102" i="1" l="1"/>
  <c r="T102" i="1" s="1"/>
  <c r="R101" i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S94" i="1" l="1"/>
  <c r="T94" i="1" s="1"/>
  <c r="R93" i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<sst xmlns="http://schemas.openxmlformats.org/spreadsheetml/2006/main" count="6819" uniqueCount="34">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</sst>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1038.3499999999999</c:v>
                </c:pt>
                <c:pt idx="1">
                  <c:v>1092.97</c:v>
                </c:pt>
                <c:pt idx="2">
                  <c:v>1138.05</c:v>
                </c:pt>
                <c:pt idx="3">
                  <c:v>1182.22</c:v>
                </c:pt>
                <c:pt idx="4">
                  <c:v>1247</c:v>
                </c:pt>
                <c:pt idx="5">
                  <c:v>1038.07</c:v>
                </c:pt>
                <c:pt idx="6">
                  <c:v>1060.26</c:v>
                </c:pt>
                <c:pt idx="7">
                  <c:v>1347.88</c:v>
                </c:pt>
                <c:pt idx="8">
                  <c:v>1539.56</c:v>
                </c:pt>
                <c:pt idx="9">
                  <c:v>1419.34</c:v>
                </c:pt>
                <c:pt idx="10">
                  <c:v>1596.52</c:v>
                </c:pt>
                <c:pt idx="11">
                  <c:v>1865.06</c:v>
                </c:pt>
                <c:pt idx="12">
                  <c:v>1677.08</c:v>
                </c:pt>
                <c:pt idx="13">
                  <c:v>1685.86</c:v>
                </c:pt>
                <c:pt idx="14">
                  <c:v>1560.38</c:v>
                </c:pt>
                <c:pt idx="15">
                  <c:v>1491.98</c:v>
                </c:pt>
                <c:pt idx="16">
                  <c:v>1365.98</c:v>
                </c:pt>
                <c:pt idx="17">
                  <c:v>1064.46</c:v>
                </c:pt>
                <c:pt idx="18">
                  <c:v>1062.6500000000001</c:v>
                </c:pt>
                <c:pt idx="19">
                  <c:v>1090.98</c:v>
                </c:pt>
                <c:pt idx="20">
                  <c:v>1203.8599999999999</c:v>
                </c:pt>
                <c:pt idx="21">
                  <c:v>1298</c:v>
                </c:pt>
                <c:pt idx="22">
                  <c:v>1057.74</c:v>
                </c:pt>
                <c:pt idx="23">
                  <c:v>1167.08</c:v>
                </c:pt>
                <c:pt idx="24">
                  <c:v>1293.9000000000001</c:v>
                </c:pt>
                <c:pt idx="25">
                  <c:v>1181.1199999999999</c:v>
                </c:pt>
                <c:pt idx="26">
                  <c:v>1204.6500000000001</c:v>
                </c:pt>
                <c:pt idx="27">
                  <c:v>892.75</c:v>
                </c:pt>
                <c:pt idx="28">
                  <c:v>722.97</c:v>
                </c:pt>
                <c:pt idx="29">
                  <c:v>722.11</c:v>
                </c:pt>
                <c:pt idx="30">
                  <c:v>746.54</c:v>
                </c:pt>
                <c:pt idx="31">
                  <c:v>813.05</c:v>
                </c:pt>
                <c:pt idx="32">
                  <c:v>860.5</c:v>
                </c:pt>
                <c:pt idx="33">
                  <c:v>881</c:v>
                </c:pt>
                <c:pt idx="34">
                  <c:v>878.44</c:v>
                </c:pt>
                <c:pt idx="35">
                  <c:v>959.98</c:v>
                </c:pt>
                <c:pt idx="36">
                  <c:v>869.64</c:v>
                </c:pt>
                <c:pt idx="37">
                  <c:v>883</c:v>
                </c:pt>
                <c:pt idx="38">
                  <c:v>772.36</c:v>
                </c:pt>
                <c:pt idx="39">
                  <c:v>762.71</c:v>
                </c:pt>
                <c:pt idx="40">
                  <c:v>791.81</c:v>
                </c:pt>
                <c:pt idx="41">
                  <c:v>653.39</c:v>
                </c:pt>
                <c:pt idx="42">
                  <c:v>709.06</c:v>
                </c:pt>
                <c:pt idx="43">
                  <c:v>707</c:v>
                </c:pt>
                <c:pt idx="44">
                  <c:v>598.16</c:v>
                </c:pt>
                <c:pt idx="45">
                  <c:v>608.99</c:v>
                </c:pt>
                <c:pt idx="46">
                  <c:v>732.86</c:v>
                </c:pt>
                <c:pt idx="47">
                  <c:v>776.35</c:v>
                </c:pt>
                <c:pt idx="48">
                  <c:v>776.19</c:v>
                </c:pt>
                <c:pt idx="49">
                  <c:v>791.66</c:v>
                </c:pt>
                <c:pt idx="50">
                  <c:v>848.87</c:v>
                </c:pt>
                <c:pt idx="51">
                  <c:v>867.61</c:v>
                </c:pt>
                <c:pt idx="52">
                  <c:v>866.04</c:v>
                </c:pt>
                <c:pt idx="53">
                  <c:v>1090.6400000000001</c:v>
                </c:pt>
                <c:pt idx="54">
                  <c:v>807.34</c:v>
                </c:pt>
                <c:pt idx="55">
                  <c:v>967.92</c:v>
                </c:pt>
                <c:pt idx="56">
                  <c:v>1035.8599999999999</c:v>
                </c:pt>
                <c:pt idx="57">
                  <c:v>1078.6199999999999</c:v>
                </c:pt>
                <c:pt idx="58">
                  <c:v>1080.6300000000001</c:v>
                </c:pt>
                <c:pt idx="59">
                  <c:v>1120.5899999999999</c:v>
                </c:pt>
                <c:pt idx="60">
                  <c:v>1179.54</c:v>
                </c:pt>
                <c:pt idx="61">
                  <c:v>1036.1500000000001</c:v>
                </c:pt>
                <c:pt idx="62">
                  <c:v>1005</c:v>
                </c:pt>
                <c:pt idx="63">
                  <c:v>1203.1099999999999</c:v>
                </c:pt>
                <c:pt idx="64">
                  <c:v>1290.54</c:v>
                </c:pt>
                <c:pt idx="65">
                  <c:v>1302</c:v>
                </c:pt>
                <c:pt idx="66">
                  <c:v>1327.26</c:v>
                </c:pt>
                <c:pt idx="67">
                  <c:v>1227.33</c:v>
                </c:pt>
                <c:pt idx="68">
                  <c:v>1212.1099999999999</c:v>
                </c:pt>
                <c:pt idx="69">
                  <c:v>1294.52</c:v>
                </c:pt>
                <c:pt idx="70">
                  <c:v>1263.82</c:v>
                </c:pt>
                <c:pt idx="71">
                  <c:v>1443.05</c:v>
                </c:pt>
                <c:pt idx="72">
                  <c:v>1586.67</c:v>
                </c:pt>
                <c:pt idx="73">
                  <c:v>1640.01</c:v>
                </c:pt>
                <c:pt idx="74">
                  <c:v>1670.04</c:v>
                </c:pt>
                <c:pt idx="75">
                  <c:v>1658.01</c:v>
                </c:pt>
                <c:pt idx="76">
                  <c:v>1490.57</c:v>
                </c:pt>
                <c:pt idx="77">
                  <c:v>1056.0899999999999</c:v>
                </c:pt>
                <c:pt idx="78">
                  <c:v>1130.06</c:v>
                </c:pt>
                <c:pt idx="79">
                  <c:v>804</c:v>
                </c:pt>
                <c:pt idx="80">
                  <c:v>446.08</c:v>
                </c:pt>
                <c:pt idx="81">
                  <c:v>357.86</c:v>
                </c:pt>
                <c:pt idx="82">
                  <c:v>337.97</c:v>
                </c:pt>
                <c:pt idx="83">
                  <c:v>328.88</c:v>
                </c:pt>
                <c:pt idx="84">
                  <c:v>329.99</c:v>
                </c:pt>
                <c:pt idx="85">
                  <c:v>358.75</c:v>
                </c:pt>
                <c:pt idx="86">
                  <c:v>371.27</c:v>
                </c:pt>
                <c:pt idx="87">
                  <c:v>366.16</c:v>
                </c:pt>
                <c:pt idx="88">
                  <c:v>366.33</c:v>
                </c:pt>
                <c:pt idx="89">
                  <c:v>371.84</c:v>
                </c:pt>
                <c:pt idx="90">
                  <c:v>386.84</c:v>
                </c:pt>
                <c:pt idx="91">
                  <c:v>384.93</c:v>
                </c:pt>
                <c:pt idx="92">
                  <c:v>350.51</c:v>
                </c:pt>
                <c:pt idx="93">
                  <c:v>384.89</c:v>
                </c:pt>
                <c:pt idx="94">
                  <c:v>383</c:v>
                </c:pt>
                <c:pt idx="95">
                  <c:v>334.95</c:v>
                </c:pt>
                <c:pt idx="96">
                  <c:v>328</c:v>
                </c:pt>
                <c:pt idx="97">
                  <c:v>312.69</c:v>
                </c:pt>
                <c:pt idx="98">
                  <c:v>314.74</c:v>
                </c:pt>
                <c:pt idx="99">
                  <c:v>322.45</c:v>
                </c:pt>
                <c:pt idx="100">
                  <c:v>312.07</c:v>
                </c:pt>
                <c:pt idx="101">
                  <c:v>308.69</c:v>
                </c:pt>
                <c:pt idx="102">
                  <c:v>311</c:v>
                </c:pt>
                <c:pt idx="103">
                  <c:v>311.70999999999998</c:v>
                </c:pt>
                <c:pt idx="104">
                  <c:v>325.79000000000002</c:v>
                </c:pt>
                <c:pt idx="105">
                  <c:v>335.78</c:v>
                </c:pt>
                <c:pt idx="106">
                  <c:v>322.35000000000002</c:v>
                </c:pt>
                <c:pt idx="107">
                  <c:v>321.60000000000002</c:v>
                </c:pt>
                <c:pt idx="108">
                  <c:v>310.97000000000003</c:v>
                </c:pt>
                <c:pt idx="109">
                  <c:v>306.08</c:v>
                </c:pt>
                <c:pt idx="110">
                  <c:v>328.22</c:v>
                </c:pt>
                <c:pt idx="111">
                  <c:v>341.67</c:v>
                </c:pt>
                <c:pt idx="112">
                  <c:v>303.08999999999997</c:v>
                </c:pt>
                <c:pt idx="113">
                  <c:v>306.16000000000003</c:v>
                </c:pt>
                <c:pt idx="114">
                  <c:v>310.41000000000003</c:v>
                </c:pt>
                <c:pt idx="115">
                  <c:v>307.22000000000003</c:v>
                </c:pt>
                <c:pt idx="116">
                  <c:v>322.17</c:v>
                </c:pt>
                <c:pt idx="117">
                  <c:v>330</c:v>
                </c:pt>
                <c:pt idx="118">
                  <c:v>324.58999999999997</c:v>
                </c:pt>
                <c:pt idx="119">
                  <c:v>299.33999999999997</c:v>
                </c:pt>
                <c:pt idx="120">
                  <c:v>279.66000000000003</c:v>
                </c:pt>
                <c:pt idx="121">
                  <c:v>276</c:v>
                </c:pt>
                <c:pt idx="122">
                  <c:v>293.64999999999998</c:v>
                </c:pt>
                <c:pt idx="123">
                  <c:v>308.91000000000003</c:v>
                </c:pt>
                <c:pt idx="124">
                  <c:v>336.67</c:v>
                </c:pt>
                <c:pt idx="125">
                  <c:v>332.48</c:v>
                </c:pt>
                <c:pt idx="126">
                  <c:v>361.52</c:v>
                </c:pt>
                <c:pt idx="127">
                  <c:v>366.59</c:v>
                </c:pt>
                <c:pt idx="128">
                  <c:v>304.8</c:v>
                </c:pt>
                <c:pt idx="129">
                  <c:v>355.42</c:v>
                </c:pt>
                <c:pt idx="130">
                  <c:v>380.87</c:v>
                </c:pt>
                <c:pt idx="131">
                  <c:v>407.52</c:v>
                </c:pt>
                <c:pt idx="132">
                  <c:v>405.12</c:v>
                </c:pt>
                <c:pt idx="133">
                  <c:v>429.54</c:v>
                </c:pt>
                <c:pt idx="134">
                  <c:v>455.32</c:v>
                </c:pt>
                <c:pt idx="135">
                  <c:v>437.95</c:v>
                </c:pt>
                <c:pt idx="136">
                  <c:v>437.41</c:v>
                </c:pt>
                <c:pt idx="137">
                  <c:v>419.43</c:v>
                </c:pt>
                <c:pt idx="138">
                  <c:v>417.47</c:v>
                </c:pt>
                <c:pt idx="139">
                  <c:v>461.7</c:v>
                </c:pt>
                <c:pt idx="140">
                  <c:v>337.96</c:v>
                </c:pt>
                <c:pt idx="141">
                  <c:v>300</c:v>
                </c:pt>
                <c:pt idx="142">
                  <c:v>337.62</c:v>
                </c:pt>
                <c:pt idx="143">
                  <c:v>377.25</c:v>
                </c:pt>
                <c:pt idx="144">
                  <c:v>389.01</c:v>
                </c:pt>
                <c:pt idx="145">
                  <c:v>403.22</c:v>
                </c:pt>
                <c:pt idx="146">
                  <c:v>378.69</c:v>
                </c:pt>
                <c:pt idx="147">
                  <c:v>373.53</c:v>
                </c:pt>
                <c:pt idx="148">
                  <c:v>340.56</c:v>
                </c:pt>
                <c:pt idx="149">
                  <c:v>245.72</c:v>
                </c:pt>
                <c:pt idx="150">
                  <c:v>262.77999999999997</c:v>
                </c:pt>
                <c:pt idx="151">
                  <c:v>200.37</c:v>
                </c:pt>
                <c:pt idx="152">
                  <c:v>195.24</c:v>
                </c:pt>
                <c:pt idx="153">
                  <c:v>203.1</c:v>
                </c:pt>
                <c:pt idx="154">
                  <c:v>167.64</c:v>
                </c:pt>
                <c:pt idx="155">
                  <c:v>186.05</c:v>
                </c:pt>
                <c:pt idx="156">
                  <c:v>171.48</c:v>
                </c:pt>
                <c:pt idx="157">
                  <c:v>184.46</c:v>
                </c:pt>
                <c:pt idx="158">
                  <c:v>199.01</c:v>
                </c:pt>
                <c:pt idx="159">
                  <c:v>194.74</c:v>
                </c:pt>
                <c:pt idx="160">
                  <c:v>152.09</c:v>
                </c:pt>
                <c:pt idx="161">
                  <c:v>139.61000000000001</c:v>
                </c:pt>
                <c:pt idx="162">
                  <c:v>139.07</c:v>
                </c:pt>
                <c:pt idx="163">
                  <c:v>135.69999999999999</c:v>
                </c:pt>
                <c:pt idx="164">
                  <c:v>141.80000000000001</c:v>
                </c:pt>
                <c:pt idx="165">
                  <c:v>145.6</c:v>
                </c:pt>
                <c:pt idx="166">
                  <c:v>148.43</c:v>
                </c:pt>
                <c:pt idx="167">
                  <c:v>155.75</c:v>
                </c:pt>
                <c:pt idx="168">
                  <c:v>138.76</c:v>
                </c:pt>
                <c:pt idx="169">
                  <c:v>135.6</c:v>
                </c:pt>
                <c:pt idx="170">
                  <c:v>133</c:v>
                </c:pt>
                <c:pt idx="171">
                  <c:v>136.88999999999999</c:v>
                </c:pt>
                <c:pt idx="172">
                  <c:v>126.31</c:v>
                </c:pt>
                <c:pt idx="173">
                  <c:v>144.49</c:v>
                </c:pt>
                <c:pt idx="174">
                  <c:v>158.56</c:v>
                </c:pt>
                <c:pt idx="175">
                  <c:v>141.57</c:v>
                </c:pt>
                <c:pt idx="176">
                  <c:v>86.08</c:v>
                </c:pt>
                <c:pt idx="177">
                  <c:v>85.36</c:v>
                </c:pt>
                <c:pt idx="178">
                  <c:v>88.52</c:v>
                </c:pt>
                <c:pt idx="179">
                  <c:v>89.1</c:v>
                </c:pt>
                <c:pt idx="180">
                  <c:v>87.98</c:v>
                </c:pt>
                <c:pt idx="181">
                  <c:v>87.29</c:v>
                </c:pt>
                <c:pt idx="182">
                  <c:v>83.1</c:v>
                </c:pt>
                <c:pt idx="183">
                  <c:v>82.94</c:v>
                </c:pt>
                <c:pt idx="184">
                  <c:v>80.569999999999993</c:v>
                </c:pt>
                <c:pt idx="185">
                  <c:v>80</c:v>
                </c:pt>
                <c:pt idx="186">
                  <c:v>83.83</c:v>
                </c:pt>
                <c:pt idx="187">
                  <c:v>79.91</c:v>
                </c:pt>
                <c:pt idx="188">
                  <c:v>77.31</c:v>
                </c:pt>
                <c:pt idx="189">
                  <c:v>71.14</c:v>
                </c:pt>
                <c:pt idx="190">
                  <c:v>70.760000000000005</c:v>
                </c:pt>
                <c:pt idx="191">
                  <c:v>68.010000000000005</c:v>
                </c:pt>
                <c:pt idx="192">
                  <c:v>69</c:v>
                </c:pt>
                <c:pt idx="193">
                  <c:v>75.92</c:v>
                </c:pt>
                <c:pt idx="194">
                  <c:v>70.77</c:v>
                </c:pt>
                <c:pt idx="195">
                  <c:v>69.989999999999995</c:v>
                </c:pt>
                <c:pt idx="196">
                  <c:v>73.8</c:v>
                </c:pt>
                <c:pt idx="197">
                  <c:v>78.209999999999994</c:v>
                </c:pt>
                <c:pt idx="198">
                  <c:v>78.5</c:v>
                </c:pt>
                <c:pt idx="199">
                  <c:v>79.34</c:v>
                </c:pt>
                <c:pt idx="200">
                  <c:v>84.37</c:v>
                </c:pt>
                <c:pt idx="201">
                  <c:v>83.62</c:v>
                </c:pt>
                <c:pt idx="202">
                  <c:v>85.14</c:v>
                </c:pt>
                <c:pt idx="203">
                  <c:v>82.14</c:v>
                </c:pt>
                <c:pt idx="204">
                  <c:v>91.85</c:v>
                </c:pt>
                <c:pt idx="205">
                  <c:v>94.25</c:v>
                </c:pt>
                <c:pt idx="206">
                  <c:v>86.6</c:v>
                </c:pt>
                <c:pt idx="207">
                  <c:v>91.35</c:v>
                </c:pt>
                <c:pt idx="208">
                  <c:v>84.77</c:v>
                </c:pt>
                <c:pt idx="209">
                  <c:v>84.5</c:v>
                </c:pt>
                <c:pt idx="210">
                  <c:v>87.24</c:v>
                </c:pt>
                <c:pt idx="211">
                  <c:v>93</c:v>
                </c:pt>
                <c:pt idx="212">
                  <c:v>91.34</c:v>
                </c:pt>
                <c:pt idx="213">
                  <c:v>87.32</c:v>
                </c:pt>
                <c:pt idx="214">
                  <c:v>85.2</c:v>
                </c:pt>
                <c:pt idx="215">
                  <c:v>79.3</c:v>
                </c:pt>
                <c:pt idx="216">
                  <c:v>82.08</c:v>
                </c:pt>
                <c:pt idx="217">
                  <c:v>89.4</c:v>
                </c:pt>
                <c:pt idx="218">
                  <c:v>93.01</c:v>
                </c:pt>
                <c:pt idx="219">
                  <c:v>85.09</c:v>
                </c:pt>
                <c:pt idx="220">
                  <c:v>91.4</c:v>
                </c:pt>
                <c:pt idx="221">
                  <c:v>124.88</c:v>
                </c:pt>
                <c:pt idx="222">
                  <c:v>120.3</c:v>
                </c:pt>
                <c:pt idx="223">
                  <c:v>125.78</c:v>
                </c:pt>
                <c:pt idx="224">
                  <c:v>137.72999999999999</c:v>
                </c:pt>
                <c:pt idx="225">
                  <c:v>134.41999999999999</c:v>
                </c:pt>
                <c:pt idx="226">
                  <c:v>147</c:v>
                </c:pt>
                <c:pt idx="227">
                  <c:v>154.61000000000001</c:v>
                </c:pt>
                <c:pt idx="228">
                  <c:v>149.78</c:v>
                </c:pt>
                <c:pt idx="229">
                  <c:v>134.72</c:v>
                </c:pt>
                <c:pt idx="230">
                  <c:v>138.04</c:v>
                </c:pt>
                <c:pt idx="231">
                  <c:v>159.02000000000001</c:v>
                </c:pt>
                <c:pt idx="232">
                  <c:v>171.15</c:v>
                </c:pt>
                <c:pt idx="233">
                  <c:v>174.89</c:v>
                </c:pt>
                <c:pt idx="234">
                  <c:v>147.38</c:v>
                </c:pt>
                <c:pt idx="235">
                  <c:v>162.19999999999999</c:v>
                </c:pt>
                <c:pt idx="236">
                  <c:v>138.91</c:v>
                </c:pt>
                <c:pt idx="237">
                  <c:v>146.07</c:v>
                </c:pt>
                <c:pt idx="238">
                  <c:v>152.99</c:v>
                </c:pt>
                <c:pt idx="239">
                  <c:v>138.24</c:v>
                </c:pt>
                <c:pt idx="240">
                  <c:v>137.66999999999999</c:v>
                </c:pt>
                <c:pt idx="241">
                  <c:v>140.16</c:v>
                </c:pt>
                <c:pt idx="242">
                  <c:v>124.83</c:v>
                </c:pt>
                <c:pt idx="243">
                  <c:v>118.55</c:v>
                </c:pt>
                <c:pt idx="244">
                  <c:v>130</c:v>
                </c:pt>
                <c:pt idx="245">
                  <c:v>150.08000000000001</c:v>
                </c:pt>
                <c:pt idx="246">
                  <c:v>166.64</c:v>
                </c:pt>
                <c:pt idx="247">
                  <c:v>172.03</c:v>
                </c:pt>
                <c:pt idx="248">
                  <c:v>147.97999999999999</c:v>
                </c:pt>
                <c:pt idx="249">
                  <c:v>120.78</c:v>
                </c:pt>
                <c:pt idx="250">
                  <c:v>144.78</c:v>
                </c:pt>
                <c:pt idx="251">
                  <c:v>155.22999999999999</c:v>
                </c:pt>
                <c:pt idx="252">
                  <c:v>202.1</c:v>
                </c:pt>
                <c:pt idx="253">
                  <c:v>193.88</c:v>
                </c:pt>
                <c:pt idx="254">
                  <c:v>267.45999999999998</c:v>
                </c:pt>
                <c:pt idx="255">
                  <c:v>261.87</c:v>
                </c:pt>
                <c:pt idx="256">
                  <c:v>275.58999999999997</c:v>
                </c:pt>
                <c:pt idx="257">
                  <c:v>282.73</c:v>
                </c:pt>
                <c:pt idx="258">
                  <c:v>312.02999999999997</c:v>
                </c:pt>
                <c:pt idx="259">
                  <c:v>290.49</c:v>
                </c:pt>
                <c:pt idx="260">
                  <c:v>312.47000000000003</c:v>
                </c:pt>
                <c:pt idx="261">
                  <c:v>390.57</c:v>
                </c:pt>
                <c:pt idx="262">
                  <c:v>315.24</c:v>
                </c:pt>
                <c:pt idx="263">
                  <c:v>341.99</c:v>
                </c:pt>
                <c:pt idx="264">
                  <c:v>311.73</c:v>
                </c:pt>
                <c:pt idx="265">
                  <c:v>291.45</c:v>
                </c:pt>
                <c:pt idx="266">
                  <c:v>306.33999999999997</c:v>
                </c:pt>
                <c:pt idx="267">
                  <c:v>300.33999999999997</c:v>
                </c:pt>
                <c:pt idx="268">
                  <c:v>279.45</c:v>
                </c:pt>
                <c:pt idx="269">
                  <c:v>335</c:v>
                </c:pt>
                <c:pt idx="270">
                  <c:v>281.51</c:v>
                </c:pt>
                <c:pt idx="271">
                  <c:v>290.82</c:v>
                </c:pt>
                <c:pt idx="272">
                  <c:v>306.8</c:v>
                </c:pt>
                <c:pt idx="273">
                  <c:v>310.47000000000003</c:v>
                </c:pt>
                <c:pt idx="274">
                  <c:v>280.23</c:v>
                </c:pt>
                <c:pt idx="275">
                  <c:v>293.16000000000003</c:v>
                </c:pt>
                <c:pt idx="276">
                  <c:v>291.63</c:v>
                </c:pt>
                <c:pt idx="277">
                  <c:v>278.08</c:v>
                </c:pt>
                <c:pt idx="278">
                  <c:v>235.98</c:v>
                </c:pt>
                <c:pt idx="279">
                  <c:v>258.67</c:v>
                </c:pt>
                <c:pt idx="280">
                  <c:v>280.01</c:v>
                </c:pt>
                <c:pt idx="281">
                  <c:v>280.27999999999997</c:v>
                </c:pt>
                <c:pt idx="282">
                  <c:v>333.08</c:v>
                </c:pt>
                <c:pt idx="283">
                  <c:v>341.76</c:v>
                </c:pt>
                <c:pt idx="284">
                  <c:v>226.19</c:v>
                </c:pt>
                <c:pt idx="285">
                  <c:v>246.59</c:v>
                </c:pt>
                <c:pt idx="286">
                  <c:v>259.60000000000002</c:v>
                </c:pt>
                <c:pt idx="287">
                  <c:v>272.94</c:v>
                </c:pt>
                <c:pt idx="288">
                  <c:v>256.33</c:v>
                </c:pt>
                <c:pt idx="289">
                  <c:v>272.13</c:v>
                </c:pt>
                <c:pt idx="290">
                  <c:v>270.88</c:v>
                </c:pt>
                <c:pt idx="291">
                  <c:v>242.65</c:v>
                </c:pt>
                <c:pt idx="292">
                  <c:v>225</c:v>
                </c:pt>
                <c:pt idx="293">
                  <c:v>227.36</c:v>
                </c:pt>
                <c:pt idx="294">
                  <c:v>232.15</c:v>
                </c:pt>
                <c:pt idx="295">
                  <c:v>218.14</c:v>
                </c:pt>
                <c:pt idx="296">
                  <c:v>229.15</c:v>
                </c:pt>
                <c:pt idx="297">
                  <c:v>233.94</c:v>
                </c:pt>
                <c:pt idx="298">
                  <c:v>235.37</c:v>
                </c:pt>
                <c:pt idx="299">
                  <c:v>225.08</c:v>
                </c:pt>
                <c:pt idx="300">
                  <c:v>243.19</c:v>
                </c:pt>
                <c:pt idx="301">
                  <c:v>242.12</c:v>
                </c:pt>
                <c:pt idx="302">
                  <c:v>254.74</c:v>
                </c:pt>
                <c:pt idx="303">
                  <c:v>266.87</c:v>
                </c:pt>
                <c:pt idx="304">
                  <c:v>256.47000000000003</c:v>
                </c:pt>
                <c:pt idx="305">
                  <c:v>239.98</c:v>
                </c:pt>
                <c:pt idx="306">
                  <c:v>235.6</c:v>
                </c:pt>
                <c:pt idx="307">
                  <c:v>237.68</c:v>
                </c:pt>
                <c:pt idx="308">
                  <c:v>216</c:v>
                </c:pt>
                <c:pt idx="309">
                  <c:v>225.98</c:v>
                </c:pt>
                <c:pt idx="310">
                  <c:v>239.12</c:v>
                </c:pt>
                <c:pt idx="311">
                  <c:v>248.04</c:v>
                </c:pt>
                <c:pt idx="312">
                  <c:v>283.61</c:v>
                </c:pt>
                <c:pt idx="313">
                  <c:v>264.38</c:v>
                </c:pt>
                <c:pt idx="314">
                  <c:v>242.72</c:v>
                </c:pt>
                <c:pt idx="315">
                  <c:v>242.91</c:v>
                </c:pt>
                <c:pt idx="316">
                  <c:v>246.85</c:v>
                </c:pt>
                <c:pt idx="317">
                  <c:v>248.2</c:v>
                </c:pt>
                <c:pt idx="318">
                  <c:v>249.81</c:v>
                </c:pt>
                <c:pt idx="319">
                  <c:v>255</c:v>
                </c:pt>
                <c:pt idx="320">
                  <c:v>266.68</c:v>
                </c:pt>
                <c:pt idx="321">
                  <c:v>262.44</c:v>
                </c:pt>
                <c:pt idx="322">
                  <c:v>264.98</c:v>
                </c:pt>
                <c:pt idx="323">
                  <c:v>247.4</c:v>
                </c:pt>
                <c:pt idx="324">
                  <c:v>271.82</c:v>
                </c:pt>
                <c:pt idx="325">
                  <c:v>274.37</c:v>
                </c:pt>
                <c:pt idx="326">
                  <c:v>291.98</c:v>
                </c:pt>
                <c:pt idx="327">
                  <c:v>281.79000000000002</c:v>
                </c:pt>
                <c:pt idx="328">
                  <c:v>297.8</c:v>
                </c:pt>
                <c:pt idx="329">
                  <c:v>271.75</c:v>
                </c:pt>
                <c:pt idx="330">
                  <c:v>284.56</c:v>
                </c:pt>
                <c:pt idx="331">
                  <c:v>256.83</c:v>
                </c:pt>
                <c:pt idx="332">
                  <c:v>261.99</c:v>
                </c:pt>
                <c:pt idx="333">
                  <c:v>243.72</c:v>
                </c:pt>
                <c:pt idx="334">
                  <c:v>256.62</c:v>
                </c:pt>
                <c:pt idx="335">
                  <c:v>251</c:v>
                </c:pt>
                <c:pt idx="336">
                  <c:v>275.70999999999998</c:v>
                </c:pt>
                <c:pt idx="337">
                  <c:v>256.7</c:v>
                </c:pt>
                <c:pt idx="338">
                  <c:v>259.83</c:v>
                </c:pt>
                <c:pt idx="339">
                  <c:v>318.02999999999997</c:v>
                </c:pt>
                <c:pt idx="340">
                  <c:v>360.06</c:v>
                </c:pt>
                <c:pt idx="341">
                  <c:v>357.39</c:v>
                </c:pt>
                <c:pt idx="342">
                  <c:v>382.99</c:v>
                </c:pt>
                <c:pt idx="343">
                  <c:v>415.82</c:v>
                </c:pt>
                <c:pt idx="344">
                  <c:v>410.76</c:v>
                </c:pt>
                <c:pt idx="345">
                  <c:v>386.84</c:v>
                </c:pt>
                <c:pt idx="346">
                  <c:v>408.2</c:v>
                </c:pt>
                <c:pt idx="347">
                  <c:v>388.95</c:v>
                </c:pt>
                <c:pt idx="348">
                  <c:v>430</c:v>
                </c:pt>
                <c:pt idx="349">
                  <c:v>470.01</c:v>
                </c:pt>
                <c:pt idx="350">
                  <c:v>400.9</c:v>
                </c:pt>
                <c:pt idx="351">
                  <c:v>366.92</c:v>
                </c:pt>
                <c:pt idx="352">
                  <c:v>390</c:v>
                </c:pt>
                <c:pt idx="353">
                  <c:v>362</c:v>
                </c:pt>
                <c:pt idx="354">
                  <c:v>369.46</c:v>
                </c:pt>
                <c:pt idx="355">
                  <c:v>359.98</c:v>
                </c:pt>
                <c:pt idx="356">
                  <c:v>395.04</c:v>
                </c:pt>
                <c:pt idx="357">
                  <c:v>381.01</c:v>
                </c:pt>
                <c:pt idx="358">
                  <c:v>443</c:v>
                </c:pt>
                <c:pt idx="359">
                  <c:v>382.44</c:v>
                </c:pt>
                <c:pt idx="360">
                  <c:v>383.27</c:v>
                </c:pt>
                <c:pt idx="361">
                  <c:v>411.21</c:v>
                </c:pt>
                <c:pt idx="362">
                  <c:v>331.95</c:v>
                </c:pt>
                <c:pt idx="363">
                  <c:v>320.63</c:v>
                </c:pt>
                <c:pt idx="364">
                  <c:v>334.37</c:v>
                </c:pt>
                <c:pt idx="365">
                  <c:v>289.01</c:v>
                </c:pt>
                <c:pt idx="366">
                  <c:v>298.02999999999997</c:v>
                </c:pt>
                <c:pt idx="367">
                  <c:v>289.3</c:v>
                </c:pt>
                <c:pt idx="368">
                  <c:v>324.58</c:v>
                </c:pt>
                <c:pt idx="369">
                  <c:v>322.88</c:v>
                </c:pt>
                <c:pt idx="370">
                  <c:v>286.38</c:v>
                </c:pt>
                <c:pt idx="371">
                  <c:v>266.88</c:v>
                </c:pt>
                <c:pt idx="372">
                  <c:v>319.76</c:v>
                </c:pt>
                <c:pt idx="373">
                  <c:v>335.58</c:v>
                </c:pt>
                <c:pt idx="374">
                  <c:v>345.64</c:v>
                </c:pt>
                <c:pt idx="375">
                  <c:v>347.67</c:v>
                </c:pt>
                <c:pt idx="376">
                  <c:v>329.86</c:v>
                </c:pt>
                <c:pt idx="377">
                  <c:v>296.68</c:v>
                </c:pt>
                <c:pt idx="378">
                  <c:v>328.92</c:v>
                </c:pt>
                <c:pt idx="379">
                  <c:v>341.93</c:v>
                </c:pt>
                <c:pt idx="380">
                  <c:v>280.41000000000003</c:v>
                </c:pt>
                <c:pt idx="381">
                  <c:v>270</c:v>
                </c:pt>
                <c:pt idx="382">
                  <c:v>302.42</c:v>
                </c:pt>
                <c:pt idx="383">
                  <c:v>331.75</c:v>
                </c:pt>
                <c:pt idx="384">
                  <c:v>322.99</c:v>
                </c:pt>
                <c:pt idx="385">
                  <c:v>369.86</c:v>
                </c:pt>
                <c:pt idx="386">
                  <c:v>386.5</c:v>
                </c:pt>
                <c:pt idx="387">
                  <c:v>281.58</c:v>
                </c:pt>
                <c:pt idx="388">
                  <c:v>274</c:v>
                </c:pt>
                <c:pt idx="389">
                  <c:v>294.72000000000003</c:v>
                </c:pt>
                <c:pt idx="390">
                  <c:v>215</c:v>
                </c:pt>
                <c:pt idx="391">
                  <c:v>228.34</c:v>
                </c:pt>
                <c:pt idx="392">
                  <c:v>259.27999999999997</c:v>
                </c:pt>
                <c:pt idx="393">
                  <c:v>242.76</c:v>
                </c:pt>
                <c:pt idx="394">
                  <c:v>260</c:v>
                </c:pt>
                <c:pt idx="395">
                  <c:v>305.3</c:v>
                </c:pt>
                <c:pt idx="396">
                  <c:v>339.13</c:v>
                </c:pt>
                <c:pt idx="397">
                  <c:v>324</c:v>
                </c:pt>
                <c:pt idx="398">
                  <c:v>337.58</c:v>
                </c:pt>
                <c:pt idx="399">
                  <c:v>360.95</c:v>
                </c:pt>
                <c:pt idx="400">
                  <c:v>327.52</c:v>
                </c:pt>
                <c:pt idx="401">
                  <c:v>400.76</c:v>
                </c:pt>
                <c:pt idx="402">
                  <c:v>364.14</c:v>
                </c:pt>
                <c:pt idx="403">
                  <c:v>417</c:v>
                </c:pt>
                <c:pt idx="404">
                  <c:v>450</c:v>
                </c:pt>
                <c:pt idx="405">
                  <c:v>479.26</c:v>
                </c:pt>
                <c:pt idx="406">
                  <c:v>456.8</c:v>
                </c:pt>
                <c:pt idx="407">
                  <c:v>508.99</c:v>
                </c:pt>
                <c:pt idx="408">
                  <c:v>535.24</c:v>
                </c:pt>
                <c:pt idx="409">
                  <c:v>466.99</c:v>
                </c:pt>
                <c:pt idx="410">
                  <c:v>443.77</c:v>
                </c:pt>
                <c:pt idx="411">
                  <c:v>394.99</c:v>
                </c:pt>
                <c:pt idx="412">
                  <c:v>366.8</c:v>
                </c:pt>
                <c:pt idx="413">
                  <c:v>400</c:v>
                </c:pt>
                <c:pt idx="414">
                  <c:v>410</c:v>
                </c:pt>
                <c:pt idx="415">
                  <c:v>360.2</c:v>
                </c:pt>
                <c:pt idx="416">
                  <c:v>432</c:v>
                </c:pt>
                <c:pt idx="417">
                  <c:v>441</c:v>
                </c:pt>
                <c:pt idx="418">
                  <c:v>474</c:v>
                </c:pt>
                <c:pt idx="419">
                  <c:v>364</c:v>
                </c:pt>
                <c:pt idx="420">
                  <c:v>410.73</c:v>
                </c:pt>
                <c:pt idx="421">
                  <c:v>320.01</c:v>
                </c:pt>
                <c:pt idx="422">
                  <c:v>225.96</c:v>
                </c:pt>
                <c:pt idx="423">
                  <c:v>188.04</c:v>
                </c:pt>
                <c:pt idx="424">
                  <c:v>210.73</c:v>
                </c:pt>
                <c:pt idx="425">
                  <c:v>205.98</c:v>
                </c:pt>
                <c:pt idx="426">
                  <c:v>182.4</c:v>
                </c:pt>
                <c:pt idx="427">
                  <c:v>166.8</c:v>
                </c:pt>
                <c:pt idx="428">
                  <c:v>176.23</c:v>
                </c:pt>
                <c:pt idx="429">
                  <c:v>212.65</c:v>
                </c:pt>
                <c:pt idx="430">
                  <c:v>262</c:v>
                </c:pt>
                <c:pt idx="431">
                  <c:v>214.47</c:v>
                </c:pt>
                <c:pt idx="432">
                  <c:v>246.98</c:v>
                </c:pt>
                <c:pt idx="433">
                  <c:v>218.45</c:v>
                </c:pt>
                <c:pt idx="434">
                  <c:v>174.89</c:v>
                </c:pt>
                <c:pt idx="435">
                  <c:v>147.88999999999999</c:v>
                </c:pt>
                <c:pt idx="436">
                  <c:v>137</c:v>
                </c:pt>
                <c:pt idx="437">
                  <c:v>140</c:v>
                </c:pt>
                <c:pt idx="438">
                  <c:v>114</c:v>
                </c:pt>
                <c:pt idx="439">
                  <c:v>88.11</c:v>
                </c:pt>
                <c:pt idx="440">
                  <c:v>94.12</c:v>
                </c:pt>
                <c:pt idx="441">
                  <c:v>113.48</c:v>
                </c:pt>
                <c:pt idx="442">
                  <c:v>124.08</c:v>
                </c:pt>
                <c:pt idx="443">
                  <c:v>121.57</c:v>
                </c:pt>
                <c:pt idx="444">
                  <c:v>124.2</c:v>
                </c:pt>
                <c:pt idx="445">
                  <c:v>137.87</c:v>
                </c:pt>
                <c:pt idx="446">
                  <c:v>136.69999999999999</c:v>
                </c:pt>
                <c:pt idx="447">
                  <c:v>168</c:v>
                </c:pt>
                <c:pt idx="448">
                  <c:v>116.96</c:v>
                </c:pt>
                <c:pt idx="449">
                  <c:v>137.16999999999999</c:v>
                </c:pt>
                <c:pt idx="450">
                  <c:v>156.46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3-4CE6-A8E9-7FEC5235F79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-4.7496052771083663E-3</c:v>
                </c:pt>
                <c:pt idx="1">
                  <c:v>-4.7370926771083659E-3</c:v>
                </c:pt>
                <c:pt idx="2">
                  <c:v>-4.6527606029083662E-3</c:v>
                </c:pt>
                <c:pt idx="3">
                  <c:v>-4.5894707585531378E-3</c:v>
                </c:pt>
                <c:pt idx="4">
                  <c:v>-4.7289650525045831E-3</c:v>
                </c:pt>
                <c:pt idx="5">
                  <c:v>-4.8580923362897318E-3</c:v>
                </c:pt>
                <c:pt idx="6">
                  <c:v>-4.9603061651024372E-3</c:v>
                </c:pt>
                <c:pt idx="7">
                  <c:v>-4.8181957688504902E-3</c:v>
                </c:pt>
                <c:pt idx="8">
                  <c:v>-4.7029572628770507E-3</c:v>
                </c:pt>
                <c:pt idx="9">
                  <c:v>-4.7489536371329308E-3</c:v>
                </c:pt>
                <c:pt idx="10">
                  <c:v>-4.6873716699334309E-3</c:v>
                </c:pt>
                <c:pt idx="11">
                  <c:v>-4.5702143916167203E-3</c:v>
                </c:pt>
                <c:pt idx="12">
                  <c:v>-4.6454022458435867E-3</c:v>
                </c:pt>
                <c:pt idx="13">
                  <c:v>-4.5899609253274359E-3</c:v>
                </c:pt>
                <c:pt idx="14">
                  <c:v>-4.6730427988651221E-3</c:v>
                </c:pt>
                <c:pt idx="15">
                  <c:v>-4.6855143393100748E-3</c:v>
                </c:pt>
                <c:pt idx="16">
                  <c:v>-4.7218775775793587E-3</c:v>
                </c:pt>
                <c:pt idx="17">
                  <c:v>-4.9898979156329914E-3</c:v>
                </c:pt>
                <c:pt idx="18">
                  <c:v>-5.0615673212053456E-3</c:v>
                </c:pt>
                <c:pt idx="19">
                  <c:v>-5.0165228795111773E-3</c:v>
                </c:pt>
                <c:pt idx="20">
                  <c:v>-4.9759025000808482E-3</c:v>
                </c:pt>
                <c:pt idx="21">
                  <c:v>-4.8400037484208217E-3</c:v>
                </c:pt>
                <c:pt idx="22">
                  <c:v>-5.0775672720595145E-3</c:v>
                </c:pt>
                <c:pt idx="23">
                  <c:v>-5.0326277856500715E-3</c:v>
                </c:pt>
                <c:pt idx="24">
                  <c:v>-4.8857586084016507E-3</c:v>
                </c:pt>
                <c:pt idx="25">
                  <c:v>-4.9825063070478466E-3</c:v>
                </c:pt>
                <c:pt idx="26">
                  <c:v>-4.7128331062511663E-3</c:v>
                </c:pt>
                <c:pt idx="27">
                  <c:v>-5.1952650616896622E-3</c:v>
                </c:pt>
                <c:pt idx="28">
                  <c:v>-5.2332857035595048E-3</c:v>
                </c:pt>
                <c:pt idx="29">
                  <c:v>-5.2339550262945466E-3</c:v>
                </c:pt>
                <c:pt idx="30">
                  <c:v>-5.2044451761867425E-3</c:v>
                </c:pt>
                <c:pt idx="31">
                  <c:v>-5.1732502123637333E-3</c:v>
                </c:pt>
                <c:pt idx="32">
                  <c:v>-5.125094239127932E-3</c:v>
                </c:pt>
                <c:pt idx="33">
                  <c:v>-5.1138748213576217E-3</c:v>
                </c:pt>
                <c:pt idx="34">
                  <c:v>-5.107456365766567E-3</c:v>
                </c:pt>
                <c:pt idx="35">
                  <c:v>-5.0638518123768241E-3</c:v>
                </c:pt>
                <c:pt idx="36">
                  <c:v>-5.1215029060617655E-3</c:v>
                </c:pt>
                <c:pt idx="37">
                  <c:v>-5.0249029757292157E-3</c:v>
                </c:pt>
                <c:pt idx="38">
                  <c:v>-5.1211905702766031E-3</c:v>
                </c:pt>
                <c:pt idx="39">
                  <c:v>-5.1530815405339686E-3</c:v>
                </c:pt>
                <c:pt idx="40">
                  <c:v>-4.9804168381497958E-3</c:v>
                </c:pt>
                <c:pt idx="41">
                  <c:v>-5.0938567024693873E-3</c:v>
                </c:pt>
                <c:pt idx="42">
                  <c:v>-5.0554143795561697E-3</c:v>
                </c:pt>
                <c:pt idx="43">
                  <c:v>-4.8145695746668335E-3</c:v>
                </c:pt>
                <c:pt idx="44">
                  <c:v>-4.8575287538602354E-3</c:v>
                </c:pt>
                <c:pt idx="45">
                  <c:v>-4.8514548888170294E-3</c:v>
                </c:pt>
                <c:pt idx="46">
                  <c:v>-4.7897007321708734E-3</c:v>
                </c:pt>
                <c:pt idx="47">
                  <c:v>-4.7688526049851397E-3</c:v>
                </c:pt>
                <c:pt idx="48">
                  <c:v>-4.7692950747804481E-3</c:v>
                </c:pt>
                <c:pt idx="49">
                  <c:v>-4.7574884006731568E-3</c:v>
                </c:pt>
                <c:pt idx="50">
                  <c:v>-4.7061269990771194E-3</c:v>
                </c:pt>
                <c:pt idx="51">
                  <c:v>-4.7207209376998295E-3</c:v>
                </c:pt>
                <c:pt idx="52">
                  <c:v>-4.7222971330476652E-3</c:v>
                </c:pt>
                <c:pt idx="53">
                  <c:v>-4.6308656041989067E-3</c:v>
                </c:pt>
                <c:pt idx="54">
                  <c:v>-4.7561653007072834E-3</c:v>
                </c:pt>
                <c:pt idx="55">
                  <c:v>-4.7615481325719213E-3</c:v>
                </c:pt>
                <c:pt idx="56">
                  <c:v>-4.7527114228703756E-3</c:v>
                </c:pt>
                <c:pt idx="57">
                  <c:v>-4.7162759631540893E-3</c:v>
                </c:pt>
                <c:pt idx="58">
                  <c:v>-4.6757446482277535E-3</c:v>
                </c:pt>
                <c:pt idx="59">
                  <c:v>-4.6630307638986391E-3</c:v>
                </c:pt>
                <c:pt idx="60">
                  <c:v>-4.6162907382598728E-3</c:v>
                </c:pt>
                <c:pt idx="61">
                  <c:v>-4.6437449607677614E-3</c:v>
                </c:pt>
                <c:pt idx="62">
                  <c:v>-4.5901393258806385E-3</c:v>
                </c:pt>
                <c:pt idx="63">
                  <c:v>-4.4803628227677982E-3</c:v>
                </c:pt>
                <c:pt idx="64">
                  <c:v>-4.4370984129689815E-3</c:v>
                </c:pt>
                <c:pt idx="65">
                  <c:v>-4.4421688187777988E-3</c:v>
                </c:pt>
                <c:pt idx="66">
                  <c:v>-4.422204334321141E-3</c:v>
                </c:pt>
                <c:pt idx="67">
                  <c:v>-4.0966803064029665E-3</c:v>
                </c:pt>
                <c:pt idx="68">
                  <c:v>-4.1526643901028202E-3</c:v>
                </c:pt>
                <c:pt idx="69">
                  <c:v>-4.1474230432515299E-3</c:v>
                </c:pt>
                <c:pt idx="70">
                  <c:v>-4.1525336852115298E-3</c:v>
                </c:pt>
                <c:pt idx="71">
                  <c:v>-4.0904896594942284E-3</c:v>
                </c:pt>
                <c:pt idx="72">
                  <c:v>-4.053086947460028E-3</c:v>
                </c:pt>
                <c:pt idx="73">
                  <c:v>-3.9628099997443536E-3</c:v>
                </c:pt>
                <c:pt idx="74">
                  <c:v>-3.879041534075756E-3</c:v>
                </c:pt>
                <c:pt idx="75">
                  <c:v>-3.9150558010046825E-3</c:v>
                </c:pt>
                <c:pt idx="76">
                  <c:v>-3.5305672304641374E-3</c:v>
                </c:pt>
                <c:pt idx="77">
                  <c:v>-3.7281600913248903E-3</c:v>
                </c:pt>
                <c:pt idx="78">
                  <c:v>-3.1228828102816469E-3</c:v>
                </c:pt>
                <c:pt idx="79">
                  <c:v>-3.9080584032384911E-3</c:v>
                </c:pt>
                <c:pt idx="80">
                  <c:v>-4.7781153275832464E-3</c:v>
                </c:pt>
                <c:pt idx="81">
                  <c:v>-4.879522648775299E-3</c:v>
                </c:pt>
                <c:pt idx="82">
                  <c:v>-4.8331823810175614E-3</c:v>
                </c:pt>
                <c:pt idx="83">
                  <c:v>-4.8555956347444036E-3</c:v>
                </c:pt>
                <c:pt idx="84">
                  <c:v>-4.8484705843931161E-3</c:v>
                </c:pt>
                <c:pt idx="85">
                  <c:v>-4.8164829735933192E-3</c:v>
                </c:pt>
                <c:pt idx="86">
                  <c:v>-4.8063396149776016E-3</c:v>
                </c:pt>
                <c:pt idx="87">
                  <c:v>-4.8075753443324407E-3</c:v>
                </c:pt>
                <c:pt idx="88">
                  <c:v>-4.8079368571470864E-3</c:v>
                </c:pt>
                <c:pt idx="89">
                  <c:v>-4.8083510821822486E-3</c:v>
                </c:pt>
                <c:pt idx="90">
                  <c:v>-4.7997567250180131E-3</c:v>
                </c:pt>
                <c:pt idx="91">
                  <c:v>-4.8009402901904273E-3</c:v>
                </c:pt>
                <c:pt idx="92">
                  <c:v>-4.8372819850304276E-3</c:v>
                </c:pt>
                <c:pt idx="93">
                  <c:v>-4.7744112881455518E-3</c:v>
                </c:pt>
                <c:pt idx="94">
                  <c:v>-4.6469628263152291E-3</c:v>
                </c:pt>
                <c:pt idx="95">
                  <c:v>-4.5702738319430801E-3</c:v>
                </c:pt>
                <c:pt idx="96">
                  <c:v>-4.5488978211477736E-3</c:v>
                </c:pt>
                <c:pt idx="97">
                  <c:v>-4.5428800708251929E-3</c:v>
                </c:pt>
                <c:pt idx="98">
                  <c:v>-4.5310892569233241E-3</c:v>
                </c:pt>
                <c:pt idx="99">
                  <c:v>-4.5050985604308137E-3</c:v>
                </c:pt>
                <c:pt idx="100">
                  <c:v>-4.5341817418539532E-3</c:v>
                </c:pt>
                <c:pt idx="101">
                  <c:v>-4.5443416728274044E-3</c:v>
                </c:pt>
                <c:pt idx="102">
                  <c:v>-4.5408843990291008E-3</c:v>
                </c:pt>
                <c:pt idx="103">
                  <c:v>-4.5442955732002653E-3</c:v>
                </c:pt>
                <c:pt idx="104">
                  <c:v>-4.5212472054167599E-3</c:v>
                </c:pt>
                <c:pt idx="105">
                  <c:v>-4.5041162863782985E-3</c:v>
                </c:pt>
                <c:pt idx="106">
                  <c:v>-4.518157207926774E-3</c:v>
                </c:pt>
                <c:pt idx="107">
                  <c:v>-4.5343011192798058E-3</c:v>
                </c:pt>
                <c:pt idx="108">
                  <c:v>-4.5660084712798067E-3</c:v>
                </c:pt>
                <c:pt idx="109">
                  <c:v>-4.5554311957696015E-3</c:v>
                </c:pt>
                <c:pt idx="110">
                  <c:v>-4.5136040967746274E-3</c:v>
                </c:pt>
                <c:pt idx="111">
                  <c:v>-4.483422822863588E-3</c:v>
                </c:pt>
                <c:pt idx="112">
                  <c:v>-4.5025698790827923E-3</c:v>
                </c:pt>
                <c:pt idx="113">
                  <c:v>-4.496150160638126E-3</c:v>
                </c:pt>
                <c:pt idx="114">
                  <c:v>-4.5037766331808117E-3</c:v>
                </c:pt>
                <c:pt idx="115">
                  <c:v>-4.5156562222930397E-3</c:v>
                </c:pt>
                <c:pt idx="116">
                  <c:v>-4.5044271920667957E-3</c:v>
                </c:pt>
                <c:pt idx="117">
                  <c:v>-4.4923024371494079E-3</c:v>
                </c:pt>
                <c:pt idx="118">
                  <c:v>-4.4726393202645567E-3</c:v>
                </c:pt>
                <c:pt idx="119">
                  <c:v>-4.5170385606089275E-3</c:v>
                </c:pt>
                <c:pt idx="120">
                  <c:v>-4.479108178770853E-3</c:v>
                </c:pt>
                <c:pt idx="121">
                  <c:v>-4.479108178770853E-3</c:v>
                </c:pt>
                <c:pt idx="122">
                  <c:v>-4.4321643787708529E-3</c:v>
                </c:pt>
                <c:pt idx="123">
                  <c:v>-4.3820979528829285E-3</c:v>
                </c:pt>
                <c:pt idx="124">
                  <c:v>-4.3549881245739516E-3</c:v>
                </c:pt>
                <c:pt idx="125">
                  <c:v>-4.3555949236962453E-3</c:v>
                </c:pt>
                <c:pt idx="126">
                  <c:v>-4.3379483966081147E-3</c:v>
                </c:pt>
                <c:pt idx="127">
                  <c:v>-4.3304828952699156E-3</c:v>
                </c:pt>
                <c:pt idx="128">
                  <c:v>-4.4431353028445463E-3</c:v>
                </c:pt>
                <c:pt idx="129">
                  <c:v>-4.3676397516739154E-3</c:v>
                </c:pt>
                <c:pt idx="130">
                  <c:v>-4.3526794083229795E-3</c:v>
                </c:pt>
                <c:pt idx="131">
                  <c:v>-4.3198167725051048E-3</c:v>
                </c:pt>
                <c:pt idx="132">
                  <c:v>-4.325759382514548E-3</c:v>
                </c:pt>
                <c:pt idx="133">
                  <c:v>-4.297638178047819E-3</c:v>
                </c:pt>
                <c:pt idx="134">
                  <c:v>-4.2207560448389806E-3</c:v>
                </c:pt>
                <c:pt idx="135">
                  <c:v>-4.2404891292633596E-3</c:v>
                </c:pt>
                <c:pt idx="136">
                  <c:v>-4.2049149471543295E-3</c:v>
                </c:pt>
                <c:pt idx="137">
                  <c:v>-4.2877734912537087E-3</c:v>
                </c:pt>
                <c:pt idx="138">
                  <c:v>-4.221873993287952E-3</c:v>
                </c:pt>
                <c:pt idx="139">
                  <c:v>-3.9531011993367325E-3</c:v>
                </c:pt>
                <c:pt idx="140">
                  <c:v>-4.1953047384632111E-3</c:v>
                </c:pt>
                <c:pt idx="141">
                  <c:v>-4.2387951861695104E-3</c:v>
                </c:pt>
                <c:pt idx="142">
                  <c:v>-4.1720236113459421E-3</c:v>
                </c:pt>
                <c:pt idx="143">
                  <c:v>-4.2649975098984711E-3</c:v>
                </c:pt>
                <c:pt idx="144">
                  <c:v>-4.1994218034696702E-3</c:v>
                </c:pt>
                <c:pt idx="145">
                  <c:v>-4.1513063842333938E-3</c:v>
                </c:pt>
                <c:pt idx="146">
                  <c:v>-4.1441910660667261E-3</c:v>
                </c:pt>
                <c:pt idx="147">
                  <c:v>-3.9910679539486528E-3</c:v>
                </c:pt>
                <c:pt idx="148">
                  <c:v>-3.5902087131792146E-3</c:v>
                </c:pt>
                <c:pt idx="149">
                  <c:v>-3.8930825314364391E-3</c:v>
                </c:pt>
                <c:pt idx="150">
                  <c:v>-3.7523396771385665E-3</c:v>
                </c:pt>
                <c:pt idx="151">
                  <c:v>-3.9849955856646573E-3</c:v>
                </c:pt>
                <c:pt idx="152">
                  <c:v>-3.9118209723919307E-3</c:v>
                </c:pt>
                <c:pt idx="153">
                  <c:v>-3.693379150370814E-3</c:v>
                </c:pt>
                <c:pt idx="154">
                  <c:v>-3.7477770507947754E-3</c:v>
                </c:pt>
                <c:pt idx="155">
                  <c:v>-3.6967578843843962E-3</c:v>
                </c:pt>
                <c:pt idx="156">
                  <c:v>-3.7755484547415696E-3</c:v>
                </c:pt>
                <c:pt idx="157">
                  <c:v>-3.6644329765474935E-3</c:v>
                </c:pt>
                <c:pt idx="158">
                  <c:v>-3.5823959505763584E-3</c:v>
                </c:pt>
                <c:pt idx="159">
                  <c:v>-3.673125228673317E-3</c:v>
                </c:pt>
                <c:pt idx="160">
                  <c:v>-3.825290922335261E-3</c:v>
                </c:pt>
                <c:pt idx="161">
                  <c:v>-3.8673288449331523E-3</c:v>
                </c:pt>
                <c:pt idx="162">
                  <c:v>-3.8917942040135054E-3</c:v>
                </c:pt>
                <c:pt idx="163">
                  <c:v>-3.8681669476212698E-3</c:v>
                </c:pt>
                <c:pt idx="164">
                  <c:v>-3.8053087525587114E-3</c:v>
                </c:pt>
                <c:pt idx="165">
                  <c:v>-3.7066657171232835E-3</c:v>
                </c:pt>
                <c:pt idx="166">
                  <c:v>-3.6979043980964119E-3</c:v>
                </c:pt>
                <c:pt idx="167">
                  <c:v>-3.6634056002490495E-3</c:v>
                </c:pt>
                <c:pt idx="168">
                  <c:v>-3.6443107794817769E-3</c:v>
                </c:pt>
                <c:pt idx="169">
                  <c:v>-3.6785448088540325E-3</c:v>
                </c:pt>
                <c:pt idx="170">
                  <c:v>-3.4424592087578159E-3</c:v>
                </c:pt>
                <c:pt idx="171">
                  <c:v>-3.3692990713938332E-3</c:v>
                </c:pt>
                <c:pt idx="172">
                  <c:v>-3.4376839726629653E-3</c:v>
                </c:pt>
                <c:pt idx="173">
                  <c:v>-3.2318048815808144E-3</c:v>
                </c:pt>
                <c:pt idx="174">
                  <c:v>-3.0242780950267621E-3</c:v>
                </c:pt>
                <c:pt idx="175">
                  <c:v>-1.7198362117840193E-3</c:v>
                </c:pt>
                <c:pt idx="176">
                  <c:v>-1.1423642367890917E-3</c:v>
                </c:pt>
                <c:pt idx="177">
                  <c:v>-1.1302699786108707E-3</c:v>
                </c:pt>
                <c:pt idx="178">
                  <c:v>-1.1306189638296206E-3</c:v>
                </c:pt>
                <c:pt idx="179">
                  <c:v>-1.1307956206662742E-3</c:v>
                </c:pt>
                <c:pt idx="180">
                  <c:v>-1.1443007058767655E-3</c:v>
                </c:pt>
                <c:pt idx="181">
                  <c:v>-1.1390492658767655E-3</c:v>
                </c:pt>
                <c:pt idx="182">
                  <c:v>-1.1721021519838491E-3</c:v>
                </c:pt>
                <c:pt idx="183">
                  <c:v>-1.1770296650016267E-3</c:v>
                </c:pt>
                <c:pt idx="184">
                  <c:v>-1.185551010321413E-3</c:v>
                </c:pt>
                <c:pt idx="185">
                  <c:v>-1.1597208103668421E-3</c:v>
                </c:pt>
                <c:pt idx="186">
                  <c:v>-1.0901990163304784E-3</c:v>
                </c:pt>
                <c:pt idx="187">
                  <c:v>-1.1178114123276727E-3</c:v>
                </c:pt>
                <c:pt idx="188">
                  <c:v>-1.1288649257027487E-3</c:v>
                </c:pt>
                <c:pt idx="189">
                  <c:v>-1.1488093988339294E-3</c:v>
                </c:pt>
                <c:pt idx="190">
                  <c:v>-1.1434422964913867E-3</c:v>
                </c:pt>
                <c:pt idx="191">
                  <c:v>-1.1577035374381022E-3</c:v>
                </c:pt>
                <c:pt idx="192">
                  <c:v>-1.1623947926720202E-3</c:v>
                </c:pt>
                <c:pt idx="193">
                  <c:v>-1.0909823037386207E-3</c:v>
                </c:pt>
                <c:pt idx="194">
                  <c:v>-8.523700875122562E-4</c:v>
                </c:pt>
                <c:pt idx="195">
                  <c:v>-8.5356604972851627E-4</c:v>
                </c:pt>
                <c:pt idx="196">
                  <c:v>-8.4143964960479176E-4</c:v>
                </c:pt>
                <c:pt idx="197">
                  <c:v>-8.08457901568282E-4</c:v>
                </c:pt>
                <c:pt idx="198">
                  <c:v>-8.1421280205769373E-4</c:v>
                </c:pt>
                <c:pt idx="199">
                  <c:v>-8.0370804078188729E-4</c:v>
                </c:pt>
                <c:pt idx="200">
                  <c:v>-7.7195585993312954E-4</c:v>
                </c:pt>
                <c:pt idx="201">
                  <c:v>-7.7231082297862319E-4</c:v>
                </c:pt>
                <c:pt idx="202">
                  <c:v>-7.8018286025005178E-4</c:v>
                </c:pt>
                <c:pt idx="203">
                  <c:v>-7.8447253827758801E-4</c:v>
                </c:pt>
                <c:pt idx="204">
                  <c:v>-7.5395597403758805E-4</c:v>
                </c:pt>
                <c:pt idx="205">
                  <c:v>-7.2791516649012788E-4</c:v>
                </c:pt>
                <c:pt idx="206">
                  <c:v>-7.493176969828537E-4</c:v>
                </c:pt>
                <c:pt idx="207">
                  <c:v>-7.3558939791111013E-4</c:v>
                </c:pt>
                <c:pt idx="208">
                  <c:v>-7.5378091716583157E-4</c:v>
                </c:pt>
                <c:pt idx="209">
                  <c:v>-7.4924475092747855E-4</c:v>
                </c:pt>
                <c:pt idx="210">
                  <c:v>-7.498428113935741E-4</c:v>
                </c:pt>
                <c:pt idx="211">
                  <c:v>-7.4449758858725359E-4</c:v>
                </c:pt>
                <c:pt idx="212">
                  <c:v>-7.5163589398031128E-4</c:v>
                </c:pt>
                <c:pt idx="213">
                  <c:v>-7.4548752687341097E-4</c:v>
                </c:pt>
                <c:pt idx="214">
                  <c:v>-7.3985614260961238E-4</c:v>
                </c:pt>
                <c:pt idx="215">
                  <c:v>-7.5963383803556998E-4</c:v>
                </c:pt>
                <c:pt idx="216">
                  <c:v>-7.5384484789227087E-4</c:v>
                </c:pt>
                <c:pt idx="217">
                  <c:v>-7.2485096033341259E-4</c:v>
                </c:pt>
                <c:pt idx="218">
                  <c:v>-7.1524221588486591E-4</c:v>
                </c:pt>
                <c:pt idx="219">
                  <c:v>-7.2225590178412555E-4</c:v>
                </c:pt>
                <c:pt idx="220">
                  <c:v>-6.9349774230985177E-4</c:v>
                </c:pt>
                <c:pt idx="221">
                  <c:v>-6.002435521070532E-4</c:v>
                </c:pt>
                <c:pt idx="222">
                  <c:v>-6.1548031025274077E-4</c:v>
                </c:pt>
                <c:pt idx="223">
                  <c:v>-6.0114123024295591E-4</c:v>
                </c:pt>
                <c:pt idx="224">
                  <c:v>-5.9325081195164288E-4</c:v>
                </c:pt>
                <c:pt idx="225">
                  <c:v>-5.9220386664764289E-4</c:v>
                </c:pt>
                <c:pt idx="226">
                  <c:v>-5.5764933997551162E-4</c:v>
                </c:pt>
                <c:pt idx="227">
                  <c:v>-5.2347140974644637E-4</c:v>
                </c:pt>
                <c:pt idx="228">
                  <c:v>-5.2473788612794191E-4</c:v>
                </c:pt>
                <c:pt idx="229">
                  <c:v>-5.4553284438630799E-4</c:v>
                </c:pt>
                <c:pt idx="230">
                  <c:v>-5.404999357063961E-4</c:v>
                </c:pt>
                <c:pt idx="231">
                  <c:v>-5.1260547294041596E-4</c:v>
                </c:pt>
                <c:pt idx="232">
                  <c:v>-4.879970757394278E-4</c:v>
                </c:pt>
                <c:pt idx="233">
                  <c:v>-4.3953124837795764E-4</c:v>
                </c:pt>
                <c:pt idx="234">
                  <c:v>-5.7335229317344023E-4</c:v>
                </c:pt>
                <c:pt idx="235">
                  <c:v>-5.2504431898136054E-4</c:v>
                </c:pt>
                <c:pt idx="236">
                  <c:v>-5.6116078727411743E-4</c:v>
                </c:pt>
                <c:pt idx="237">
                  <c:v>-5.542809671967142E-4</c:v>
                </c:pt>
                <c:pt idx="238">
                  <c:v>-5.5905079825489194E-4</c:v>
                </c:pt>
                <c:pt idx="239">
                  <c:v>-5.7765877999260554E-4</c:v>
                </c:pt>
                <c:pt idx="240">
                  <c:v>-5.7119835601251176E-4</c:v>
                </c:pt>
                <c:pt idx="241">
                  <c:v>-5.7718311514276814E-4</c:v>
                </c:pt>
                <c:pt idx="242">
                  <c:v>-6.1198054560249095E-4</c:v>
                </c:pt>
                <c:pt idx="243">
                  <c:v>-6.180278718705322E-4</c:v>
                </c:pt>
                <c:pt idx="244">
                  <c:v>-5.8907846786877783E-4</c:v>
                </c:pt>
                <c:pt idx="245">
                  <c:v>-5.6331445460029847E-4</c:v>
                </c:pt>
                <c:pt idx="246">
                  <c:v>-5.3434790538854518E-4</c:v>
                </c:pt>
                <c:pt idx="247">
                  <c:v>-5.2331586234912516E-4</c:v>
                </c:pt>
                <c:pt idx="248">
                  <c:v>-5.4853552825260307E-4</c:v>
                </c:pt>
                <c:pt idx="249">
                  <c:v>-6.1277961771769095E-4</c:v>
                </c:pt>
                <c:pt idx="250">
                  <c:v>-5.912758019501552E-4</c:v>
                </c:pt>
                <c:pt idx="251">
                  <c:v>-5.815980817473822E-4</c:v>
                </c:pt>
                <c:pt idx="252">
                  <c:v>-5.4982283450722672E-4</c:v>
                </c:pt>
                <c:pt idx="253">
                  <c:v>-5.6076386132489599E-4</c:v>
                </c:pt>
                <c:pt idx="254">
                  <c:v>-5.5758934899081979E-4</c:v>
                </c:pt>
                <c:pt idx="255">
                  <c:v>-5.6437260770981254E-4</c:v>
                </c:pt>
                <c:pt idx="256">
                  <c:v>-5.5963458624070424E-4</c:v>
                </c:pt>
                <c:pt idx="257">
                  <c:v>-5.429774357933678E-4</c:v>
                </c:pt>
                <c:pt idx="258">
                  <c:v>-5.1079624545997612E-4</c:v>
                </c:pt>
                <c:pt idx="259">
                  <c:v>-5.1670654097029191E-4</c:v>
                </c:pt>
                <c:pt idx="260">
                  <c:v>-4.4751782728767655E-4</c:v>
                </c:pt>
                <c:pt idx="261">
                  <c:v>-2.3396593298767658E-4</c:v>
                </c:pt>
                <c:pt idx="262">
                  <c:v>-3.3621060536090521E-4</c:v>
                </c:pt>
                <c:pt idx="263">
                  <c:v>-2.947777665911247E-4</c:v>
                </c:pt>
                <c:pt idx="264">
                  <c:v>-3.3090505726192875E-4</c:v>
                </c:pt>
                <c:pt idx="265">
                  <c:v>-3.498438865768972E-4</c:v>
                </c:pt>
                <c:pt idx="266">
                  <c:v>-3.2623830968705835E-4</c:v>
                </c:pt>
                <c:pt idx="267">
                  <c:v>-3.2435271327152342E-4</c:v>
                </c:pt>
                <c:pt idx="268">
                  <c:v>-3.5173480011760084E-4</c:v>
                </c:pt>
                <c:pt idx="269">
                  <c:v>-3.0494475180088069E-4</c:v>
                </c:pt>
                <c:pt idx="270">
                  <c:v>-3.8616165866371194E-4</c:v>
                </c:pt>
                <c:pt idx="271">
                  <c:v>-3.8015309638867671E-4</c:v>
                </c:pt>
                <c:pt idx="272">
                  <c:v>-3.4917197383976627E-4</c:v>
                </c:pt>
                <c:pt idx="273">
                  <c:v>-2.8385658578794129E-4</c:v>
                </c:pt>
                <c:pt idx="274">
                  <c:v>-2.9238505906965497E-4</c:v>
                </c:pt>
                <c:pt idx="275">
                  <c:v>-2.8024561954739937E-4</c:v>
                </c:pt>
                <c:pt idx="276">
                  <c:v>-2.9080682156194489E-4</c:v>
                </c:pt>
                <c:pt idx="277">
                  <c:v>-2.8368190565371742E-4</c:v>
                </c:pt>
                <c:pt idx="278">
                  <c:v>-2.9620515444505864E-4</c:v>
                </c:pt>
                <c:pt idx="279">
                  <c:v>-2.7583871397148256E-4</c:v>
                </c:pt>
                <c:pt idx="280">
                  <c:v>-2.8659543894126691E-4</c:v>
                </c:pt>
                <c:pt idx="281">
                  <c:v>-2.3403446236887763E-4</c:v>
                </c:pt>
                <c:pt idx="282">
                  <c:v>-1.253870784503323E-4</c:v>
                </c:pt>
                <c:pt idx="283">
                  <c:v>-2.3151025631679376E-4</c:v>
                </c:pt>
                <c:pt idx="284">
                  <c:v>-4.9782611379327389E-4</c:v>
                </c:pt>
                <c:pt idx="285">
                  <c:v>-5.0778344437323454E-4</c:v>
                </c:pt>
                <c:pt idx="286">
                  <c:v>-4.9869149253521639E-4</c:v>
                </c:pt>
                <c:pt idx="287">
                  <c:v>-4.9199498629184674E-4</c:v>
                </c:pt>
                <c:pt idx="288">
                  <c:v>-5.2001096476174749E-4</c:v>
                </c:pt>
                <c:pt idx="289">
                  <c:v>-4.8188628641939151E-4</c:v>
                </c:pt>
                <c:pt idx="290">
                  <c:v>-4.8976131874884526E-4</c:v>
                </c:pt>
                <c:pt idx="291">
                  <c:v>-5.2961223733638096E-4</c:v>
                </c:pt>
                <c:pt idx="292">
                  <c:v>-5.5277810501955791E-4</c:v>
                </c:pt>
                <c:pt idx="293">
                  <c:v>-5.3028903994381061E-4</c:v>
                </c:pt>
                <c:pt idx="294">
                  <c:v>-5.226250100607338E-4</c:v>
                </c:pt>
                <c:pt idx="295">
                  <c:v>-5.5538983940445717E-4</c:v>
                </c:pt>
                <c:pt idx="296">
                  <c:v>-5.3428165881403453E-4</c:v>
                </c:pt>
                <c:pt idx="297">
                  <c:v>-5.2951462693403455E-4</c:v>
                </c:pt>
                <c:pt idx="298">
                  <c:v>-5.3407351097060993E-4</c:v>
                </c:pt>
                <c:pt idx="299">
                  <c:v>-5.3528713693721001E-4</c:v>
                </c:pt>
                <c:pt idx="300">
                  <c:v>-4.9544366149650821E-4</c:v>
                </c:pt>
                <c:pt idx="301">
                  <c:v>-4.7818538224313325E-4</c:v>
                </c:pt>
                <c:pt idx="302">
                  <c:v>-4.5667925248773296E-4</c:v>
                </c:pt>
                <c:pt idx="303">
                  <c:v>-4.306067969727797E-4</c:v>
                </c:pt>
                <c:pt idx="304">
                  <c:v>-4.3714063862713564E-4</c:v>
                </c:pt>
                <c:pt idx="305">
                  <c:v>-4.6293451786988307E-4</c:v>
                </c:pt>
                <c:pt idx="306">
                  <c:v>-4.4304371870466561E-4</c:v>
                </c:pt>
                <c:pt idx="307">
                  <c:v>-4.4468460946301574E-4</c:v>
                </c:pt>
                <c:pt idx="308">
                  <c:v>-4.6587076961396762E-4</c:v>
                </c:pt>
                <c:pt idx="309">
                  <c:v>-4.6228794001756105E-4</c:v>
                </c:pt>
                <c:pt idx="310">
                  <c:v>-4.3220056915529976E-4</c:v>
                </c:pt>
                <c:pt idx="311">
                  <c:v>-3.9078907799264419E-4</c:v>
                </c:pt>
                <c:pt idx="312">
                  <c:v>-3.065680597400997E-4</c:v>
                </c:pt>
                <c:pt idx="313">
                  <c:v>-2.8913626900101157E-4</c:v>
                </c:pt>
                <c:pt idx="314">
                  <c:v>-2.9418918247024929E-4</c:v>
                </c:pt>
                <c:pt idx="315">
                  <c:v>-2.80989190445859E-4</c:v>
                </c:pt>
                <c:pt idx="316">
                  <c:v>-2.5299479614144973E-4</c:v>
                </c:pt>
                <c:pt idx="317">
                  <c:v>-2.7017400246084992E-4</c:v>
                </c:pt>
                <c:pt idx="318">
                  <c:v>-2.8804604851763281E-4</c:v>
                </c:pt>
                <c:pt idx="319">
                  <c:v>-2.9265174278063285E-4</c:v>
                </c:pt>
                <c:pt idx="320">
                  <c:v>-2.6601079727737136E-4</c:v>
                </c:pt>
                <c:pt idx="321">
                  <c:v>-2.7618220840688944E-4</c:v>
                </c:pt>
                <c:pt idx="322">
                  <c:v>-2.2828870532969934E-4</c:v>
                </c:pt>
                <c:pt idx="323">
                  <c:v>-2.9802464220392034E-4</c:v>
                </c:pt>
                <c:pt idx="324">
                  <c:v>-2.2928286751364263E-4</c:v>
                </c:pt>
                <c:pt idx="325">
                  <c:v>-2.1606573652782361E-4</c:v>
                </c:pt>
                <c:pt idx="326">
                  <c:v>-2.0383983406836723E-4</c:v>
                </c:pt>
                <c:pt idx="327">
                  <c:v>-2.2300254738966542E-4</c:v>
                </c:pt>
                <c:pt idx="328">
                  <c:v>-2.2068491230197882E-4</c:v>
                </c:pt>
                <c:pt idx="329">
                  <c:v>-2.8232999853897617E-4</c:v>
                </c:pt>
                <c:pt idx="330">
                  <c:v>-2.4023161068897615E-4</c:v>
                </c:pt>
                <c:pt idx="331">
                  <c:v>-2.2259402616968456E-4</c:v>
                </c:pt>
                <c:pt idx="332">
                  <c:v>-2.0989068529940412E-4</c:v>
                </c:pt>
                <c:pt idx="333">
                  <c:v>-2.3626249187951633E-4</c:v>
                </c:pt>
                <c:pt idx="334">
                  <c:v>-2.4850299199523379E-4</c:v>
                </c:pt>
                <c:pt idx="335">
                  <c:v>-2.3212027313081025E-4</c:v>
                </c:pt>
                <c:pt idx="336">
                  <c:v>-1.8020648482596223E-4</c:v>
                </c:pt>
                <c:pt idx="337">
                  <c:v>-6.7041113861578678E-5</c:v>
                </c:pt>
                <c:pt idx="338">
                  <c:v>-3.8880232958767898E-5</c:v>
                </c:pt>
                <c:pt idx="339">
                  <c:v>-5.6518631539686564E-6</c:v>
                </c:pt>
                <c:pt idx="340">
                  <c:v>2.5831133047595636E-5</c:v>
                </c:pt>
                <c:pt idx="341">
                  <c:v>2.567762950573752E-5</c:v>
                </c:pt>
                <c:pt idx="342">
                  <c:v>8.9707766290583166E-5</c:v>
                </c:pt>
                <c:pt idx="343">
                  <c:v>1.5620534650349937E-4</c:v>
                </c:pt>
                <c:pt idx="344">
                  <c:v>1.3035433987214603E-4</c:v>
                </c:pt>
                <c:pt idx="345">
                  <c:v>7.4412928214031657E-5</c:v>
                </c:pt>
                <c:pt idx="346">
                  <c:v>9.3258056476979079E-5</c:v>
                </c:pt>
                <c:pt idx="347">
                  <c:v>4.8257096759737689E-5</c:v>
                </c:pt>
                <c:pt idx="348">
                  <c:v>9.8909534269112727E-5</c:v>
                </c:pt>
                <c:pt idx="349">
                  <c:v>1.3549499053411448E-4</c:v>
                </c:pt>
                <c:pt idx="350">
                  <c:v>9.7399507295670973E-5</c:v>
                </c:pt>
                <c:pt idx="351">
                  <c:v>1.0489867444994598E-4</c:v>
                </c:pt>
                <c:pt idx="352">
                  <c:v>1.4844284649456131E-4</c:v>
                </c:pt>
                <c:pt idx="353">
                  <c:v>3.8663875994561325E-5</c:v>
                </c:pt>
                <c:pt idx="354">
                  <c:v>8.0057552776916901E-5</c:v>
                </c:pt>
                <c:pt idx="355">
                  <c:v>2.6073301083050292E-5</c:v>
                </c:pt>
                <c:pt idx="356">
                  <c:v>9.8446423419172539E-5</c:v>
                </c:pt>
                <c:pt idx="357">
                  <c:v>1.1093711677496188E-4</c:v>
                </c:pt>
                <c:pt idx="358">
                  <c:v>2.2067741487475476E-4</c:v>
                </c:pt>
                <c:pt idx="359">
                  <c:v>1.6484707543082373E-4</c:v>
                </c:pt>
                <c:pt idx="360">
                  <c:v>1.1775059549618324E-4</c:v>
                </c:pt>
                <c:pt idx="361">
                  <c:v>1.1472687064529016E-4</c:v>
                </c:pt>
                <c:pt idx="362">
                  <c:v>-3.707639170921109E-5</c:v>
                </c:pt>
                <c:pt idx="363">
                  <c:v>-6.6141616043124108E-5</c:v>
                </c:pt>
                <c:pt idx="364">
                  <c:v>-2.2537904579423751E-5</c:v>
                </c:pt>
                <c:pt idx="365">
                  <c:v>-7.3745268292817575E-5</c:v>
                </c:pt>
                <c:pt idx="366">
                  <c:v>-6.5278687385917481E-5</c:v>
                </c:pt>
                <c:pt idx="367">
                  <c:v>-7.070410855235163E-5</c:v>
                </c:pt>
                <c:pt idx="368">
                  <c:v>-1.2943176846883635E-5</c:v>
                </c:pt>
                <c:pt idx="369">
                  <c:v>-3.3805909135017644E-6</c:v>
                </c:pt>
                <c:pt idx="370">
                  <c:v>-6.0047643601810284E-5</c:v>
                </c:pt>
                <c:pt idx="371">
                  <c:v>-1.0036844849411798E-4</c:v>
                </c:pt>
                <c:pt idx="372">
                  <c:v>-6.0038271704128507E-6</c:v>
                </c:pt>
                <c:pt idx="373">
                  <c:v>3.0583359913620005E-6</c:v>
                </c:pt>
                <c:pt idx="374">
                  <c:v>7.942209245138086E-5</c:v>
                </c:pt>
                <c:pt idx="375">
                  <c:v>9.8494284859181825E-5</c:v>
                </c:pt>
                <c:pt idx="376">
                  <c:v>3.2106255345339668E-5</c:v>
                </c:pt>
                <c:pt idx="377">
                  <c:v>9.3640835592730995E-6</c:v>
                </c:pt>
                <c:pt idx="378">
                  <c:v>3.5325515470855234E-5</c:v>
                </c:pt>
                <c:pt idx="379">
                  <c:v>5.1960315006392374E-5</c:v>
                </c:pt>
                <c:pt idx="380">
                  <c:v>-2.6095206520866828E-5</c:v>
                </c:pt>
                <c:pt idx="381">
                  <c:v>7.6753938129261986E-6</c:v>
                </c:pt>
                <c:pt idx="382">
                  <c:v>-2.6791971036737419E-5</c:v>
                </c:pt>
                <c:pt idx="383">
                  <c:v>3.661208569108187E-5</c:v>
                </c:pt>
                <c:pt idx="384">
                  <c:v>5.6867459774797156E-5</c:v>
                </c:pt>
                <c:pt idx="385">
                  <c:v>7.6911044516919091E-5</c:v>
                </c:pt>
                <c:pt idx="386">
                  <c:v>9.0027231117014277E-5</c:v>
                </c:pt>
                <c:pt idx="387">
                  <c:v>-9.1527467040128651E-5</c:v>
                </c:pt>
                <c:pt idx="388">
                  <c:v>-1.3103340641117619E-4</c:v>
                </c:pt>
                <c:pt idx="389">
                  <c:v>-6.2723230076559152E-5</c:v>
                </c:pt>
                <c:pt idx="390">
                  <c:v>-1.0191857447918092E-4</c:v>
                </c:pt>
                <c:pt idx="391">
                  <c:v>-1.0123737408170959E-4</c:v>
                </c:pt>
                <c:pt idx="392">
                  <c:v>-5.2558753042276079E-5</c:v>
                </c:pt>
                <c:pt idx="393">
                  <c:v>-7.5428148672641117E-5</c:v>
                </c:pt>
                <c:pt idx="394">
                  <c:v>-4.5657532388468387E-5</c:v>
                </c:pt>
                <c:pt idx="395">
                  <c:v>1.7660110126715944E-5</c:v>
                </c:pt>
                <c:pt idx="396">
                  <c:v>6.9201888214465022E-5</c:v>
                </c:pt>
                <c:pt idx="397">
                  <c:v>6.1750502448882654E-5</c:v>
                </c:pt>
                <c:pt idx="398">
                  <c:v>9.4968965255099025E-5</c:v>
                </c:pt>
                <c:pt idx="399">
                  <c:v>1.3925979149724828E-4</c:v>
                </c:pt>
                <c:pt idx="400">
                  <c:v>7.0782409397248294E-5</c:v>
                </c:pt>
                <c:pt idx="401">
                  <c:v>1.2463574326772832E-4</c:v>
                </c:pt>
                <c:pt idx="402">
                  <c:v>9.4609170994202469E-5</c:v>
                </c:pt>
                <c:pt idx="403">
                  <c:v>1.9099249544115329E-4</c:v>
                </c:pt>
                <c:pt idx="404">
                  <c:v>2.615472909135742E-4</c:v>
                </c:pt>
                <c:pt idx="405">
                  <c:v>2.8675115361357425E-4</c:v>
                </c:pt>
                <c:pt idx="406">
                  <c:v>1.9566559659919415E-4</c:v>
                </c:pt>
                <c:pt idx="407">
                  <c:v>2.5534374115141725E-4</c:v>
                </c:pt>
                <c:pt idx="408">
                  <c:v>3.4238194624551705E-4</c:v>
                </c:pt>
                <c:pt idx="409">
                  <c:v>2.6400586535157793E-4</c:v>
                </c:pt>
                <c:pt idx="410">
                  <c:v>2.2875488662196908E-4</c:v>
                </c:pt>
                <c:pt idx="411">
                  <c:v>1.9095323357523107E-4</c:v>
                </c:pt>
                <c:pt idx="412">
                  <c:v>1.7408081541792767E-4</c:v>
                </c:pt>
                <c:pt idx="413">
                  <c:v>2.1533524497678502E-4</c:v>
                </c:pt>
                <c:pt idx="414">
                  <c:v>1.8282039525476909E-4</c:v>
                </c:pt>
                <c:pt idx="415">
                  <c:v>-4.5656141380264124E-6</c:v>
                </c:pt>
                <c:pt idx="416">
                  <c:v>1.2471258017921453E-4</c:v>
                </c:pt>
                <c:pt idx="417">
                  <c:v>1.6891449823567065E-4</c:v>
                </c:pt>
                <c:pt idx="418">
                  <c:v>1.9376062266305671E-4</c:v>
                </c:pt>
                <c:pt idx="419">
                  <c:v>4.9635306849128533E-5</c:v>
                </c:pt>
                <c:pt idx="420">
                  <c:v>1.8399999384979129E-4</c:v>
                </c:pt>
                <c:pt idx="421">
                  <c:v>9.5669930963966434E-5</c:v>
                </c:pt>
                <c:pt idx="422">
                  <c:v>-4.7277257109966104E-5</c:v>
                </c:pt>
                <c:pt idx="423">
                  <c:v>-1.0106845666741789E-4</c:v>
                </c:pt>
                <c:pt idx="424">
                  <c:v>-4.3958313250637352E-5</c:v>
                </c:pt>
                <c:pt idx="425">
                  <c:v>-6.1423501170511014E-5</c:v>
                </c:pt>
                <c:pt idx="426">
                  <c:v>-1.0503280486781292E-4</c:v>
                </c:pt>
                <c:pt idx="427">
                  <c:v>-1.3535209746781297E-4</c:v>
                </c:pt>
                <c:pt idx="428">
                  <c:v>-1.9594114142906303E-4</c:v>
                </c:pt>
                <c:pt idx="429">
                  <c:v>-9.2097779331078982E-5</c:v>
                </c:pt>
                <c:pt idx="430">
                  <c:v>2.8050344947866926E-5</c:v>
                </c:pt>
                <c:pt idx="431">
                  <c:v>-5.1487012558115677E-5</c:v>
                </c:pt>
                <c:pt idx="432">
                  <c:v>-2.1010705490544406E-5</c:v>
                </c:pt>
                <c:pt idx="433">
                  <c:v>-7.7500672163900291E-5</c:v>
                </c:pt>
                <c:pt idx="434">
                  <c:v>-3.8018568883396358E-5</c:v>
                </c:pt>
                <c:pt idx="435">
                  <c:v>-1.0482594480508051E-4</c:v>
                </c:pt>
                <c:pt idx="436">
                  <c:v>-9.6476928081142634E-5</c:v>
                </c:pt>
                <c:pt idx="437">
                  <c:v>-1.016614921266995E-4</c:v>
                </c:pt>
                <c:pt idx="438">
                  <c:v>-1.3312317276304063E-4</c:v>
                </c:pt>
                <c:pt idx="439">
                  <c:v>-1.8493303119644462E-4</c:v>
                </c:pt>
                <c:pt idx="440">
                  <c:v>-1.6948825334968821E-4</c:v>
                </c:pt>
                <c:pt idx="441">
                  <c:v>-1.1881615943335176E-4</c:v>
                </c:pt>
                <c:pt idx="442">
                  <c:v>-1.025195119207983E-4</c:v>
                </c:pt>
                <c:pt idx="443">
                  <c:v>-8.4788522518155089E-5</c:v>
                </c:pt>
                <c:pt idx="444">
                  <c:v>-1.076077186214608E-4</c:v>
                </c:pt>
                <c:pt idx="445">
                  <c:v>-5.1605560093277121E-5</c:v>
                </c:pt>
                <c:pt idx="446">
                  <c:v>-6.5536411701787764E-5</c:v>
                </c:pt>
                <c:pt idx="447">
                  <c:v>-2.3431030954682485E-5</c:v>
                </c:pt>
                <c:pt idx="448">
                  <c:v>-6.1840704139523155E-5</c:v>
                </c:pt>
                <c:pt idx="449">
                  <c:v>-3.6386444798562505E-5</c:v>
                </c:pt>
                <c:pt idx="450">
                  <c:v>-4.8524748209948532E-5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B3-4CE6-A8E9-7FEC5235F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468496"/>
        <c:axId val="609477648"/>
      </c:lineChart>
      <c:dateAx>
        <c:axId val="609468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77648"/>
        <c:crosses val="autoZero"/>
        <c:auto val="1"/>
        <c:lblOffset val="100"/>
        <c:baseTimeUnit val="days"/>
      </c:dateAx>
      <c:valAx>
        <c:axId val="60947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6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D98AC0-7027-404B-8E60-D03CFDEDA46F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2A402-47B6-4DF4-8B88-638478E1F81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2065</v>
      </c>
      <c r="D2" s="4">
        <f>MIN(D3:D1912)</f>
        <v>64.150000000000006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1091.0999999999999</v>
      </c>
      <c r="C5">
        <v>1093</v>
      </c>
      <c r="D5">
        <v>1038.3499999999999</v>
      </c>
      <c r="E5">
        <v>1038.3499999999999</v>
      </c>
      <c r="F5">
        <v>1251.26</v>
      </c>
      <c r="G5">
        <v>1038.3499999999999</v>
      </c>
      <c r="L5" t="s">
        <v>7</v>
      </c>
      <c r="M5" t="s">
        <v>8</v>
      </c>
      <c r="N5" t="s">
        <v>8</v>
      </c>
      <c r="P5">
        <f t="shared" ref="P5" si="0">IF(C5=D5,0,((E5-D5)-(C5-E5))/(C5-D5))</f>
        <v>-1</v>
      </c>
      <c r="Q5">
        <f t="shared" ref="Q5" si="1">F5*P5</f>
        <v>-1251.26</v>
      </c>
      <c r="R5">
        <f t="shared" ref="R5" si="2">R6+Q5</f>
        <v>-474960.52771083667</v>
      </c>
      <c r="S5">
        <f t="shared" ref="S5" si="3">R5/100000</f>
        <v>-4.7496052771083663</v>
      </c>
      <c r="T5">
        <f t="shared" ref="T5" si="4">S5/1000</f>
        <v>-4.7496052771083663E-3</v>
      </c>
    </row>
    <row r="6" spans="1:20" x14ac:dyDescent="0.25">
      <c r="A6" s="5">
        <v>44587</v>
      </c>
      <c r="B6">
        <v>1139.72</v>
      </c>
      <c r="C6">
        <v>1210</v>
      </c>
      <c r="D6">
        <v>1060</v>
      </c>
      <c r="E6">
        <v>1092.97</v>
      </c>
      <c r="F6">
        <v>15048.55</v>
      </c>
      <c r="G6">
        <v>1092.97</v>
      </c>
      <c r="L6" t="s">
        <v>7</v>
      </c>
      <c r="M6" t="s">
        <v>8</v>
      </c>
      <c r="N6" t="s">
        <v>8</v>
      </c>
      <c r="P6">
        <f t="shared" ref="P6" si="5">IF(C6=D6,0,((E6-D6)-(C6-E6))/(C6-D6))</f>
        <v>-0.56039999999999968</v>
      </c>
      <c r="Q6">
        <f t="shared" ref="Q6" si="6">F6*P6</f>
        <v>-8433.2074199999952</v>
      </c>
      <c r="R6">
        <f t="shared" ref="R6" si="7">R7+Q6</f>
        <v>-473709.26771083666</v>
      </c>
      <c r="S6">
        <f t="shared" ref="S6" si="8">R6/100000</f>
        <v>-4.7370926771083663</v>
      </c>
      <c r="T6">
        <f t="shared" ref="T6" si="9">S6/1000</f>
        <v>-4.7370926771083659E-3</v>
      </c>
    </row>
    <row r="7" spans="1:20" x14ac:dyDescent="0.25">
      <c r="A7" s="5">
        <v>44586</v>
      </c>
      <c r="B7">
        <v>1186.21</v>
      </c>
      <c r="C7">
        <v>1217.3699999999999</v>
      </c>
      <c r="D7">
        <v>1114</v>
      </c>
      <c r="E7">
        <v>1138.05</v>
      </c>
      <c r="F7">
        <v>11836.93</v>
      </c>
      <c r="G7">
        <v>1138.05</v>
      </c>
      <c r="L7" t="s">
        <v>8</v>
      </c>
      <c r="M7" t="s">
        <v>8</v>
      </c>
      <c r="N7" t="s">
        <v>8</v>
      </c>
      <c r="P7">
        <f t="shared" ref="P7" si="10">IF(C7=D7,0,((E7-D7)-(C7-E7))/(C7-D7))</f>
        <v>-0.53468124213988621</v>
      </c>
      <c r="Q7">
        <f t="shared" ref="Q7" si="11">F7*P7</f>
        <v>-6328.9844355228834</v>
      </c>
      <c r="R7">
        <f t="shared" ref="R7" si="12">R8+Q7</f>
        <v>-465276.06029083667</v>
      </c>
      <c r="S7">
        <f t="shared" ref="S7" si="13">R7/100000</f>
        <v>-4.6527606029083666</v>
      </c>
      <c r="T7">
        <f t="shared" ref="T7" si="14">S7/1000</f>
        <v>-4.6527606029083662E-3</v>
      </c>
    </row>
    <row r="8" spans="1:20" x14ac:dyDescent="0.25">
      <c r="A8" s="5">
        <v>44585</v>
      </c>
      <c r="B8">
        <v>1247.47</v>
      </c>
      <c r="C8">
        <v>1249.94</v>
      </c>
      <c r="D8">
        <v>1008.56</v>
      </c>
      <c r="E8">
        <v>1182.22</v>
      </c>
      <c r="F8">
        <v>31783.21</v>
      </c>
      <c r="G8">
        <v>1182.22</v>
      </c>
      <c r="L8" t="s">
        <v>7</v>
      </c>
      <c r="M8" t="s">
        <v>7</v>
      </c>
      <c r="N8" t="s">
        <v>8</v>
      </c>
      <c r="P8">
        <f t="shared" ref="P8" si="15">IF(C8=D8,0,((E8-D8)-(C8-E8))/(C8-D8))</f>
        <v>0.43889303173419508</v>
      </c>
      <c r="Q8">
        <f t="shared" ref="Q8" si="16">F8*P8</f>
        <v>13949.429395144585</v>
      </c>
      <c r="R8">
        <f t="shared" ref="R8" si="17">R9+Q8</f>
        <v>-458947.0758553138</v>
      </c>
      <c r="S8">
        <f t="shared" ref="S8" si="18">R8/100000</f>
        <v>-4.589470758553138</v>
      </c>
      <c r="T8">
        <f t="shared" ref="T8" si="19">S8/1000</f>
        <v>-4.5894707585531378E-3</v>
      </c>
    </row>
    <row r="9" spans="1:20" x14ac:dyDescent="0.25">
      <c r="A9" s="5">
        <v>44584</v>
      </c>
      <c r="B9">
        <v>1038.1400000000001</v>
      </c>
      <c r="C9">
        <v>1350</v>
      </c>
      <c r="D9">
        <v>1033.1300000000001</v>
      </c>
      <c r="E9">
        <v>1247</v>
      </c>
      <c r="F9">
        <v>36904.99</v>
      </c>
      <c r="G9">
        <v>1247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0.34989112254236732</v>
      </c>
      <c r="Q9">
        <f t="shared" ref="Q9" si="21">F9*P9</f>
        <v>12912.728378514839</v>
      </c>
      <c r="R9">
        <f t="shared" ref="R9" si="22">R10+Q9</f>
        <v>-472896.50525045837</v>
      </c>
      <c r="S9">
        <f t="shared" ref="S9" si="23">R9/100000</f>
        <v>-4.7289650525045834</v>
      </c>
      <c r="T9">
        <f t="shared" ref="T9" si="24">S9/1000</f>
        <v>-4.7289650525045831E-3</v>
      </c>
    </row>
    <row r="10" spans="1:20" x14ac:dyDescent="0.25">
      <c r="A10" s="5">
        <v>44583</v>
      </c>
      <c r="B10">
        <v>1060.28</v>
      </c>
      <c r="C10">
        <v>1176.83</v>
      </c>
      <c r="D10">
        <v>760</v>
      </c>
      <c r="E10">
        <v>1038.07</v>
      </c>
      <c r="F10">
        <v>30583.439999999999</v>
      </c>
      <c r="G10">
        <v>1038.07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0.33421298850850462</v>
      </c>
      <c r="Q10">
        <f t="shared" ref="Q10" si="26">F10*P10</f>
        <v>10221.38288127054</v>
      </c>
      <c r="R10">
        <f t="shared" ref="R10" si="27">R11+Q10</f>
        <v>-485809.23362897319</v>
      </c>
      <c r="S10">
        <f t="shared" ref="S10" si="28">R10/100000</f>
        <v>-4.8580923362897321</v>
      </c>
      <c r="T10">
        <f t="shared" ref="T10" si="29">S10/1000</f>
        <v>-4.8580923362897318E-3</v>
      </c>
    </row>
    <row r="11" spans="1:20" x14ac:dyDescent="0.25">
      <c r="A11" s="5">
        <v>44582</v>
      </c>
      <c r="B11">
        <v>1349.14</v>
      </c>
      <c r="C11">
        <v>1411.67</v>
      </c>
      <c r="D11">
        <v>1020</v>
      </c>
      <c r="E11">
        <v>1060.26</v>
      </c>
      <c r="F11">
        <v>17888.599999999999</v>
      </c>
      <c r="G11">
        <v>1060.26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-0.79441877090407753</v>
      </c>
      <c r="Q11">
        <f t="shared" ref="Q11" si="31">F11*P11</f>
        <v>-14211.03962519468</v>
      </c>
      <c r="R11">
        <f t="shared" ref="R11" si="32">R12+Q11</f>
        <v>-496030.61651024374</v>
      </c>
      <c r="S11">
        <f t="shared" ref="S11" si="33">R11/100000</f>
        <v>-4.9603061651024376</v>
      </c>
      <c r="T11">
        <f t="shared" ref="T11" si="34">S11/1000</f>
        <v>-4.9603061651024372E-3</v>
      </c>
    </row>
    <row r="12" spans="1:20" x14ac:dyDescent="0.25">
      <c r="A12" s="5">
        <v>44581</v>
      </c>
      <c r="B12">
        <v>1539.56</v>
      </c>
      <c r="C12">
        <v>1547.26</v>
      </c>
      <c r="D12">
        <v>1343.19</v>
      </c>
      <c r="E12">
        <v>1347.88</v>
      </c>
      <c r="F12">
        <v>12079.06</v>
      </c>
      <c r="G12">
        <v>1347.88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-0.95403538001666044</v>
      </c>
      <c r="Q12">
        <f t="shared" ref="Q12" si="36">F12*P12</f>
        <v>-11523.850597344042</v>
      </c>
      <c r="R12">
        <f t="shared" ref="R12" si="37">R13+Q12</f>
        <v>-481819.57688504906</v>
      </c>
      <c r="S12">
        <f t="shared" ref="S12" si="38">R12/100000</f>
        <v>-4.8181957688504902</v>
      </c>
      <c r="T12">
        <f t="shared" ref="T12" si="39">S12/1000</f>
        <v>-4.8181957688504902E-3</v>
      </c>
    </row>
    <row r="13" spans="1:20" x14ac:dyDescent="0.25">
      <c r="A13" s="5">
        <v>44580</v>
      </c>
      <c r="B13">
        <v>1418.2</v>
      </c>
      <c r="C13">
        <v>1668.99</v>
      </c>
      <c r="D13">
        <v>1335.71</v>
      </c>
      <c r="E13">
        <v>1539.56</v>
      </c>
      <c r="F13">
        <v>20598.86</v>
      </c>
      <c r="G13">
        <v>1539.56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0.22329572731637018</v>
      </c>
      <c r="Q13">
        <f t="shared" ref="Q13" si="41">F13*P13</f>
        <v>4599.6374255880855</v>
      </c>
      <c r="R13">
        <f t="shared" ref="R13" si="42">R14+Q13</f>
        <v>-470295.72628770501</v>
      </c>
      <c r="S13">
        <f t="shared" ref="S13" si="43">R13/100000</f>
        <v>-4.7029572628770504</v>
      </c>
      <c r="T13">
        <f t="shared" ref="T13" si="44">S13/1000</f>
        <v>-4.7029572628770507E-3</v>
      </c>
    </row>
    <row r="14" spans="1:20" x14ac:dyDescent="0.25">
      <c r="A14" s="5">
        <v>44579</v>
      </c>
      <c r="B14">
        <v>1599.27</v>
      </c>
      <c r="C14">
        <v>1621.77</v>
      </c>
      <c r="D14">
        <v>1334</v>
      </c>
      <c r="E14">
        <v>1419.34</v>
      </c>
      <c r="F14">
        <v>15134.89</v>
      </c>
      <c r="G14">
        <v>1419.34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-0.40688744483441691</v>
      </c>
      <c r="Q14">
        <f t="shared" ref="Q14" si="46">F14*P14</f>
        <v>-6158.1967199499677</v>
      </c>
      <c r="R14">
        <f t="shared" ref="R14" si="47">R15+Q14</f>
        <v>-474895.3637132931</v>
      </c>
      <c r="S14">
        <f t="shared" ref="S14" si="48">R14/100000</f>
        <v>-4.7489536371329306</v>
      </c>
      <c r="T14">
        <f t="shared" ref="T14" si="49">S14/1000</f>
        <v>-4.7489536371329308E-3</v>
      </c>
    </row>
    <row r="15" spans="1:20" x14ac:dyDescent="0.25">
      <c r="A15" s="5">
        <v>44578</v>
      </c>
      <c r="B15">
        <v>1869.88</v>
      </c>
      <c r="C15">
        <v>1935</v>
      </c>
      <c r="D15">
        <v>1523.9</v>
      </c>
      <c r="E15">
        <v>1596.52</v>
      </c>
      <c r="F15">
        <v>18116.060000000001</v>
      </c>
      <c r="G15">
        <v>1596.52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-0.64670396497202676</v>
      </c>
      <c r="Q15">
        <f t="shared" ref="Q15" si="51">F15*P15</f>
        <v>-11715.727831671136</v>
      </c>
      <c r="R15">
        <f t="shared" ref="R15" si="52">R16+Q15</f>
        <v>-468737.16699334315</v>
      </c>
      <c r="S15">
        <f t="shared" ref="S15" si="53">R15/100000</f>
        <v>-4.6873716699334311</v>
      </c>
      <c r="T15">
        <f t="shared" ref="T15" si="54">S15/1000</f>
        <v>-4.6873716699334309E-3</v>
      </c>
    </row>
    <row r="16" spans="1:20" x14ac:dyDescent="0.25">
      <c r="A16" s="5">
        <v>44577</v>
      </c>
      <c r="B16">
        <v>1677.08</v>
      </c>
      <c r="C16">
        <v>1895.71</v>
      </c>
      <c r="D16">
        <v>1668</v>
      </c>
      <c r="E16">
        <v>1865.06</v>
      </c>
      <c r="F16">
        <v>10288.459999999999</v>
      </c>
      <c r="G16">
        <v>1865.06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0.73079794475429194</v>
      </c>
      <c r="Q16">
        <f t="shared" ref="Q16" si="56">F16*P16</f>
        <v>7518.7854226867421</v>
      </c>
      <c r="R16">
        <f t="shared" ref="R16" si="57">R17+Q16</f>
        <v>-457021.43916167202</v>
      </c>
      <c r="S16">
        <f t="shared" ref="S16" si="58">R16/100000</f>
        <v>-4.5702143916167204</v>
      </c>
      <c r="T16">
        <f t="shared" ref="T16" si="59">S16/1000</f>
        <v>-4.5702143916167203E-3</v>
      </c>
    </row>
    <row r="17" spans="1:20" x14ac:dyDescent="0.25">
      <c r="A17" s="5">
        <v>44576</v>
      </c>
      <c r="B17">
        <v>1685</v>
      </c>
      <c r="C17">
        <v>1768.18</v>
      </c>
      <c r="D17">
        <v>1652.71</v>
      </c>
      <c r="E17">
        <v>1677.08</v>
      </c>
      <c r="F17">
        <v>9593.6</v>
      </c>
      <c r="G17">
        <v>1677.08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-0.57789902139083948</v>
      </c>
      <c r="Q17">
        <f t="shared" ref="Q17" si="61">F17*P17</f>
        <v>-5544.1320516151582</v>
      </c>
      <c r="R17">
        <f t="shared" ref="R17" si="62">R18+Q17</f>
        <v>-464540.22458435874</v>
      </c>
      <c r="S17">
        <f t="shared" ref="S17" si="63">R17/100000</f>
        <v>-4.6454022458435871</v>
      </c>
      <c r="T17">
        <f t="shared" ref="T17" si="64">S17/1000</f>
        <v>-4.6454022458435867E-3</v>
      </c>
    </row>
    <row r="18" spans="1:20" x14ac:dyDescent="0.25">
      <c r="A18" s="5">
        <v>44575</v>
      </c>
      <c r="B18">
        <v>1560</v>
      </c>
      <c r="C18">
        <v>1745.12</v>
      </c>
      <c r="D18">
        <v>1475</v>
      </c>
      <c r="E18">
        <v>1685.86</v>
      </c>
      <c r="F18">
        <v>14803.48</v>
      </c>
      <c r="G18">
        <v>1685.86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0.56123204501702939</v>
      </c>
      <c r="Q18">
        <f t="shared" ref="Q18" si="66">F18*P18</f>
        <v>8308.1873537686934</v>
      </c>
      <c r="R18">
        <f t="shared" ref="R18" si="67">R19+Q18</f>
        <v>-458996.09253274358</v>
      </c>
      <c r="S18">
        <f t="shared" ref="S18" si="68">R18/100000</f>
        <v>-4.5899609253274356</v>
      </c>
      <c r="T18">
        <f t="shared" ref="T18" si="69">S18/1000</f>
        <v>-4.5899609253274359E-3</v>
      </c>
    </row>
    <row r="19" spans="1:20" x14ac:dyDescent="0.25">
      <c r="A19" s="5">
        <v>44574</v>
      </c>
      <c r="B19">
        <v>1492</v>
      </c>
      <c r="C19">
        <v>1650.03</v>
      </c>
      <c r="D19">
        <v>1457.2</v>
      </c>
      <c r="E19">
        <v>1560.38</v>
      </c>
      <c r="F19">
        <v>17774.48</v>
      </c>
      <c r="G19">
        <v>1560.38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7.0165430690246361E-2</v>
      </c>
      <c r="Q19">
        <f t="shared" ref="Q19" si="71">F19*P19</f>
        <v>1247.1540444951702</v>
      </c>
      <c r="R19">
        <f t="shared" ref="R19" si="72">R20+Q19</f>
        <v>-467304.27988651226</v>
      </c>
      <c r="S19">
        <f t="shared" ref="S19" si="73">R19/100000</f>
        <v>-4.6730427988651222</v>
      </c>
      <c r="T19">
        <f t="shared" ref="T19" si="74">S19/1000</f>
        <v>-4.6730427988651221E-3</v>
      </c>
    </row>
    <row r="20" spans="1:20" x14ac:dyDescent="0.25">
      <c r="A20" s="5">
        <v>44573</v>
      </c>
      <c r="B20">
        <v>1365.94</v>
      </c>
      <c r="C20">
        <v>1690.11</v>
      </c>
      <c r="D20">
        <v>1253.99</v>
      </c>
      <c r="E20">
        <v>1491.98</v>
      </c>
      <c r="F20">
        <v>39786.089999999997</v>
      </c>
      <c r="G20">
        <v>1491.98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9.1396863248647472E-2</v>
      </c>
      <c r="Q20">
        <f t="shared" ref="Q20" si="76">F20*P20</f>
        <v>3636.3238269283802</v>
      </c>
      <c r="R20">
        <f t="shared" ref="R20" si="77">R21+Q20</f>
        <v>-468551.43393100746</v>
      </c>
      <c r="S20">
        <f t="shared" ref="S20" si="78">R20/100000</f>
        <v>-4.6855143393100747</v>
      </c>
      <c r="T20">
        <f t="shared" ref="T20" si="79">S20/1000</f>
        <v>-4.6855143393100748E-3</v>
      </c>
    </row>
    <row r="21" spans="1:20" x14ac:dyDescent="0.25">
      <c r="A21" s="5">
        <v>44572</v>
      </c>
      <c r="B21">
        <v>1064.5899999999999</v>
      </c>
      <c r="C21">
        <v>1368</v>
      </c>
      <c r="D21">
        <v>1054.3900000000001</v>
      </c>
      <c r="E21">
        <v>1365.98</v>
      </c>
      <c r="F21">
        <v>27151.81</v>
      </c>
      <c r="G21">
        <v>1365.98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0.98711775772456245</v>
      </c>
      <c r="Q21">
        <f t="shared" ref="Q21" si="81">F21*P21</f>
        <v>26802.033805363353</v>
      </c>
      <c r="R21">
        <f t="shared" ref="R21" si="82">R22+Q21</f>
        <v>-472187.75775793585</v>
      </c>
      <c r="S21">
        <f t="shared" ref="S21" si="83">R21/100000</f>
        <v>-4.7218775775793587</v>
      </c>
      <c r="T21">
        <f t="shared" ref="T21" si="84">S21/1000</f>
        <v>-4.7218775775793587E-3</v>
      </c>
    </row>
    <row r="22" spans="1:20" x14ac:dyDescent="0.25">
      <c r="A22" s="5">
        <v>44571</v>
      </c>
      <c r="B22">
        <v>1061.01</v>
      </c>
      <c r="C22">
        <v>1080</v>
      </c>
      <c r="D22">
        <v>941.1</v>
      </c>
      <c r="E22">
        <v>1064.46</v>
      </c>
      <c r="F22">
        <v>9232.8700000000008</v>
      </c>
      <c r="G22">
        <v>1064.46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0.77624190064794862</v>
      </c>
      <c r="Q22">
        <f t="shared" ref="Q22" si="86">F22*P22</f>
        <v>7166.9405572354262</v>
      </c>
      <c r="R22">
        <f t="shared" ref="R22" si="87">R23+Q22</f>
        <v>-498989.79156329919</v>
      </c>
      <c r="S22">
        <f t="shared" ref="S22" si="88">R22/100000</f>
        <v>-4.9898979156329917</v>
      </c>
      <c r="T22">
        <f t="shared" ref="T22" si="89">S22/1000</f>
        <v>-4.9898979156329914E-3</v>
      </c>
    </row>
    <row r="23" spans="1:20" x14ac:dyDescent="0.25">
      <c r="A23" s="5">
        <v>44570</v>
      </c>
      <c r="B23">
        <v>1090.21</v>
      </c>
      <c r="C23">
        <v>1149.99</v>
      </c>
      <c r="D23">
        <v>1050</v>
      </c>
      <c r="E23">
        <v>1062.6500000000001</v>
      </c>
      <c r="F23">
        <v>6030.25</v>
      </c>
      <c r="G23">
        <v>1062.6500000000001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-0.74697469746974521</v>
      </c>
      <c r="Q23">
        <f t="shared" ref="Q23" si="91">F23*P23</f>
        <v>-4504.4441694169309</v>
      </c>
      <c r="R23">
        <f t="shared" ref="R23" si="92">R24+Q23</f>
        <v>-506156.73212053464</v>
      </c>
      <c r="S23">
        <f t="shared" ref="S23" si="93">R23/100000</f>
        <v>-5.061567321205346</v>
      </c>
      <c r="T23">
        <f t="shared" ref="T23" si="94">S23/1000</f>
        <v>-5.0615673212053456E-3</v>
      </c>
    </row>
    <row r="24" spans="1:20" x14ac:dyDescent="0.25">
      <c r="A24" s="5">
        <v>44569</v>
      </c>
      <c r="B24">
        <v>1206.5899999999999</v>
      </c>
      <c r="C24">
        <v>1217.99</v>
      </c>
      <c r="D24">
        <v>1032.6199999999999</v>
      </c>
      <c r="E24">
        <v>1090.98</v>
      </c>
      <c r="F24">
        <v>10968.39</v>
      </c>
      <c r="G24">
        <v>1090.98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-0.37034040028051907</v>
      </c>
      <c r="Q24">
        <f t="shared" ref="Q24" si="96">F24*P24</f>
        <v>-4062.0379430328421</v>
      </c>
      <c r="R24">
        <f t="shared" ref="R24" si="97">R25+Q24</f>
        <v>-501652.28795111773</v>
      </c>
      <c r="S24">
        <f t="shared" ref="S24" si="98">R24/100000</f>
        <v>-5.0165228795111769</v>
      </c>
      <c r="T24">
        <f t="shared" ref="T24" si="99">S24/1000</f>
        <v>-5.0165228795111773E-3</v>
      </c>
    </row>
    <row r="25" spans="1:20" x14ac:dyDescent="0.25">
      <c r="A25" s="5">
        <v>44568</v>
      </c>
      <c r="B25">
        <v>1295.67</v>
      </c>
      <c r="C25">
        <v>1371</v>
      </c>
      <c r="D25">
        <v>1160.1600000000001</v>
      </c>
      <c r="E25">
        <v>1203.8599999999999</v>
      </c>
      <c r="F25">
        <v>23212</v>
      </c>
      <c r="G25">
        <v>1203.8599999999999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-0.58546765319673844</v>
      </c>
      <c r="Q25">
        <f t="shared" ref="Q25" si="101">F25*P25</f>
        <v>-13589.875166002692</v>
      </c>
      <c r="R25">
        <f t="shared" ref="R25" si="102">R26+Q25</f>
        <v>-497590.25000808487</v>
      </c>
      <c r="S25">
        <f t="shared" ref="S25" si="103">R25/100000</f>
        <v>-4.9759025000808483</v>
      </c>
      <c r="T25">
        <f t="shared" ref="T25" si="104">S25/1000</f>
        <v>-4.9759025000808482E-3</v>
      </c>
    </row>
    <row r="26" spans="1:20" x14ac:dyDescent="0.25">
      <c r="A26" s="5">
        <v>44567</v>
      </c>
      <c r="B26">
        <v>1055.96</v>
      </c>
      <c r="C26">
        <v>1374.64</v>
      </c>
      <c r="D26">
        <v>1000</v>
      </c>
      <c r="E26">
        <v>1298</v>
      </c>
      <c r="F26">
        <v>40206.36</v>
      </c>
      <c r="G26">
        <v>1298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0.59086055947042448</v>
      </c>
      <c r="Q26">
        <f t="shared" ref="Q26" si="106">F26*P26</f>
        <v>23756.352363869297</v>
      </c>
      <c r="R26">
        <f t="shared" ref="R26" si="107">R27+Q26</f>
        <v>-484000.37484208215</v>
      </c>
      <c r="S26">
        <f t="shared" ref="S26" si="108">R26/100000</f>
        <v>-4.8400037484208216</v>
      </c>
      <c r="T26">
        <f t="shared" ref="T26" si="109">S26/1000</f>
        <v>-4.8400037484208217E-3</v>
      </c>
    </row>
    <row r="27" spans="1:20" x14ac:dyDescent="0.25">
      <c r="A27" s="5">
        <v>44566</v>
      </c>
      <c r="B27">
        <v>1166.5</v>
      </c>
      <c r="C27">
        <v>1230</v>
      </c>
      <c r="D27">
        <v>980.93</v>
      </c>
      <c r="E27">
        <v>1057.74</v>
      </c>
      <c r="F27">
        <v>11726.64</v>
      </c>
      <c r="G27">
        <v>1057.74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-0.38322559922913202</v>
      </c>
      <c r="Q27">
        <f t="shared" ref="Q27" si="111">F27*P27</f>
        <v>-4493.9486409443089</v>
      </c>
      <c r="R27">
        <f t="shared" ref="R27" si="112">R28+Q27</f>
        <v>-507756.72720595147</v>
      </c>
      <c r="S27">
        <f t="shared" ref="S27" si="113">R27/100000</f>
        <v>-5.0775672720595146</v>
      </c>
      <c r="T27">
        <f t="shared" ref="T27" si="114">S27/1000</f>
        <v>-5.0775672720595145E-3</v>
      </c>
    </row>
    <row r="28" spans="1:20" x14ac:dyDescent="0.25">
      <c r="A28" s="5">
        <v>44565</v>
      </c>
      <c r="B28">
        <v>1292.53</v>
      </c>
      <c r="C28">
        <v>1330</v>
      </c>
      <c r="D28">
        <v>1165.44</v>
      </c>
      <c r="E28">
        <v>1167.08</v>
      </c>
      <c r="F28">
        <v>14985.61</v>
      </c>
      <c r="G28">
        <v>1167.08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-0.98006806028196558</v>
      </c>
      <c r="Q28">
        <f t="shared" ref="Q28" si="116">F28*P28</f>
        <v>-14686.917724842027</v>
      </c>
      <c r="R28">
        <f t="shared" ref="R28" si="117">R29+Q28</f>
        <v>-503262.77856500715</v>
      </c>
      <c r="S28">
        <f t="shared" ref="S28" si="118">R28/100000</f>
        <v>-5.0326277856500718</v>
      </c>
      <c r="T28">
        <f t="shared" ref="T28" si="119">S28/1000</f>
        <v>-5.0326277856500715E-3</v>
      </c>
    </row>
    <row r="29" spans="1:20" x14ac:dyDescent="0.25">
      <c r="A29" s="5">
        <v>44564</v>
      </c>
      <c r="B29">
        <v>1180.3599999999999</v>
      </c>
      <c r="C29">
        <v>1347.76</v>
      </c>
      <c r="D29">
        <v>1154.97</v>
      </c>
      <c r="E29">
        <v>1293.9000000000001</v>
      </c>
      <c r="F29">
        <v>21925.46</v>
      </c>
      <c r="G29">
        <v>1293.9000000000001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0.44125732662482586</v>
      </c>
      <c r="Q29">
        <f t="shared" ref="Q29" si="121">F29*P29</f>
        <v>9674.7698646195549</v>
      </c>
      <c r="R29">
        <f t="shared" ref="R29" si="122">R30+Q29</f>
        <v>-488575.86084016511</v>
      </c>
      <c r="S29">
        <f t="shared" ref="S29" si="123">R29/100000</f>
        <v>-4.8857586084016509</v>
      </c>
      <c r="T29">
        <f t="shared" ref="T29" si="124">S29/1000</f>
        <v>-4.8857586084016507E-3</v>
      </c>
    </row>
    <row r="30" spans="1:20" x14ac:dyDescent="0.25">
      <c r="A30" s="5">
        <v>44563</v>
      </c>
      <c r="B30">
        <v>1204.6400000000001</v>
      </c>
      <c r="C30">
        <v>1385</v>
      </c>
      <c r="D30">
        <v>1144</v>
      </c>
      <c r="E30">
        <v>1181.1199999999999</v>
      </c>
      <c r="F30">
        <v>38972.92</v>
      </c>
      <c r="G30">
        <v>1181.1199999999999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-0.69195020746888058</v>
      </c>
      <c r="Q30">
        <f t="shared" ref="Q30" si="126">F30*P30</f>
        <v>-26967.320079668083</v>
      </c>
      <c r="R30">
        <f t="shared" ref="R30" si="127">R31+Q30</f>
        <v>-498250.63070478465</v>
      </c>
      <c r="S30">
        <f t="shared" ref="S30" si="128">R30/100000</f>
        <v>-4.9825063070478466</v>
      </c>
      <c r="T30">
        <f t="shared" ref="T30" si="129">S30/1000</f>
        <v>-4.9825063070478466E-3</v>
      </c>
    </row>
    <row r="31" spans="1:20" x14ac:dyDescent="0.25">
      <c r="A31" s="5">
        <v>44562</v>
      </c>
      <c r="B31">
        <v>893.21</v>
      </c>
      <c r="C31">
        <v>1289.98</v>
      </c>
      <c r="D31">
        <v>868.54</v>
      </c>
      <c r="E31">
        <v>1204.6500000000001</v>
      </c>
      <c r="F31">
        <v>81073.5</v>
      </c>
      <c r="G31">
        <v>1204.6500000000001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0.59505504935459419</v>
      </c>
      <c r="Q31">
        <f t="shared" ref="Q31" si="131">F31*P31</f>
        <v>48243.195543849695</v>
      </c>
      <c r="R31">
        <f t="shared" ref="R31" si="132">R32+Q31</f>
        <v>-471283.31062511657</v>
      </c>
      <c r="S31">
        <f t="shared" ref="S31" si="133">R31/100000</f>
        <v>-4.7128331062511659</v>
      </c>
      <c r="T31">
        <f t="shared" ref="T31" si="134">S31/1000</f>
        <v>-4.7128331062511663E-3</v>
      </c>
    </row>
    <row r="32" spans="1:20" x14ac:dyDescent="0.25">
      <c r="A32" s="5">
        <v>44561</v>
      </c>
      <c r="B32">
        <v>724.96</v>
      </c>
      <c r="C32">
        <v>1040</v>
      </c>
      <c r="D32">
        <v>722.54</v>
      </c>
      <c r="E32">
        <v>892.75</v>
      </c>
      <c r="F32">
        <v>52569.83</v>
      </c>
      <c r="G32">
        <v>892.75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7.2324072324072425E-2</v>
      </c>
      <c r="Q32">
        <f t="shared" ref="Q32" si="136">F32*P32</f>
        <v>3802.0641869841925</v>
      </c>
      <c r="R32">
        <f t="shared" ref="R32" si="137">R33+Q32</f>
        <v>-519526.50616896624</v>
      </c>
      <c r="S32">
        <f t="shared" ref="S32" si="138">R32/100000</f>
        <v>-5.1952650616896623</v>
      </c>
      <c r="T32">
        <f t="shared" ref="T32" si="139">S32/1000</f>
        <v>-5.1952650616896622E-3</v>
      </c>
    </row>
    <row r="33" spans="1:20" x14ac:dyDescent="0.25">
      <c r="A33" s="5">
        <v>44560</v>
      </c>
      <c r="B33">
        <v>722.86</v>
      </c>
      <c r="C33">
        <v>740.19</v>
      </c>
      <c r="D33">
        <v>705.09</v>
      </c>
      <c r="E33">
        <v>722.97</v>
      </c>
      <c r="F33">
        <v>3559.58</v>
      </c>
      <c r="G33">
        <v>722.97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1.8803418803417883E-2</v>
      </c>
      <c r="Q33">
        <f t="shared" ref="Q33" si="141">F33*P33</f>
        <v>66.932273504270228</v>
      </c>
      <c r="R33">
        <f t="shared" ref="R33" si="142">R34+Q33</f>
        <v>-523328.57035595045</v>
      </c>
      <c r="S33">
        <f t="shared" ref="S33" si="143">R33/100000</f>
        <v>-5.2332857035595044</v>
      </c>
      <c r="T33">
        <f t="shared" ref="T33" si="144">S33/1000</f>
        <v>-5.2332857035595048E-3</v>
      </c>
    </row>
    <row r="34" spans="1:20" x14ac:dyDescent="0.25">
      <c r="A34" s="5">
        <v>44559</v>
      </c>
      <c r="B34">
        <v>746.58</v>
      </c>
      <c r="C34">
        <v>763.38</v>
      </c>
      <c r="D34">
        <v>717</v>
      </c>
      <c r="E34">
        <v>722.11</v>
      </c>
      <c r="F34">
        <v>3785.03</v>
      </c>
      <c r="G34">
        <v>722.11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-0.77964639931004687</v>
      </c>
      <c r="Q34">
        <f t="shared" ref="Q34" si="146">F34*P34</f>
        <v>-2950.9850107805069</v>
      </c>
      <c r="R34">
        <f t="shared" ref="R34" si="147">R35+Q34</f>
        <v>-523395.50262945471</v>
      </c>
      <c r="S34">
        <f t="shared" ref="S34" si="148">R34/100000</f>
        <v>-5.2339550262945469</v>
      </c>
      <c r="T34">
        <f t="shared" ref="T34" si="149">S34/1000</f>
        <v>-5.2339550262945466E-3</v>
      </c>
    </row>
    <row r="35" spans="1:20" x14ac:dyDescent="0.25">
      <c r="A35" s="5">
        <v>44558</v>
      </c>
      <c r="B35">
        <v>813.07</v>
      </c>
      <c r="C35">
        <v>828</v>
      </c>
      <c r="D35">
        <v>715</v>
      </c>
      <c r="E35">
        <v>746.54</v>
      </c>
      <c r="F35">
        <v>7061.36</v>
      </c>
      <c r="G35">
        <v>746.54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-0.44176991150442541</v>
      </c>
      <c r="Q35">
        <f t="shared" ref="Q35" si="151">F35*P35</f>
        <v>-3119.4963823008893</v>
      </c>
      <c r="R35">
        <f t="shared" ref="R35" si="152">R36+Q35</f>
        <v>-520444.5176186742</v>
      </c>
      <c r="S35">
        <f t="shared" ref="S35" si="153">R35/100000</f>
        <v>-5.2044451761867423</v>
      </c>
      <c r="T35">
        <f t="shared" ref="T35" si="154">S35/1000</f>
        <v>-5.2044451761867425E-3</v>
      </c>
    </row>
    <row r="36" spans="1:20" x14ac:dyDescent="0.25">
      <c r="A36" s="5">
        <v>44557</v>
      </c>
      <c r="B36">
        <v>862.42</v>
      </c>
      <c r="C36">
        <v>890</v>
      </c>
      <c r="D36">
        <v>797.04</v>
      </c>
      <c r="E36">
        <v>813.05</v>
      </c>
      <c r="F36">
        <v>7345.88</v>
      </c>
      <c r="G36">
        <v>813.05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-0.65555077452667843</v>
      </c>
      <c r="Q36">
        <f t="shared" ref="Q36" si="156">F36*P36</f>
        <v>-4815.5973235800366</v>
      </c>
      <c r="R36">
        <f t="shared" ref="R36" si="157">R37+Q36</f>
        <v>-517325.02123637329</v>
      </c>
      <c r="S36">
        <f t="shared" ref="S36" si="158">R36/100000</f>
        <v>-5.1732502123637332</v>
      </c>
      <c r="T36">
        <f t="shared" ref="T36" si="159">S36/1000</f>
        <v>-5.1732502123637333E-3</v>
      </c>
    </row>
    <row r="37" spans="1:20" x14ac:dyDescent="0.25">
      <c r="A37" s="5">
        <v>44556</v>
      </c>
      <c r="B37">
        <v>881</v>
      </c>
      <c r="C37">
        <v>894.16</v>
      </c>
      <c r="D37">
        <v>843.57</v>
      </c>
      <c r="E37">
        <v>860.5</v>
      </c>
      <c r="F37">
        <v>3392.65</v>
      </c>
      <c r="G37">
        <v>860.5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-0.33069776635698844</v>
      </c>
      <c r="Q37">
        <f t="shared" ref="Q37" si="161">F37*P37</f>
        <v>-1121.941777031037</v>
      </c>
      <c r="R37">
        <f t="shared" ref="R37" si="162">R38+Q37</f>
        <v>-512509.42391279322</v>
      </c>
      <c r="S37">
        <f t="shared" ref="S37" si="163">R37/100000</f>
        <v>-5.1250942391279324</v>
      </c>
      <c r="T37">
        <f t="shared" ref="T37" si="164">S37/1000</f>
        <v>-5.125094239127932E-3</v>
      </c>
    </row>
    <row r="38" spans="1:20" x14ac:dyDescent="0.25">
      <c r="A38" s="5">
        <v>44555</v>
      </c>
      <c r="B38">
        <v>878.45</v>
      </c>
      <c r="C38">
        <v>899.99</v>
      </c>
      <c r="D38">
        <v>868.69</v>
      </c>
      <c r="E38">
        <v>881</v>
      </c>
      <c r="F38">
        <v>3007.45</v>
      </c>
      <c r="G38">
        <v>881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-0.21341853035144004</v>
      </c>
      <c r="Q38">
        <f t="shared" ref="Q38" si="166">F38*P38</f>
        <v>-641.84555910543827</v>
      </c>
      <c r="R38">
        <f t="shared" ref="R38" si="167">R39+Q38</f>
        <v>-511387.48213576217</v>
      </c>
      <c r="S38">
        <f t="shared" ref="S38" si="168">R38/100000</f>
        <v>-5.1138748213576219</v>
      </c>
      <c r="T38">
        <f t="shared" ref="T38" si="169">S38/1000</f>
        <v>-5.1138748213576217E-3</v>
      </c>
    </row>
    <row r="39" spans="1:20" x14ac:dyDescent="0.25">
      <c r="A39" s="5">
        <v>44554</v>
      </c>
      <c r="B39">
        <v>959.91</v>
      </c>
      <c r="C39">
        <v>964.29</v>
      </c>
      <c r="D39">
        <v>867.38</v>
      </c>
      <c r="E39">
        <v>878.44</v>
      </c>
      <c r="F39">
        <v>5650.11</v>
      </c>
      <c r="G39">
        <v>878.44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-0.77174698173562972</v>
      </c>
      <c r="Q39">
        <f t="shared" ref="Q39" si="171">F39*P39</f>
        <v>-4360.4553389742987</v>
      </c>
      <c r="R39">
        <f t="shared" ref="R39" si="172">R40+Q39</f>
        <v>-510745.63657665672</v>
      </c>
      <c r="S39">
        <f t="shared" ref="S39" si="173">R39/100000</f>
        <v>-5.1074563657665673</v>
      </c>
      <c r="T39">
        <f t="shared" ref="T39" si="174">S39/1000</f>
        <v>-5.107456365766567E-3</v>
      </c>
    </row>
    <row r="40" spans="1:20" x14ac:dyDescent="0.25">
      <c r="A40" s="5">
        <v>44553</v>
      </c>
      <c r="B40">
        <v>868.48</v>
      </c>
      <c r="C40">
        <v>979</v>
      </c>
      <c r="D40">
        <v>849.31</v>
      </c>
      <c r="E40">
        <v>959.98</v>
      </c>
      <c r="F40">
        <v>8157.96</v>
      </c>
      <c r="G40">
        <v>959.98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0.70668517233402772</v>
      </c>
      <c r="Q40">
        <f t="shared" ref="Q40" si="176">F40*P40</f>
        <v>5765.1093684941052</v>
      </c>
      <c r="R40">
        <f t="shared" ref="R40" si="177">R41+Q40</f>
        <v>-506385.18123768241</v>
      </c>
      <c r="S40">
        <f t="shared" ref="S40" si="178">R40/100000</f>
        <v>-5.0638518123768241</v>
      </c>
      <c r="T40">
        <f t="shared" ref="T40" si="179">S40/1000</f>
        <v>-5.0638518123768241E-3</v>
      </c>
    </row>
    <row r="41" spans="1:20" x14ac:dyDescent="0.25">
      <c r="A41" s="5">
        <v>44552</v>
      </c>
      <c r="B41">
        <v>887.91</v>
      </c>
      <c r="C41">
        <v>986.4</v>
      </c>
      <c r="D41">
        <v>867.32</v>
      </c>
      <c r="E41">
        <v>869.64</v>
      </c>
      <c r="F41">
        <v>10051.66</v>
      </c>
      <c r="G41">
        <v>869.64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-0.96103459858918483</v>
      </c>
      <c r="Q41">
        <f t="shared" ref="Q41" si="181">F41*P41</f>
        <v>-9659.9930332549648</v>
      </c>
      <c r="R41">
        <f t="shared" ref="R41" si="182">R42+Q41</f>
        <v>-512150.29060617654</v>
      </c>
      <c r="S41">
        <f t="shared" ref="S41" si="183">R41/100000</f>
        <v>-5.1215029060617656</v>
      </c>
      <c r="T41">
        <f t="shared" ref="T41" si="184">S41/1000</f>
        <v>-5.1215029060617655E-3</v>
      </c>
    </row>
    <row r="42" spans="1:20" x14ac:dyDescent="0.25">
      <c r="A42" s="5">
        <v>44551</v>
      </c>
      <c r="B42">
        <v>772.36</v>
      </c>
      <c r="C42">
        <v>893.69</v>
      </c>
      <c r="D42">
        <v>762.01</v>
      </c>
      <c r="E42">
        <v>883</v>
      </c>
      <c r="F42">
        <v>11495.15</v>
      </c>
      <c r="G42">
        <v>883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0.83763669501822524</v>
      </c>
      <c r="Q42">
        <f t="shared" ref="Q42" si="186">F42*P42</f>
        <v>9628.7594547387507</v>
      </c>
      <c r="R42">
        <f t="shared" ref="R42" si="187">R43+Q42</f>
        <v>-502490.29757292155</v>
      </c>
      <c r="S42">
        <f t="shared" ref="S42" si="188">R42/100000</f>
        <v>-5.0249029757292156</v>
      </c>
      <c r="T42">
        <f t="shared" ref="T42" si="189">S42/1000</f>
        <v>-5.0249029757292157E-3</v>
      </c>
    </row>
    <row r="43" spans="1:20" x14ac:dyDescent="0.25">
      <c r="A43" s="5">
        <v>44550</v>
      </c>
      <c r="B43">
        <v>764.49</v>
      </c>
      <c r="C43">
        <v>798.03</v>
      </c>
      <c r="D43">
        <v>712.16</v>
      </c>
      <c r="E43">
        <v>772.36</v>
      </c>
      <c r="F43">
        <v>7930.72</v>
      </c>
      <c r="G43">
        <v>772.36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0.40211948293932787</v>
      </c>
      <c r="Q43">
        <f t="shared" ref="Q43" si="191">F43*P43</f>
        <v>3189.0970257365866</v>
      </c>
      <c r="R43">
        <f t="shared" ref="R43" si="192">R44+Q43</f>
        <v>-512119.05702766031</v>
      </c>
      <c r="S43">
        <f t="shared" ref="S43" si="193">R43/100000</f>
        <v>-5.1211905702766032</v>
      </c>
      <c r="T43">
        <f t="shared" ref="T43" si="194">S43/1000</f>
        <v>-5.1211905702766031E-3</v>
      </c>
    </row>
    <row r="44" spans="1:20" x14ac:dyDescent="0.25">
      <c r="A44" s="5">
        <v>44549</v>
      </c>
      <c r="B44">
        <v>787.44</v>
      </c>
      <c r="C44">
        <v>873.28</v>
      </c>
      <c r="D44">
        <v>755</v>
      </c>
      <c r="E44">
        <v>762.71</v>
      </c>
      <c r="F44">
        <v>19854.93</v>
      </c>
      <c r="G44">
        <v>762.71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-0.869631383158606</v>
      </c>
      <c r="Q44">
        <f t="shared" ref="Q44" si="196">F44*P44</f>
        <v>-17266.4702384173</v>
      </c>
      <c r="R44">
        <f t="shared" ref="R44" si="197">R45+Q44</f>
        <v>-515308.15405339689</v>
      </c>
      <c r="S44">
        <f t="shared" ref="S44" si="198">R44/100000</f>
        <v>-5.1530815405339689</v>
      </c>
      <c r="T44">
        <f t="shared" ref="T44" si="199">S44/1000</f>
        <v>-5.1530815405339686E-3</v>
      </c>
    </row>
    <row r="45" spans="1:20" x14ac:dyDescent="0.25">
      <c r="A45" s="5">
        <v>44548</v>
      </c>
      <c r="B45">
        <v>654.62</v>
      </c>
      <c r="C45">
        <v>858.31</v>
      </c>
      <c r="D45">
        <v>639.03</v>
      </c>
      <c r="E45">
        <v>791.81</v>
      </c>
      <c r="F45">
        <v>28830.66</v>
      </c>
      <c r="G45">
        <v>791.81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0.39346953666545048</v>
      </c>
      <c r="Q45">
        <f t="shared" ref="Q45" si="201">F45*P45</f>
        <v>11343.986431959136</v>
      </c>
      <c r="R45">
        <f t="shared" ref="R45" si="202">R46+Q45</f>
        <v>-498041.68381497957</v>
      </c>
      <c r="S45">
        <f t="shared" ref="S45" si="203">R45/100000</f>
        <v>-4.9804168381497957</v>
      </c>
      <c r="T45">
        <f t="shared" ref="T45" si="204">S45/1000</f>
        <v>-4.9804168381497958E-3</v>
      </c>
    </row>
    <row r="46" spans="1:20" x14ac:dyDescent="0.25">
      <c r="A46" s="5">
        <v>44547</v>
      </c>
      <c r="B46">
        <v>707.46</v>
      </c>
      <c r="C46">
        <v>715</v>
      </c>
      <c r="D46">
        <v>630.41999999999996</v>
      </c>
      <c r="E46">
        <v>653.39</v>
      </c>
      <c r="F46">
        <v>8414.73</v>
      </c>
      <c r="G46">
        <v>653.39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-0.45684558997398872</v>
      </c>
      <c r="Q46">
        <f t="shared" ref="Q46" si="206">F46*P46</f>
        <v>-3844.2322913218218</v>
      </c>
      <c r="R46">
        <f t="shared" ref="R46" si="207">R47+Q46</f>
        <v>-509385.67024693871</v>
      </c>
      <c r="S46">
        <f t="shared" ref="S46" si="208">R46/100000</f>
        <v>-5.0938567024693873</v>
      </c>
      <c r="T46">
        <f t="shared" ref="T46" si="209">S46/1000</f>
        <v>-5.0938567024693873E-3</v>
      </c>
    </row>
    <row r="47" spans="1:20" x14ac:dyDescent="0.25">
      <c r="A47" s="5">
        <v>44546</v>
      </c>
      <c r="B47">
        <v>706.05</v>
      </c>
      <c r="C47">
        <v>815</v>
      </c>
      <c r="D47">
        <v>685.33</v>
      </c>
      <c r="E47">
        <v>709.06</v>
      </c>
      <c r="F47">
        <v>37988.5</v>
      </c>
      <c r="G47">
        <v>709.06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-0.63399398473047097</v>
      </c>
      <c r="Q47">
        <f t="shared" ref="Q47" si="211">F47*P47</f>
        <v>-24084.480488933496</v>
      </c>
      <c r="R47">
        <f t="shared" ref="R47" si="212">R48+Q47</f>
        <v>-505541.43795561692</v>
      </c>
      <c r="S47">
        <f t="shared" ref="S47" si="213">R47/100000</f>
        <v>-5.0554143795561695</v>
      </c>
      <c r="T47">
        <f t="shared" ref="T47" si="214">S47/1000</f>
        <v>-5.0554143795561697E-3</v>
      </c>
    </row>
    <row r="48" spans="1:20" x14ac:dyDescent="0.25">
      <c r="A48" s="5">
        <v>44545</v>
      </c>
      <c r="B48">
        <v>598.95000000000005</v>
      </c>
      <c r="C48">
        <v>820</v>
      </c>
      <c r="D48">
        <v>547.25</v>
      </c>
      <c r="E48">
        <v>707</v>
      </c>
      <c r="F48">
        <v>25063.35</v>
      </c>
      <c r="G48">
        <v>707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0.17140238313473877</v>
      </c>
      <c r="Q48">
        <f t="shared" ref="Q48" si="216">F48*P48</f>
        <v>4295.9179193400551</v>
      </c>
      <c r="R48">
        <f t="shared" ref="R48" si="217">R49+Q48</f>
        <v>-481456.95746668341</v>
      </c>
      <c r="S48">
        <f t="shared" ref="S48" si="218">R48/100000</f>
        <v>-4.8145695746668338</v>
      </c>
      <c r="T48">
        <f t="shared" ref="T48" si="219">S48/1000</f>
        <v>-4.8145695746668335E-3</v>
      </c>
    </row>
    <row r="49" spans="1:20" x14ac:dyDescent="0.25">
      <c r="A49" s="5">
        <v>44544</v>
      </c>
      <c r="B49">
        <v>608.99</v>
      </c>
      <c r="C49">
        <v>625.99</v>
      </c>
      <c r="D49">
        <v>575.07000000000005</v>
      </c>
      <c r="E49">
        <v>598.16</v>
      </c>
      <c r="F49">
        <v>6524.92</v>
      </c>
      <c r="G49">
        <v>598.16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-9.3087195600945138E-2</v>
      </c>
      <c r="Q49">
        <f t="shared" ref="Q49" si="221">F49*P49</f>
        <v>-607.38650432051895</v>
      </c>
      <c r="R49">
        <f t="shared" ref="R49" si="222">R50+Q49</f>
        <v>-485752.87538602349</v>
      </c>
      <c r="S49">
        <f t="shared" ref="S49" si="223">R49/100000</f>
        <v>-4.857528753860235</v>
      </c>
      <c r="T49">
        <f t="shared" ref="T49" si="224">S49/1000</f>
        <v>-4.8575287538602354E-3</v>
      </c>
    </row>
    <row r="50" spans="1:20" x14ac:dyDescent="0.25">
      <c r="A50" s="5">
        <v>44543</v>
      </c>
      <c r="B50">
        <v>732</v>
      </c>
      <c r="C50">
        <v>732.16</v>
      </c>
      <c r="D50">
        <v>597.27</v>
      </c>
      <c r="E50">
        <v>608.99</v>
      </c>
      <c r="F50">
        <v>7474.22</v>
      </c>
      <c r="G50">
        <v>608.99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-0.82622877900511482</v>
      </c>
      <c r="Q50">
        <f t="shared" ref="Q50" si="226">F50*P50</f>
        <v>-6175.4156646156098</v>
      </c>
      <c r="R50">
        <f t="shared" ref="R50" si="227">R51+Q50</f>
        <v>-485145.48888170294</v>
      </c>
      <c r="S50">
        <f t="shared" ref="S50" si="228">R50/100000</f>
        <v>-4.8514548888170292</v>
      </c>
      <c r="T50">
        <f t="shared" ref="T50" si="229">S50/1000</f>
        <v>-4.8514548888170294E-3</v>
      </c>
    </row>
    <row r="51" spans="1:20" x14ac:dyDescent="0.25">
      <c r="A51" s="5">
        <v>44542</v>
      </c>
      <c r="B51">
        <v>802.23</v>
      </c>
      <c r="C51">
        <v>802.63</v>
      </c>
      <c r="D51">
        <v>687.68</v>
      </c>
      <c r="E51">
        <v>732.86</v>
      </c>
      <c r="F51">
        <v>9745.7999999999993</v>
      </c>
      <c r="G51">
        <v>732.86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-0.21391909525880737</v>
      </c>
      <c r="Q51">
        <f t="shared" ref="Q51" si="231">F51*P51</f>
        <v>-2084.8127185732847</v>
      </c>
      <c r="R51">
        <f t="shared" ref="R51" si="232">R52+Q51</f>
        <v>-478970.07321708731</v>
      </c>
      <c r="S51">
        <f t="shared" ref="S51" si="233">R51/100000</f>
        <v>-4.7897007321708731</v>
      </c>
      <c r="T51">
        <f t="shared" ref="T51" si="234">S51/1000</f>
        <v>-4.7897007321708734E-3</v>
      </c>
    </row>
    <row r="52" spans="1:20" x14ac:dyDescent="0.25">
      <c r="A52" s="5">
        <v>44541</v>
      </c>
      <c r="B52">
        <v>776.06</v>
      </c>
      <c r="C52">
        <v>781.17</v>
      </c>
      <c r="D52">
        <v>761.14</v>
      </c>
      <c r="E52">
        <v>776.35</v>
      </c>
      <c r="F52">
        <v>85.3</v>
      </c>
      <c r="G52">
        <v>776.35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0.51872191712431925</v>
      </c>
      <c r="Q52">
        <f t="shared" ref="Q52" si="236">F52*P52</f>
        <v>44.246979530704429</v>
      </c>
      <c r="R52">
        <f t="shared" ref="R52" si="237">R53+Q52</f>
        <v>-476885.26049851405</v>
      </c>
      <c r="S52">
        <f t="shared" ref="S52" si="238">R52/100000</f>
        <v>-4.7688526049851401</v>
      </c>
      <c r="T52">
        <f t="shared" ref="T52" si="239">S52/1000</f>
        <v>-4.7688526049851397E-3</v>
      </c>
    </row>
    <row r="53" spans="1:20" x14ac:dyDescent="0.25">
      <c r="A53" s="5">
        <v>44540</v>
      </c>
      <c r="B53">
        <v>791.01</v>
      </c>
      <c r="C53">
        <v>821.24</v>
      </c>
      <c r="D53">
        <v>761.03</v>
      </c>
      <c r="E53">
        <v>776.19</v>
      </c>
      <c r="F53">
        <v>2378.3200000000002</v>
      </c>
      <c r="G53">
        <v>776.19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-0.49642916459059716</v>
      </c>
      <c r="Q53">
        <f t="shared" ref="Q53" si="241">F53*P53</f>
        <v>-1180.6674107291092</v>
      </c>
      <c r="R53">
        <f t="shared" ref="R53" si="242">R54+Q53</f>
        <v>-476929.50747804478</v>
      </c>
      <c r="S53">
        <f t="shared" ref="S53" si="243">R53/100000</f>
        <v>-4.7692950747804481</v>
      </c>
      <c r="T53">
        <f t="shared" ref="T53" si="244">S53/1000</f>
        <v>-4.7692950747804481E-3</v>
      </c>
    </row>
    <row r="54" spans="1:20" x14ac:dyDescent="0.25">
      <c r="A54" s="5">
        <v>44539</v>
      </c>
      <c r="B54">
        <v>848.8</v>
      </c>
      <c r="C54">
        <v>881.11</v>
      </c>
      <c r="D54">
        <v>790.26</v>
      </c>
      <c r="E54">
        <v>791.66</v>
      </c>
      <c r="F54">
        <v>5299.47</v>
      </c>
      <c r="G54">
        <v>791.66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-0.96917996697853659</v>
      </c>
      <c r="Q54">
        <f t="shared" ref="Q54" si="246">F54*P54</f>
        <v>-5136.1401596037458</v>
      </c>
      <c r="R54">
        <f t="shared" ref="R54" si="247">R55+Q54</f>
        <v>-475748.84006731567</v>
      </c>
      <c r="S54">
        <f t="shared" ref="S54" si="248">R54/100000</f>
        <v>-4.7574884006731564</v>
      </c>
      <c r="T54">
        <f t="shared" ref="T54" si="249">S54/1000</f>
        <v>-4.7574884006731568E-3</v>
      </c>
    </row>
    <row r="55" spans="1:20" x14ac:dyDescent="0.25">
      <c r="A55" s="5">
        <v>44538</v>
      </c>
      <c r="B55">
        <v>862.92</v>
      </c>
      <c r="C55">
        <v>870.48</v>
      </c>
      <c r="D55">
        <v>802.23</v>
      </c>
      <c r="E55">
        <v>848.87</v>
      </c>
      <c r="F55">
        <v>3979.37</v>
      </c>
      <c r="G55">
        <v>848.87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0.36673992673992634</v>
      </c>
      <c r="Q55">
        <f t="shared" ref="Q55" si="251">F55*P55</f>
        <v>1459.3938622710607</v>
      </c>
      <c r="R55">
        <f t="shared" ref="R55" si="252">R56+Q55</f>
        <v>-470612.69990771194</v>
      </c>
      <c r="S55">
        <f t="shared" ref="S55" si="253">R55/100000</f>
        <v>-4.7061269990771191</v>
      </c>
      <c r="T55">
        <f t="shared" ref="T55" si="254">S55/1000</f>
        <v>-4.7061269990771194E-3</v>
      </c>
    </row>
    <row r="56" spans="1:20" x14ac:dyDescent="0.25">
      <c r="A56" s="5">
        <v>44537</v>
      </c>
      <c r="B56">
        <v>866.75</v>
      </c>
      <c r="C56">
        <v>913.29</v>
      </c>
      <c r="D56">
        <v>820.43</v>
      </c>
      <c r="E56">
        <v>867.61</v>
      </c>
      <c r="F56">
        <v>9757.7000000000007</v>
      </c>
      <c r="G56">
        <v>867.61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1.615334912772037E-2</v>
      </c>
      <c r="Q56">
        <f t="shared" ref="Q56" si="256">F56*P56</f>
        <v>157.61953478355707</v>
      </c>
      <c r="R56">
        <f t="shared" ref="R56" si="257">R57+Q56</f>
        <v>-472072.09376998298</v>
      </c>
      <c r="S56">
        <f t="shared" ref="S56" si="258">R56/100000</f>
        <v>-4.7207209376998298</v>
      </c>
      <c r="T56">
        <f t="shared" ref="T56" si="259">S56/1000</f>
        <v>-4.7207209376998295E-3</v>
      </c>
    </row>
    <row r="57" spans="1:20" x14ac:dyDescent="0.25">
      <c r="A57" s="5">
        <v>44536</v>
      </c>
      <c r="B57">
        <v>1090.6400000000001</v>
      </c>
      <c r="C57">
        <v>1093</v>
      </c>
      <c r="D57">
        <v>738.6</v>
      </c>
      <c r="E57">
        <v>866.04</v>
      </c>
      <c r="F57">
        <v>32559.62</v>
      </c>
      <c r="G57">
        <v>866.04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-0.28081264108352172</v>
      </c>
      <c r="Q57">
        <f t="shared" ref="Q57" si="261">F57*P57</f>
        <v>-9143.1528848758553</v>
      </c>
      <c r="R57">
        <f t="shared" ref="R57" si="262">R58+Q57</f>
        <v>-472229.71330476651</v>
      </c>
      <c r="S57">
        <f t="shared" ref="S57" si="263">R57/100000</f>
        <v>-4.7222971330476655</v>
      </c>
      <c r="T57">
        <f t="shared" ref="T57" si="264">S57/1000</f>
        <v>-4.7222971330476652E-3</v>
      </c>
    </row>
    <row r="58" spans="1:20" x14ac:dyDescent="0.25">
      <c r="A58" s="5">
        <v>44535</v>
      </c>
      <c r="B58">
        <v>807.97</v>
      </c>
      <c r="C58">
        <v>1137.28</v>
      </c>
      <c r="D58">
        <v>740.33</v>
      </c>
      <c r="E58">
        <v>1090.6400000000001</v>
      </c>
      <c r="F58">
        <v>16378.87</v>
      </c>
      <c r="G58">
        <v>1090.6400000000001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0.76500818742914789</v>
      </c>
      <c r="Q58">
        <f t="shared" ref="Q58" si="266">F58*P58</f>
        <v>12529.969650837647</v>
      </c>
      <c r="R58">
        <f t="shared" ref="R58" si="267">R59+Q58</f>
        <v>-463086.56041989068</v>
      </c>
      <c r="S58">
        <f t="shared" ref="S58" si="268">R58/100000</f>
        <v>-4.6308656041989069</v>
      </c>
      <c r="T58">
        <f t="shared" ref="T58" si="269">S58/1000</f>
        <v>-4.6308656041989067E-3</v>
      </c>
    </row>
    <row r="59" spans="1:20" x14ac:dyDescent="0.25">
      <c r="A59" s="5">
        <v>44534</v>
      </c>
      <c r="B59">
        <v>969.9</v>
      </c>
      <c r="C59">
        <v>969.9</v>
      </c>
      <c r="D59">
        <v>617.66</v>
      </c>
      <c r="E59">
        <v>807.34</v>
      </c>
      <c r="F59">
        <v>6991.33</v>
      </c>
      <c r="G59">
        <v>807.34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7.6992959345900849E-2</v>
      </c>
      <c r="Q59">
        <f t="shared" ref="Q59" si="271">F59*P59</f>
        <v>538.28318646377693</v>
      </c>
      <c r="R59">
        <f t="shared" ref="R59" si="272">R60+Q59</f>
        <v>-475616.53007072833</v>
      </c>
      <c r="S59">
        <f t="shared" ref="S59" si="273">R59/100000</f>
        <v>-4.7561653007072833</v>
      </c>
      <c r="T59">
        <f t="shared" ref="T59" si="274">S59/1000</f>
        <v>-4.7561653007072834E-3</v>
      </c>
    </row>
    <row r="60" spans="1:20" x14ac:dyDescent="0.25">
      <c r="A60" s="5">
        <v>44533</v>
      </c>
      <c r="B60">
        <v>1034.7</v>
      </c>
      <c r="C60">
        <v>1050.4000000000001</v>
      </c>
      <c r="D60">
        <v>908.67</v>
      </c>
      <c r="E60">
        <v>967.92</v>
      </c>
      <c r="F60">
        <v>5391.42</v>
      </c>
      <c r="G60">
        <v>967.92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-0.16390319621816207</v>
      </c>
      <c r="Q60">
        <f t="shared" ref="Q60" si="276">F60*P60</f>
        <v>-883.67097015452339</v>
      </c>
      <c r="R60">
        <f t="shared" ref="R60" si="277">R61+Q60</f>
        <v>-476154.81325719209</v>
      </c>
      <c r="S60">
        <f t="shared" ref="S60" si="278">R60/100000</f>
        <v>-4.7615481325719209</v>
      </c>
      <c r="T60">
        <f t="shared" ref="T60" si="279">S60/1000</f>
        <v>-4.7615481325719213E-3</v>
      </c>
    </row>
    <row r="61" spans="1:20" x14ac:dyDescent="0.25">
      <c r="A61" s="5">
        <v>44532</v>
      </c>
      <c r="B61">
        <v>1081.1500000000001</v>
      </c>
      <c r="C61">
        <v>1138</v>
      </c>
      <c r="D61">
        <v>1028.03</v>
      </c>
      <c r="E61">
        <v>1035.8599999999999</v>
      </c>
      <c r="F61">
        <v>4248.55</v>
      </c>
      <c r="G61">
        <v>1035.8599999999999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-0.85759752659816446</v>
      </c>
      <c r="Q61">
        <f t="shared" ref="Q61" si="281">F61*P61</f>
        <v>-3643.5459716286318</v>
      </c>
      <c r="R61">
        <f t="shared" ref="R61" si="282">R62+Q61</f>
        <v>-475271.14228703757</v>
      </c>
      <c r="S61">
        <f t="shared" ref="S61" si="283">R61/100000</f>
        <v>-4.7527114228703757</v>
      </c>
      <c r="T61">
        <f t="shared" ref="T61" si="284">S61/1000</f>
        <v>-4.7527114228703756E-3</v>
      </c>
    </row>
    <row r="62" spans="1:20" x14ac:dyDescent="0.25">
      <c r="A62" s="5">
        <v>44531</v>
      </c>
      <c r="B62">
        <v>1077.26</v>
      </c>
      <c r="C62">
        <v>1157.99</v>
      </c>
      <c r="D62">
        <v>1065</v>
      </c>
      <c r="E62">
        <v>1078.6199999999999</v>
      </c>
      <c r="F62">
        <v>5732.33</v>
      </c>
      <c r="G62">
        <v>1078.6199999999999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-0.70706527583611378</v>
      </c>
      <c r="Q62">
        <f t="shared" ref="Q62" si="286">F62*P62</f>
        <v>-4053.1314926336299</v>
      </c>
      <c r="R62">
        <f t="shared" ref="R62" si="287">R63+Q62</f>
        <v>-471627.59631540894</v>
      </c>
      <c r="S62">
        <f t="shared" ref="S62" si="288">R62/100000</f>
        <v>-4.7162759631540894</v>
      </c>
      <c r="T62">
        <f t="shared" ref="T62" si="289">S62/1000</f>
        <v>-4.7162759631540893E-3</v>
      </c>
    </row>
    <row r="63" spans="1:20" x14ac:dyDescent="0.25">
      <c r="A63" s="5">
        <v>44530</v>
      </c>
      <c r="B63">
        <v>1120.5899999999999</v>
      </c>
      <c r="C63">
        <v>1130</v>
      </c>
      <c r="D63">
        <v>1051</v>
      </c>
      <c r="E63">
        <v>1080.6300000000001</v>
      </c>
      <c r="F63">
        <v>5088.13</v>
      </c>
      <c r="G63">
        <v>1080.6300000000001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-0.24987341772151622</v>
      </c>
      <c r="Q63">
        <f t="shared" ref="Q63" si="291">F63*P63</f>
        <v>-1271.3884329113785</v>
      </c>
      <c r="R63">
        <f t="shared" ref="R63" si="292">R64+Q63</f>
        <v>-467574.46482277534</v>
      </c>
      <c r="S63">
        <f t="shared" ref="S63" si="293">R63/100000</f>
        <v>-4.6757446482277532</v>
      </c>
      <c r="T63">
        <f t="shared" ref="T63" si="294">S63/1000</f>
        <v>-4.6757446482277535E-3</v>
      </c>
    </row>
    <row r="64" spans="1:20" x14ac:dyDescent="0.25">
      <c r="A64" s="5">
        <v>44529</v>
      </c>
      <c r="B64">
        <v>1181.8599999999999</v>
      </c>
      <c r="C64">
        <v>1195.81</v>
      </c>
      <c r="D64">
        <v>1105.01</v>
      </c>
      <c r="E64">
        <v>1120.5899999999999</v>
      </c>
      <c r="F64">
        <v>7116.02</v>
      </c>
      <c r="G64">
        <v>1120.5899999999999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-0.6568281938326006</v>
      </c>
      <c r="Q64">
        <f t="shared" ref="Q64" si="296">F64*P64</f>
        <v>-4674.0025638766629</v>
      </c>
      <c r="R64">
        <f t="shared" ref="R64" si="297">R65+Q64</f>
        <v>-466303.07638986397</v>
      </c>
      <c r="S64">
        <f t="shared" ref="S64" si="298">R64/100000</f>
        <v>-4.6630307638986395</v>
      </c>
      <c r="T64">
        <f t="shared" ref="T64" si="299">S64/1000</f>
        <v>-4.6630307638986391E-3</v>
      </c>
    </row>
    <row r="65" spans="1:20" x14ac:dyDescent="0.25">
      <c r="A65" s="5">
        <v>44528</v>
      </c>
      <c r="B65">
        <v>1036.92</v>
      </c>
      <c r="C65">
        <v>1342.28</v>
      </c>
      <c r="D65">
        <v>1000</v>
      </c>
      <c r="E65">
        <v>1179.54</v>
      </c>
      <c r="F65">
        <v>55934.71</v>
      </c>
      <c r="G65">
        <v>1179.54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4.9082622414397439E-2</v>
      </c>
      <c r="Q65">
        <f t="shared" ref="Q65" si="301">F65*P65</f>
        <v>2745.4222507888207</v>
      </c>
      <c r="R65">
        <f t="shared" ref="R65" si="302">R66+Q65</f>
        <v>-461629.07382598729</v>
      </c>
      <c r="S65">
        <f t="shared" ref="S65" si="303">R65/100000</f>
        <v>-4.616290738259873</v>
      </c>
      <c r="T65">
        <f t="shared" ref="T65" si="304">S65/1000</f>
        <v>-4.6162907382598728E-3</v>
      </c>
    </row>
    <row r="66" spans="1:20" x14ac:dyDescent="0.25">
      <c r="A66" s="5">
        <v>44527</v>
      </c>
      <c r="B66">
        <v>1005.29</v>
      </c>
      <c r="C66">
        <v>1146.24</v>
      </c>
      <c r="D66">
        <v>988.99</v>
      </c>
      <c r="E66">
        <v>1036.1500000000001</v>
      </c>
      <c r="F66">
        <v>13395.02</v>
      </c>
      <c r="G66">
        <v>1036.1500000000001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-0.40019077901430739</v>
      </c>
      <c r="Q66">
        <f t="shared" ref="Q66" si="306">F66*P66</f>
        <v>-5360.5634887122278</v>
      </c>
      <c r="R66">
        <f t="shared" ref="R66" si="307">R67+Q66</f>
        <v>-464374.49607677612</v>
      </c>
      <c r="S66">
        <f t="shared" ref="S66" si="308">R66/100000</f>
        <v>-4.6437449607677612</v>
      </c>
      <c r="T66">
        <f t="shared" ref="T66" si="309">S66/1000</f>
        <v>-4.6437449607677614E-3</v>
      </c>
    </row>
    <row r="67" spans="1:20" x14ac:dyDescent="0.25">
      <c r="A67" s="5">
        <v>44526</v>
      </c>
      <c r="B67">
        <v>1203.1199999999999</v>
      </c>
      <c r="C67">
        <v>1260</v>
      </c>
      <c r="D67">
        <v>1003</v>
      </c>
      <c r="E67">
        <v>1005</v>
      </c>
      <c r="F67">
        <v>11151.21</v>
      </c>
      <c r="G67">
        <v>1005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-0.98443579766536971</v>
      </c>
      <c r="Q67">
        <f t="shared" ref="Q67" si="311">F67*P67</f>
        <v>-10977.650311284047</v>
      </c>
      <c r="R67">
        <f t="shared" ref="R67" si="312">R68+Q67</f>
        <v>-459013.93258806388</v>
      </c>
      <c r="S67">
        <f t="shared" ref="S67" si="313">R67/100000</f>
        <v>-4.5901393258806387</v>
      </c>
      <c r="T67">
        <f t="shared" ref="T67" si="314">S67/1000</f>
        <v>-4.5901393258806385E-3</v>
      </c>
    </row>
    <row r="68" spans="1:20" x14ac:dyDescent="0.25">
      <c r="A68" s="5">
        <v>44525</v>
      </c>
      <c r="B68">
        <v>1219.6199999999999</v>
      </c>
      <c r="C68">
        <v>1319</v>
      </c>
      <c r="D68">
        <v>1150</v>
      </c>
      <c r="E68">
        <v>1203.1099999999999</v>
      </c>
      <c r="F68">
        <v>11646.52</v>
      </c>
      <c r="G68">
        <v>1203.1099999999999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-0.37147928994082957</v>
      </c>
      <c r="Q68">
        <f t="shared" ref="Q68" si="316">F68*P68</f>
        <v>-4326.4409798816705</v>
      </c>
      <c r="R68">
        <f t="shared" ref="R68" si="317">R69+Q68</f>
        <v>-448036.28227677982</v>
      </c>
      <c r="S68">
        <f t="shared" ref="S68" si="318">R68/100000</f>
        <v>-4.4803628227677983</v>
      </c>
      <c r="T68">
        <f t="shared" ref="T68" si="319">S68/1000</f>
        <v>-4.4803628227677982E-3</v>
      </c>
    </row>
    <row r="69" spans="1:20" x14ac:dyDescent="0.25">
      <c r="A69" s="5">
        <v>44524</v>
      </c>
      <c r="B69">
        <v>1302</v>
      </c>
      <c r="C69">
        <v>1339.99</v>
      </c>
      <c r="D69">
        <v>1220</v>
      </c>
      <c r="E69">
        <v>1290.54</v>
      </c>
      <c r="F69">
        <v>2884.77</v>
      </c>
      <c r="G69">
        <v>1290.54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0.17576464705392048</v>
      </c>
      <c r="Q69">
        <f t="shared" ref="Q69" si="321">F69*P69</f>
        <v>507.04058088173815</v>
      </c>
      <c r="R69">
        <f t="shared" ref="R69" si="322">R70+Q69</f>
        <v>-443709.84129689814</v>
      </c>
      <c r="S69">
        <f t="shared" ref="S69" si="323">R69/100000</f>
        <v>-4.4370984129689814</v>
      </c>
      <c r="T69">
        <f t="shared" ref="T69" si="324">S69/1000</f>
        <v>-4.4370984129689815E-3</v>
      </c>
    </row>
    <row r="70" spans="1:20" x14ac:dyDescent="0.25">
      <c r="A70" s="5">
        <v>44523</v>
      </c>
      <c r="B70">
        <v>1330.74</v>
      </c>
      <c r="C70">
        <v>1420</v>
      </c>
      <c r="D70">
        <v>1212.58</v>
      </c>
      <c r="E70">
        <v>1302</v>
      </c>
      <c r="F70">
        <v>14489.27</v>
      </c>
      <c r="G70">
        <v>1302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-0.13778806286761122</v>
      </c>
      <c r="Q70">
        <f t="shared" ref="Q70" si="326">F70*P70</f>
        <v>-1996.4484456657933</v>
      </c>
      <c r="R70">
        <f t="shared" ref="R70" si="327">R71+Q70</f>
        <v>-444216.8818777799</v>
      </c>
      <c r="S70">
        <f t="shared" ref="S70" si="328">R70/100000</f>
        <v>-4.442168818777799</v>
      </c>
      <c r="T70">
        <f t="shared" ref="T70" si="329">S70/1000</f>
        <v>-4.4421688187777988E-3</v>
      </c>
    </row>
    <row r="71" spans="1:20" x14ac:dyDescent="0.25">
      <c r="A71" s="5">
        <v>44522</v>
      </c>
      <c r="B71">
        <v>1222.67</v>
      </c>
      <c r="C71">
        <v>1762.07</v>
      </c>
      <c r="D71">
        <v>1176.43</v>
      </c>
      <c r="E71">
        <v>1327.26</v>
      </c>
      <c r="F71">
        <v>67131.45</v>
      </c>
      <c r="G71">
        <v>1327.26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-0.48490540263643206</v>
      </c>
      <c r="Q71">
        <f t="shared" ref="Q71" si="331">F71*P71</f>
        <v>-32552.402791817505</v>
      </c>
      <c r="R71">
        <f t="shared" ref="R71" si="332">R72+Q71</f>
        <v>-442220.43343211414</v>
      </c>
      <c r="S71">
        <f t="shared" ref="S71" si="333">R71/100000</f>
        <v>-4.4222043343211412</v>
      </c>
      <c r="T71">
        <f t="shared" ref="T71" si="334">S71/1000</f>
        <v>-4.422204334321141E-3</v>
      </c>
    </row>
    <row r="72" spans="1:20" x14ac:dyDescent="0.25">
      <c r="A72" s="5">
        <v>44521</v>
      </c>
      <c r="B72">
        <v>1213.3599999999999</v>
      </c>
      <c r="C72">
        <v>1290</v>
      </c>
      <c r="D72">
        <v>1064.9100000000001</v>
      </c>
      <c r="E72">
        <v>1227.33</v>
      </c>
      <c r="F72">
        <v>12633.04</v>
      </c>
      <c r="G72">
        <v>1227.33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0.4431560709049705</v>
      </c>
      <c r="Q72">
        <f t="shared" ref="Q72" si="336">F72*P72</f>
        <v>5598.408369985329</v>
      </c>
      <c r="R72">
        <f t="shared" ref="R72" si="337">R73+Q72</f>
        <v>-409668.03064029664</v>
      </c>
      <c r="S72">
        <f t="shared" ref="S72" si="338">R72/100000</f>
        <v>-4.0966803064029662</v>
      </c>
      <c r="T72">
        <f t="shared" ref="T72" si="339">S72/1000</f>
        <v>-4.0966803064029665E-3</v>
      </c>
    </row>
    <row r="73" spans="1:20" x14ac:dyDescent="0.25">
      <c r="A73" s="5">
        <v>44520</v>
      </c>
      <c r="B73">
        <v>1294.47</v>
      </c>
      <c r="C73">
        <v>1295</v>
      </c>
      <c r="D73">
        <v>1136.8399999999999</v>
      </c>
      <c r="E73">
        <v>1212.1099999999999</v>
      </c>
      <c r="F73">
        <v>10878.89</v>
      </c>
      <c r="G73">
        <v>1212.1099999999999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-4.8179059180577355E-2</v>
      </c>
      <c r="Q73">
        <f t="shared" ref="Q73" si="341">F73*P73</f>
        <v>-524.13468512899112</v>
      </c>
      <c r="R73">
        <f t="shared" ref="R73" si="342">R74+Q73</f>
        <v>-415266.43901028199</v>
      </c>
      <c r="S73">
        <f t="shared" ref="S73" si="343">R73/100000</f>
        <v>-4.15266439010282</v>
      </c>
      <c r="T73">
        <f t="shared" ref="T73" si="344">S73/1000</f>
        <v>-4.1526643901028202E-3</v>
      </c>
    </row>
    <row r="74" spans="1:20" x14ac:dyDescent="0.25">
      <c r="A74" s="5">
        <v>44519</v>
      </c>
      <c r="B74">
        <v>1265.75</v>
      </c>
      <c r="C74">
        <v>1390</v>
      </c>
      <c r="D74">
        <v>1190</v>
      </c>
      <c r="E74">
        <v>1294.52</v>
      </c>
      <c r="F74">
        <v>11306.73</v>
      </c>
      <c r="G74">
        <v>1294.52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4.5199999999999817E-2</v>
      </c>
      <c r="Q74">
        <f t="shared" ref="Q74" si="346">F74*P74</f>
        <v>511.06419599999793</v>
      </c>
      <c r="R74">
        <f t="shared" ref="R74" si="347">R75+Q74</f>
        <v>-414742.304325153</v>
      </c>
      <c r="S74">
        <f t="shared" ref="S74" si="348">R74/100000</f>
        <v>-4.1474230432515302</v>
      </c>
      <c r="T74">
        <f t="shared" ref="T74" si="349">S74/1000</f>
        <v>-4.1474230432515299E-3</v>
      </c>
    </row>
    <row r="75" spans="1:20" x14ac:dyDescent="0.25">
      <c r="A75" s="5">
        <v>44518</v>
      </c>
      <c r="B75">
        <v>1443.79</v>
      </c>
      <c r="C75">
        <v>1550</v>
      </c>
      <c r="D75">
        <v>1133.1600000000001</v>
      </c>
      <c r="E75">
        <v>1263.82</v>
      </c>
      <c r="F75">
        <v>16629.650000000001</v>
      </c>
      <c r="G75">
        <v>1263.82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-0.37309279339794704</v>
      </c>
      <c r="Q75">
        <f t="shared" ref="Q75" si="351">F75*P75</f>
        <v>-6204.4025717301702</v>
      </c>
      <c r="R75">
        <f t="shared" ref="R75" si="352">R76+Q75</f>
        <v>-415253.368521153</v>
      </c>
      <c r="S75">
        <f t="shared" ref="S75" si="353">R75/100000</f>
        <v>-4.1525336852115302</v>
      </c>
      <c r="T75">
        <f t="shared" ref="T75" si="354">S75/1000</f>
        <v>-4.1525336852115298E-3</v>
      </c>
    </row>
    <row r="76" spans="1:20" x14ac:dyDescent="0.25">
      <c r="A76" s="5">
        <v>44517</v>
      </c>
      <c r="B76">
        <v>1585.06</v>
      </c>
      <c r="C76">
        <v>1585.36</v>
      </c>
      <c r="D76">
        <v>1366.65</v>
      </c>
      <c r="E76">
        <v>1443.05</v>
      </c>
      <c r="F76">
        <v>12411.39</v>
      </c>
      <c r="G76">
        <v>1443.05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-0.30135796259887587</v>
      </c>
      <c r="Q76">
        <f t="shared" ref="Q76" si="356">F76*P76</f>
        <v>-3740.2712034200617</v>
      </c>
      <c r="R76">
        <f t="shared" ref="R76" si="357">R77+Q76</f>
        <v>-409048.96594942285</v>
      </c>
      <c r="S76">
        <f t="shared" ref="S76" si="358">R76/100000</f>
        <v>-4.0904896594942288</v>
      </c>
      <c r="T76">
        <f t="shared" ref="T76" si="359">S76/1000</f>
        <v>-4.0904896594942284E-3</v>
      </c>
    </row>
    <row r="77" spans="1:20" x14ac:dyDescent="0.25">
      <c r="A77" s="5">
        <v>44516</v>
      </c>
      <c r="B77">
        <v>1640.02</v>
      </c>
      <c r="C77">
        <v>1809.5</v>
      </c>
      <c r="D77">
        <v>1480.3</v>
      </c>
      <c r="E77">
        <v>1586.67</v>
      </c>
      <c r="F77">
        <v>25518.78</v>
      </c>
      <c r="G77">
        <v>1586.67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-0.35376670716889363</v>
      </c>
      <c r="Q77">
        <f t="shared" ref="Q77" si="361">F77*P77</f>
        <v>-9027.6947715674196</v>
      </c>
      <c r="R77">
        <f t="shared" ref="R77" si="362">R78+Q77</f>
        <v>-405308.69474600279</v>
      </c>
      <c r="S77">
        <f t="shared" ref="S77" si="363">R77/100000</f>
        <v>-4.0530869474600282</v>
      </c>
      <c r="T77">
        <f t="shared" ref="T77" si="364">S77/1000</f>
        <v>-4.053086947460028E-3</v>
      </c>
    </row>
    <row r="78" spans="1:20" x14ac:dyDescent="0.25">
      <c r="A78" s="5">
        <v>44515</v>
      </c>
      <c r="B78">
        <v>1674.09</v>
      </c>
      <c r="C78">
        <v>1939.16</v>
      </c>
      <c r="D78">
        <v>1448.88</v>
      </c>
      <c r="E78">
        <v>1640.01</v>
      </c>
      <c r="F78">
        <v>38020.74</v>
      </c>
      <c r="G78">
        <v>1640.01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-0.22032308068858655</v>
      </c>
      <c r="Q78">
        <f t="shared" ref="Q78" si="366">F78*P78</f>
        <v>-8376.8465668597692</v>
      </c>
      <c r="R78">
        <f t="shared" ref="R78" si="367">R79+Q78</f>
        <v>-396280.99997443537</v>
      </c>
      <c r="S78">
        <f t="shared" ref="S78" si="368">R78/100000</f>
        <v>-3.9628099997443536</v>
      </c>
      <c r="T78">
        <f t="shared" ref="T78" si="369">S78/1000</f>
        <v>-3.9628099997443536E-3</v>
      </c>
    </row>
    <row r="79" spans="1:20" x14ac:dyDescent="0.25">
      <c r="A79" s="5">
        <v>44514</v>
      </c>
      <c r="B79">
        <v>1655</v>
      </c>
      <c r="C79">
        <v>1850</v>
      </c>
      <c r="D79">
        <v>1433.11</v>
      </c>
      <c r="E79">
        <v>1670.04</v>
      </c>
      <c r="F79">
        <v>26354.2</v>
      </c>
      <c r="G79">
        <v>1670.04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0.13665475305236396</v>
      </c>
      <c r="Q79">
        <f t="shared" ref="Q79" si="371">F79*P79</f>
        <v>3601.4266928926104</v>
      </c>
      <c r="R79">
        <f t="shared" ref="R79" si="372">R80+Q79</f>
        <v>-387904.15340757562</v>
      </c>
      <c r="S79">
        <f t="shared" ref="S79" si="373">R79/100000</f>
        <v>-3.879041534075756</v>
      </c>
      <c r="T79">
        <f t="shared" ref="T79" si="374">S79/1000</f>
        <v>-3.879041534075756E-3</v>
      </c>
    </row>
    <row r="80" spans="1:20" x14ac:dyDescent="0.25">
      <c r="A80" s="5">
        <v>44513</v>
      </c>
      <c r="B80">
        <v>1490.44</v>
      </c>
      <c r="C80">
        <v>2065</v>
      </c>
      <c r="D80">
        <v>1460.61</v>
      </c>
      <c r="E80">
        <v>1658.01</v>
      </c>
      <c r="F80">
        <v>110874.11</v>
      </c>
      <c r="G80">
        <v>1658.01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-0.34677939740895758</v>
      </c>
      <c r="Q80">
        <f t="shared" ref="Q80" si="376">F80*P80</f>
        <v>-38448.857054054475</v>
      </c>
      <c r="R80">
        <f t="shared" ref="R80" si="377">R81+Q80</f>
        <v>-391505.58010046824</v>
      </c>
      <c r="S80">
        <f t="shared" ref="S80" si="378">R80/100000</f>
        <v>-3.9150558010046823</v>
      </c>
      <c r="T80">
        <f t="shared" ref="T80" si="379">S80/1000</f>
        <v>-3.9150558010046825E-3</v>
      </c>
    </row>
    <row r="81" spans="1:20" x14ac:dyDescent="0.25">
      <c r="A81" s="5">
        <v>44512</v>
      </c>
      <c r="B81">
        <v>1049.3499999999999</v>
      </c>
      <c r="C81">
        <v>1542.21</v>
      </c>
      <c r="D81">
        <v>930.42</v>
      </c>
      <c r="E81">
        <v>1490.57</v>
      </c>
      <c r="F81">
        <v>23772.46</v>
      </c>
      <c r="G81">
        <v>1490.57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0.83118390297324218</v>
      </c>
      <c r="Q81">
        <f t="shared" ref="Q81" si="381">F81*P81</f>
        <v>19759.286086075281</v>
      </c>
      <c r="R81">
        <f t="shared" ref="R81" si="382">R82+Q81</f>
        <v>-353056.72304641374</v>
      </c>
      <c r="S81">
        <f t="shared" ref="S81" si="383">R81/100000</f>
        <v>-3.5305672304641376</v>
      </c>
      <c r="T81">
        <f t="shared" ref="T81" si="384">S81/1000</f>
        <v>-3.5305672304641374E-3</v>
      </c>
    </row>
    <row r="82" spans="1:20" x14ac:dyDescent="0.25">
      <c r="A82" s="5">
        <v>44511</v>
      </c>
      <c r="B82">
        <v>1123.9000000000001</v>
      </c>
      <c r="C82">
        <v>1400</v>
      </c>
      <c r="D82">
        <v>1030</v>
      </c>
      <c r="E82">
        <v>1056.0899999999999</v>
      </c>
      <c r="F82">
        <v>70465.23</v>
      </c>
      <c r="G82">
        <v>1056.0899999999999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-0.85897297297297337</v>
      </c>
      <c r="Q82">
        <f t="shared" ref="Q82" si="386">F82*P82</f>
        <v>-60527.728104324349</v>
      </c>
      <c r="R82">
        <f t="shared" ref="R82" si="387">R83+Q82</f>
        <v>-372816.00913248904</v>
      </c>
      <c r="S82">
        <f t="shared" ref="S82" si="388">R82/100000</f>
        <v>-3.7281600913248902</v>
      </c>
      <c r="T82">
        <f t="shared" ref="T82" si="389">S82/1000</f>
        <v>-3.7281600913248903E-3</v>
      </c>
    </row>
    <row r="83" spans="1:20" x14ac:dyDescent="0.25">
      <c r="A83" s="5">
        <v>44510</v>
      </c>
      <c r="B83">
        <v>807.49</v>
      </c>
      <c r="C83">
        <v>1370.41</v>
      </c>
      <c r="D83">
        <v>661.5</v>
      </c>
      <c r="E83">
        <v>1130.06</v>
      </c>
      <c r="F83">
        <v>243906.41497000001</v>
      </c>
      <c r="G83">
        <v>1130.06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0.32191674542607635</v>
      </c>
      <c r="Q83">
        <f t="shared" ref="Q83" si="391">F83*P83</f>
        <v>78517.559295684434</v>
      </c>
      <c r="R83">
        <f t="shared" ref="R83" si="392">R84+Q83</f>
        <v>-312288.28102816467</v>
      </c>
      <c r="S83">
        <f t="shared" ref="S83" si="393">R83/100000</f>
        <v>-3.1228828102816468</v>
      </c>
      <c r="T83">
        <f t="shared" ref="T83" si="394">S83/1000</f>
        <v>-3.1228828102816469E-3</v>
      </c>
    </row>
    <row r="84" spans="1:20" x14ac:dyDescent="0.25">
      <c r="A84" s="5">
        <v>44509</v>
      </c>
      <c r="B84">
        <v>446.44</v>
      </c>
      <c r="C84">
        <v>819</v>
      </c>
      <c r="D84">
        <v>414.71</v>
      </c>
      <c r="E84">
        <v>804</v>
      </c>
      <c r="F84">
        <v>93979.351290000006</v>
      </c>
      <c r="G84">
        <v>804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0.92579583962007472</v>
      </c>
      <c r="Q84">
        <f t="shared" ref="Q84" si="396">F84*P84</f>
        <v>87005.69243447551</v>
      </c>
      <c r="R84">
        <f t="shared" ref="R84" si="397">R85+Q84</f>
        <v>-390805.84032384912</v>
      </c>
      <c r="S84">
        <f t="shared" ref="S84" si="398">R84/100000</f>
        <v>-3.9080584032384911</v>
      </c>
      <c r="T84">
        <f t="shared" ref="T84" si="399">S84/1000</f>
        <v>-3.9080584032384911E-3</v>
      </c>
    </row>
    <row r="85" spans="1:20" x14ac:dyDescent="0.25">
      <c r="A85" s="5">
        <v>44508</v>
      </c>
      <c r="B85">
        <v>357.87</v>
      </c>
      <c r="C85">
        <v>450</v>
      </c>
      <c r="D85">
        <v>353.36</v>
      </c>
      <c r="E85">
        <v>446.08</v>
      </c>
      <c r="F85">
        <v>11036.04</v>
      </c>
      <c r="G85">
        <v>446.08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0.9188741721854301</v>
      </c>
      <c r="Q85">
        <f t="shared" ref="Q85" si="401">F85*P85</f>
        <v>10140.732119205295</v>
      </c>
      <c r="R85">
        <f t="shared" ref="R85" si="402">R86+Q85</f>
        <v>-477811.53275832464</v>
      </c>
      <c r="S85">
        <f t="shared" ref="S85" si="403">R85/100000</f>
        <v>-4.7781153275832464</v>
      </c>
      <c r="T85">
        <f t="shared" ref="T85" si="404">S85/1000</f>
        <v>-4.7781153275832464E-3</v>
      </c>
    </row>
    <row r="86" spans="1:20" x14ac:dyDescent="0.25">
      <c r="A86" s="5">
        <v>44507</v>
      </c>
      <c r="B86">
        <v>337.98</v>
      </c>
      <c r="C86">
        <v>418</v>
      </c>
      <c r="D86">
        <v>328.18</v>
      </c>
      <c r="E86">
        <v>357.86</v>
      </c>
      <c r="F86">
        <v>13664.75</v>
      </c>
      <c r="G86">
        <v>357.86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-0.33912268982409244</v>
      </c>
      <c r="Q86">
        <f t="shared" ref="Q86" si="406">F86*P86</f>
        <v>-4634.0267757737674</v>
      </c>
      <c r="R86">
        <f t="shared" ref="R86" si="407">R87+Q86</f>
        <v>-487952.26487752993</v>
      </c>
      <c r="S86">
        <f t="shared" ref="S86" si="408">R86/100000</f>
        <v>-4.879522648775299</v>
      </c>
      <c r="T86">
        <f t="shared" ref="T86" si="409">S86/1000</f>
        <v>-4.879522648775299E-3</v>
      </c>
    </row>
    <row r="87" spans="1:20" x14ac:dyDescent="0.25">
      <c r="A87" s="5">
        <v>44506</v>
      </c>
      <c r="B87">
        <v>328.88</v>
      </c>
      <c r="C87">
        <v>339.02</v>
      </c>
      <c r="D87">
        <v>315.81</v>
      </c>
      <c r="E87">
        <v>337.97</v>
      </c>
      <c r="F87">
        <v>2464.29</v>
      </c>
      <c r="G87">
        <v>337.97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0.90952175786299394</v>
      </c>
      <c r="Q87">
        <f t="shared" ref="Q87" si="411">F87*P87</f>
        <v>2241.3253726841972</v>
      </c>
      <c r="R87">
        <f t="shared" ref="R87" si="412">R88+Q87</f>
        <v>-483318.23810175614</v>
      </c>
      <c r="S87">
        <f t="shared" ref="S87" si="413">R87/100000</f>
        <v>-4.8331823810175614</v>
      </c>
      <c r="T87">
        <f t="shared" ref="T87" si="414">S87/1000</f>
        <v>-4.8331823810175614E-3</v>
      </c>
    </row>
    <row r="88" spans="1:20" x14ac:dyDescent="0.25">
      <c r="A88" s="5">
        <v>44505</v>
      </c>
      <c r="B88">
        <v>330.82</v>
      </c>
      <c r="C88">
        <v>339.29</v>
      </c>
      <c r="D88">
        <v>322.20999999999998</v>
      </c>
      <c r="E88">
        <v>328.88</v>
      </c>
      <c r="F88">
        <v>3253.9</v>
      </c>
      <c r="G88">
        <v>328.88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-0.21896955503512883</v>
      </c>
      <c r="Q88">
        <f t="shared" ref="Q88" si="416">F88*P88</f>
        <v>-712.50503512880573</v>
      </c>
      <c r="R88">
        <f t="shared" ref="R88" si="417">R89+Q88</f>
        <v>-485559.56347444037</v>
      </c>
      <c r="S88">
        <f t="shared" ref="S88" si="418">R88/100000</f>
        <v>-4.8555956347444038</v>
      </c>
      <c r="T88">
        <f t="shared" ref="T88" si="419">S88/1000</f>
        <v>-4.8555956347444036E-3</v>
      </c>
    </row>
    <row r="89" spans="1:20" x14ac:dyDescent="0.25">
      <c r="A89" s="5">
        <v>44504</v>
      </c>
      <c r="B89">
        <v>358.78</v>
      </c>
      <c r="C89">
        <v>359.86</v>
      </c>
      <c r="D89">
        <v>320.60000000000002</v>
      </c>
      <c r="E89">
        <v>329.99</v>
      </c>
      <c r="F89">
        <v>6132</v>
      </c>
      <c r="G89">
        <v>329.99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-0.52165053489556856</v>
      </c>
      <c r="Q89">
        <f t="shared" ref="Q89" si="421">F89*P89</f>
        <v>-3198.7610799796266</v>
      </c>
      <c r="R89">
        <f t="shared" ref="R89" si="422">R90+Q89</f>
        <v>-484847.05843931157</v>
      </c>
      <c r="S89">
        <f t="shared" ref="S89" si="423">R89/100000</f>
        <v>-4.848470584393116</v>
      </c>
      <c r="T89">
        <f t="shared" ref="T89" si="424">S89/1000</f>
        <v>-4.8484705843931161E-3</v>
      </c>
    </row>
    <row r="90" spans="1:20" x14ac:dyDescent="0.25">
      <c r="A90" s="5">
        <v>44503</v>
      </c>
      <c r="B90">
        <v>371.27</v>
      </c>
      <c r="C90">
        <v>377.74</v>
      </c>
      <c r="D90">
        <v>350</v>
      </c>
      <c r="E90">
        <v>358.75</v>
      </c>
      <c r="F90">
        <v>2747.82</v>
      </c>
      <c r="G90">
        <v>358.75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-0.36914203316510474</v>
      </c>
      <c r="Q90">
        <f t="shared" ref="Q90" si="426">F90*P90</f>
        <v>-1014.3358615717382</v>
      </c>
      <c r="R90">
        <f t="shared" ref="R90" si="427">R91+Q90</f>
        <v>-481648.29735933192</v>
      </c>
      <c r="S90">
        <f t="shared" ref="S90" si="428">R90/100000</f>
        <v>-4.8164829735933194</v>
      </c>
      <c r="T90">
        <f t="shared" ref="T90" si="429">S90/1000</f>
        <v>-4.8164829735933192E-3</v>
      </c>
    </row>
    <row r="91" spans="1:20" x14ac:dyDescent="0.25">
      <c r="A91" s="5">
        <v>44502</v>
      </c>
      <c r="B91">
        <v>365.93</v>
      </c>
      <c r="C91">
        <v>380</v>
      </c>
      <c r="D91">
        <v>361.4</v>
      </c>
      <c r="E91">
        <v>371.27</v>
      </c>
      <c r="F91">
        <v>2016.19</v>
      </c>
      <c r="G91">
        <v>371.27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6.1290322580644353E-2</v>
      </c>
      <c r="Q91">
        <f t="shared" ref="Q91" si="431">F91*P91</f>
        <v>123.57293548386934</v>
      </c>
      <c r="R91">
        <f t="shared" ref="R91" si="432">R92+Q91</f>
        <v>-480633.9614977602</v>
      </c>
      <c r="S91">
        <f t="shared" ref="S91" si="433">R91/100000</f>
        <v>-4.8063396149776016</v>
      </c>
      <c r="T91">
        <f t="shared" ref="T91" si="434">S91/1000</f>
        <v>-4.8063396149776016E-3</v>
      </c>
    </row>
    <row r="92" spans="1:20" x14ac:dyDescent="0.25">
      <c r="A92" s="5">
        <v>44501</v>
      </c>
      <c r="B92">
        <v>366.98</v>
      </c>
      <c r="C92">
        <v>376.85</v>
      </c>
      <c r="D92">
        <v>355</v>
      </c>
      <c r="E92">
        <v>366.16</v>
      </c>
      <c r="F92">
        <v>1680.65</v>
      </c>
      <c r="G92">
        <v>366.16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2.1510297482838756E-2</v>
      </c>
      <c r="Q92">
        <f t="shared" ref="Q92" si="436">F92*P92</f>
        <v>36.151281464532957</v>
      </c>
      <c r="R92">
        <f t="shared" ref="R92" si="437">R93+Q92</f>
        <v>-480757.53443324409</v>
      </c>
      <c r="S92">
        <f t="shared" ref="S92" si="438">R92/100000</f>
        <v>-4.8075753443324407</v>
      </c>
      <c r="T92">
        <f t="shared" ref="T92" si="439">S92/1000</f>
        <v>-4.8075753443324407E-3</v>
      </c>
    </row>
    <row r="93" spans="1:20" x14ac:dyDescent="0.25">
      <c r="A93" s="5">
        <v>44500</v>
      </c>
      <c r="B93">
        <v>370.91</v>
      </c>
      <c r="C93">
        <v>376.72</v>
      </c>
      <c r="D93">
        <v>355.39</v>
      </c>
      <c r="E93">
        <v>366.33</v>
      </c>
      <c r="F93">
        <v>1606.44</v>
      </c>
      <c r="G93">
        <v>366.33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2.5785278949833731E-2</v>
      </c>
      <c r="Q93">
        <f t="shared" ref="Q93" si="441">F93*P93</f>
        <v>41.422503516170899</v>
      </c>
      <c r="R93">
        <f t="shared" ref="R93" si="442">R94+Q93</f>
        <v>-480793.68571470864</v>
      </c>
      <c r="S93">
        <f t="shared" ref="S93" si="443">R93/100000</f>
        <v>-4.8079368571470864</v>
      </c>
      <c r="T93">
        <f t="shared" ref="T93" si="444">S93/1000</f>
        <v>-4.8079368571470864E-3</v>
      </c>
    </row>
    <row r="94" spans="1:20" x14ac:dyDescent="0.25">
      <c r="A94" s="5">
        <v>44499</v>
      </c>
      <c r="B94">
        <v>386.85</v>
      </c>
      <c r="C94">
        <v>392.44</v>
      </c>
      <c r="D94">
        <v>365.71</v>
      </c>
      <c r="E94">
        <v>371.84</v>
      </c>
      <c r="F94">
        <v>1587.61</v>
      </c>
      <c r="G94">
        <v>371.84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-0.54133931911709754</v>
      </c>
      <c r="Q94">
        <f t="shared" ref="Q94" si="446">F94*P94</f>
        <v>-859.43571642349514</v>
      </c>
      <c r="R94">
        <f t="shared" ref="R94" si="447">R95+Q94</f>
        <v>-480835.10821822484</v>
      </c>
      <c r="S94">
        <f t="shared" ref="S94" si="448">R94/100000</f>
        <v>-4.8083510821822486</v>
      </c>
      <c r="T94">
        <f t="shared" ref="T94" si="449">S94/1000</f>
        <v>-4.8083510821822486E-3</v>
      </c>
    </row>
    <row r="95" spans="1:20" x14ac:dyDescent="0.25">
      <c r="A95" s="5">
        <v>44498</v>
      </c>
      <c r="B95">
        <v>384</v>
      </c>
      <c r="C95">
        <v>398.08</v>
      </c>
      <c r="D95">
        <v>374.88</v>
      </c>
      <c r="E95">
        <v>386.84</v>
      </c>
      <c r="F95">
        <v>3813.71</v>
      </c>
      <c r="G95">
        <v>386.84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3.103448275861943E-2</v>
      </c>
      <c r="Q95">
        <f t="shared" ref="Q95" si="451">F95*P95</f>
        <v>118.3565172413745</v>
      </c>
      <c r="R95">
        <f t="shared" ref="R95" si="452">R96+Q95</f>
        <v>-479975.67250180134</v>
      </c>
      <c r="S95">
        <f t="shared" ref="S95" si="453">R95/100000</f>
        <v>-4.7997567250180131</v>
      </c>
      <c r="T95">
        <f t="shared" ref="T95" si="454">S95/1000</f>
        <v>-4.7997567250180131E-3</v>
      </c>
    </row>
    <row r="96" spans="1:20" x14ac:dyDescent="0.25">
      <c r="A96" s="5">
        <v>44497</v>
      </c>
      <c r="B96">
        <v>350.51</v>
      </c>
      <c r="C96">
        <v>400</v>
      </c>
      <c r="D96">
        <v>350</v>
      </c>
      <c r="E96">
        <v>384.93</v>
      </c>
      <c r="F96">
        <v>9149.4699999999993</v>
      </c>
      <c r="G96">
        <v>384.93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0.39720000000000028</v>
      </c>
      <c r="Q96">
        <f t="shared" ref="Q96" si="456">F96*P96</f>
        <v>3634.1694840000023</v>
      </c>
      <c r="R96">
        <f t="shared" ref="R96" si="457">R97+Q96</f>
        <v>-480094.02901904273</v>
      </c>
      <c r="S96">
        <f t="shared" ref="S96" si="458">R96/100000</f>
        <v>-4.800940290190427</v>
      </c>
      <c r="T96">
        <f t="shared" ref="T96" si="459">S96/1000</f>
        <v>-4.8009402901904273E-3</v>
      </c>
    </row>
    <row r="97" spans="1:20" x14ac:dyDescent="0.25">
      <c r="A97" s="5">
        <v>44496</v>
      </c>
      <c r="B97">
        <v>384.9</v>
      </c>
      <c r="C97">
        <v>394.3</v>
      </c>
      <c r="D97">
        <v>350</v>
      </c>
      <c r="E97">
        <v>350.51</v>
      </c>
      <c r="F97">
        <v>6435.24</v>
      </c>
      <c r="G97">
        <v>350.51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-0.9769751693002261</v>
      </c>
      <c r="Q97">
        <f t="shared" ref="Q97" si="461">F97*P97</f>
        <v>-6287.069688487587</v>
      </c>
      <c r="R97">
        <f t="shared" ref="R97" si="462">R98+Q97</f>
        <v>-483728.19850304275</v>
      </c>
      <c r="S97">
        <f t="shared" ref="S97" si="463">R97/100000</f>
        <v>-4.8372819850304278</v>
      </c>
      <c r="T97">
        <f t="shared" ref="T97" si="464">S97/1000</f>
        <v>-4.8372819850304276E-3</v>
      </c>
    </row>
    <row r="98" spans="1:20" x14ac:dyDescent="0.25">
      <c r="A98" s="5">
        <v>44495</v>
      </c>
      <c r="B98">
        <v>382.99</v>
      </c>
      <c r="C98">
        <v>442</v>
      </c>
      <c r="D98">
        <v>376.11</v>
      </c>
      <c r="E98">
        <v>384.89</v>
      </c>
      <c r="F98">
        <v>17375.5</v>
      </c>
      <c r="G98">
        <v>384.89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-0.73349521930490291</v>
      </c>
      <c r="Q98">
        <f t="shared" ref="Q98" si="466">F98*P98</f>
        <v>-12744.846183032341</v>
      </c>
      <c r="R98">
        <f t="shared" ref="R98" si="467">R99+Q98</f>
        <v>-477441.12881455518</v>
      </c>
      <c r="S98">
        <f t="shared" ref="S98" si="468">R98/100000</f>
        <v>-4.7744112881455516</v>
      </c>
      <c r="T98">
        <f t="shared" ref="T98" si="469">S98/1000</f>
        <v>-4.7744112881455518E-3</v>
      </c>
    </row>
    <row r="99" spans="1:20" x14ac:dyDescent="0.25">
      <c r="A99" s="5">
        <v>44494</v>
      </c>
      <c r="B99">
        <v>333.85</v>
      </c>
      <c r="C99">
        <v>450</v>
      </c>
      <c r="D99">
        <v>331.66</v>
      </c>
      <c r="E99">
        <v>383</v>
      </c>
      <c r="F99">
        <v>57952.59</v>
      </c>
      <c r="G99">
        <v>383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-0.13233057292546924</v>
      </c>
      <c r="Q99">
        <f t="shared" ref="Q99" si="471">F99*P99</f>
        <v>-7668.899437214819</v>
      </c>
      <c r="R99">
        <f t="shared" ref="R99" si="472">R100+Q99</f>
        <v>-464696.28263152286</v>
      </c>
      <c r="S99">
        <f t="shared" ref="S99" si="473">R99/100000</f>
        <v>-4.6469628263152289</v>
      </c>
      <c r="T99">
        <f t="shared" ref="T99" si="474">S99/1000</f>
        <v>-4.6469628263152291E-3</v>
      </c>
    </row>
    <row r="100" spans="1:20" x14ac:dyDescent="0.25">
      <c r="A100" s="5">
        <v>44493</v>
      </c>
      <c r="B100">
        <v>328.36</v>
      </c>
      <c r="C100">
        <v>358.99</v>
      </c>
      <c r="D100">
        <v>320.64</v>
      </c>
      <c r="E100">
        <v>334.95</v>
      </c>
      <c r="F100">
        <v>8425.18</v>
      </c>
      <c r="G100">
        <v>334.95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-0.25371577574967435</v>
      </c>
      <c r="Q100">
        <f t="shared" ref="Q100" si="476">F100*P100</f>
        <v>-2137.6010795306415</v>
      </c>
      <c r="R100">
        <f t="shared" ref="R100" si="477">R101+Q100</f>
        <v>-457027.38319430803</v>
      </c>
      <c r="S100">
        <f t="shared" ref="S100" si="478">R100/100000</f>
        <v>-4.57027383194308</v>
      </c>
      <c r="T100">
        <f t="shared" ref="T100" si="479">S100/1000</f>
        <v>-4.5702738319430801E-3</v>
      </c>
    </row>
    <row r="101" spans="1:20" x14ac:dyDescent="0.25">
      <c r="A101" s="5">
        <v>44492</v>
      </c>
      <c r="B101">
        <v>312.69</v>
      </c>
      <c r="C101">
        <v>349</v>
      </c>
      <c r="D101">
        <v>310.25</v>
      </c>
      <c r="E101">
        <v>328</v>
      </c>
      <c r="F101">
        <v>7175.01</v>
      </c>
      <c r="G101">
        <v>328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-8.387096774193549E-2</v>
      </c>
      <c r="Q101">
        <f t="shared" ref="Q101" si="481">F101*P101</f>
        <v>-601.77503225806458</v>
      </c>
      <c r="R101">
        <f t="shared" ref="R101" si="482">R102+Q101</f>
        <v>-454889.78211477736</v>
      </c>
      <c r="S101">
        <f t="shared" ref="S101" si="483">R101/100000</f>
        <v>-4.548897821147774</v>
      </c>
      <c r="T101">
        <f t="shared" ref="T101" si="484">S101/1000</f>
        <v>-4.5488978211477736E-3</v>
      </c>
    </row>
    <row r="102" spans="1:20" x14ac:dyDescent="0.25">
      <c r="A102" s="5">
        <v>44491</v>
      </c>
      <c r="B102">
        <v>315.45</v>
      </c>
      <c r="C102">
        <v>327.12</v>
      </c>
      <c r="D102">
        <v>310</v>
      </c>
      <c r="E102">
        <v>312.69</v>
      </c>
      <c r="F102">
        <v>1719.41</v>
      </c>
      <c r="G102">
        <v>312.69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-0.68574766355140226</v>
      </c>
      <c r="Q102">
        <f t="shared" ref="Q102" si="486">F102*P102</f>
        <v>-1179.0813901869167</v>
      </c>
      <c r="R102">
        <f t="shared" ref="R102" si="487">R103+Q102</f>
        <v>-454288.0070825193</v>
      </c>
      <c r="S102">
        <f t="shared" ref="S102" si="488">R102/100000</f>
        <v>-4.5428800708251931</v>
      </c>
      <c r="T102">
        <f t="shared" ref="T102" si="489">S102/1000</f>
        <v>-4.5428800708251929E-3</v>
      </c>
    </row>
    <row r="103" spans="1:20" x14ac:dyDescent="0.25">
      <c r="A103" s="5">
        <v>44490</v>
      </c>
      <c r="B103">
        <v>322.61</v>
      </c>
      <c r="C103">
        <v>340.37</v>
      </c>
      <c r="D103">
        <v>313</v>
      </c>
      <c r="E103">
        <v>314.74</v>
      </c>
      <c r="F103">
        <v>2977.67</v>
      </c>
      <c r="G103">
        <v>314.74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-0.87285348922177497</v>
      </c>
      <c r="Q103">
        <f t="shared" ref="Q103" si="491">F103*P103</f>
        <v>-2599.0696492510028</v>
      </c>
      <c r="R103">
        <f t="shared" ref="R103" si="492">R104+Q103</f>
        <v>-453108.92569233238</v>
      </c>
      <c r="S103">
        <f t="shared" ref="S103" si="493">R103/100000</f>
        <v>-4.5310892569233241</v>
      </c>
      <c r="T103">
        <f t="shared" ref="T103" si="494">S103/1000</f>
        <v>-4.5310892569233241E-3</v>
      </c>
    </row>
    <row r="104" spans="1:20" x14ac:dyDescent="0.25">
      <c r="A104" s="5">
        <v>44489</v>
      </c>
      <c r="B104">
        <v>311.64999999999998</v>
      </c>
      <c r="C104">
        <v>325</v>
      </c>
      <c r="D104">
        <v>306.58999999999997</v>
      </c>
      <c r="E104">
        <v>322.45</v>
      </c>
      <c r="F104">
        <v>4022.7</v>
      </c>
      <c r="G104">
        <v>322.45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0.72297664312873355</v>
      </c>
      <c r="Q104">
        <f t="shared" ref="Q104" si="496">F104*P104</f>
        <v>2908.3181423139563</v>
      </c>
      <c r="R104">
        <f t="shared" ref="R104" si="497">R105+Q104</f>
        <v>-450509.85604308138</v>
      </c>
      <c r="S104">
        <f t="shared" ref="S104" si="498">R104/100000</f>
        <v>-4.505098560430814</v>
      </c>
      <c r="T104">
        <f t="shared" ref="T104" si="499">S104/1000</f>
        <v>-4.5050985604308137E-3</v>
      </c>
    </row>
    <row r="105" spans="1:20" x14ac:dyDescent="0.25">
      <c r="A105" s="5">
        <v>44488</v>
      </c>
      <c r="B105">
        <v>309.29000000000002</v>
      </c>
      <c r="C105">
        <v>315.3</v>
      </c>
      <c r="D105">
        <v>304</v>
      </c>
      <c r="E105">
        <v>312.07</v>
      </c>
      <c r="F105">
        <v>2372.0500000000002</v>
      </c>
      <c r="G105">
        <v>312.07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0.42831858407079382</v>
      </c>
      <c r="Q105">
        <f t="shared" ref="Q105" si="501">F105*P105</f>
        <v>1015.9930973451266</v>
      </c>
      <c r="R105">
        <f t="shared" ref="R105" si="502">R106+Q105</f>
        <v>-453418.17418539536</v>
      </c>
      <c r="S105">
        <f t="shared" ref="S105" si="503">R105/100000</f>
        <v>-4.5341817418539536</v>
      </c>
      <c r="T105">
        <f t="shared" ref="T105" si="504">S105/1000</f>
        <v>-4.5341817418539532E-3</v>
      </c>
    </row>
    <row r="106" spans="1:20" x14ac:dyDescent="0.25">
      <c r="A106" s="5">
        <v>44487</v>
      </c>
      <c r="B106">
        <v>309.74</v>
      </c>
      <c r="C106">
        <v>314.61</v>
      </c>
      <c r="D106">
        <v>304</v>
      </c>
      <c r="E106">
        <v>308.69</v>
      </c>
      <c r="F106">
        <v>2982.25</v>
      </c>
      <c r="G106">
        <v>308.69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-0.11592836946277253</v>
      </c>
      <c r="Q106">
        <f t="shared" ref="Q106" si="506">F106*P106</f>
        <v>-345.72737983035336</v>
      </c>
      <c r="R106">
        <f t="shared" ref="R106" si="507">R107+Q106</f>
        <v>-454434.16728274047</v>
      </c>
      <c r="S106">
        <f t="shared" ref="S106" si="508">R106/100000</f>
        <v>-4.5443416728274046</v>
      </c>
      <c r="T106">
        <f t="shared" ref="T106" si="509">S106/1000</f>
        <v>-4.5443416728274044E-3</v>
      </c>
    </row>
    <row r="107" spans="1:20" x14ac:dyDescent="0.25">
      <c r="A107" s="5">
        <v>44486</v>
      </c>
      <c r="B107">
        <v>311.41000000000003</v>
      </c>
      <c r="C107">
        <v>316.97000000000003</v>
      </c>
      <c r="D107">
        <v>304</v>
      </c>
      <c r="E107">
        <v>311</v>
      </c>
      <c r="F107">
        <v>4295.43</v>
      </c>
      <c r="G107">
        <v>311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7.9414032382418703E-2</v>
      </c>
      <c r="Q107">
        <f t="shared" ref="Q107" si="511">F107*P107</f>
        <v>341.11741711641281</v>
      </c>
      <c r="R107">
        <f t="shared" ref="R107" si="512">R108+Q107</f>
        <v>-454088.43990291009</v>
      </c>
      <c r="S107">
        <f t="shared" ref="S107" si="513">R107/100000</f>
        <v>-4.5408843990291006</v>
      </c>
      <c r="T107">
        <f t="shared" ref="T107" si="514">S107/1000</f>
        <v>-4.5408843990291008E-3</v>
      </c>
    </row>
    <row r="108" spans="1:20" x14ac:dyDescent="0.25">
      <c r="A108" s="5">
        <v>44485</v>
      </c>
      <c r="B108">
        <v>324.89999999999998</v>
      </c>
      <c r="C108">
        <v>332.16</v>
      </c>
      <c r="D108">
        <v>308.88</v>
      </c>
      <c r="E108">
        <v>311.70999999999998</v>
      </c>
      <c r="F108">
        <v>3045.21</v>
      </c>
      <c r="G108">
        <v>311.70999999999998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-0.75687285223367862</v>
      </c>
      <c r="Q108">
        <f t="shared" ref="Q108" si="516">F108*P108</f>
        <v>-2304.8367783505205</v>
      </c>
      <c r="R108">
        <f t="shared" ref="R108" si="517">R109+Q108</f>
        <v>-454429.55732002651</v>
      </c>
      <c r="S108">
        <f t="shared" ref="S108" si="518">R108/100000</f>
        <v>-4.544295573200265</v>
      </c>
      <c r="T108">
        <f t="shared" ref="T108" si="519">S108/1000</f>
        <v>-4.5442955732002653E-3</v>
      </c>
    </row>
    <row r="109" spans="1:20" x14ac:dyDescent="0.25">
      <c r="A109" s="5">
        <v>44484</v>
      </c>
      <c r="B109">
        <v>335.6</v>
      </c>
      <c r="C109">
        <v>341.62</v>
      </c>
      <c r="D109">
        <v>320.82</v>
      </c>
      <c r="E109">
        <v>325.79000000000002</v>
      </c>
      <c r="F109">
        <v>3281.06</v>
      </c>
      <c r="G109">
        <v>325.79000000000002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-0.52211538461538221</v>
      </c>
      <c r="Q109">
        <f t="shared" ref="Q109" si="521">F109*P109</f>
        <v>-1713.0919038461459</v>
      </c>
      <c r="R109">
        <f t="shared" ref="R109" si="522">R110+Q109</f>
        <v>-452124.72054167598</v>
      </c>
      <c r="S109">
        <f t="shared" ref="S109" si="523">R109/100000</f>
        <v>-4.5212472054167598</v>
      </c>
      <c r="T109">
        <f t="shared" ref="T109" si="524">S109/1000</f>
        <v>-4.5212472054167599E-3</v>
      </c>
    </row>
    <row r="110" spans="1:20" x14ac:dyDescent="0.25">
      <c r="A110" s="5">
        <v>44483</v>
      </c>
      <c r="B110">
        <v>323.11</v>
      </c>
      <c r="C110">
        <v>345</v>
      </c>
      <c r="D110">
        <v>315.81</v>
      </c>
      <c r="E110">
        <v>335.78</v>
      </c>
      <c r="F110">
        <v>3812.6</v>
      </c>
      <c r="G110">
        <v>335.78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0.36827680712572608</v>
      </c>
      <c r="Q110">
        <f t="shared" ref="Q110" si="526">F110*P110</f>
        <v>1404.0921548475433</v>
      </c>
      <c r="R110">
        <f t="shared" ref="R110" si="527">R111+Q110</f>
        <v>-450411.62863782985</v>
      </c>
      <c r="S110">
        <f t="shared" ref="S110" si="528">R110/100000</f>
        <v>-4.5041162863782986</v>
      </c>
      <c r="T110">
        <f t="shared" ref="T110" si="529">S110/1000</f>
        <v>-4.5041162863782985E-3</v>
      </c>
    </row>
    <row r="111" spans="1:20" x14ac:dyDescent="0.25">
      <c r="A111" s="5">
        <v>44482</v>
      </c>
      <c r="B111">
        <v>321.07</v>
      </c>
      <c r="C111">
        <v>325.89</v>
      </c>
      <c r="D111">
        <v>306.60000000000002</v>
      </c>
      <c r="E111">
        <v>322.35000000000002</v>
      </c>
      <c r="F111">
        <v>2550.5</v>
      </c>
      <c r="G111">
        <v>322.35000000000002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0.63297045101088956</v>
      </c>
      <c r="Q111">
        <f t="shared" ref="Q111" si="531">F111*P111</f>
        <v>1614.3911353032738</v>
      </c>
      <c r="R111">
        <f t="shared" ref="R111" si="532">R112+Q111</f>
        <v>-451815.72079267737</v>
      </c>
      <c r="S111">
        <f t="shared" ref="S111" si="533">R111/100000</f>
        <v>-4.518157207926774</v>
      </c>
      <c r="T111">
        <f t="shared" ref="T111" si="534">S111/1000</f>
        <v>-4.518157207926774E-3</v>
      </c>
    </row>
    <row r="112" spans="1:20" x14ac:dyDescent="0.25">
      <c r="A112" s="5">
        <v>44481</v>
      </c>
      <c r="B112">
        <v>310.97000000000003</v>
      </c>
      <c r="C112">
        <v>324</v>
      </c>
      <c r="D112">
        <v>304</v>
      </c>
      <c r="E112">
        <v>321.60000000000002</v>
      </c>
      <c r="F112">
        <v>4172.0200000000004</v>
      </c>
      <c r="G112">
        <v>321.60000000000002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0.76000000000000223</v>
      </c>
      <c r="Q112">
        <f t="shared" ref="Q112" si="536">F112*P112</f>
        <v>3170.7352000000096</v>
      </c>
      <c r="R112">
        <f t="shared" ref="R112" si="537">R113+Q112</f>
        <v>-453430.11192798062</v>
      </c>
      <c r="S112">
        <f t="shared" ref="S112" si="538">R112/100000</f>
        <v>-4.5343011192798057</v>
      </c>
      <c r="T112">
        <f t="shared" ref="T112" si="539">S112/1000</f>
        <v>-4.5343011192798058E-3</v>
      </c>
    </row>
    <row r="113" spans="1:20" x14ac:dyDescent="0.25">
      <c r="A113" s="5">
        <v>44480</v>
      </c>
      <c r="B113">
        <v>306.01</v>
      </c>
      <c r="C113">
        <v>323.33</v>
      </c>
      <c r="D113">
        <v>304.70999999999998</v>
      </c>
      <c r="E113">
        <v>310.97000000000003</v>
      </c>
      <c r="F113">
        <v>3228.67</v>
      </c>
      <c r="G113">
        <v>310.97000000000003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-0.32760472610096175</v>
      </c>
      <c r="Q113">
        <f t="shared" ref="Q113" si="541">F113*P113</f>
        <v>-1057.7275510203922</v>
      </c>
      <c r="R113">
        <f t="shared" ref="R113" si="542">R114+Q113</f>
        <v>-456600.84712798061</v>
      </c>
      <c r="S113">
        <f t="shared" ref="S113" si="543">R113/100000</f>
        <v>-4.5660084712798064</v>
      </c>
      <c r="T113">
        <f t="shared" ref="T113" si="544">S113/1000</f>
        <v>-4.5660084712798067E-3</v>
      </c>
    </row>
    <row r="114" spans="1:20" x14ac:dyDescent="0.25">
      <c r="A114" s="5">
        <v>44479</v>
      </c>
      <c r="B114">
        <v>328.22</v>
      </c>
      <c r="C114">
        <v>328.88</v>
      </c>
      <c r="D114">
        <v>305</v>
      </c>
      <c r="E114">
        <v>306.08</v>
      </c>
      <c r="F114">
        <v>4598.67</v>
      </c>
      <c r="G114">
        <v>306.08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-0.90954773869346861</v>
      </c>
      <c r="Q114">
        <f t="shared" ref="Q114" si="546">F114*P114</f>
        <v>-4182.7098994974931</v>
      </c>
      <c r="R114">
        <f t="shared" ref="R114" si="547">R115+Q114</f>
        <v>-455543.11957696022</v>
      </c>
      <c r="S114">
        <f t="shared" ref="S114" si="548">R114/100000</f>
        <v>-4.5554311957696019</v>
      </c>
      <c r="T114">
        <f t="shared" ref="T114" si="549">S114/1000</f>
        <v>-4.5554311957696015E-3</v>
      </c>
    </row>
    <row r="115" spans="1:20" x14ac:dyDescent="0.25">
      <c r="A115" s="5">
        <v>44478</v>
      </c>
      <c r="B115">
        <v>341.02</v>
      </c>
      <c r="C115">
        <v>355</v>
      </c>
      <c r="D115">
        <v>311.61</v>
      </c>
      <c r="E115">
        <v>328.22</v>
      </c>
      <c r="F115">
        <v>12876.75</v>
      </c>
      <c r="G115">
        <v>328.22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-0.23438580318045546</v>
      </c>
      <c r="Q115">
        <f t="shared" ref="Q115" si="551">F115*P115</f>
        <v>-3018.1273911039298</v>
      </c>
      <c r="R115">
        <f t="shared" ref="R115" si="552">R116+Q115</f>
        <v>-451360.40967746271</v>
      </c>
      <c r="S115">
        <f t="shared" ref="S115" si="553">R115/100000</f>
        <v>-4.5136040967746274</v>
      </c>
      <c r="T115">
        <f t="shared" ref="T115" si="554">S115/1000</f>
        <v>-4.5136040967746274E-3</v>
      </c>
    </row>
    <row r="116" spans="1:20" x14ac:dyDescent="0.25">
      <c r="A116" s="5">
        <v>44477</v>
      </c>
      <c r="B116">
        <v>301.52999999999997</v>
      </c>
      <c r="C116">
        <v>380.83</v>
      </c>
      <c r="D116">
        <v>297.62</v>
      </c>
      <c r="E116">
        <v>341.67</v>
      </c>
      <c r="F116">
        <v>32581.32</v>
      </c>
      <c r="G116">
        <v>341.67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5.8766975123182845E-2</v>
      </c>
      <c r="Q116">
        <f t="shared" ref="Q116" si="556">F116*P116</f>
        <v>1914.7056219204596</v>
      </c>
      <c r="R116">
        <f t="shared" ref="R116" si="557">R117+Q116</f>
        <v>-448342.28228635876</v>
      </c>
      <c r="S116">
        <f t="shared" ref="S116" si="558">R116/100000</f>
        <v>-4.483422822863588</v>
      </c>
      <c r="T116">
        <f t="shared" ref="T116" si="559">S116/1000</f>
        <v>-4.483422822863588E-3</v>
      </c>
    </row>
    <row r="117" spans="1:20" x14ac:dyDescent="0.25">
      <c r="A117" s="5">
        <v>44476</v>
      </c>
      <c r="B117">
        <v>306.19</v>
      </c>
      <c r="C117">
        <v>314</v>
      </c>
      <c r="D117">
        <v>293.94</v>
      </c>
      <c r="E117">
        <v>303.08999999999997</v>
      </c>
      <c r="F117">
        <v>7317.02</v>
      </c>
      <c r="G117">
        <v>303.08999999999997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-8.7736789631109049E-2</v>
      </c>
      <c r="Q117">
        <f t="shared" ref="Q117" si="561">F117*P117</f>
        <v>-641.97184446661754</v>
      </c>
      <c r="R117">
        <f t="shared" ref="R117" si="562">R118+Q117</f>
        <v>-450256.98790827923</v>
      </c>
      <c r="S117">
        <f t="shared" ref="S117" si="563">R117/100000</f>
        <v>-4.5025698790827926</v>
      </c>
      <c r="T117">
        <f t="shared" ref="T117" si="564">S117/1000</f>
        <v>-4.5025698790827923E-3</v>
      </c>
    </row>
    <row r="118" spans="1:20" x14ac:dyDescent="0.25">
      <c r="A118" s="5">
        <v>44475</v>
      </c>
      <c r="B118">
        <v>310.3</v>
      </c>
      <c r="C118">
        <v>315.67</v>
      </c>
      <c r="D118">
        <v>294</v>
      </c>
      <c r="E118">
        <v>306.16000000000003</v>
      </c>
      <c r="F118">
        <v>6236.44</v>
      </c>
      <c r="G118">
        <v>306.16000000000003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0.12228887863405778</v>
      </c>
      <c r="Q118">
        <f t="shared" ref="Q118" si="566">F118*P118</f>
        <v>762.64725426858331</v>
      </c>
      <c r="R118">
        <f t="shared" ref="R118" si="567">R119+Q118</f>
        <v>-449615.0160638126</v>
      </c>
      <c r="S118">
        <f t="shared" ref="S118" si="568">R118/100000</f>
        <v>-4.496150160638126</v>
      </c>
      <c r="T118">
        <f t="shared" ref="T118" si="569">S118/1000</f>
        <v>-4.496150160638126E-3</v>
      </c>
    </row>
    <row r="119" spans="1:20" x14ac:dyDescent="0.25">
      <c r="A119" s="5">
        <v>44474</v>
      </c>
      <c r="B119">
        <v>307.54000000000002</v>
      </c>
      <c r="C119">
        <v>317</v>
      </c>
      <c r="D119">
        <v>299.08999999999997</v>
      </c>
      <c r="E119">
        <v>310.41000000000003</v>
      </c>
      <c r="F119">
        <v>4498.17</v>
      </c>
      <c r="G119">
        <v>310.41000000000003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0.26409826912339857</v>
      </c>
      <c r="Q119">
        <f t="shared" ref="Q119" si="571">F119*P119</f>
        <v>1187.9589112227977</v>
      </c>
      <c r="R119">
        <f t="shared" ref="R119" si="572">R120+Q119</f>
        <v>-450377.66331808118</v>
      </c>
      <c r="S119">
        <f t="shared" ref="S119" si="573">R119/100000</f>
        <v>-4.503776633180812</v>
      </c>
      <c r="T119">
        <f t="shared" ref="T119" si="574">S119/1000</f>
        <v>-4.5037766331808117E-3</v>
      </c>
    </row>
    <row r="120" spans="1:20" x14ac:dyDescent="0.25">
      <c r="A120" s="5">
        <v>44473</v>
      </c>
      <c r="B120">
        <v>321.10000000000002</v>
      </c>
      <c r="C120">
        <v>321.10000000000002</v>
      </c>
      <c r="D120">
        <v>299</v>
      </c>
      <c r="E120">
        <v>307.22000000000003</v>
      </c>
      <c r="F120">
        <v>4384.4799999999996</v>
      </c>
      <c r="G120">
        <v>307.22000000000003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-0.25610859728506619</v>
      </c>
      <c r="Q120">
        <f t="shared" ref="Q120" si="576">F120*P120</f>
        <v>-1122.903022624427</v>
      </c>
      <c r="R120">
        <f t="shared" ref="R120" si="577">R121+Q120</f>
        <v>-451565.62222930399</v>
      </c>
      <c r="S120">
        <f t="shared" ref="S120" si="578">R120/100000</f>
        <v>-4.5156562222930399</v>
      </c>
      <c r="T120">
        <f t="shared" ref="T120" si="579">S120/1000</f>
        <v>-4.5156562222930397E-3</v>
      </c>
    </row>
    <row r="121" spans="1:20" x14ac:dyDescent="0.25">
      <c r="A121" s="5">
        <v>44472</v>
      </c>
      <c r="B121">
        <v>330.03</v>
      </c>
      <c r="C121">
        <v>338.33</v>
      </c>
      <c r="D121">
        <v>312.91000000000003</v>
      </c>
      <c r="E121">
        <v>322.17</v>
      </c>
      <c r="F121">
        <v>4466.83</v>
      </c>
      <c r="G121">
        <v>322.17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-0.27143981117230481</v>
      </c>
      <c r="Q121">
        <f t="shared" ref="Q121" si="581">F121*P121</f>
        <v>-1212.4754917387863</v>
      </c>
      <c r="R121">
        <f t="shared" ref="R121" si="582">R122+Q121</f>
        <v>-450442.71920667955</v>
      </c>
      <c r="S121">
        <f t="shared" ref="S121" si="583">R121/100000</f>
        <v>-4.504427192066796</v>
      </c>
      <c r="T121">
        <f t="shared" ref="T121" si="584">S121/1000</f>
        <v>-4.5044271920667957E-3</v>
      </c>
    </row>
    <row r="122" spans="1:20" x14ac:dyDescent="0.25">
      <c r="A122" s="5">
        <v>44471</v>
      </c>
      <c r="B122">
        <v>324.64</v>
      </c>
      <c r="C122">
        <v>357.43</v>
      </c>
      <c r="D122">
        <v>320</v>
      </c>
      <c r="E122">
        <v>330</v>
      </c>
      <c r="F122">
        <v>4222.55</v>
      </c>
      <c r="G122">
        <v>330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-0.46566924926529529</v>
      </c>
      <c r="Q122">
        <f t="shared" ref="Q122" si="586">F122*P122</f>
        <v>-1966.3116884851727</v>
      </c>
      <c r="R122">
        <f t="shared" ref="R122" si="587">R123+Q122</f>
        <v>-449230.24371494079</v>
      </c>
      <c r="S122">
        <f t="shared" ref="S122" si="588">R122/100000</f>
        <v>-4.4923024371494078</v>
      </c>
      <c r="T122">
        <f t="shared" ref="T122" si="589">S122/1000</f>
        <v>-4.4923024371494079E-3</v>
      </c>
    </row>
    <row r="123" spans="1:20" x14ac:dyDescent="0.25">
      <c r="A123" s="5">
        <v>44470</v>
      </c>
      <c r="B123">
        <v>299.33999999999997</v>
      </c>
      <c r="C123">
        <v>331</v>
      </c>
      <c r="D123">
        <v>293.25</v>
      </c>
      <c r="E123">
        <v>324.58999999999997</v>
      </c>
      <c r="F123">
        <v>6723.11</v>
      </c>
      <c r="G123">
        <v>324.58999999999997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0.66039735099337615</v>
      </c>
      <c r="Q123">
        <f t="shared" ref="Q123" si="591">F123*P123</f>
        <v>4439.9240344370774</v>
      </c>
      <c r="R123">
        <f t="shared" ref="R123" si="592">R124+Q123</f>
        <v>-447263.93202645564</v>
      </c>
      <c r="S123">
        <f t="shared" ref="S123" si="593">R123/100000</f>
        <v>-4.4726393202645562</v>
      </c>
      <c r="T123">
        <f t="shared" ref="T123" si="594">S123/1000</f>
        <v>-4.4726393202645567E-3</v>
      </c>
    </row>
    <row r="124" spans="1:20" x14ac:dyDescent="0.25">
      <c r="A124" s="5">
        <v>44469</v>
      </c>
      <c r="B124">
        <v>280</v>
      </c>
      <c r="C124">
        <v>329.7</v>
      </c>
      <c r="D124">
        <v>279.43</v>
      </c>
      <c r="E124">
        <v>299.33999999999997</v>
      </c>
      <c r="F124">
        <v>18246.509999999998</v>
      </c>
      <c r="G124">
        <v>299.33999999999997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-0.20787746170678434</v>
      </c>
      <c r="Q124">
        <f t="shared" ref="Q124" si="596">F124*P124</f>
        <v>-3793.0381838074572</v>
      </c>
      <c r="R124">
        <f t="shared" ref="R124" si="597">R125+Q124</f>
        <v>-451703.85606089275</v>
      </c>
      <c r="S124">
        <f t="shared" ref="S124" si="598">R124/100000</f>
        <v>-4.5170385606089276</v>
      </c>
      <c r="T124">
        <f t="shared" ref="T124" si="599">S124/1000</f>
        <v>-4.5170385606089275E-3</v>
      </c>
    </row>
    <row r="125" spans="1:20" x14ac:dyDescent="0.25">
      <c r="A125" s="5">
        <v>44468</v>
      </c>
      <c r="B125">
        <v>276.75</v>
      </c>
      <c r="C125">
        <v>291.08</v>
      </c>
      <c r="D125">
        <v>268.24</v>
      </c>
      <c r="E125">
        <v>279.66000000000003</v>
      </c>
      <c r="F125">
        <v>4688.93</v>
      </c>
      <c r="G125">
        <v>279.66000000000003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2.4887661497726829E-15</v>
      </c>
      <c r="Q125">
        <f t="shared" ref="Q125" si="601">F125*P125</f>
        <v>1.1669650262653628E-11</v>
      </c>
      <c r="R125">
        <f t="shared" ref="R125" si="602">R126+Q125</f>
        <v>-447910.8178770853</v>
      </c>
      <c r="S125">
        <f t="shared" ref="S125" si="603">R125/100000</f>
        <v>-4.4791081787708533</v>
      </c>
      <c r="T125">
        <f t="shared" ref="T125" si="604">S125/1000</f>
        <v>-4.479108178770853E-3</v>
      </c>
    </row>
    <row r="126" spans="1:20" x14ac:dyDescent="0.25">
      <c r="A126" s="5">
        <v>44467</v>
      </c>
      <c r="B126">
        <v>293.56</v>
      </c>
      <c r="C126">
        <v>295.86</v>
      </c>
      <c r="D126">
        <v>276</v>
      </c>
      <c r="E126">
        <v>276</v>
      </c>
      <c r="F126">
        <v>4694.38</v>
      </c>
      <c r="G126">
        <v>276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-1</v>
      </c>
      <c r="Q126">
        <f t="shared" ref="Q126" si="606">F126*P126</f>
        <v>-4694.38</v>
      </c>
      <c r="R126">
        <f t="shared" ref="R126" si="607">R127+Q126</f>
        <v>-447910.8178770853</v>
      </c>
      <c r="S126">
        <f t="shared" ref="S126" si="608">R126/100000</f>
        <v>-4.4791081787708533</v>
      </c>
      <c r="T126">
        <f t="shared" ref="T126" si="609">S126/1000</f>
        <v>-4.479108178770853E-3</v>
      </c>
    </row>
    <row r="127" spans="1:20" x14ac:dyDescent="0.25">
      <c r="A127" s="5">
        <v>44466</v>
      </c>
      <c r="B127">
        <v>308.94</v>
      </c>
      <c r="C127">
        <v>323.83999999999997</v>
      </c>
      <c r="D127">
        <v>285.83</v>
      </c>
      <c r="E127">
        <v>293.64999999999998</v>
      </c>
      <c r="F127">
        <v>8507.0400000000009</v>
      </c>
      <c r="G127">
        <v>293.64999999999998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-0.58852933438568822</v>
      </c>
      <c r="Q127">
        <f t="shared" ref="Q127" si="611">F127*P127</f>
        <v>-5006.6425887924261</v>
      </c>
      <c r="R127">
        <f t="shared" ref="R127" si="612">R128+Q127</f>
        <v>-443216.43787708529</v>
      </c>
      <c r="S127">
        <f t="shared" ref="S127" si="613">R127/100000</f>
        <v>-4.4321643787708531</v>
      </c>
      <c r="T127">
        <f t="shared" ref="T127" si="614">S127/1000</f>
        <v>-4.4321643787708529E-3</v>
      </c>
    </row>
    <row r="128" spans="1:20" x14ac:dyDescent="0.25">
      <c r="A128" s="5">
        <v>44465</v>
      </c>
      <c r="B128">
        <v>336.67</v>
      </c>
      <c r="C128">
        <v>336.67</v>
      </c>
      <c r="D128">
        <v>288.77</v>
      </c>
      <c r="E128">
        <v>308.91000000000003</v>
      </c>
      <c r="F128">
        <v>17041.48</v>
      </c>
      <c r="G128">
        <v>308.91000000000003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-0.1590814196242159</v>
      </c>
      <c r="Q128">
        <f t="shared" ref="Q128" si="616">F128*P128</f>
        <v>-2710.9828308976826</v>
      </c>
      <c r="R128">
        <f t="shared" ref="R128" si="617">R129+Q128</f>
        <v>-438209.79528829287</v>
      </c>
      <c r="S128">
        <f t="shared" ref="S128" si="618">R128/100000</f>
        <v>-4.3820979528829289</v>
      </c>
      <c r="T128">
        <f t="shared" ref="T128" si="619">S128/1000</f>
        <v>-4.3820979528829285E-3</v>
      </c>
    </row>
    <row r="129" spans="1:20" x14ac:dyDescent="0.25">
      <c r="A129" s="5">
        <v>44464</v>
      </c>
      <c r="B129">
        <v>333.5</v>
      </c>
      <c r="C129">
        <v>345.07</v>
      </c>
      <c r="D129">
        <v>327.98</v>
      </c>
      <c r="E129">
        <v>336.67</v>
      </c>
      <c r="F129">
        <v>3575.93</v>
      </c>
      <c r="G129">
        <v>336.67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1.6968987712113567E-2</v>
      </c>
      <c r="Q129">
        <f t="shared" ref="Q129" si="621">F129*P129</f>
        <v>60.679912229378267</v>
      </c>
      <c r="R129">
        <f t="shared" ref="R129" si="622">R130+Q129</f>
        <v>-435498.81245739519</v>
      </c>
      <c r="S129">
        <f t="shared" ref="S129" si="623">R129/100000</f>
        <v>-4.3549881245739517</v>
      </c>
      <c r="T129">
        <f t="shared" ref="T129" si="624">S129/1000</f>
        <v>-4.3549881245739516E-3</v>
      </c>
    </row>
    <row r="130" spans="1:20" x14ac:dyDescent="0.25">
      <c r="A130" s="5">
        <v>44463</v>
      </c>
      <c r="B130">
        <v>360.63</v>
      </c>
      <c r="C130">
        <v>361.28</v>
      </c>
      <c r="D130">
        <v>313.51</v>
      </c>
      <c r="E130">
        <v>332.48</v>
      </c>
      <c r="F130">
        <v>8575.5300000000007</v>
      </c>
      <c r="G130">
        <v>332.48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-0.20577768473937474</v>
      </c>
      <c r="Q130">
        <f t="shared" ref="Q130" si="626">F130*P130</f>
        <v>-1764.6527088130504</v>
      </c>
      <c r="R130">
        <f t="shared" ref="R130" si="627">R131+Q130</f>
        <v>-435559.49236962455</v>
      </c>
      <c r="S130">
        <f t="shared" ref="S130" si="628">R130/100000</f>
        <v>-4.3555949236962457</v>
      </c>
      <c r="T130">
        <f t="shared" ref="T130" si="629">S130/1000</f>
        <v>-4.3555949236962453E-3</v>
      </c>
    </row>
    <row r="131" spans="1:20" x14ac:dyDescent="0.25">
      <c r="A131" s="5">
        <v>44462</v>
      </c>
      <c r="B131">
        <v>367.2</v>
      </c>
      <c r="C131">
        <v>379.77</v>
      </c>
      <c r="D131">
        <v>346.89</v>
      </c>
      <c r="E131">
        <v>361.52</v>
      </c>
      <c r="F131">
        <v>6780.82</v>
      </c>
      <c r="G131">
        <v>361.52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-0.11009732360097339</v>
      </c>
      <c r="Q131">
        <f t="shared" ref="Q131" si="631">F131*P131</f>
        <v>-746.55013381995241</v>
      </c>
      <c r="R131">
        <f t="shared" ref="R131" si="632">R132+Q131</f>
        <v>-433794.83966081153</v>
      </c>
      <c r="S131">
        <f t="shared" ref="S131" si="633">R131/100000</f>
        <v>-4.3379483966081152</v>
      </c>
      <c r="T131">
        <f t="shared" ref="T131" si="634">S131/1000</f>
        <v>-4.3379483966081147E-3</v>
      </c>
    </row>
    <row r="132" spans="1:20" x14ac:dyDescent="0.25">
      <c r="A132" s="5">
        <v>44461</v>
      </c>
      <c r="B132">
        <v>304.8</v>
      </c>
      <c r="C132">
        <v>398.53</v>
      </c>
      <c r="D132">
        <v>304.39999999999998</v>
      </c>
      <c r="E132">
        <v>366.59</v>
      </c>
      <c r="F132">
        <v>35054.449999999997</v>
      </c>
      <c r="G132">
        <v>366.59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0.32136407096568576</v>
      </c>
      <c r="Q132">
        <f t="shared" ref="Q132" si="636">F132*P132</f>
        <v>11265.240757463082</v>
      </c>
      <c r="R132">
        <f t="shared" ref="R132" si="637">R133+Q132</f>
        <v>-433048.2895269916</v>
      </c>
      <c r="S132">
        <f t="shared" ref="S132" si="638">R132/100000</f>
        <v>-4.3304828952699159</v>
      </c>
      <c r="T132">
        <f t="shared" ref="T132" si="639">S132/1000</f>
        <v>-4.3304828952699156E-3</v>
      </c>
    </row>
    <row r="133" spans="1:20" x14ac:dyDescent="0.25">
      <c r="A133" s="5">
        <v>44460</v>
      </c>
      <c r="B133">
        <v>316.93</v>
      </c>
      <c r="C133">
        <v>353.39</v>
      </c>
      <c r="D133">
        <v>300</v>
      </c>
      <c r="E133">
        <v>304.8</v>
      </c>
      <c r="F133">
        <v>9204.6299999999992</v>
      </c>
      <c r="G133">
        <v>304.8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-0.82019104701254875</v>
      </c>
      <c r="Q133">
        <f t="shared" ref="Q133" si="641">F133*P133</f>
        <v>-7549.5551170631161</v>
      </c>
      <c r="R133">
        <f t="shared" ref="R133" si="642">R134+Q133</f>
        <v>-444313.5302844547</v>
      </c>
      <c r="S133">
        <f t="shared" ref="S133" si="643">R133/100000</f>
        <v>-4.4431353028445466</v>
      </c>
      <c r="T133">
        <f t="shared" ref="T133" si="644">S133/1000</f>
        <v>-4.4431353028445463E-3</v>
      </c>
    </row>
    <row r="134" spans="1:20" x14ac:dyDescent="0.25">
      <c r="A134" s="5">
        <v>44459</v>
      </c>
      <c r="B134">
        <v>382.11</v>
      </c>
      <c r="C134">
        <v>386.07</v>
      </c>
      <c r="D134">
        <v>344.41</v>
      </c>
      <c r="E134">
        <v>355.42</v>
      </c>
      <c r="F134">
        <v>3173.36</v>
      </c>
      <c r="G134">
        <v>355.42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-0.47143542966874702</v>
      </c>
      <c r="Q134">
        <f t="shared" ref="Q134" si="646">F134*P134</f>
        <v>-1496.034335093615</v>
      </c>
      <c r="R134">
        <f t="shared" ref="R134" si="647">R135+Q134</f>
        <v>-436763.97516739159</v>
      </c>
      <c r="S134">
        <f t="shared" ref="S134" si="648">R134/100000</f>
        <v>-4.3676397516739156</v>
      </c>
      <c r="T134">
        <f t="shared" ref="T134" si="649">S134/1000</f>
        <v>-4.3676397516739154E-3</v>
      </c>
    </row>
    <row r="135" spans="1:20" x14ac:dyDescent="0.25">
      <c r="A135" s="5">
        <v>44458</v>
      </c>
      <c r="B135">
        <v>408.97</v>
      </c>
      <c r="C135">
        <v>409.66</v>
      </c>
      <c r="D135">
        <v>380.01</v>
      </c>
      <c r="E135">
        <v>380.87</v>
      </c>
      <c r="F135">
        <v>3488.64</v>
      </c>
      <c r="G135">
        <v>380.87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-0.9419898819561543</v>
      </c>
      <c r="Q135">
        <f t="shared" ref="Q135" si="651">F135*P135</f>
        <v>-3286.263581787518</v>
      </c>
      <c r="R135">
        <f t="shared" ref="R135" si="652">R136+Q135</f>
        <v>-435267.94083229796</v>
      </c>
      <c r="S135">
        <f t="shared" ref="S135" si="653">R135/100000</f>
        <v>-4.3526794083229792</v>
      </c>
      <c r="T135">
        <f t="shared" ref="T135" si="654">S135/1000</f>
        <v>-4.3526794083229795E-3</v>
      </c>
    </row>
    <row r="136" spans="1:20" x14ac:dyDescent="0.25">
      <c r="A136" s="5">
        <v>44457</v>
      </c>
      <c r="B136">
        <v>406.26</v>
      </c>
      <c r="C136">
        <v>421.77</v>
      </c>
      <c r="D136">
        <v>390</v>
      </c>
      <c r="E136">
        <v>407.52</v>
      </c>
      <c r="F136">
        <v>5773.6</v>
      </c>
      <c r="G136">
        <v>407.52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0.10292728989612791</v>
      </c>
      <c r="Q136">
        <f t="shared" ref="Q136" si="656">F136*P136</f>
        <v>594.26100094428421</v>
      </c>
      <c r="R136">
        <f t="shared" ref="R136" si="657">R137+Q136</f>
        <v>-431981.67725051043</v>
      </c>
      <c r="S136">
        <f t="shared" ref="S136" si="658">R136/100000</f>
        <v>-4.3198167725051047</v>
      </c>
      <c r="T136">
        <f t="shared" ref="T136" si="659">S136/1000</f>
        <v>-4.3198167725051048E-3</v>
      </c>
    </row>
    <row r="137" spans="1:20" x14ac:dyDescent="0.25">
      <c r="A137" s="5">
        <v>44456</v>
      </c>
      <c r="B137">
        <v>429.54</v>
      </c>
      <c r="C137">
        <v>434.79</v>
      </c>
      <c r="D137">
        <v>390.91</v>
      </c>
      <c r="E137">
        <v>405.12</v>
      </c>
      <c r="F137">
        <v>7981.62</v>
      </c>
      <c r="G137">
        <v>405.12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-0.35232452142206105</v>
      </c>
      <c r="Q137">
        <f t="shared" ref="Q137" si="661">F137*P137</f>
        <v>-2812.1204466727509</v>
      </c>
      <c r="R137">
        <f t="shared" ref="R137" si="662">R138+Q137</f>
        <v>-432575.93825145473</v>
      </c>
      <c r="S137">
        <f t="shared" ref="S137" si="663">R137/100000</f>
        <v>-4.3257593825145477</v>
      </c>
      <c r="T137">
        <f t="shared" ref="T137" si="664">S137/1000</f>
        <v>-4.325759382514548E-3</v>
      </c>
    </row>
    <row r="138" spans="1:20" x14ac:dyDescent="0.25">
      <c r="A138" s="5">
        <v>44455</v>
      </c>
      <c r="B138">
        <v>456.05</v>
      </c>
      <c r="C138">
        <v>486.82</v>
      </c>
      <c r="D138">
        <v>422.56</v>
      </c>
      <c r="E138">
        <v>429.54</v>
      </c>
      <c r="F138">
        <v>9821.9599999999991</v>
      </c>
      <c r="G138">
        <v>429.54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-0.78275754746342918</v>
      </c>
      <c r="Q138">
        <f t="shared" ref="Q138" si="666">F138*P138</f>
        <v>-7688.2133208839023</v>
      </c>
      <c r="R138">
        <f t="shared" ref="R138" si="667">R139+Q138</f>
        <v>-429763.81780478195</v>
      </c>
      <c r="S138">
        <f t="shared" ref="S138" si="668">R138/100000</f>
        <v>-4.2976381780478192</v>
      </c>
      <c r="T138">
        <f t="shared" ref="T138" si="669">S138/1000</f>
        <v>-4.297638178047819E-3</v>
      </c>
    </row>
    <row r="139" spans="1:20" x14ac:dyDescent="0.25">
      <c r="A139" s="5">
        <v>44454</v>
      </c>
      <c r="B139">
        <v>437.93</v>
      </c>
      <c r="C139">
        <v>476.08</v>
      </c>
      <c r="D139">
        <v>422.92</v>
      </c>
      <c r="E139">
        <v>455.32</v>
      </c>
      <c r="F139">
        <v>9012.1200000000008</v>
      </c>
      <c r="G139">
        <v>455.32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0.21896162528216692</v>
      </c>
      <c r="Q139">
        <f t="shared" ref="Q139" si="671">F139*P139</f>
        <v>1973.3084424379224</v>
      </c>
      <c r="R139">
        <f t="shared" ref="R139" si="672">R140+Q139</f>
        <v>-422075.60448389803</v>
      </c>
      <c r="S139">
        <f t="shared" ref="S139" si="673">R139/100000</f>
        <v>-4.2207560448389803</v>
      </c>
      <c r="T139">
        <f t="shared" ref="T139" si="674">S139/1000</f>
        <v>-4.2207560448389806E-3</v>
      </c>
    </row>
    <row r="140" spans="1:20" x14ac:dyDescent="0.25">
      <c r="A140" s="5">
        <v>44453</v>
      </c>
      <c r="B140">
        <v>439.06</v>
      </c>
      <c r="C140">
        <v>465</v>
      </c>
      <c r="D140">
        <v>417.49</v>
      </c>
      <c r="E140">
        <v>437.95</v>
      </c>
      <c r="F140">
        <v>25646.880000000001</v>
      </c>
      <c r="G140">
        <v>437.95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-0.13870764049673823</v>
      </c>
      <c r="Q140">
        <f t="shared" ref="Q140" si="676">F140*P140</f>
        <v>-3557.4182109029857</v>
      </c>
      <c r="R140">
        <f t="shared" ref="R140" si="677">R141+Q140</f>
        <v>-424048.91292633594</v>
      </c>
      <c r="S140">
        <f t="shared" ref="S140" si="678">R140/100000</f>
        <v>-4.2404891292633593</v>
      </c>
      <c r="T140">
        <f t="shared" ref="T140" si="679">S140/1000</f>
        <v>-4.2404891292633596E-3</v>
      </c>
    </row>
    <row r="141" spans="1:20" x14ac:dyDescent="0.25">
      <c r="A141" s="5">
        <v>44452</v>
      </c>
      <c r="B141">
        <v>419.43</v>
      </c>
      <c r="C141">
        <v>466.99</v>
      </c>
      <c r="D141">
        <v>372</v>
      </c>
      <c r="E141">
        <v>437.41</v>
      </c>
      <c r="F141">
        <v>21966.880000000001</v>
      </c>
      <c r="G141">
        <v>437.41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0.37719759974734224</v>
      </c>
      <c r="Q141">
        <f t="shared" ref="Q141" si="681">F141*P141</f>
        <v>8285.8544099378978</v>
      </c>
      <c r="R141">
        <f t="shared" ref="R141" si="682">R142+Q141</f>
        <v>-420491.49471543293</v>
      </c>
      <c r="S141">
        <f t="shared" ref="S141" si="683">R141/100000</f>
        <v>-4.2049149471543297</v>
      </c>
      <c r="T141">
        <f t="shared" ref="T141" si="684">S141/1000</f>
        <v>-4.2049149471543295E-3</v>
      </c>
    </row>
    <row r="142" spans="1:20" x14ac:dyDescent="0.25">
      <c r="A142" s="5">
        <v>44451</v>
      </c>
      <c r="B142">
        <v>417.41</v>
      </c>
      <c r="C142">
        <v>460</v>
      </c>
      <c r="D142">
        <v>401.01</v>
      </c>
      <c r="E142">
        <v>419.43</v>
      </c>
      <c r="F142">
        <v>17550.39</v>
      </c>
      <c r="G142">
        <v>419.43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-0.37548737074080307</v>
      </c>
      <c r="Q142">
        <f t="shared" ref="Q142" si="686">F142*P142</f>
        <v>-6589.9497965756827</v>
      </c>
      <c r="R142">
        <f t="shared" ref="R142" si="687">R143+Q142</f>
        <v>-428777.34912537085</v>
      </c>
      <c r="S142">
        <f t="shared" ref="S142" si="688">R142/100000</f>
        <v>-4.2877734912537084</v>
      </c>
      <c r="T142">
        <f t="shared" ref="T142" si="689">S142/1000</f>
        <v>-4.2877734912537087E-3</v>
      </c>
    </row>
    <row r="143" spans="1:20" x14ac:dyDescent="0.25">
      <c r="A143" s="5">
        <v>44450</v>
      </c>
      <c r="B143">
        <v>461.52</v>
      </c>
      <c r="C143">
        <v>490</v>
      </c>
      <c r="D143">
        <v>408</v>
      </c>
      <c r="E143">
        <v>417.47</v>
      </c>
      <c r="F143">
        <v>34949.839999999997</v>
      </c>
      <c r="G143">
        <v>417.47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-0.76902439024390179</v>
      </c>
      <c r="Q143">
        <f t="shared" ref="Q143" si="691">F143*P143</f>
        <v>-26877.279395121925</v>
      </c>
      <c r="R143">
        <f t="shared" ref="R143" si="692">R144+Q143</f>
        <v>-422187.39932879515</v>
      </c>
      <c r="S143">
        <f t="shared" ref="S143" si="693">R143/100000</f>
        <v>-4.2218739932879519</v>
      </c>
      <c r="T143">
        <f t="shared" ref="T143" si="694">S143/1000</f>
        <v>-4.221873993287952E-3</v>
      </c>
    </row>
    <row r="144" spans="1:20" x14ac:dyDescent="0.25">
      <c r="A144" s="5">
        <v>44449</v>
      </c>
      <c r="B144">
        <v>338.33</v>
      </c>
      <c r="C144">
        <v>563.64</v>
      </c>
      <c r="D144">
        <v>337.95</v>
      </c>
      <c r="E144">
        <v>461.7</v>
      </c>
      <c r="F144">
        <v>250632.35555000001</v>
      </c>
      <c r="G144">
        <v>461.7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9.6636979928220137E-2</v>
      </c>
      <c r="Q144">
        <f t="shared" ref="Q144" si="696">F144*P144</f>
        <v>24220.353912647883</v>
      </c>
      <c r="R144">
        <f t="shared" ref="R144" si="697">R145+Q144</f>
        <v>-395310.11993367324</v>
      </c>
      <c r="S144">
        <f t="shared" ref="S144" si="698">R144/100000</f>
        <v>-3.9531011993367322</v>
      </c>
      <c r="T144">
        <f t="shared" ref="T144" si="699">S144/1000</f>
        <v>-3.9531011993367325E-3</v>
      </c>
    </row>
    <row r="145" spans="1:20" x14ac:dyDescent="0.25">
      <c r="A145" s="5">
        <v>44448</v>
      </c>
      <c r="B145">
        <v>300.95999999999998</v>
      </c>
      <c r="C145">
        <v>364.77</v>
      </c>
      <c r="D145">
        <v>290</v>
      </c>
      <c r="E145">
        <v>337.96</v>
      </c>
      <c r="F145">
        <v>15374.85</v>
      </c>
      <c r="G145">
        <v>337.96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0.28286746021131448</v>
      </c>
      <c r="Q145">
        <f t="shared" ref="Q145" si="701">F145*P145</f>
        <v>4349.0447706299283</v>
      </c>
      <c r="R145">
        <f t="shared" ref="R145" si="702">R146+Q145</f>
        <v>-419530.47384632111</v>
      </c>
      <c r="S145">
        <f t="shared" ref="S145" si="703">R145/100000</f>
        <v>-4.1953047384632107</v>
      </c>
      <c r="T145">
        <f t="shared" ref="T145" si="704">S145/1000</f>
        <v>-4.1953047384632111E-3</v>
      </c>
    </row>
    <row r="146" spans="1:20" x14ac:dyDescent="0.25">
      <c r="A146" s="5">
        <v>44447</v>
      </c>
      <c r="B146">
        <v>338.01</v>
      </c>
      <c r="C146">
        <v>343.97</v>
      </c>
      <c r="D146">
        <v>283.04000000000002</v>
      </c>
      <c r="E146">
        <v>300</v>
      </c>
      <c r="F146">
        <v>15062.54</v>
      </c>
      <c r="G146">
        <v>300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-0.44329558509765377</v>
      </c>
      <c r="Q146">
        <f t="shared" ref="Q146" si="706">F146*P146</f>
        <v>-6677.1574823568144</v>
      </c>
      <c r="R146">
        <f t="shared" ref="R146" si="707">R147+Q146</f>
        <v>-423879.51861695101</v>
      </c>
      <c r="S146">
        <f t="shared" ref="S146" si="708">R146/100000</f>
        <v>-4.2387951861695106</v>
      </c>
      <c r="T146">
        <f t="shared" ref="T146" si="709">S146/1000</f>
        <v>-4.2387951861695104E-3</v>
      </c>
    </row>
    <row r="147" spans="1:20" x14ac:dyDescent="0.25">
      <c r="A147" s="5">
        <v>44446</v>
      </c>
      <c r="B147">
        <v>378</v>
      </c>
      <c r="C147">
        <v>378.5</v>
      </c>
      <c r="D147">
        <v>250</v>
      </c>
      <c r="E147">
        <v>337.62</v>
      </c>
      <c r="F147">
        <v>25560.86</v>
      </c>
      <c r="G147">
        <v>337.62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0.36373540856031134</v>
      </c>
      <c r="Q147">
        <f t="shared" ref="Q147" si="711">F147*P147</f>
        <v>9297.389855252919</v>
      </c>
      <c r="R147">
        <f t="shared" ref="R147" si="712">R148+Q147</f>
        <v>-417202.36113459419</v>
      </c>
      <c r="S147">
        <f t="shared" ref="S147" si="713">R147/100000</f>
        <v>-4.1720236113459421</v>
      </c>
      <c r="T147">
        <f t="shared" ref="T147" si="714">S147/1000</f>
        <v>-4.1720236113459421E-3</v>
      </c>
    </row>
    <row r="148" spans="1:20" x14ac:dyDescent="0.25">
      <c r="A148" s="5">
        <v>44445</v>
      </c>
      <c r="B148">
        <v>389.01</v>
      </c>
      <c r="C148">
        <v>400</v>
      </c>
      <c r="D148">
        <v>368.89</v>
      </c>
      <c r="E148">
        <v>377.25</v>
      </c>
      <c r="F148">
        <v>14176.93</v>
      </c>
      <c r="G148">
        <v>377.25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-0.46255223400835682</v>
      </c>
      <c r="Q148">
        <f t="shared" ref="Q148" si="716">F148*P148</f>
        <v>-6557.5706428800941</v>
      </c>
      <c r="R148">
        <f t="shared" ref="R148" si="717">R149+Q148</f>
        <v>-426499.75098984712</v>
      </c>
      <c r="S148">
        <f t="shared" ref="S148" si="718">R148/100000</f>
        <v>-4.2649975098984712</v>
      </c>
      <c r="T148">
        <f t="shared" ref="T148" si="719">S148/1000</f>
        <v>-4.2649975098984711E-3</v>
      </c>
    </row>
    <row r="149" spans="1:20" x14ac:dyDescent="0.25">
      <c r="A149" s="5">
        <v>44444</v>
      </c>
      <c r="B149">
        <v>403.26</v>
      </c>
      <c r="C149">
        <v>403.28</v>
      </c>
      <c r="D149">
        <v>382.33</v>
      </c>
      <c r="E149">
        <v>389.01</v>
      </c>
      <c r="F149">
        <v>13280.87</v>
      </c>
      <c r="G149">
        <v>389.01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-0.36229116945107298</v>
      </c>
      <c r="Q149">
        <f t="shared" ref="Q149" si="721">F149*P149</f>
        <v>-4811.5419236276721</v>
      </c>
      <c r="R149">
        <f t="shared" ref="R149" si="722">R150+Q149</f>
        <v>-419942.18034696701</v>
      </c>
      <c r="S149">
        <f t="shared" ref="S149" si="723">R149/100000</f>
        <v>-4.1994218034696704</v>
      </c>
      <c r="T149">
        <f t="shared" ref="T149" si="724">S149/1000</f>
        <v>-4.1994218034696702E-3</v>
      </c>
    </row>
    <row r="150" spans="1:20" x14ac:dyDescent="0.25">
      <c r="A150" s="5">
        <v>44443</v>
      </c>
      <c r="B150">
        <v>378.69</v>
      </c>
      <c r="C150">
        <v>440</v>
      </c>
      <c r="D150">
        <v>368</v>
      </c>
      <c r="E150">
        <v>403.22</v>
      </c>
      <c r="F150">
        <v>32839.93</v>
      </c>
      <c r="G150">
        <v>403.22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-2.1666666666665908E-2</v>
      </c>
      <c r="Q150">
        <f t="shared" ref="Q150" si="726">F150*P150</f>
        <v>-711.5318166666417</v>
      </c>
      <c r="R150">
        <f t="shared" ref="R150" si="727">R151+Q150</f>
        <v>-415130.63842333935</v>
      </c>
      <c r="S150">
        <f t="shared" ref="S150" si="728">R150/100000</f>
        <v>-4.1513063842333935</v>
      </c>
      <c r="T150">
        <f t="shared" ref="T150" si="729">S150/1000</f>
        <v>-4.1513063842333938E-3</v>
      </c>
    </row>
    <row r="151" spans="1:20" x14ac:dyDescent="0.25">
      <c r="A151" s="5">
        <v>44442</v>
      </c>
      <c r="B151">
        <v>373.53</v>
      </c>
      <c r="C151">
        <v>417.93</v>
      </c>
      <c r="D151">
        <v>360</v>
      </c>
      <c r="E151">
        <v>378.69</v>
      </c>
      <c r="F151">
        <v>43165.07</v>
      </c>
      <c r="G151">
        <v>378.69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-0.35473847747281217</v>
      </c>
      <c r="Q151">
        <f t="shared" ref="Q151" si="731">F151*P151</f>
        <v>-15312.31121180736</v>
      </c>
      <c r="R151">
        <f t="shared" ref="R151" si="732">R152+Q151</f>
        <v>-414419.10660667269</v>
      </c>
      <c r="S151">
        <f t="shared" ref="S151" si="733">R151/100000</f>
        <v>-4.1441910660667265</v>
      </c>
      <c r="T151">
        <f t="shared" ref="T151" si="734">S151/1000</f>
        <v>-4.1441910660667261E-3</v>
      </c>
    </row>
    <row r="152" spans="1:20" x14ac:dyDescent="0.25">
      <c r="A152" s="5">
        <v>44441</v>
      </c>
      <c r="B152">
        <v>340.06</v>
      </c>
      <c r="C152">
        <v>459</v>
      </c>
      <c r="D152">
        <v>325.5</v>
      </c>
      <c r="E152">
        <v>373.53</v>
      </c>
      <c r="F152">
        <v>142934.58504999999</v>
      </c>
      <c r="G152">
        <v>373.53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-0.2804494382022476</v>
      </c>
      <c r="Q152">
        <f t="shared" ref="Q152" si="736">F152*P152</f>
        <v>-40085.924076943877</v>
      </c>
      <c r="R152">
        <f t="shared" ref="R152" si="737">R153+Q152</f>
        <v>-399106.79539486533</v>
      </c>
      <c r="S152">
        <f t="shared" ref="S152" si="738">R152/100000</f>
        <v>-3.9910679539486531</v>
      </c>
      <c r="T152">
        <f t="shared" ref="T152" si="739">S152/1000</f>
        <v>-3.9910679539486528E-3</v>
      </c>
    </row>
    <row r="153" spans="1:20" x14ac:dyDescent="0.25">
      <c r="A153" s="5">
        <v>44440</v>
      </c>
      <c r="B153">
        <v>245.73</v>
      </c>
      <c r="C153">
        <v>397.25</v>
      </c>
      <c r="D153">
        <v>235.99</v>
      </c>
      <c r="E153">
        <v>340.56</v>
      </c>
      <c r="F153">
        <v>102008.00320000001</v>
      </c>
      <c r="G153">
        <v>340.56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0.29691181942205136</v>
      </c>
      <c r="Q153">
        <f t="shared" ref="Q153" si="741">F153*P153</f>
        <v>30287.381825722437</v>
      </c>
      <c r="R153">
        <f t="shared" ref="R153" si="742">R154+Q153</f>
        <v>-359020.87131792144</v>
      </c>
      <c r="S153">
        <f t="shared" ref="S153" si="743">R153/100000</f>
        <v>-3.5902087131792144</v>
      </c>
      <c r="T153">
        <f t="shared" ref="T153" si="744">S153/1000</f>
        <v>-3.5902087131792146E-3</v>
      </c>
    </row>
    <row r="154" spans="1:20" x14ac:dyDescent="0.25">
      <c r="A154" s="5">
        <v>44439</v>
      </c>
      <c r="B154">
        <v>263.8</v>
      </c>
      <c r="C154">
        <v>280</v>
      </c>
      <c r="D154">
        <v>233</v>
      </c>
      <c r="E154">
        <v>245.72</v>
      </c>
      <c r="F154">
        <v>30681.42</v>
      </c>
      <c r="G154">
        <v>245.72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-0.45872340425531921</v>
      </c>
      <c r="Q154">
        <f t="shared" ref="Q154" si="746">F154*P154</f>
        <v>-14074.285429787235</v>
      </c>
      <c r="R154">
        <f t="shared" ref="R154" si="747">R155+Q154</f>
        <v>-389308.2531436439</v>
      </c>
      <c r="S154">
        <f t="shared" ref="S154" si="748">R154/100000</f>
        <v>-3.893082531436439</v>
      </c>
      <c r="T154">
        <f t="shared" ref="T154" si="749">S154/1000</f>
        <v>-3.8930825314364391E-3</v>
      </c>
    </row>
    <row r="155" spans="1:20" x14ac:dyDescent="0.25">
      <c r="A155" s="5">
        <v>44438</v>
      </c>
      <c r="B155">
        <v>201.14</v>
      </c>
      <c r="C155">
        <v>309</v>
      </c>
      <c r="D155">
        <v>200</v>
      </c>
      <c r="E155">
        <v>262.77999999999997</v>
      </c>
      <c r="F155">
        <v>153137.04123999999</v>
      </c>
      <c r="G155">
        <v>262.77999999999997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0.15192660550458664</v>
      </c>
      <c r="Q155">
        <f t="shared" ref="Q155" si="751">F155*P155</f>
        <v>23265.590852609093</v>
      </c>
      <c r="R155">
        <f t="shared" ref="R155" si="752">R156+Q155</f>
        <v>-375233.96771385666</v>
      </c>
      <c r="S155">
        <f t="shared" ref="S155" si="753">R155/100000</f>
        <v>-3.7523396771385666</v>
      </c>
      <c r="T155">
        <f t="shared" ref="T155" si="754">S155/1000</f>
        <v>-3.7523396771385665E-3</v>
      </c>
    </row>
    <row r="156" spans="1:20" x14ac:dyDescent="0.25">
      <c r="A156" s="5">
        <v>44437</v>
      </c>
      <c r="B156">
        <v>195.24</v>
      </c>
      <c r="C156">
        <v>230</v>
      </c>
      <c r="D156">
        <v>186</v>
      </c>
      <c r="E156">
        <v>200.37</v>
      </c>
      <c r="F156">
        <v>21098.84</v>
      </c>
      <c r="G156">
        <v>200.37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-0.34681818181818164</v>
      </c>
      <c r="Q156">
        <f t="shared" ref="Q156" si="756">F156*P156</f>
        <v>-7317.4613272727238</v>
      </c>
      <c r="R156">
        <f t="shared" ref="R156" si="757">R157+Q156</f>
        <v>-398499.55856646574</v>
      </c>
      <c r="S156">
        <f t="shared" ref="S156" si="758">R156/100000</f>
        <v>-3.9849955856646573</v>
      </c>
      <c r="T156">
        <f t="shared" ref="T156" si="759">S156/1000</f>
        <v>-3.9849955856646573E-3</v>
      </c>
    </row>
    <row r="157" spans="1:20" x14ac:dyDescent="0.25">
      <c r="A157" s="5">
        <v>44436</v>
      </c>
      <c r="B157">
        <v>203.1</v>
      </c>
      <c r="C157">
        <v>212</v>
      </c>
      <c r="D157">
        <v>192.11</v>
      </c>
      <c r="E157">
        <v>195.24</v>
      </c>
      <c r="F157">
        <v>31876.799999999999</v>
      </c>
      <c r="G157">
        <v>195.24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-0.68526897938662668</v>
      </c>
      <c r="Q157">
        <f t="shared" ref="Q157" si="761">F157*P157</f>
        <v>-21844.18220211162</v>
      </c>
      <c r="R157">
        <f t="shared" ref="R157" si="762">R158+Q157</f>
        <v>-391182.09723919304</v>
      </c>
      <c r="S157">
        <f t="shared" ref="S157" si="763">R157/100000</f>
        <v>-3.9118209723919306</v>
      </c>
      <c r="T157">
        <f t="shared" ref="T157" si="764">S157/1000</f>
        <v>-3.9118209723919307E-3</v>
      </c>
    </row>
    <row r="158" spans="1:20" x14ac:dyDescent="0.25">
      <c r="A158" s="5">
        <v>44435</v>
      </c>
      <c r="B158">
        <v>167.64</v>
      </c>
      <c r="C158">
        <v>237</v>
      </c>
      <c r="D158">
        <v>162.88</v>
      </c>
      <c r="E158">
        <v>203.1</v>
      </c>
      <c r="F158">
        <v>63797.031320000002</v>
      </c>
      <c r="G158">
        <v>203.1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8.5267134376686357E-2</v>
      </c>
      <c r="Q158">
        <f t="shared" ref="Q158" si="766">F158*P158</f>
        <v>5439.7900423961082</v>
      </c>
      <c r="R158">
        <f t="shared" ref="R158" si="767">R159+Q158</f>
        <v>-369337.9150370814</v>
      </c>
      <c r="S158">
        <f t="shared" ref="S158" si="768">R158/100000</f>
        <v>-3.6933791503708142</v>
      </c>
      <c r="T158">
        <f t="shared" ref="T158" si="769">S158/1000</f>
        <v>-3.693379150370814E-3</v>
      </c>
    </row>
    <row r="159" spans="1:20" x14ac:dyDescent="0.25">
      <c r="A159" s="5">
        <v>44434</v>
      </c>
      <c r="B159">
        <v>186</v>
      </c>
      <c r="C159">
        <v>189.38</v>
      </c>
      <c r="D159">
        <v>160.86000000000001</v>
      </c>
      <c r="E159">
        <v>167.64</v>
      </c>
      <c r="F159">
        <v>9726.3811900000001</v>
      </c>
      <c r="G159">
        <v>167.64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-0.52454417952314325</v>
      </c>
      <c r="Q159">
        <f t="shared" ref="Q159" si="771">F159*P159</f>
        <v>-5101.9166410378839</v>
      </c>
      <c r="R159">
        <f t="shared" ref="R159" si="772">R160+Q159</f>
        <v>-374777.70507947751</v>
      </c>
      <c r="S159">
        <f t="shared" ref="S159" si="773">R159/100000</f>
        <v>-3.7477770507947752</v>
      </c>
      <c r="T159">
        <f t="shared" ref="T159" si="774">S159/1000</f>
        <v>-3.7477770507947754E-3</v>
      </c>
    </row>
    <row r="160" spans="1:20" x14ac:dyDescent="0.25">
      <c r="A160" s="5">
        <v>44433</v>
      </c>
      <c r="B160">
        <v>171.48</v>
      </c>
      <c r="C160">
        <v>192.23</v>
      </c>
      <c r="D160">
        <v>164</v>
      </c>
      <c r="E160">
        <v>186.05</v>
      </c>
      <c r="F160">
        <v>14015.487090000001</v>
      </c>
      <c r="G160">
        <v>186.05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0.56216790648246684</v>
      </c>
      <c r="Q160">
        <f t="shared" ref="Q160" si="776">F160*P160</f>
        <v>7879.0570357173419</v>
      </c>
      <c r="R160">
        <f t="shared" ref="R160" si="777">R161+Q160</f>
        <v>-369675.7884384396</v>
      </c>
      <c r="S160">
        <f t="shared" ref="S160" si="778">R160/100000</f>
        <v>-3.6967578843843962</v>
      </c>
      <c r="T160">
        <f t="shared" ref="T160" si="779">S160/1000</f>
        <v>-3.6967578843843962E-3</v>
      </c>
    </row>
    <row r="161" spans="1:20" x14ac:dyDescent="0.25">
      <c r="A161" s="5">
        <v>44432</v>
      </c>
      <c r="B161">
        <v>184.45</v>
      </c>
      <c r="C161">
        <v>187.44</v>
      </c>
      <c r="D161">
        <v>170.39</v>
      </c>
      <c r="E161">
        <v>171.48</v>
      </c>
      <c r="F161">
        <v>12740.54407</v>
      </c>
      <c r="G161">
        <v>171.48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-0.87214076246334282</v>
      </c>
      <c r="Q161">
        <f t="shared" ref="Q161" si="781">F161*P161</f>
        <v>-11111.54781940762</v>
      </c>
      <c r="R161">
        <f t="shared" ref="R161" si="782">R162+Q161</f>
        <v>-377554.84547415696</v>
      </c>
      <c r="S161">
        <f t="shared" ref="S161" si="783">R161/100000</f>
        <v>-3.7755484547415694</v>
      </c>
      <c r="T161">
        <f t="shared" ref="T161" si="784">S161/1000</f>
        <v>-3.7755484547415696E-3</v>
      </c>
    </row>
    <row r="162" spans="1:20" x14ac:dyDescent="0.25">
      <c r="A162" s="5">
        <v>44431</v>
      </c>
      <c r="B162">
        <v>191.91</v>
      </c>
      <c r="C162">
        <v>197.07</v>
      </c>
      <c r="D162">
        <v>180.51</v>
      </c>
      <c r="E162">
        <v>184.46</v>
      </c>
      <c r="F162">
        <v>15687.449769999999</v>
      </c>
      <c r="G162">
        <v>184.46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-0.52294685990337963</v>
      </c>
      <c r="Q162">
        <f t="shared" ref="Q162" si="786">F162*P162</f>
        <v>-8203.7025971134954</v>
      </c>
      <c r="R162">
        <f t="shared" ref="R162" si="787">R163+Q162</f>
        <v>-366443.29765474936</v>
      </c>
      <c r="S162">
        <f t="shared" ref="S162" si="788">R162/100000</f>
        <v>-3.6644329765474937</v>
      </c>
      <c r="T162">
        <f t="shared" ref="T162" si="789">S162/1000</f>
        <v>-3.6644329765474935E-3</v>
      </c>
    </row>
    <row r="163" spans="1:20" x14ac:dyDescent="0.25">
      <c r="A163" s="5">
        <v>44430</v>
      </c>
      <c r="B163">
        <v>194.01</v>
      </c>
      <c r="C163">
        <v>202.5</v>
      </c>
      <c r="D163">
        <v>186.06</v>
      </c>
      <c r="E163">
        <v>199.01</v>
      </c>
      <c r="F163">
        <v>15767.329089999999</v>
      </c>
      <c r="G163">
        <v>199.01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0.57542579075425671</v>
      </c>
      <c r="Q163">
        <f t="shared" ref="Q163" si="791">F163*P163</f>
        <v>9072.9278096958442</v>
      </c>
      <c r="R163">
        <f t="shared" ref="R163" si="792">R164+Q163</f>
        <v>-358239.59505763586</v>
      </c>
      <c r="S163">
        <f t="shared" ref="S163" si="793">R163/100000</f>
        <v>-3.5823959505763585</v>
      </c>
      <c r="T163">
        <f t="shared" ref="T163" si="794">S163/1000</f>
        <v>-3.5823959505763584E-3</v>
      </c>
    </row>
    <row r="164" spans="1:20" x14ac:dyDescent="0.25">
      <c r="A164" s="5">
        <v>44429</v>
      </c>
      <c r="B164">
        <v>152.5</v>
      </c>
      <c r="C164">
        <v>233</v>
      </c>
      <c r="D164">
        <v>150.07</v>
      </c>
      <c r="E164">
        <v>194.74</v>
      </c>
      <c r="F164">
        <v>196865.84985</v>
      </c>
      <c r="G164">
        <v>194.74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7.729410346075033E-2</v>
      </c>
      <c r="Q164">
        <f t="shared" ref="Q164" si="796">F164*P164</f>
        <v>15216.569366194439</v>
      </c>
      <c r="R164">
        <f t="shared" ref="R164" si="797">R165+Q164</f>
        <v>-367312.52286733169</v>
      </c>
      <c r="S164">
        <f t="shared" ref="S164" si="798">R164/100000</f>
        <v>-3.6731252286733169</v>
      </c>
      <c r="T164">
        <f t="shared" ref="T164" si="799">S164/1000</f>
        <v>-3.673125228673317E-3</v>
      </c>
    </row>
    <row r="165" spans="1:20" x14ac:dyDescent="0.25">
      <c r="A165" s="5">
        <v>44428</v>
      </c>
      <c r="B165">
        <v>140.16999999999999</v>
      </c>
      <c r="C165">
        <v>159.80000000000001</v>
      </c>
      <c r="D165">
        <v>139.88</v>
      </c>
      <c r="E165">
        <v>152.09</v>
      </c>
      <c r="F165">
        <v>18608.787069999998</v>
      </c>
      <c r="G165">
        <v>152.09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0.22590361445783114</v>
      </c>
      <c r="Q165">
        <f t="shared" ref="Q165" si="801">F165*P165</f>
        <v>4203.7922597891529</v>
      </c>
      <c r="R165">
        <f t="shared" ref="R165" si="802">R166+Q165</f>
        <v>-382529.09223352611</v>
      </c>
      <c r="S165">
        <f t="shared" ref="S165" si="803">R165/100000</f>
        <v>-3.8252909223352609</v>
      </c>
      <c r="T165">
        <f t="shared" ref="T165" si="804">S165/1000</f>
        <v>-3.825290922335261E-3</v>
      </c>
    </row>
    <row r="166" spans="1:20" x14ac:dyDescent="0.25">
      <c r="A166" s="5">
        <v>44427</v>
      </c>
      <c r="B166">
        <v>138.66999999999999</v>
      </c>
      <c r="C166">
        <v>144.55000000000001</v>
      </c>
      <c r="D166">
        <v>132.08000000000001</v>
      </c>
      <c r="E166">
        <v>139.61000000000001</v>
      </c>
      <c r="F166">
        <v>11779.26748</v>
      </c>
      <c r="G166">
        <v>139.61000000000001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0.20769847634322403</v>
      </c>
      <c r="Q166">
        <f t="shared" ref="Q166" si="806">F166*P166</f>
        <v>2446.5359080352882</v>
      </c>
      <c r="R166">
        <f t="shared" ref="R166" si="807">R167+Q166</f>
        <v>-386732.88449331524</v>
      </c>
      <c r="S166">
        <f t="shared" ref="S166" si="808">R166/100000</f>
        <v>-3.8673288449331524</v>
      </c>
      <c r="T166">
        <f t="shared" ref="T166" si="809">S166/1000</f>
        <v>-3.8673288449331523E-3</v>
      </c>
    </row>
    <row r="167" spans="1:20" x14ac:dyDescent="0.25">
      <c r="A167" s="5">
        <v>44426</v>
      </c>
      <c r="B167">
        <v>135.71</v>
      </c>
      <c r="C167">
        <v>149</v>
      </c>
      <c r="D167">
        <v>132</v>
      </c>
      <c r="E167">
        <v>139.07</v>
      </c>
      <c r="F167">
        <v>14044.17338</v>
      </c>
      <c r="G167">
        <v>139.07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-0.16823529411764787</v>
      </c>
      <c r="Q167">
        <f t="shared" ref="Q167" si="811">F167*P167</f>
        <v>-2362.7256392235408</v>
      </c>
      <c r="R167">
        <f t="shared" ref="R167" si="812">R168+Q167</f>
        <v>-389179.42040135054</v>
      </c>
      <c r="S167">
        <f t="shared" ref="S167" si="813">R167/100000</f>
        <v>-3.8917942040135052</v>
      </c>
      <c r="T167">
        <f t="shared" ref="T167" si="814">S167/1000</f>
        <v>-3.8917942040135054E-3</v>
      </c>
    </row>
    <row r="168" spans="1:20" x14ac:dyDescent="0.25">
      <c r="A168" s="5">
        <v>44425</v>
      </c>
      <c r="B168">
        <v>141.38</v>
      </c>
      <c r="C168">
        <v>148.93</v>
      </c>
      <c r="D168">
        <v>134</v>
      </c>
      <c r="E168">
        <v>135.69999999999999</v>
      </c>
      <c r="F168">
        <v>8139.4002799999998</v>
      </c>
      <c r="G168">
        <v>135.69999999999999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-0.77227059611520588</v>
      </c>
      <c r="Q168">
        <f t="shared" ref="Q168" si="816">F168*P168</f>
        <v>-6285.8195062558734</v>
      </c>
      <c r="R168">
        <f t="shared" ref="R168" si="817">R169+Q168</f>
        <v>-386816.69476212701</v>
      </c>
      <c r="S168">
        <f t="shared" ref="S168" si="818">R168/100000</f>
        <v>-3.8681669476212699</v>
      </c>
      <c r="T168">
        <f t="shared" ref="T168" si="819">S168/1000</f>
        <v>-3.8681669476212698E-3</v>
      </c>
    </row>
    <row r="169" spans="1:20" x14ac:dyDescent="0.25">
      <c r="A169" s="5">
        <v>44424</v>
      </c>
      <c r="B169">
        <v>146.22999999999999</v>
      </c>
      <c r="C169">
        <v>154.01</v>
      </c>
      <c r="D169">
        <v>140.01</v>
      </c>
      <c r="E169">
        <v>141.80000000000001</v>
      </c>
      <c r="F169">
        <v>13253.382879999999</v>
      </c>
      <c r="G169">
        <v>141.80000000000001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-0.74428571428571133</v>
      </c>
      <c r="Q169">
        <f t="shared" ref="Q169" si="821">F169*P169</f>
        <v>-9864.3035435428174</v>
      </c>
      <c r="R169">
        <f t="shared" ref="R169" si="822">R170+Q169</f>
        <v>-380530.87525587116</v>
      </c>
      <c r="S169">
        <f t="shared" ref="S169" si="823">R169/100000</f>
        <v>-3.8053087525587115</v>
      </c>
      <c r="T169">
        <f t="shared" ref="T169" si="824">S169/1000</f>
        <v>-3.8053087525587114E-3</v>
      </c>
    </row>
    <row r="170" spans="1:20" x14ac:dyDescent="0.25">
      <c r="A170" s="5">
        <v>44423</v>
      </c>
      <c r="B170">
        <v>148.47</v>
      </c>
      <c r="C170">
        <v>151.02000000000001</v>
      </c>
      <c r="D170">
        <v>141.27000000000001</v>
      </c>
      <c r="E170">
        <v>145.6</v>
      </c>
      <c r="F170">
        <v>7836.9596799999999</v>
      </c>
      <c r="G170">
        <v>145.6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-0.11179487179487506</v>
      </c>
      <c r="Q170">
        <f t="shared" ref="Q170" si="826">F170*P170</f>
        <v>-876.13190268720507</v>
      </c>
      <c r="R170">
        <f t="shared" ref="R170" si="827">R171+Q170</f>
        <v>-370666.57171232835</v>
      </c>
      <c r="S170">
        <f t="shared" ref="S170" si="828">R170/100000</f>
        <v>-3.7066657171232835</v>
      </c>
      <c r="T170">
        <f t="shared" ref="T170" si="829">S170/1000</f>
        <v>-3.7066657171232835E-3</v>
      </c>
    </row>
    <row r="171" spans="1:20" x14ac:dyDescent="0.25">
      <c r="A171" s="5">
        <v>44422</v>
      </c>
      <c r="B171">
        <v>155.97999999999999</v>
      </c>
      <c r="C171">
        <v>158.41</v>
      </c>
      <c r="D171">
        <v>141.91999999999999</v>
      </c>
      <c r="E171">
        <v>148.43</v>
      </c>
      <c r="F171">
        <v>16394.385490000001</v>
      </c>
      <c r="G171">
        <v>148.43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-0.21043056397816667</v>
      </c>
      <c r="Q171">
        <f t="shared" ref="Q171" si="831">F171*P171</f>
        <v>-3449.8797847361725</v>
      </c>
      <c r="R171">
        <f t="shared" ref="R171" si="832">R172+Q171</f>
        <v>-369790.43980964116</v>
      </c>
      <c r="S171">
        <f t="shared" ref="S171" si="833">R171/100000</f>
        <v>-3.6979043980964117</v>
      </c>
      <c r="T171">
        <f t="shared" ref="T171" si="834">S171/1000</f>
        <v>-3.6979043980964119E-3</v>
      </c>
    </row>
    <row r="172" spans="1:20" x14ac:dyDescent="0.25">
      <c r="A172" s="5">
        <v>44421</v>
      </c>
      <c r="B172">
        <v>138.83000000000001</v>
      </c>
      <c r="C172">
        <v>173.99</v>
      </c>
      <c r="D172">
        <v>138.79</v>
      </c>
      <c r="E172">
        <v>155.75</v>
      </c>
      <c r="F172">
        <v>52510.757109999999</v>
      </c>
      <c r="G172">
        <v>155.75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-3.6363636363636376E-2</v>
      </c>
      <c r="Q172">
        <f t="shared" ref="Q172" si="836">F172*P172</f>
        <v>-1909.4820767272734</v>
      </c>
      <c r="R172">
        <f t="shared" ref="R172" si="837">R173+Q172</f>
        <v>-366340.56002490496</v>
      </c>
      <c r="S172">
        <f t="shared" ref="S172" si="838">R172/100000</f>
        <v>-3.6634056002490496</v>
      </c>
      <c r="T172">
        <f t="shared" ref="T172" si="839">S172/1000</f>
        <v>-3.6634056002490495E-3</v>
      </c>
    </row>
    <row r="173" spans="1:20" x14ac:dyDescent="0.25">
      <c r="A173" s="5">
        <v>44420</v>
      </c>
      <c r="B173">
        <v>135.52000000000001</v>
      </c>
      <c r="C173">
        <v>146.13999999999999</v>
      </c>
      <c r="D173">
        <v>129.56</v>
      </c>
      <c r="E173">
        <v>138.76</v>
      </c>
      <c r="F173">
        <v>31186.824560000001</v>
      </c>
      <c r="G173">
        <v>138.76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0.10977080820265349</v>
      </c>
      <c r="Q173">
        <f t="shared" ref="Q173" si="841">F173*P173</f>
        <v>3423.4029372255632</v>
      </c>
      <c r="R173">
        <f t="shared" ref="R173" si="842">R174+Q173</f>
        <v>-364431.0779481777</v>
      </c>
      <c r="S173">
        <f t="shared" ref="S173" si="843">R173/100000</f>
        <v>-3.6443107794817768</v>
      </c>
      <c r="T173">
        <f t="shared" ref="T173" si="844">S173/1000</f>
        <v>-3.6443107794817769E-3</v>
      </c>
    </row>
    <row r="174" spans="1:20" x14ac:dyDescent="0.25">
      <c r="A174" s="5">
        <v>44419</v>
      </c>
      <c r="B174">
        <v>133</v>
      </c>
      <c r="C174">
        <v>160.87</v>
      </c>
      <c r="D174">
        <v>131</v>
      </c>
      <c r="E174">
        <v>135.6</v>
      </c>
      <c r="F174">
        <v>34116.482219999998</v>
      </c>
      <c r="G174">
        <v>135.6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-0.69199866086374329</v>
      </c>
      <c r="Q174">
        <f t="shared" ref="Q174" si="846">F174*P174</f>
        <v>-23608.560009621706</v>
      </c>
      <c r="R174">
        <f t="shared" ref="R174" si="847">R175+Q174</f>
        <v>-367854.48088540329</v>
      </c>
      <c r="S174">
        <f t="shared" ref="S174" si="848">R174/100000</f>
        <v>-3.6785448088540327</v>
      </c>
      <c r="T174">
        <f t="shared" ref="T174" si="849">S174/1000</f>
        <v>-3.6785448088540325E-3</v>
      </c>
    </row>
    <row r="175" spans="1:20" x14ac:dyDescent="0.25">
      <c r="A175" s="5">
        <v>44418</v>
      </c>
      <c r="B175">
        <v>136.09</v>
      </c>
      <c r="C175">
        <v>142.96</v>
      </c>
      <c r="D175">
        <v>129.55000000000001</v>
      </c>
      <c r="E175">
        <v>133</v>
      </c>
      <c r="F175">
        <v>15070.31401</v>
      </c>
      <c r="G175">
        <v>133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-0.48545861297539306</v>
      </c>
      <c r="Q175">
        <f t="shared" ref="Q175" si="851">F175*P175</f>
        <v>-7316.013736398234</v>
      </c>
      <c r="R175">
        <f t="shared" ref="R175" si="852">R176+Q175</f>
        <v>-344245.92087578156</v>
      </c>
      <c r="S175">
        <f t="shared" ref="S175" si="853">R175/100000</f>
        <v>-3.4424592087578159</v>
      </c>
      <c r="T175">
        <f t="shared" ref="T175" si="854">S175/1000</f>
        <v>-3.4424592087578159E-3</v>
      </c>
    </row>
    <row r="176" spans="1:20" x14ac:dyDescent="0.25">
      <c r="A176" s="5">
        <v>44417</v>
      </c>
      <c r="B176">
        <v>126.56</v>
      </c>
      <c r="C176">
        <v>147</v>
      </c>
      <c r="D176">
        <v>120.37</v>
      </c>
      <c r="E176">
        <v>136.88999999999999</v>
      </c>
      <c r="F176">
        <v>28410.139169999999</v>
      </c>
      <c r="G176">
        <v>136.88999999999999</v>
      </c>
      <c r="L176" t="s">
        <v>7</v>
      </c>
      <c r="M176" t="s">
        <v>8</v>
      </c>
      <c r="N176" t="s">
        <v>7</v>
      </c>
      <c r="P176">
        <f t="shared" ref="P176" si="855">IF(C176=D176,0,((E176-D176)-(C176-E176))/(C176-D176))</f>
        <v>0.24070597070972471</v>
      </c>
      <c r="Q176">
        <f t="shared" ref="Q176" si="856">F176*P176</f>
        <v>6838.4901269132224</v>
      </c>
      <c r="R176">
        <f t="shared" ref="R176" si="857">R177+Q176</f>
        <v>-336929.90713938331</v>
      </c>
      <c r="S176">
        <f t="shared" ref="S176" si="858">R176/100000</f>
        <v>-3.3692990713938333</v>
      </c>
      <c r="T176">
        <f t="shared" ref="T176" si="859">S176/1000</f>
        <v>-3.3692990713938332E-3</v>
      </c>
    </row>
    <row r="177" spans="1:20" x14ac:dyDescent="0.25">
      <c r="A177" s="5">
        <v>44416</v>
      </c>
      <c r="B177">
        <v>144.01</v>
      </c>
      <c r="C177">
        <v>144.9</v>
      </c>
      <c r="D177">
        <v>123.61</v>
      </c>
      <c r="E177">
        <v>126.31</v>
      </c>
      <c r="F177">
        <v>27584.429510000002</v>
      </c>
      <c r="G177">
        <v>126.31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-0.74635979333020175</v>
      </c>
      <c r="Q177">
        <f t="shared" ref="Q177" si="861">F177*P177</f>
        <v>-20587.909108215121</v>
      </c>
      <c r="R177">
        <f t="shared" ref="R177" si="862">R178+Q177</f>
        <v>-343768.39726629655</v>
      </c>
      <c r="S177">
        <f t="shared" ref="S177" si="863">R177/100000</f>
        <v>-3.4376839726629655</v>
      </c>
      <c r="T177">
        <f t="shared" ref="T177" si="864">S177/1000</f>
        <v>-3.4376839726629653E-3</v>
      </c>
    </row>
    <row r="178" spans="1:20" x14ac:dyDescent="0.25">
      <c r="A178" s="5">
        <v>44415</v>
      </c>
      <c r="B178">
        <v>158.52000000000001</v>
      </c>
      <c r="C178">
        <v>165.64</v>
      </c>
      <c r="D178">
        <v>135.78</v>
      </c>
      <c r="E178">
        <v>144.49</v>
      </c>
      <c r="F178">
        <v>49813.10166</v>
      </c>
      <c r="G178">
        <v>144.49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-0.41661085063630193</v>
      </c>
      <c r="Q178">
        <f t="shared" ref="Q178" si="866">F178*P178</f>
        <v>-20752.678655405183</v>
      </c>
      <c r="R178">
        <f t="shared" ref="R178" si="867">R179+Q178</f>
        <v>-323180.48815808143</v>
      </c>
      <c r="S178">
        <f t="shared" ref="S178" si="868">R178/100000</f>
        <v>-3.2318048815808145</v>
      </c>
      <c r="T178">
        <f t="shared" ref="T178" si="869">S178/1000</f>
        <v>-3.2318048815808144E-3</v>
      </c>
    </row>
    <row r="179" spans="1:20" x14ac:dyDescent="0.25">
      <c r="A179" s="5">
        <v>44414</v>
      </c>
      <c r="B179">
        <v>142.19</v>
      </c>
      <c r="C179">
        <v>228</v>
      </c>
      <c r="D179">
        <v>127.68</v>
      </c>
      <c r="E179">
        <v>158.56</v>
      </c>
      <c r="F179">
        <v>339371.39451999997</v>
      </c>
      <c r="G179">
        <v>158.56</v>
      </c>
      <c r="L179" t="s">
        <v>7</v>
      </c>
      <c r="M179" t="s">
        <v>7</v>
      </c>
      <c r="N179" t="s">
        <v>7</v>
      </c>
      <c r="P179">
        <f t="shared" ref="P179" si="870">IF(C179=D179,0,((E179-D179)-(C179-E179))/(C179-D179))</f>
        <v>-0.38437001594896336</v>
      </c>
      <c r="Q179">
        <f t="shared" ref="Q179" si="871">F179*P179</f>
        <v>-130444.18832427432</v>
      </c>
      <c r="R179">
        <f t="shared" ref="R179" si="872">R180+Q179</f>
        <v>-302427.80950267625</v>
      </c>
      <c r="S179">
        <f t="shared" ref="S179" si="873">R179/100000</f>
        <v>-3.0242780950267623</v>
      </c>
      <c r="T179">
        <f t="shared" ref="T179" si="874">S179/1000</f>
        <v>-3.0242780950267621E-3</v>
      </c>
    </row>
    <row r="180" spans="1:20" x14ac:dyDescent="0.25">
      <c r="A180" s="5">
        <v>44413</v>
      </c>
      <c r="B180">
        <v>86.02</v>
      </c>
      <c r="C180">
        <v>240</v>
      </c>
      <c r="D180">
        <v>83.08</v>
      </c>
      <c r="E180">
        <v>141.57</v>
      </c>
      <c r="F180">
        <v>226882.57965999999</v>
      </c>
      <c r="G180">
        <v>141.57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-0.25452459852153969</v>
      </c>
      <c r="Q180">
        <f t="shared" ref="Q180" si="876">F180*P180</f>
        <v>-57747.197499492744</v>
      </c>
      <c r="R180">
        <f t="shared" ref="R180" si="877">R181+Q180</f>
        <v>-171983.62117840193</v>
      </c>
      <c r="S180">
        <f t="shared" ref="S180" si="878">R180/100000</f>
        <v>-1.7198362117840194</v>
      </c>
      <c r="T180">
        <f t="shared" ref="T180" si="879">S180/1000</f>
        <v>-1.7198362117840193E-3</v>
      </c>
    </row>
    <row r="181" spans="1:20" x14ac:dyDescent="0.25">
      <c r="A181" s="5">
        <v>44412</v>
      </c>
      <c r="B181">
        <v>85.36</v>
      </c>
      <c r="C181">
        <v>90.47</v>
      </c>
      <c r="D181">
        <v>83.95</v>
      </c>
      <c r="E181">
        <v>86.08</v>
      </c>
      <c r="F181">
        <v>3489.1399700000002</v>
      </c>
      <c r="G181">
        <v>86.08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-0.34662576687116664</v>
      </c>
      <c r="Q181">
        <f t="shared" ref="Q181" si="881">F181*P181</f>
        <v>-1209.4258178220894</v>
      </c>
      <c r="R181">
        <f t="shared" ref="R181" si="882">R182+Q181</f>
        <v>-114236.42367890917</v>
      </c>
      <c r="S181">
        <f t="shared" ref="S181" si="883">R181/100000</f>
        <v>-1.1423642367890916</v>
      </c>
      <c r="T181">
        <f t="shared" ref="T181" si="884">S181/1000</f>
        <v>-1.1423642367890917E-3</v>
      </c>
    </row>
    <row r="182" spans="1:20" x14ac:dyDescent="0.25">
      <c r="A182" s="5">
        <v>44411</v>
      </c>
      <c r="B182">
        <v>88.52</v>
      </c>
      <c r="C182">
        <v>88.52</v>
      </c>
      <c r="D182">
        <v>82.12</v>
      </c>
      <c r="E182">
        <v>85.36</v>
      </c>
      <c r="F182">
        <v>2791.88175</v>
      </c>
      <c r="G182">
        <v>85.36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1.2499999999999751E-2</v>
      </c>
      <c r="Q182">
        <f t="shared" ref="Q182" si="886">F182*P182</f>
        <v>34.898521874999304</v>
      </c>
      <c r="R182">
        <f t="shared" ref="R182" si="887">R183+Q182</f>
        <v>-113026.99786108707</v>
      </c>
      <c r="S182">
        <f t="shared" ref="S182" si="888">R182/100000</f>
        <v>-1.1302699786108708</v>
      </c>
      <c r="T182">
        <f t="shared" ref="T182" si="889">S182/1000</f>
        <v>-1.1302699786108707E-3</v>
      </c>
    </row>
    <row r="183" spans="1:20" x14ac:dyDescent="0.25">
      <c r="A183" s="5">
        <v>44410</v>
      </c>
      <c r="B183">
        <v>89.1</v>
      </c>
      <c r="C183">
        <v>91.02</v>
      </c>
      <c r="D183">
        <v>86</v>
      </c>
      <c r="E183">
        <v>88.52</v>
      </c>
      <c r="F183">
        <v>4434.0865999999996</v>
      </c>
      <c r="G183">
        <v>88.52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3.984063745019131E-3</v>
      </c>
      <c r="Q183">
        <f t="shared" ref="Q183" si="891">F183*P183</f>
        <v>17.665683665335145</v>
      </c>
      <c r="R183">
        <f t="shared" ref="R183" si="892">R184+Q183</f>
        <v>-113061.89638296208</v>
      </c>
      <c r="S183">
        <f t="shared" ref="S183" si="893">R183/100000</f>
        <v>-1.1306189638296207</v>
      </c>
      <c r="T183">
        <f t="shared" ref="T183" si="894">S183/1000</f>
        <v>-1.1306189638296206E-3</v>
      </c>
    </row>
    <row r="184" spans="1:20" x14ac:dyDescent="0.25">
      <c r="A184" s="5">
        <v>44409</v>
      </c>
      <c r="B184">
        <v>87.98</v>
      </c>
      <c r="C184">
        <v>92</v>
      </c>
      <c r="D184">
        <v>84.47</v>
      </c>
      <c r="E184">
        <v>89.1</v>
      </c>
      <c r="F184">
        <v>5878.2249499999998</v>
      </c>
      <c r="G184">
        <v>89.1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0.22974767596281401</v>
      </c>
      <c r="Q184">
        <f t="shared" ref="Q184" si="896">F184*P184</f>
        <v>1350.5085210491286</v>
      </c>
      <c r="R184">
        <f t="shared" ref="R184" si="897">R185+Q184</f>
        <v>-113079.56206662742</v>
      </c>
      <c r="S184">
        <f t="shared" ref="S184" si="898">R184/100000</f>
        <v>-1.1307956206662741</v>
      </c>
      <c r="T184">
        <f t="shared" ref="T184" si="899">S184/1000</f>
        <v>-1.1307956206662742E-3</v>
      </c>
    </row>
    <row r="185" spans="1:20" x14ac:dyDescent="0.25">
      <c r="A185" s="5">
        <v>44408</v>
      </c>
      <c r="B185">
        <v>86.44</v>
      </c>
      <c r="C185">
        <v>91</v>
      </c>
      <c r="D185">
        <v>85.44</v>
      </c>
      <c r="E185">
        <v>87.98</v>
      </c>
      <c r="F185">
        <v>6082.9179999999997</v>
      </c>
      <c r="G185">
        <v>87.98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-8.6330935251796692E-2</v>
      </c>
      <c r="Q185">
        <f t="shared" ref="Q185" si="901">F185*P185</f>
        <v>-525.14399999998864</v>
      </c>
      <c r="R185">
        <f t="shared" ref="R185" si="902">R186+Q185</f>
        <v>-114430.07058767654</v>
      </c>
      <c r="S185">
        <f t="shared" ref="S185" si="903">R185/100000</f>
        <v>-1.1443007058767654</v>
      </c>
      <c r="T185">
        <f t="shared" ref="T185" si="904">S185/1000</f>
        <v>-1.1443007058767655E-3</v>
      </c>
    </row>
    <row r="186" spans="1:20" x14ac:dyDescent="0.25">
      <c r="A186" s="5">
        <v>44407</v>
      </c>
      <c r="B186">
        <v>83.21</v>
      </c>
      <c r="C186">
        <v>90</v>
      </c>
      <c r="D186">
        <v>80.400000000000006</v>
      </c>
      <c r="E186">
        <v>87.29</v>
      </c>
      <c r="F186">
        <v>7591.0934600000001</v>
      </c>
      <c r="G186">
        <v>87.29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0.43541666666666762</v>
      </c>
      <c r="Q186">
        <f t="shared" ref="Q186" si="906">F186*P186</f>
        <v>3305.2886107083405</v>
      </c>
      <c r="R186">
        <f t="shared" ref="R186" si="907">R187+Q186</f>
        <v>-113904.92658767656</v>
      </c>
      <c r="S186">
        <f t="shared" ref="S186" si="908">R186/100000</f>
        <v>-1.1390492658767655</v>
      </c>
      <c r="T186">
        <f t="shared" ref="T186" si="909">S186/1000</f>
        <v>-1.1390492658767655E-3</v>
      </c>
    </row>
    <row r="187" spans="1:20" x14ac:dyDescent="0.25">
      <c r="A187" s="5">
        <v>44406</v>
      </c>
      <c r="B187">
        <v>82.44</v>
      </c>
      <c r="C187">
        <v>85</v>
      </c>
      <c r="D187">
        <v>80.5</v>
      </c>
      <c r="E187">
        <v>83.1</v>
      </c>
      <c r="F187">
        <v>3167.68694</v>
      </c>
      <c r="G187">
        <v>83.1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0.15555555555555303</v>
      </c>
      <c r="Q187">
        <f t="shared" ref="Q187" si="911">F187*P187</f>
        <v>492.75130177776981</v>
      </c>
      <c r="R187">
        <f t="shared" ref="R187" si="912">R188+Q187</f>
        <v>-117210.2151983849</v>
      </c>
      <c r="S187">
        <f t="shared" ref="S187" si="913">R187/100000</f>
        <v>-1.172102151983849</v>
      </c>
      <c r="T187">
        <f t="shared" ref="T187" si="914">S187/1000</f>
        <v>-1.1721021519838491E-3</v>
      </c>
    </row>
    <row r="188" spans="1:20" x14ac:dyDescent="0.25">
      <c r="A188" s="5">
        <v>44405</v>
      </c>
      <c r="B188">
        <v>81.11</v>
      </c>
      <c r="C188">
        <v>85.1</v>
      </c>
      <c r="D188">
        <v>79.489999999999995</v>
      </c>
      <c r="E188">
        <v>82.94</v>
      </c>
      <c r="F188">
        <v>3705.7943599999999</v>
      </c>
      <c r="G188">
        <v>82.94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0.22994652406417226</v>
      </c>
      <c r="Q188">
        <f t="shared" ref="Q188" si="916">F188*P188</f>
        <v>852.13453197861384</v>
      </c>
      <c r="R188">
        <f t="shared" ref="R188" si="917">R189+Q188</f>
        <v>-117702.96650016267</v>
      </c>
      <c r="S188">
        <f t="shared" ref="S188" si="918">R188/100000</f>
        <v>-1.1770296650016268</v>
      </c>
      <c r="T188">
        <f t="shared" ref="T188" si="919">S188/1000</f>
        <v>-1.1770296650016267E-3</v>
      </c>
    </row>
    <row r="189" spans="1:20" x14ac:dyDescent="0.25">
      <c r="A189" s="5">
        <v>44404</v>
      </c>
      <c r="B189">
        <v>80.28</v>
      </c>
      <c r="C189">
        <v>85.59</v>
      </c>
      <c r="D189">
        <v>78.37</v>
      </c>
      <c r="E189">
        <v>80.569999999999993</v>
      </c>
      <c r="F189">
        <v>6613.2639600000002</v>
      </c>
      <c r="G189">
        <v>80.569999999999993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-0.39058171745152659</v>
      </c>
      <c r="Q189">
        <f t="shared" ref="Q189" si="921">F189*P189</f>
        <v>-2583.019995457084</v>
      </c>
      <c r="R189">
        <f t="shared" ref="R189" si="922">R190+Q189</f>
        <v>-118555.10103214129</v>
      </c>
      <c r="S189">
        <f t="shared" ref="S189" si="923">R189/100000</f>
        <v>-1.1855510103214129</v>
      </c>
      <c r="T189">
        <f t="shared" ref="T189" si="924">S189/1000</f>
        <v>-1.185551010321413E-3</v>
      </c>
    </row>
    <row r="190" spans="1:20" x14ac:dyDescent="0.25">
      <c r="A190" s="5">
        <v>44403</v>
      </c>
      <c r="B190">
        <v>83.83</v>
      </c>
      <c r="C190">
        <v>90</v>
      </c>
      <c r="D190">
        <v>79</v>
      </c>
      <c r="E190">
        <v>80</v>
      </c>
      <c r="F190">
        <v>8497.1081599999998</v>
      </c>
      <c r="G190">
        <v>80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-0.81818181818181823</v>
      </c>
      <c r="Q190">
        <f t="shared" ref="Q190" si="926">F190*P190</f>
        <v>-6952.1794036363635</v>
      </c>
      <c r="R190">
        <f t="shared" ref="R190" si="927">R191+Q190</f>
        <v>-115972.08103668421</v>
      </c>
      <c r="S190">
        <f t="shared" ref="S190" si="928">R190/100000</f>
        <v>-1.1597208103668422</v>
      </c>
      <c r="T190">
        <f t="shared" ref="T190" si="929">S190/1000</f>
        <v>-1.1597208103668421E-3</v>
      </c>
    </row>
    <row r="191" spans="1:20" x14ac:dyDescent="0.25">
      <c r="A191" s="5">
        <v>44402</v>
      </c>
      <c r="B191">
        <v>80.010000000000005</v>
      </c>
      <c r="C191">
        <v>87</v>
      </c>
      <c r="D191">
        <v>77.02</v>
      </c>
      <c r="E191">
        <v>83.83</v>
      </c>
      <c r="F191">
        <v>7570.6514299999999</v>
      </c>
      <c r="G191">
        <v>83.83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0.36472945891783559</v>
      </c>
      <c r="Q191">
        <f t="shared" ref="Q191" si="931">F191*P191</f>
        <v>2761.239599719438</v>
      </c>
      <c r="R191">
        <f t="shared" ref="R191" si="932">R192+Q191</f>
        <v>-109019.90163304785</v>
      </c>
      <c r="S191">
        <f t="shared" ref="S191" si="933">R191/100000</f>
        <v>-1.0901990163304784</v>
      </c>
      <c r="T191">
        <f t="shared" ref="T191:T197" si="934">S191/1000</f>
        <v>-1.0901990163304784E-3</v>
      </c>
    </row>
    <row r="192" spans="1:20" x14ac:dyDescent="0.25">
      <c r="A192" s="5">
        <v>44401</v>
      </c>
      <c r="B192">
        <v>77.430000000000007</v>
      </c>
      <c r="C192">
        <v>82.76</v>
      </c>
      <c r="D192">
        <v>76.180000000000007</v>
      </c>
      <c r="E192">
        <v>79.91</v>
      </c>
      <c r="F192">
        <v>8265.0134099999996</v>
      </c>
      <c r="G192">
        <v>79.91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0.13373860182370539</v>
      </c>
      <c r="Q192">
        <f t="shared" ref="Q192" si="936">F192*P192</f>
        <v>1105.3513375075754</v>
      </c>
      <c r="R192">
        <f t="shared" ref="R192" si="937">R193+Q192</f>
        <v>-111781.14123276729</v>
      </c>
      <c r="S192">
        <f t="shared" ref="S192" si="938">R192/100000</f>
        <v>-1.1178114123276728</v>
      </c>
      <c r="T192">
        <f t="shared" si="934"/>
        <v>-1.1178114123276727E-3</v>
      </c>
    </row>
    <row r="193" spans="1:20" x14ac:dyDescent="0.25">
      <c r="A193" s="5">
        <v>44400</v>
      </c>
      <c r="B193">
        <v>71.53</v>
      </c>
      <c r="C193">
        <v>82</v>
      </c>
      <c r="D193">
        <v>71.16</v>
      </c>
      <c r="E193">
        <v>77.31</v>
      </c>
      <c r="F193">
        <v>14808.08827</v>
      </c>
      <c r="G193">
        <v>77.31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0.13468634686346934</v>
      </c>
      <c r="Q193">
        <f t="shared" ref="Q193" si="940">F193*P193</f>
        <v>1994.4473131180916</v>
      </c>
      <c r="R193">
        <f t="shared" ref="R193" si="941">R194+Q193</f>
        <v>-112886.49257027486</v>
      </c>
      <c r="S193">
        <f t="shared" ref="S193" si="942">R193/100000</f>
        <v>-1.1288649257027485</v>
      </c>
      <c r="T193">
        <f t="shared" si="934"/>
        <v>-1.1288649257027487E-3</v>
      </c>
    </row>
    <row r="194" spans="1:20" x14ac:dyDescent="0.25">
      <c r="A194" s="5">
        <v>44399</v>
      </c>
      <c r="B194">
        <v>70.430000000000007</v>
      </c>
      <c r="C194">
        <v>73.47</v>
      </c>
      <c r="D194">
        <v>69.38</v>
      </c>
      <c r="E194">
        <v>71.14</v>
      </c>
      <c r="F194">
        <v>3851.1313300000002</v>
      </c>
      <c r="G194">
        <v>71.14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-0.13936430317848233</v>
      </c>
      <c r="Q194">
        <f t="shared" ref="Q194" si="944">F194*P194</f>
        <v>-536.71023425427188</v>
      </c>
      <c r="R194">
        <f t="shared" ref="R194" si="945">R195+Q194</f>
        <v>-114880.93988339294</v>
      </c>
      <c r="S194">
        <f t="shared" ref="S194" si="946">R194/100000</f>
        <v>-1.1488093988339294</v>
      </c>
      <c r="T194">
        <f t="shared" si="934"/>
        <v>-1.1488093988339294E-3</v>
      </c>
    </row>
    <row r="195" spans="1:20" x14ac:dyDescent="0.25">
      <c r="A195" s="5">
        <v>44398</v>
      </c>
      <c r="B195">
        <v>68.010000000000005</v>
      </c>
      <c r="C195">
        <v>74</v>
      </c>
      <c r="D195">
        <v>65.78</v>
      </c>
      <c r="E195">
        <v>70.760000000000005</v>
      </c>
      <c r="F195">
        <v>6737.2069300000003</v>
      </c>
      <c r="G195">
        <v>70.760000000000005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0.21167883211678945</v>
      </c>
      <c r="Q195">
        <f t="shared" ref="Q195" si="948">F195*P195</f>
        <v>1426.1240946715404</v>
      </c>
      <c r="R195">
        <f t="shared" ref="R195" si="949">R196+Q195</f>
        <v>-114344.22964913867</v>
      </c>
      <c r="S195">
        <f t="shared" ref="S195" si="950">R195/100000</f>
        <v>-1.1434422964913866</v>
      </c>
      <c r="T195">
        <f t="shared" si="934"/>
        <v>-1.1434422964913867E-3</v>
      </c>
    </row>
    <row r="196" spans="1:20" x14ac:dyDescent="0.25">
      <c r="A196" s="5">
        <v>44397</v>
      </c>
      <c r="B196">
        <v>68.97</v>
      </c>
      <c r="C196">
        <v>70.989999999999995</v>
      </c>
      <c r="D196">
        <v>64.150000000000006</v>
      </c>
      <c r="E196">
        <v>68.010000000000005</v>
      </c>
      <c r="F196">
        <v>3646.3847500000002</v>
      </c>
      <c r="G196">
        <v>68.010000000000005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0.12865497076023552</v>
      </c>
      <c r="Q196">
        <f t="shared" ref="Q196" si="952">F196*P196</f>
        <v>469.12552339181872</v>
      </c>
      <c r="R196">
        <f t="shared" ref="R196" si="953">R197+Q196</f>
        <v>-115770.35374381021</v>
      </c>
      <c r="S196">
        <f t="shared" ref="S196" si="954">R196/100000</f>
        <v>-1.1577035374381022</v>
      </c>
      <c r="T196">
        <f t="shared" si="934"/>
        <v>-1.1577035374381022E-3</v>
      </c>
    </row>
    <row r="197" spans="1:20" x14ac:dyDescent="0.25">
      <c r="A197" s="5">
        <v>44396</v>
      </c>
      <c r="B197">
        <v>75.84</v>
      </c>
      <c r="C197">
        <v>78.989999999999995</v>
      </c>
      <c r="D197">
        <v>68.900000000000006</v>
      </c>
      <c r="E197">
        <v>69</v>
      </c>
      <c r="F197">
        <v>7285.6624199999997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-0.98017839444995158</v>
      </c>
      <c r="Q197">
        <f t="shared" ref="Q197" si="956">F197*P197</f>
        <v>-7141.2488933399482</v>
      </c>
      <c r="R197">
        <f t="shared" ref="R197" si="957">R198+Q197</f>
        <v>-116239.47926720203</v>
      </c>
      <c r="S197">
        <f t="shared" ref="S197" si="958">R197/100000</f>
        <v>-1.1623947926720202</v>
      </c>
      <c r="T197">
        <f t="shared" si="934"/>
        <v>-1.1623947926720202E-3</v>
      </c>
    </row>
    <row r="198" spans="1:20" x14ac:dyDescent="0.25">
      <c r="A198" s="5">
        <v>44395</v>
      </c>
      <c r="B198">
        <v>70.099999999999994</v>
      </c>
      <c r="C198">
        <v>100.14</v>
      </c>
      <c r="D198">
        <v>70.099999999999994</v>
      </c>
      <c r="E198">
        <v>75.92</v>
      </c>
      <c r="F198">
        <v>38956.037909999999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-0.6125166444740342</v>
      </c>
      <c r="Q198">
        <f t="shared" ref="Q198:Q261" si="960">F198*P198</f>
        <v>-23861.221622636469</v>
      </c>
      <c r="R198">
        <f t="shared" ref="R198:R261" si="961">R199+Q198</f>
        <v>-109098.23037386208</v>
      </c>
      <c r="S198">
        <f t="shared" ref="S198:S261" si="962">R198/100000</f>
        <v>-1.0909823037386208</v>
      </c>
      <c r="T198">
        <f t="shared" ref="T198:T261" si="963">S198/1000</f>
        <v>-1.0909823037386207E-3</v>
      </c>
    </row>
    <row r="199" spans="1:20" x14ac:dyDescent="0.25">
      <c r="A199" s="5">
        <v>44394</v>
      </c>
      <c r="B199">
        <v>70.41</v>
      </c>
      <c r="C199">
        <v>73.7</v>
      </c>
      <c r="D199">
        <v>67.55</v>
      </c>
      <c r="E199">
        <v>70.77</v>
      </c>
      <c r="F199">
        <v>2536.2647000000002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4.7154471544714111E-2</v>
      </c>
      <c r="Q199">
        <f t="shared" si="960"/>
        <v>119.59622162601288</v>
      </c>
      <c r="R199">
        <f t="shared" si="961"/>
        <v>-85237.008751225614</v>
      </c>
      <c r="S199">
        <f t="shared" si="962"/>
        <v>-0.85237008751225618</v>
      </c>
      <c r="T199">
        <f t="shared" si="963"/>
        <v>-8.523700875122562E-4</v>
      </c>
    </row>
    <row r="200" spans="1:20" x14ac:dyDescent="0.25">
      <c r="A200" s="5">
        <v>44393</v>
      </c>
      <c r="B200">
        <v>73.45</v>
      </c>
      <c r="C200">
        <v>74.86</v>
      </c>
      <c r="D200">
        <v>67.02</v>
      </c>
      <c r="E200">
        <v>69.989999999999995</v>
      </c>
      <c r="F200">
        <v>5003.7356300000001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-0.24234693877551083</v>
      </c>
      <c r="Q200">
        <f t="shared" si="960"/>
        <v>-1212.6400123724522</v>
      </c>
      <c r="R200">
        <f t="shared" si="961"/>
        <v>-85356.604972851623</v>
      </c>
      <c r="S200">
        <f t="shared" si="962"/>
        <v>-0.85356604972851624</v>
      </c>
      <c r="T200">
        <f t="shared" si="963"/>
        <v>-8.5356604972851627E-4</v>
      </c>
    </row>
    <row r="201" spans="1:20" x14ac:dyDescent="0.25">
      <c r="A201" s="5">
        <v>44392</v>
      </c>
      <c r="B201">
        <v>78.489999999999995</v>
      </c>
      <c r="C201">
        <v>80.709999999999994</v>
      </c>
      <c r="D201">
        <v>72</v>
      </c>
      <c r="E201">
        <v>73.8</v>
      </c>
      <c r="F201">
        <v>5621.7421800000002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-0.5866819747416766</v>
      </c>
      <c r="Q201">
        <f t="shared" si="960"/>
        <v>-3298.174803650978</v>
      </c>
      <c r="R201">
        <f t="shared" si="961"/>
        <v>-84143.964960479178</v>
      </c>
      <c r="S201">
        <f t="shared" si="962"/>
        <v>-0.84143964960479178</v>
      </c>
      <c r="T201">
        <f t="shared" si="963"/>
        <v>-8.4143964960479176E-4</v>
      </c>
    </row>
    <row r="202" spans="1:20" x14ac:dyDescent="0.25">
      <c r="A202" s="5">
        <v>44391</v>
      </c>
      <c r="B202">
        <v>78.069999999999993</v>
      </c>
      <c r="C202">
        <v>80.099999999999994</v>
      </c>
      <c r="D202">
        <v>75</v>
      </c>
      <c r="E202">
        <v>78.209999999999994</v>
      </c>
      <c r="F202">
        <v>2223.4842800000001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0.25882352941176368</v>
      </c>
      <c r="Q202">
        <f t="shared" si="960"/>
        <v>575.49004894117422</v>
      </c>
      <c r="R202">
        <f t="shared" si="961"/>
        <v>-80845.790156828196</v>
      </c>
      <c r="S202">
        <f t="shared" si="962"/>
        <v>-0.80845790156828201</v>
      </c>
      <c r="T202">
        <f t="shared" si="963"/>
        <v>-8.08457901568282E-4</v>
      </c>
    </row>
    <row r="203" spans="1:20" x14ac:dyDescent="0.25">
      <c r="A203" s="5">
        <v>44390</v>
      </c>
      <c r="B203">
        <v>79.34</v>
      </c>
      <c r="C203">
        <v>82</v>
      </c>
      <c r="D203">
        <v>77.040000000000006</v>
      </c>
      <c r="E203">
        <v>78.5</v>
      </c>
      <c r="F203">
        <v>2554.0988200000002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-0.41129032258064696</v>
      </c>
      <c r="Q203">
        <f t="shared" si="960"/>
        <v>-1050.4761275806497</v>
      </c>
      <c r="R203">
        <f t="shared" si="961"/>
        <v>-81421.280205769377</v>
      </c>
      <c r="S203">
        <f t="shared" si="962"/>
        <v>-0.81421280205769375</v>
      </c>
      <c r="T203">
        <f t="shared" si="963"/>
        <v>-8.1421280205769373E-4</v>
      </c>
    </row>
    <row r="204" spans="1:20" x14ac:dyDescent="0.25">
      <c r="A204" s="5">
        <v>44389</v>
      </c>
      <c r="B204">
        <v>84.38</v>
      </c>
      <c r="C204">
        <v>85.77</v>
      </c>
      <c r="D204">
        <v>79.33</v>
      </c>
      <c r="E204">
        <v>79.34</v>
      </c>
      <c r="F204">
        <v>3185.1097300000001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-0.99689440993788658</v>
      </c>
      <c r="Q204">
        <f t="shared" si="960"/>
        <v>-3175.2180848757712</v>
      </c>
      <c r="R204">
        <f t="shared" si="961"/>
        <v>-80370.804078188725</v>
      </c>
      <c r="S204">
        <f t="shared" si="962"/>
        <v>-0.80370804078188729</v>
      </c>
      <c r="T204">
        <f t="shared" si="963"/>
        <v>-8.0370804078188729E-4</v>
      </c>
    </row>
    <row r="205" spans="1:20" x14ac:dyDescent="0.25">
      <c r="A205" s="5">
        <v>44388</v>
      </c>
      <c r="B205">
        <v>84.5</v>
      </c>
      <c r="C205">
        <v>86.66</v>
      </c>
      <c r="D205">
        <v>82</v>
      </c>
      <c r="E205">
        <v>84.37</v>
      </c>
      <c r="F205">
        <v>2067.6597400000001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1.7167381974251623E-2</v>
      </c>
      <c r="Q205">
        <f t="shared" si="960"/>
        <v>35.496304549361795</v>
      </c>
      <c r="R205">
        <f t="shared" si="961"/>
        <v>-77195.585993312954</v>
      </c>
      <c r="S205">
        <f t="shared" si="962"/>
        <v>-0.77195585993312954</v>
      </c>
      <c r="T205">
        <f t="shared" si="963"/>
        <v>-7.7195585993312954E-4</v>
      </c>
    </row>
    <row r="206" spans="1:20" x14ac:dyDescent="0.25">
      <c r="A206" s="5">
        <v>44387</v>
      </c>
      <c r="B206">
        <v>85.1</v>
      </c>
      <c r="C206">
        <v>85.9</v>
      </c>
      <c r="D206">
        <v>80.3</v>
      </c>
      <c r="E206">
        <v>83.62</v>
      </c>
      <c r="F206">
        <v>4238.7893000000004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0.18571428571428655</v>
      </c>
      <c r="Q206">
        <f t="shared" si="960"/>
        <v>787.20372714286077</v>
      </c>
      <c r="R206">
        <f t="shared" si="961"/>
        <v>-77231.082297862318</v>
      </c>
      <c r="S206">
        <f t="shared" si="962"/>
        <v>-0.77231082297862319</v>
      </c>
      <c r="T206">
        <f t="shared" si="963"/>
        <v>-7.7231082297862319E-4</v>
      </c>
    </row>
    <row r="207" spans="1:20" x14ac:dyDescent="0.25">
      <c r="A207" s="5">
        <v>44386</v>
      </c>
      <c r="B207">
        <v>82.14</v>
      </c>
      <c r="C207">
        <v>88</v>
      </c>
      <c r="D207">
        <v>81.099999999999994</v>
      </c>
      <c r="E207">
        <v>85.14</v>
      </c>
      <c r="F207">
        <v>2508.3710500000002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0.17101449275362404</v>
      </c>
      <c r="Q207">
        <f t="shared" si="960"/>
        <v>428.96780275362534</v>
      </c>
      <c r="R207">
        <f t="shared" si="961"/>
        <v>-78018.286025005174</v>
      </c>
      <c r="S207">
        <f t="shared" si="962"/>
        <v>-0.78018286025005179</v>
      </c>
      <c r="T207">
        <f t="shared" si="963"/>
        <v>-7.8018286025005178E-4</v>
      </c>
    </row>
    <row r="208" spans="1:20" x14ac:dyDescent="0.25">
      <c r="A208" s="5">
        <v>44385</v>
      </c>
      <c r="B208">
        <v>91.25</v>
      </c>
      <c r="C208">
        <v>91.3</v>
      </c>
      <c r="D208">
        <v>82.1</v>
      </c>
      <c r="E208">
        <v>82.14</v>
      </c>
      <c r="F208">
        <v>3078.4253399999998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-0.99130434782608556</v>
      </c>
      <c r="Q208">
        <f t="shared" si="960"/>
        <v>-3051.6564239999957</v>
      </c>
      <c r="R208">
        <f t="shared" si="961"/>
        <v>-78447.253827758803</v>
      </c>
      <c r="S208">
        <f t="shared" si="962"/>
        <v>-0.78447253827758801</v>
      </c>
      <c r="T208">
        <f t="shared" si="963"/>
        <v>-7.8447253827758801E-4</v>
      </c>
    </row>
    <row r="209" spans="1:20" x14ac:dyDescent="0.25">
      <c r="A209" s="5">
        <v>44384</v>
      </c>
      <c r="B209">
        <v>94.28</v>
      </c>
      <c r="C209">
        <v>97.48</v>
      </c>
      <c r="D209">
        <v>90.59</v>
      </c>
      <c r="E209">
        <v>91.85</v>
      </c>
      <c r="F209">
        <v>4105.7474599999996</v>
      </c>
      <c r="G209">
        <v>0</v>
      </c>
      <c r="L209" t="s">
        <v>7</v>
      </c>
      <c r="M209" t="s">
        <v>8</v>
      </c>
      <c r="N209" t="s">
        <v>7</v>
      </c>
      <c r="P209">
        <f t="shared" si="959"/>
        <v>-0.63425253991291997</v>
      </c>
      <c r="Q209">
        <f t="shared" si="960"/>
        <v>-2604.0807547460195</v>
      </c>
      <c r="R209">
        <f t="shared" si="961"/>
        <v>-75395.597403758802</v>
      </c>
      <c r="S209">
        <f t="shared" si="962"/>
        <v>-0.75395597403758807</v>
      </c>
      <c r="T209">
        <f t="shared" si="963"/>
        <v>-7.5395597403758805E-4</v>
      </c>
    </row>
    <row r="210" spans="1:20" x14ac:dyDescent="0.25">
      <c r="A210" s="5">
        <v>44383</v>
      </c>
      <c r="B210">
        <v>86.51</v>
      </c>
      <c r="C210">
        <v>98.56</v>
      </c>
      <c r="D210">
        <v>86.05</v>
      </c>
      <c r="E210">
        <v>94.25</v>
      </c>
      <c r="F210">
        <v>6882.9217600000002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0.3109512390087929</v>
      </c>
      <c r="Q210">
        <f t="shared" si="960"/>
        <v>2140.2530492725814</v>
      </c>
      <c r="R210">
        <f t="shared" si="961"/>
        <v>-72791.516649012789</v>
      </c>
      <c r="S210">
        <f t="shared" si="962"/>
        <v>-0.72791516649012789</v>
      </c>
      <c r="T210">
        <f t="shared" si="963"/>
        <v>-7.2791516649012788E-4</v>
      </c>
    </row>
    <row r="211" spans="1:20" x14ac:dyDescent="0.25">
      <c r="A211" s="5">
        <v>44382</v>
      </c>
      <c r="B211">
        <v>91.35</v>
      </c>
      <c r="C211">
        <v>92.97</v>
      </c>
      <c r="D211">
        <v>82.99</v>
      </c>
      <c r="E211">
        <v>86.6</v>
      </c>
      <c r="F211">
        <v>4964.0733600000003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-0.27655310621242524</v>
      </c>
      <c r="Q211">
        <f t="shared" si="960"/>
        <v>-1372.8299071743506</v>
      </c>
      <c r="R211">
        <f t="shared" si="961"/>
        <v>-74931.769698285367</v>
      </c>
      <c r="S211">
        <f t="shared" si="962"/>
        <v>-0.74931769698285366</v>
      </c>
      <c r="T211">
        <f t="shared" si="963"/>
        <v>-7.493176969828537E-4</v>
      </c>
    </row>
    <row r="212" spans="1:20" x14ac:dyDescent="0.25">
      <c r="A212" s="5">
        <v>44381</v>
      </c>
      <c r="B212">
        <v>84.78</v>
      </c>
      <c r="C212">
        <v>95</v>
      </c>
      <c r="D212">
        <v>82.61</v>
      </c>
      <c r="E212">
        <v>91.35</v>
      </c>
      <c r="F212">
        <v>4428.1517400000002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0.41081517352703706</v>
      </c>
      <c r="Q212">
        <f t="shared" si="960"/>
        <v>1819.1519254721511</v>
      </c>
      <c r="R212">
        <f t="shared" si="961"/>
        <v>-73558.939791111014</v>
      </c>
      <c r="S212">
        <f t="shared" si="962"/>
        <v>-0.73558939791111011</v>
      </c>
      <c r="T212">
        <f t="shared" si="963"/>
        <v>-7.3558939791111013E-4</v>
      </c>
    </row>
    <row r="213" spans="1:20" x14ac:dyDescent="0.25">
      <c r="A213" s="5">
        <v>44380</v>
      </c>
      <c r="B213">
        <v>84.96</v>
      </c>
      <c r="C213">
        <v>87.5</v>
      </c>
      <c r="D213">
        <v>83.25</v>
      </c>
      <c r="E213">
        <v>84.77</v>
      </c>
      <c r="F213">
        <v>1593.28153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-0.28470588235294303</v>
      </c>
      <c r="Q213">
        <f t="shared" si="960"/>
        <v>-453.61662383529705</v>
      </c>
      <c r="R213">
        <f t="shared" si="961"/>
        <v>-75378.091716583163</v>
      </c>
      <c r="S213">
        <f t="shared" si="962"/>
        <v>-0.75378091716583162</v>
      </c>
      <c r="T213">
        <f t="shared" si="963"/>
        <v>-7.5378091716583157E-4</v>
      </c>
    </row>
    <row r="214" spans="1:20" x14ac:dyDescent="0.25">
      <c r="A214" s="5">
        <v>44379</v>
      </c>
      <c r="B214">
        <v>86.82</v>
      </c>
      <c r="C214">
        <v>88.5</v>
      </c>
      <c r="D214">
        <v>80.33</v>
      </c>
      <c r="E214">
        <v>84.5</v>
      </c>
      <c r="F214">
        <v>2874.2082399999999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2.0807833537331906E-2</v>
      </c>
      <c r="Q214">
        <f t="shared" si="960"/>
        <v>59.806046609547707</v>
      </c>
      <c r="R214">
        <f t="shared" si="961"/>
        <v>-74924.47509274786</v>
      </c>
      <c r="S214">
        <f t="shared" si="962"/>
        <v>-0.74924475092747855</v>
      </c>
      <c r="T214">
        <f t="shared" si="963"/>
        <v>-7.4924475092747855E-4</v>
      </c>
    </row>
    <row r="215" spans="1:20" x14ac:dyDescent="0.25">
      <c r="A215" s="5">
        <v>44378</v>
      </c>
      <c r="B215">
        <v>92.62</v>
      </c>
      <c r="C215">
        <v>92.73</v>
      </c>
      <c r="D215">
        <v>83.87</v>
      </c>
      <c r="E215">
        <v>87.24</v>
      </c>
      <c r="F215">
        <v>2233.8997199999999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-0.23927765237020529</v>
      </c>
      <c r="Q215">
        <f t="shared" si="960"/>
        <v>-534.52228063205894</v>
      </c>
      <c r="R215">
        <f t="shared" si="961"/>
        <v>-74984.281139357408</v>
      </c>
      <c r="S215">
        <f t="shared" si="962"/>
        <v>-0.74984281139357412</v>
      </c>
      <c r="T215">
        <f t="shared" si="963"/>
        <v>-7.498428113935741E-4</v>
      </c>
    </row>
    <row r="216" spans="1:20" x14ac:dyDescent="0.25">
      <c r="A216" s="5">
        <v>44377</v>
      </c>
      <c r="B216">
        <v>92.52</v>
      </c>
      <c r="C216">
        <v>99</v>
      </c>
      <c r="D216">
        <v>85.46</v>
      </c>
      <c r="E216">
        <v>93</v>
      </c>
      <c r="F216">
        <v>6276.1464299999998</v>
      </c>
      <c r="G216">
        <v>0</v>
      </c>
      <c r="L216" t="s">
        <v>8</v>
      </c>
      <c r="M216" t="s">
        <v>8</v>
      </c>
      <c r="N216" t="s">
        <v>7</v>
      </c>
      <c r="P216">
        <f t="shared" si="959"/>
        <v>0.113737075332349</v>
      </c>
      <c r="Q216">
        <f t="shared" si="960"/>
        <v>713.83053930576318</v>
      </c>
      <c r="R216">
        <f t="shared" si="961"/>
        <v>-74449.758858725356</v>
      </c>
      <c r="S216">
        <f t="shared" si="962"/>
        <v>-0.74449758858725357</v>
      </c>
      <c r="T216">
        <f t="shared" si="963"/>
        <v>-7.4449758858725359E-4</v>
      </c>
    </row>
    <row r="217" spans="1:20" x14ac:dyDescent="0.25">
      <c r="A217" s="5">
        <v>44376</v>
      </c>
      <c r="B217">
        <v>87.32</v>
      </c>
      <c r="C217">
        <v>96.45</v>
      </c>
      <c r="D217">
        <v>87.32</v>
      </c>
      <c r="E217">
        <v>91.34</v>
      </c>
      <c r="F217">
        <v>5149.9625400000004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-0.1193866374589253</v>
      </c>
      <c r="Q217">
        <f t="shared" si="960"/>
        <v>-614.83671069002617</v>
      </c>
      <c r="R217">
        <f t="shared" si="961"/>
        <v>-75163.589398031123</v>
      </c>
      <c r="S217">
        <f t="shared" si="962"/>
        <v>-0.75163589398031128</v>
      </c>
      <c r="T217">
        <f t="shared" si="963"/>
        <v>-7.5163589398031128E-4</v>
      </c>
    </row>
    <row r="218" spans="1:20" x14ac:dyDescent="0.25">
      <c r="A218" s="5">
        <v>44375</v>
      </c>
      <c r="B218">
        <v>85.6</v>
      </c>
      <c r="C218">
        <v>93</v>
      </c>
      <c r="D218">
        <v>83.47</v>
      </c>
      <c r="E218">
        <v>87.32</v>
      </c>
      <c r="F218">
        <v>2932.6279800000002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-0.19202518363064136</v>
      </c>
      <c r="Q218">
        <f t="shared" si="960"/>
        <v>-563.13842637985692</v>
      </c>
      <c r="R218">
        <f t="shared" si="961"/>
        <v>-74548.752687341097</v>
      </c>
      <c r="S218">
        <f t="shared" si="962"/>
        <v>-0.74548752687341102</v>
      </c>
      <c r="T218">
        <f t="shared" si="963"/>
        <v>-7.4548752687341097E-4</v>
      </c>
    </row>
    <row r="219" spans="1:20" x14ac:dyDescent="0.25">
      <c r="A219" s="5">
        <v>44374</v>
      </c>
      <c r="B219">
        <v>79.5</v>
      </c>
      <c r="C219">
        <v>85.68</v>
      </c>
      <c r="D219">
        <v>78.63</v>
      </c>
      <c r="E219">
        <v>85.2</v>
      </c>
      <c r="F219">
        <v>2289.5361699999999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0.86382978723404169</v>
      </c>
      <c r="Q219">
        <f t="shared" si="960"/>
        <v>1977.7695425957427</v>
      </c>
      <c r="R219">
        <f t="shared" si="961"/>
        <v>-73985.614260961243</v>
      </c>
      <c r="S219">
        <f t="shared" si="962"/>
        <v>-0.73985614260961241</v>
      </c>
      <c r="T219">
        <f t="shared" si="963"/>
        <v>-7.3985614260961238E-4</v>
      </c>
    </row>
    <row r="220" spans="1:20" x14ac:dyDescent="0.25">
      <c r="A220" s="5">
        <v>44373</v>
      </c>
      <c r="B220">
        <v>81.34</v>
      </c>
      <c r="C220">
        <v>85</v>
      </c>
      <c r="D220">
        <v>75.3</v>
      </c>
      <c r="E220">
        <v>79.3</v>
      </c>
      <c r="F220">
        <v>3303.1296699999998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-0.17525773195876312</v>
      </c>
      <c r="Q220">
        <f t="shared" si="960"/>
        <v>-578.89901432989768</v>
      </c>
      <c r="R220">
        <f t="shared" si="961"/>
        <v>-75963.383803556993</v>
      </c>
      <c r="S220">
        <f t="shared" si="962"/>
        <v>-0.75963383803556994</v>
      </c>
      <c r="T220">
        <f t="shared" si="963"/>
        <v>-7.5963383803556998E-4</v>
      </c>
    </row>
    <row r="221" spans="1:20" x14ac:dyDescent="0.25">
      <c r="A221" s="5">
        <v>44372</v>
      </c>
      <c r="B221">
        <v>89.4</v>
      </c>
      <c r="C221">
        <v>93.61</v>
      </c>
      <c r="D221">
        <v>80.12</v>
      </c>
      <c r="E221">
        <v>82.08</v>
      </c>
      <c r="F221">
        <v>4087.0171700000001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-0.70941438102298082</v>
      </c>
      <c r="Q221">
        <f t="shared" si="960"/>
        <v>-2899.3887558858451</v>
      </c>
      <c r="R221">
        <f t="shared" si="961"/>
        <v>-75384.484789227092</v>
      </c>
      <c r="S221">
        <f t="shared" si="962"/>
        <v>-0.75384484789227091</v>
      </c>
      <c r="T221">
        <f t="shared" si="963"/>
        <v>-7.5384484789227087E-4</v>
      </c>
    </row>
    <row r="222" spans="1:20" x14ac:dyDescent="0.25">
      <c r="A222" s="5">
        <v>44371</v>
      </c>
      <c r="B222">
        <v>93.92</v>
      </c>
      <c r="C222">
        <v>94.64</v>
      </c>
      <c r="D222">
        <v>85.35</v>
      </c>
      <c r="E222">
        <v>89.4</v>
      </c>
      <c r="F222">
        <v>7501.2803299999996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-0.12809472551130061</v>
      </c>
      <c r="Q222">
        <f t="shared" si="960"/>
        <v>-960.87444485466835</v>
      </c>
      <c r="R222">
        <f t="shared" si="961"/>
        <v>-72485.096033341251</v>
      </c>
      <c r="S222">
        <f t="shared" si="962"/>
        <v>-0.72485096033341256</v>
      </c>
      <c r="T222">
        <f t="shared" si="963"/>
        <v>-7.2485096033341259E-4</v>
      </c>
    </row>
    <row r="223" spans="1:20" x14ac:dyDescent="0.25">
      <c r="A223" s="5">
        <v>44370</v>
      </c>
      <c r="B223">
        <v>86.24</v>
      </c>
      <c r="C223">
        <v>99.9</v>
      </c>
      <c r="D223">
        <v>83.69</v>
      </c>
      <c r="E223">
        <v>93.01</v>
      </c>
      <c r="F223">
        <v>4678.6768899999997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0.14990746452806944</v>
      </c>
      <c r="Q223">
        <f t="shared" si="960"/>
        <v>701.3685899259732</v>
      </c>
      <c r="R223">
        <f t="shared" si="961"/>
        <v>-71524.221588486587</v>
      </c>
      <c r="S223">
        <f t="shared" si="962"/>
        <v>-0.71524221588486592</v>
      </c>
      <c r="T223">
        <f t="shared" si="963"/>
        <v>-7.1524221588486591E-4</v>
      </c>
    </row>
    <row r="224" spans="1:20" x14ac:dyDescent="0.25">
      <c r="A224" s="5">
        <v>44369</v>
      </c>
      <c r="B224">
        <v>91.37</v>
      </c>
      <c r="C224">
        <v>96.99</v>
      </c>
      <c r="D224">
        <v>80.12</v>
      </c>
      <c r="E224">
        <v>85.09</v>
      </c>
      <c r="F224">
        <v>7000.7236700000003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-0.41078838174273841</v>
      </c>
      <c r="Q224">
        <f t="shared" si="960"/>
        <v>-2875.8159474273848</v>
      </c>
      <c r="R224">
        <f t="shared" si="961"/>
        <v>-72225.59017841256</v>
      </c>
      <c r="S224">
        <f t="shared" si="962"/>
        <v>-0.72225590178412558</v>
      </c>
      <c r="T224">
        <f t="shared" si="963"/>
        <v>-7.2225590178412555E-4</v>
      </c>
    </row>
    <row r="225" spans="1:20" x14ac:dyDescent="0.25">
      <c r="A225" s="5">
        <v>44368</v>
      </c>
      <c r="B225">
        <v>125.87</v>
      </c>
      <c r="C225">
        <v>126.46</v>
      </c>
      <c r="D225">
        <v>89.3</v>
      </c>
      <c r="E225">
        <v>91.4</v>
      </c>
      <c r="F225">
        <v>10513.73091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-0.88697524219590906</v>
      </c>
      <c r="Q225">
        <f t="shared" si="960"/>
        <v>-9325.4190202798654</v>
      </c>
      <c r="R225">
        <f t="shared" si="961"/>
        <v>-69349.774230985175</v>
      </c>
      <c r="S225">
        <f t="shared" si="962"/>
        <v>-0.69349774230985173</v>
      </c>
      <c r="T225">
        <f t="shared" si="963"/>
        <v>-6.9349774230985177E-4</v>
      </c>
    </row>
    <row r="226" spans="1:20" x14ac:dyDescent="0.25">
      <c r="A226" s="5">
        <v>44367</v>
      </c>
      <c r="B226">
        <v>120.46</v>
      </c>
      <c r="C226">
        <v>127.88</v>
      </c>
      <c r="D226">
        <v>115.01</v>
      </c>
      <c r="E226">
        <v>124.88</v>
      </c>
      <c r="F226">
        <v>2854.39705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0.53379953379953349</v>
      </c>
      <c r="Q226">
        <f t="shared" si="960"/>
        <v>1523.6758145687636</v>
      </c>
      <c r="R226">
        <f t="shared" si="961"/>
        <v>-60024.355210705311</v>
      </c>
      <c r="S226">
        <f t="shared" si="962"/>
        <v>-0.60024355210705316</v>
      </c>
      <c r="T226">
        <f t="shared" si="963"/>
        <v>-6.002435521070532E-4</v>
      </c>
    </row>
    <row r="227" spans="1:20" x14ac:dyDescent="0.25">
      <c r="A227" s="5">
        <v>44366</v>
      </c>
      <c r="B227">
        <v>125.89</v>
      </c>
      <c r="C227">
        <v>128.36000000000001</v>
      </c>
      <c r="D227">
        <v>118.14</v>
      </c>
      <c r="E227">
        <v>120.3</v>
      </c>
      <c r="F227">
        <v>2483.8202999999999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-0.57729941291585252</v>
      </c>
      <c r="Q227">
        <f t="shared" si="960"/>
        <v>-1433.9080009784766</v>
      </c>
      <c r="R227">
        <f t="shared" si="961"/>
        <v>-61548.031025274075</v>
      </c>
      <c r="S227">
        <f t="shared" si="962"/>
        <v>-0.61548031025274075</v>
      </c>
      <c r="T227">
        <f t="shared" si="963"/>
        <v>-6.1548031025274077E-4</v>
      </c>
    </row>
    <row r="228" spans="1:20" x14ac:dyDescent="0.25">
      <c r="A228" s="5">
        <v>44365</v>
      </c>
      <c r="B228">
        <v>137.75</v>
      </c>
      <c r="C228">
        <v>139.80000000000001</v>
      </c>
      <c r="D228">
        <v>120</v>
      </c>
      <c r="E228">
        <v>125.78</v>
      </c>
      <c r="F228">
        <v>1895.99857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-0.4161616161616164</v>
      </c>
      <c r="Q228">
        <f t="shared" si="960"/>
        <v>-789.04182913131353</v>
      </c>
      <c r="R228">
        <f t="shared" si="961"/>
        <v>-60114.123024295601</v>
      </c>
      <c r="S228">
        <f t="shared" si="962"/>
        <v>-0.60114123024295596</v>
      </c>
      <c r="T228">
        <f t="shared" si="963"/>
        <v>-6.0114123024295591E-4</v>
      </c>
    </row>
    <row r="229" spans="1:20" x14ac:dyDescent="0.25">
      <c r="A229" s="5">
        <v>44364</v>
      </c>
      <c r="B229">
        <v>134.4</v>
      </c>
      <c r="C229">
        <v>143.5</v>
      </c>
      <c r="D229">
        <v>132.5</v>
      </c>
      <c r="E229">
        <v>137.72999999999999</v>
      </c>
      <c r="F229">
        <v>2132.6663600000002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-4.9090909090910954E-2</v>
      </c>
      <c r="Q229">
        <f t="shared" si="960"/>
        <v>-104.69453040000398</v>
      </c>
      <c r="R229">
        <f t="shared" si="961"/>
        <v>-59325.08119516429</v>
      </c>
      <c r="S229">
        <f t="shared" si="962"/>
        <v>-0.59325081195164286</v>
      </c>
      <c r="T229">
        <f t="shared" si="963"/>
        <v>-5.9325081195164288E-4</v>
      </c>
    </row>
    <row r="230" spans="1:20" x14ac:dyDescent="0.25">
      <c r="A230" s="5">
        <v>44363</v>
      </c>
      <c r="B230">
        <v>147</v>
      </c>
      <c r="C230">
        <v>148.9</v>
      </c>
      <c r="D230">
        <v>133.65</v>
      </c>
      <c r="E230">
        <v>134.41999999999999</v>
      </c>
      <c r="F230">
        <v>3843.5925000000002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-0.89901639344262529</v>
      </c>
      <c r="Q230">
        <f t="shared" si="960"/>
        <v>-3455.4526672131237</v>
      </c>
      <c r="R230">
        <f t="shared" si="961"/>
        <v>-59220.386664764286</v>
      </c>
      <c r="S230">
        <f t="shared" si="962"/>
        <v>-0.59220386664764291</v>
      </c>
      <c r="T230">
        <f t="shared" si="963"/>
        <v>-5.9220386664764289E-4</v>
      </c>
    </row>
    <row r="231" spans="1:20" x14ac:dyDescent="0.25">
      <c r="A231" s="5">
        <v>44362</v>
      </c>
      <c r="B231">
        <v>154.6</v>
      </c>
      <c r="C231">
        <v>162</v>
      </c>
      <c r="D231">
        <v>146.38</v>
      </c>
      <c r="E231">
        <v>147</v>
      </c>
      <c r="F231">
        <v>3712.5123100000001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-0.92061459667093415</v>
      </c>
      <c r="Q231">
        <f t="shared" si="960"/>
        <v>-3417.7930229065282</v>
      </c>
      <c r="R231">
        <f t="shared" si="961"/>
        <v>-55764.933997551161</v>
      </c>
      <c r="S231">
        <f t="shared" si="962"/>
        <v>-0.55764933997551158</v>
      </c>
      <c r="T231">
        <f t="shared" si="963"/>
        <v>-5.5764933997551162E-4</v>
      </c>
    </row>
    <row r="232" spans="1:20" x14ac:dyDescent="0.25">
      <c r="A232" s="5">
        <v>44361</v>
      </c>
      <c r="B232">
        <v>149.83000000000001</v>
      </c>
      <c r="C232">
        <v>162</v>
      </c>
      <c r="D232">
        <v>146.22</v>
      </c>
      <c r="E232">
        <v>154.61000000000001</v>
      </c>
      <c r="F232">
        <v>1998.49973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6.3371356147023342E-2</v>
      </c>
      <c r="Q232">
        <f t="shared" si="960"/>
        <v>126.64763814956</v>
      </c>
      <c r="R232">
        <f t="shared" si="961"/>
        <v>-52347.14097464463</v>
      </c>
      <c r="S232">
        <f t="shared" si="962"/>
        <v>-0.52347140974644635</v>
      </c>
      <c r="T232">
        <f t="shared" si="963"/>
        <v>-5.2347140974644637E-4</v>
      </c>
    </row>
    <row r="233" spans="1:20" x14ac:dyDescent="0.25">
      <c r="A233" s="5">
        <v>44360</v>
      </c>
      <c r="B233">
        <v>134.72999999999999</v>
      </c>
      <c r="C233">
        <v>154.49</v>
      </c>
      <c r="D233">
        <v>134.16999999999999</v>
      </c>
      <c r="E233">
        <v>149.78</v>
      </c>
      <c r="F233">
        <v>3876.6380899999999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0.53641732283464538</v>
      </c>
      <c r="Q233">
        <f t="shared" si="960"/>
        <v>2079.4958258366132</v>
      </c>
      <c r="R233">
        <f t="shared" si="961"/>
        <v>-52473.788612794189</v>
      </c>
      <c r="S233">
        <f t="shared" si="962"/>
        <v>-0.52473788612794192</v>
      </c>
      <c r="T233">
        <f t="shared" si="963"/>
        <v>-5.2473788612794191E-4</v>
      </c>
    </row>
    <row r="234" spans="1:20" x14ac:dyDescent="0.25">
      <c r="A234" s="5">
        <v>44359</v>
      </c>
      <c r="B234">
        <v>137.61000000000001</v>
      </c>
      <c r="C234">
        <v>141.35</v>
      </c>
      <c r="D234">
        <v>130</v>
      </c>
      <c r="E234">
        <v>134.72</v>
      </c>
      <c r="F234">
        <v>2990.7598699999999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-0.16828193832599098</v>
      </c>
      <c r="Q234">
        <f t="shared" si="960"/>
        <v>-503.29086799118875</v>
      </c>
      <c r="R234">
        <f t="shared" si="961"/>
        <v>-54553.284438630799</v>
      </c>
      <c r="S234">
        <f t="shared" si="962"/>
        <v>-0.545532844386308</v>
      </c>
      <c r="T234">
        <f t="shared" si="963"/>
        <v>-5.4553284438630799E-4</v>
      </c>
    </row>
    <row r="235" spans="1:20" x14ac:dyDescent="0.25">
      <c r="A235" s="5">
        <v>44358</v>
      </c>
      <c r="B235">
        <v>157.87</v>
      </c>
      <c r="C235">
        <v>159.94999999999999</v>
      </c>
      <c r="D235">
        <v>135.66999999999999</v>
      </c>
      <c r="E235">
        <v>138.04</v>
      </c>
      <c r="F235">
        <v>3466.1082700000002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-0.80477759472817101</v>
      </c>
      <c r="Q235">
        <f t="shared" si="960"/>
        <v>-2789.446276598022</v>
      </c>
      <c r="R235">
        <f t="shared" si="961"/>
        <v>-54049.993570639614</v>
      </c>
      <c r="S235">
        <f t="shared" si="962"/>
        <v>-0.5404999357063961</v>
      </c>
      <c r="T235">
        <f t="shared" si="963"/>
        <v>-5.404999357063961E-4</v>
      </c>
    </row>
    <row r="236" spans="1:20" x14ac:dyDescent="0.25">
      <c r="A236" s="5">
        <v>44357</v>
      </c>
      <c r="B236">
        <v>171.65</v>
      </c>
      <c r="C236">
        <v>174.11</v>
      </c>
      <c r="D236">
        <v>153.87</v>
      </c>
      <c r="E236">
        <v>159.02000000000001</v>
      </c>
      <c r="F236">
        <v>5010.8044200000004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-0.4911067193675886</v>
      </c>
      <c r="Q236">
        <f t="shared" si="960"/>
        <v>-2460.8397200988129</v>
      </c>
      <c r="R236">
        <f t="shared" si="961"/>
        <v>-51260.547294041593</v>
      </c>
      <c r="S236">
        <f t="shared" si="962"/>
        <v>-0.51260547294041592</v>
      </c>
      <c r="T236">
        <f t="shared" si="963"/>
        <v>-5.1260547294041596E-4</v>
      </c>
    </row>
    <row r="237" spans="1:20" x14ac:dyDescent="0.25">
      <c r="A237" s="5">
        <v>44356</v>
      </c>
      <c r="B237">
        <v>174.89</v>
      </c>
      <c r="C237">
        <v>188.56</v>
      </c>
      <c r="D237">
        <v>163.80000000000001</v>
      </c>
      <c r="E237">
        <v>171.15</v>
      </c>
      <c r="F237">
        <v>11928.56745</v>
      </c>
      <c r="G237">
        <v>0</v>
      </c>
      <c r="L237" t="s">
        <v>7</v>
      </c>
      <c r="M237" t="s">
        <v>8</v>
      </c>
      <c r="N237" t="s">
        <v>8</v>
      </c>
      <c r="P237">
        <f t="shared" si="959"/>
        <v>-0.40630048465266583</v>
      </c>
      <c r="Q237">
        <f t="shared" si="960"/>
        <v>-4846.5827361470147</v>
      </c>
      <c r="R237">
        <f t="shared" si="961"/>
        <v>-48799.707573942782</v>
      </c>
      <c r="S237">
        <f t="shared" si="962"/>
        <v>-0.4879970757394278</v>
      </c>
      <c r="T237">
        <f t="shared" si="963"/>
        <v>-4.879970757394278E-4</v>
      </c>
    </row>
    <row r="238" spans="1:20" x14ac:dyDescent="0.25">
      <c r="A238" s="5">
        <v>44355</v>
      </c>
      <c r="B238">
        <v>148.25</v>
      </c>
      <c r="C238">
        <v>193</v>
      </c>
      <c r="D238">
        <v>135</v>
      </c>
      <c r="E238">
        <v>174.89</v>
      </c>
      <c r="F238">
        <v>35636.458209999997</v>
      </c>
      <c r="G238">
        <v>0</v>
      </c>
      <c r="L238" t="s">
        <v>8</v>
      </c>
      <c r="M238" t="s">
        <v>7</v>
      </c>
      <c r="N238" t="s">
        <v>8</v>
      </c>
      <c r="P238">
        <f t="shared" si="959"/>
        <v>0.37551724137930986</v>
      </c>
      <c r="Q238">
        <f t="shared" si="960"/>
        <v>13382.104479548258</v>
      </c>
      <c r="R238">
        <f t="shared" si="961"/>
        <v>-43953.124837795767</v>
      </c>
      <c r="S238">
        <f t="shared" si="962"/>
        <v>-0.43953124837795765</v>
      </c>
      <c r="T238">
        <f t="shared" si="963"/>
        <v>-4.3953124837795764E-4</v>
      </c>
    </row>
    <row r="239" spans="1:20" x14ac:dyDescent="0.25">
      <c r="A239" s="5">
        <v>44354</v>
      </c>
      <c r="B239">
        <v>162.19999999999999</v>
      </c>
      <c r="C239">
        <v>174.49</v>
      </c>
      <c r="D239">
        <v>142.41999999999999</v>
      </c>
      <c r="E239">
        <v>147.38</v>
      </c>
      <c r="F239">
        <v>6994.2967600000002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-0.69067664483941349</v>
      </c>
      <c r="Q239">
        <f t="shared" si="960"/>
        <v>-4830.797419207981</v>
      </c>
      <c r="R239">
        <f t="shared" si="961"/>
        <v>-57335.229317344027</v>
      </c>
      <c r="S239">
        <f t="shared" si="962"/>
        <v>-0.57335229317344027</v>
      </c>
      <c r="T239">
        <f t="shared" si="963"/>
        <v>-5.7335229317344023E-4</v>
      </c>
    </row>
    <row r="240" spans="1:20" x14ac:dyDescent="0.25">
      <c r="A240" s="5">
        <v>44353</v>
      </c>
      <c r="B240">
        <v>138.36000000000001</v>
      </c>
      <c r="C240">
        <v>172</v>
      </c>
      <c r="D240">
        <v>137.76</v>
      </c>
      <c r="E240">
        <v>162.19999999999999</v>
      </c>
      <c r="F240">
        <v>8446.9117100000003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0.42757009345794339</v>
      </c>
      <c r="Q240">
        <f t="shared" si="960"/>
        <v>3611.6468292756967</v>
      </c>
      <c r="R240">
        <f t="shared" si="961"/>
        <v>-52504.431898136048</v>
      </c>
      <c r="S240">
        <f t="shared" si="962"/>
        <v>-0.5250443189813605</v>
      </c>
      <c r="T240">
        <f t="shared" si="963"/>
        <v>-5.2504431898136054E-4</v>
      </c>
    </row>
    <row r="241" spans="1:20" x14ac:dyDescent="0.25">
      <c r="A241" s="5">
        <v>44352</v>
      </c>
      <c r="B241">
        <v>144.94</v>
      </c>
      <c r="C241">
        <v>152.97</v>
      </c>
      <c r="D241">
        <v>132.79</v>
      </c>
      <c r="E241">
        <v>138.91</v>
      </c>
      <c r="F241">
        <v>1748.54873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-0.39345887016848341</v>
      </c>
      <c r="Q241">
        <f t="shared" si="960"/>
        <v>-687.9820077403366</v>
      </c>
      <c r="R241">
        <f t="shared" si="961"/>
        <v>-56116.078727411747</v>
      </c>
      <c r="S241">
        <f t="shared" si="962"/>
        <v>-0.56116078727411745</v>
      </c>
      <c r="T241">
        <f t="shared" si="963"/>
        <v>-5.6116078727411743E-4</v>
      </c>
    </row>
    <row r="242" spans="1:20" x14ac:dyDescent="0.25">
      <c r="A242" s="5">
        <v>44351</v>
      </c>
      <c r="B242">
        <v>152.02000000000001</v>
      </c>
      <c r="C242">
        <v>152.99</v>
      </c>
      <c r="D242">
        <v>134.77000000000001</v>
      </c>
      <c r="E242">
        <v>146.07</v>
      </c>
      <c r="F242">
        <v>1984.1626000000001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0.24039517014269854</v>
      </c>
      <c r="Q242">
        <f t="shared" si="960"/>
        <v>476.98310581777912</v>
      </c>
      <c r="R242">
        <f t="shared" si="961"/>
        <v>-55428.096719671412</v>
      </c>
      <c r="S242">
        <f t="shared" si="962"/>
        <v>-0.55428096719671416</v>
      </c>
      <c r="T242">
        <f t="shared" si="963"/>
        <v>-5.542809671967142E-4</v>
      </c>
    </row>
    <row r="243" spans="1:20" x14ac:dyDescent="0.25">
      <c r="A243" s="5">
        <v>44350</v>
      </c>
      <c r="B243">
        <v>138.33000000000001</v>
      </c>
      <c r="C243">
        <v>158</v>
      </c>
      <c r="D243">
        <v>135.16999999999999</v>
      </c>
      <c r="E243">
        <v>152.99</v>
      </c>
      <c r="F243">
        <v>3316.3171200000002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0.5611038107752967</v>
      </c>
      <c r="Q243">
        <f t="shared" si="960"/>
        <v>1860.7981737713569</v>
      </c>
      <c r="R243">
        <f t="shared" si="961"/>
        <v>-55905.079825489192</v>
      </c>
      <c r="S243">
        <f t="shared" si="962"/>
        <v>-0.5590507982548919</v>
      </c>
      <c r="T243">
        <f t="shared" si="963"/>
        <v>-5.5905079825489194E-4</v>
      </c>
    </row>
    <row r="244" spans="1:20" x14ac:dyDescent="0.25">
      <c r="A244" s="5">
        <v>44349</v>
      </c>
      <c r="B244">
        <v>137.65</v>
      </c>
      <c r="C244">
        <v>145.83000000000001</v>
      </c>
      <c r="D244">
        <v>133.02000000000001</v>
      </c>
      <c r="E244">
        <v>138.24</v>
      </c>
      <c r="F244">
        <v>3491.9000500000002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-0.18501170960187385</v>
      </c>
      <c r="Q244">
        <f t="shared" si="960"/>
        <v>-646.04239800936887</v>
      </c>
      <c r="R244">
        <f t="shared" si="961"/>
        <v>-57765.877999260549</v>
      </c>
      <c r="S244">
        <f t="shared" si="962"/>
        <v>-0.57765877999260551</v>
      </c>
      <c r="T244">
        <f t="shared" si="963"/>
        <v>-5.7765877999260554E-4</v>
      </c>
    </row>
    <row r="245" spans="1:20" x14ac:dyDescent="0.25">
      <c r="A245" s="5">
        <v>44348</v>
      </c>
      <c r="B245">
        <v>139.69</v>
      </c>
      <c r="C245">
        <v>141.22</v>
      </c>
      <c r="D245">
        <v>131.47</v>
      </c>
      <c r="E245">
        <v>137.66999999999999</v>
      </c>
      <c r="F245">
        <v>2201.93968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0.27179487179486944</v>
      </c>
      <c r="Q245">
        <f t="shared" si="960"/>
        <v>598.4759130256358</v>
      </c>
      <c r="R245">
        <f t="shared" si="961"/>
        <v>-57119.835601251179</v>
      </c>
      <c r="S245">
        <f t="shared" si="962"/>
        <v>-0.57119835601251179</v>
      </c>
      <c r="T245">
        <f t="shared" si="963"/>
        <v>-5.7119835601251176E-4</v>
      </c>
    </row>
    <row r="246" spans="1:20" x14ac:dyDescent="0.25">
      <c r="A246" s="5">
        <v>44347</v>
      </c>
      <c r="B246">
        <v>124.84</v>
      </c>
      <c r="C246">
        <v>141.22</v>
      </c>
      <c r="D246">
        <v>118.13</v>
      </c>
      <c r="E246">
        <v>140.16</v>
      </c>
      <c r="F246">
        <v>3831.53395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0.90818536162841035</v>
      </c>
      <c r="Q246">
        <f t="shared" si="960"/>
        <v>3479.7430459722814</v>
      </c>
      <c r="R246">
        <f t="shared" si="961"/>
        <v>-57718.311514276815</v>
      </c>
      <c r="S246">
        <f t="shared" si="962"/>
        <v>-0.5771831151427681</v>
      </c>
      <c r="T246">
        <f t="shared" si="963"/>
        <v>-5.7718311514276814E-4</v>
      </c>
    </row>
    <row r="247" spans="1:20" x14ac:dyDescent="0.25">
      <c r="A247" s="5">
        <v>44346</v>
      </c>
      <c r="B247">
        <v>117.89</v>
      </c>
      <c r="C247">
        <v>132.29</v>
      </c>
      <c r="D247">
        <v>112.89</v>
      </c>
      <c r="E247">
        <v>124.83</v>
      </c>
      <c r="F247">
        <v>2618.7082500000001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0.23092783505154671</v>
      </c>
      <c r="Q247">
        <f t="shared" si="960"/>
        <v>604.73262680412461</v>
      </c>
      <c r="R247">
        <f t="shared" si="961"/>
        <v>-61198.054560249097</v>
      </c>
      <c r="S247">
        <f t="shared" si="962"/>
        <v>-0.61198054560249093</v>
      </c>
      <c r="T247">
        <f t="shared" si="963"/>
        <v>-6.1198054560249095E-4</v>
      </c>
    </row>
    <row r="248" spans="1:20" x14ac:dyDescent="0.25">
      <c r="A248" s="5">
        <v>44345</v>
      </c>
      <c r="B248">
        <v>130.28</v>
      </c>
      <c r="C248">
        <v>138.30000000000001</v>
      </c>
      <c r="D248">
        <v>115.5</v>
      </c>
      <c r="E248">
        <v>118.55</v>
      </c>
      <c r="F248">
        <v>3952.37372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-0.73245614035087758</v>
      </c>
      <c r="Q248">
        <f t="shared" si="960"/>
        <v>-2894.9404001754401</v>
      </c>
      <c r="R248">
        <f t="shared" si="961"/>
        <v>-61802.787187053218</v>
      </c>
      <c r="S248">
        <f t="shared" si="962"/>
        <v>-0.61802787187053221</v>
      </c>
      <c r="T248">
        <f t="shared" si="963"/>
        <v>-6.180278718705322E-4</v>
      </c>
    </row>
    <row r="249" spans="1:20" x14ac:dyDescent="0.25">
      <c r="A249" s="5">
        <v>44344</v>
      </c>
      <c r="B249">
        <v>149.04</v>
      </c>
      <c r="C249">
        <v>155.5</v>
      </c>
      <c r="D249">
        <v>125.71</v>
      </c>
      <c r="E249">
        <v>130</v>
      </c>
      <c r="F249">
        <v>3618.6230799999998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-0.7119838872104729</v>
      </c>
      <c r="Q249">
        <f t="shared" si="960"/>
        <v>-2576.4013268479339</v>
      </c>
      <c r="R249">
        <f t="shared" si="961"/>
        <v>-58907.846786877781</v>
      </c>
      <c r="S249">
        <f t="shared" si="962"/>
        <v>-0.58907846786877782</v>
      </c>
      <c r="T249">
        <f t="shared" si="963"/>
        <v>-5.8907846786877783E-4</v>
      </c>
    </row>
    <row r="250" spans="1:20" x14ac:dyDescent="0.25">
      <c r="A250" s="5">
        <v>44343</v>
      </c>
      <c r="B250">
        <v>166.65</v>
      </c>
      <c r="C250">
        <v>168.14</v>
      </c>
      <c r="D250">
        <v>147.55000000000001</v>
      </c>
      <c r="E250">
        <v>150.08000000000001</v>
      </c>
      <c r="F250">
        <v>3840.4459000000002</v>
      </c>
      <c r="G250">
        <v>0</v>
      </c>
      <c r="L250" t="s">
        <v>8</v>
      </c>
      <c r="M250" t="s">
        <v>7</v>
      </c>
      <c r="N250" t="s">
        <v>8</v>
      </c>
      <c r="P250">
        <f t="shared" si="959"/>
        <v>-0.75424963574550707</v>
      </c>
      <c r="Q250">
        <f t="shared" si="960"/>
        <v>-2896.6549211753263</v>
      </c>
      <c r="R250">
        <f t="shared" si="961"/>
        <v>-56331.445460029849</v>
      </c>
      <c r="S250">
        <f t="shared" si="962"/>
        <v>-0.5633144546002985</v>
      </c>
      <c r="T250">
        <f t="shared" si="963"/>
        <v>-5.6331445460029847E-4</v>
      </c>
    </row>
    <row r="251" spans="1:20" x14ac:dyDescent="0.25">
      <c r="A251" s="5">
        <v>44342</v>
      </c>
      <c r="B251">
        <v>172.24</v>
      </c>
      <c r="C251">
        <v>190</v>
      </c>
      <c r="D251">
        <v>147.94</v>
      </c>
      <c r="E251">
        <v>166.64</v>
      </c>
      <c r="F251">
        <v>9957.2474299999994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-0.11079410366143663</v>
      </c>
      <c r="Q251">
        <f t="shared" si="960"/>
        <v>-1103.2043039419934</v>
      </c>
      <c r="R251">
        <f t="shared" si="961"/>
        <v>-53434.790538854519</v>
      </c>
      <c r="S251">
        <f t="shared" si="962"/>
        <v>-0.53434790538854515</v>
      </c>
      <c r="T251">
        <f t="shared" si="963"/>
        <v>-5.3434790538854518E-4</v>
      </c>
    </row>
    <row r="252" spans="1:20" x14ac:dyDescent="0.25">
      <c r="A252" s="5">
        <v>44341</v>
      </c>
      <c r="B252">
        <v>147.97</v>
      </c>
      <c r="C252">
        <v>195</v>
      </c>
      <c r="D252">
        <v>129.72999999999999</v>
      </c>
      <c r="E252">
        <v>172.03</v>
      </c>
      <c r="F252">
        <v>8515.7144000000008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0.29615443542209297</v>
      </c>
      <c r="Q252">
        <f t="shared" si="960"/>
        <v>2521.9665903477876</v>
      </c>
      <c r="R252">
        <f t="shared" si="961"/>
        <v>-52331.586234912524</v>
      </c>
      <c r="S252">
        <f t="shared" si="962"/>
        <v>-0.52331586234912519</v>
      </c>
      <c r="T252">
        <f t="shared" si="963"/>
        <v>-5.2331586234912516E-4</v>
      </c>
    </row>
    <row r="253" spans="1:20" x14ac:dyDescent="0.25">
      <c r="A253" s="5">
        <v>44340</v>
      </c>
      <c r="B253">
        <v>123.13</v>
      </c>
      <c r="C253">
        <v>148.9</v>
      </c>
      <c r="D253">
        <v>119.34</v>
      </c>
      <c r="E253">
        <v>147.97999999999999</v>
      </c>
      <c r="F253">
        <v>6850.84879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0.93775372124492451</v>
      </c>
      <c r="Q253">
        <f t="shared" si="960"/>
        <v>6424.4089465087882</v>
      </c>
      <c r="R253">
        <f t="shared" si="961"/>
        <v>-54853.552825260311</v>
      </c>
      <c r="S253">
        <f t="shared" si="962"/>
        <v>-0.5485355282526031</v>
      </c>
      <c r="T253">
        <f t="shared" si="963"/>
        <v>-5.4853552825260307E-4</v>
      </c>
    </row>
    <row r="254" spans="1:20" x14ac:dyDescent="0.25">
      <c r="A254" s="5">
        <v>44339</v>
      </c>
      <c r="B254">
        <v>142.51</v>
      </c>
      <c r="C254">
        <v>151.97999999999999</v>
      </c>
      <c r="D254">
        <v>100.97</v>
      </c>
      <c r="E254">
        <v>120.78</v>
      </c>
      <c r="F254">
        <v>9630.4621800000004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-0.22328955106841772</v>
      </c>
      <c r="Q254">
        <f t="shared" si="960"/>
        <v>-2150.3815767535757</v>
      </c>
      <c r="R254">
        <f t="shared" si="961"/>
        <v>-61277.9617717691</v>
      </c>
      <c r="S254">
        <f t="shared" si="962"/>
        <v>-0.61277961771769096</v>
      </c>
      <c r="T254">
        <f t="shared" si="963"/>
        <v>-6.1277961771769095E-4</v>
      </c>
    </row>
    <row r="255" spans="1:20" x14ac:dyDescent="0.25">
      <c r="A255" s="5">
        <v>44338</v>
      </c>
      <c r="B255">
        <v>155.22999999999999</v>
      </c>
      <c r="C255">
        <v>158.77000000000001</v>
      </c>
      <c r="D255">
        <v>135.69</v>
      </c>
      <c r="E255">
        <v>144.78</v>
      </c>
      <c r="F255">
        <v>4558.4037200000002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-0.21230502599653392</v>
      </c>
      <c r="Q255">
        <f t="shared" si="960"/>
        <v>-967.77202027729697</v>
      </c>
      <c r="R255">
        <f t="shared" si="961"/>
        <v>-59127.580195015522</v>
      </c>
      <c r="S255">
        <f t="shared" si="962"/>
        <v>-0.59127580195015517</v>
      </c>
      <c r="T255">
        <f t="shared" si="963"/>
        <v>-5.912758019501552E-4</v>
      </c>
    </row>
    <row r="256" spans="1:20" x14ac:dyDescent="0.25">
      <c r="A256" s="5">
        <v>44337</v>
      </c>
      <c r="B256">
        <v>202.73</v>
      </c>
      <c r="C256">
        <v>225</v>
      </c>
      <c r="D256">
        <v>135</v>
      </c>
      <c r="E256">
        <v>155.22999999999999</v>
      </c>
      <c r="F256">
        <v>5772.6529099999998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-0.55044444444444462</v>
      </c>
      <c r="Q256">
        <f t="shared" si="960"/>
        <v>-3177.5247240155563</v>
      </c>
      <c r="R256">
        <f t="shared" si="961"/>
        <v>-58159.808174738224</v>
      </c>
      <c r="S256">
        <f t="shared" si="962"/>
        <v>-0.58159808174738226</v>
      </c>
      <c r="T256">
        <f t="shared" si="963"/>
        <v>-5.815980817473822E-4</v>
      </c>
    </row>
    <row r="257" spans="1:20" x14ac:dyDescent="0.25">
      <c r="A257" s="5">
        <v>44336</v>
      </c>
      <c r="B257">
        <v>193.88</v>
      </c>
      <c r="C257">
        <v>227.99</v>
      </c>
      <c r="D257">
        <v>162</v>
      </c>
      <c r="E257">
        <v>202.1</v>
      </c>
      <c r="F257">
        <v>5080.9173799999999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0.21533565691771447</v>
      </c>
      <c r="Q257">
        <f t="shared" si="960"/>
        <v>1094.1026817669326</v>
      </c>
      <c r="R257">
        <f t="shared" si="961"/>
        <v>-54982.283450722665</v>
      </c>
      <c r="S257">
        <f t="shared" si="962"/>
        <v>-0.54982283450722669</v>
      </c>
      <c r="T257">
        <f t="shared" si="963"/>
        <v>-5.4982283450722672E-4</v>
      </c>
    </row>
    <row r="258" spans="1:20" x14ac:dyDescent="0.25">
      <c r="A258" s="5">
        <v>44335</v>
      </c>
      <c r="B258">
        <v>267.23</v>
      </c>
      <c r="C258">
        <v>268.77</v>
      </c>
      <c r="D258">
        <v>122.92</v>
      </c>
      <c r="E258">
        <v>193.88</v>
      </c>
      <c r="F258">
        <v>11781.23725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-2.6945491943777808E-2</v>
      </c>
      <c r="Q258">
        <f t="shared" si="960"/>
        <v>-317.45123340761</v>
      </c>
      <c r="R258">
        <f t="shared" si="961"/>
        <v>-56076.386132489599</v>
      </c>
      <c r="S258">
        <f t="shared" si="962"/>
        <v>-0.56076386132489597</v>
      </c>
      <c r="T258">
        <f t="shared" si="963"/>
        <v>-5.6076386132489599E-4</v>
      </c>
    </row>
    <row r="259" spans="1:20" x14ac:dyDescent="0.25">
      <c r="A259" s="5">
        <v>44334</v>
      </c>
      <c r="B259">
        <v>261.88</v>
      </c>
      <c r="C259">
        <v>279.18</v>
      </c>
      <c r="D259">
        <v>251.38</v>
      </c>
      <c r="E259">
        <v>267.45999999999998</v>
      </c>
      <c r="F259">
        <v>4325.1053300000003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0.15683453237409911</v>
      </c>
      <c r="Q259">
        <f t="shared" si="960"/>
        <v>678.32587189927369</v>
      </c>
      <c r="R259">
        <f t="shared" si="961"/>
        <v>-55758.934899081985</v>
      </c>
      <c r="S259">
        <f t="shared" si="962"/>
        <v>-0.5575893489908198</v>
      </c>
      <c r="T259">
        <f t="shared" si="963"/>
        <v>-5.5758934899081979E-4</v>
      </c>
    </row>
    <row r="260" spans="1:20" x14ac:dyDescent="0.25">
      <c r="A260" s="5">
        <v>44333</v>
      </c>
      <c r="B260">
        <v>276.18</v>
      </c>
      <c r="C260">
        <v>279.18</v>
      </c>
      <c r="D260">
        <v>247.78</v>
      </c>
      <c r="E260">
        <v>261.87</v>
      </c>
      <c r="F260">
        <v>4620.3066500000004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-0.10254777070063689</v>
      </c>
      <c r="Q260">
        <f t="shared" si="960"/>
        <v>-473.80214691082784</v>
      </c>
      <c r="R260">
        <f t="shared" si="961"/>
        <v>-56437.260770981258</v>
      </c>
      <c r="S260">
        <f t="shared" si="962"/>
        <v>-0.56437260770981257</v>
      </c>
      <c r="T260">
        <f t="shared" si="963"/>
        <v>-5.6437260770981254E-4</v>
      </c>
    </row>
    <row r="261" spans="1:20" x14ac:dyDescent="0.25">
      <c r="A261" s="5">
        <v>44332</v>
      </c>
      <c r="B261">
        <v>282.75</v>
      </c>
      <c r="C261">
        <v>308.88</v>
      </c>
      <c r="D261">
        <v>261.01</v>
      </c>
      <c r="E261">
        <v>275.58999999999997</v>
      </c>
      <c r="F261">
        <v>4261.7733399999997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-0.39085021934405756</v>
      </c>
      <c r="Q261">
        <f t="shared" si="960"/>
        <v>-1665.7150447336567</v>
      </c>
      <c r="R261">
        <f t="shared" si="961"/>
        <v>-55963.45862407043</v>
      </c>
      <c r="S261">
        <f t="shared" si="962"/>
        <v>-0.55963458624070428</v>
      </c>
      <c r="T261">
        <f t="shared" si="963"/>
        <v>-5.5963458624070424E-4</v>
      </c>
    </row>
    <row r="262" spans="1:20" x14ac:dyDescent="0.25">
      <c r="A262" s="5">
        <v>44331</v>
      </c>
      <c r="B262">
        <v>311.93</v>
      </c>
      <c r="C262">
        <v>321.95</v>
      </c>
      <c r="D262">
        <v>276.27999999999997</v>
      </c>
      <c r="E262">
        <v>282.73</v>
      </c>
      <c r="F262">
        <v>4484.94038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-0.71753886577621884</v>
      </c>
      <c r="Q262">
        <f t="shared" ref="Q262:Q325" si="965">F262*P262</f>
        <v>-3218.1190333391637</v>
      </c>
      <c r="R262">
        <f t="shared" ref="R262:R325" si="966">R263+Q262</f>
        <v>-54297.743579336777</v>
      </c>
      <c r="S262">
        <f t="shared" ref="S262:S325" si="967">R262/100000</f>
        <v>-0.54297743579336777</v>
      </c>
      <c r="T262">
        <f t="shared" ref="T262:T325" si="968">S262/1000</f>
        <v>-5.429774357933678E-4</v>
      </c>
    </row>
    <row r="263" spans="1:20" x14ac:dyDescent="0.25">
      <c r="A263" s="5">
        <v>44330</v>
      </c>
      <c r="B263">
        <v>288.98</v>
      </c>
      <c r="C263">
        <v>330.21</v>
      </c>
      <c r="D263">
        <v>287.45999999999998</v>
      </c>
      <c r="E263">
        <v>312.02999999999997</v>
      </c>
      <c r="F263">
        <v>3954.0709400000001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0.14947368421052601</v>
      </c>
      <c r="Q263">
        <f t="shared" si="965"/>
        <v>591.02955103157774</v>
      </c>
      <c r="R263">
        <f t="shared" si="966"/>
        <v>-51079.624545997613</v>
      </c>
      <c r="S263">
        <f t="shared" si="967"/>
        <v>-0.51079624545997615</v>
      </c>
      <c r="T263">
        <f t="shared" si="968"/>
        <v>-5.1079624545997612E-4</v>
      </c>
    </row>
    <row r="264" spans="1:20" x14ac:dyDescent="0.25">
      <c r="A264" s="5">
        <v>44329</v>
      </c>
      <c r="B264">
        <v>313.02</v>
      </c>
      <c r="C264">
        <v>340.27</v>
      </c>
      <c r="D264">
        <v>282</v>
      </c>
      <c r="E264">
        <v>290.49</v>
      </c>
      <c r="F264">
        <v>9764.1713400000008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-0.70859790629826624</v>
      </c>
      <c r="Q264">
        <f t="shared" si="965"/>
        <v>-6918.8713682615371</v>
      </c>
      <c r="R264">
        <f t="shared" si="966"/>
        <v>-51670.65409702919</v>
      </c>
      <c r="S264">
        <f t="shared" si="967"/>
        <v>-0.51670654097029189</v>
      </c>
      <c r="T264">
        <f t="shared" si="968"/>
        <v>-5.1670654097029191E-4</v>
      </c>
    </row>
    <row r="265" spans="1:20" x14ac:dyDescent="0.25">
      <c r="A265" s="5">
        <v>44328</v>
      </c>
      <c r="B265">
        <v>390.96</v>
      </c>
      <c r="C265">
        <v>439</v>
      </c>
      <c r="D265">
        <v>312.47000000000003</v>
      </c>
      <c r="E265">
        <v>312.47000000000003</v>
      </c>
      <c r="F265">
        <v>21355.189429999999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-1</v>
      </c>
      <c r="Q265">
        <f t="shared" si="965"/>
        <v>-21355.189429999999</v>
      </c>
      <c r="R265">
        <f t="shared" si="966"/>
        <v>-44751.782728767655</v>
      </c>
      <c r="S265">
        <f t="shared" si="967"/>
        <v>-0.44751782728767653</v>
      </c>
      <c r="T265">
        <f t="shared" si="968"/>
        <v>-4.4751782728767655E-4</v>
      </c>
    </row>
    <row r="266" spans="1:20" x14ac:dyDescent="0.25">
      <c r="A266" s="5">
        <v>44327</v>
      </c>
      <c r="B266">
        <v>315.31</v>
      </c>
      <c r="C266">
        <v>403</v>
      </c>
      <c r="D266">
        <v>301.10000000000002</v>
      </c>
      <c r="E266">
        <v>390.57</v>
      </c>
      <c r="F266">
        <v>13523.79558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0.75603532875367985</v>
      </c>
      <c r="Q266">
        <f t="shared" si="965"/>
        <v>10224.467237322862</v>
      </c>
      <c r="R266">
        <f t="shared" si="966"/>
        <v>-23396.593298767657</v>
      </c>
      <c r="S266">
        <f t="shared" si="967"/>
        <v>-0.23396593298767657</v>
      </c>
      <c r="T266">
        <f t="shared" si="968"/>
        <v>-2.3396593298767658E-4</v>
      </c>
    </row>
    <row r="267" spans="1:20" x14ac:dyDescent="0.25">
      <c r="A267" s="5">
        <v>44326</v>
      </c>
      <c r="B267">
        <v>342</v>
      </c>
      <c r="C267">
        <v>369.98</v>
      </c>
      <c r="D267">
        <v>291.62</v>
      </c>
      <c r="E267">
        <v>315.24</v>
      </c>
      <c r="F267">
        <v>10432.7675</v>
      </c>
      <c r="G267">
        <v>0</v>
      </c>
      <c r="L267" t="s">
        <v>7</v>
      </c>
      <c r="M267" t="s">
        <v>8</v>
      </c>
      <c r="N267" t="s">
        <v>8</v>
      </c>
      <c r="P267">
        <f t="shared" si="964"/>
        <v>-0.39714139867279225</v>
      </c>
      <c r="Q267">
        <f t="shared" si="965"/>
        <v>-4143.2838769780501</v>
      </c>
      <c r="R267">
        <f t="shared" si="966"/>
        <v>-33621.060536090517</v>
      </c>
      <c r="S267">
        <f t="shared" si="967"/>
        <v>-0.33621060536090519</v>
      </c>
      <c r="T267">
        <f t="shared" si="968"/>
        <v>-3.3621060536090521E-4</v>
      </c>
    </row>
    <row r="268" spans="1:20" x14ac:dyDescent="0.25">
      <c r="A268" s="5">
        <v>44325</v>
      </c>
      <c r="B268">
        <v>311.7</v>
      </c>
      <c r="C268">
        <v>365.9</v>
      </c>
      <c r="D268">
        <v>295</v>
      </c>
      <c r="E268">
        <v>341.99</v>
      </c>
      <c r="F268">
        <v>11098.028200000001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0.32552891396332934</v>
      </c>
      <c r="Q268">
        <f t="shared" si="965"/>
        <v>3612.7290670804027</v>
      </c>
      <c r="R268">
        <f t="shared" si="966"/>
        <v>-29477.776659112471</v>
      </c>
      <c r="S268">
        <f t="shared" si="967"/>
        <v>-0.2947777665911247</v>
      </c>
      <c r="T268">
        <f t="shared" si="968"/>
        <v>-2.947777665911247E-4</v>
      </c>
    </row>
    <row r="269" spans="1:20" x14ac:dyDescent="0.25">
      <c r="A269" s="5">
        <v>44324</v>
      </c>
      <c r="B269">
        <v>291.41000000000003</v>
      </c>
      <c r="C269">
        <v>320</v>
      </c>
      <c r="D269">
        <v>286.73</v>
      </c>
      <c r="E269">
        <v>311.73</v>
      </c>
      <c r="F269">
        <v>3766.2573299999999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0.50285542530808613</v>
      </c>
      <c r="Q269">
        <f t="shared" si="965"/>
        <v>1893.8829314968468</v>
      </c>
      <c r="R269">
        <f t="shared" si="966"/>
        <v>-33090.505726192874</v>
      </c>
      <c r="S269">
        <f t="shared" si="967"/>
        <v>-0.33090505726192876</v>
      </c>
      <c r="T269">
        <f t="shared" si="968"/>
        <v>-3.3090505726192875E-4</v>
      </c>
    </row>
    <row r="270" spans="1:20" x14ac:dyDescent="0.25">
      <c r="A270" s="5">
        <v>44323</v>
      </c>
      <c r="B270">
        <v>306.33999999999997</v>
      </c>
      <c r="C270">
        <v>313.54000000000002</v>
      </c>
      <c r="D270">
        <v>285</v>
      </c>
      <c r="E270">
        <v>291.45</v>
      </c>
      <c r="F270">
        <v>4307.5649899999999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-0.54800280308339289</v>
      </c>
      <c r="Q270">
        <f t="shared" si="965"/>
        <v>-2360.5576889838871</v>
      </c>
      <c r="R270">
        <f t="shared" si="966"/>
        <v>-34984.38865768972</v>
      </c>
      <c r="S270">
        <f t="shared" si="967"/>
        <v>-0.34984388657689719</v>
      </c>
      <c r="T270">
        <f t="shared" si="968"/>
        <v>-3.498438865768972E-4</v>
      </c>
    </row>
    <row r="271" spans="1:20" x14ac:dyDescent="0.25">
      <c r="A271" s="5">
        <v>44322</v>
      </c>
      <c r="B271">
        <v>300.35000000000002</v>
      </c>
      <c r="C271">
        <v>330</v>
      </c>
      <c r="D271">
        <v>283.91000000000003</v>
      </c>
      <c r="E271">
        <v>306.33999999999997</v>
      </c>
      <c r="F271">
        <v>7065.62104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-2.6686916901715679E-2</v>
      </c>
      <c r="Q271">
        <f t="shared" si="965"/>
        <v>-188.55964155349392</v>
      </c>
      <c r="R271">
        <f t="shared" si="966"/>
        <v>-32623.830968705835</v>
      </c>
      <c r="S271">
        <f t="shared" si="967"/>
        <v>-0.32623830968705836</v>
      </c>
      <c r="T271">
        <f t="shared" si="968"/>
        <v>-3.2623830968705835E-4</v>
      </c>
    </row>
    <row r="272" spans="1:20" x14ac:dyDescent="0.25">
      <c r="A272" s="5">
        <v>44321</v>
      </c>
      <c r="B272">
        <v>278.35000000000002</v>
      </c>
      <c r="C272">
        <v>306.86</v>
      </c>
      <c r="D272">
        <v>274.61</v>
      </c>
      <c r="E272">
        <v>300.33999999999997</v>
      </c>
      <c r="F272">
        <v>4596.9406600000002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0.59565891472867982</v>
      </c>
      <c r="Q272">
        <f t="shared" si="965"/>
        <v>2738.2086846077414</v>
      </c>
      <c r="R272">
        <f t="shared" si="966"/>
        <v>-32435.271327152343</v>
      </c>
      <c r="S272">
        <f t="shared" si="967"/>
        <v>-0.32435271327152343</v>
      </c>
      <c r="T272">
        <f t="shared" si="968"/>
        <v>-3.2435271327152342E-4</v>
      </c>
    </row>
    <row r="273" spans="1:20" x14ac:dyDescent="0.25">
      <c r="A273" s="5">
        <v>44320</v>
      </c>
      <c r="B273">
        <v>334.7</v>
      </c>
      <c r="C273">
        <v>336.69</v>
      </c>
      <c r="D273">
        <v>268.14999999999998</v>
      </c>
      <c r="E273">
        <v>279.45</v>
      </c>
      <c r="F273">
        <v>6980.8226199999999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-0.67026553837175351</v>
      </c>
      <c r="Q273">
        <f t="shared" si="965"/>
        <v>-4679.0048316720149</v>
      </c>
      <c r="R273">
        <f t="shared" si="966"/>
        <v>-35173.480011760083</v>
      </c>
      <c r="S273">
        <f t="shared" si="967"/>
        <v>-0.35173480011760083</v>
      </c>
      <c r="T273">
        <f t="shared" si="968"/>
        <v>-3.5173480011760084E-4</v>
      </c>
    </row>
    <row r="274" spans="1:20" x14ac:dyDescent="0.25">
      <c r="A274" s="5">
        <v>44319</v>
      </c>
      <c r="B274">
        <v>281.60000000000002</v>
      </c>
      <c r="C274">
        <v>340</v>
      </c>
      <c r="D274">
        <v>281.51</v>
      </c>
      <c r="E274">
        <v>335</v>
      </c>
      <c r="F274">
        <v>9796.6114300000008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0.82903060352196956</v>
      </c>
      <c r="Q274">
        <f t="shared" si="965"/>
        <v>8121.6906862831256</v>
      </c>
      <c r="R274">
        <f t="shared" si="966"/>
        <v>-30494.475180088069</v>
      </c>
      <c r="S274">
        <f t="shared" si="967"/>
        <v>-0.30494475180088071</v>
      </c>
      <c r="T274">
        <f t="shared" si="968"/>
        <v>-3.0494475180088069E-4</v>
      </c>
    </row>
    <row r="275" spans="1:20" x14ac:dyDescent="0.25">
      <c r="A275" s="5">
        <v>44318</v>
      </c>
      <c r="B275">
        <v>290.81</v>
      </c>
      <c r="C275">
        <v>293.31</v>
      </c>
      <c r="D275">
        <v>272</v>
      </c>
      <c r="E275">
        <v>281.51</v>
      </c>
      <c r="F275">
        <v>5591.3738899999998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-0.10746128578132427</v>
      </c>
      <c r="Q275">
        <f t="shared" si="965"/>
        <v>-600.85622750352479</v>
      </c>
      <c r="R275">
        <f t="shared" si="966"/>
        <v>-38616.165866371193</v>
      </c>
      <c r="S275">
        <f t="shared" si="967"/>
        <v>-0.38616165866371194</v>
      </c>
      <c r="T275">
        <f t="shared" si="968"/>
        <v>-3.8616165866371194E-4</v>
      </c>
    </row>
    <row r="276" spans="1:20" x14ac:dyDescent="0.25">
      <c r="A276" s="5">
        <v>44317</v>
      </c>
      <c r="B276">
        <v>306.8</v>
      </c>
      <c r="C276">
        <v>323.62</v>
      </c>
      <c r="D276">
        <v>282.32</v>
      </c>
      <c r="E276">
        <v>290.82</v>
      </c>
      <c r="F276">
        <v>5265.5158899999997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-0.58837772397094446</v>
      </c>
      <c r="Q276">
        <f t="shared" si="965"/>
        <v>-3098.1122548910416</v>
      </c>
      <c r="R276">
        <f t="shared" si="966"/>
        <v>-38015.309638867671</v>
      </c>
      <c r="S276">
        <f t="shared" si="967"/>
        <v>-0.38015309638867673</v>
      </c>
      <c r="T276">
        <f t="shared" si="968"/>
        <v>-3.8015309638867671E-4</v>
      </c>
    </row>
    <row r="277" spans="1:20" x14ac:dyDescent="0.25">
      <c r="A277" s="5">
        <v>44316</v>
      </c>
      <c r="B277">
        <v>310.48</v>
      </c>
      <c r="C277">
        <v>340</v>
      </c>
      <c r="D277">
        <v>304.11</v>
      </c>
      <c r="E277">
        <v>306.8</v>
      </c>
      <c r="F277">
        <v>7683.2817999999997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-0.85009752020061302</v>
      </c>
      <c r="Q277">
        <f t="shared" si="965"/>
        <v>-6531.5388051825021</v>
      </c>
      <c r="R277">
        <f t="shared" si="966"/>
        <v>-34917.197383976629</v>
      </c>
      <c r="S277">
        <f t="shared" si="967"/>
        <v>-0.34917197383976628</v>
      </c>
      <c r="T277">
        <f t="shared" si="968"/>
        <v>-3.4917197383976627E-4</v>
      </c>
    </row>
    <row r="278" spans="1:20" x14ac:dyDescent="0.25">
      <c r="A278" s="5">
        <v>44315</v>
      </c>
      <c r="B278">
        <v>281.49</v>
      </c>
      <c r="C278">
        <v>350</v>
      </c>
      <c r="D278">
        <v>264.8</v>
      </c>
      <c r="E278">
        <v>310.47000000000003</v>
      </c>
      <c r="F278">
        <v>11834.298430000001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7.2065727699531026E-2</v>
      </c>
      <c r="Q278">
        <f t="shared" si="965"/>
        <v>852.84732817136762</v>
      </c>
      <c r="R278">
        <f t="shared" si="966"/>
        <v>-28385.658578794129</v>
      </c>
      <c r="S278">
        <f t="shared" si="967"/>
        <v>-0.28385658578794132</v>
      </c>
      <c r="T278">
        <f t="shared" si="968"/>
        <v>-2.8385658578794129E-4</v>
      </c>
    </row>
    <row r="279" spans="1:20" x14ac:dyDescent="0.25">
      <c r="A279" s="5">
        <v>44314</v>
      </c>
      <c r="B279">
        <v>293.31</v>
      </c>
      <c r="C279">
        <v>301.88</v>
      </c>
      <c r="D279">
        <v>268.63</v>
      </c>
      <c r="E279">
        <v>280.23</v>
      </c>
      <c r="F279">
        <v>4016.2822299999998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-0.302255639097743</v>
      </c>
      <c r="Q279">
        <f t="shared" si="965"/>
        <v>-1213.9439522255584</v>
      </c>
      <c r="R279">
        <f t="shared" si="966"/>
        <v>-29238.505906965496</v>
      </c>
      <c r="S279">
        <f t="shared" si="967"/>
        <v>-0.29238505906965495</v>
      </c>
      <c r="T279">
        <f t="shared" si="968"/>
        <v>-2.9238505906965497E-4</v>
      </c>
    </row>
    <row r="280" spans="1:20" x14ac:dyDescent="0.25">
      <c r="A280" s="5">
        <v>44313</v>
      </c>
      <c r="B280">
        <v>291.60000000000002</v>
      </c>
      <c r="C280">
        <v>305</v>
      </c>
      <c r="D280">
        <v>272</v>
      </c>
      <c r="E280">
        <v>293.16000000000003</v>
      </c>
      <c r="F280">
        <v>3739.4814000000001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0.28242424242424397</v>
      </c>
      <c r="Q280">
        <f t="shared" si="965"/>
        <v>1056.1202014545513</v>
      </c>
      <c r="R280">
        <f t="shared" si="966"/>
        <v>-28024.561954739936</v>
      </c>
      <c r="S280">
        <f t="shared" si="967"/>
        <v>-0.28024561954739935</v>
      </c>
      <c r="T280">
        <f t="shared" si="968"/>
        <v>-2.8024561954739937E-4</v>
      </c>
    </row>
    <row r="281" spans="1:20" x14ac:dyDescent="0.25">
      <c r="A281" s="5">
        <v>44312</v>
      </c>
      <c r="B281">
        <v>276.60000000000002</v>
      </c>
      <c r="C281">
        <v>312.81</v>
      </c>
      <c r="D281">
        <v>276.58999999999997</v>
      </c>
      <c r="E281">
        <v>291.63</v>
      </c>
      <c r="F281">
        <v>4203.00414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-0.16951960242959641</v>
      </c>
      <c r="Q281">
        <f t="shared" si="965"/>
        <v>-712.49159082274775</v>
      </c>
      <c r="R281">
        <f t="shared" si="966"/>
        <v>-29080.682156194489</v>
      </c>
      <c r="S281">
        <f t="shared" si="967"/>
        <v>-0.29080682156194487</v>
      </c>
      <c r="T281">
        <f t="shared" si="968"/>
        <v>-2.9080682156194489E-4</v>
      </c>
    </row>
    <row r="282" spans="1:20" x14ac:dyDescent="0.25">
      <c r="A282" s="5">
        <v>44311</v>
      </c>
      <c r="B282">
        <v>235.98</v>
      </c>
      <c r="C282">
        <v>302.55</v>
      </c>
      <c r="D282">
        <v>234.18</v>
      </c>
      <c r="E282">
        <v>278.08</v>
      </c>
      <c r="F282">
        <v>4406.66248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0.28418897177124397</v>
      </c>
      <c r="Q282">
        <f t="shared" si="965"/>
        <v>1252.32487913412</v>
      </c>
      <c r="R282">
        <f t="shared" si="966"/>
        <v>-28368.19056537174</v>
      </c>
      <c r="S282">
        <f t="shared" si="967"/>
        <v>-0.28368190565371743</v>
      </c>
      <c r="T282">
        <f t="shared" si="968"/>
        <v>-2.8368190565371742E-4</v>
      </c>
    </row>
    <row r="283" spans="1:20" x14ac:dyDescent="0.25">
      <c r="A283" s="5">
        <v>44310</v>
      </c>
      <c r="B283">
        <v>257.48</v>
      </c>
      <c r="C283">
        <v>261.32</v>
      </c>
      <c r="D283">
        <v>231.65</v>
      </c>
      <c r="E283">
        <v>235.98</v>
      </c>
      <c r="F283">
        <v>2876.11751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-0.7081226828446251</v>
      </c>
      <c r="Q283">
        <f t="shared" si="965"/>
        <v>-2036.6440473576029</v>
      </c>
      <c r="R283">
        <f t="shared" si="966"/>
        <v>-29620.515444505862</v>
      </c>
      <c r="S283">
        <f t="shared" si="967"/>
        <v>-0.29620515444505863</v>
      </c>
      <c r="T283">
        <f t="shared" si="968"/>
        <v>-2.9620515444505864E-4</v>
      </c>
    </row>
    <row r="284" spans="1:20" x14ac:dyDescent="0.25">
      <c r="A284" s="5">
        <v>44309</v>
      </c>
      <c r="B284">
        <v>280.01</v>
      </c>
      <c r="C284">
        <v>285.31</v>
      </c>
      <c r="D284">
        <v>224.58</v>
      </c>
      <c r="E284">
        <v>258.67</v>
      </c>
      <c r="F284">
        <v>8768.5356699999993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0.12267413140128468</v>
      </c>
      <c r="Q284">
        <f t="shared" si="965"/>
        <v>1075.6724969784318</v>
      </c>
      <c r="R284">
        <f t="shared" si="966"/>
        <v>-27583.871397148258</v>
      </c>
      <c r="S284">
        <f t="shared" si="967"/>
        <v>-0.27583871397148257</v>
      </c>
      <c r="T284">
        <f t="shared" si="968"/>
        <v>-2.7583871397148256E-4</v>
      </c>
    </row>
    <row r="285" spans="1:20" x14ac:dyDescent="0.25">
      <c r="A285" s="5">
        <v>44308</v>
      </c>
      <c r="B285">
        <v>278.39</v>
      </c>
      <c r="C285">
        <v>337.51</v>
      </c>
      <c r="D285">
        <v>270</v>
      </c>
      <c r="E285">
        <v>280.01</v>
      </c>
      <c r="F285">
        <v>7471.8709799999997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-0.70345134054214209</v>
      </c>
      <c r="Q285">
        <f t="shared" si="965"/>
        <v>-5256.0976572389291</v>
      </c>
      <c r="R285">
        <f t="shared" si="966"/>
        <v>-28659.543894126691</v>
      </c>
      <c r="S285">
        <f t="shared" si="967"/>
        <v>-0.28659543894126693</v>
      </c>
      <c r="T285">
        <f t="shared" si="968"/>
        <v>-2.8659543894126691E-4</v>
      </c>
    </row>
    <row r="286" spans="1:20" x14ac:dyDescent="0.25">
      <c r="A286" s="5">
        <v>44307</v>
      </c>
      <c r="B286">
        <v>333.09</v>
      </c>
      <c r="C286">
        <v>372.44</v>
      </c>
      <c r="D286">
        <v>278.39999999999998</v>
      </c>
      <c r="E286">
        <v>280.27999999999997</v>
      </c>
      <c r="F286">
        <v>11317.23525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-0.96001701403658024</v>
      </c>
      <c r="Q286">
        <f t="shared" si="965"/>
        <v>-10864.738391854531</v>
      </c>
      <c r="R286">
        <f t="shared" si="966"/>
        <v>-23403.446236887761</v>
      </c>
      <c r="S286">
        <f t="shared" si="967"/>
        <v>-0.23403446236887762</v>
      </c>
      <c r="T286">
        <f t="shared" si="968"/>
        <v>-2.3403446236887763E-4</v>
      </c>
    </row>
    <row r="287" spans="1:20" x14ac:dyDescent="0.25">
      <c r="A287" s="5">
        <v>44306</v>
      </c>
      <c r="B287">
        <v>341.72</v>
      </c>
      <c r="C287">
        <v>348</v>
      </c>
      <c r="D287">
        <v>270</v>
      </c>
      <c r="E287">
        <v>333.08</v>
      </c>
      <c r="F287">
        <v>17187.723989999999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0.617435897435897</v>
      </c>
      <c r="Q287">
        <f t="shared" si="965"/>
        <v>10612.317786646145</v>
      </c>
      <c r="R287">
        <f t="shared" si="966"/>
        <v>-12538.70784503323</v>
      </c>
      <c r="S287">
        <f t="shared" si="967"/>
        <v>-0.12538707845033231</v>
      </c>
      <c r="T287">
        <f t="shared" si="968"/>
        <v>-1.253870784503323E-4</v>
      </c>
    </row>
    <row r="288" spans="1:20" x14ac:dyDescent="0.25">
      <c r="A288" s="5">
        <v>44305</v>
      </c>
      <c r="B288">
        <v>224.92</v>
      </c>
      <c r="C288">
        <v>350.49</v>
      </c>
      <c r="D288">
        <v>222.3</v>
      </c>
      <c r="E288">
        <v>341.76</v>
      </c>
      <c r="F288">
        <v>30830.876700000001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0.86379592791949422</v>
      </c>
      <c r="Q288">
        <f t="shared" si="965"/>
        <v>26631.585747648016</v>
      </c>
      <c r="R288">
        <f t="shared" si="966"/>
        <v>-23151.025631679375</v>
      </c>
      <c r="S288">
        <f t="shared" si="967"/>
        <v>-0.23151025631679376</v>
      </c>
      <c r="T288">
        <f t="shared" si="968"/>
        <v>-2.3151025631679376E-4</v>
      </c>
    </row>
    <row r="289" spans="1:20" x14ac:dyDescent="0.25">
      <c r="A289" s="5">
        <v>44304</v>
      </c>
      <c r="B289">
        <v>245.13</v>
      </c>
      <c r="C289">
        <v>246.86</v>
      </c>
      <c r="D289">
        <v>196.06</v>
      </c>
      <c r="E289">
        <v>226.19</v>
      </c>
      <c r="F289">
        <v>5347.0654699999996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0.18622047244094445</v>
      </c>
      <c r="Q289">
        <f t="shared" si="965"/>
        <v>995.73305799606055</v>
      </c>
      <c r="R289">
        <f t="shared" si="966"/>
        <v>-49782.611379327391</v>
      </c>
      <c r="S289">
        <f t="shared" si="967"/>
        <v>-0.49782611379327391</v>
      </c>
      <c r="T289">
        <f t="shared" si="968"/>
        <v>-4.9782611379327389E-4</v>
      </c>
    </row>
    <row r="290" spans="1:20" x14ac:dyDescent="0.25">
      <c r="A290" s="5">
        <v>44303</v>
      </c>
      <c r="B290">
        <v>259.39</v>
      </c>
      <c r="C290">
        <v>260.10000000000002</v>
      </c>
      <c r="D290">
        <v>239.11</v>
      </c>
      <c r="E290">
        <v>246.59</v>
      </c>
      <c r="F290">
        <v>3164.8436000000002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-0.28727965697951535</v>
      </c>
      <c r="Q290">
        <f t="shared" si="965"/>
        <v>-909.19518380181455</v>
      </c>
      <c r="R290">
        <f t="shared" si="966"/>
        <v>-50778.344437323452</v>
      </c>
      <c r="S290">
        <f t="shared" si="967"/>
        <v>-0.50778344437323453</v>
      </c>
      <c r="T290">
        <f t="shared" si="968"/>
        <v>-5.0778344437323454E-4</v>
      </c>
    </row>
    <row r="291" spans="1:20" x14ac:dyDescent="0.25">
      <c r="A291" s="5">
        <v>44302</v>
      </c>
      <c r="B291">
        <v>274.49</v>
      </c>
      <c r="C291">
        <v>280.68</v>
      </c>
      <c r="D291">
        <v>242.22</v>
      </c>
      <c r="E291">
        <v>259.60000000000002</v>
      </c>
      <c r="F291">
        <v>6960.74676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-9.6203848153925103E-2</v>
      </c>
      <c r="Q291">
        <f t="shared" si="965"/>
        <v>-669.65062433696619</v>
      </c>
      <c r="R291">
        <f t="shared" si="966"/>
        <v>-49869.149253521638</v>
      </c>
      <c r="S291">
        <f t="shared" si="967"/>
        <v>-0.49869149253521639</v>
      </c>
      <c r="T291">
        <f t="shared" si="968"/>
        <v>-4.9869149253521639E-4</v>
      </c>
    </row>
    <row r="292" spans="1:20" x14ac:dyDescent="0.25">
      <c r="A292" s="5">
        <v>44301</v>
      </c>
      <c r="B292">
        <v>254.61</v>
      </c>
      <c r="C292">
        <v>277.35000000000002</v>
      </c>
      <c r="D292">
        <v>250.14</v>
      </c>
      <c r="E292">
        <v>272.94</v>
      </c>
      <c r="F292">
        <v>4145.2679399999997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0.67585446527011983</v>
      </c>
      <c r="Q292">
        <f t="shared" si="965"/>
        <v>2801.597846990071</v>
      </c>
      <c r="R292">
        <f t="shared" si="966"/>
        <v>-49199.498629184673</v>
      </c>
      <c r="S292">
        <f t="shared" si="967"/>
        <v>-0.49199498629184674</v>
      </c>
      <c r="T292">
        <f t="shared" si="968"/>
        <v>-4.9199498629184674E-4</v>
      </c>
    </row>
    <row r="293" spans="1:20" x14ac:dyDescent="0.25">
      <c r="A293" s="5">
        <v>44300</v>
      </c>
      <c r="B293">
        <v>272.13</v>
      </c>
      <c r="C293">
        <v>288.89</v>
      </c>
      <c r="D293">
        <v>245</v>
      </c>
      <c r="E293">
        <v>256.33</v>
      </c>
      <c r="F293">
        <v>7881.7340199999999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-0.48370927318295798</v>
      </c>
      <c r="Q293">
        <f t="shared" si="965"/>
        <v>-3812.4678342355937</v>
      </c>
      <c r="R293">
        <f t="shared" si="966"/>
        <v>-52001.096476174745</v>
      </c>
      <c r="S293">
        <f t="shared" si="967"/>
        <v>-0.52001096476174746</v>
      </c>
      <c r="T293">
        <f t="shared" si="968"/>
        <v>-5.2001096476174749E-4</v>
      </c>
    </row>
    <row r="294" spans="1:20" x14ac:dyDescent="0.25">
      <c r="A294" s="5">
        <v>44299</v>
      </c>
      <c r="B294">
        <v>270.01</v>
      </c>
      <c r="C294">
        <v>280</v>
      </c>
      <c r="D294">
        <v>258.95</v>
      </c>
      <c r="E294">
        <v>272.13</v>
      </c>
      <c r="F294">
        <v>3121.8348500000002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0.25225653206650828</v>
      </c>
      <c r="Q294">
        <f t="shared" si="965"/>
        <v>787.50323294536815</v>
      </c>
      <c r="R294">
        <f t="shared" si="966"/>
        <v>-48188.628641939154</v>
      </c>
      <c r="S294">
        <f t="shared" si="967"/>
        <v>-0.48188628641939152</v>
      </c>
      <c r="T294">
        <f t="shared" si="968"/>
        <v>-4.8188628641939151E-4</v>
      </c>
    </row>
    <row r="295" spans="1:20" x14ac:dyDescent="0.25">
      <c r="A295" s="5">
        <v>44298</v>
      </c>
      <c r="B295">
        <v>242.63</v>
      </c>
      <c r="C295">
        <v>284.2</v>
      </c>
      <c r="D295">
        <v>242.16</v>
      </c>
      <c r="E295">
        <v>270.88</v>
      </c>
      <c r="F295">
        <v>10878.783229999999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0.36631779257849689</v>
      </c>
      <c r="Q295">
        <f t="shared" si="965"/>
        <v>3985.0918587535702</v>
      </c>
      <c r="R295">
        <f t="shared" si="966"/>
        <v>-48976.131874884522</v>
      </c>
      <c r="S295">
        <f t="shared" si="967"/>
        <v>-0.48976131874884521</v>
      </c>
      <c r="T295">
        <f t="shared" si="968"/>
        <v>-4.8976131874884526E-4</v>
      </c>
    </row>
    <row r="296" spans="1:20" x14ac:dyDescent="0.25">
      <c r="A296" s="5">
        <v>44297</v>
      </c>
      <c r="B296">
        <v>224.27</v>
      </c>
      <c r="C296">
        <v>250</v>
      </c>
      <c r="D296">
        <v>220.16</v>
      </c>
      <c r="E296">
        <v>242.65</v>
      </c>
      <c r="F296">
        <v>4565.8486899999998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0.50737265415549637</v>
      </c>
      <c r="Q296">
        <f t="shared" si="965"/>
        <v>2316.5867683176962</v>
      </c>
      <c r="R296">
        <f t="shared" si="966"/>
        <v>-52961.223733638093</v>
      </c>
      <c r="S296">
        <f t="shared" si="967"/>
        <v>-0.52961223733638096</v>
      </c>
      <c r="T296">
        <f t="shared" si="968"/>
        <v>-5.2961223733638096E-4</v>
      </c>
    </row>
    <row r="297" spans="1:20" x14ac:dyDescent="0.25">
      <c r="A297" s="5">
        <v>44296</v>
      </c>
      <c r="B297">
        <v>228.29</v>
      </c>
      <c r="C297">
        <v>239.52</v>
      </c>
      <c r="D297">
        <v>219.11</v>
      </c>
      <c r="E297">
        <v>225</v>
      </c>
      <c r="F297">
        <v>5318.6769199999999</v>
      </c>
      <c r="G297">
        <v>0</v>
      </c>
      <c r="L297" t="s">
        <v>8</v>
      </c>
      <c r="M297" t="s">
        <v>7</v>
      </c>
      <c r="N297" t="s">
        <v>7</v>
      </c>
      <c r="P297">
        <f t="shared" si="964"/>
        <v>-0.42283194512493999</v>
      </c>
      <c r="Q297">
        <f t="shared" si="965"/>
        <v>-2248.9065075747249</v>
      </c>
      <c r="R297">
        <f t="shared" si="966"/>
        <v>-55277.810501955792</v>
      </c>
      <c r="S297">
        <f t="shared" si="967"/>
        <v>-0.55277810501955793</v>
      </c>
      <c r="T297">
        <f t="shared" si="968"/>
        <v>-5.5277810501955791E-4</v>
      </c>
    </row>
    <row r="298" spans="1:20" x14ac:dyDescent="0.25">
      <c r="A298" s="5">
        <v>44295</v>
      </c>
      <c r="B298">
        <v>232.1</v>
      </c>
      <c r="C298">
        <v>235</v>
      </c>
      <c r="D298">
        <v>222</v>
      </c>
      <c r="E298">
        <v>227.36</v>
      </c>
      <c r="F298">
        <v>4369.8415999999997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-0.17538461538461328</v>
      </c>
      <c r="Q298">
        <f t="shared" si="965"/>
        <v>-766.40298830768302</v>
      </c>
      <c r="R298">
        <f t="shared" si="966"/>
        <v>-53028.903994381064</v>
      </c>
      <c r="S298">
        <f t="shared" si="967"/>
        <v>-0.5302890399438106</v>
      </c>
      <c r="T298">
        <f t="shared" si="968"/>
        <v>-5.3028903994381061E-4</v>
      </c>
    </row>
    <row r="299" spans="1:20" x14ac:dyDescent="0.25">
      <c r="A299" s="5">
        <v>44294</v>
      </c>
      <c r="B299">
        <v>219.11</v>
      </c>
      <c r="C299">
        <v>236</v>
      </c>
      <c r="D299">
        <v>214.89</v>
      </c>
      <c r="E299">
        <v>232.15</v>
      </c>
      <c r="F299">
        <v>5157.8340600000001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0.63524396020843277</v>
      </c>
      <c r="Q299">
        <f t="shared" si="965"/>
        <v>3276.4829343723395</v>
      </c>
      <c r="R299">
        <f t="shared" si="966"/>
        <v>-52262.501006073384</v>
      </c>
      <c r="S299">
        <f t="shared" si="967"/>
        <v>-0.52262501006073381</v>
      </c>
      <c r="T299">
        <f t="shared" si="968"/>
        <v>-5.226250100607338E-4</v>
      </c>
    </row>
    <row r="300" spans="1:20" x14ac:dyDescent="0.25">
      <c r="A300" s="5">
        <v>44293</v>
      </c>
      <c r="B300">
        <v>229.18</v>
      </c>
      <c r="C300">
        <v>243.38</v>
      </c>
      <c r="D300">
        <v>206</v>
      </c>
      <c r="E300">
        <v>218.14</v>
      </c>
      <c r="F300">
        <v>6023.0823700000001</v>
      </c>
      <c r="G300">
        <v>0</v>
      </c>
      <c r="L300" t="s">
        <v>8</v>
      </c>
      <c r="M300" t="s">
        <v>7</v>
      </c>
      <c r="N300" t="s">
        <v>7</v>
      </c>
      <c r="P300">
        <f t="shared" si="964"/>
        <v>-0.3504547886570365</v>
      </c>
      <c r="Q300">
        <f t="shared" si="965"/>
        <v>-2110.8180590422726</v>
      </c>
      <c r="R300">
        <f t="shared" si="966"/>
        <v>-55538.983940445723</v>
      </c>
      <c r="S300">
        <f t="shared" si="967"/>
        <v>-0.55538983940445719</v>
      </c>
      <c r="T300">
        <f t="shared" si="968"/>
        <v>-5.5538983940445717E-4</v>
      </c>
    </row>
    <row r="301" spans="1:20" x14ac:dyDescent="0.25">
      <c r="A301" s="5">
        <v>44292</v>
      </c>
      <c r="B301">
        <v>233.94</v>
      </c>
      <c r="C301">
        <v>239</v>
      </c>
      <c r="D301">
        <v>221</v>
      </c>
      <c r="E301">
        <v>229.15</v>
      </c>
      <c r="F301">
        <v>5047.4455200000002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-9.4444444444443817E-2</v>
      </c>
      <c r="Q301">
        <f t="shared" si="965"/>
        <v>-476.70318799999683</v>
      </c>
      <c r="R301">
        <f t="shared" si="966"/>
        <v>-53428.165881403453</v>
      </c>
      <c r="S301">
        <f t="shared" si="967"/>
        <v>-0.53428165881403455</v>
      </c>
      <c r="T301">
        <f t="shared" si="968"/>
        <v>-5.3428165881403453E-4</v>
      </c>
    </row>
    <row r="302" spans="1:20" x14ac:dyDescent="0.25">
      <c r="A302" s="5">
        <v>44291</v>
      </c>
      <c r="B302">
        <v>234.19</v>
      </c>
      <c r="C302">
        <v>245</v>
      </c>
      <c r="D302">
        <v>220.53</v>
      </c>
      <c r="E302">
        <v>233.94</v>
      </c>
      <c r="F302">
        <v>4747.0592500000002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9.6035962402942154E-2</v>
      </c>
      <c r="Q302">
        <f t="shared" si="965"/>
        <v>455.88840365753879</v>
      </c>
      <c r="R302">
        <f t="shared" si="966"/>
        <v>-52951.462693403453</v>
      </c>
      <c r="S302">
        <f t="shared" si="967"/>
        <v>-0.5295146269340345</v>
      </c>
      <c r="T302">
        <f t="shared" si="968"/>
        <v>-5.2951462693403455E-4</v>
      </c>
    </row>
    <row r="303" spans="1:20" x14ac:dyDescent="0.25">
      <c r="A303" s="5">
        <v>44290</v>
      </c>
      <c r="B303">
        <v>225.08</v>
      </c>
      <c r="C303">
        <v>250</v>
      </c>
      <c r="D303">
        <v>220</v>
      </c>
      <c r="E303">
        <v>235.37</v>
      </c>
      <c r="F303">
        <v>4920.10527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2.4666666666666968E-2</v>
      </c>
      <c r="Q303">
        <f t="shared" si="965"/>
        <v>121.36259666000149</v>
      </c>
      <c r="R303">
        <f t="shared" si="966"/>
        <v>-53407.351097060993</v>
      </c>
      <c r="S303">
        <f t="shared" si="967"/>
        <v>-0.53407351097060995</v>
      </c>
      <c r="T303">
        <f t="shared" si="968"/>
        <v>-5.3407351097060993E-4</v>
      </c>
    </row>
    <row r="304" spans="1:20" x14ac:dyDescent="0.25">
      <c r="A304" s="5">
        <v>44289</v>
      </c>
      <c r="B304">
        <v>243.19</v>
      </c>
      <c r="C304">
        <v>250.5</v>
      </c>
      <c r="D304">
        <v>222</v>
      </c>
      <c r="E304">
        <v>225.08</v>
      </c>
      <c r="F304">
        <v>5082.9858999999997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-0.78385964912280615</v>
      </c>
      <c r="Q304">
        <f t="shared" si="965"/>
        <v>-3984.3475440701709</v>
      </c>
      <c r="R304">
        <f t="shared" si="966"/>
        <v>-53528.713693720994</v>
      </c>
      <c r="S304">
        <f t="shared" si="967"/>
        <v>-0.53528713693720997</v>
      </c>
      <c r="T304">
        <f t="shared" si="968"/>
        <v>-5.3528713693721001E-4</v>
      </c>
    </row>
    <row r="305" spans="1:20" x14ac:dyDescent="0.25">
      <c r="A305" s="5">
        <v>44288</v>
      </c>
      <c r="B305">
        <v>242.12</v>
      </c>
      <c r="C305">
        <v>255</v>
      </c>
      <c r="D305">
        <v>239</v>
      </c>
      <c r="E305">
        <v>243.19</v>
      </c>
      <c r="F305">
        <v>3623.7856700000002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-0.47625000000000028</v>
      </c>
      <c r="Q305">
        <f t="shared" si="965"/>
        <v>-1725.827925337501</v>
      </c>
      <c r="R305">
        <f t="shared" si="966"/>
        <v>-49544.366149650821</v>
      </c>
      <c r="S305">
        <f t="shared" si="967"/>
        <v>-0.4954436614965082</v>
      </c>
      <c r="T305">
        <f t="shared" si="968"/>
        <v>-4.9544366149650821E-4</v>
      </c>
    </row>
    <row r="306" spans="1:20" x14ac:dyDescent="0.25">
      <c r="A306" s="5">
        <v>44287</v>
      </c>
      <c r="B306">
        <v>254.74</v>
      </c>
      <c r="C306">
        <v>254.74</v>
      </c>
      <c r="D306">
        <v>239</v>
      </c>
      <c r="E306">
        <v>242.12</v>
      </c>
      <c r="F306">
        <v>3563.22613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-0.60355781448538715</v>
      </c>
      <c r="Q306">
        <f t="shared" si="965"/>
        <v>-2150.6129755400239</v>
      </c>
      <c r="R306">
        <f t="shared" si="966"/>
        <v>-47818.538224313321</v>
      </c>
      <c r="S306">
        <f t="shared" si="967"/>
        <v>-0.47818538224313323</v>
      </c>
      <c r="T306">
        <f t="shared" si="968"/>
        <v>-4.7818538224313325E-4</v>
      </c>
    </row>
    <row r="307" spans="1:20" x14ac:dyDescent="0.25">
      <c r="A307" s="5">
        <v>44286</v>
      </c>
      <c r="B307">
        <v>268.01</v>
      </c>
      <c r="C307">
        <v>274.99</v>
      </c>
      <c r="D307">
        <v>246.1</v>
      </c>
      <c r="E307">
        <v>254.74</v>
      </c>
      <c r="F307">
        <v>6487.7970699999996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-0.40186915887850394</v>
      </c>
      <c r="Q307">
        <f t="shared" si="965"/>
        <v>-2607.2455514953222</v>
      </c>
      <c r="R307">
        <f t="shared" si="966"/>
        <v>-45667.925248773296</v>
      </c>
      <c r="S307">
        <f t="shared" si="967"/>
        <v>-0.45667925248773295</v>
      </c>
      <c r="T307">
        <f t="shared" si="968"/>
        <v>-4.5667925248773296E-4</v>
      </c>
    </row>
    <row r="308" spans="1:20" x14ac:dyDescent="0.25">
      <c r="A308" s="5">
        <v>44285</v>
      </c>
      <c r="B308">
        <v>257.79000000000002</v>
      </c>
      <c r="C308">
        <v>278.88</v>
      </c>
      <c r="D308">
        <v>252.02</v>
      </c>
      <c r="E308">
        <v>266.87</v>
      </c>
      <c r="F308">
        <v>6179.5417900000002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0.10573343261355193</v>
      </c>
      <c r="Q308">
        <f t="shared" si="965"/>
        <v>653.3841654355931</v>
      </c>
      <c r="R308">
        <f t="shared" si="966"/>
        <v>-43060.67969727797</v>
      </c>
      <c r="S308">
        <f t="shared" si="967"/>
        <v>-0.4306067969727797</v>
      </c>
      <c r="T308">
        <f t="shared" si="968"/>
        <v>-4.306067969727797E-4</v>
      </c>
    </row>
    <row r="309" spans="1:20" x14ac:dyDescent="0.25">
      <c r="A309" s="5">
        <v>44284</v>
      </c>
      <c r="B309">
        <v>239.95</v>
      </c>
      <c r="C309">
        <v>268.02999999999997</v>
      </c>
      <c r="D309">
        <v>234.25</v>
      </c>
      <c r="E309">
        <v>256.47000000000003</v>
      </c>
      <c r="F309">
        <v>8173.7076999999999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0.31557134399052961</v>
      </c>
      <c r="Q309">
        <f t="shared" si="965"/>
        <v>2579.3879242747407</v>
      </c>
      <c r="R309">
        <f t="shared" si="966"/>
        <v>-43714.063862713563</v>
      </c>
      <c r="S309">
        <f t="shared" si="967"/>
        <v>-0.43714063862713565</v>
      </c>
      <c r="T309">
        <f t="shared" si="968"/>
        <v>-4.3714063862713564E-4</v>
      </c>
    </row>
    <row r="310" spans="1:20" x14ac:dyDescent="0.25">
      <c r="A310" s="5">
        <v>44283</v>
      </c>
      <c r="B310">
        <v>235.35</v>
      </c>
      <c r="C310">
        <v>260</v>
      </c>
      <c r="D310">
        <v>229.64</v>
      </c>
      <c r="E310">
        <v>239.98</v>
      </c>
      <c r="F310">
        <v>6238.4779200000003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-0.31884057971014501</v>
      </c>
      <c r="Q310">
        <f t="shared" si="965"/>
        <v>-1989.0799165217397</v>
      </c>
      <c r="R310">
        <f t="shared" si="966"/>
        <v>-46293.451786988306</v>
      </c>
      <c r="S310">
        <f t="shared" si="967"/>
        <v>-0.46293451786988304</v>
      </c>
      <c r="T310">
        <f t="shared" si="968"/>
        <v>-4.6293451786988307E-4</v>
      </c>
    </row>
    <row r="311" spans="1:20" x14ac:dyDescent="0.25">
      <c r="A311" s="5">
        <v>44282</v>
      </c>
      <c r="B311">
        <v>237.7</v>
      </c>
      <c r="C311">
        <v>245</v>
      </c>
      <c r="D311">
        <v>225.12</v>
      </c>
      <c r="E311">
        <v>235.6</v>
      </c>
      <c r="F311">
        <v>3020.4544700000001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5.432595573440565E-2</v>
      </c>
      <c r="Q311">
        <f t="shared" si="965"/>
        <v>164.08907583500769</v>
      </c>
      <c r="R311">
        <f t="shared" si="966"/>
        <v>-44304.371870466566</v>
      </c>
      <c r="S311">
        <f t="shared" si="967"/>
        <v>-0.44304371870466563</v>
      </c>
      <c r="T311">
        <f t="shared" si="968"/>
        <v>-4.4304371870466561E-4</v>
      </c>
    </row>
    <row r="312" spans="1:20" x14ac:dyDescent="0.25">
      <c r="A312" s="5">
        <v>44281</v>
      </c>
      <c r="B312">
        <v>216.97</v>
      </c>
      <c r="C312">
        <v>243.39</v>
      </c>
      <c r="D312">
        <v>216.6</v>
      </c>
      <c r="E312">
        <v>237.68</v>
      </c>
      <c r="F312">
        <v>3692.7601199999999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0.57372153788727276</v>
      </c>
      <c r="Q312">
        <f t="shared" si="965"/>
        <v>2118.6160150951901</v>
      </c>
      <c r="R312">
        <f t="shared" si="966"/>
        <v>-44468.460946301573</v>
      </c>
      <c r="S312">
        <f t="shared" si="967"/>
        <v>-0.44468460946301575</v>
      </c>
      <c r="T312">
        <f t="shared" si="968"/>
        <v>-4.4468460946301574E-4</v>
      </c>
    </row>
    <row r="313" spans="1:20" x14ac:dyDescent="0.25">
      <c r="A313" s="5">
        <v>44280</v>
      </c>
      <c r="B313">
        <v>225.99</v>
      </c>
      <c r="C313">
        <v>227.32</v>
      </c>
      <c r="D313">
        <v>206.17</v>
      </c>
      <c r="E313">
        <v>216</v>
      </c>
      <c r="F313">
        <v>5085.6943600000004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-7.0449172576831212E-2</v>
      </c>
      <c r="Q313">
        <f t="shared" si="965"/>
        <v>-358.28295964065717</v>
      </c>
      <c r="R313">
        <f t="shared" si="966"/>
        <v>-46587.076961396764</v>
      </c>
      <c r="S313">
        <f t="shared" si="967"/>
        <v>-0.46587076961396762</v>
      </c>
      <c r="T313">
        <f t="shared" si="968"/>
        <v>-4.6587076961396762E-4</v>
      </c>
    </row>
    <row r="314" spans="1:20" x14ac:dyDescent="0.25">
      <c r="A314" s="5">
        <v>44279</v>
      </c>
      <c r="B314">
        <v>240.15</v>
      </c>
      <c r="C314">
        <v>253.99</v>
      </c>
      <c r="D314">
        <v>221</v>
      </c>
      <c r="E314">
        <v>225.98</v>
      </c>
      <c r="F314">
        <v>4309.9538199999997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-0.69809033040315316</v>
      </c>
      <c r="Q314">
        <f t="shared" si="965"/>
        <v>-3008.7370862261319</v>
      </c>
      <c r="R314">
        <f t="shared" si="966"/>
        <v>-46228.794001756105</v>
      </c>
      <c r="S314">
        <f t="shared" si="967"/>
        <v>-0.46228794001756107</v>
      </c>
      <c r="T314">
        <f t="shared" si="968"/>
        <v>-4.6228794001756105E-4</v>
      </c>
    </row>
    <row r="315" spans="1:20" x14ac:dyDescent="0.25">
      <c r="A315" s="5">
        <v>44278</v>
      </c>
      <c r="B315">
        <v>248.56</v>
      </c>
      <c r="C315">
        <v>254.28</v>
      </c>
      <c r="D315">
        <v>235</v>
      </c>
      <c r="E315">
        <v>239.12</v>
      </c>
      <c r="F315">
        <v>7232.0067900000004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-0.57261410788381695</v>
      </c>
      <c r="Q315">
        <f t="shared" si="965"/>
        <v>-4141.1491162655566</v>
      </c>
      <c r="R315">
        <f t="shared" si="966"/>
        <v>-43220.056915529975</v>
      </c>
      <c r="S315">
        <f t="shared" si="967"/>
        <v>-0.43220056915529975</v>
      </c>
      <c r="T315">
        <f t="shared" si="968"/>
        <v>-4.3220056915529976E-4</v>
      </c>
    </row>
    <row r="316" spans="1:20" x14ac:dyDescent="0.25">
      <c r="A316" s="5">
        <v>44277</v>
      </c>
      <c r="B316">
        <v>283.43</v>
      </c>
      <c r="C316">
        <v>292</v>
      </c>
      <c r="D316">
        <v>241.3</v>
      </c>
      <c r="E316">
        <v>248.04</v>
      </c>
      <c r="F316">
        <v>11472.34182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-0.73412228796844248</v>
      </c>
      <c r="Q316">
        <f t="shared" si="965"/>
        <v>-8422.1018252544454</v>
      </c>
      <c r="R316">
        <f t="shared" si="966"/>
        <v>-39078.907799264416</v>
      </c>
      <c r="S316">
        <f t="shared" si="967"/>
        <v>-0.39078907799264417</v>
      </c>
      <c r="T316">
        <f t="shared" si="968"/>
        <v>-3.9078907799264419E-4</v>
      </c>
    </row>
    <row r="317" spans="1:20" x14ac:dyDescent="0.25">
      <c r="A317" s="5">
        <v>44276</v>
      </c>
      <c r="B317">
        <v>263.73</v>
      </c>
      <c r="C317">
        <v>319.32</v>
      </c>
      <c r="D317">
        <v>253.29</v>
      </c>
      <c r="E317">
        <v>283.61</v>
      </c>
      <c r="F317">
        <v>21354.752179999999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-8.1629562320156862E-2</v>
      </c>
      <c r="Q317">
        <f t="shared" si="965"/>
        <v>-1743.1790739088156</v>
      </c>
      <c r="R317">
        <f t="shared" si="966"/>
        <v>-30656.805974009971</v>
      </c>
      <c r="S317">
        <f t="shared" si="967"/>
        <v>-0.30656805974009971</v>
      </c>
      <c r="T317">
        <f t="shared" si="968"/>
        <v>-3.065680597400997E-4</v>
      </c>
    </row>
    <row r="318" spans="1:20" x14ac:dyDescent="0.25">
      <c r="A318" s="5">
        <v>44275</v>
      </c>
      <c r="B318">
        <v>242.01</v>
      </c>
      <c r="C318">
        <v>285</v>
      </c>
      <c r="D318">
        <v>241.05</v>
      </c>
      <c r="E318">
        <v>264.38</v>
      </c>
      <c r="F318">
        <v>8194.6696300000003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6.1660978384527422E-2</v>
      </c>
      <c r="Q318">
        <f t="shared" si="965"/>
        <v>505.29134692377335</v>
      </c>
      <c r="R318">
        <f t="shared" si="966"/>
        <v>-28913.626900101157</v>
      </c>
      <c r="S318">
        <f t="shared" si="967"/>
        <v>-0.28913626900101158</v>
      </c>
      <c r="T318">
        <f t="shared" si="968"/>
        <v>-2.8913626900101157E-4</v>
      </c>
    </row>
    <row r="319" spans="1:20" x14ac:dyDescent="0.25">
      <c r="A319" s="5">
        <v>44274</v>
      </c>
      <c r="B319">
        <v>242.92</v>
      </c>
      <c r="C319">
        <v>252.99</v>
      </c>
      <c r="D319">
        <v>237</v>
      </c>
      <c r="E319">
        <v>242.72</v>
      </c>
      <c r="F319">
        <v>4638.8543399999999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-0.28455284552845583</v>
      </c>
      <c r="Q319">
        <f t="shared" si="965"/>
        <v>-1319.9992024390269</v>
      </c>
      <c r="R319">
        <f t="shared" si="966"/>
        <v>-29418.918247024929</v>
      </c>
      <c r="S319">
        <f t="shared" si="967"/>
        <v>-0.29418918247024928</v>
      </c>
      <c r="T319">
        <f t="shared" si="968"/>
        <v>-2.9418918247024929E-4</v>
      </c>
    </row>
    <row r="320" spans="1:20" x14ac:dyDescent="0.25">
      <c r="A320" s="5">
        <v>44273</v>
      </c>
      <c r="B320">
        <v>245.98</v>
      </c>
      <c r="C320">
        <v>252.11</v>
      </c>
      <c r="D320">
        <v>240.77</v>
      </c>
      <c r="E320">
        <v>242.91</v>
      </c>
      <c r="F320">
        <v>4496.5500199999997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-0.62257495590829182</v>
      </c>
      <c r="Q320">
        <f t="shared" si="965"/>
        <v>-2799.4394304409284</v>
      </c>
      <c r="R320">
        <f t="shared" si="966"/>
        <v>-28098.919044585902</v>
      </c>
      <c r="S320">
        <f t="shared" si="967"/>
        <v>-0.28098919044585902</v>
      </c>
      <c r="T320">
        <f t="shared" si="968"/>
        <v>-2.80989190445859E-4</v>
      </c>
    </row>
    <row r="321" spans="1:20" x14ac:dyDescent="0.25">
      <c r="A321" s="5">
        <v>44272</v>
      </c>
      <c r="B321">
        <v>247.7</v>
      </c>
      <c r="C321">
        <v>253</v>
      </c>
      <c r="D321">
        <v>231.66</v>
      </c>
      <c r="E321">
        <v>246.85</v>
      </c>
      <c r="F321">
        <v>4055.35689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0.42361761949390769</v>
      </c>
      <c r="Q321">
        <f t="shared" si="965"/>
        <v>1717.9206319400168</v>
      </c>
      <c r="R321">
        <f t="shared" si="966"/>
        <v>-25299.479614144973</v>
      </c>
      <c r="S321">
        <f t="shared" si="967"/>
        <v>-0.25299479614144971</v>
      </c>
      <c r="T321">
        <f t="shared" si="968"/>
        <v>-2.5299479614144973E-4</v>
      </c>
    </row>
    <row r="322" spans="1:20" x14ac:dyDescent="0.25">
      <c r="A322" s="5">
        <v>44271</v>
      </c>
      <c r="B322">
        <v>249.41</v>
      </c>
      <c r="C322">
        <v>253.98</v>
      </c>
      <c r="D322">
        <v>233.34</v>
      </c>
      <c r="E322">
        <v>248.2</v>
      </c>
      <c r="F322">
        <v>4062.54439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0.43992248062015454</v>
      </c>
      <c r="Q322">
        <f t="shared" si="965"/>
        <v>1787.2046056782926</v>
      </c>
      <c r="R322">
        <f t="shared" si="966"/>
        <v>-27017.400246084992</v>
      </c>
      <c r="S322">
        <f t="shared" si="967"/>
        <v>-0.27017400246084994</v>
      </c>
      <c r="T322">
        <f t="shared" si="968"/>
        <v>-2.7017400246084992E-4</v>
      </c>
    </row>
    <row r="323" spans="1:20" x14ac:dyDescent="0.25">
      <c r="A323" s="5">
        <v>44270</v>
      </c>
      <c r="B323">
        <v>256.04000000000002</v>
      </c>
      <c r="C323">
        <v>260</v>
      </c>
      <c r="D323">
        <v>238</v>
      </c>
      <c r="E323">
        <v>249.81</v>
      </c>
      <c r="F323">
        <v>6254.64653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7.3636363636363847E-2</v>
      </c>
      <c r="Q323">
        <f t="shared" si="965"/>
        <v>460.56942630000134</v>
      </c>
      <c r="R323">
        <f t="shared" si="966"/>
        <v>-28804.604851763284</v>
      </c>
      <c r="S323">
        <f t="shared" si="967"/>
        <v>-0.28804604851763282</v>
      </c>
      <c r="T323">
        <f t="shared" si="968"/>
        <v>-2.8804604851763281E-4</v>
      </c>
    </row>
    <row r="324" spans="1:20" x14ac:dyDescent="0.25">
      <c r="A324" s="5">
        <v>44269</v>
      </c>
      <c r="B324">
        <v>266</v>
      </c>
      <c r="C324">
        <v>268.02999999999997</v>
      </c>
      <c r="D324">
        <v>252.7</v>
      </c>
      <c r="E324">
        <v>255</v>
      </c>
      <c r="F324">
        <v>3806.2040499999998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-0.69993476842791735</v>
      </c>
      <c r="Q324">
        <f t="shared" si="965"/>
        <v>-2664.094550326151</v>
      </c>
      <c r="R324">
        <f t="shared" si="966"/>
        <v>-29265.174278063285</v>
      </c>
      <c r="S324">
        <f t="shared" si="967"/>
        <v>-0.29265174278063283</v>
      </c>
      <c r="T324">
        <f t="shared" si="968"/>
        <v>-2.9265174278063285E-4</v>
      </c>
    </row>
    <row r="325" spans="1:20" x14ac:dyDescent="0.25">
      <c r="A325" s="5">
        <v>44268</v>
      </c>
      <c r="B325">
        <v>262.83</v>
      </c>
      <c r="C325">
        <v>277.26</v>
      </c>
      <c r="D325">
        <v>250.7</v>
      </c>
      <c r="E325">
        <v>266.68</v>
      </c>
      <c r="F325">
        <v>5002.8274000000001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0.20331325301204947</v>
      </c>
      <c r="Q325">
        <f t="shared" si="965"/>
        <v>1017.1411129518136</v>
      </c>
      <c r="R325">
        <f t="shared" si="966"/>
        <v>-26601.079727737135</v>
      </c>
      <c r="S325">
        <f t="shared" si="967"/>
        <v>-0.26601079727737137</v>
      </c>
      <c r="T325">
        <f t="shared" si="968"/>
        <v>-2.6601079727737136E-4</v>
      </c>
    </row>
    <row r="326" spans="1:20" x14ac:dyDescent="0.25">
      <c r="A326" s="5">
        <v>44267</v>
      </c>
      <c r="B326">
        <v>264.95999999999998</v>
      </c>
      <c r="C326">
        <v>299</v>
      </c>
      <c r="D326">
        <v>250.03</v>
      </c>
      <c r="E326">
        <v>262.44</v>
      </c>
      <c r="F326">
        <v>9711.5728600000002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-0.49315907698590988</v>
      </c>
      <c r="Q326">
        <f t="shared" ref="Q326:Q389" si="970">F326*P326</f>
        <v>-4789.3503077190135</v>
      </c>
      <c r="R326">
        <f t="shared" ref="R326:R389" si="971">R327+Q326</f>
        <v>-27618.220840688948</v>
      </c>
      <c r="S326">
        <f t="shared" ref="S326:S389" si="972">R326/100000</f>
        <v>-0.27618220840688945</v>
      </c>
      <c r="T326">
        <f t="shared" ref="T326:T389" si="973">S326/1000</f>
        <v>-2.7618220840688944E-4</v>
      </c>
    </row>
    <row r="327" spans="1:20" x14ac:dyDescent="0.25">
      <c r="A327" s="5">
        <v>44266</v>
      </c>
      <c r="B327">
        <v>247.4</v>
      </c>
      <c r="C327">
        <v>267.24</v>
      </c>
      <c r="D327">
        <v>239</v>
      </c>
      <c r="E327">
        <v>264.98</v>
      </c>
      <c r="F327">
        <v>8302.4572399999997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0.83994334277620464</v>
      </c>
      <c r="Q327">
        <f t="shared" si="970"/>
        <v>6973.5936874221015</v>
      </c>
      <c r="R327">
        <f t="shared" si="971"/>
        <v>-22828.870532969933</v>
      </c>
      <c r="S327">
        <f t="shared" si="972"/>
        <v>-0.22828870532969933</v>
      </c>
      <c r="T327">
        <f t="shared" si="973"/>
        <v>-2.2828870532969934E-4</v>
      </c>
    </row>
    <row r="328" spans="1:20" x14ac:dyDescent="0.25">
      <c r="A328" s="5">
        <v>44265</v>
      </c>
      <c r="B328">
        <v>271.82</v>
      </c>
      <c r="C328">
        <v>276</v>
      </c>
      <c r="D328">
        <v>247.2</v>
      </c>
      <c r="E328">
        <v>247.4</v>
      </c>
      <c r="F328">
        <v>6970.9968699999999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-0.98611111111110994</v>
      </c>
      <c r="Q328">
        <f t="shared" si="970"/>
        <v>-6874.1774690277698</v>
      </c>
      <c r="R328">
        <f t="shared" si="971"/>
        <v>-29802.464220392034</v>
      </c>
      <c r="S328">
        <f t="shared" si="972"/>
        <v>-0.29802464220392033</v>
      </c>
      <c r="T328">
        <f t="shared" si="973"/>
        <v>-2.9802464220392034E-4</v>
      </c>
    </row>
    <row r="329" spans="1:20" x14ac:dyDescent="0.25">
      <c r="A329" s="5">
        <v>44264</v>
      </c>
      <c r="B329">
        <v>273.60000000000002</v>
      </c>
      <c r="C329">
        <v>281.38</v>
      </c>
      <c r="D329">
        <v>265.02</v>
      </c>
      <c r="E329">
        <v>271.82</v>
      </c>
      <c r="F329">
        <v>7834.5022799999997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-0.16870415647921691</v>
      </c>
      <c r="Q329">
        <f t="shared" si="970"/>
        <v>-1321.7130985819017</v>
      </c>
      <c r="R329">
        <f t="shared" si="971"/>
        <v>-22928.286751364263</v>
      </c>
      <c r="S329">
        <f t="shared" si="972"/>
        <v>-0.22928286751364263</v>
      </c>
      <c r="T329">
        <f t="shared" si="973"/>
        <v>-2.2928286751364263E-4</v>
      </c>
    </row>
    <row r="330" spans="1:20" x14ac:dyDescent="0.25">
      <c r="A330" s="5">
        <v>44263</v>
      </c>
      <c r="B330">
        <v>291.98</v>
      </c>
      <c r="C330">
        <v>295</v>
      </c>
      <c r="D330">
        <v>260.05</v>
      </c>
      <c r="E330">
        <v>274.37</v>
      </c>
      <c r="F330">
        <v>6771.7161800000003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-0.180543633762518</v>
      </c>
      <c r="Q330">
        <f t="shared" si="970"/>
        <v>-1222.5902459456374</v>
      </c>
      <c r="R330">
        <f t="shared" si="971"/>
        <v>-21606.573652782361</v>
      </c>
      <c r="S330">
        <f t="shared" si="972"/>
        <v>-0.2160657365278236</v>
      </c>
      <c r="T330">
        <f t="shared" si="973"/>
        <v>-2.1606573652782361E-4</v>
      </c>
    </row>
    <row r="331" spans="1:20" x14ac:dyDescent="0.25">
      <c r="A331" s="5">
        <v>44262</v>
      </c>
      <c r="B331">
        <v>281.8</v>
      </c>
      <c r="C331">
        <v>297.91000000000003</v>
      </c>
      <c r="D331">
        <v>278.19</v>
      </c>
      <c r="E331">
        <v>291.98</v>
      </c>
      <c r="F331">
        <v>4807.7443599999997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0.3985801217038541</v>
      </c>
      <c r="Q331">
        <f t="shared" si="970"/>
        <v>1916.2713321298179</v>
      </c>
      <c r="R331">
        <f t="shared" si="971"/>
        <v>-20383.983406836724</v>
      </c>
      <c r="S331">
        <f t="shared" si="972"/>
        <v>-0.20383983406836723</v>
      </c>
      <c r="T331">
        <f t="shared" si="973"/>
        <v>-2.0383983406836723E-4</v>
      </c>
    </row>
    <row r="332" spans="1:20" x14ac:dyDescent="0.25">
      <c r="A332" s="5">
        <v>44261</v>
      </c>
      <c r="B332">
        <v>297.77</v>
      </c>
      <c r="C332">
        <v>298.81</v>
      </c>
      <c r="D332">
        <v>266</v>
      </c>
      <c r="E332">
        <v>281.79000000000002</v>
      </c>
      <c r="F332">
        <v>6182.24449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-3.7488570557755597E-2</v>
      </c>
      <c r="Q332">
        <f t="shared" si="970"/>
        <v>-231.76350876866078</v>
      </c>
      <c r="R332">
        <f t="shared" si="971"/>
        <v>-22300.254738966541</v>
      </c>
      <c r="S332">
        <f t="shared" si="972"/>
        <v>-0.22300254738966541</v>
      </c>
      <c r="T332">
        <f t="shared" si="973"/>
        <v>-2.2300254738966542E-4</v>
      </c>
    </row>
    <row r="333" spans="1:20" x14ac:dyDescent="0.25">
      <c r="A333" s="5">
        <v>44260</v>
      </c>
      <c r="B333">
        <v>271.75</v>
      </c>
      <c r="C333">
        <v>303</v>
      </c>
      <c r="D333">
        <v>258.24</v>
      </c>
      <c r="E333">
        <v>297.8</v>
      </c>
      <c r="F333">
        <v>8030.3668799999996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0.76764968722073323</v>
      </c>
      <c r="Q333">
        <f t="shared" si="970"/>
        <v>6164.5086236997349</v>
      </c>
      <c r="R333">
        <f t="shared" si="971"/>
        <v>-22068.49123019788</v>
      </c>
      <c r="S333">
        <f t="shared" si="972"/>
        <v>-0.22068491230197881</v>
      </c>
      <c r="T333">
        <f t="shared" si="973"/>
        <v>-2.2068491230197882E-4</v>
      </c>
    </row>
    <row r="334" spans="1:20" x14ac:dyDescent="0.25">
      <c r="A334" s="5">
        <v>44259</v>
      </c>
      <c r="B334">
        <v>287</v>
      </c>
      <c r="C334">
        <v>295</v>
      </c>
      <c r="D334">
        <v>264</v>
      </c>
      <c r="E334">
        <v>271.75</v>
      </c>
      <c r="F334">
        <v>8419.6775699999998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-0.5</v>
      </c>
      <c r="Q334">
        <f t="shared" si="970"/>
        <v>-4209.8387849999999</v>
      </c>
      <c r="R334">
        <f t="shared" si="971"/>
        <v>-28232.999853897614</v>
      </c>
      <c r="S334">
        <f t="shared" si="972"/>
        <v>-0.28232999853897617</v>
      </c>
      <c r="T334">
        <f t="shared" si="973"/>
        <v>-2.8232999853897617E-4</v>
      </c>
    </row>
    <row r="335" spans="1:20" x14ac:dyDescent="0.25">
      <c r="A335" s="5">
        <v>44258</v>
      </c>
      <c r="B335">
        <v>256.83</v>
      </c>
      <c r="C335">
        <v>320</v>
      </c>
      <c r="D335">
        <v>256.76</v>
      </c>
      <c r="E335">
        <v>284.56</v>
      </c>
      <c r="F335">
        <v>14599.487499999999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-0.12080961416824772</v>
      </c>
      <c r="Q335">
        <f t="shared" si="970"/>
        <v>-1763.7584519291554</v>
      </c>
      <c r="R335">
        <f t="shared" si="971"/>
        <v>-24023.161068897614</v>
      </c>
      <c r="S335">
        <f t="shared" si="972"/>
        <v>-0.24023161068897614</v>
      </c>
      <c r="T335">
        <f t="shared" si="973"/>
        <v>-2.4023161068897615E-4</v>
      </c>
    </row>
    <row r="336" spans="1:20" x14ac:dyDescent="0.25">
      <c r="A336" s="5">
        <v>44257</v>
      </c>
      <c r="B336">
        <v>261.99</v>
      </c>
      <c r="C336">
        <v>275.89999999999998</v>
      </c>
      <c r="D336">
        <v>243.8</v>
      </c>
      <c r="E336">
        <v>256.83</v>
      </c>
      <c r="F336">
        <v>6751.2788399999999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-0.18816199376947124</v>
      </c>
      <c r="Q336">
        <f t="shared" si="970"/>
        <v>-1270.3340870280431</v>
      </c>
      <c r="R336">
        <f t="shared" si="971"/>
        <v>-22259.402616968458</v>
      </c>
      <c r="S336">
        <f t="shared" si="972"/>
        <v>-0.22259402616968457</v>
      </c>
      <c r="T336">
        <f t="shared" si="973"/>
        <v>-2.2259402616968456E-4</v>
      </c>
    </row>
    <row r="337" spans="1:20" x14ac:dyDescent="0.25">
      <c r="A337" s="5">
        <v>44256</v>
      </c>
      <c r="B337">
        <v>243.72</v>
      </c>
      <c r="C337">
        <v>268.98</v>
      </c>
      <c r="D337">
        <v>236.9</v>
      </c>
      <c r="E337">
        <v>261.99</v>
      </c>
      <c r="F337">
        <v>4674.0748899999999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0.56421446384039864</v>
      </c>
      <c r="Q337">
        <f t="shared" si="970"/>
        <v>2637.1806580112202</v>
      </c>
      <c r="R337">
        <f t="shared" si="971"/>
        <v>-20989.068529940414</v>
      </c>
      <c r="S337">
        <f t="shared" si="972"/>
        <v>-0.20989068529940413</v>
      </c>
      <c r="T337">
        <f t="shared" si="973"/>
        <v>-2.0989068529940412E-4</v>
      </c>
    </row>
    <row r="338" spans="1:20" x14ac:dyDescent="0.25">
      <c r="A338" s="5">
        <v>44255</v>
      </c>
      <c r="B338">
        <v>253.93</v>
      </c>
      <c r="C338">
        <v>261</v>
      </c>
      <c r="D338">
        <v>219.39</v>
      </c>
      <c r="E338">
        <v>243.72</v>
      </c>
      <c r="F338">
        <v>7224.4994299999998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0.16943042537851499</v>
      </c>
      <c r="Q338">
        <f t="shared" si="970"/>
        <v>1224.0500115717391</v>
      </c>
      <c r="R338">
        <f t="shared" si="971"/>
        <v>-23626.249187951635</v>
      </c>
      <c r="S338">
        <f t="shared" si="972"/>
        <v>-0.23626249187951634</v>
      </c>
      <c r="T338">
        <f t="shared" si="973"/>
        <v>-2.3626249187951633E-4</v>
      </c>
    </row>
    <row r="339" spans="1:20" x14ac:dyDescent="0.25">
      <c r="A339" s="5">
        <v>44254</v>
      </c>
      <c r="B339">
        <v>251.01</v>
      </c>
      <c r="C339">
        <v>270.60000000000002</v>
      </c>
      <c r="D339">
        <v>250.39</v>
      </c>
      <c r="E339">
        <v>256.62</v>
      </c>
      <c r="F339">
        <v>4272.1903000000002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-0.38347352795645651</v>
      </c>
      <c r="Q339">
        <f t="shared" si="970"/>
        <v>-1638.2718864423523</v>
      </c>
      <c r="R339">
        <f t="shared" si="971"/>
        <v>-24850.299199523375</v>
      </c>
      <c r="S339">
        <f t="shared" si="972"/>
        <v>-0.24850299199523376</v>
      </c>
      <c r="T339">
        <f t="shared" si="973"/>
        <v>-2.4850299199523379E-4</v>
      </c>
    </row>
    <row r="340" spans="1:20" x14ac:dyDescent="0.25">
      <c r="A340" s="5">
        <v>44253</v>
      </c>
      <c r="B340">
        <v>275.7</v>
      </c>
      <c r="C340">
        <v>280.51</v>
      </c>
      <c r="D340">
        <v>244</v>
      </c>
      <c r="E340">
        <v>251</v>
      </c>
      <c r="F340">
        <v>8420.1350999999995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-0.61654341276362634</v>
      </c>
      <c r="Q340">
        <f t="shared" si="970"/>
        <v>-5191.3788304847976</v>
      </c>
      <c r="R340">
        <f t="shared" si="971"/>
        <v>-23212.027313081024</v>
      </c>
      <c r="S340">
        <f t="shared" si="972"/>
        <v>-0.23212027313081024</v>
      </c>
      <c r="T340">
        <f t="shared" si="973"/>
        <v>-2.3212027313081025E-4</v>
      </c>
    </row>
    <row r="341" spans="1:20" x14ac:dyDescent="0.25">
      <c r="A341" s="5">
        <v>44252</v>
      </c>
      <c r="B341">
        <v>258.14</v>
      </c>
      <c r="C341">
        <v>355.99</v>
      </c>
      <c r="D341">
        <v>256.70999999999998</v>
      </c>
      <c r="E341">
        <v>275.70999999999998</v>
      </c>
      <c r="F341">
        <v>18333.971979999998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-0.6172441579371476</v>
      </c>
      <c r="Q341">
        <f t="shared" si="970"/>
        <v>-11316.537096438358</v>
      </c>
      <c r="R341">
        <f t="shared" si="971"/>
        <v>-18020.648482596225</v>
      </c>
      <c r="S341">
        <f t="shared" si="972"/>
        <v>-0.18020648482596224</v>
      </c>
      <c r="T341">
        <f t="shared" si="973"/>
        <v>-1.8020648482596223E-4</v>
      </c>
    </row>
    <row r="342" spans="1:20" x14ac:dyDescent="0.25">
      <c r="A342" s="5">
        <v>44251</v>
      </c>
      <c r="B342">
        <v>259.83999999999997</v>
      </c>
      <c r="C342">
        <v>288.25</v>
      </c>
      <c r="D342">
        <v>240.22</v>
      </c>
      <c r="E342">
        <v>256.7</v>
      </c>
      <c r="F342">
        <v>8975.2296600000009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-0.31376223193837227</v>
      </c>
      <c r="Q342">
        <f t="shared" si="970"/>
        <v>-2816.0880902810782</v>
      </c>
      <c r="R342">
        <f t="shared" si="971"/>
        <v>-6704.1113861578679</v>
      </c>
      <c r="S342">
        <f t="shared" si="972"/>
        <v>-6.7041113861578683E-2</v>
      </c>
      <c r="T342">
        <f t="shared" si="973"/>
        <v>-6.7041113861578678E-5</v>
      </c>
    </row>
    <row r="343" spans="1:20" x14ac:dyDescent="0.25">
      <c r="A343" s="5">
        <v>44250</v>
      </c>
      <c r="B343">
        <v>316.3</v>
      </c>
      <c r="C343">
        <v>322.94</v>
      </c>
      <c r="D343">
        <v>223.34</v>
      </c>
      <c r="E343">
        <v>259.83</v>
      </c>
      <c r="F343">
        <v>12432.553089999999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-0.26726907630522123</v>
      </c>
      <c r="Q343">
        <f t="shared" si="970"/>
        <v>-3322.836980479924</v>
      </c>
      <c r="R343">
        <f t="shared" si="971"/>
        <v>-3888.0232958767897</v>
      </c>
      <c r="S343">
        <f t="shared" si="972"/>
        <v>-3.8880232958767899E-2</v>
      </c>
      <c r="T343">
        <f t="shared" si="973"/>
        <v>-3.8880232958767898E-5</v>
      </c>
    </row>
    <row r="344" spans="1:20" x14ac:dyDescent="0.25">
      <c r="A344" s="5">
        <v>44249</v>
      </c>
      <c r="B344">
        <v>360.24</v>
      </c>
      <c r="C344">
        <v>375.79</v>
      </c>
      <c r="D344">
        <v>285.01</v>
      </c>
      <c r="E344">
        <v>318.02999999999997</v>
      </c>
      <c r="F344">
        <v>11552.248970000001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-0.27252698832341987</v>
      </c>
      <c r="Q344">
        <f t="shared" si="970"/>
        <v>-3148.2996201564292</v>
      </c>
      <c r="R344">
        <f t="shared" si="971"/>
        <v>-565.18631539686567</v>
      </c>
      <c r="S344">
        <f t="shared" si="972"/>
        <v>-5.6518631539686564E-3</v>
      </c>
      <c r="T344">
        <f t="shared" si="973"/>
        <v>-5.6518631539686564E-6</v>
      </c>
    </row>
    <row r="345" spans="1:20" x14ac:dyDescent="0.25">
      <c r="A345" s="5">
        <v>44248</v>
      </c>
      <c r="B345">
        <v>357.41</v>
      </c>
      <c r="C345">
        <v>380.04</v>
      </c>
      <c r="D345">
        <v>340</v>
      </c>
      <c r="E345">
        <v>360.06</v>
      </c>
      <c r="F345">
        <v>7682.8522700000003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1.9980019980015994E-3</v>
      </c>
      <c r="Q345">
        <f t="shared" si="970"/>
        <v>15.350354185811124</v>
      </c>
      <c r="R345">
        <f t="shared" si="971"/>
        <v>2583.1133047595636</v>
      </c>
      <c r="S345">
        <f t="shared" si="972"/>
        <v>2.5831133047595635E-2</v>
      </c>
      <c r="T345">
        <f t="shared" si="973"/>
        <v>2.5831133047595636E-5</v>
      </c>
    </row>
    <row r="346" spans="1:20" x14ac:dyDescent="0.25">
      <c r="A346" s="5">
        <v>44247</v>
      </c>
      <c r="B346">
        <v>383</v>
      </c>
      <c r="C346">
        <v>406.31</v>
      </c>
      <c r="D346">
        <v>344.48</v>
      </c>
      <c r="E346">
        <v>357.39</v>
      </c>
      <c r="F346">
        <v>10994.122069999999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-0.58240336406275361</v>
      </c>
      <c r="Q346">
        <f t="shared" si="970"/>
        <v>-6403.0136784845645</v>
      </c>
      <c r="R346">
        <f t="shared" si="971"/>
        <v>2567.7629505737523</v>
      </c>
      <c r="S346">
        <f t="shared" si="972"/>
        <v>2.5677629505737522E-2</v>
      </c>
      <c r="T346">
        <f t="shared" si="973"/>
        <v>2.567762950573752E-5</v>
      </c>
    </row>
    <row r="347" spans="1:20" x14ac:dyDescent="0.25">
      <c r="A347" s="5">
        <v>44246</v>
      </c>
      <c r="B347">
        <v>415.75</v>
      </c>
      <c r="C347">
        <v>440</v>
      </c>
      <c r="D347">
        <v>370.63</v>
      </c>
      <c r="E347">
        <v>382.99</v>
      </c>
      <c r="F347">
        <v>10331.32618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-0.64364999279227297</v>
      </c>
      <c r="Q347">
        <f t="shared" si="970"/>
        <v>-6649.7580212916209</v>
      </c>
      <c r="R347">
        <f t="shared" si="971"/>
        <v>8970.7766290583168</v>
      </c>
      <c r="S347">
        <f t="shared" si="972"/>
        <v>8.9707766290583163E-2</v>
      </c>
      <c r="T347">
        <f t="shared" si="973"/>
        <v>8.9707766290583166E-5</v>
      </c>
    </row>
    <row r="348" spans="1:20" x14ac:dyDescent="0.25">
      <c r="A348" s="5">
        <v>44245</v>
      </c>
      <c r="B348">
        <v>408.58</v>
      </c>
      <c r="C348">
        <v>433</v>
      </c>
      <c r="D348">
        <v>384.01</v>
      </c>
      <c r="E348">
        <v>415.82</v>
      </c>
      <c r="F348">
        <v>8656.4649000000009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0.29863237395386799</v>
      </c>
      <c r="Q348">
        <f t="shared" si="970"/>
        <v>2585.1006631353325</v>
      </c>
      <c r="R348">
        <f t="shared" si="971"/>
        <v>15620.534650349937</v>
      </c>
      <c r="S348">
        <f t="shared" si="972"/>
        <v>0.15620534650349938</v>
      </c>
      <c r="T348">
        <f t="shared" si="973"/>
        <v>1.5620534650349937E-4</v>
      </c>
    </row>
    <row r="349" spans="1:20" x14ac:dyDescent="0.25">
      <c r="A349" s="5">
        <v>44244</v>
      </c>
      <c r="B349">
        <v>384.5</v>
      </c>
      <c r="C349">
        <v>414.74</v>
      </c>
      <c r="D349">
        <v>365.63</v>
      </c>
      <c r="E349">
        <v>410.76</v>
      </c>
      <c r="F349">
        <v>6676.26422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0.8379148849521475</v>
      </c>
      <c r="Q349">
        <f t="shared" si="970"/>
        <v>5594.1411658114384</v>
      </c>
      <c r="R349">
        <f t="shared" si="971"/>
        <v>13035.433987214605</v>
      </c>
      <c r="S349">
        <f t="shared" si="972"/>
        <v>0.13035433987214604</v>
      </c>
      <c r="T349">
        <f t="shared" si="973"/>
        <v>1.3035433987214603E-4</v>
      </c>
    </row>
    <row r="350" spans="1:20" x14ac:dyDescent="0.25">
      <c r="A350" s="5">
        <v>44243</v>
      </c>
      <c r="B350">
        <v>408.21</v>
      </c>
      <c r="C350">
        <v>425</v>
      </c>
      <c r="D350">
        <v>368</v>
      </c>
      <c r="E350">
        <v>386.84</v>
      </c>
      <c r="F350">
        <v>5559.8980899999997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-0.3389473684210535</v>
      </c>
      <c r="Q350">
        <f t="shared" si="970"/>
        <v>-1884.5128262947414</v>
      </c>
      <c r="R350">
        <f t="shared" si="971"/>
        <v>7441.2928214031654</v>
      </c>
      <c r="S350">
        <f t="shared" si="972"/>
        <v>7.4412928214031657E-2</v>
      </c>
      <c r="T350">
        <f t="shared" si="973"/>
        <v>7.4412928214031657E-5</v>
      </c>
    </row>
    <row r="351" spans="1:20" x14ac:dyDescent="0.25">
      <c r="A351" s="5">
        <v>44242</v>
      </c>
      <c r="B351">
        <v>388.96</v>
      </c>
      <c r="C351">
        <v>430.7</v>
      </c>
      <c r="D351">
        <v>343.7</v>
      </c>
      <c r="E351">
        <v>408.2</v>
      </c>
      <c r="F351">
        <v>9321.6273700000002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0.48275862068965519</v>
      </c>
      <c r="Q351">
        <f t="shared" si="970"/>
        <v>4500.0959717241385</v>
      </c>
      <c r="R351">
        <f t="shared" si="971"/>
        <v>9325.8056476979073</v>
      </c>
      <c r="S351">
        <f t="shared" si="972"/>
        <v>9.3258056476979073E-2</v>
      </c>
      <c r="T351">
        <f t="shared" si="973"/>
        <v>9.3258056476979079E-5</v>
      </c>
    </row>
    <row r="352" spans="1:20" x14ac:dyDescent="0.25">
      <c r="A352" s="5">
        <v>44241</v>
      </c>
      <c r="B352">
        <v>430</v>
      </c>
      <c r="C352">
        <v>447.43</v>
      </c>
      <c r="D352">
        <v>375.75</v>
      </c>
      <c r="E352">
        <v>388.95</v>
      </c>
      <c r="F352">
        <v>8018.4777400000003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-0.63169642857142894</v>
      </c>
      <c r="Q352">
        <f t="shared" si="970"/>
        <v>-5065.2437509375031</v>
      </c>
      <c r="R352">
        <f t="shared" si="971"/>
        <v>4825.7096759737688</v>
      </c>
      <c r="S352">
        <f t="shared" si="972"/>
        <v>4.8257096759737689E-2</v>
      </c>
      <c r="T352">
        <f t="shared" si="973"/>
        <v>4.8257096759737689E-5</v>
      </c>
    </row>
    <row r="353" spans="1:20" x14ac:dyDescent="0.25">
      <c r="A353" s="5">
        <v>44240</v>
      </c>
      <c r="B353">
        <v>469.76</v>
      </c>
      <c r="C353">
        <v>488.2</v>
      </c>
      <c r="D353">
        <v>402.11</v>
      </c>
      <c r="E353">
        <v>430</v>
      </c>
      <c r="F353">
        <v>10391.42834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-0.35207341154605659</v>
      </c>
      <c r="Q353">
        <f t="shared" si="970"/>
        <v>-3658.5456265001758</v>
      </c>
      <c r="R353">
        <f t="shared" si="971"/>
        <v>9890.9534269112719</v>
      </c>
      <c r="S353">
        <f t="shared" si="972"/>
        <v>9.8909534269112726E-2</v>
      </c>
      <c r="T353">
        <f t="shared" si="973"/>
        <v>9.8909534269112727E-5</v>
      </c>
    </row>
    <row r="354" spans="1:20" x14ac:dyDescent="0.25">
      <c r="A354" s="5">
        <v>44239</v>
      </c>
      <c r="B354">
        <v>400.9</v>
      </c>
      <c r="C354">
        <v>514</v>
      </c>
      <c r="D354">
        <v>394.37</v>
      </c>
      <c r="E354">
        <v>470.01</v>
      </c>
      <c r="F354">
        <v>14399.250110000001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0.26456574437850022</v>
      </c>
      <c r="Q354">
        <f t="shared" si="970"/>
        <v>3809.5483238443512</v>
      </c>
      <c r="R354">
        <f t="shared" si="971"/>
        <v>13549.499053411448</v>
      </c>
      <c r="S354">
        <f t="shared" si="972"/>
        <v>0.13549499053411448</v>
      </c>
      <c r="T354">
        <f t="shared" si="973"/>
        <v>1.3549499053411448E-4</v>
      </c>
    </row>
    <row r="355" spans="1:20" x14ac:dyDescent="0.25">
      <c r="A355" s="5">
        <v>44238</v>
      </c>
      <c r="B355">
        <v>366.97</v>
      </c>
      <c r="C355">
        <v>449</v>
      </c>
      <c r="D355">
        <v>358.59</v>
      </c>
      <c r="E355">
        <v>400.9</v>
      </c>
      <c r="F355">
        <v>11709.83942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-6.404158831987633E-2</v>
      </c>
      <c r="Q355">
        <f t="shared" si="970"/>
        <v>-749.91671542749941</v>
      </c>
      <c r="R355">
        <f t="shared" si="971"/>
        <v>9739.9507295670974</v>
      </c>
      <c r="S355">
        <f t="shared" si="972"/>
        <v>9.739950729567097E-2</v>
      </c>
      <c r="T355">
        <f t="shared" si="973"/>
        <v>9.7399507295670973E-5</v>
      </c>
    </row>
    <row r="356" spans="1:20" x14ac:dyDescent="0.25">
      <c r="A356" s="5">
        <v>44237</v>
      </c>
      <c r="B356">
        <v>387.84</v>
      </c>
      <c r="C356">
        <v>419</v>
      </c>
      <c r="D356">
        <v>341</v>
      </c>
      <c r="E356">
        <v>366.92</v>
      </c>
      <c r="F356">
        <v>12983.35405</v>
      </c>
      <c r="G356">
        <v>0</v>
      </c>
      <c r="L356" t="s">
        <v>8</v>
      </c>
      <c r="M356" t="s">
        <v>8</v>
      </c>
      <c r="N356" t="s">
        <v>7</v>
      </c>
      <c r="P356">
        <f t="shared" si="969"/>
        <v>-0.335384615384615</v>
      </c>
      <c r="Q356">
        <f t="shared" si="970"/>
        <v>-4354.4172044615334</v>
      </c>
      <c r="R356">
        <f t="shared" si="971"/>
        <v>10489.867444994597</v>
      </c>
      <c r="S356">
        <f t="shared" si="972"/>
        <v>0.10489867444994598</v>
      </c>
      <c r="T356">
        <f t="shared" si="973"/>
        <v>1.0489867444994598E-4</v>
      </c>
    </row>
    <row r="357" spans="1:20" x14ac:dyDescent="0.25">
      <c r="A357" s="5">
        <v>44236</v>
      </c>
      <c r="B357">
        <v>362</v>
      </c>
      <c r="C357">
        <v>390</v>
      </c>
      <c r="D357">
        <v>340</v>
      </c>
      <c r="E357">
        <v>390</v>
      </c>
      <c r="F357">
        <v>10977.89705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1</v>
      </c>
      <c r="Q357">
        <f t="shared" si="970"/>
        <v>10977.89705</v>
      </c>
      <c r="R357">
        <f t="shared" si="971"/>
        <v>14844.284649456131</v>
      </c>
      <c r="S357">
        <f t="shared" si="972"/>
        <v>0.1484428464945613</v>
      </c>
      <c r="T357">
        <f t="shared" si="973"/>
        <v>1.4844284649456131E-4</v>
      </c>
    </row>
    <row r="358" spans="1:20" x14ac:dyDescent="0.25">
      <c r="A358" s="5">
        <v>44235</v>
      </c>
      <c r="B358">
        <v>367.34</v>
      </c>
      <c r="C358">
        <v>394.9</v>
      </c>
      <c r="D358">
        <v>349.73</v>
      </c>
      <c r="E358">
        <v>362</v>
      </c>
      <c r="F358">
        <v>9063.2689300000002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-0.45671906132388784</v>
      </c>
      <c r="Q358">
        <f t="shared" si="970"/>
        <v>-4139.3676782355578</v>
      </c>
      <c r="R358">
        <f t="shared" si="971"/>
        <v>3866.3875994561322</v>
      </c>
      <c r="S358">
        <f t="shared" si="972"/>
        <v>3.8663875994561323E-2</v>
      </c>
      <c r="T358">
        <f t="shared" si="973"/>
        <v>3.8663875994561325E-5</v>
      </c>
    </row>
    <row r="359" spans="1:20" x14ac:dyDescent="0.25">
      <c r="A359" s="5">
        <v>44234</v>
      </c>
      <c r="B359">
        <v>359.96</v>
      </c>
      <c r="C359">
        <v>395</v>
      </c>
      <c r="D359">
        <v>305</v>
      </c>
      <c r="E359">
        <v>369.46</v>
      </c>
      <c r="F359">
        <v>12483.51144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0.43244444444444397</v>
      </c>
      <c r="Q359">
        <f t="shared" si="970"/>
        <v>5398.4251693866609</v>
      </c>
      <c r="R359">
        <f t="shared" si="971"/>
        <v>8005.75527769169</v>
      </c>
      <c r="S359">
        <f t="shared" si="972"/>
        <v>8.0057552776916896E-2</v>
      </c>
      <c r="T359">
        <f t="shared" si="973"/>
        <v>8.0057552776916901E-5</v>
      </c>
    </row>
    <row r="360" spans="1:20" x14ac:dyDescent="0.25">
      <c r="A360" s="5">
        <v>44233</v>
      </c>
      <c r="B360">
        <v>395.04</v>
      </c>
      <c r="C360">
        <v>408</v>
      </c>
      <c r="D360">
        <v>356.01</v>
      </c>
      <c r="E360">
        <v>359.98</v>
      </c>
      <c r="F360">
        <v>8541.8357099999994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-0.84727832275437487</v>
      </c>
      <c r="Q360">
        <f t="shared" si="970"/>
        <v>-7237.3122336122242</v>
      </c>
      <c r="R360">
        <f t="shared" si="971"/>
        <v>2607.3301083050292</v>
      </c>
      <c r="S360">
        <f t="shared" si="972"/>
        <v>2.6073301083050292E-2</v>
      </c>
      <c r="T360">
        <f t="shared" si="973"/>
        <v>2.6073301083050292E-5</v>
      </c>
    </row>
    <row r="361" spans="1:20" x14ac:dyDescent="0.25">
      <c r="A361" s="5">
        <v>44232</v>
      </c>
      <c r="B361">
        <v>382.92</v>
      </c>
      <c r="C361">
        <v>428</v>
      </c>
      <c r="D361">
        <v>367.2</v>
      </c>
      <c r="E361">
        <v>395.04</v>
      </c>
      <c r="F361">
        <v>14832.69836</v>
      </c>
      <c r="G361">
        <v>0</v>
      </c>
      <c r="L361" t="s">
        <v>7</v>
      </c>
      <c r="M361" t="s">
        <v>7</v>
      </c>
      <c r="N361" t="s">
        <v>8</v>
      </c>
      <c r="P361">
        <f t="shared" si="969"/>
        <v>-8.4210526315788597E-2</v>
      </c>
      <c r="Q361">
        <f t="shared" si="970"/>
        <v>-1249.0693355789344</v>
      </c>
      <c r="R361">
        <f t="shared" si="971"/>
        <v>9844.6423419172534</v>
      </c>
      <c r="S361">
        <f t="shared" si="972"/>
        <v>9.8446423419172535E-2</v>
      </c>
      <c r="T361">
        <f t="shared" si="973"/>
        <v>9.8446423419172539E-5</v>
      </c>
    </row>
    <row r="362" spans="1:20" x14ac:dyDescent="0.25">
      <c r="A362" s="5">
        <v>44231</v>
      </c>
      <c r="B362">
        <v>445.7</v>
      </c>
      <c r="C362">
        <v>456.07</v>
      </c>
      <c r="D362">
        <v>374</v>
      </c>
      <c r="E362">
        <v>381.01</v>
      </c>
      <c r="F362">
        <v>13234.954100000001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-0.8291702205434387</v>
      </c>
      <c r="Q362">
        <f t="shared" si="970"/>
        <v>-10974.029809979289</v>
      </c>
      <c r="R362">
        <f t="shared" si="971"/>
        <v>11093.711677496187</v>
      </c>
      <c r="S362">
        <f t="shared" si="972"/>
        <v>0.11093711677496187</v>
      </c>
      <c r="T362">
        <f t="shared" si="973"/>
        <v>1.1093711677496188E-4</v>
      </c>
    </row>
    <row r="363" spans="1:20" x14ac:dyDescent="0.25">
      <c r="A363" s="5">
        <v>44230</v>
      </c>
      <c r="B363">
        <v>381.43</v>
      </c>
      <c r="C363">
        <v>460.91</v>
      </c>
      <c r="D363">
        <v>374.98</v>
      </c>
      <c r="E363">
        <v>443</v>
      </c>
      <c r="F363">
        <v>9573.9394699999993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0.5831490748283481</v>
      </c>
      <c r="Q363">
        <f t="shared" si="970"/>
        <v>5583.0339443931052</v>
      </c>
      <c r="R363">
        <f t="shared" si="971"/>
        <v>22067.741487475476</v>
      </c>
      <c r="S363">
        <f t="shared" si="972"/>
        <v>0.22067741487475476</v>
      </c>
      <c r="T363">
        <f t="shared" si="973"/>
        <v>2.2067741487475476E-4</v>
      </c>
    </row>
    <row r="364" spans="1:20" x14ac:dyDescent="0.25">
      <c r="A364" s="5">
        <v>44229</v>
      </c>
      <c r="B364">
        <v>383.26</v>
      </c>
      <c r="C364">
        <v>390.8</v>
      </c>
      <c r="D364">
        <v>346.43</v>
      </c>
      <c r="E364">
        <v>382.44</v>
      </c>
      <c r="F364">
        <v>7557.5798000000004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0.62316880775298567</v>
      </c>
      <c r="Q364">
        <f t="shared" si="970"/>
        <v>4709.6479934640483</v>
      </c>
      <c r="R364">
        <f t="shared" si="971"/>
        <v>16484.707543082372</v>
      </c>
      <c r="S364">
        <f t="shared" si="972"/>
        <v>0.16484707543082372</v>
      </c>
      <c r="T364">
        <f t="shared" si="973"/>
        <v>1.6484707543082373E-4</v>
      </c>
    </row>
    <row r="365" spans="1:20" x14ac:dyDescent="0.25">
      <c r="A365" s="5">
        <v>44228</v>
      </c>
      <c r="B365">
        <v>410.02</v>
      </c>
      <c r="C365">
        <v>410.02</v>
      </c>
      <c r="D365">
        <v>355.16</v>
      </c>
      <c r="E365">
        <v>383.27</v>
      </c>
      <c r="F365">
        <v>12197.17245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2.4790375501275209E-2</v>
      </c>
      <c r="Q365">
        <f t="shared" si="970"/>
        <v>302.3724850893089</v>
      </c>
      <c r="R365">
        <f t="shared" si="971"/>
        <v>11775.059549618323</v>
      </c>
      <c r="S365">
        <f t="shared" si="972"/>
        <v>0.11775059549618323</v>
      </c>
      <c r="T365">
        <f t="shared" si="973"/>
        <v>1.1775059549618324E-4</v>
      </c>
    </row>
    <row r="366" spans="1:20" x14ac:dyDescent="0.25">
      <c r="A366" s="5">
        <v>44227</v>
      </c>
      <c r="B366">
        <v>331.95</v>
      </c>
      <c r="C366">
        <v>420</v>
      </c>
      <c r="D366">
        <v>315.02999999999997</v>
      </c>
      <c r="E366">
        <v>411.21</v>
      </c>
      <c r="F366">
        <v>18234.109680000001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0.83252357816518974</v>
      </c>
      <c r="Q366">
        <f t="shared" si="970"/>
        <v>15180.326235450124</v>
      </c>
      <c r="R366">
        <f t="shared" si="971"/>
        <v>11472.687064529015</v>
      </c>
      <c r="S366">
        <f t="shared" si="972"/>
        <v>0.11472687064529015</v>
      </c>
      <c r="T366">
        <f t="shared" si="973"/>
        <v>1.1472687064529016E-4</v>
      </c>
    </row>
    <row r="367" spans="1:20" x14ac:dyDescent="0.25">
      <c r="A367" s="5">
        <v>44226</v>
      </c>
      <c r="B367">
        <v>320.63</v>
      </c>
      <c r="C367">
        <v>342</v>
      </c>
      <c r="D367">
        <v>307.5</v>
      </c>
      <c r="E367">
        <v>331.95</v>
      </c>
      <c r="F367">
        <v>6963.5433300000004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0.41739130434782545</v>
      </c>
      <c r="Q367">
        <f t="shared" si="970"/>
        <v>2906.5224333913002</v>
      </c>
      <c r="R367">
        <f t="shared" si="971"/>
        <v>-3707.6391709211093</v>
      </c>
      <c r="S367">
        <f t="shared" si="972"/>
        <v>-3.7076391709211093E-2</v>
      </c>
      <c r="T367">
        <f t="shared" si="973"/>
        <v>-3.707639170921109E-5</v>
      </c>
    </row>
    <row r="368" spans="1:20" x14ac:dyDescent="0.25">
      <c r="A368" s="5">
        <v>44225</v>
      </c>
      <c r="B368">
        <v>334.35</v>
      </c>
      <c r="C368">
        <v>352.12</v>
      </c>
      <c r="D368">
        <v>308.07</v>
      </c>
      <c r="E368">
        <v>320.63</v>
      </c>
      <c r="F368">
        <v>10146.55832</v>
      </c>
      <c r="G368">
        <v>0</v>
      </c>
      <c r="L368" t="s">
        <v>7</v>
      </c>
      <c r="M368" t="s">
        <v>8</v>
      </c>
      <c r="N368" t="s">
        <v>7</v>
      </c>
      <c r="P368">
        <f t="shared" si="969"/>
        <v>-0.42973893303064703</v>
      </c>
      <c r="Q368">
        <f t="shared" si="970"/>
        <v>-4360.3711463700347</v>
      </c>
      <c r="R368">
        <f t="shared" si="971"/>
        <v>-6614.1616043124095</v>
      </c>
      <c r="S368">
        <f t="shared" si="972"/>
        <v>-6.6141616043124102E-2</v>
      </c>
      <c r="T368">
        <f t="shared" si="973"/>
        <v>-6.6141616043124108E-5</v>
      </c>
    </row>
    <row r="369" spans="1:20" x14ac:dyDescent="0.25">
      <c r="A369" s="5">
        <v>44224</v>
      </c>
      <c r="B369">
        <v>289.01</v>
      </c>
      <c r="C369">
        <v>358.29</v>
      </c>
      <c r="D369">
        <v>279</v>
      </c>
      <c r="E369">
        <v>334.37</v>
      </c>
      <c r="F369">
        <v>12910.11723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0.39664522638415917</v>
      </c>
      <c r="Q369">
        <f t="shared" si="970"/>
        <v>5120.7363713393834</v>
      </c>
      <c r="R369">
        <f t="shared" si="971"/>
        <v>-2253.7904579423748</v>
      </c>
      <c r="S369">
        <f t="shared" si="972"/>
        <v>-2.253790457942375E-2</v>
      </c>
      <c r="T369">
        <f t="shared" si="973"/>
        <v>-2.2537904579423751E-5</v>
      </c>
    </row>
    <row r="370" spans="1:20" x14ac:dyDescent="0.25">
      <c r="A370" s="5">
        <v>44223</v>
      </c>
      <c r="B370">
        <v>298.02999999999997</v>
      </c>
      <c r="C370">
        <v>309.99</v>
      </c>
      <c r="D370">
        <v>271.14999999999998</v>
      </c>
      <c r="E370">
        <v>289.01</v>
      </c>
      <c r="F370">
        <v>10539.807769999999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-8.0329557157569564E-2</v>
      </c>
      <c r="Q370">
        <f t="shared" si="970"/>
        <v>-846.65809069001079</v>
      </c>
      <c r="R370">
        <f t="shared" si="971"/>
        <v>-7374.5268292817582</v>
      </c>
      <c r="S370">
        <f t="shared" si="972"/>
        <v>-7.3745268292817578E-2</v>
      </c>
      <c r="T370">
        <f t="shared" si="973"/>
        <v>-7.3745268292817575E-5</v>
      </c>
    </row>
    <row r="371" spans="1:20" x14ac:dyDescent="0.25">
      <c r="A371" s="5">
        <v>44222</v>
      </c>
      <c r="B371">
        <v>289.06</v>
      </c>
      <c r="C371">
        <v>319.45999999999998</v>
      </c>
      <c r="D371">
        <v>273.58</v>
      </c>
      <c r="E371">
        <v>298.02999999999997</v>
      </c>
      <c r="F371">
        <v>8242.3285799999994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6.5823888404533182E-2</v>
      </c>
      <c r="Q371">
        <f t="shared" si="970"/>
        <v>542.54211664341437</v>
      </c>
      <c r="R371">
        <f t="shared" si="971"/>
        <v>-6527.8687385917474</v>
      </c>
      <c r="S371">
        <f t="shared" si="972"/>
        <v>-6.527868738591748E-2</v>
      </c>
      <c r="T371">
        <f t="shared" si="973"/>
        <v>-6.5278687385917481E-5</v>
      </c>
    </row>
    <row r="372" spans="1:20" x14ac:dyDescent="0.25">
      <c r="A372" s="5">
        <v>44221</v>
      </c>
      <c r="B372">
        <v>324.58</v>
      </c>
      <c r="C372">
        <v>337.67</v>
      </c>
      <c r="D372">
        <v>285</v>
      </c>
      <c r="E372">
        <v>289.3</v>
      </c>
      <c r="F372">
        <v>6903.26361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-0.83671919498765868</v>
      </c>
      <c r="Q372">
        <f t="shared" si="970"/>
        <v>-5776.0931705467983</v>
      </c>
      <c r="R372">
        <f t="shared" si="971"/>
        <v>-7070.4108552351618</v>
      </c>
      <c r="S372">
        <f t="shared" si="972"/>
        <v>-7.0704108552351624E-2</v>
      </c>
      <c r="T372">
        <f t="shared" si="973"/>
        <v>-7.070410855235163E-5</v>
      </c>
    </row>
    <row r="373" spans="1:20" x14ac:dyDescent="0.25">
      <c r="A373" s="5">
        <v>44220</v>
      </c>
      <c r="B373">
        <v>324.77999999999997</v>
      </c>
      <c r="C373">
        <v>355</v>
      </c>
      <c r="D373">
        <v>300</v>
      </c>
      <c r="E373">
        <v>324.58</v>
      </c>
      <c r="F373">
        <v>9005.8600399999996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-0.10618181818181877</v>
      </c>
      <c r="Q373">
        <f t="shared" si="970"/>
        <v>-956.25859333818698</v>
      </c>
      <c r="R373">
        <f t="shared" si="971"/>
        <v>-1294.3176846883634</v>
      </c>
      <c r="S373">
        <f t="shared" si="972"/>
        <v>-1.2943176846883635E-2</v>
      </c>
      <c r="T373">
        <f t="shared" si="973"/>
        <v>-1.2943176846883635E-5</v>
      </c>
    </row>
    <row r="374" spans="1:20" x14ac:dyDescent="0.25">
      <c r="A374" s="5">
        <v>44219</v>
      </c>
      <c r="B374">
        <v>285.02999999999997</v>
      </c>
      <c r="C374">
        <v>337.61</v>
      </c>
      <c r="D374">
        <v>275</v>
      </c>
      <c r="E374">
        <v>322.88</v>
      </c>
      <c r="F374">
        <v>10702.63701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0.52946813608049781</v>
      </c>
      <c r="Q374">
        <f t="shared" si="970"/>
        <v>5666.7052688308522</v>
      </c>
      <c r="R374">
        <f t="shared" si="971"/>
        <v>-338.05909135017646</v>
      </c>
      <c r="S374">
        <f t="shared" si="972"/>
        <v>-3.3805909135017644E-3</v>
      </c>
      <c r="T374">
        <f t="shared" si="973"/>
        <v>-3.3805909135017644E-6</v>
      </c>
    </row>
    <row r="375" spans="1:20" x14ac:dyDescent="0.25">
      <c r="A375" s="5">
        <v>44218</v>
      </c>
      <c r="B375">
        <v>266.87</v>
      </c>
      <c r="C375">
        <v>296.76</v>
      </c>
      <c r="D375">
        <v>251.78</v>
      </c>
      <c r="E375">
        <v>286.38</v>
      </c>
      <c r="F375">
        <v>7488.14948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0.53846153846153855</v>
      </c>
      <c r="Q375">
        <f t="shared" si="970"/>
        <v>4032.0804892307697</v>
      </c>
      <c r="R375">
        <f t="shared" si="971"/>
        <v>-6004.7643601810287</v>
      </c>
      <c r="S375">
        <f t="shared" si="972"/>
        <v>-6.0047643601810287E-2</v>
      </c>
      <c r="T375">
        <f t="shared" si="973"/>
        <v>-6.0047643601810284E-5</v>
      </c>
    </row>
    <row r="376" spans="1:20" x14ac:dyDescent="0.25">
      <c r="A376" s="5">
        <v>44217</v>
      </c>
      <c r="B376">
        <v>319.77</v>
      </c>
      <c r="C376">
        <v>323.88</v>
      </c>
      <c r="D376">
        <v>261.91000000000003</v>
      </c>
      <c r="E376">
        <v>266.88</v>
      </c>
      <c r="F376">
        <v>11239.2381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-0.83959980635791598</v>
      </c>
      <c r="Q376">
        <f t="shared" si="970"/>
        <v>-9436.4621323705123</v>
      </c>
      <c r="R376">
        <f t="shared" si="971"/>
        <v>-10036.844849411798</v>
      </c>
      <c r="S376">
        <f t="shared" si="972"/>
        <v>-0.10036844849411798</v>
      </c>
      <c r="T376">
        <f t="shared" si="973"/>
        <v>-1.0036844849411798E-4</v>
      </c>
    </row>
    <row r="377" spans="1:20" x14ac:dyDescent="0.25">
      <c r="A377" s="5">
        <v>44216</v>
      </c>
      <c r="B377">
        <v>334.32</v>
      </c>
      <c r="C377">
        <v>366.08</v>
      </c>
      <c r="D377">
        <v>278.86</v>
      </c>
      <c r="E377">
        <v>319.76</v>
      </c>
      <c r="F377">
        <v>14583.06035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-6.2141710616831207E-2</v>
      </c>
      <c r="Q377">
        <f t="shared" si="970"/>
        <v>-906.21631617748517</v>
      </c>
      <c r="R377">
        <f t="shared" si="971"/>
        <v>-600.3827170412851</v>
      </c>
      <c r="S377">
        <f t="shared" si="972"/>
        <v>-6.0038271704128511E-3</v>
      </c>
      <c r="T377">
        <f t="shared" si="973"/>
        <v>-6.0038271704128507E-6</v>
      </c>
    </row>
    <row r="378" spans="1:20" x14ac:dyDescent="0.25">
      <c r="A378" s="5">
        <v>44215</v>
      </c>
      <c r="B378">
        <v>345.64</v>
      </c>
      <c r="C378">
        <v>390.06</v>
      </c>
      <c r="D378">
        <v>326.52999999999997</v>
      </c>
      <c r="E378">
        <v>335.58</v>
      </c>
      <c r="F378">
        <v>10678.823350000001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-0.71509523059971647</v>
      </c>
      <c r="Q378">
        <f t="shared" si="970"/>
        <v>-7636.3756460018867</v>
      </c>
      <c r="R378">
        <f t="shared" si="971"/>
        <v>305.83359913620006</v>
      </c>
      <c r="S378">
        <f t="shared" si="972"/>
        <v>3.0583359913620004E-3</v>
      </c>
      <c r="T378">
        <f t="shared" si="973"/>
        <v>3.0583359913620005E-6</v>
      </c>
    </row>
    <row r="379" spans="1:20" x14ac:dyDescent="0.25">
      <c r="A379" s="5">
        <v>44214</v>
      </c>
      <c r="B379">
        <v>348.99</v>
      </c>
      <c r="C379">
        <v>380</v>
      </c>
      <c r="D379">
        <v>320.52</v>
      </c>
      <c r="E379">
        <v>345.64</v>
      </c>
      <c r="F379">
        <v>12277.207839999999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-0.15534633490248834</v>
      </c>
      <c r="Q379">
        <f t="shared" si="970"/>
        <v>-1907.2192407800953</v>
      </c>
      <c r="R379">
        <f t="shared" si="971"/>
        <v>7942.2092451380868</v>
      </c>
      <c r="S379">
        <f t="shared" si="972"/>
        <v>7.9422092451380863E-2</v>
      </c>
      <c r="T379">
        <f t="shared" si="973"/>
        <v>7.942209245138086E-5</v>
      </c>
    </row>
    <row r="380" spans="1:20" x14ac:dyDescent="0.25">
      <c r="A380" s="5">
        <v>44213</v>
      </c>
      <c r="B380">
        <v>329.85</v>
      </c>
      <c r="C380">
        <v>366</v>
      </c>
      <c r="D380">
        <v>290</v>
      </c>
      <c r="E380">
        <v>347.67</v>
      </c>
      <c r="F380">
        <v>12825.343779999999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0.51763157894736889</v>
      </c>
      <c r="Q380">
        <f t="shared" si="970"/>
        <v>6638.8029513842157</v>
      </c>
      <c r="R380">
        <f t="shared" si="971"/>
        <v>9849.4284859181826</v>
      </c>
      <c r="S380">
        <f t="shared" si="972"/>
        <v>9.8494284859181824E-2</v>
      </c>
      <c r="T380">
        <f t="shared" si="973"/>
        <v>9.8494284859181825E-5</v>
      </c>
    </row>
    <row r="381" spans="1:20" x14ac:dyDescent="0.25">
      <c r="A381" s="5">
        <v>44212</v>
      </c>
      <c r="B381">
        <v>296.69</v>
      </c>
      <c r="C381">
        <v>350</v>
      </c>
      <c r="D381">
        <v>296.45999999999998</v>
      </c>
      <c r="E381">
        <v>329.86</v>
      </c>
      <c r="F381">
        <v>9182.6235099999994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0.24766529697422568</v>
      </c>
      <c r="Q381">
        <f t="shared" si="970"/>
        <v>2274.2171786066565</v>
      </c>
      <c r="R381">
        <f t="shared" si="971"/>
        <v>3210.6255345339664</v>
      </c>
      <c r="S381">
        <f t="shared" si="972"/>
        <v>3.2106255345339667E-2</v>
      </c>
      <c r="T381">
        <f t="shared" si="973"/>
        <v>3.2106255345339668E-5</v>
      </c>
    </row>
    <row r="382" spans="1:20" x14ac:dyDescent="0.25">
      <c r="A382" s="5">
        <v>44211</v>
      </c>
      <c r="B382">
        <v>327.26</v>
      </c>
      <c r="C382">
        <v>344.78</v>
      </c>
      <c r="D382">
        <v>270.01</v>
      </c>
      <c r="E382">
        <v>296.68</v>
      </c>
      <c r="F382">
        <v>9058.0320300000003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-0.28661227765146391</v>
      </c>
      <c r="Q382">
        <f t="shared" si="970"/>
        <v>-2596.1431911582135</v>
      </c>
      <c r="R382">
        <f t="shared" si="971"/>
        <v>936.40835592730991</v>
      </c>
      <c r="S382">
        <f t="shared" si="972"/>
        <v>9.3640835592730988E-3</v>
      </c>
      <c r="T382">
        <f t="shared" si="973"/>
        <v>9.3640835592730995E-6</v>
      </c>
    </row>
    <row r="383" spans="1:20" x14ac:dyDescent="0.25">
      <c r="A383" s="5">
        <v>44210</v>
      </c>
      <c r="B383">
        <v>339.72</v>
      </c>
      <c r="C383">
        <v>350</v>
      </c>
      <c r="D383">
        <v>316.12</v>
      </c>
      <c r="E383">
        <v>328.92</v>
      </c>
      <c r="F383">
        <v>6806.6063800000002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-0.24439197166469817</v>
      </c>
      <c r="Q383">
        <f t="shared" si="970"/>
        <v>-1663.4799535537138</v>
      </c>
      <c r="R383">
        <f t="shared" si="971"/>
        <v>3532.5515470855235</v>
      </c>
      <c r="S383">
        <f t="shared" si="972"/>
        <v>3.5325515470855232E-2</v>
      </c>
      <c r="T383">
        <f t="shared" si="973"/>
        <v>3.5325515470855234E-5</v>
      </c>
    </row>
    <row r="384" spans="1:20" x14ac:dyDescent="0.25">
      <c r="A384" s="5">
        <v>44209</v>
      </c>
      <c r="B384">
        <v>283</v>
      </c>
      <c r="C384">
        <v>344</v>
      </c>
      <c r="D384">
        <v>263.33</v>
      </c>
      <c r="E384">
        <v>341.93</v>
      </c>
      <c r="F384">
        <v>8227.8046799999993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0.94867980661956131</v>
      </c>
      <c r="Q384">
        <f t="shared" si="970"/>
        <v>7805.5521527259207</v>
      </c>
      <c r="R384">
        <f t="shared" si="971"/>
        <v>5196.0315006392375</v>
      </c>
      <c r="S384">
        <f t="shared" si="972"/>
        <v>5.1960315006392373E-2</v>
      </c>
      <c r="T384">
        <f t="shared" si="973"/>
        <v>5.1960315006392374E-5</v>
      </c>
    </row>
    <row r="385" spans="1:20" x14ac:dyDescent="0.25">
      <c r="A385" s="5">
        <v>44208</v>
      </c>
      <c r="B385">
        <v>270.26</v>
      </c>
      <c r="C385">
        <v>327.5</v>
      </c>
      <c r="D385">
        <v>255</v>
      </c>
      <c r="E385">
        <v>280.41000000000003</v>
      </c>
      <c r="F385">
        <v>11293.212750000001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-0.29903448275861999</v>
      </c>
      <c r="Q385">
        <f t="shared" si="970"/>
        <v>-3377.0600333793027</v>
      </c>
      <c r="R385">
        <f t="shared" si="971"/>
        <v>-2609.5206520866827</v>
      </c>
      <c r="S385">
        <f t="shared" si="972"/>
        <v>-2.6095206520866828E-2</v>
      </c>
      <c r="T385">
        <f t="shared" si="973"/>
        <v>-2.6095206520866828E-5</v>
      </c>
    </row>
    <row r="386" spans="1:20" x14ac:dyDescent="0.25">
      <c r="A386" s="5">
        <v>44207</v>
      </c>
      <c r="B386">
        <v>303.82</v>
      </c>
      <c r="C386">
        <v>304.01</v>
      </c>
      <c r="D386">
        <v>216.32</v>
      </c>
      <c r="E386">
        <v>270</v>
      </c>
      <c r="F386">
        <v>15365.75101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0.22431292051545235</v>
      </c>
      <c r="Q386">
        <f t="shared" si="970"/>
        <v>3446.7364849663618</v>
      </c>
      <c r="R386">
        <f t="shared" si="971"/>
        <v>767.53938129261996</v>
      </c>
      <c r="S386">
        <f t="shared" si="972"/>
        <v>7.6753938129261994E-3</v>
      </c>
      <c r="T386">
        <f t="shared" si="973"/>
        <v>7.6753938129261986E-6</v>
      </c>
    </row>
    <row r="387" spans="1:20" x14ac:dyDescent="0.25">
      <c r="A387" s="5">
        <v>44206</v>
      </c>
      <c r="B387">
        <v>332.38</v>
      </c>
      <c r="C387">
        <v>361.5</v>
      </c>
      <c r="D387">
        <v>280.01</v>
      </c>
      <c r="E387">
        <v>302.42</v>
      </c>
      <c r="F387">
        <v>14089.9825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-0.44999386427782495</v>
      </c>
      <c r="Q387">
        <f t="shared" si="970"/>
        <v>-6340.4056727819288</v>
      </c>
      <c r="R387">
        <f t="shared" si="971"/>
        <v>-2679.1971036737418</v>
      </c>
      <c r="S387">
        <f t="shared" si="972"/>
        <v>-2.679197103673742E-2</v>
      </c>
      <c r="T387">
        <f t="shared" si="973"/>
        <v>-2.6791971036737419E-5</v>
      </c>
    </row>
    <row r="388" spans="1:20" x14ac:dyDescent="0.25">
      <c r="A388" s="5">
        <v>44205</v>
      </c>
      <c r="B388">
        <v>322.99</v>
      </c>
      <c r="C388">
        <v>370.56</v>
      </c>
      <c r="D388">
        <v>305.10000000000002</v>
      </c>
      <c r="E388">
        <v>331.75</v>
      </c>
      <c r="F388">
        <v>10903.92095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-0.18576229758631269</v>
      </c>
      <c r="Q388">
        <f t="shared" si="970"/>
        <v>-2025.5374083715292</v>
      </c>
      <c r="R388">
        <f t="shared" si="971"/>
        <v>3661.208569108187</v>
      </c>
      <c r="S388">
        <f t="shared" si="972"/>
        <v>3.6612085691081868E-2</v>
      </c>
      <c r="T388">
        <f t="shared" si="973"/>
        <v>3.661208569108187E-5</v>
      </c>
    </row>
    <row r="389" spans="1:20" x14ac:dyDescent="0.25">
      <c r="A389" s="5">
        <v>44204</v>
      </c>
      <c r="B389">
        <v>369.86</v>
      </c>
      <c r="C389">
        <v>369.86</v>
      </c>
      <c r="D389">
        <v>287.67</v>
      </c>
      <c r="E389">
        <v>322.99</v>
      </c>
      <c r="F389">
        <v>14263.04961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-0.14052804477430358</v>
      </c>
      <c r="Q389">
        <f t="shared" si="970"/>
        <v>-2004.3584742121932</v>
      </c>
      <c r="R389">
        <f t="shared" si="971"/>
        <v>5686.7459774797162</v>
      </c>
      <c r="S389">
        <f t="shared" si="972"/>
        <v>5.6867459774797159E-2</v>
      </c>
      <c r="T389">
        <f t="shared" si="973"/>
        <v>5.6867459774797156E-5</v>
      </c>
    </row>
    <row r="390" spans="1:20" x14ac:dyDescent="0.25">
      <c r="A390" s="5">
        <v>44203</v>
      </c>
      <c r="B390">
        <v>386.5</v>
      </c>
      <c r="C390">
        <v>415</v>
      </c>
      <c r="D390">
        <v>331</v>
      </c>
      <c r="E390">
        <v>369.86</v>
      </c>
      <c r="F390">
        <v>17543.943859999999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-7.4761904761904432E-2</v>
      </c>
      <c r="Q390">
        <f t="shared" ref="Q390:Q453" si="975">F390*P390</f>
        <v>-1311.618660009518</v>
      </c>
      <c r="R390">
        <f t="shared" ref="R390:R453" si="976">R391+Q390</f>
        <v>7691.1044516919092</v>
      </c>
      <c r="S390">
        <f t="shared" ref="S390:S453" si="977">R390/100000</f>
        <v>7.6911044516919089E-2</v>
      </c>
      <c r="T390">
        <f t="shared" ref="T390:T453" si="978">S390/1000</f>
        <v>7.6911044516919091E-5</v>
      </c>
    </row>
    <row r="391" spans="1:20" x14ac:dyDescent="0.25">
      <c r="A391" s="5">
        <v>44202</v>
      </c>
      <c r="B391">
        <v>282.11</v>
      </c>
      <c r="C391">
        <v>386.65</v>
      </c>
      <c r="D391">
        <v>276.05</v>
      </c>
      <c r="E391">
        <v>386.5</v>
      </c>
      <c r="F391">
        <v>18204.850060000001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0.99728752260397868</v>
      </c>
      <c r="Q391">
        <f t="shared" si="975"/>
        <v>18155.469815714292</v>
      </c>
      <c r="R391">
        <f t="shared" si="976"/>
        <v>9002.7231117014271</v>
      </c>
      <c r="S391">
        <f t="shared" si="977"/>
        <v>9.0027231117014272E-2</v>
      </c>
      <c r="T391">
        <f t="shared" si="978"/>
        <v>9.0027231117014277E-5</v>
      </c>
    </row>
    <row r="392" spans="1:20" x14ac:dyDescent="0.25">
      <c r="A392" s="5">
        <v>44201</v>
      </c>
      <c r="B392">
        <v>274</v>
      </c>
      <c r="C392">
        <v>295</v>
      </c>
      <c r="D392">
        <v>253</v>
      </c>
      <c r="E392">
        <v>281.58</v>
      </c>
      <c r="F392">
        <v>10944.917240000001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0.36095238095238019</v>
      </c>
      <c r="Q392">
        <f t="shared" si="975"/>
        <v>3950.5939371047539</v>
      </c>
      <c r="R392">
        <f t="shared" si="976"/>
        <v>-9152.7467040128649</v>
      </c>
      <c r="S392">
        <f t="shared" si="977"/>
        <v>-9.1527467040128652E-2</v>
      </c>
      <c r="T392">
        <f t="shared" si="978"/>
        <v>-9.1527467040128651E-5</v>
      </c>
    </row>
    <row r="393" spans="1:20" x14ac:dyDescent="0.25">
      <c r="A393" s="5">
        <v>44200</v>
      </c>
      <c r="B393">
        <v>294.5</v>
      </c>
      <c r="C393">
        <v>336.89</v>
      </c>
      <c r="D393">
        <v>246.01</v>
      </c>
      <c r="E393">
        <v>274</v>
      </c>
      <c r="F393">
        <v>17788.048210000001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-0.38402288732394341</v>
      </c>
      <c r="Q393">
        <f t="shared" si="975"/>
        <v>-6831.0176334617036</v>
      </c>
      <c r="R393">
        <f t="shared" si="976"/>
        <v>-13103.340641117618</v>
      </c>
      <c r="S393">
        <f t="shared" si="977"/>
        <v>-0.1310334064111762</v>
      </c>
      <c r="T393">
        <f t="shared" si="978"/>
        <v>-1.3103340641117619E-4</v>
      </c>
    </row>
    <row r="394" spans="1:20" x14ac:dyDescent="0.25">
      <c r="A394" s="5">
        <v>44199</v>
      </c>
      <c r="B394">
        <v>216.15</v>
      </c>
      <c r="C394">
        <v>360</v>
      </c>
      <c r="D394">
        <v>199.8</v>
      </c>
      <c r="E394">
        <v>294.72000000000003</v>
      </c>
      <c r="F394">
        <v>21184.528249999999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0.18501872659176058</v>
      </c>
      <c r="Q394">
        <f t="shared" si="975"/>
        <v>3919.5344402621781</v>
      </c>
      <c r="R394">
        <f t="shared" si="976"/>
        <v>-6272.3230076559157</v>
      </c>
      <c r="S394">
        <f t="shared" si="977"/>
        <v>-6.2723230076559153E-2</v>
      </c>
      <c r="T394">
        <f t="shared" si="978"/>
        <v>-6.2723230076559152E-5</v>
      </c>
    </row>
    <row r="395" spans="1:20" x14ac:dyDescent="0.25">
      <c r="A395" s="5">
        <v>44198</v>
      </c>
      <c r="B395">
        <v>227.18</v>
      </c>
      <c r="C395">
        <v>238.28</v>
      </c>
      <c r="D395">
        <v>192.01</v>
      </c>
      <c r="E395">
        <v>215</v>
      </c>
      <c r="F395">
        <v>10868.66979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-6.2675599740650957E-3</v>
      </c>
      <c r="Q395">
        <f t="shared" si="975"/>
        <v>-68.120039747134484</v>
      </c>
      <c r="R395">
        <f t="shared" si="976"/>
        <v>-10191.857447918093</v>
      </c>
      <c r="S395">
        <f t="shared" si="977"/>
        <v>-0.10191857447918093</v>
      </c>
      <c r="T395">
        <f t="shared" si="978"/>
        <v>-1.0191857447918092E-4</v>
      </c>
    </row>
    <row r="396" spans="1:20" x14ac:dyDescent="0.25">
      <c r="A396" s="5">
        <v>44197</v>
      </c>
      <c r="B396">
        <v>259.27999999999997</v>
      </c>
      <c r="C396">
        <v>271.87</v>
      </c>
      <c r="D396">
        <v>217.5</v>
      </c>
      <c r="E396">
        <v>228.34</v>
      </c>
      <c r="F396">
        <v>8096.2270600000002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-0.60125068971859474</v>
      </c>
      <c r="Q396">
        <f t="shared" si="975"/>
        <v>-4867.862103943351</v>
      </c>
      <c r="R396">
        <f t="shared" si="976"/>
        <v>-10123.737408170959</v>
      </c>
      <c r="S396">
        <f t="shared" si="977"/>
        <v>-0.10123737408170959</v>
      </c>
      <c r="T396">
        <f t="shared" si="978"/>
        <v>-1.0123737408170959E-4</v>
      </c>
    </row>
    <row r="397" spans="1:20" x14ac:dyDescent="0.25">
      <c r="A397" s="5">
        <v>44196</v>
      </c>
      <c r="B397">
        <v>243.84</v>
      </c>
      <c r="C397">
        <v>277.97000000000003</v>
      </c>
      <c r="D397">
        <v>229.23</v>
      </c>
      <c r="E397">
        <v>259.27999999999997</v>
      </c>
      <c r="F397">
        <v>9812.0980899999995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0.23307345096429871</v>
      </c>
      <c r="Q397">
        <f t="shared" si="975"/>
        <v>2286.9395630365038</v>
      </c>
      <c r="R397">
        <f t="shared" si="976"/>
        <v>-5255.8753042276076</v>
      </c>
      <c r="S397">
        <f t="shared" si="977"/>
        <v>-5.2558753042276078E-2</v>
      </c>
      <c r="T397">
        <f t="shared" si="978"/>
        <v>-5.2558753042276079E-5</v>
      </c>
    </row>
    <row r="398" spans="1:20" x14ac:dyDescent="0.25">
      <c r="A398" s="5">
        <v>44195</v>
      </c>
      <c r="B398">
        <v>260</v>
      </c>
      <c r="C398">
        <v>276</v>
      </c>
      <c r="D398">
        <v>223.18</v>
      </c>
      <c r="E398">
        <v>242.76</v>
      </c>
      <c r="F398">
        <v>11511.59555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-0.25861416130253745</v>
      </c>
      <c r="Q398">
        <f t="shared" si="975"/>
        <v>-2977.0616284172725</v>
      </c>
      <c r="R398">
        <f t="shared" si="976"/>
        <v>-7542.8148672641109</v>
      </c>
      <c r="S398">
        <f t="shared" si="977"/>
        <v>-7.542814867264111E-2</v>
      </c>
      <c r="T398">
        <f t="shared" si="978"/>
        <v>-7.5428148672641117E-5</v>
      </c>
    </row>
    <row r="399" spans="1:20" x14ac:dyDescent="0.25">
      <c r="A399" s="5">
        <v>44194</v>
      </c>
      <c r="B399">
        <v>305</v>
      </c>
      <c r="C399">
        <v>307.16000000000003</v>
      </c>
      <c r="D399">
        <v>246.11</v>
      </c>
      <c r="E399">
        <v>260</v>
      </c>
      <c r="F399">
        <v>11618.70176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-0.54496314496314546</v>
      </c>
      <c r="Q399">
        <f t="shared" si="975"/>
        <v>-6331.7642515184334</v>
      </c>
      <c r="R399">
        <f t="shared" si="976"/>
        <v>-4565.7532388468389</v>
      </c>
      <c r="S399">
        <f t="shared" si="977"/>
        <v>-4.565753238846839E-2</v>
      </c>
      <c r="T399">
        <f t="shared" si="978"/>
        <v>-4.5657532388468387E-5</v>
      </c>
    </row>
    <row r="400" spans="1:20" x14ac:dyDescent="0.25">
      <c r="A400" s="5">
        <v>44193</v>
      </c>
      <c r="B400">
        <v>339.62</v>
      </c>
      <c r="C400">
        <v>383.42</v>
      </c>
      <c r="D400">
        <v>268</v>
      </c>
      <c r="E400">
        <v>305.3</v>
      </c>
      <c r="F400">
        <v>14573.62084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-0.35366487610466113</v>
      </c>
      <c r="Q400">
        <f t="shared" si="975"/>
        <v>-5154.1778087749071</v>
      </c>
      <c r="R400">
        <f t="shared" si="976"/>
        <v>1766.0110126715945</v>
      </c>
      <c r="S400">
        <f t="shared" si="977"/>
        <v>1.7660110126715943E-2</v>
      </c>
      <c r="T400">
        <f t="shared" si="978"/>
        <v>1.7660110126715944E-5</v>
      </c>
    </row>
    <row r="401" spans="1:20" x14ac:dyDescent="0.25">
      <c r="A401" s="5">
        <v>44192</v>
      </c>
      <c r="B401">
        <v>324</v>
      </c>
      <c r="C401">
        <v>384.99</v>
      </c>
      <c r="D401">
        <v>286</v>
      </c>
      <c r="E401">
        <v>339.13</v>
      </c>
      <c r="F401">
        <v>10145.97905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7.344176179412043E-2</v>
      </c>
      <c r="Q401">
        <f t="shared" si="975"/>
        <v>745.13857655823631</v>
      </c>
      <c r="R401">
        <f t="shared" si="976"/>
        <v>6920.1888214465016</v>
      </c>
      <c r="S401">
        <f t="shared" si="977"/>
        <v>6.9201888214465018E-2</v>
      </c>
      <c r="T401">
        <f t="shared" si="978"/>
        <v>6.9201888214465022E-5</v>
      </c>
    </row>
    <row r="402" spans="1:20" x14ac:dyDescent="0.25">
      <c r="A402" s="5">
        <v>44191</v>
      </c>
      <c r="B402">
        <v>338.06</v>
      </c>
      <c r="C402">
        <v>357.62</v>
      </c>
      <c r="D402">
        <v>318.52999999999997</v>
      </c>
      <c r="E402">
        <v>324</v>
      </c>
      <c r="F402">
        <v>4612.8231299999998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-0.72013302634944887</v>
      </c>
      <c r="Q402">
        <f t="shared" si="975"/>
        <v>-3321.8462806216371</v>
      </c>
      <c r="R402">
        <f t="shared" si="976"/>
        <v>6175.0502448882653</v>
      </c>
      <c r="S402">
        <f t="shared" si="977"/>
        <v>6.1750502448882652E-2</v>
      </c>
      <c r="T402">
        <f t="shared" si="978"/>
        <v>6.1750502448882654E-5</v>
      </c>
    </row>
    <row r="403" spans="1:20" x14ac:dyDescent="0.25">
      <c r="A403" s="5">
        <v>44190</v>
      </c>
      <c r="B403">
        <v>361.08</v>
      </c>
      <c r="C403">
        <v>399</v>
      </c>
      <c r="D403">
        <v>332</v>
      </c>
      <c r="E403">
        <v>337.58</v>
      </c>
      <c r="F403">
        <v>5314.2646100000002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-0.833432835820896</v>
      </c>
      <c r="Q403">
        <f t="shared" si="975"/>
        <v>-4429.0826242149278</v>
      </c>
      <c r="R403">
        <f t="shared" si="976"/>
        <v>9496.8965255099029</v>
      </c>
      <c r="S403">
        <f t="shared" si="977"/>
        <v>9.4968965255099028E-2</v>
      </c>
      <c r="T403">
        <f t="shared" si="978"/>
        <v>9.4968965255099025E-5</v>
      </c>
    </row>
    <row r="404" spans="1:20" x14ac:dyDescent="0.25">
      <c r="A404" s="5">
        <v>44189</v>
      </c>
      <c r="B404">
        <v>329</v>
      </c>
      <c r="C404">
        <v>360.95</v>
      </c>
      <c r="D404">
        <v>312</v>
      </c>
      <c r="E404">
        <v>360.95</v>
      </c>
      <c r="F404">
        <v>6847.7382100000004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1</v>
      </c>
      <c r="Q404">
        <f t="shared" si="975"/>
        <v>6847.7382100000004</v>
      </c>
      <c r="R404">
        <f t="shared" si="976"/>
        <v>13925.97914972483</v>
      </c>
      <c r="S404">
        <f t="shared" si="977"/>
        <v>0.13925979149724829</v>
      </c>
      <c r="T404">
        <f t="shared" si="978"/>
        <v>1.3925979149724828E-4</v>
      </c>
    </row>
    <row r="405" spans="1:20" x14ac:dyDescent="0.25">
      <c r="A405" s="5">
        <v>44188</v>
      </c>
      <c r="B405">
        <v>400.76</v>
      </c>
      <c r="C405">
        <v>415</v>
      </c>
      <c r="D405">
        <v>315</v>
      </c>
      <c r="E405">
        <v>327.52</v>
      </c>
      <c r="F405">
        <v>7184.2761300000002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-0.74960000000000038</v>
      </c>
      <c r="Q405">
        <f t="shared" si="975"/>
        <v>-5385.3333870480028</v>
      </c>
      <c r="R405">
        <f t="shared" si="976"/>
        <v>7078.2409397248293</v>
      </c>
      <c r="S405">
        <f t="shared" si="977"/>
        <v>7.0782409397248294E-2</v>
      </c>
      <c r="T405">
        <f t="shared" si="978"/>
        <v>7.0782409397248294E-5</v>
      </c>
    </row>
    <row r="406" spans="1:20" x14ac:dyDescent="0.25">
      <c r="A406" s="5">
        <v>44187</v>
      </c>
      <c r="B406">
        <v>365.99</v>
      </c>
      <c r="C406">
        <v>429.19</v>
      </c>
      <c r="D406">
        <v>345.41</v>
      </c>
      <c r="E406">
        <v>400.76</v>
      </c>
      <c r="F406">
        <v>9344.8225299999995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0.3213177369300545</v>
      </c>
      <c r="Q406">
        <f t="shared" si="975"/>
        <v>3002.6572273525862</v>
      </c>
      <c r="R406">
        <f t="shared" si="976"/>
        <v>12463.574326772832</v>
      </c>
      <c r="S406">
        <f t="shared" si="977"/>
        <v>0.12463574326772832</v>
      </c>
      <c r="T406">
        <f t="shared" si="978"/>
        <v>1.2463574326772832E-4</v>
      </c>
    </row>
    <row r="407" spans="1:20" x14ac:dyDescent="0.25">
      <c r="A407" s="5">
        <v>44186</v>
      </c>
      <c r="B407">
        <v>417</v>
      </c>
      <c r="C407">
        <v>429.78</v>
      </c>
      <c r="D407">
        <v>351.89</v>
      </c>
      <c r="E407">
        <v>364.14</v>
      </c>
      <c r="F407">
        <v>14061.24207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-0.68545384516626007</v>
      </c>
      <c r="Q407">
        <f t="shared" si="975"/>
        <v>-9638.3324446950828</v>
      </c>
      <c r="R407">
        <f t="shared" si="976"/>
        <v>9460.9170994202468</v>
      </c>
      <c r="S407">
        <f t="shared" si="977"/>
        <v>9.4609170994202463E-2</v>
      </c>
      <c r="T407">
        <f t="shared" si="978"/>
        <v>9.4609170994202469E-5</v>
      </c>
    </row>
    <row r="408" spans="1:20" x14ac:dyDescent="0.25">
      <c r="A408" s="5">
        <v>44185</v>
      </c>
      <c r="B408">
        <v>450</v>
      </c>
      <c r="C408">
        <v>468.36</v>
      </c>
      <c r="D408">
        <v>410.78</v>
      </c>
      <c r="E408">
        <v>417</v>
      </c>
      <c r="F408">
        <v>8999.8784300000007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-0.78395276137547676</v>
      </c>
      <c r="Q408">
        <f t="shared" si="975"/>
        <v>-7055.479547242091</v>
      </c>
      <c r="R408">
        <f t="shared" si="976"/>
        <v>19099.24954411533</v>
      </c>
      <c r="S408">
        <f t="shared" si="977"/>
        <v>0.19099249544115329</v>
      </c>
      <c r="T408">
        <f t="shared" si="978"/>
        <v>1.9099249544115329E-4</v>
      </c>
    </row>
    <row r="409" spans="1:20" x14ac:dyDescent="0.25">
      <c r="A409" s="5">
        <v>44184</v>
      </c>
      <c r="B409">
        <v>479.26</v>
      </c>
      <c r="C409">
        <v>480</v>
      </c>
      <c r="D409">
        <v>435</v>
      </c>
      <c r="E409">
        <v>450</v>
      </c>
      <c r="F409">
        <v>7561.1588099999999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-0.33333333333333331</v>
      </c>
      <c r="Q409">
        <f t="shared" si="975"/>
        <v>-2520.38627</v>
      </c>
      <c r="R409">
        <f t="shared" si="976"/>
        <v>26154.729091357422</v>
      </c>
      <c r="S409">
        <f t="shared" si="977"/>
        <v>0.2615472909135742</v>
      </c>
      <c r="T409">
        <f t="shared" si="978"/>
        <v>2.615472909135742E-4</v>
      </c>
    </row>
    <row r="410" spans="1:20" x14ac:dyDescent="0.25">
      <c r="A410" s="5">
        <v>44183</v>
      </c>
      <c r="B410">
        <v>456.8</v>
      </c>
      <c r="C410">
        <v>483.25</v>
      </c>
      <c r="D410">
        <v>415.1</v>
      </c>
      <c r="E410">
        <v>479.26</v>
      </c>
      <c r="F410">
        <v>10316.570900000001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0.88290535583272167</v>
      </c>
      <c r="Q410">
        <f t="shared" si="975"/>
        <v>9108.5557014380029</v>
      </c>
      <c r="R410">
        <f t="shared" si="976"/>
        <v>28675.115361357421</v>
      </c>
      <c r="S410">
        <f t="shared" si="977"/>
        <v>0.28675115361357423</v>
      </c>
      <c r="T410">
        <f t="shared" si="978"/>
        <v>2.8675115361357425E-4</v>
      </c>
    </row>
    <row r="411" spans="1:20" x14ac:dyDescent="0.25">
      <c r="A411" s="5">
        <v>44182</v>
      </c>
      <c r="B411">
        <v>508.99</v>
      </c>
      <c r="C411">
        <v>540</v>
      </c>
      <c r="D411">
        <v>416.3</v>
      </c>
      <c r="E411">
        <v>456.8</v>
      </c>
      <c r="F411">
        <v>17288.49293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-0.34518997574777682</v>
      </c>
      <c r="Q411">
        <f t="shared" si="975"/>
        <v>-5967.8144552223112</v>
      </c>
      <c r="R411">
        <f t="shared" si="976"/>
        <v>19566.559659919418</v>
      </c>
      <c r="S411">
        <f t="shared" si="977"/>
        <v>0.19566559659919416</v>
      </c>
      <c r="T411">
        <f t="shared" si="978"/>
        <v>1.9566559659919415E-4</v>
      </c>
    </row>
    <row r="412" spans="1:20" x14ac:dyDescent="0.25">
      <c r="A412" s="5">
        <v>44181</v>
      </c>
      <c r="B412">
        <v>537.9</v>
      </c>
      <c r="C412">
        <v>573.92999999999995</v>
      </c>
      <c r="D412">
        <v>498</v>
      </c>
      <c r="E412">
        <v>508.99</v>
      </c>
      <c r="F412">
        <v>12249.88121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-0.71052284999341453</v>
      </c>
      <c r="Q412">
        <f t="shared" si="975"/>
        <v>-8703.8205094099776</v>
      </c>
      <c r="R412">
        <f t="shared" si="976"/>
        <v>25534.374115141727</v>
      </c>
      <c r="S412">
        <f t="shared" si="977"/>
        <v>0.25534374115141728</v>
      </c>
      <c r="T412">
        <f t="shared" si="978"/>
        <v>2.5534374115141725E-4</v>
      </c>
    </row>
    <row r="413" spans="1:20" x14ac:dyDescent="0.25">
      <c r="A413" s="5">
        <v>44180</v>
      </c>
      <c r="B413">
        <v>467</v>
      </c>
      <c r="C413">
        <v>559.09</v>
      </c>
      <c r="D413">
        <v>453</v>
      </c>
      <c r="E413">
        <v>535.24</v>
      </c>
      <c r="F413">
        <v>14240.31242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0.55038175134319889</v>
      </c>
      <c r="Q413">
        <f t="shared" si="975"/>
        <v>7837.608089393907</v>
      </c>
      <c r="R413">
        <f t="shared" si="976"/>
        <v>34238.194624551703</v>
      </c>
      <c r="S413">
        <f t="shared" si="977"/>
        <v>0.34238194624551704</v>
      </c>
      <c r="T413">
        <f t="shared" si="978"/>
        <v>3.4238194624551705E-4</v>
      </c>
    </row>
    <row r="414" spans="1:20" x14ac:dyDescent="0.25">
      <c r="A414" s="5">
        <v>44179</v>
      </c>
      <c r="B414">
        <v>443.76</v>
      </c>
      <c r="C414">
        <v>480.5</v>
      </c>
      <c r="D414">
        <v>427.07</v>
      </c>
      <c r="E414">
        <v>466.99</v>
      </c>
      <c r="F414">
        <v>7131.6160300000001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0.49429159648137788</v>
      </c>
      <c r="Q414">
        <f t="shared" si="975"/>
        <v>3525.097872960886</v>
      </c>
      <c r="R414">
        <f t="shared" si="976"/>
        <v>26400.586535157796</v>
      </c>
      <c r="S414">
        <f t="shared" si="977"/>
        <v>0.26400586535157794</v>
      </c>
      <c r="T414">
        <f t="shared" si="978"/>
        <v>2.6400586535157793E-4</v>
      </c>
    </row>
    <row r="415" spans="1:20" x14ac:dyDescent="0.25">
      <c r="A415" s="5">
        <v>44178</v>
      </c>
      <c r="B415">
        <v>394.99</v>
      </c>
      <c r="C415">
        <v>470</v>
      </c>
      <c r="D415">
        <v>387.84</v>
      </c>
      <c r="E415">
        <v>443.77</v>
      </c>
      <c r="F415">
        <v>10457.18456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0.36148977604673782</v>
      </c>
      <c r="Q415">
        <f t="shared" si="975"/>
        <v>3780.1653046738043</v>
      </c>
      <c r="R415">
        <f t="shared" si="976"/>
        <v>22875.488662196909</v>
      </c>
      <c r="S415">
        <f t="shared" si="977"/>
        <v>0.22875488662196908</v>
      </c>
      <c r="T415">
        <f t="shared" si="978"/>
        <v>2.2875488662196908E-4</v>
      </c>
    </row>
    <row r="416" spans="1:20" x14ac:dyDescent="0.25">
      <c r="A416" s="5">
        <v>44177</v>
      </c>
      <c r="B416">
        <v>365.04</v>
      </c>
      <c r="C416">
        <v>415</v>
      </c>
      <c r="D416">
        <v>363.38</v>
      </c>
      <c r="E416">
        <v>394.99</v>
      </c>
      <c r="F416">
        <v>7508.2260800000004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0.22471910112359592</v>
      </c>
      <c r="Q416">
        <f t="shared" si="975"/>
        <v>1687.2418157303402</v>
      </c>
      <c r="R416">
        <f t="shared" si="976"/>
        <v>19095.323357523106</v>
      </c>
      <c r="S416">
        <f t="shared" si="977"/>
        <v>0.19095323357523106</v>
      </c>
      <c r="T416">
        <f t="shared" si="978"/>
        <v>1.9095323357523107E-4</v>
      </c>
    </row>
    <row r="417" spans="1:20" x14ac:dyDescent="0.25">
      <c r="A417" s="5">
        <v>44176</v>
      </c>
      <c r="B417">
        <v>399.66</v>
      </c>
      <c r="C417">
        <v>399.66</v>
      </c>
      <c r="D417">
        <v>351</v>
      </c>
      <c r="E417">
        <v>366.8</v>
      </c>
      <c r="F417">
        <v>11766.94339</v>
      </c>
      <c r="G417">
        <v>0</v>
      </c>
      <c r="L417" t="s">
        <v>7</v>
      </c>
      <c r="M417" t="s">
        <v>8</v>
      </c>
      <c r="N417" t="s">
        <v>7</v>
      </c>
      <c r="P417">
        <f t="shared" si="974"/>
        <v>-0.35059597205096577</v>
      </c>
      <c r="Q417">
        <f t="shared" si="975"/>
        <v>-4125.4429558857364</v>
      </c>
      <c r="R417">
        <f t="shared" si="976"/>
        <v>17408.081541792766</v>
      </c>
      <c r="S417">
        <f t="shared" si="977"/>
        <v>0.17408081541792766</v>
      </c>
      <c r="T417">
        <f t="shared" si="978"/>
        <v>1.7408081541792767E-4</v>
      </c>
    </row>
    <row r="418" spans="1:20" x14ac:dyDescent="0.25">
      <c r="A418" s="5">
        <v>44175</v>
      </c>
      <c r="B418">
        <v>409.99</v>
      </c>
      <c r="C418">
        <v>422</v>
      </c>
      <c r="D418">
        <v>365.45</v>
      </c>
      <c r="E418">
        <v>400</v>
      </c>
      <c r="F418">
        <v>14651.11356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0.22192749778956691</v>
      </c>
      <c r="Q418">
        <f t="shared" si="975"/>
        <v>3251.4849722015938</v>
      </c>
      <c r="R418">
        <f t="shared" si="976"/>
        <v>21533.524497678503</v>
      </c>
      <c r="S418">
        <f t="shared" si="977"/>
        <v>0.21533524497678502</v>
      </c>
      <c r="T418">
        <f t="shared" si="978"/>
        <v>2.1533524497678502E-4</v>
      </c>
    </row>
    <row r="419" spans="1:20" x14ac:dyDescent="0.25">
      <c r="A419" s="5">
        <v>44174</v>
      </c>
      <c r="B419">
        <v>360.2</v>
      </c>
      <c r="C419">
        <v>417.02</v>
      </c>
      <c r="D419">
        <v>311.67</v>
      </c>
      <c r="E419">
        <v>410</v>
      </c>
      <c r="F419">
        <v>21619.884010000002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0.866729947793071</v>
      </c>
      <c r="Q419">
        <f t="shared" si="975"/>
        <v>18738.600939279553</v>
      </c>
      <c r="R419">
        <f t="shared" si="976"/>
        <v>18282.03952547691</v>
      </c>
      <c r="S419">
        <f t="shared" si="977"/>
        <v>0.18282039525476909</v>
      </c>
      <c r="T419">
        <f t="shared" si="978"/>
        <v>1.8282039525476909E-4</v>
      </c>
    </row>
    <row r="420" spans="1:20" x14ac:dyDescent="0.25">
      <c r="A420" s="5">
        <v>44173</v>
      </c>
      <c r="B420">
        <v>432</v>
      </c>
      <c r="C420">
        <v>432.08</v>
      </c>
      <c r="D420">
        <v>348.21</v>
      </c>
      <c r="E420">
        <v>360.2</v>
      </c>
      <c r="F420">
        <v>18104.127830000001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-0.71408131632288041</v>
      </c>
      <c r="Q420">
        <f t="shared" si="975"/>
        <v>-12927.819431724094</v>
      </c>
      <c r="R420">
        <f t="shared" si="976"/>
        <v>-456.56141380264125</v>
      </c>
      <c r="S420">
        <f t="shared" si="977"/>
        <v>-4.5656141380264123E-3</v>
      </c>
      <c r="T420">
        <f t="shared" si="978"/>
        <v>-4.5656141380264124E-6</v>
      </c>
    </row>
    <row r="421" spans="1:20" x14ac:dyDescent="0.25">
      <c r="A421" s="5">
        <v>44172</v>
      </c>
      <c r="B421">
        <v>442.97</v>
      </c>
      <c r="C421">
        <v>481.23</v>
      </c>
      <c r="D421">
        <v>413</v>
      </c>
      <c r="E421">
        <v>432</v>
      </c>
      <c r="F421">
        <v>9976.5030399999996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-0.44306023743221473</v>
      </c>
      <c r="Q421">
        <f t="shared" si="975"/>
        <v>-4420.1918056456116</v>
      </c>
      <c r="R421">
        <f t="shared" si="976"/>
        <v>12471.258017921453</v>
      </c>
      <c r="S421">
        <f t="shared" si="977"/>
        <v>0.12471258017921452</v>
      </c>
      <c r="T421">
        <f t="shared" si="978"/>
        <v>1.2471258017921453E-4</v>
      </c>
    </row>
    <row r="422" spans="1:20" x14ac:dyDescent="0.25">
      <c r="A422" s="5">
        <v>44171</v>
      </c>
      <c r="B422">
        <v>474.64</v>
      </c>
      <c r="C422">
        <v>498.29</v>
      </c>
      <c r="D422">
        <v>402</v>
      </c>
      <c r="E422">
        <v>441</v>
      </c>
      <c r="F422">
        <v>13080.553970000001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-0.18994703499844237</v>
      </c>
      <c r="Q422">
        <f t="shared" si="975"/>
        <v>-2484.6124427386044</v>
      </c>
      <c r="R422">
        <f t="shared" si="976"/>
        <v>16891.449823567065</v>
      </c>
      <c r="S422">
        <f t="shared" si="977"/>
        <v>0.16891449823567065</v>
      </c>
      <c r="T422">
        <f t="shared" si="978"/>
        <v>1.6891449823567065E-4</v>
      </c>
    </row>
    <row r="423" spans="1:20" x14ac:dyDescent="0.25">
      <c r="A423" s="5">
        <v>44170</v>
      </c>
      <c r="B423">
        <v>362.39</v>
      </c>
      <c r="C423">
        <v>489</v>
      </c>
      <c r="D423">
        <v>351.15</v>
      </c>
      <c r="E423">
        <v>474</v>
      </c>
      <c r="F423">
        <v>18421.580699999999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0.78237214363438523</v>
      </c>
      <c r="Q423">
        <f t="shared" si="975"/>
        <v>14412.531581392817</v>
      </c>
      <c r="R423">
        <f t="shared" si="976"/>
        <v>19376.062266305671</v>
      </c>
      <c r="S423">
        <f t="shared" si="977"/>
        <v>0.19376062266305671</v>
      </c>
      <c r="T423">
        <f t="shared" si="978"/>
        <v>1.9376062266305671E-4</v>
      </c>
    </row>
    <row r="424" spans="1:20" x14ac:dyDescent="0.25">
      <c r="A424" s="5">
        <v>44169</v>
      </c>
      <c r="B424">
        <v>410.7</v>
      </c>
      <c r="C424">
        <v>431</v>
      </c>
      <c r="D424">
        <v>355.55</v>
      </c>
      <c r="E424">
        <v>364</v>
      </c>
      <c r="F424">
        <v>17314.8004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-0.77601060304837666</v>
      </c>
      <c r="Q424">
        <f t="shared" si="975"/>
        <v>-13436.468700066274</v>
      </c>
      <c r="R424">
        <f t="shared" si="976"/>
        <v>4963.5306849128538</v>
      </c>
      <c r="S424">
        <f t="shared" si="977"/>
        <v>4.9635306849128535E-2</v>
      </c>
      <c r="T424">
        <f t="shared" si="978"/>
        <v>4.9635306849128533E-5</v>
      </c>
    </row>
    <row r="425" spans="1:20" x14ac:dyDescent="0.25">
      <c r="A425" s="5">
        <v>44168</v>
      </c>
      <c r="B425">
        <v>320.39</v>
      </c>
      <c r="C425">
        <v>489.98</v>
      </c>
      <c r="D425">
        <v>288.36</v>
      </c>
      <c r="E425">
        <v>410.73</v>
      </c>
      <c r="F425">
        <v>41301.269200000002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0.21386767185795061</v>
      </c>
      <c r="Q425">
        <f t="shared" si="975"/>
        <v>8833.0062885824827</v>
      </c>
      <c r="R425">
        <f t="shared" si="976"/>
        <v>18399.999384979128</v>
      </c>
      <c r="S425">
        <f t="shared" si="977"/>
        <v>0.18399999384979129</v>
      </c>
      <c r="T425">
        <f t="shared" si="978"/>
        <v>1.8399999384979129E-4</v>
      </c>
    </row>
    <row r="426" spans="1:20" x14ac:dyDescent="0.25">
      <c r="A426" s="5">
        <v>44167</v>
      </c>
      <c r="B426">
        <v>225.95</v>
      </c>
      <c r="C426">
        <v>348.96</v>
      </c>
      <c r="D426">
        <v>215</v>
      </c>
      <c r="E426">
        <v>320.01</v>
      </c>
      <c r="F426">
        <v>25176.446639999998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0.56778142729172898</v>
      </c>
      <c r="Q426">
        <f t="shared" si="975"/>
        <v>14294.718807393254</v>
      </c>
      <c r="R426">
        <f t="shared" si="976"/>
        <v>9566.9930963966435</v>
      </c>
      <c r="S426">
        <f t="shared" si="977"/>
        <v>9.5669930963966435E-2</v>
      </c>
      <c r="T426">
        <f t="shared" si="978"/>
        <v>9.5669930963966434E-5</v>
      </c>
    </row>
    <row r="427" spans="1:20" x14ac:dyDescent="0.25">
      <c r="A427" s="5">
        <v>44166</v>
      </c>
      <c r="B427">
        <v>188.03</v>
      </c>
      <c r="C427">
        <v>249.9</v>
      </c>
      <c r="D427">
        <v>181.46</v>
      </c>
      <c r="E427">
        <v>225.96</v>
      </c>
      <c r="F427">
        <v>17905.981019999999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0.30040911747516075</v>
      </c>
      <c r="Q427">
        <f t="shared" si="975"/>
        <v>5379.1199557451782</v>
      </c>
      <c r="R427">
        <f t="shared" si="976"/>
        <v>-4727.7257109966104</v>
      </c>
      <c r="S427">
        <f t="shared" si="977"/>
        <v>-4.7277257109966102E-2</v>
      </c>
      <c r="T427">
        <f t="shared" si="978"/>
        <v>-4.7277257109966104E-5</v>
      </c>
    </row>
    <row r="428" spans="1:20" x14ac:dyDescent="0.25">
      <c r="A428" s="5">
        <v>44165</v>
      </c>
      <c r="B428">
        <v>210.99</v>
      </c>
      <c r="C428">
        <v>221</v>
      </c>
      <c r="D428">
        <v>180</v>
      </c>
      <c r="E428">
        <v>188.04</v>
      </c>
      <c r="F428">
        <v>9396.1311399999995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-0.60780487804878092</v>
      </c>
      <c r="Q428">
        <f t="shared" si="975"/>
        <v>-5711.0143416780529</v>
      </c>
      <c r="R428">
        <f t="shared" si="976"/>
        <v>-10106.845666741789</v>
      </c>
      <c r="S428">
        <f t="shared" si="977"/>
        <v>-0.10106845666741789</v>
      </c>
      <c r="T428">
        <f t="shared" si="978"/>
        <v>-1.0106845666741789E-4</v>
      </c>
    </row>
    <row r="429" spans="1:20" x14ac:dyDescent="0.25">
      <c r="A429" s="5">
        <v>44164</v>
      </c>
      <c r="B429">
        <v>205.98</v>
      </c>
      <c r="C429">
        <v>218.85</v>
      </c>
      <c r="D429">
        <v>195.1</v>
      </c>
      <c r="E429">
        <v>210.73</v>
      </c>
      <c r="F429">
        <v>5523.2784700000002</v>
      </c>
      <c r="G429">
        <v>0</v>
      </c>
      <c r="L429" t="s">
        <v>7</v>
      </c>
      <c r="M429" t="s">
        <v>8</v>
      </c>
      <c r="N429" t="s">
        <v>8</v>
      </c>
      <c r="P429">
        <f t="shared" si="974"/>
        <v>0.31621052631578911</v>
      </c>
      <c r="Q429">
        <f t="shared" si="975"/>
        <v>1746.5187919873665</v>
      </c>
      <c r="R429">
        <f t="shared" si="976"/>
        <v>-4395.8313250637348</v>
      </c>
      <c r="S429">
        <f t="shared" si="977"/>
        <v>-4.395831325063735E-2</v>
      </c>
      <c r="T429">
        <f t="shared" si="978"/>
        <v>-4.3958313250637352E-5</v>
      </c>
    </row>
    <row r="430" spans="1:20" x14ac:dyDescent="0.25">
      <c r="A430" s="5">
        <v>44163</v>
      </c>
      <c r="B430">
        <v>182.4</v>
      </c>
      <c r="C430">
        <v>219.18</v>
      </c>
      <c r="D430">
        <v>172.85</v>
      </c>
      <c r="E430">
        <v>205.98</v>
      </c>
      <c r="F430">
        <v>10137.576719999999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0.43017483272177798</v>
      </c>
      <c r="Q430">
        <f t="shared" si="975"/>
        <v>4360.9303697301903</v>
      </c>
      <c r="R430">
        <f t="shared" si="976"/>
        <v>-6142.3501170511017</v>
      </c>
      <c r="S430">
        <f t="shared" si="977"/>
        <v>-6.142350117051102E-2</v>
      </c>
      <c r="T430">
        <f t="shared" si="978"/>
        <v>-6.1423501170511014E-5</v>
      </c>
    </row>
    <row r="431" spans="1:20" x14ac:dyDescent="0.25">
      <c r="A431" s="5">
        <v>44162</v>
      </c>
      <c r="B431">
        <v>167</v>
      </c>
      <c r="C431">
        <v>198</v>
      </c>
      <c r="D431">
        <v>160</v>
      </c>
      <c r="E431">
        <v>182.4</v>
      </c>
      <c r="F431">
        <v>16943.134099999999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0.17894736842105294</v>
      </c>
      <c r="Q431">
        <f t="shared" si="975"/>
        <v>3031.9292600000049</v>
      </c>
      <c r="R431">
        <f t="shared" si="976"/>
        <v>-10503.280486781292</v>
      </c>
      <c r="S431">
        <f t="shared" si="977"/>
        <v>-0.10503280486781293</v>
      </c>
      <c r="T431">
        <f t="shared" si="978"/>
        <v>-1.0503280486781292E-4</v>
      </c>
    </row>
    <row r="432" spans="1:20" x14ac:dyDescent="0.25">
      <c r="A432" s="5">
        <v>44161</v>
      </c>
      <c r="B432">
        <v>178.55</v>
      </c>
      <c r="C432">
        <v>189</v>
      </c>
      <c r="D432">
        <v>125</v>
      </c>
      <c r="E432">
        <v>166.8</v>
      </c>
      <c r="F432">
        <v>19784.177619999999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0.30625000000000036</v>
      </c>
      <c r="Q432">
        <f t="shared" si="975"/>
        <v>6058.9043961250063</v>
      </c>
      <c r="R432">
        <f t="shared" si="976"/>
        <v>-13535.209746781296</v>
      </c>
      <c r="S432">
        <f t="shared" si="977"/>
        <v>-0.13535209746781296</v>
      </c>
      <c r="T432">
        <f t="shared" si="978"/>
        <v>-1.3535209746781297E-4</v>
      </c>
    </row>
    <row r="433" spans="1:20" x14ac:dyDescent="0.25">
      <c r="A433" s="5">
        <v>44160</v>
      </c>
      <c r="B433">
        <v>212.98</v>
      </c>
      <c r="C433">
        <v>219.18</v>
      </c>
      <c r="D433">
        <v>166.6</v>
      </c>
      <c r="E433">
        <v>176.23</v>
      </c>
      <c r="F433">
        <v>16386.806659999998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-0.63370102700646658</v>
      </c>
      <c r="Q433">
        <f t="shared" si="975"/>
        <v>-10384.336209798405</v>
      </c>
      <c r="R433">
        <f t="shared" si="976"/>
        <v>-19594.114142906303</v>
      </c>
      <c r="S433">
        <f t="shared" si="977"/>
        <v>-0.19594114142906302</v>
      </c>
      <c r="T433">
        <f t="shared" si="978"/>
        <v>-1.9594114142906303E-4</v>
      </c>
    </row>
    <row r="434" spans="1:20" x14ac:dyDescent="0.25">
      <c r="A434" s="5">
        <v>44159</v>
      </c>
      <c r="B434">
        <v>260.81</v>
      </c>
      <c r="C434">
        <v>269.27999999999997</v>
      </c>
      <c r="D434">
        <v>193</v>
      </c>
      <c r="E434">
        <v>212.65</v>
      </c>
      <c r="F434">
        <v>24783.393510000002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-0.48479286837965357</v>
      </c>
      <c r="Q434">
        <f t="shared" si="975"/>
        <v>-12014.812427894591</v>
      </c>
      <c r="R434">
        <f t="shared" si="976"/>
        <v>-9209.7779331078982</v>
      </c>
      <c r="S434">
        <f t="shared" si="977"/>
        <v>-9.2097779331078988E-2</v>
      </c>
      <c r="T434">
        <f t="shared" si="978"/>
        <v>-9.2097779331078982E-5</v>
      </c>
    </row>
    <row r="435" spans="1:20" x14ac:dyDescent="0.25">
      <c r="A435" s="5">
        <v>44158</v>
      </c>
      <c r="B435">
        <v>214</v>
      </c>
      <c r="C435">
        <v>281.22000000000003</v>
      </c>
      <c r="D435">
        <v>205</v>
      </c>
      <c r="E435">
        <v>262</v>
      </c>
      <c r="F435">
        <v>16046.41977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0.49567042770926212</v>
      </c>
      <c r="Q435">
        <f t="shared" si="975"/>
        <v>7953.73575059826</v>
      </c>
      <c r="R435">
        <f t="shared" si="976"/>
        <v>2805.0344947866924</v>
      </c>
      <c r="S435">
        <f t="shared" si="977"/>
        <v>2.8050344947866925E-2</v>
      </c>
      <c r="T435">
        <f t="shared" si="978"/>
        <v>2.8050344947866926E-5</v>
      </c>
    </row>
    <row r="436" spans="1:20" x14ac:dyDescent="0.25">
      <c r="A436" s="5">
        <v>44157</v>
      </c>
      <c r="B436">
        <v>247</v>
      </c>
      <c r="C436">
        <v>248.99</v>
      </c>
      <c r="D436">
        <v>190.03</v>
      </c>
      <c r="E436">
        <v>214.47</v>
      </c>
      <c r="F436">
        <v>17826.220880000001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-0.17096336499321593</v>
      </c>
      <c r="Q436">
        <f t="shared" si="975"/>
        <v>-3047.630706757127</v>
      </c>
      <c r="R436">
        <f t="shared" si="976"/>
        <v>-5148.7012558115675</v>
      </c>
      <c r="S436">
        <f t="shared" si="977"/>
        <v>-5.1487012558115677E-2</v>
      </c>
      <c r="T436">
        <f t="shared" si="978"/>
        <v>-5.1487012558115677E-5</v>
      </c>
    </row>
    <row r="437" spans="1:20" x14ac:dyDescent="0.25">
      <c r="A437" s="5">
        <v>44156</v>
      </c>
      <c r="B437">
        <v>218.45</v>
      </c>
      <c r="C437">
        <v>264</v>
      </c>
      <c r="D437">
        <v>205</v>
      </c>
      <c r="E437">
        <v>246.98</v>
      </c>
      <c r="F437">
        <v>13352.996929999999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0.42305084745762678</v>
      </c>
      <c r="Q437">
        <f t="shared" si="975"/>
        <v>5648.9966673355884</v>
      </c>
      <c r="R437">
        <f t="shared" si="976"/>
        <v>-2101.0705490544406</v>
      </c>
      <c r="S437">
        <f t="shared" si="977"/>
        <v>-2.1010705490544405E-2</v>
      </c>
      <c r="T437">
        <f t="shared" si="978"/>
        <v>-2.1010705490544406E-5</v>
      </c>
    </row>
    <row r="438" spans="1:20" x14ac:dyDescent="0.25">
      <c r="A438" s="5">
        <v>44155</v>
      </c>
      <c r="B438">
        <v>174.98</v>
      </c>
      <c r="C438">
        <v>275</v>
      </c>
      <c r="D438">
        <v>174.98</v>
      </c>
      <c r="E438">
        <v>218.45</v>
      </c>
      <c r="F438">
        <v>30191.131270000002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-0.13077384523095392</v>
      </c>
      <c r="Q438">
        <f t="shared" si="975"/>
        <v>-3948.2103280503934</v>
      </c>
      <c r="R438">
        <f t="shared" si="976"/>
        <v>-7750.067216390029</v>
      </c>
      <c r="S438">
        <f t="shared" si="977"/>
        <v>-7.7500672163900289E-2</v>
      </c>
      <c r="T438">
        <f t="shared" si="978"/>
        <v>-7.7500672163900291E-5</v>
      </c>
    </row>
    <row r="439" spans="1:20" x14ac:dyDescent="0.25">
      <c r="A439" s="5">
        <v>44154</v>
      </c>
      <c r="B439">
        <v>146.35</v>
      </c>
      <c r="C439">
        <v>190</v>
      </c>
      <c r="D439">
        <v>133</v>
      </c>
      <c r="E439">
        <v>174.89</v>
      </c>
      <c r="F439">
        <v>14219.643120000001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0.46982456140350831</v>
      </c>
      <c r="Q439">
        <f t="shared" si="975"/>
        <v>6680.7375921684152</v>
      </c>
      <c r="R439">
        <f t="shared" si="976"/>
        <v>-3801.8568883396356</v>
      </c>
      <c r="S439">
        <f t="shared" si="977"/>
        <v>-3.8018568883396359E-2</v>
      </c>
      <c r="T439">
        <f t="shared" si="978"/>
        <v>-3.8018568883396358E-5</v>
      </c>
    </row>
    <row r="440" spans="1:20" x14ac:dyDescent="0.25">
      <c r="A440" s="5">
        <v>44153</v>
      </c>
      <c r="B440">
        <v>137.56</v>
      </c>
      <c r="C440">
        <v>167.01</v>
      </c>
      <c r="D440">
        <v>131</v>
      </c>
      <c r="E440">
        <v>147.88999999999999</v>
      </c>
      <c r="F440">
        <v>13481.97723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-6.1927242432658118E-2</v>
      </c>
      <c r="Q440">
        <f t="shared" si="975"/>
        <v>-834.90167239378661</v>
      </c>
      <c r="R440">
        <f t="shared" si="976"/>
        <v>-10482.594480508051</v>
      </c>
      <c r="S440">
        <f t="shared" si="977"/>
        <v>-0.10482594480508051</v>
      </c>
      <c r="T440">
        <f t="shared" si="978"/>
        <v>-1.0482594480508051E-4</v>
      </c>
    </row>
    <row r="441" spans="1:20" x14ac:dyDescent="0.25">
      <c r="A441" s="5">
        <v>44152</v>
      </c>
      <c r="B441">
        <v>140</v>
      </c>
      <c r="C441">
        <v>148.87</v>
      </c>
      <c r="D441">
        <v>124</v>
      </c>
      <c r="E441">
        <v>137</v>
      </c>
      <c r="F441">
        <v>11410.629010000001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4.5436268596702661E-2</v>
      </c>
      <c r="Q441">
        <f t="shared" si="975"/>
        <v>518.45640455568741</v>
      </c>
      <c r="R441">
        <f t="shared" si="976"/>
        <v>-9647.6928081142632</v>
      </c>
      <c r="S441">
        <f t="shared" si="977"/>
        <v>-9.6476928081142638E-2</v>
      </c>
      <c r="T441">
        <f t="shared" si="978"/>
        <v>-9.6476928081142634E-5</v>
      </c>
    </row>
    <row r="442" spans="1:20" x14ac:dyDescent="0.25">
      <c r="A442" s="5">
        <v>44151</v>
      </c>
      <c r="B442">
        <v>113.5</v>
      </c>
      <c r="C442">
        <v>159.80000000000001</v>
      </c>
      <c r="D442">
        <v>111.26</v>
      </c>
      <c r="E442">
        <v>140</v>
      </c>
      <c r="F442">
        <v>17082.214520000001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0.18417799752781175</v>
      </c>
      <c r="Q442">
        <f t="shared" si="975"/>
        <v>3146.1680636341102</v>
      </c>
      <c r="R442">
        <f t="shared" si="976"/>
        <v>-10166.14921266995</v>
      </c>
      <c r="S442">
        <f t="shared" si="977"/>
        <v>-0.1016614921266995</v>
      </c>
      <c r="T442">
        <f t="shared" si="978"/>
        <v>-1.016614921266995E-4</v>
      </c>
    </row>
    <row r="443" spans="1:20" x14ac:dyDescent="0.25">
      <c r="A443" s="5">
        <v>44150</v>
      </c>
      <c r="B443">
        <v>89.24</v>
      </c>
      <c r="C443">
        <v>125</v>
      </c>
      <c r="D443">
        <v>87.28</v>
      </c>
      <c r="E443">
        <v>114</v>
      </c>
      <c r="F443">
        <v>12431.72939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0.41675503711558853</v>
      </c>
      <c r="Q443">
        <f t="shared" si="975"/>
        <v>5180.9858433404033</v>
      </c>
      <c r="R443">
        <f t="shared" si="976"/>
        <v>-13312.31727630406</v>
      </c>
      <c r="S443">
        <f t="shared" si="977"/>
        <v>-0.13312317276304061</v>
      </c>
      <c r="T443">
        <f t="shared" si="978"/>
        <v>-1.3312317276304063E-4</v>
      </c>
    </row>
    <row r="444" spans="1:20" x14ac:dyDescent="0.25">
      <c r="A444" s="5">
        <v>44149</v>
      </c>
      <c r="B444">
        <v>94.13</v>
      </c>
      <c r="C444">
        <v>98.35</v>
      </c>
      <c r="D444">
        <v>82.01</v>
      </c>
      <c r="E444">
        <v>88.11</v>
      </c>
      <c r="F444">
        <v>6095.8374400000002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-0.25336597307221564</v>
      </c>
      <c r="Q444">
        <f t="shared" si="975"/>
        <v>-1544.477784675644</v>
      </c>
      <c r="R444">
        <f t="shared" si="976"/>
        <v>-18493.303119644464</v>
      </c>
      <c r="S444">
        <f t="shared" si="977"/>
        <v>-0.18493303119644464</v>
      </c>
      <c r="T444">
        <f t="shared" si="978"/>
        <v>-1.8493303119644462E-4</v>
      </c>
    </row>
    <row r="445" spans="1:20" x14ac:dyDescent="0.25">
      <c r="A445" s="5">
        <v>44148</v>
      </c>
      <c r="B445">
        <v>113.37</v>
      </c>
      <c r="C445">
        <v>117</v>
      </c>
      <c r="D445">
        <v>90.25</v>
      </c>
      <c r="E445">
        <v>94.12</v>
      </c>
      <c r="F445">
        <v>7130.3446199999998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-0.71065420560747627</v>
      </c>
      <c r="Q445">
        <f t="shared" si="975"/>
        <v>-5067.2093916336426</v>
      </c>
      <c r="R445">
        <f t="shared" si="976"/>
        <v>-16948.82533496882</v>
      </c>
      <c r="S445">
        <f t="shared" si="977"/>
        <v>-0.1694882533496882</v>
      </c>
      <c r="T445">
        <f t="shared" si="978"/>
        <v>-1.6948825334968821E-4</v>
      </c>
    </row>
    <row r="446" spans="1:20" x14ac:dyDescent="0.25">
      <c r="A446" s="5">
        <v>44147</v>
      </c>
      <c r="B446">
        <v>122.06</v>
      </c>
      <c r="C446">
        <v>124.16</v>
      </c>
      <c r="D446">
        <v>110.14</v>
      </c>
      <c r="E446">
        <v>113.48</v>
      </c>
      <c r="F446">
        <v>3112.7928900000002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-0.52353780313837317</v>
      </c>
      <c r="Q446">
        <f t="shared" si="975"/>
        <v>-1629.6647512553477</v>
      </c>
      <c r="R446">
        <f t="shared" si="976"/>
        <v>-11881.615943335177</v>
      </c>
      <c r="S446">
        <f t="shared" si="977"/>
        <v>-0.11881615943335176</v>
      </c>
      <c r="T446">
        <f t="shared" si="978"/>
        <v>-1.1881615943335176E-4</v>
      </c>
    </row>
    <row r="447" spans="1:20" x14ac:dyDescent="0.25">
      <c r="A447" s="5">
        <v>44146</v>
      </c>
      <c r="B447">
        <v>122.25</v>
      </c>
      <c r="C447">
        <v>140</v>
      </c>
      <c r="D447">
        <v>115.03</v>
      </c>
      <c r="E447">
        <v>124.08</v>
      </c>
      <c r="F447">
        <v>6444.5823200000004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-0.27513015618742509</v>
      </c>
      <c r="Q447">
        <f t="shared" si="975"/>
        <v>-1773.0989402643186</v>
      </c>
      <c r="R447">
        <f t="shared" si="976"/>
        <v>-10251.951192079829</v>
      </c>
      <c r="S447">
        <f t="shared" si="977"/>
        <v>-0.10251951192079829</v>
      </c>
      <c r="T447">
        <f t="shared" si="978"/>
        <v>-1.025195119207983E-4</v>
      </c>
    </row>
    <row r="448" spans="1:20" x14ac:dyDescent="0.25">
      <c r="A448" s="5">
        <v>44145</v>
      </c>
      <c r="B448">
        <v>124.19</v>
      </c>
      <c r="C448">
        <v>133.27000000000001</v>
      </c>
      <c r="D448">
        <v>103.02</v>
      </c>
      <c r="E448">
        <v>121.57</v>
      </c>
      <c r="F448">
        <v>10077.090249999999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0.22644628099173478</v>
      </c>
      <c r="Q448">
        <f t="shared" si="975"/>
        <v>2281.9196103305708</v>
      </c>
      <c r="R448">
        <f t="shared" si="976"/>
        <v>-8478.8522518155096</v>
      </c>
      <c r="S448">
        <f t="shared" si="977"/>
        <v>-8.4788522518155093E-2</v>
      </c>
      <c r="T448">
        <f t="shared" si="978"/>
        <v>-8.4788522518155089E-5</v>
      </c>
    </row>
    <row r="449" spans="1:20" x14ac:dyDescent="0.25">
      <c r="A449" s="5">
        <v>44144</v>
      </c>
      <c r="B449">
        <v>137.88</v>
      </c>
      <c r="C449">
        <v>168</v>
      </c>
      <c r="D449">
        <v>120.1</v>
      </c>
      <c r="E449">
        <v>124.2</v>
      </c>
      <c r="F449">
        <v>6756.9354999999996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-0.82881002087682643</v>
      </c>
      <c r="Q449">
        <f t="shared" si="975"/>
        <v>-5600.2158528183691</v>
      </c>
      <c r="R449">
        <f t="shared" si="976"/>
        <v>-10760.771862146081</v>
      </c>
      <c r="S449">
        <f t="shared" si="977"/>
        <v>-0.1076077186214608</v>
      </c>
      <c r="T449">
        <f t="shared" si="978"/>
        <v>-1.076077186214608E-4</v>
      </c>
    </row>
    <row r="450" spans="1:20" x14ac:dyDescent="0.25">
      <c r="A450" s="5">
        <v>44143</v>
      </c>
      <c r="B450">
        <v>135.1</v>
      </c>
      <c r="C450">
        <v>143.62</v>
      </c>
      <c r="D450">
        <v>122</v>
      </c>
      <c r="E450">
        <v>137.87</v>
      </c>
      <c r="F450">
        <v>2976.1364800000001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0.46808510638297884</v>
      </c>
      <c r="Q450">
        <f t="shared" si="975"/>
        <v>1393.0851608510643</v>
      </c>
      <c r="R450">
        <f t="shared" si="976"/>
        <v>-5160.5560093277127</v>
      </c>
      <c r="S450">
        <f t="shared" si="977"/>
        <v>-5.1605560093277124E-2</v>
      </c>
      <c r="T450">
        <f t="shared" si="978"/>
        <v>-5.1605560093277121E-5</v>
      </c>
    </row>
    <row r="451" spans="1:20" x14ac:dyDescent="0.25">
      <c r="A451" s="5">
        <v>44142</v>
      </c>
      <c r="B451">
        <v>167.98</v>
      </c>
      <c r="C451">
        <v>197</v>
      </c>
      <c r="D451">
        <v>121</v>
      </c>
      <c r="E451">
        <v>136.69999999999999</v>
      </c>
      <c r="F451">
        <v>7174.9079300000003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-0.58684210526315816</v>
      </c>
      <c r="Q451">
        <f t="shared" si="975"/>
        <v>-4210.5380747105282</v>
      </c>
      <c r="R451">
        <f t="shared" si="976"/>
        <v>-6553.6411701787765</v>
      </c>
      <c r="S451">
        <f t="shared" si="977"/>
        <v>-6.553641170178777E-2</v>
      </c>
      <c r="T451">
        <f t="shared" si="978"/>
        <v>-6.5536411701787764E-5</v>
      </c>
    </row>
    <row r="452" spans="1:20" x14ac:dyDescent="0.25">
      <c r="A452" s="5">
        <v>44141</v>
      </c>
      <c r="B452">
        <v>118.27</v>
      </c>
      <c r="C452">
        <v>180</v>
      </c>
      <c r="D452">
        <v>117.86</v>
      </c>
      <c r="E452">
        <v>168</v>
      </c>
      <c r="F452">
        <v>6257.9367899999997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0.61377534599291916</v>
      </c>
      <c r="Q452">
        <f t="shared" si="975"/>
        <v>3840.9673184840676</v>
      </c>
      <c r="R452">
        <f t="shared" si="976"/>
        <v>-2343.1030954682483</v>
      </c>
      <c r="S452">
        <f t="shared" si="977"/>
        <v>-2.3431030954682484E-2</v>
      </c>
      <c r="T452">
        <f t="shared" si="978"/>
        <v>-2.3431030954682485E-5</v>
      </c>
    </row>
    <row r="453" spans="1:20" x14ac:dyDescent="0.25">
      <c r="A453" s="5">
        <v>44140</v>
      </c>
      <c r="B453">
        <v>137.16</v>
      </c>
      <c r="C453">
        <v>139.97999999999999</v>
      </c>
      <c r="D453">
        <v>110</v>
      </c>
      <c r="E453">
        <v>116.96</v>
      </c>
      <c r="F453">
        <v>4751.6730699999998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-0.53569046030687151</v>
      </c>
      <c r="Q453">
        <f t="shared" si="975"/>
        <v>-2545.4259340960652</v>
      </c>
      <c r="R453">
        <f t="shared" si="976"/>
        <v>-6184.0704139523159</v>
      </c>
      <c r="S453">
        <f t="shared" si="977"/>
        <v>-6.184070413952316E-2</v>
      </c>
      <c r="T453">
        <f t="shared" si="978"/>
        <v>-6.1840704139523155E-5</v>
      </c>
    </row>
    <row r="454" spans="1:20" x14ac:dyDescent="0.25">
      <c r="A454" s="5">
        <v>44139</v>
      </c>
      <c r="B454">
        <v>156.6</v>
      </c>
      <c r="C454">
        <v>161.05000000000001</v>
      </c>
      <c r="D454">
        <v>101.24</v>
      </c>
      <c r="E454">
        <v>137.16999999999999</v>
      </c>
      <c r="F454">
        <v>6024.8292700000002</v>
      </c>
      <c r="G454">
        <v>0</v>
      </c>
      <c r="L454" t="s">
        <v>8</v>
      </c>
      <c r="M454" t="s">
        <v>8</v>
      </c>
      <c r="N454" t="s">
        <v>8</v>
      </c>
      <c r="P454">
        <f t="shared" ref="P454:P517" si="979">IF(C454=D454,0,((E454-D454)-(C454-E454))/(C454-D454))</f>
        <v>0.20147132586523936</v>
      </c>
      <c r="Q454">
        <f t="shared" ref="Q454:Q517" si="980">F454*P454</f>
        <v>1213.8303411386023</v>
      </c>
      <c r="R454">
        <f t="shared" ref="R454:R517" si="981">R455+Q454</f>
        <v>-3638.6444798562507</v>
      </c>
      <c r="S454">
        <f t="shared" ref="S454:S517" si="982">R454/100000</f>
        <v>-3.6386444798562505E-2</v>
      </c>
      <c r="T454">
        <f t="shared" ref="T454:T517" si="983">S454/1000</f>
        <v>-3.6386444798562505E-5</v>
      </c>
    </row>
    <row r="455" spans="1:20" x14ac:dyDescent="0.25">
      <c r="A455" s="5">
        <v>44138</v>
      </c>
      <c r="B455">
        <v>172.68</v>
      </c>
      <c r="C455">
        <v>214.96</v>
      </c>
      <c r="D455">
        <v>145</v>
      </c>
      <c r="E455">
        <v>156.46</v>
      </c>
      <c r="F455">
        <v>7216.8184199999996</v>
      </c>
      <c r="G455">
        <v>0</v>
      </c>
      <c r="P455">
        <f t="shared" si="979"/>
        <v>-0.67238421955403072</v>
      </c>
      <c r="Q455">
        <f t="shared" si="980"/>
        <v>-4852.474820994853</v>
      </c>
      <c r="R455">
        <f t="shared" si="981"/>
        <v>-4852.474820994853</v>
      </c>
      <c r="S455">
        <f t="shared" si="982"/>
        <v>-4.852474820994853E-2</v>
      </c>
      <c r="T455">
        <f t="shared" si="983"/>
        <v>-4.8524748209948532E-5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R236" sqref="HR2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$A$235</v>
      </c>
      <c r="D111" s="1" t="str">
        <f>ADDRESS(C121-1,D121,1,1)</f>
        <v>$HR$235</v>
      </c>
      <c r="E111"/>
    </row>
    <row r="112" spans="1:5" x14ac:dyDescent="0.25">
      <c r="A112" s="7">
        <v>12164.144957890772</v>
      </c>
      <c r="C112" s="1" t="str">
        <f>ADDRESS(C121,1,1,1)</f>
        <v>$A$236</v>
      </c>
      <c r="D112" s="1" t="str">
        <f>ADDRESS(C121,D121-1,1,1)</f>
        <v>$HQ$236</v>
      </c>
      <c r="E112"/>
    </row>
    <row r="113" spans="1:5" x14ac:dyDescent="0.25">
      <c r="A113" s="7">
        <v>11925.63231165762</v>
      </c>
      <c r="C113" s="1" t="str">
        <f>ADDRESS(C121+1,1,1,1)</f>
        <v>$A$237</v>
      </c>
      <c r="D113" s="1" t="str">
        <f>ADDRESS(C121-1,D121+1,1,1)</f>
        <v>$HS$235</v>
      </c>
    </row>
    <row r="114" spans="1:5" x14ac:dyDescent="0.25">
      <c r="A114" s="7">
        <v>11691.796383978059</v>
      </c>
      <c r="C114" s="1" t="str">
        <f>ADDRESS(C121,D121,1,1)</f>
        <v>$HR$236</v>
      </c>
      <c r="D114" s="1" t="str">
        <f>ADDRESS(C121+1,D121+1,1,1)</f>
        <v>$HS$237</v>
      </c>
    </row>
    <row r="115" spans="1:5" x14ac:dyDescent="0.25">
      <c r="A115" s="7">
        <v>11462.545474488292</v>
      </c>
      <c r="C115" s="1" t="str">
        <f>ADDRESS(C121+1,D121,1,1)</f>
        <v>$HR$237</v>
      </c>
    </row>
    <row r="116" spans="1:5" x14ac:dyDescent="0.25">
      <c r="A116" s="7">
        <v>11237.789680870874</v>
      </c>
      <c r="C116" s="1">
        <f>C117-1</f>
        <v>235</v>
      </c>
    </row>
    <row r="117" spans="1:5" x14ac:dyDescent="0.25">
      <c r="A117" s="7">
        <v>11017.440863598895</v>
      </c>
      <c r="C117" s="1">
        <f>C121</f>
        <v>236</v>
      </c>
      <c r="D117" s="1">
        <f>D121</f>
        <v>226</v>
      </c>
    </row>
    <row r="118" spans="1:5" x14ac:dyDescent="0.25">
      <c r="A118" s="7">
        <v>10801.412611371465</v>
      </c>
      <c r="C118" s="1">
        <f>C117+1</f>
        <v>237</v>
      </c>
      <c r="D118" s="1">
        <f>D117+1</f>
        <v>227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236</v>
      </c>
      <c r="D121" s="19">
        <v>226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R236</v>
      </c>
      <c r="D123" s="1" t="str">
        <f>"C"&amp;D121</f>
        <v>C226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1043.9033431419039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220" x14ac:dyDescent="0.25">
      <c r="A193" s="7">
        <v>2446.0632016595778</v>
      </c>
      <c r="B193"/>
      <c r="C193"/>
      <c r="D193"/>
      <c r="E193"/>
    </row>
    <row r="194" spans="1:220" x14ac:dyDescent="0.25">
      <c r="A194" s="7">
        <v>2398.1011780976251</v>
      </c>
      <c r="B194"/>
      <c r="C194"/>
      <c r="D194"/>
      <c r="E194"/>
    </row>
    <row r="195" spans="1:220" x14ac:dyDescent="0.25">
      <c r="A195" s="7">
        <v>2351.0795863702206</v>
      </c>
      <c r="B195"/>
      <c r="C195"/>
      <c r="D195"/>
      <c r="E195"/>
    </row>
    <row r="196" spans="1:220" x14ac:dyDescent="0.25">
      <c r="A196" s="7">
        <v>2304.979986637471</v>
      </c>
      <c r="B196"/>
      <c r="C196"/>
      <c r="D196"/>
      <c r="E196"/>
    </row>
    <row r="197" spans="1:220" x14ac:dyDescent="0.25">
      <c r="A197" s="7">
        <v>2259.7843006249714</v>
      </c>
      <c r="B197"/>
      <c r="C197"/>
      <c r="D197"/>
      <c r="E197"/>
    </row>
    <row r="198" spans="1:220" x14ac:dyDescent="0.25">
      <c r="A198" s="7">
        <v>2215.4748045342858</v>
      </c>
      <c r="B198"/>
      <c r="C198"/>
      <c r="D198"/>
      <c r="E198"/>
    </row>
    <row r="199" spans="1:220" x14ac:dyDescent="0.25">
      <c r="A199" s="7">
        <v>2172.034122092437</v>
      </c>
      <c r="B199"/>
      <c r="C199"/>
      <c r="D199"/>
      <c r="E199"/>
    </row>
    <row r="200" spans="1:220" x14ac:dyDescent="0.25">
      <c r="A200" s="7">
        <v>2129.4452177376834</v>
      </c>
      <c r="B200"/>
      <c r="C200"/>
      <c r="D200"/>
      <c r="E200"/>
    </row>
    <row r="201" spans="1:220" x14ac:dyDescent="0.25">
      <c r="A201" s="7">
        <v>2087.6913899389051</v>
      </c>
      <c r="B201"/>
      <c r="C201"/>
      <c r="D201"/>
      <c r="E201"/>
    </row>
    <row r="202" spans="1:220" x14ac:dyDescent="0.25">
      <c r="A202" s="7">
        <v>2046.7562646459853</v>
      </c>
      <c r="B202"/>
      <c r="C202"/>
      <c r="D202"/>
      <c r="E202"/>
      <c r="FY202" s="27" t="s">
        <v>8</v>
      </c>
    </row>
    <row r="203" spans="1:220" x14ac:dyDescent="0.25">
      <c r="A203" s="7">
        <v>2006.623788868613</v>
      </c>
      <c r="B203"/>
      <c r="C203"/>
      <c r="D203"/>
      <c r="E203"/>
      <c r="FY203" s="27" t="s">
        <v>8</v>
      </c>
      <c r="FZ203" s="27" t="s">
        <v>7</v>
      </c>
    </row>
    <row r="204" spans="1:220" x14ac:dyDescent="0.25">
      <c r="A204" s="7">
        <v>1967.2782243809932</v>
      </c>
      <c r="B204"/>
      <c r="C204"/>
      <c r="D204"/>
      <c r="E204"/>
      <c r="FY204" s="27" t="s">
        <v>8</v>
      </c>
      <c r="FZ204" s="27" t="s">
        <v>7</v>
      </c>
    </row>
    <row r="205" spans="1:220" x14ac:dyDescent="0.25">
      <c r="A205" s="7">
        <v>1928.7041415499932</v>
      </c>
      <c r="B205"/>
      <c r="C205"/>
      <c r="D205"/>
      <c r="E205"/>
      <c r="FY205" s="27" t="s">
        <v>8</v>
      </c>
      <c r="FZ205" s="27" t="s">
        <v>7</v>
      </c>
      <c r="GA205" s="27" t="s">
        <v>8</v>
      </c>
      <c r="HK205" s="27" t="s">
        <v>8</v>
      </c>
    </row>
    <row r="206" spans="1:220" x14ac:dyDescent="0.25">
      <c r="A206" s="7">
        <v>1890.8864132843071</v>
      </c>
      <c r="B206"/>
      <c r="C206"/>
      <c r="D206"/>
      <c r="E206"/>
      <c r="FY206" s="27" t="s">
        <v>8</v>
      </c>
      <c r="FZ206" s="27" t="s">
        <v>7</v>
      </c>
      <c r="GA206" s="27" t="s">
        <v>8</v>
      </c>
      <c r="GB206" s="27" t="s">
        <v>7</v>
      </c>
      <c r="HK206" s="27" t="s">
        <v>8</v>
      </c>
      <c r="HL206" s="27" t="s">
        <v>7</v>
      </c>
    </row>
    <row r="207" spans="1:220" x14ac:dyDescent="0.25">
      <c r="A207" s="7">
        <v>1853.8102091022618</v>
      </c>
      <c r="B207"/>
      <c r="C207"/>
      <c r="D207"/>
      <c r="E207"/>
      <c r="FY207" s="27" t="s">
        <v>8</v>
      </c>
      <c r="FZ207" s="27" t="s">
        <v>7</v>
      </c>
      <c r="GA207" s="27" t="s">
        <v>8</v>
      </c>
      <c r="GB207" s="27" t="s">
        <v>7</v>
      </c>
      <c r="HK207" s="27" t="s">
        <v>8</v>
      </c>
      <c r="HL207" s="27" t="s">
        <v>7</v>
      </c>
    </row>
    <row r="208" spans="1:220" x14ac:dyDescent="0.25">
      <c r="A208" s="7">
        <v>1817.4609893159429</v>
      </c>
      <c r="B208"/>
      <c r="C208"/>
      <c r="D208"/>
      <c r="E208"/>
      <c r="FY208" s="27" t="s">
        <v>8</v>
      </c>
      <c r="FZ208" s="27" t="s">
        <v>7</v>
      </c>
      <c r="GA208" s="27" t="s">
        <v>8</v>
      </c>
      <c r="GB208" s="27" t="s">
        <v>7</v>
      </c>
      <c r="HK208" s="27" t="s">
        <v>8</v>
      </c>
      <c r="HL208" s="27" t="s">
        <v>7</v>
      </c>
    </row>
    <row r="209" spans="1:223" x14ac:dyDescent="0.25">
      <c r="A209" s="7">
        <v>1781.8244993293558</v>
      </c>
      <c r="B209"/>
      <c r="C209"/>
      <c r="D209"/>
      <c r="E209"/>
      <c r="FY209" s="27" t="s">
        <v>8</v>
      </c>
      <c r="FZ209" s="27" t="s">
        <v>7</v>
      </c>
      <c r="GA209" s="27" t="s">
        <v>8</v>
      </c>
      <c r="GB209" s="27" t="s">
        <v>7</v>
      </c>
      <c r="HK209" s="27" t="s">
        <v>8</v>
      </c>
      <c r="HL209" s="27" t="s">
        <v>7</v>
      </c>
    </row>
    <row r="210" spans="1:223" x14ac:dyDescent="0.25">
      <c r="A210" s="7">
        <v>1746.8867640483879</v>
      </c>
      <c r="B210"/>
      <c r="C210"/>
      <c r="D210"/>
      <c r="E210"/>
      <c r="FY210" s="27" t="s">
        <v>8</v>
      </c>
      <c r="FZ210" s="27" t="s">
        <v>7</v>
      </c>
      <c r="GA210" s="27" t="s">
        <v>8</v>
      </c>
      <c r="GB210" s="27" t="s">
        <v>7</v>
      </c>
      <c r="GE210" s="27" t="s">
        <v>8</v>
      </c>
      <c r="HK210" s="27" t="s">
        <v>8</v>
      </c>
      <c r="HL210" s="27" t="s">
        <v>7</v>
      </c>
    </row>
    <row r="211" spans="1:223" x14ac:dyDescent="0.25">
      <c r="A211" s="7">
        <v>1712.6340824003803</v>
      </c>
      <c r="B211"/>
      <c r="C211"/>
      <c r="D211"/>
      <c r="E211"/>
      <c r="FY211" s="27" t="s">
        <v>8</v>
      </c>
      <c r="FZ211" s="27" t="s">
        <v>7</v>
      </c>
      <c r="GA211" s="27" t="s">
        <v>8</v>
      </c>
      <c r="GB211" s="27" t="s">
        <v>7</v>
      </c>
      <c r="GE211" s="27" t="s">
        <v>8</v>
      </c>
      <c r="GF211" s="27" t="s">
        <v>7</v>
      </c>
      <c r="HK211" s="27" t="s">
        <v>8</v>
      </c>
      <c r="HL211" s="27" t="s">
        <v>7</v>
      </c>
    </row>
    <row r="212" spans="1:223" x14ac:dyDescent="0.25">
      <c r="A212" s="7">
        <v>1679.0530219611571</v>
      </c>
      <c r="B212"/>
      <c r="C212"/>
      <c r="D212"/>
      <c r="E212"/>
      <c r="FY212" s="27" t="s">
        <v>8</v>
      </c>
      <c r="FZ212" s="27" t="s">
        <v>7</v>
      </c>
      <c r="GA212" s="27" t="s">
        <v>8</v>
      </c>
      <c r="GB212" s="27" t="s">
        <v>7</v>
      </c>
      <c r="GE212" s="27" t="s">
        <v>8</v>
      </c>
      <c r="GF212" s="27" t="s">
        <v>7</v>
      </c>
      <c r="HI212" s="27" t="s">
        <v>8</v>
      </c>
      <c r="HK212" s="27" t="s">
        <v>8</v>
      </c>
      <c r="HL212" s="27" t="s">
        <v>7</v>
      </c>
    </row>
    <row r="213" spans="1:223" x14ac:dyDescent="0.25">
      <c r="A213" s="7">
        <v>1646.1304136874089</v>
      </c>
      <c r="B213"/>
      <c r="C213"/>
      <c r="D213"/>
      <c r="E213"/>
      <c r="FY213" s="27" t="s">
        <v>8</v>
      </c>
      <c r="FZ213" s="27" t="s">
        <v>7</v>
      </c>
      <c r="GA213" s="27" t="s">
        <v>8</v>
      </c>
      <c r="GB213" s="27" t="s">
        <v>7</v>
      </c>
      <c r="GE213" s="27" t="s">
        <v>8</v>
      </c>
      <c r="GF213" s="27" t="s">
        <v>7</v>
      </c>
      <c r="HI213" s="27" t="s">
        <v>8</v>
      </c>
      <c r="HJ213" s="27" t="s">
        <v>7</v>
      </c>
      <c r="HK213" s="27" t="s">
        <v>8</v>
      </c>
      <c r="HL213" s="27" t="s">
        <v>7</v>
      </c>
      <c r="HM213" s="27" t="s">
        <v>8</v>
      </c>
    </row>
    <row r="214" spans="1:223" x14ac:dyDescent="0.25">
      <c r="A214" s="7">
        <v>1613.8533467523616</v>
      </c>
      <c r="B214"/>
      <c r="C214"/>
      <c r="D214"/>
      <c r="E214"/>
      <c r="FY214" s="27" t="s">
        <v>8</v>
      </c>
      <c r="FZ214" s="27" t="s">
        <v>7</v>
      </c>
      <c r="GA214" s="27" t="s">
        <v>8</v>
      </c>
      <c r="GB214" s="27" t="s">
        <v>7</v>
      </c>
      <c r="GE214" s="27" t="s">
        <v>8</v>
      </c>
      <c r="GF214" s="27" t="s">
        <v>7</v>
      </c>
      <c r="HI214" s="27" t="s">
        <v>8</v>
      </c>
      <c r="HJ214" s="27" t="s">
        <v>7</v>
      </c>
      <c r="HK214" s="27" t="s">
        <v>8</v>
      </c>
      <c r="HL214" s="27" t="s">
        <v>7</v>
      </c>
      <c r="HM214" s="27" t="s">
        <v>8</v>
      </c>
      <c r="HN214" s="27" t="s">
        <v>7</v>
      </c>
    </row>
    <row r="215" spans="1:223" x14ac:dyDescent="0.25">
      <c r="A215" s="7">
        <v>1582.2091634827075</v>
      </c>
      <c r="B215"/>
      <c r="C215"/>
      <c r="D215"/>
      <c r="E215"/>
      <c r="FY215" s="27" t="s">
        <v>8</v>
      </c>
      <c r="FZ215" s="27" t="s">
        <v>7</v>
      </c>
      <c r="GA215" s="27" t="s">
        <v>8</v>
      </c>
      <c r="GB215" s="27" t="s">
        <v>7</v>
      </c>
      <c r="GE215" s="27" t="s">
        <v>8</v>
      </c>
      <c r="GF215" s="27" t="s">
        <v>7</v>
      </c>
      <c r="HI215" s="27" t="s">
        <v>8</v>
      </c>
      <c r="HJ215" s="27" t="s">
        <v>7</v>
      </c>
      <c r="HK215" s="27" t="s">
        <v>8</v>
      </c>
      <c r="HL215" s="27" t="s">
        <v>7</v>
      </c>
      <c r="HM215" s="27" t="s">
        <v>8</v>
      </c>
      <c r="HN215" s="27" t="s">
        <v>7</v>
      </c>
    </row>
    <row r="216" spans="1:223" x14ac:dyDescent="0.25">
      <c r="A216" s="7">
        <v>1551.1854543948111</v>
      </c>
      <c r="B216"/>
      <c r="C216"/>
      <c r="D216"/>
      <c r="E216"/>
      <c r="FY216" s="27" t="s">
        <v>8</v>
      </c>
      <c r="FZ216" s="27" t="s">
        <v>7</v>
      </c>
      <c r="GA216" s="27" t="s">
        <v>8</v>
      </c>
      <c r="GB216" s="27" t="s">
        <v>7</v>
      </c>
      <c r="GE216" s="27" t="s">
        <v>8</v>
      </c>
      <c r="GF216" s="27" t="s">
        <v>7</v>
      </c>
      <c r="HI216" s="27" t="s">
        <v>8</v>
      </c>
      <c r="HJ216" s="27" t="s">
        <v>7</v>
      </c>
      <c r="HK216" s="27" t="s">
        <v>8</v>
      </c>
      <c r="HL216" s="27" t="s">
        <v>7</v>
      </c>
      <c r="HM216" s="27" t="s">
        <v>8</v>
      </c>
      <c r="HN216" s="27" t="s">
        <v>7</v>
      </c>
    </row>
    <row r="217" spans="1:223" x14ac:dyDescent="0.25">
      <c r="A217" s="7">
        <v>1520.7700533282461</v>
      </c>
      <c r="B217"/>
      <c r="C217"/>
      <c r="D217"/>
      <c r="E217"/>
      <c r="FY217" s="27" t="s">
        <v>8</v>
      </c>
      <c r="FZ217" s="27" t="s">
        <v>7</v>
      </c>
      <c r="GA217" s="27" t="s">
        <v>8</v>
      </c>
      <c r="GB217" s="27" t="s">
        <v>7</v>
      </c>
      <c r="GE217" s="27" t="s">
        <v>8</v>
      </c>
      <c r="GF217" s="27" t="s">
        <v>7</v>
      </c>
      <c r="HI217" s="27" t="s">
        <v>8</v>
      </c>
      <c r="HJ217" s="27" t="s">
        <v>7</v>
      </c>
      <c r="HK217" s="27" t="s">
        <v>8</v>
      </c>
      <c r="HL217" s="27" t="s">
        <v>7</v>
      </c>
      <c r="HM217" s="27" t="s">
        <v>8</v>
      </c>
      <c r="HN217" s="27" t="s">
        <v>7</v>
      </c>
    </row>
    <row r="218" spans="1:223" x14ac:dyDescent="0.25">
      <c r="A218" s="7">
        <v>1490.9510326747511</v>
      </c>
      <c r="B218"/>
      <c r="C218"/>
      <c r="D218"/>
      <c r="E218"/>
      <c r="FY218" s="27" t="s">
        <v>8</v>
      </c>
      <c r="FZ218" s="27" t="s">
        <v>7</v>
      </c>
      <c r="GA218" s="27" t="s">
        <v>8</v>
      </c>
      <c r="GB218" s="27" t="s">
        <v>7</v>
      </c>
      <c r="GE218" s="27" t="s">
        <v>8</v>
      </c>
      <c r="GF218" s="27" t="s">
        <v>7</v>
      </c>
      <c r="HI218" s="27" t="s">
        <v>8</v>
      </c>
      <c r="HJ218" s="27" t="s">
        <v>7</v>
      </c>
      <c r="HK218" s="27" t="s">
        <v>8</v>
      </c>
      <c r="HL218" s="27" t="s">
        <v>7</v>
      </c>
      <c r="HM218" s="27" t="s">
        <v>8</v>
      </c>
      <c r="HN218" s="27" t="s">
        <v>7</v>
      </c>
    </row>
    <row r="219" spans="1:223" x14ac:dyDescent="0.25">
      <c r="A219" s="7">
        <v>1461.7166987007363</v>
      </c>
      <c r="B219"/>
      <c r="C219"/>
      <c r="D219"/>
      <c r="E219"/>
      <c r="FY219" s="27" t="s">
        <v>8</v>
      </c>
      <c r="FZ219" s="27" t="s">
        <v>7</v>
      </c>
      <c r="GB219" s="27" t="s">
        <v>7</v>
      </c>
      <c r="GE219" s="27" t="s">
        <v>8</v>
      </c>
      <c r="GF219" s="27" t="s">
        <v>7</v>
      </c>
      <c r="HI219" s="27" t="s">
        <v>8</v>
      </c>
      <c r="HJ219" s="27" t="s">
        <v>7</v>
      </c>
      <c r="HL219" s="27" t="s">
        <v>7</v>
      </c>
      <c r="HM219" s="27" t="s">
        <v>8</v>
      </c>
      <c r="HN219" s="27" t="s">
        <v>7</v>
      </c>
    </row>
    <row r="220" spans="1:223" x14ac:dyDescent="0.25">
      <c r="A220" s="7">
        <v>1433.0555869615062</v>
      </c>
      <c r="B220"/>
      <c r="C220"/>
      <c r="D220"/>
      <c r="E220"/>
      <c r="FY220" s="27" t="s">
        <v>8</v>
      </c>
      <c r="GB220" s="27" t="s">
        <v>7</v>
      </c>
      <c r="GE220" s="27" t="s">
        <v>8</v>
      </c>
      <c r="GF220" s="27" t="s">
        <v>7</v>
      </c>
      <c r="HI220" s="27" t="s">
        <v>8</v>
      </c>
      <c r="HL220" s="27" t="s">
        <v>7</v>
      </c>
      <c r="HM220" s="27" t="s">
        <v>8</v>
      </c>
      <c r="HN220" s="27" t="s">
        <v>7</v>
      </c>
    </row>
    <row r="221" spans="1:223" x14ac:dyDescent="0.25">
      <c r="A221" s="7">
        <v>1404.9564578053983</v>
      </c>
      <c r="B221"/>
      <c r="C221"/>
      <c r="D221"/>
      <c r="E221"/>
      <c r="FY221" s="27" t="s">
        <v>8</v>
      </c>
      <c r="GB221" s="27" t="s">
        <v>7</v>
      </c>
      <c r="GE221" s="27" t="s">
        <v>8</v>
      </c>
      <c r="GF221" s="27" t="s">
        <v>7</v>
      </c>
      <c r="HI221" s="27" t="s">
        <v>8</v>
      </c>
      <c r="HL221" s="27" t="s">
        <v>7</v>
      </c>
      <c r="HM221" s="27" t="s">
        <v>8</v>
      </c>
      <c r="HN221" s="27" t="s">
        <v>7</v>
      </c>
    </row>
    <row r="222" spans="1:223" x14ac:dyDescent="0.25">
      <c r="A222" s="7">
        <v>1377.4082919660766</v>
      </c>
      <c r="B222"/>
      <c r="C222"/>
      <c r="D222"/>
      <c r="E222"/>
      <c r="FY222" s="27" t="s">
        <v>8</v>
      </c>
      <c r="GB222" s="27" t="s">
        <v>7</v>
      </c>
      <c r="GC222" s="27" t="s">
        <v>8</v>
      </c>
      <c r="GE222" s="27" t="s">
        <v>8</v>
      </c>
      <c r="GF222" s="27" t="s">
        <v>7</v>
      </c>
      <c r="HA222" s="27" t="s">
        <v>8</v>
      </c>
      <c r="HI222" s="27" t="s">
        <v>8</v>
      </c>
      <c r="HL222" s="27" t="s">
        <v>7</v>
      </c>
      <c r="HM222" s="27" t="s">
        <v>8</v>
      </c>
      <c r="HN222" s="27" t="s">
        <v>7</v>
      </c>
    </row>
    <row r="223" spans="1:223" x14ac:dyDescent="0.25">
      <c r="A223" s="7">
        <v>1350.4002862412515</v>
      </c>
      <c r="B223"/>
      <c r="C223"/>
      <c r="D223"/>
      <c r="E223"/>
      <c r="FY223" s="27" t="s">
        <v>8</v>
      </c>
      <c r="GB223" s="27" t="s">
        <v>7</v>
      </c>
      <c r="GC223" s="27" t="s">
        <v>8</v>
      </c>
      <c r="GD223" s="27" t="s">
        <v>7</v>
      </c>
      <c r="GE223" s="27" t="s">
        <v>8</v>
      </c>
      <c r="GF223" s="27" t="s">
        <v>7</v>
      </c>
      <c r="HA223" s="27" t="s">
        <v>8</v>
      </c>
      <c r="HB223" s="27" t="s">
        <v>7</v>
      </c>
      <c r="HE223" s="27" t="s">
        <v>8</v>
      </c>
      <c r="HI223" s="27" t="s">
        <v>8</v>
      </c>
      <c r="HL223" s="27" t="s">
        <v>7</v>
      </c>
      <c r="HN223" s="27" t="s">
        <v>7</v>
      </c>
    </row>
    <row r="224" spans="1:223" x14ac:dyDescent="0.25">
      <c r="A224" s="7">
        <v>1323.9218492561288</v>
      </c>
      <c r="B224"/>
      <c r="C224"/>
      <c r="D224"/>
      <c r="E224"/>
      <c r="FY224" s="27" t="s">
        <v>8</v>
      </c>
      <c r="GB224" s="27" t="s">
        <v>7</v>
      </c>
      <c r="GC224" s="27" t="s">
        <v>8</v>
      </c>
      <c r="GD224" s="27" t="s">
        <v>7</v>
      </c>
      <c r="GE224" s="27" t="s">
        <v>8</v>
      </c>
      <c r="GF224" s="27" t="s">
        <v>7</v>
      </c>
      <c r="GG224" s="27" t="s">
        <v>8</v>
      </c>
      <c r="GI224" s="27" t="s">
        <v>8</v>
      </c>
      <c r="HA224" s="27" t="s">
        <v>8</v>
      </c>
      <c r="HB224" s="27" t="s">
        <v>7</v>
      </c>
      <c r="HC224" s="27" t="s">
        <v>8</v>
      </c>
      <c r="HE224" s="27" t="s">
        <v>8</v>
      </c>
      <c r="HF224" s="27" t="s">
        <v>7</v>
      </c>
      <c r="HI224" s="27" t="s">
        <v>8</v>
      </c>
      <c r="HN224" s="27" t="s">
        <v>7</v>
      </c>
      <c r="HO224" s="27" t="s">
        <v>8</v>
      </c>
    </row>
    <row r="225" spans="1:226" x14ac:dyDescent="0.25">
      <c r="A225" s="7">
        <v>1297.9625973099301</v>
      </c>
      <c r="B225"/>
      <c r="C225"/>
      <c r="D225"/>
      <c r="E225"/>
      <c r="FY225" s="27" t="s">
        <v>8</v>
      </c>
      <c r="GB225" s="27" t="s">
        <v>7</v>
      </c>
      <c r="GC225" s="27" t="s">
        <v>8</v>
      </c>
      <c r="GD225" s="27" t="s">
        <v>7</v>
      </c>
      <c r="GE225" s="27" t="s">
        <v>8</v>
      </c>
      <c r="GF225" s="27" t="s">
        <v>7</v>
      </c>
      <c r="GG225" s="27" t="s">
        <v>8</v>
      </c>
      <c r="GH225" s="27" t="s">
        <v>7</v>
      </c>
      <c r="GI225" s="27" t="s">
        <v>8</v>
      </c>
      <c r="GJ225" s="27" t="s">
        <v>7</v>
      </c>
      <c r="HA225" s="27" t="s">
        <v>8</v>
      </c>
      <c r="HB225" s="27" t="s">
        <v>7</v>
      </c>
      <c r="HC225" s="27" t="s">
        <v>8</v>
      </c>
      <c r="HD225" s="27" t="s">
        <v>7</v>
      </c>
      <c r="HE225" s="27" t="s">
        <v>8</v>
      </c>
      <c r="HF225" s="27" t="s">
        <v>7</v>
      </c>
      <c r="HI225" s="27" t="s">
        <v>8</v>
      </c>
      <c r="HN225" s="27" t="s">
        <v>7</v>
      </c>
      <c r="HO225" s="27" t="s">
        <v>8</v>
      </c>
      <c r="HP225" s="27" t="s">
        <v>7</v>
      </c>
    </row>
    <row r="226" spans="1:226" x14ac:dyDescent="0.25">
      <c r="A226" s="7">
        <v>1272.5123503038531</v>
      </c>
      <c r="B226"/>
      <c r="C226"/>
      <c r="D226"/>
      <c r="E226"/>
      <c r="FY226" s="27" t="s">
        <v>8</v>
      </c>
      <c r="GB226" s="27" t="s">
        <v>7</v>
      </c>
      <c r="GC226" s="27" t="s">
        <v>8</v>
      </c>
      <c r="GD226" s="27" t="s">
        <v>7</v>
      </c>
      <c r="GE226" s="27" t="s">
        <v>8</v>
      </c>
      <c r="GF226" s="27" t="s">
        <v>7</v>
      </c>
      <c r="GG226" s="27" t="s">
        <v>8</v>
      </c>
      <c r="GH226" s="27" t="s">
        <v>7</v>
      </c>
      <c r="GI226" s="27" t="s">
        <v>8</v>
      </c>
      <c r="GJ226" s="27" t="s">
        <v>7</v>
      </c>
      <c r="HA226" s="27" t="s">
        <v>8</v>
      </c>
      <c r="HB226" s="27" t="s">
        <v>7</v>
      </c>
      <c r="HC226" s="27" t="s">
        <v>8</v>
      </c>
      <c r="HD226" s="27" t="s">
        <v>7</v>
      </c>
      <c r="HE226" s="27" t="s">
        <v>8</v>
      </c>
      <c r="HF226" s="27" t="s">
        <v>7</v>
      </c>
      <c r="HI226" s="27" t="s">
        <v>8</v>
      </c>
      <c r="HN226" s="27" t="s">
        <v>7</v>
      </c>
      <c r="HO226" s="27" t="s">
        <v>8</v>
      </c>
      <c r="HP226" s="27" t="s">
        <v>7</v>
      </c>
    </row>
    <row r="227" spans="1:226" x14ac:dyDescent="0.25">
      <c r="A227" s="7">
        <v>1247.5611277488756</v>
      </c>
      <c r="B227"/>
      <c r="C227"/>
      <c r="D227"/>
      <c r="E227"/>
      <c r="FY227" s="27" t="s">
        <v>8</v>
      </c>
      <c r="GB227" s="27" t="s">
        <v>7</v>
      </c>
      <c r="GC227" s="27" t="s">
        <v>8</v>
      </c>
      <c r="GD227" s="27" t="s">
        <v>7</v>
      </c>
      <c r="GE227" s="27" t="s">
        <v>8</v>
      </c>
      <c r="GF227" s="27" t="s">
        <v>7</v>
      </c>
      <c r="GG227" s="27" t="s">
        <v>8</v>
      </c>
      <c r="GH227" s="27" t="s">
        <v>7</v>
      </c>
      <c r="GI227" s="27" t="s">
        <v>8</v>
      </c>
      <c r="GJ227" s="27" t="s">
        <v>7</v>
      </c>
      <c r="HA227" s="27" t="s">
        <v>8</v>
      </c>
      <c r="HB227" s="27" t="s">
        <v>7</v>
      </c>
      <c r="HC227" s="27" t="s">
        <v>8</v>
      </c>
      <c r="HD227" s="27" t="s">
        <v>7</v>
      </c>
      <c r="HE227" s="27" t="s">
        <v>8</v>
      </c>
      <c r="HF227" s="27" t="s">
        <v>7</v>
      </c>
      <c r="HI227" s="27" t="s">
        <v>8</v>
      </c>
      <c r="HN227" s="27" t="s">
        <v>7</v>
      </c>
      <c r="HO227" s="27" t="s">
        <v>8</v>
      </c>
      <c r="HP227" s="27" t="s">
        <v>7</v>
      </c>
    </row>
    <row r="228" spans="1:226" x14ac:dyDescent="0.25">
      <c r="A228" s="7">
        <v>1223.0991448518389</v>
      </c>
      <c r="B228"/>
      <c r="C228"/>
      <c r="D228"/>
      <c r="E228"/>
      <c r="FY228" s="27" t="s">
        <v>8</v>
      </c>
      <c r="GB228" s="27" t="s">
        <v>7</v>
      </c>
      <c r="GC228" s="27" t="s">
        <v>8</v>
      </c>
      <c r="GD228" s="27" t="s">
        <v>7</v>
      </c>
      <c r="GE228" s="27" t="s">
        <v>8</v>
      </c>
      <c r="GF228" s="27" t="s">
        <v>7</v>
      </c>
      <c r="GH228" s="27" t="s">
        <v>7</v>
      </c>
      <c r="GI228" s="27" t="s">
        <v>8</v>
      </c>
      <c r="GJ228" s="27" t="s">
        <v>7</v>
      </c>
      <c r="HA228" s="27" t="s">
        <v>8</v>
      </c>
      <c r="HB228" s="27" t="s">
        <v>7</v>
      </c>
      <c r="HC228" s="27" t="s">
        <v>8</v>
      </c>
      <c r="HD228" s="27" t="s">
        <v>7</v>
      </c>
      <c r="HE228" s="27" t="s">
        <v>8</v>
      </c>
      <c r="HF228" s="27" t="s">
        <v>7</v>
      </c>
      <c r="HI228" s="27" t="s">
        <v>8</v>
      </c>
      <c r="HN228" s="27" t="s">
        <v>7</v>
      </c>
      <c r="HO228" s="27" t="s">
        <v>8</v>
      </c>
      <c r="HP228" s="27" t="s">
        <v>7</v>
      </c>
    </row>
    <row r="229" spans="1:226" x14ac:dyDescent="0.25">
      <c r="A229" s="7">
        <v>1199.1168086782734</v>
      </c>
      <c r="B229"/>
      <c r="C229"/>
      <c r="D229"/>
      <c r="E229"/>
      <c r="FY229" s="27" t="s">
        <v>8</v>
      </c>
      <c r="GB229" s="27" t="s">
        <v>7</v>
      </c>
      <c r="GC229" s="27" t="s">
        <v>8</v>
      </c>
      <c r="GD229" s="27" t="s">
        <v>7</v>
      </c>
      <c r="GE229" s="27" t="s">
        <v>8</v>
      </c>
      <c r="GH229" s="27" t="s">
        <v>7</v>
      </c>
      <c r="GI229" s="27" t="s">
        <v>8</v>
      </c>
      <c r="GJ229" s="27" t="s">
        <v>7</v>
      </c>
      <c r="HA229" s="27" t="s">
        <v>8</v>
      </c>
      <c r="HB229" s="27" t="s">
        <v>7</v>
      </c>
      <c r="HC229" s="27" t="s">
        <v>8</v>
      </c>
      <c r="HD229" s="27" t="s">
        <v>7</v>
      </c>
      <c r="HE229" s="27" t="s">
        <v>8</v>
      </c>
      <c r="HF229" s="27" t="s">
        <v>7</v>
      </c>
      <c r="HI229" s="27" t="s">
        <v>8</v>
      </c>
      <c r="HN229" s="27" t="s">
        <v>7</v>
      </c>
      <c r="HO229" s="27" t="s">
        <v>8</v>
      </c>
      <c r="HP229" s="27" t="s">
        <v>7</v>
      </c>
      <c r="HQ229" s="27" t="s">
        <v>8</v>
      </c>
    </row>
    <row r="230" spans="1:226" x14ac:dyDescent="0.25">
      <c r="A230" s="7">
        <v>1175.6047143904641</v>
      </c>
      <c r="B230"/>
      <c r="C230"/>
      <c r="D230"/>
      <c r="E230"/>
      <c r="FY230" s="27" t="s">
        <v>8</v>
      </c>
      <c r="GB230" s="27" t="s">
        <v>7</v>
      </c>
      <c r="GC230" s="27" t="s">
        <v>8</v>
      </c>
      <c r="GD230" s="27" t="s">
        <v>7</v>
      </c>
      <c r="GE230" s="27" t="s">
        <v>8</v>
      </c>
      <c r="GH230" s="27" t="s">
        <v>7</v>
      </c>
      <c r="GI230" s="27" t="s">
        <v>8</v>
      </c>
      <c r="GJ230" s="27" t="s">
        <v>7</v>
      </c>
      <c r="HA230" s="27" t="s">
        <v>8</v>
      </c>
      <c r="HB230" s="27" t="s">
        <v>7</v>
      </c>
      <c r="HD230" s="27" t="s">
        <v>7</v>
      </c>
      <c r="HE230" s="27" t="s">
        <v>8</v>
      </c>
      <c r="HF230" s="27" t="s">
        <v>7</v>
      </c>
      <c r="HI230" s="27" t="s">
        <v>8</v>
      </c>
      <c r="HN230" s="27" t="s">
        <v>7</v>
      </c>
      <c r="HO230" s="27" t="s">
        <v>8</v>
      </c>
      <c r="HP230" s="27" t="s">
        <v>7</v>
      </c>
      <c r="HQ230" s="27" t="s">
        <v>8</v>
      </c>
      <c r="HR230" s="27" t="s">
        <v>7</v>
      </c>
    </row>
    <row r="231" spans="1:226" x14ac:dyDescent="0.25">
      <c r="A231" s="7">
        <v>1152.5536415592785</v>
      </c>
      <c r="B231"/>
      <c r="C231"/>
      <c r="D231"/>
      <c r="E231"/>
      <c r="FY231" s="27" t="s">
        <v>8</v>
      </c>
      <c r="GB231" s="27" t="s">
        <v>7</v>
      </c>
      <c r="GD231" s="27" t="s">
        <v>7</v>
      </c>
      <c r="GE231" s="27" t="s">
        <v>8</v>
      </c>
      <c r="GH231" s="27" t="s">
        <v>7</v>
      </c>
      <c r="GI231" s="27" t="s">
        <v>8</v>
      </c>
      <c r="GJ231" s="27" t="s">
        <v>7</v>
      </c>
      <c r="GK231" s="27" t="s">
        <v>8</v>
      </c>
      <c r="HA231" s="27" t="s">
        <v>8</v>
      </c>
      <c r="HD231" s="27" t="s">
        <v>7</v>
      </c>
      <c r="HE231" s="27" t="s">
        <v>8</v>
      </c>
      <c r="HF231" s="27" t="s">
        <v>7</v>
      </c>
      <c r="HI231" s="27" t="s">
        <v>8</v>
      </c>
      <c r="HN231" s="27" t="s">
        <v>7</v>
      </c>
      <c r="HO231" s="27" t="s">
        <v>8</v>
      </c>
      <c r="HP231" s="27" t="s">
        <v>7</v>
      </c>
      <c r="HQ231" s="27" t="s">
        <v>8</v>
      </c>
      <c r="HR231" s="27" t="s">
        <v>7</v>
      </c>
    </row>
    <row r="232" spans="1:226" x14ac:dyDescent="0.25">
      <c r="A232" s="7">
        <v>1129.9545505483122</v>
      </c>
      <c r="B232"/>
      <c r="C232"/>
      <c r="D232"/>
      <c r="E232"/>
      <c r="FY232" s="27" t="s">
        <v>8</v>
      </c>
      <c r="GD232" s="27" t="s">
        <v>7</v>
      </c>
      <c r="GE232" s="27" t="s">
        <v>8</v>
      </c>
      <c r="GH232" s="27" t="s">
        <v>7</v>
      </c>
      <c r="GI232" s="27" t="s">
        <v>8</v>
      </c>
      <c r="GJ232" s="27" t="s">
        <v>7</v>
      </c>
      <c r="GK232" s="27" t="s">
        <v>8</v>
      </c>
      <c r="GL232" s="27" t="s">
        <v>7</v>
      </c>
      <c r="GM232" s="27" t="s">
        <v>8</v>
      </c>
      <c r="HA232" s="27" t="s">
        <v>8</v>
      </c>
      <c r="HD232" s="27" t="s">
        <v>7</v>
      </c>
      <c r="HE232" s="27" t="s">
        <v>8</v>
      </c>
      <c r="HF232" s="27" t="s">
        <v>7</v>
      </c>
      <c r="HG232" s="27" t="s">
        <v>8</v>
      </c>
      <c r="HI232" s="27" t="s">
        <v>8</v>
      </c>
      <c r="HN232" s="27" t="s">
        <v>7</v>
      </c>
      <c r="HO232" s="27" t="s">
        <v>8</v>
      </c>
      <c r="HP232" s="27" t="s">
        <v>7</v>
      </c>
      <c r="HQ232" s="27" t="s">
        <v>8</v>
      </c>
      <c r="HR232" s="27" t="s">
        <v>7</v>
      </c>
    </row>
    <row r="233" spans="1:226" x14ac:dyDescent="0.25">
      <c r="A233" s="7">
        <v>1107.7985789689335</v>
      </c>
      <c r="B233"/>
      <c r="C233"/>
      <c r="D233"/>
      <c r="E233"/>
      <c r="FY233" s="27" t="s">
        <v>8</v>
      </c>
      <c r="GD233" s="27" t="s">
        <v>7</v>
      </c>
      <c r="GE233" s="27" t="s">
        <v>8</v>
      </c>
      <c r="GH233" s="27" t="s">
        <v>7</v>
      </c>
      <c r="GI233" s="27" t="s">
        <v>8</v>
      </c>
      <c r="GJ233" s="27" t="s">
        <v>7</v>
      </c>
      <c r="GK233" s="27" t="s">
        <v>8</v>
      </c>
      <c r="GL233" s="27" t="s">
        <v>7</v>
      </c>
      <c r="GM233" s="27" t="s">
        <v>8</v>
      </c>
      <c r="GN233" s="27" t="s">
        <v>7</v>
      </c>
      <c r="HA233" s="27" t="s">
        <v>8</v>
      </c>
      <c r="HD233" s="27" t="s">
        <v>7</v>
      </c>
      <c r="HE233" s="27" t="s">
        <v>8</v>
      </c>
      <c r="HF233" s="27" t="s">
        <v>7</v>
      </c>
      <c r="HG233" s="27" t="s">
        <v>8</v>
      </c>
      <c r="HH233" s="27" t="s">
        <v>7</v>
      </c>
      <c r="HI233" s="27" t="s">
        <v>8</v>
      </c>
      <c r="HN233" s="27" t="s">
        <v>7</v>
      </c>
      <c r="HO233" s="27" t="s">
        <v>8</v>
      </c>
      <c r="HP233" s="27" t="s">
        <v>7</v>
      </c>
      <c r="HQ233" s="27" t="s">
        <v>8</v>
      </c>
      <c r="HR233" s="27" t="s">
        <v>7</v>
      </c>
    </row>
    <row r="234" spans="1:226" x14ac:dyDescent="0.25">
      <c r="A234" s="7">
        <v>1086.0770382048368</v>
      </c>
      <c r="B234"/>
      <c r="C234"/>
      <c r="D234"/>
      <c r="E234"/>
      <c r="FY234" s="27" t="s">
        <v>8</v>
      </c>
      <c r="GD234" s="27" t="s">
        <v>7</v>
      </c>
      <c r="GH234" s="27" t="s">
        <v>7</v>
      </c>
      <c r="GI234" s="27" t="s">
        <v>8</v>
      </c>
      <c r="GJ234" s="27" t="s">
        <v>7</v>
      </c>
      <c r="GK234" s="27" t="s">
        <v>8</v>
      </c>
      <c r="GL234" s="27" t="s">
        <v>7</v>
      </c>
      <c r="GM234" s="27" t="s">
        <v>8</v>
      </c>
      <c r="GN234" s="27" t="s">
        <v>7</v>
      </c>
      <c r="HA234" s="27" t="s">
        <v>8</v>
      </c>
      <c r="HD234" s="27" t="s">
        <v>7</v>
      </c>
      <c r="HE234" s="27" t="s">
        <v>8</v>
      </c>
      <c r="HF234" s="27" t="s">
        <v>7</v>
      </c>
      <c r="HG234" s="27" t="s">
        <v>8</v>
      </c>
      <c r="HH234" s="27" t="s">
        <v>7</v>
      </c>
      <c r="HI234" s="27" t="s">
        <v>8</v>
      </c>
      <c r="HN234" s="27" t="s">
        <v>7</v>
      </c>
      <c r="HO234" s="27" t="s">
        <v>8</v>
      </c>
      <c r="HP234" s="27" t="s">
        <v>7</v>
      </c>
      <c r="HQ234" s="27" t="s">
        <v>8</v>
      </c>
      <c r="HR234" s="27" t="s">
        <v>7</v>
      </c>
    </row>
    <row r="235" spans="1:226" x14ac:dyDescent="0.25">
      <c r="A235" s="7">
        <v>1064.7814100047419</v>
      </c>
      <c r="B235"/>
      <c r="C235"/>
      <c r="D235"/>
      <c r="E235"/>
      <c r="FY235" s="27" t="s">
        <v>8</v>
      </c>
      <c r="GH235" s="27" t="s">
        <v>7</v>
      </c>
      <c r="GI235" s="27" t="s">
        <v>8</v>
      </c>
      <c r="GJ235" s="27" t="s">
        <v>7</v>
      </c>
      <c r="GL235" s="27" t="s">
        <v>7</v>
      </c>
      <c r="GM235" s="27" t="s">
        <v>8</v>
      </c>
      <c r="GN235" s="27" t="s">
        <v>7</v>
      </c>
      <c r="HA235" s="27" t="s">
        <v>8</v>
      </c>
      <c r="HD235" s="27" t="s">
        <v>7</v>
      </c>
      <c r="HE235" s="27" t="s">
        <v>8</v>
      </c>
      <c r="HF235" s="27" t="s">
        <v>7</v>
      </c>
      <c r="HG235" s="27" t="s">
        <v>8</v>
      </c>
      <c r="HH235" s="27" t="s">
        <v>7</v>
      </c>
      <c r="HI235" s="27" t="s">
        <v>8</v>
      </c>
      <c r="HN235" s="27" t="s">
        <v>7</v>
      </c>
      <c r="HO235" s="27" t="s">
        <v>8</v>
      </c>
      <c r="HP235" s="27" t="s">
        <v>7</v>
      </c>
      <c r="HQ235" s="27" t="s">
        <v>8</v>
      </c>
      <c r="HR235" s="27" t="s">
        <v>7</v>
      </c>
    </row>
    <row r="236" spans="1:226" x14ac:dyDescent="0.25">
      <c r="A236" s="7">
        <v>1043.9033431419039</v>
      </c>
      <c r="B236"/>
      <c r="C236"/>
      <c r="D236"/>
      <c r="E236"/>
      <c r="FY236" s="27" t="s">
        <v>8</v>
      </c>
      <c r="GH236" s="27" t="s">
        <v>7</v>
      </c>
      <c r="GI236" s="27" t="s">
        <v>8</v>
      </c>
      <c r="GL236" s="27" t="s">
        <v>7</v>
      </c>
      <c r="GM236" s="27" t="s">
        <v>8</v>
      </c>
      <c r="GN236" s="27" t="s">
        <v>7</v>
      </c>
      <c r="HA236" s="27" t="s">
        <v>8</v>
      </c>
      <c r="HD236" s="27" t="s">
        <v>7</v>
      </c>
      <c r="HE236" s="27" t="s">
        <v>8</v>
      </c>
      <c r="HF236" s="27" t="s">
        <v>7</v>
      </c>
      <c r="HH236" s="27" t="s">
        <v>7</v>
      </c>
      <c r="HI236" s="27" t="s">
        <v>8</v>
      </c>
      <c r="HN236" s="27" t="s">
        <v>7</v>
      </c>
      <c r="HO236" s="27" t="s">
        <v>8</v>
      </c>
      <c r="HP236" s="27" t="s">
        <v>7</v>
      </c>
      <c r="HQ236" s="27" t="s">
        <v>8</v>
      </c>
      <c r="HR236" s="27" t="s">
        <v>7</v>
      </c>
    </row>
    <row r="237" spans="1:226" x14ac:dyDescent="0.25">
      <c r="A237" s="7">
        <v>1023.4346501391215</v>
      </c>
      <c r="B237"/>
      <c r="C237"/>
      <c r="D237"/>
      <c r="E237"/>
      <c r="FY237" s="27" t="s">
        <v>8</v>
      </c>
      <c r="GH237" s="27" t="s">
        <v>7</v>
      </c>
      <c r="GI237" s="27" t="s">
        <v>8</v>
      </c>
      <c r="GL237" s="27" t="s">
        <v>7</v>
      </c>
      <c r="GM237" s="27" t="s">
        <v>8</v>
      </c>
      <c r="GN237" s="27" t="s">
        <v>7</v>
      </c>
      <c r="HA237" s="27" t="s">
        <v>8</v>
      </c>
      <c r="HD237" s="27" t="s">
        <v>7</v>
      </c>
      <c r="HE237" s="27" t="s">
        <v>8</v>
      </c>
      <c r="HH237" s="27" t="s">
        <v>7</v>
      </c>
      <c r="HI237" s="27" t="s">
        <v>8</v>
      </c>
      <c r="HN237" s="27" t="s">
        <v>7</v>
      </c>
      <c r="HO237" s="27" t="s">
        <v>8</v>
      </c>
      <c r="HP237" s="27" t="s">
        <v>7</v>
      </c>
    </row>
    <row r="238" spans="1:226" x14ac:dyDescent="0.25">
      <c r="A238" s="7">
        <v>1003.3673040579622</v>
      </c>
      <c r="B238"/>
      <c r="C238"/>
      <c r="D238"/>
      <c r="E238"/>
      <c r="FY238" s="27" t="s">
        <v>8</v>
      </c>
      <c r="GH238" s="27" t="s">
        <v>7</v>
      </c>
      <c r="GL238" s="27" t="s">
        <v>7</v>
      </c>
      <c r="GM238" s="27" t="s">
        <v>8</v>
      </c>
      <c r="GN238" s="27" t="s">
        <v>7</v>
      </c>
      <c r="HA238" s="27" t="s">
        <v>8</v>
      </c>
      <c r="HD238" s="27" t="s">
        <v>7</v>
      </c>
      <c r="HE238" s="27" t="s">
        <v>8</v>
      </c>
      <c r="HH238" s="27" t="s">
        <v>7</v>
      </c>
      <c r="HI238" s="27" t="s">
        <v>8</v>
      </c>
      <c r="HN238" s="27" t="s">
        <v>7</v>
      </c>
      <c r="HO238" s="27" t="s">
        <v>8</v>
      </c>
    </row>
    <row r="239" spans="1:226" x14ac:dyDescent="0.25">
      <c r="A239" s="7">
        <v>983.69343535094333</v>
      </c>
      <c r="B239"/>
      <c r="C239"/>
      <c r="D239"/>
      <c r="E239"/>
      <c r="FY239" s="27" t="s">
        <v>8</v>
      </c>
      <c r="GL239" s="27" t="s">
        <v>7</v>
      </c>
      <c r="GM239" s="27" t="s">
        <v>8</v>
      </c>
      <c r="GN239" s="27" t="s">
        <v>7</v>
      </c>
      <c r="GU239" s="27" t="s">
        <v>8</v>
      </c>
      <c r="HA239" s="27" t="s">
        <v>8</v>
      </c>
      <c r="HD239" s="27" t="s">
        <v>7</v>
      </c>
      <c r="HH239" s="27" t="s">
        <v>7</v>
      </c>
      <c r="HI239" s="27" t="s">
        <v>8</v>
      </c>
      <c r="HN239" s="27" t="s">
        <v>7</v>
      </c>
      <c r="HO239" s="27" t="s">
        <v>8</v>
      </c>
    </row>
    <row r="240" spans="1:226" x14ac:dyDescent="0.25">
      <c r="A240" s="7">
        <v>964.40532877543467</v>
      </c>
      <c r="B240"/>
      <c r="C240"/>
      <c r="D240"/>
      <c r="E240"/>
      <c r="FY240" s="27" t="s">
        <v>8</v>
      </c>
      <c r="GL240" s="27" t="s">
        <v>7</v>
      </c>
      <c r="GM240" s="27" t="s">
        <v>8</v>
      </c>
      <c r="GN240" s="27" t="s">
        <v>7</v>
      </c>
      <c r="GU240" s="27" t="s">
        <v>8</v>
      </c>
      <c r="GV240" s="27" t="s">
        <v>7</v>
      </c>
      <c r="HA240" s="27" t="s">
        <v>8</v>
      </c>
      <c r="HH240" s="27" t="s">
        <v>7</v>
      </c>
      <c r="HI240" s="27" t="s">
        <v>8</v>
      </c>
      <c r="HN240" s="27" t="s">
        <v>7</v>
      </c>
      <c r="HO240" s="27" t="s">
        <v>8</v>
      </c>
    </row>
    <row r="241" spans="1:223" x14ac:dyDescent="0.25">
      <c r="A241" s="7">
        <v>945.49542036807316</v>
      </c>
      <c r="B241"/>
      <c r="C241"/>
      <c r="D241"/>
      <c r="E241"/>
      <c r="FY241" s="27" t="s">
        <v>8</v>
      </c>
      <c r="GL241" s="27" t="s">
        <v>7</v>
      </c>
      <c r="GM241" s="27" t="s">
        <v>8</v>
      </c>
      <c r="GN241" s="27" t="s">
        <v>7</v>
      </c>
      <c r="GU241" s="27" t="s">
        <v>8</v>
      </c>
      <c r="GV241" s="27" t="s">
        <v>7</v>
      </c>
      <c r="GW241" s="27" t="s">
        <v>8</v>
      </c>
      <c r="HA241" s="27" t="s">
        <v>8</v>
      </c>
      <c r="HH241" s="27" t="s">
        <v>7</v>
      </c>
      <c r="HN241" s="27" t="s">
        <v>7</v>
      </c>
      <c r="HO241" s="27" t="s">
        <v>8</v>
      </c>
    </row>
    <row r="242" spans="1:223" x14ac:dyDescent="0.25">
      <c r="A242" s="7">
        <v>926.95629447850308</v>
      </c>
      <c r="B242"/>
      <c r="C242"/>
      <c r="D242"/>
      <c r="E242"/>
      <c r="FY242" s="27" t="s">
        <v>8</v>
      </c>
      <c r="GL242" s="27" t="s">
        <v>7</v>
      </c>
      <c r="GM242" s="27" t="s">
        <v>8</v>
      </c>
      <c r="GN242" s="27" t="s">
        <v>7</v>
      </c>
      <c r="GU242" s="27" t="s">
        <v>8</v>
      </c>
      <c r="GV242" s="27" t="s">
        <v>7</v>
      </c>
      <c r="GW242" s="27" t="s">
        <v>8</v>
      </c>
      <c r="GX242" s="27" t="s">
        <v>7</v>
      </c>
      <c r="HA242" s="27" t="s">
        <v>8</v>
      </c>
      <c r="HN242" s="27" t="s">
        <v>7</v>
      </c>
      <c r="HO242" s="27" t="s">
        <v>8</v>
      </c>
    </row>
    <row r="243" spans="1:223" x14ac:dyDescent="0.25">
      <c r="A243" s="7">
        <v>908.78068086127746</v>
      </c>
      <c r="B243"/>
      <c r="C243"/>
      <c r="D243"/>
      <c r="E243"/>
      <c r="FY243" s="27" t="s">
        <v>8</v>
      </c>
      <c r="GL243" s="27" t="s">
        <v>7</v>
      </c>
      <c r="GM243" s="27" t="s">
        <v>8</v>
      </c>
      <c r="GN243" s="27" t="s">
        <v>7</v>
      </c>
      <c r="GO243" s="27" t="s">
        <v>8</v>
      </c>
      <c r="GU243" s="27" t="s">
        <v>8</v>
      </c>
      <c r="GV243" s="27" t="s">
        <v>7</v>
      </c>
      <c r="GW243" s="27" t="s">
        <v>8</v>
      </c>
      <c r="GX243" s="27" t="s">
        <v>7</v>
      </c>
      <c r="HA243" s="27" t="s">
        <v>8</v>
      </c>
      <c r="HN243" s="27" t="s">
        <v>7</v>
      </c>
      <c r="HO243" s="27" t="s">
        <v>8</v>
      </c>
    </row>
    <row r="244" spans="1:223" x14ac:dyDescent="0.25">
      <c r="A244" s="7">
        <v>890.96145182478176</v>
      </c>
      <c r="B244"/>
      <c r="C244"/>
      <c r="D244"/>
      <c r="E244"/>
      <c r="FY244" s="27" t="s">
        <v>8</v>
      </c>
      <c r="GL244" s="27" t="s">
        <v>7</v>
      </c>
      <c r="GM244" s="27" t="s">
        <v>8</v>
      </c>
      <c r="GN244" s="27" t="s">
        <v>7</v>
      </c>
      <c r="GO244" s="27" t="s">
        <v>8</v>
      </c>
      <c r="GP244" s="27" t="s">
        <v>7</v>
      </c>
      <c r="GU244" s="27" t="s">
        <v>8</v>
      </c>
      <c r="GV244" s="27" t="s">
        <v>7</v>
      </c>
      <c r="GW244" s="27" t="s">
        <v>8</v>
      </c>
      <c r="GX244" s="27" t="s">
        <v>7</v>
      </c>
      <c r="HA244" s="27" t="s">
        <v>8</v>
      </c>
      <c r="HN244" s="27" t="s">
        <v>7</v>
      </c>
      <c r="HO244" s="27" t="s">
        <v>8</v>
      </c>
    </row>
    <row r="245" spans="1:223" x14ac:dyDescent="0.25">
      <c r="A245" s="7">
        <v>873.49161943606055</v>
      </c>
      <c r="B245"/>
      <c r="C245"/>
      <c r="D245"/>
      <c r="E245"/>
      <c r="FY245" s="27" t="s">
        <v>8</v>
      </c>
      <c r="GL245" s="27" t="s">
        <v>7</v>
      </c>
      <c r="GM245" s="27" t="s">
        <v>8</v>
      </c>
      <c r="GN245" s="27" t="s">
        <v>7</v>
      </c>
      <c r="GO245" s="27" t="s">
        <v>8</v>
      </c>
      <c r="GP245" s="27" t="s">
        <v>7</v>
      </c>
      <c r="GU245" s="27" t="s">
        <v>8</v>
      </c>
      <c r="GV245" s="27" t="s">
        <v>7</v>
      </c>
      <c r="GW245" s="27" t="s">
        <v>8</v>
      </c>
      <c r="GX245" s="27" t="s">
        <v>7</v>
      </c>
      <c r="HA245" s="27" t="s">
        <v>8</v>
      </c>
      <c r="HN245" s="27" t="s">
        <v>7</v>
      </c>
      <c r="HO245" s="27" t="s">
        <v>8</v>
      </c>
    </row>
    <row r="246" spans="1:223" x14ac:dyDescent="0.25">
      <c r="A246" s="7">
        <v>856.36433278045149</v>
      </c>
      <c r="B246"/>
      <c r="C246"/>
      <c r="D246"/>
      <c r="E246"/>
      <c r="FY246" s="27" t="s">
        <v>8</v>
      </c>
      <c r="GL246" s="27" t="s">
        <v>7</v>
      </c>
      <c r="GM246" s="27" t="s">
        <v>8</v>
      </c>
      <c r="GN246" s="27" t="s">
        <v>7</v>
      </c>
      <c r="GO246" s="27" t="s">
        <v>8</v>
      </c>
      <c r="GP246" s="27" t="s">
        <v>7</v>
      </c>
      <c r="GS246" s="27" t="s">
        <v>8</v>
      </c>
      <c r="GU246" s="27" t="s">
        <v>8</v>
      </c>
      <c r="GV246" s="27" t="s">
        <v>7</v>
      </c>
      <c r="GX246" s="27" t="s">
        <v>7</v>
      </c>
      <c r="HA246" s="27" t="s">
        <v>8</v>
      </c>
      <c r="HN246" s="27" t="s">
        <v>7</v>
      </c>
      <c r="HO246" s="27" t="s">
        <v>8</v>
      </c>
    </row>
    <row r="247" spans="1:223" x14ac:dyDescent="0.25">
      <c r="A247" s="7">
        <v>839.57287527495248</v>
      </c>
      <c r="B247"/>
      <c r="C247"/>
      <c r="D247"/>
      <c r="E247"/>
      <c r="FY247" s="27" t="s">
        <v>8</v>
      </c>
      <c r="GL247" s="27" t="s">
        <v>7</v>
      </c>
      <c r="GM247" s="27" t="s">
        <v>8</v>
      </c>
      <c r="GN247" s="27" t="s">
        <v>7</v>
      </c>
      <c r="GO247" s="27" t="s">
        <v>8</v>
      </c>
      <c r="GP247" s="27" t="s">
        <v>7</v>
      </c>
      <c r="GS247" s="27" t="s">
        <v>8</v>
      </c>
      <c r="GT247" s="27" t="s">
        <v>7</v>
      </c>
      <c r="GU247" s="27" t="s">
        <v>8</v>
      </c>
      <c r="GX247" s="27" t="s">
        <v>7</v>
      </c>
      <c r="HA247" s="27" t="s">
        <v>8</v>
      </c>
      <c r="HN247" s="27" t="s">
        <v>7</v>
      </c>
      <c r="HO247" s="27" t="s">
        <v>8</v>
      </c>
    </row>
    <row r="248" spans="1:223" x14ac:dyDescent="0.25">
      <c r="A248" s="7">
        <v>823.11066203426708</v>
      </c>
      <c r="B248"/>
      <c r="C248"/>
      <c r="D248"/>
      <c r="E248"/>
      <c r="FY248" s="27" t="s">
        <v>8</v>
      </c>
      <c r="GL248" s="27" t="s">
        <v>7</v>
      </c>
      <c r="GM248" s="27" t="s">
        <v>8</v>
      </c>
      <c r="GN248" s="27" t="s">
        <v>7</v>
      </c>
      <c r="GO248" s="27" t="s">
        <v>8</v>
      </c>
      <c r="GP248" s="27" t="s">
        <v>7</v>
      </c>
      <c r="GS248" s="27" t="s">
        <v>8</v>
      </c>
      <c r="GT248" s="27" t="s">
        <v>7</v>
      </c>
      <c r="GU248" s="27" t="s">
        <v>8</v>
      </c>
      <c r="GX248" s="27" t="s">
        <v>7</v>
      </c>
      <c r="HA248" s="27" t="s">
        <v>8</v>
      </c>
      <c r="HN248" s="27" t="s">
        <v>7</v>
      </c>
      <c r="HO248" s="27" t="s">
        <v>8</v>
      </c>
    </row>
    <row r="249" spans="1:223" x14ac:dyDescent="0.25">
      <c r="A249" s="7">
        <v>806.97123728849715</v>
      </c>
      <c r="B249"/>
      <c r="C249"/>
      <c r="D249"/>
      <c r="E249"/>
      <c r="FY249" s="27" t="s">
        <v>8</v>
      </c>
      <c r="GL249" s="27" t="s">
        <v>7</v>
      </c>
      <c r="GM249" s="27" t="s">
        <v>8</v>
      </c>
      <c r="GN249" s="27" t="s">
        <v>7</v>
      </c>
      <c r="GO249" s="27" t="s">
        <v>8</v>
      </c>
      <c r="GP249" s="27" t="s">
        <v>7</v>
      </c>
      <c r="GQ249" s="27" t="s">
        <v>8</v>
      </c>
      <c r="GS249" s="27" t="s">
        <v>8</v>
      </c>
      <c r="GT249" s="27" t="s">
        <v>7</v>
      </c>
      <c r="GU249" s="27" t="s">
        <v>8</v>
      </c>
      <c r="GX249" s="27" t="s">
        <v>7</v>
      </c>
      <c r="HA249" s="27" t="s">
        <v>8</v>
      </c>
      <c r="HN249" s="27" t="s">
        <v>7</v>
      </c>
      <c r="HO249" s="27" t="s">
        <v>8</v>
      </c>
    </row>
    <row r="250" spans="1:223" x14ac:dyDescent="0.25">
      <c r="A250" s="7">
        <v>791.14827185146783</v>
      </c>
      <c r="B250"/>
      <c r="C250"/>
      <c r="D250"/>
      <c r="E250"/>
      <c r="FY250" s="27" t="s">
        <v>8</v>
      </c>
      <c r="GL250" s="27" t="s">
        <v>7</v>
      </c>
      <c r="GM250" s="27" t="s">
        <v>8</v>
      </c>
      <c r="GN250" s="27" t="s">
        <v>7</v>
      </c>
      <c r="GO250" s="27" t="s">
        <v>8</v>
      </c>
      <c r="GP250" s="27" t="s">
        <v>7</v>
      </c>
      <c r="GQ250" s="27" t="s">
        <v>8</v>
      </c>
      <c r="GR250" s="27" t="s">
        <v>7</v>
      </c>
      <c r="GS250" s="27" t="s">
        <v>8</v>
      </c>
      <c r="GT250" s="27" t="s">
        <v>7</v>
      </c>
      <c r="GU250" s="27" t="s">
        <v>8</v>
      </c>
      <c r="GX250" s="27" t="s">
        <v>7</v>
      </c>
      <c r="HA250" s="27" t="s">
        <v>8</v>
      </c>
      <c r="HN250" s="27" t="s">
        <v>7</v>
      </c>
      <c r="HO250" s="27" t="s">
        <v>8</v>
      </c>
    </row>
    <row r="251" spans="1:223" x14ac:dyDescent="0.25">
      <c r="A251" s="7">
        <v>775.63556063869396</v>
      </c>
      <c r="B251"/>
      <c r="C251"/>
      <c r="D251"/>
      <c r="E251"/>
      <c r="FY251" s="27" t="s">
        <v>8</v>
      </c>
      <c r="GL251" s="27" t="s">
        <v>7</v>
      </c>
      <c r="GM251" s="27" t="s">
        <v>8</v>
      </c>
      <c r="GN251" s="27" t="s">
        <v>7</v>
      </c>
      <c r="GO251" s="27" t="s">
        <v>8</v>
      </c>
      <c r="GP251" s="27" t="s">
        <v>7</v>
      </c>
      <c r="GQ251" s="27" t="s">
        <v>8</v>
      </c>
      <c r="GR251" s="27" t="s">
        <v>7</v>
      </c>
      <c r="GS251" s="27" t="s">
        <v>8</v>
      </c>
      <c r="GT251" s="27" t="s">
        <v>7</v>
      </c>
      <c r="GU251" s="27" t="s">
        <v>8</v>
      </c>
      <c r="GX251" s="27" t="s">
        <v>7</v>
      </c>
      <c r="HA251" s="27" t="s">
        <v>8</v>
      </c>
      <c r="HN251" s="27" t="s">
        <v>7</v>
      </c>
      <c r="HO251" s="27" t="s">
        <v>8</v>
      </c>
    </row>
    <row r="252" spans="1:223" x14ac:dyDescent="0.25">
      <c r="A252" s="7">
        <v>760.42702023401364</v>
      </c>
      <c r="B252"/>
      <c r="C252"/>
      <c r="D252"/>
      <c r="E252"/>
      <c r="FY252" s="27" t="s">
        <v>8</v>
      </c>
      <c r="GL252" s="27" t="s">
        <v>7</v>
      </c>
      <c r="GM252" s="27" t="s">
        <v>8</v>
      </c>
      <c r="GN252" s="27" t="s">
        <v>7</v>
      </c>
      <c r="GO252" s="27" t="s">
        <v>8</v>
      </c>
      <c r="GP252" s="27" t="s">
        <v>7</v>
      </c>
      <c r="GQ252" s="27" t="s">
        <v>8</v>
      </c>
      <c r="GR252" s="27" t="s">
        <v>7</v>
      </c>
      <c r="GS252" s="27" t="s">
        <v>8</v>
      </c>
      <c r="GT252" s="27" t="s">
        <v>7</v>
      </c>
      <c r="GU252" s="27" t="s">
        <v>8</v>
      </c>
      <c r="GX252" s="27" t="s">
        <v>7</v>
      </c>
      <c r="GY252" s="27" t="s">
        <v>8</v>
      </c>
      <c r="HA252" s="27" t="s">
        <v>8</v>
      </c>
      <c r="HN252" s="27" t="s">
        <v>7</v>
      </c>
    </row>
    <row r="253" spans="1:223" x14ac:dyDescent="0.25">
      <c r="A253" s="7">
        <v>745.51668650393492</v>
      </c>
      <c r="B253"/>
      <c r="C253"/>
      <c r="D253"/>
      <c r="E253"/>
      <c r="FY253" s="27" t="s">
        <v>8</v>
      </c>
      <c r="GL253" s="27" t="s">
        <v>7</v>
      </c>
      <c r="GM253" s="27" t="s">
        <v>8</v>
      </c>
      <c r="GN253" s="27" t="s">
        <v>7</v>
      </c>
      <c r="GP253" s="27" t="s">
        <v>7</v>
      </c>
      <c r="GQ253" s="27" t="s">
        <v>8</v>
      </c>
      <c r="GR253" s="27" t="s">
        <v>7</v>
      </c>
      <c r="GS253" s="27" t="s">
        <v>8</v>
      </c>
      <c r="GT253" s="27" t="s">
        <v>7</v>
      </c>
      <c r="GU253" s="27" t="s">
        <v>8</v>
      </c>
      <c r="GX253" s="27" t="s">
        <v>7</v>
      </c>
      <c r="GY253" s="27" t="s">
        <v>8</v>
      </c>
      <c r="GZ253" s="27" t="s">
        <v>7</v>
      </c>
      <c r="HA253" s="27" t="s">
        <v>8</v>
      </c>
    </row>
    <row r="254" spans="1:223" x14ac:dyDescent="0.25">
      <c r="A254" s="7">
        <v>730.8987122587597</v>
      </c>
      <c r="B254"/>
      <c r="C254"/>
      <c r="D254"/>
      <c r="E254"/>
      <c r="FY254" s="27" t="s">
        <v>8</v>
      </c>
      <c r="GL254" s="27" t="s">
        <v>7</v>
      </c>
      <c r="GM254" s="27" t="s">
        <v>8</v>
      </c>
      <c r="GP254" s="27" t="s">
        <v>7</v>
      </c>
      <c r="GQ254" s="27" t="s">
        <v>8</v>
      </c>
      <c r="GR254" s="27" t="s">
        <v>7</v>
      </c>
      <c r="GS254" s="27" t="s">
        <v>8</v>
      </c>
      <c r="GT254" s="27" t="s">
        <v>7</v>
      </c>
      <c r="GU254" s="27" t="s">
        <v>8</v>
      </c>
      <c r="GX254" s="27" t="s">
        <v>7</v>
      </c>
      <c r="GY254" s="27" t="s">
        <v>8</v>
      </c>
      <c r="GZ254" s="27" t="s">
        <v>7</v>
      </c>
      <c r="HA254" s="27" t="s">
        <v>8</v>
      </c>
    </row>
    <row r="255" spans="1:223" x14ac:dyDescent="0.25">
      <c r="A255" s="7">
        <v>716.56736495956829</v>
      </c>
      <c r="B255"/>
      <c r="C255"/>
      <c r="D255"/>
      <c r="E255"/>
      <c r="FY255" s="27" t="s">
        <v>8</v>
      </c>
      <c r="GL255" s="27" t="s">
        <v>7</v>
      </c>
      <c r="GM255" s="27" t="s">
        <v>8</v>
      </c>
      <c r="GP255" s="27" t="s">
        <v>7</v>
      </c>
      <c r="GQ255" s="27" t="s">
        <v>8</v>
      </c>
      <c r="GR255" s="27" t="s">
        <v>7</v>
      </c>
      <c r="GS255" s="27" t="s">
        <v>8</v>
      </c>
      <c r="GT255" s="27" t="s">
        <v>7</v>
      </c>
      <c r="GX255" s="27" t="s">
        <v>7</v>
      </c>
      <c r="GZ255" s="27" t="s">
        <v>7</v>
      </c>
    </row>
    <row r="256" spans="1:223" x14ac:dyDescent="0.25">
      <c r="A256" s="7">
        <v>702.51702447016498</v>
      </c>
      <c r="B256"/>
      <c r="C256"/>
      <c r="D256"/>
      <c r="E256"/>
      <c r="FY256" s="27" t="s">
        <v>8</v>
      </c>
      <c r="GL256" s="27" t="s">
        <v>7</v>
      </c>
      <c r="GM256" s="27" t="s">
        <v>8</v>
      </c>
      <c r="GP256" s="27" t="s">
        <v>7</v>
      </c>
      <c r="GQ256" s="27" t="s">
        <v>8</v>
      </c>
      <c r="GR256" s="27" t="s">
        <v>7</v>
      </c>
      <c r="GS256" s="27" t="s">
        <v>8</v>
      </c>
    </row>
    <row r="257" spans="1:201" x14ac:dyDescent="0.25">
      <c r="A257" s="7">
        <v>688.74218085310292</v>
      </c>
      <c r="B257"/>
      <c r="C257"/>
      <c r="D257"/>
      <c r="E257"/>
      <c r="FY257" s="27" t="s">
        <v>8</v>
      </c>
      <c r="GL257" s="27" t="s">
        <v>7</v>
      </c>
      <c r="GM257" s="27" t="s">
        <v>8</v>
      </c>
      <c r="GP257" s="27" t="s">
        <v>7</v>
      </c>
      <c r="GQ257" s="27" t="s">
        <v>8</v>
      </c>
      <c r="GR257" s="27" t="s">
        <v>7</v>
      </c>
      <c r="GS257" s="27" t="s">
        <v>8</v>
      </c>
    </row>
    <row r="258" spans="1:201" x14ac:dyDescent="0.25">
      <c r="A258" s="7">
        <v>675.23743220892447</v>
      </c>
      <c r="B258"/>
      <c r="C258"/>
      <c r="D258"/>
      <c r="E258"/>
      <c r="FY258" s="27" t="s">
        <v>8</v>
      </c>
      <c r="GL258" s="27" t="s">
        <v>7</v>
      </c>
      <c r="GM258" s="27" t="s">
        <v>8</v>
      </c>
      <c r="GP258" s="27" t="s">
        <v>7</v>
      </c>
      <c r="GQ258" s="27" t="s">
        <v>8</v>
      </c>
      <c r="GR258" s="27" t="s">
        <v>7</v>
      </c>
      <c r="GS258" s="27" t="s">
        <v>8</v>
      </c>
    </row>
    <row r="259" spans="1:201" x14ac:dyDescent="0.25">
      <c r="A259" s="7">
        <v>661.9974825577691</v>
      </c>
      <c r="B259"/>
      <c r="C259"/>
      <c r="D259"/>
      <c r="E259"/>
      <c r="FY259" s="27" t="s">
        <v>8</v>
      </c>
      <c r="GL259" s="27" t="s">
        <v>7</v>
      </c>
      <c r="GM259" s="27" t="s">
        <v>8</v>
      </c>
      <c r="GP259" s="27" t="s">
        <v>7</v>
      </c>
      <c r="GQ259" s="27" t="s">
        <v>8</v>
      </c>
      <c r="GR259" s="27" t="s">
        <v>7</v>
      </c>
      <c r="GS259" s="27" t="s">
        <v>8</v>
      </c>
    </row>
    <row r="260" spans="1:201" x14ac:dyDescent="0.25">
      <c r="A260" s="7">
        <v>649.0171397625187</v>
      </c>
      <c r="B260"/>
      <c r="C260"/>
      <c r="D260"/>
      <c r="E260"/>
      <c r="FY260" s="27" t="s">
        <v>8</v>
      </c>
      <c r="GL260" s="27" t="s">
        <v>7</v>
      </c>
      <c r="GM260" s="27" t="s">
        <v>8</v>
      </c>
      <c r="GP260" s="27" t="s">
        <v>7</v>
      </c>
      <c r="GQ260" s="27" t="s">
        <v>8</v>
      </c>
      <c r="GR260" s="27" t="s">
        <v>7</v>
      </c>
      <c r="GS260" s="27" t="s">
        <v>8</v>
      </c>
    </row>
    <row r="261" spans="1:201" x14ac:dyDescent="0.25">
      <c r="A261" s="7">
        <v>636.29131349266538</v>
      </c>
      <c r="B261"/>
      <c r="C261"/>
      <c r="D261"/>
      <c r="E261"/>
      <c r="FY261" s="27" t="s">
        <v>8</v>
      </c>
      <c r="GL261" s="27" t="s">
        <v>7</v>
      </c>
      <c r="GM261" s="27" t="s">
        <v>8</v>
      </c>
      <c r="GP261" s="27" t="s">
        <v>7</v>
      </c>
      <c r="GQ261" s="27" t="s">
        <v>8</v>
      </c>
      <c r="GR261" s="27" t="s">
        <v>7</v>
      </c>
    </row>
    <row r="262" spans="1:201" x14ac:dyDescent="0.25">
      <c r="A262" s="7">
        <v>623.81501322810334</v>
      </c>
      <c r="B262"/>
      <c r="C262"/>
      <c r="D262"/>
      <c r="E262"/>
      <c r="FY262" s="27" t="s">
        <v>8</v>
      </c>
      <c r="GL262" s="27" t="s">
        <v>7</v>
      </c>
      <c r="GP262" s="27" t="s">
        <v>7</v>
      </c>
      <c r="GQ262" s="27" t="s">
        <v>8</v>
      </c>
    </row>
    <row r="263" spans="1:201" x14ac:dyDescent="0.25">
      <c r="A263" s="7">
        <v>611.58334630206207</v>
      </c>
      <c r="B263"/>
      <c r="C263"/>
      <c r="D263"/>
      <c r="E263"/>
      <c r="FY263" s="27" t="s">
        <v>8</v>
      </c>
      <c r="GP263" s="27" t="s">
        <v>7</v>
      </c>
      <c r="GQ263" s="27" t="s">
        <v>8</v>
      </c>
    </row>
    <row r="264" spans="1:201" x14ac:dyDescent="0.25">
      <c r="A264" s="7">
        <v>599.59151598241374</v>
      </c>
      <c r="B264"/>
      <c r="C264"/>
      <c r="D264"/>
      <c r="E264"/>
      <c r="FY264" s="27" t="s">
        <v>8</v>
      </c>
      <c r="GP264" s="27" t="s">
        <v>7</v>
      </c>
      <c r="GQ264" s="27" t="s">
        <v>8</v>
      </c>
    </row>
    <row r="265" spans="1:201" x14ac:dyDescent="0.25">
      <c r="A265" s="7">
        <v>587.83481959060168</v>
      </c>
      <c r="B265"/>
      <c r="C265"/>
      <c r="D265"/>
      <c r="E265"/>
      <c r="FY265" s="27" t="s">
        <v>8</v>
      </c>
      <c r="GP265" s="27" t="s">
        <v>7</v>
      </c>
      <c r="GQ265" s="27" t="s">
        <v>8</v>
      </c>
    </row>
    <row r="266" spans="1:201" x14ac:dyDescent="0.25">
      <c r="A266" s="7">
        <v>576.30864665745264</v>
      </c>
      <c r="B266"/>
      <c r="C266"/>
      <c r="D266"/>
      <c r="E266"/>
      <c r="FY266" s="27" t="s">
        <v>8</v>
      </c>
      <c r="GP266" s="27" t="s">
        <v>7</v>
      </c>
      <c r="GQ266" s="27" t="s">
        <v>8</v>
      </c>
    </row>
    <row r="267" spans="1:201" x14ac:dyDescent="0.25">
      <c r="A267" s="7">
        <v>565.00847711514962</v>
      </c>
      <c r="B267"/>
      <c r="C267"/>
      <c r="D267"/>
      <c r="E267"/>
      <c r="Y267" s="27" t="s">
        <v>8</v>
      </c>
      <c r="FY267" s="27" t="s">
        <v>8</v>
      </c>
      <c r="GP267" s="27" t="s">
        <v>7</v>
      </c>
      <c r="GQ267" s="27" t="s">
        <v>8</v>
      </c>
    </row>
    <row r="268" spans="1:201" x14ac:dyDescent="0.25">
      <c r="A268" s="7">
        <v>553.92987952465649</v>
      </c>
      <c r="B268"/>
      <c r="C268"/>
      <c r="D268"/>
      <c r="E268"/>
      <c r="Y268" s="27" t="s">
        <v>8</v>
      </c>
      <c r="Z268" s="27" t="s">
        <v>7</v>
      </c>
      <c r="FA268" s="27" t="s">
        <v>8</v>
      </c>
      <c r="FY268" s="27" t="s">
        <v>8</v>
      </c>
      <c r="GP268" s="27" t="s">
        <v>7</v>
      </c>
    </row>
    <row r="269" spans="1:201" x14ac:dyDescent="0.25">
      <c r="A269" s="7">
        <v>543.06850933789849</v>
      </c>
      <c r="B269"/>
      <c r="C269"/>
      <c r="D269"/>
      <c r="E269"/>
      <c r="Y269" s="27" t="s">
        <v>8</v>
      </c>
      <c r="Z269" s="27" t="s">
        <v>7</v>
      </c>
      <c r="FA269" s="27" t="s">
        <v>8</v>
      </c>
      <c r="FB269" s="27" t="s">
        <v>7</v>
      </c>
      <c r="FY269" s="27" t="s">
        <v>8</v>
      </c>
    </row>
    <row r="270" spans="1:201" x14ac:dyDescent="0.25">
      <c r="A270" s="7">
        <v>532.4201071940181</v>
      </c>
      <c r="B270"/>
      <c r="C270"/>
      <c r="D270"/>
      <c r="E270"/>
      <c r="Y270" s="27" t="s">
        <v>8</v>
      </c>
      <c r="Z270" s="27" t="s">
        <v>7</v>
      </c>
      <c r="FA270" s="27" t="s">
        <v>8</v>
      </c>
      <c r="FB270" s="27" t="s">
        <v>7</v>
      </c>
      <c r="FY270" s="27" t="s">
        <v>8</v>
      </c>
    </row>
    <row r="271" spans="1:201" x14ac:dyDescent="0.25">
      <c r="A271" s="7">
        <v>521.9804972490374</v>
      </c>
      <c r="B271"/>
      <c r="C271"/>
      <c r="D271"/>
      <c r="E271"/>
      <c r="Y271" s="27" t="s">
        <v>8</v>
      </c>
      <c r="Z271" s="27" t="s">
        <v>7</v>
      </c>
      <c r="FA271" s="27" t="s">
        <v>8</v>
      </c>
      <c r="FB271" s="27" t="s">
        <v>7</v>
      </c>
      <c r="FY271" s="27" t="s">
        <v>8</v>
      </c>
    </row>
    <row r="272" spans="1:201" x14ac:dyDescent="0.25">
      <c r="A272" s="7">
        <v>511.74558553827194</v>
      </c>
      <c r="B272"/>
      <c r="C272"/>
      <c r="D272"/>
      <c r="E272"/>
      <c r="Y272" s="27" t="s">
        <v>8</v>
      </c>
      <c r="Z272" s="27" t="s">
        <v>7</v>
      </c>
      <c r="BA272" s="27" t="s">
        <v>8</v>
      </c>
      <c r="FA272" s="27" t="s">
        <v>8</v>
      </c>
      <c r="FB272" s="27" t="s">
        <v>7</v>
      </c>
      <c r="FY272" s="27" t="s">
        <v>8</v>
      </c>
    </row>
    <row r="273" spans="1:181" x14ac:dyDescent="0.25">
      <c r="A273" s="7">
        <v>501.71135837085484</v>
      </c>
      <c r="B273"/>
      <c r="C273"/>
      <c r="D273"/>
      <c r="E273"/>
      <c r="Y273" s="27" t="s">
        <v>8</v>
      </c>
      <c r="Z273" s="27" t="s">
        <v>7</v>
      </c>
      <c r="BA273" s="27" t="s">
        <v>8</v>
      </c>
      <c r="BB273" s="27" t="s">
        <v>7</v>
      </c>
      <c r="FA273" s="27" t="s">
        <v>8</v>
      </c>
      <c r="FB273" s="27" t="s">
        <v>7</v>
      </c>
      <c r="FY273" s="27" t="s">
        <v>8</v>
      </c>
    </row>
    <row r="274" spans="1:181" x14ac:dyDescent="0.25">
      <c r="A274" s="7">
        <v>491.87388075574</v>
      </c>
      <c r="B274"/>
      <c r="C274"/>
      <c r="D274"/>
      <c r="E274"/>
      <c r="U274" s="27" t="s">
        <v>8</v>
      </c>
      <c r="Y274" s="27" t="s">
        <v>8</v>
      </c>
      <c r="Z274" s="27" t="s">
        <v>7</v>
      </c>
      <c r="BA274" s="27" t="s">
        <v>8</v>
      </c>
      <c r="BB274" s="27" t="s">
        <v>7</v>
      </c>
      <c r="FA274" s="27" t="s">
        <v>8</v>
      </c>
      <c r="FB274" s="27" t="s">
        <v>7</v>
      </c>
      <c r="FY274" s="27" t="s">
        <v>8</v>
      </c>
    </row>
    <row r="275" spans="1:181" x14ac:dyDescent="0.25">
      <c r="A275" s="7">
        <v>482.22929485856861</v>
      </c>
      <c r="B275"/>
      <c r="C275"/>
      <c r="D275"/>
      <c r="E275"/>
      <c r="S275" s="27" t="s">
        <v>8</v>
      </c>
      <c r="U275" s="27" t="s">
        <v>8</v>
      </c>
      <c r="V275" s="27" t="s">
        <v>7</v>
      </c>
      <c r="Y275" s="27" t="s">
        <v>8</v>
      </c>
      <c r="Z275" s="27" t="s">
        <v>7</v>
      </c>
      <c r="AA275" s="27" t="s">
        <v>8</v>
      </c>
      <c r="BA275" s="27" t="s">
        <v>8</v>
      </c>
      <c r="BB275" s="27" t="s">
        <v>7</v>
      </c>
      <c r="FA275" s="27" t="s">
        <v>8</v>
      </c>
      <c r="FB275" s="27" t="s">
        <v>7</v>
      </c>
      <c r="FC275" s="27" t="s">
        <v>8</v>
      </c>
      <c r="FY275" s="27" t="s">
        <v>8</v>
      </c>
    </row>
    <row r="276" spans="1:181" x14ac:dyDescent="0.25">
      <c r="A276" s="7">
        <v>472.77381848879276</v>
      </c>
      <c r="B276"/>
      <c r="C276"/>
      <c r="D276"/>
      <c r="E276"/>
      <c r="S276" s="27" t="s">
        <v>8</v>
      </c>
      <c r="T276" s="27" t="s">
        <v>7</v>
      </c>
      <c r="U276" s="27" t="s">
        <v>8</v>
      </c>
      <c r="V276" s="27" t="s">
        <v>7</v>
      </c>
      <c r="Y276" s="27" t="s">
        <v>8</v>
      </c>
      <c r="Z276" s="27" t="s">
        <v>7</v>
      </c>
      <c r="AA276" s="27" t="s">
        <v>8</v>
      </c>
      <c r="AB276" s="27" t="s">
        <v>7</v>
      </c>
      <c r="BA276" s="27" t="s">
        <v>8</v>
      </c>
      <c r="BB276" s="27" t="s">
        <v>7</v>
      </c>
      <c r="FA276" s="27" t="s">
        <v>8</v>
      </c>
      <c r="FB276" s="27" t="s">
        <v>7</v>
      </c>
      <c r="FC276" s="27" t="s">
        <v>8</v>
      </c>
      <c r="FD276" s="27" t="s">
        <v>7</v>
      </c>
      <c r="FY276" s="27" t="s">
        <v>8</v>
      </c>
    </row>
    <row r="277" spans="1:181" x14ac:dyDescent="0.25">
      <c r="A277" s="7">
        <v>463.50374361646345</v>
      </c>
      <c r="B277"/>
      <c r="C277"/>
      <c r="D277"/>
      <c r="E277"/>
      <c r="S277" s="27" t="s">
        <v>8</v>
      </c>
      <c r="T277" s="27" t="s">
        <v>7</v>
      </c>
      <c r="U277" s="27" t="s">
        <v>8</v>
      </c>
      <c r="V277" s="27" t="s">
        <v>7</v>
      </c>
      <c r="Y277" s="27" t="s">
        <v>8</v>
      </c>
      <c r="Z277" s="27" t="s">
        <v>7</v>
      </c>
      <c r="AA277" s="27" t="s">
        <v>8</v>
      </c>
      <c r="AB277" s="27" t="s">
        <v>7</v>
      </c>
      <c r="BA277" s="27" t="s">
        <v>8</v>
      </c>
      <c r="BB277" s="27" t="s">
        <v>7</v>
      </c>
      <c r="FA277" s="27" t="s">
        <v>8</v>
      </c>
      <c r="FB277" s="27" t="s">
        <v>7</v>
      </c>
      <c r="FC277" s="27" t="s">
        <v>8</v>
      </c>
      <c r="FD277" s="27" t="s">
        <v>7</v>
      </c>
      <c r="FY277" s="27" t="s">
        <v>8</v>
      </c>
    </row>
    <row r="278" spans="1:181" x14ac:dyDescent="0.25">
      <c r="A278" s="7">
        <v>454.41543491810143</v>
      </c>
      <c r="B278"/>
      <c r="C278"/>
      <c r="D278"/>
      <c r="E278"/>
      <c r="S278" s="27" t="s">
        <v>8</v>
      </c>
      <c r="T278" s="27" t="s">
        <v>7</v>
      </c>
      <c r="U278" s="27" t="s">
        <v>8</v>
      </c>
      <c r="V278" s="27" t="s">
        <v>7</v>
      </c>
      <c r="Y278" s="27" t="s">
        <v>8</v>
      </c>
      <c r="Z278" s="27" t="s">
        <v>7</v>
      </c>
      <c r="AA278" s="27" t="s">
        <v>8</v>
      </c>
      <c r="AB278" s="27" t="s">
        <v>7</v>
      </c>
      <c r="AW278" s="27" t="s">
        <v>8</v>
      </c>
      <c r="BA278" s="27" t="s">
        <v>8</v>
      </c>
      <c r="BB278" s="27" t="s">
        <v>7</v>
      </c>
      <c r="EW278" s="27" t="s">
        <v>8</v>
      </c>
      <c r="FA278" s="27" t="s">
        <v>8</v>
      </c>
      <c r="FB278" s="27" t="s">
        <v>7</v>
      </c>
      <c r="FC278" s="27" t="s">
        <v>8</v>
      </c>
      <c r="FD278" s="27" t="s">
        <v>7</v>
      </c>
      <c r="FY278" s="27" t="s">
        <v>8</v>
      </c>
    </row>
    <row r="279" spans="1:181" x14ac:dyDescent="0.25">
      <c r="A279" s="7">
        <v>445.50532835107981</v>
      </c>
      <c r="B279"/>
      <c r="C279"/>
      <c r="D279"/>
      <c r="E279"/>
      <c r="S279" s="27" t="s">
        <v>8</v>
      </c>
      <c r="T279" s="27" t="s">
        <v>7</v>
      </c>
      <c r="U279" s="27" t="s">
        <v>8</v>
      </c>
      <c r="V279" s="27" t="s">
        <v>7</v>
      </c>
      <c r="Y279" s="27" t="s">
        <v>8</v>
      </c>
      <c r="Z279" s="27" t="s">
        <v>7</v>
      </c>
      <c r="AA279" s="27" t="s">
        <v>8</v>
      </c>
      <c r="AB279" s="27" t="s">
        <v>7</v>
      </c>
      <c r="AW279" s="27" t="s">
        <v>8</v>
      </c>
      <c r="AX279" s="27" t="s">
        <v>7</v>
      </c>
      <c r="BA279" s="27" t="s">
        <v>8</v>
      </c>
      <c r="BB279" s="27" t="s">
        <v>7</v>
      </c>
      <c r="EW279" s="27" t="s">
        <v>8</v>
      </c>
      <c r="EX279" s="27" t="s">
        <v>7</v>
      </c>
      <c r="FA279" s="27" t="s">
        <v>8</v>
      </c>
      <c r="FB279" s="27" t="s">
        <v>7</v>
      </c>
      <c r="FC279" s="27" t="s">
        <v>8</v>
      </c>
      <c r="FD279" s="27" t="s">
        <v>7</v>
      </c>
      <c r="FU279" s="27" t="s">
        <v>8</v>
      </c>
      <c r="FY279" s="27" t="s">
        <v>8</v>
      </c>
    </row>
    <row r="280" spans="1:181" x14ac:dyDescent="0.25">
      <c r="A280" s="7">
        <v>436.76992975596062</v>
      </c>
      <c r="B280"/>
      <c r="C280"/>
      <c r="D280"/>
      <c r="E280"/>
      <c r="S280" s="27" t="s">
        <v>8</v>
      </c>
      <c r="T280" s="27" t="s">
        <v>7</v>
      </c>
      <c r="U280" s="27" t="s">
        <v>8</v>
      </c>
      <c r="V280" s="27" t="s">
        <v>7</v>
      </c>
      <c r="Y280" s="27" t="s">
        <v>8</v>
      </c>
      <c r="Z280" s="27" t="s">
        <v>7</v>
      </c>
      <c r="AA280" s="27" t="s">
        <v>8</v>
      </c>
      <c r="AB280" s="27" t="s">
        <v>7</v>
      </c>
      <c r="AW280" s="27" t="s">
        <v>8</v>
      </c>
      <c r="AX280" s="27" t="s">
        <v>7</v>
      </c>
      <c r="BA280" s="27" t="s">
        <v>8</v>
      </c>
      <c r="BB280" s="27" t="s">
        <v>7</v>
      </c>
      <c r="BE280" s="27" t="s">
        <v>8</v>
      </c>
      <c r="CW280" s="27" t="s">
        <v>8</v>
      </c>
      <c r="EW280" s="27" t="s">
        <v>8</v>
      </c>
      <c r="EX280" s="27" t="s">
        <v>7</v>
      </c>
      <c r="EY280" s="27" t="s">
        <v>8</v>
      </c>
      <c r="FA280" s="27" t="s">
        <v>8</v>
      </c>
      <c r="FB280" s="27" t="s">
        <v>7</v>
      </c>
      <c r="FC280" s="27" t="s">
        <v>8</v>
      </c>
      <c r="FD280" s="27" t="s">
        <v>7</v>
      </c>
      <c r="FU280" s="27" t="s">
        <v>8</v>
      </c>
      <c r="FV280" s="27" t="s">
        <v>7</v>
      </c>
      <c r="FY280" s="27" t="s">
        <v>8</v>
      </c>
    </row>
    <row r="281" spans="1:181" x14ac:dyDescent="0.25">
      <c r="A281" s="7">
        <v>428.20581348623591</v>
      </c>
      <c r="B281"/>
      <c r="C281"/>
      <c r="D281"/>
      <c r="E281"/>
      <c r="S281" s="27" t="s">
        <v>8</v>
      </c>
      <c r="T281" s="27" t="s">
        <v>7</v>
      </c>
      <c r="U281" s="27" t="s">
        <v>8</v>
      </c>
      <c r="V281" s="27" t="s">
        <v>7</v>
      </c>
      <c r="Y281" s="27" t="s">
        <v>8</v>
      </c>
      <c r="Z281" s="27" t="s">
        <v>7</v>
      </c>
      <c r="AA281" s="27" t="s">
        <v>8</v>
      </c>
      <c r="AB281" s="27" t="s">
        <v>7</v>
      </c>
      <c r="AW281" s="27" t="s">
        <v>8</v>
      </c>
      <c r="AX281" s="27" t="s">
        <v>7</v>
      </c>
      <c r="BA281" s="27" t="s">
        <v>8</v>
      </c>
      <c r="BB281" s="27" t="s">
        <v>7</v>
      </c>
      <c r="BE281" s="27" t="s">
        <v>8</v>
      </c>
      <c r="BF281" s="27" t="s">
        <v>7</v>
      </c>
      <c r="CW281" s="27" t="s">
        <v>8</v>
      </c>
      <c r="CX281" s="27" t="s">
        <v>7</v>
      </c>
      <c r="EW281" s="27" t="s">
        <v>8</v>
      </c>
      <c r="EX281" s="27" t="s">
        <v>7</v>
      </c>
      <c r="EY281" s="27" t="s">
        <v>8</v>
      </c>
      <c r="EZ281" s="27" t="s">
        <v>7</v>
      </c>
      <c r="FA281" s="27" t="s">
        <v>8</v>
      </c>
      <c r="FB281" s="27" t="s">
        <v>7</v>
      </c>
      <c r="FC281" s="27" t="s">
        <v>8</v>
      </c>
      <c r="FD281" s="27" t="s">
        <v>7</v>
      </c>
      <c r="FU281" s="27" t="s">
        <v>8</v>
      </c>
      <c r="FV281" s="27" t="s">
        <v>7</v>
      </c>
      <c r="FY281" s="27" t="s">
        <v>8</v>
      </c>
    </row>
    <row r="282" spans="1:181" x14ac:dyDescent="0.25">
      <c r="A282" s="7">
        <v>419.80962106493718</v>
      </c>
      <c r="B282"/>
      <c r="C282"/>
      <c r="D282"/>
      <c r="E282"/>
      <c r="S282" s="27" t="s">
        <v>8</v>
      </c>
      <c r="T282" s="27" t="s">
        <v>7</v>
      </c>
      <c r="U282" s="27" t="s">
        <v>8</v>
      </c>
      <c r="V282" s="27" t="s">
        <v>7</v>
      </c>
      <c r="W282" s="27" t="s">
        <v>8</v>
      </c>
      <c r="Y282" s="27" t="s">
        <v>8</v>
      </c>
      <c r="Z282" s="27" t="s">
        <v>7</v>
      </c>
      <c r="AB282" s="27" t="s">
        <v>7</v>
      </c>
      <c r="AU282" s="27" t="s">
        <v>8</v>
      </c>
      <c r="AW282" s="27" t="s">
        <v>8</v>
      </c>
      <c r="AX282" s="27" t="s">
        <v>7</v>
      </c>
      <c r="BA282" s="27" t="s">
        <v>8</v>
      </c>
      <c r="BB282" s="27" t="s">
        <v>7</v>
      </c>
      <c r="BC282" s="27" t="s">
        <v>8</v>
      </c>
      <c r="BE282" s="27" t="s">
        <v>8</v>
      </c>
      <c r="BF282" s="27" t="s">
        <v>7</v>
      </c>
      <c r="CW282" s="27" t="s">
        <v>8</v>
      </c>
      <c r="CX282" s="27" t="s">
        <v>7</v>
      </c>
      <c r="EW282" s="27" t="s">
        <v>8</v>
      </c>
      <c r="EX282" s="27" t="s">
        <v>7</v>
      </c>
      <c r="EY282" s="27" t="s">
        <v>8</v>
      </c>
      <c r="EZ282" s="27" t="s">
        <v>7</v>
      </c>
      <c r="FA282" s="27" t="s">
        <v>8</v>
      </c>
      <c r="FB282" s="27" t="s">
        <v>7</v>
      </c>
      <c r="FC282" s="27" t="s">
        <v>8</v>
      </c>
      <c r="FD282" s="27" t="s">
        <v>7</v>
      </c>
      <c r="FE282" s="27" t="s">
        <v>8</v>
      </c>
      <c r="FU282" s="27" t="s">
        <v>8</v>
      </c>
      <c r="FV282" s="27" t="s">
        <v>7</v>
      </c>
      <c r="FY282" s="27" t="s">
        <v>8</v>
      </c>
    </row>
    <row r="283" spans="1:181" x14ac:dyDescent="0.25">
      <c r="A283" s="7">
        <v>411.57805986758547</v>
      </c>
      <c r="B283"/>
      <c r="C283"/>
      <c r="D283"/>
      <c r="E283"/>
      <c r="S283" s="27" t="s">
        <v>8</v>
      </c>
      <c r="T283" s="27" t="s">
        <v>7</v>
      </c>
      <c r="U283" s="27" t="s">
        <v>8</v>
      </c>
      <c r="V283" s="27" t="s">
        <v>7</v>
      </c>
      <c r="W283" s="27" t="s">
        <v>8</v>
      </c>
      <c r="X283" s="27" t="s">
        <v>7</v>
      </c>
      <c r="Y283" s="27" t="s">
        <v>8</v>
      </c>
      <c r="AB283" s="27" t="s">
        <v>7</v>
      </c>
      <c r="AI283" s="27" t="s">
        <v>8</v>
      </c>
      <c r="AU283" s="27" t="s">
        <v>8</v>
      </c>
      <c r="AV283" s="27" t="s">
        <v>7</v>
      </c>
      <c r="AW283" s="27" t="s">
        <v>8</v>
      </c>
      <c r="AX283" s="27" t="s">
        <v>7</v>
      </c>
      <c r="BA283" s="27" t="s">
        <v>8</v>
      </c>
      <c r="BB283" s="27" t="s">
        <v>7</v>
      </c>
      <c r="BC283" s="27" t="s">
        <v>8</v>
      </c>
      <c r="BD283" s="27" t="s">
        <v>7</v>
      </c>
      <c r="BE283" s="27" t="s">
        <v>8</v>
      </c>
      <c r="BF283" s="27" t="s">
        <v>7</v>
      </c>
      <c r="CW283" s="27" t="s">
        <v>8</v>
      </c>
      <c r="CX283" s="27" t="s">
        <v>7</v>
      </c>
      <c r="EW283" s="27" t="s">
        <v>8</v>
      </c>
      <c r="EX283" s="27" t="s">
        <v>7</v>
      </c>
      <c r="EY283" s="27" t="s">
        <v>8</v>
      </c>
      <c r="EZ283" s="27" t="s">
        <v>7</v>
      </c>
      <c r="FA283" s="27" t="s">
        <v>8</v>
      </c>
      <c r="FB283" s="27" t="s">
        <v>7</v>
      </c>
      <c r="FC283" s="27" t="s">
        <v>8</v>
      </c>
      <c r="FD283" s="27" t="s">
        <v>7</v>
      </c>
      <c r="FE283" s="27" t="s">
        <v>8</v>
      </c>
      <c r="FF283" s="27" t="s">
        <v>7</v>
      </c>
      <c r="FU283" s="27" t="s">
        <v>8</v>
      </c>
      <c r="FV283" s="27" t="s">
        <v>7</v>
      </c>
      <c r="FY283" s="27" t="s">
        <v>8</v>
      </c>
    </row>
    <row r="284" spans="1:181" x14ac:dyDescent="0.25">
      <c r="A284" s="7">
        <v>403.50790183096615</v>
      </c>
      <c r="B284"/>
      <c r="C284"/>
      <c r="D284"/>
      <c r="E284"/>
      <c r="S284" s="27" t="s">
        <v>8</v>
      </c>
      <c r="T284" s="27" t="s">
        <v>7</v>
      </c>
      <c r="U284" s="27" t="s">
        <v>8</v>
      </c>
      <c r="V284" s="27" t="s">
        <v>7</v>
      </c>
      <c r="W284" s="27" t="s">
        <v>8</v>
      </c>
      <c r="X284" s="27" t="s">
        <v>7</v>
      </c>
      <c r="Y284" s="27" t="s">
        <v>8</v>
      </c>
      <c r="AB284" s="27" t="s">
        <v>7</v>
      </c>
      <c r="AI284" s="27" t="s">
        <v>8</v>
      </c>
      <c r="AJ284" s="27" t="s">
        <v>7</v>
      </c>
      <c r="AU284" s="27" t="s">
        <v>8</v>
      </c>
      <c r="AV284" s="27" t="s">
        <v>7</v>
      </c>
      <c r="AW284" s="27" t="s">
        <v>8</v>
      </c>
      <c r="AX284" s="27" t="s">
        <v>7</v>
      </c>
      <c r="BA284" s="27" t="s">
        <v>8</v>
      </c>
      <c r="BB284" s="27" t="s">
        <v>7</v>
      </c>
      <c r="BC284" s="27" t="s">
        <v>8</v>
      </c>
      <c r="BD284" s="27" t="s">
        <v>7</v>
      </c>
      <c r="BE284" s="27" t="s">
        <v>8</v>
      </c>
      <c r="BF284" s="27" t="s">
        <v>7</v>
      </c>
      <c r="CW284" s="27" t="s">
        <v>8</v>
      </c>
      <c r="CX284" s="27" t="s">
        <v>7</v>
      </c>
      <c r="EW284" s="27" t="s">
        <v>8</v>
      </c>
      <c r="EX284" s="27" t="s">
        <v>7</v>
      </c>
      <c r="EY284" s="27" t="s">
        <v>8</v>
      </c>
      <c r="EZ284" s="27" t="s">
        <v>7</v>
      </c>
      <c r="FA284" s="27" t="s">
        <v>8</v>
      </c>
      <c r="FB284" s="27" t="s">
        <v>7</v>
      </c>
      <c r="FC284" s="27" t="s">
        <v>8</v>
      </c>
      <c r="FD284" s="27" t="s">
        <v>7</v>
      </c>
      <c r="FE284" s="27" t="s">
        <v>8</v>
      </c>
      <c r="FF284" s="27" t="s">
        <v>7</v>
      </c>
      <c r="FU284" s="27" t="s">
        <v>8</v>
      </c>
      <c r="FV284" s="27" t="s">
        <v>7</v>
      </c>
      <c r="FY284" s="27" t="s">
        <v>8</v>
      </c>
    </row>
    <row r="285" spans="1:181" x14ac:dyDescent="0.25">
      <c r="A285" s="7">
        <v>395.59598218722169</v>
      </c>
      <c r="B285"/>
      <c r="C285"/>
      <c r="D285"/>
      <c r="E285"/>
      <c r="S285" s="27" t="s">
        <v>8</v>
      </c>
      <c r="T285" s="27" t="s">
        <v>7</v>
      </c>
      <c r="U285" s="27" t="s">
        <v>8</v>
      </c>
      <c r="V285" s="27" t="s">
        <v>7</v>
      </c>
      <c r="W285" s="27" t="s">
        <v>8</v>
      </c>
      <c r="X285" s="27" t="s">
        <v>7</v>
      </c>
      <c r="Y285" s="27" t="s">
        <v>8</v>
      </c>
      <c r="AB285" s="27" t="s">
        <v>7</v>
      </c>
      <c r="AC285" s="27" t="s">
        <v>8</v>
      </c>
      <c r="AI285" s="27" t="s">
        <v>8</v>
      </c>
      <c r="AJ285" s="27" t="s">
        <v>7</v>
      </c>
      <c r="AU285" s="27" t="s">
        <v>8</v>
      </c>
      <c r="AV285" s="27" t="s">
        <v>7</v>
      </c>
      <c r="AW285" s="27" t="s">
        <v>8</v>
      </c>
      <c r="AX285" s="27" t="s">
        <v>7</v>
      </c>
      <c r="BA285" s="27" t="s">
        <v>8</v>
      </c>
      <c r="BB285" s="27" t="s">
        <v>7</v>
      </c>
      <c r="BC285" s="27" t="s">
        <v>8</v>
      </c>
      <c r="BD285" s="27" t="s">
        <v>7</v>
      </c>
      <c r="BE285" s="27" t="s">
        <v>8</v>
      </c>
      <c r="BF285" s="27" t="s">
        <v>7</v>
      </c>
      <c r="CW285" s="27" t="s">
        <v>8</v>
      </c>
      <c r="CX285" s="27" t="s">
        <v>7</v>
      </c>
      <c r="EW285" s="27" t="s">
        <v>8</v>
      </c>
      <c r="EX285" s="27" t="s">
        <v>7</v>
      </c>
      <c r="EY285" s="27" t="s">
        <v>8</v>
      </c>
      <c r="EZ285" s="27" t="s">
        <v>7</v>
      </c>
      <c r="FA285" s="27" t="s">
        <v>8</v>
      </c>
      <c r="FB285" s="27" t="s">
        <v>7</v>
      </c>
      <c r="FC285" s="27" t="s">
        <v>8</v>
      </c>
      <c r="FD285" s="27" t="s">
        <v>7</v>
      </c>
      <c r="FF285" s="27" t="s">
        <v>7</v>
      </c>
      <c r="FG285" s="27" t="s">
        <v>8</v>
      </c>
      <c r="FU285" s="27" t="s">
        <v>8</v>
      </c>
      <c r="FV285" s="27" t="s">
        <v>7</v>
      </c>
      <c r="FW285" s="27" t="s">
        <v>8</v>
      </c>
      <c r="FY285" s="27" t="s">
        <v>8</v>
      </c>
    </row>
    <row r="286" spans="1:181" x14ac:dyDescent="0.25">
      <c r="A286" s="7">
        <v>387.83919822276636</v>
      </c>
      <c r="B286"/>
      <c r="C286"/>
      <c r="D286"/>
      <c r="E286"/>
      <c r="S286" s="27" t="s">
        <v>8</v>
      </c>
      <c r="T286" s="27" t="s">
        <v>7</v>
      </c>
      <c r="U286" s="27" t="s">
        <v>8</v>
      </c>
      <c r="V286" s="27" t="s">
        <v>7</v>
      </c>
      <c r="W286" s="27" t="s">
        <v>8</v>
      </c>
      <c r="X286" s="27" t="s">
        <v>7</v>
      </c>
      <c r="Y286" s="27" t="s">
        <v>8</v>
      </c>
      <c r="AB286" s="27" t="s">
        <v>7</v>
      </c>
      <c r="AC286" s="27" t="s">
        <v>8</v>
      </c>
      <c r="AD286" s="27" t="s">
        <v>7</v>
      </c>
      <c r="AI286" s="27" t="s">
        <v>8</v>
      </c>
      <c r="AJ286" s="27" t="s">
        <v>7</v>
      </c>
      <c r="AO286" s="27" t="s">
        <v>8</v>
      </c>
      <c r="AU286" s="27" t="s">
        <v>8</v>
      </c>
      <c r="AV286" s="27" t="s">
        <v>7</v>
      </c>
      <c r="AW286" s="27" t="s">
        <v>8</v>
      </c>
      <c r="AX286" s="27" t="s">
        <v>7</v>
      </c>
      <c r="AY286" s="27" t="s">
        <v>8</v>
      </c>
      <c r="BA286" s="27" t="s">
        <v>8</v>
      </c>
      <c r="BB286" s="27" t="s">
        <v>7</v>
      </c>
      <c r="BC286" s="27" t="s">
        <v>8</v>
      </c>
      <c r="BD286" s="27" t="s">
        <v>7</v>
      </c>
      <c r="BE286" s="27" t="s">
        <v>8</v>
      </c>
      <c r="BF286" s="27" t="s">
        <v>7</v>
      </c>
      <c r="CW286" s="27" t="s">
        <v>8</v>
      </c>
      <c r="CX286" s="27" t="s">
        <v>7</v>
      </c>
      <c r="EW286" s="27" t="s">
        <v>8</v>
      </c>
      <c r="EX286" s="27" t="s">
        <v>7</v>
      </c>
      <c r="EY286" s="27" t="s">
        <v>8</v>
      </c>
      <c r="EZ286" s="27" t="s">
        <v>7</v>
      </c>
      <c r="FA286" s="27" t="s">
        <v>8</v>
      </c>
      <c r="FB286" s="27" t="s">
        <v>7</v>
      </c>
      <c r="FC286" s="27" t="s">
        <v>8</v>
      </c>
      <c r="FF286" s="27" t="s">
        <v>7</v>
      </c>
      <c r="FG286" s="27" t="s">
        <v>8</v>
      </c>
      <c r="FH286" s="27" t="s">
        <v>7</v>
      </c>
      <c r="FU286" s="27" t="s">
        <v>8</v>
      </c>
      <c r="FV286" s="27" t="s">
        <v>7</v>
      </c>
      <c r="FW286" s="27" t="s">
        <v>8</v>
      </c>
      <c r="FX286" s="27" t="s">
        <v>7</v>
      </c>
      <c r="FY286" s="27" t="s">
        <v>8</v>
      </c>
    </row>
    <row r="287" spans="1:181" x14ac:dyDescent="0.25">
      <c r="A287" s="7">
        <v>380.23450806153562</v>
      </c>
      <c r="B287"/>
      <c r="C287"/>
      <c r="D287"/>
      <c r="E287"/>
      <c r="S287" s="27" t="s">
        <v>8</v>
      </c>
      <c r="T287" s="27" t="s">
        <v>7</v>
      </c>
      <c r="U287" s="27" t="s">
        <v>8</v>
      </c>
      <c r="V287" s="27" t="s">
        <v>7</v>
      </c>
      <c r="W287" s="27" t="s">
        <v>8</v>
      </c>
      <c r="X287" s="27" t="s">
        <v>7</v>
      </c>
      <c r="Y287" s="27" t="s">
        <v>8</v>
      </c>
      <c r="AB287" s="27" t="s">
        <v>7</v>
      </c>
      <c r="AC287" s="27" t="s">
        <v>8</v>
      </c>
      <c r="AD287" s="27" t="s">
        <v>7</v>
      </c>
      <c r="AI287" s="27" t="s">
        <v>8</v>
      </c>
      <c r="AJ287" s="27" t="s">
        <v>7</v>
      </c>
      <c r="AO287" s="27" t="s">
        <v>8</v>
      </c>
      <c r="AP287" s="27" t="s">
        <v>7</v>
      </c>
      <c r="AU287" s="27" t="s">
        <v>8</v>
      </c>
      <c r="AV287" s="27" t="s">
        <v>7</v>
      </c>
      <c r="AW287" s="27" t="s">
        <v>8</v>
      </c>
      <c r="AX287" s="27" t="s">
        <v>7</v>
      </c>
      <c r="AY287" s="27" t="s">
        <v>8</v>
      </c>
      <c r="AZ287" s="27" t="s">
        <v>7</v>
      </c>
      <c r="BA287" s="27" t="s">
        <v>8</v>
      </c>
      <c r="BB287" s="27" t="s">
        <v>7</v>
      </c>
      <c r="BC287" s="27" t="s">
        <v>8</v>
      </c>
      <c r="BD287" s="27" t="s">
        <v>7</v>
      </c>
      <c r="BE287" s="27" t="s">
        <v>8</v>
      </c>
      <c r="BF287" s="27" t="s">
        <v>7</v>
      </c>
      <c r="CW287" s="27" t="s">
        <v>8</v>
      </c>
      <c r="CX287" s="27" t="s">
        <v>7</v>
      </c>
      <c r="EW287" s="27" t="s">
        <v>8</v>
      </c>
      <c r="EX287" s="27" t="s">
        <v>7</v>
      </c>
      <c r="EY287" s="27" t="s">
        <v>8</v>
      </c>
      <c r="EZ287" s="27" t="s">
        <v>7</v>
      </c>
      <c r="FA287" s="27" t="s">
        <v>8</v>
      </c>
      <c r="FB287" s="27" t="s">
        <v>7</v>
      </c>
      <c r="FC287" s="27" t="s">
        <v>8</v>
      </c>
      <c r="FF287" s="27" t="s">
        <v>7</v>
      </c>
      <c r="FG287" s="27" t="s">
        <v>8</v>
      </c>
      <c r="FH287" s="27" t="s">
        <v>7</v>
      </c>
      <c r="FO287" s="27" t="s">
        <v>8</v>
      </c>
      <c r="FU287" s="27" t="s">
        <v>8</v>
      </c>
      <c r="FV287" s="27" t="s">
        <v>7</v>
      </c>
      <c r="FW287" s="27" t="s">
        <v>8</v>
      </c>
      <c r="FX287" s="27" t="s">
        <v>7</v>
      </c>
      <c r="FY287" s="27" t="s">
        <v>8</v>
      </c>
    </row>
    <row r="288" spans="1:181" x14ac:dyDescent="0.25">
      <c r="A288" s="7">
        <v>372.77892947209375</v>
      </c>
      <c r="B288"/>
      <c r="C288"/>
      <c r="D288"/>
      <c r="E288"/>
      <c r="S288" s="27" t="s">
        <v>8</v>
      </c>
      <c r="T288" s="27" t="s">
        <v>7</v>
      </c>
      <c r="U288" s="27" t="s">
        <v>8</v>
      </c>
      <c r="V288" s="27" t="s">
        <v>7</v>
      </c>
      <c r="W288" s="27" t="s">
        <v>8</v>
      </c>
      <c r="X288" s="27" t="s">
        <v>7</v>
      </c>
      <c r="Y288" s="27" t="s">
        <v>8</v>
      </c>
      <c r="AB288" s="27" t="s">
        <v>7</v>
      </c>
      <c r="AC288" s="27" t="s">
        <v>8</v>
      </c>
      <c r="AD288" s="27" t="s">
        <v>7</v>
      </c>
      <c r="AI288" s="27" t="s">
        <v>8</v>
      </c>
      <c r="AJ288" s="27" t="s">
        <v>7</v>
      </c>
      <c r="AO288" s="27" t="s">
        <v>8</v>
      </c>
      <c r="AP288" s="27" t="s">
        <v>7</v>
      </c>
      <c r="AU288" s="27" t="s">
        <v>8</v>
      </c>
      <c r="AV288" s="27" t="s">
        <v>7</v>
      </c>
      <c r="AW288" s="27" t="s">
        <v>8</v>
      </c>
      <c r="AX288" s="27" t="s">
        <v>7</v>
      </c>
      <c r="AY288" s="27" t="s">
        <v>8</v>
      </c>
      <c r="AZ288" s="27" t="s">
        <v>7</v>
      </c>
      <c r="BA288" s="27" t="s">
        <v>8</v>
      </c>
      <c r="BB288" s="27" t="s">
        <v>7</v>
      </c>
      <c r="BC288" s="27" t="s">
        <v>8</v>
      </c>
      <c r="BD288" s="27" t="s">
        <v>7</v>
      </c>
      <c r="BF288" s="27" t="s">
        <v>7</v>
      </c>
      <c r="CW288" s="27" t="s">
        <v>8</v>
      </c>
      <c r="CX288" s="27" t="s">
        <v>7</v>
      </c>
      <c r="EW288" s="27" t="s">
        <v>8</v>
      </c>
      <c r="EX288" s="27" t="s">
        <v>7</v>
      </c>
      <c r="EY288" s="27" t="s">
        <v>8</v>
      </c>
      <c r="EZ288" s="27" t="s">
        <v>7</v>
      </c>
      <c r="FA288" s="27" t="s">
        <v>8</v>
      </c>
      <c r="FB288" s="27" t="s">
        <v>7</v>
      </c>
      <c r="FF288" s="27" t="s">
        <v>7</v>
      </c>
      <c r="FG288" s="27" t="s">
        <v>8</v>
      </c>
      <c r="FH288" s="27" t="s">
        <v>7</v>
      </c>
      <c r="FO288" s="27" t="s">
        <v>8</v>
      </c>
      <c r="FP288" s="27" t="s">
        <v>7</v>
      </c>
      <c r="FU288" s="27" t="s">
        <v>8</v>
      </c>
      <c r="FV288" s="27" t="s">
        <v>7</v>
      </c>
      <c r="FW288" s="27" t="s">
        <v>8</v>
      </c>
      <c r="FX288" s="27" t="s">
        <v>7</v>
      </c>
      <c r="FY288" s="27" t="s">
        <v>8</v>
      </c>
    </row>
    <row r="289" spans="1:181" x14ac:dyDescent="0.25">
      <c r="A289" s="7">
        <v>365.46953869813115</v>
      </c>
      <c r="B289"/>
      <c r="C289"/>
      <c r="D289"/>
      <c r="E289"/>
      <c r="S289" s="27" t="s">
        <v>8</v>
      </c>
      <c r="T289" s="27" t="s">
        <v>7</v>
      </c>
      <c r="U289" s="27" t="s">
        <v>8</v>
      </c>
      <c r="V289" s="27" t="s">
        <v>7</v>
      </c>
      <c r="W289" s="27" t="s">
        <v>8</v>
      </c>
      <c r="X289" s="27" t="s">
        <v>7</v>
      </c>
      <c r="Y289" s="27" t="s">
        <v>8</v>
      </c>
      <c r="AB289" s="27" t="s">
        <v>7</v>
      </c>
      <c r="AC289" s="27" t="s">
        <v>8</v>
      </c>
      <c r="AD289" s="27" t="s">
        <v>7</v>
      </c>
      <c r="AI289" s="27" t="s">
        <v>8</v>
      </c>
      <c r="AJ289" s="27" t="s">
        <v>7</v>
      </c>
      <c r="AK289" s="27" t="s">
        <v>8</v>
      </c>
      <c r="AO289" s="27" t="s">
        <v>8</v>
      </c>
      <c r="AP289" s="27" t="s">
        <v>7</v>
      </c>
      <c r="AU289" s="27" t="s">
        <v>8</v>
      </c>
      <c r="AV289" s="27" t="s">
        <v>7</v>
      </c>
      <c r="AW289" s="27" t="s">
        <v>8</v>
      </c>
      <c r="AX289" s="27" t="s">
        <v>7</v>
      </c>
      <c r="AY289" s="27" t="s">
        <v>8</v>
      </c>
      <c r="AZ289" s="27" t="s">
        <v>7</v>
      </c>
      <c r="BA289" s="27" t="s">
        <v>8</v>
      </c>
      <c r="BB289" s="27" t="s">
        <v>7</v>
      </c>
      <c r="BC289" s="27" t="s">
        <v>8</v>
      </c>
      <c r="BF289" s="27" t="s">
        <v>7</v>
      </c>
      <c r="CK289" s="27" t="s">
        <v>8</v>
      </c>
      <c r="CU289" s="27" t="s">
        <v>8</v>
      </c>
      <c r="CW289" s="27" t="s">
        <v>8</v>
      </c>
      <c r="CX289" s="27" t="s">
        <v>7</v>
      </c>
      <c r="EW289" s="27" t="s">
        <v>8</v>
      </c>
      <c r="EX289" s="27" t="s">
        <v>7</v>
      </c>
      <c r="EZ289" s="27" t="s">
        <v>7</v>
      </c>
      <c r="FA289" s="27" t="s">
        <v>8</v>
      </c>
      <c r="FF289" s="27" t="s">
        <v>7</v>
      </c>
      <c r="FG289" s="27" t="s">
        <v>8</v>
      </c>
      <c r="FH289" s="27" t="s">
        <v>7</v>
      </c>
      <c r="FO289" s="27" t="s">
        <v>8</v>
      </c>
      <c r="FP289" s="27" t="s">
        <v>7</v>
      </c>
      <c r="FU289" s="27" t="s">
        <v>8</v>
      </c>
      <c r="FV289" s="27" t="s">
        <v>7</v>
      </c>
      <c r="FW289" s="27" t="s">
        <v>8</v>
      </c>
      <c r="FX289" s="27" t="s">
        <v>7</v>
      </c>
      <c r="FY289" s="27" t="s">
        <v>8</v>
      </c>
    </row>
    <row r="290" spans="1:181" x14ac:dyDescent="0.25">
      <c r="A290" s="7">
        <v>358.30346931189325</v>
      </c>
      <c r="B290"/>
      <c r="C290"/>
      <c r="D290"/>
      <c r="E290"/>
      <c r="S290" s="27" t="s">
        <v>8</v>
      </c>
      <c r="T290" s="27" t="s">
        <v>7</v>
      </c>
      <c r="U290" s="27" t="s">
        <v>8</v>
      </c>
      <c r="V290" s="27" t="s">
        <v>7</v>
      </c>
      <c r="W290" s="27" t="s">
        <v>8</v>
      </c>
      <c r="X290" s="27" t="s">
        <v>7</v>
      </c>
      <c r="Y290" s="27" t="s">
        <v>8</v>
      </c>
      <c r="AB290" s="27" t="s">
        <v>7</v>
      </c>
      <c r="AC290" s="27" t="s">
        <v>8</v>
      </c>
      <c r="AD290" s="27" t="s">
        <v>7</v>
      </c>
      <c r="AG290" s="27" t="s">
        <v>8</v>
      </c>
      <c r="AI290" s="27" t="s">
        <v>8</v>
      </c>
      <c r="AJ290" s="27" t="s">
        <v>7</v>
      </c>
      <c r="AK290" s="27" t="s">
        <v>8</v>
      </c>
      <c r="AL290" s="27" t="s">
        <v>7</v>
      </c>
      <c r="AO290" s="27" t="s">
        <v>8</v>
      </c>
      <c r="AP290" s="27" t="s">
        <v>7</v>
      </c>
      <c r="AU290" s="27" t="s">
        <v>8</v>
      </c>
      <c r="AV290" s="27" t="s">
        <v>7</v>
      </c>
      <c r="AW290" s="27" t="s">
        <v>8</v>
      </c>
      <c r="AX290" s="27" t="s">
        <v>7</v>
      </c>
      <c r="AY290" s="27" t="s">
        <v>8</v>
      </c>
      <c r="AZ290" s="27" t="s">
        <v>7</v>
      </c>
      <c r="BA290" s="27" t="s">
        <v>8</v>
      </c>
      <c r="BB290" s="27" t="s">
        <v>7</v>
      </c>
      <c r="BC290" s="27" t="s">
        <v>8</v>
      </c>
      <c r="BF290" s="27" t="s">
        <v>7</v>
      </c>
      <c r="CK290" s="27" t="s">
        <v>8</v>
      </c>
      <c r="CL290" s="27" t="s">
        <v>7</v>
      </c>
      <c r="CU290" s="27" t="s">
        <v>8</v>
      </c>
      <c r="CV290" s="27" t="s">
        <v>7</v>
      </c>
      <c r="CW290" s="27" t="s">
        <v>8</v>
      </c>
      <c r="CX290" s="27" t="s">
        <v>7</v>
      </c>
      <c r="EW290" s="27" t="s">
        <v>8</v>
      </c>
      <c r="EZ290" s="27" t="s">
        <v>7</v>
      </c>
      <c r="FA290" s="27" t="s">
        <v>8</v>
      </c>
      <c r="FF290" s="27" t="s">
        <v>7</v>
      </c>
      <c r="FG290" s="27" t="s">
        <v>8</v>
      </c>
      <c r="FH290" s="27" t="s">
        <v>7</v>
      </c>
      <c r="FO290" s="27" t="s">
        <v>8</v>
      </c>
      <c r="FP290" s="27" t="s">
        <v>7</v>
      </c>
      <c r="FU290" s="27" t="s">
        <v>8</v>
      </c>
      <c r="FV290" s="27" t="s">
        <v>7</v>
      </c>
      <c r="FW290" s="27" t="s">
        <v>8</v>
      </c>
      <c r="FX290" s="27" t="s">
        <v>7</v>
      </c>
      <c r="FY290" s="27" t="s">
        <v>8</v>
      </c>
    </row>
    <row r="291" spans="1:181" x14ac:dyDescent="0.25">
      <c r="A291" s="7">
        <v>351.27791109009144</v>
      </c>
      <c r="B291"/>
      <c r="C291"/>
      <c r="D291"/>
      <c r="E291"/>
      <c r="S291" s="27" t="s">
        <v>8</v>
      </c>
      <c r="T291" s="27" t="s">
        <v>7</v>
      </c>
      <c r="V291" s="27" t="s">
        <v>7</v>
      </c>
      <c r="W291" s="27" t="s">
        <v>8</v>
      </c>
      <c r="X291" s="27" t="s">
        <v>7</v>
      </c>
      <c r="AB291" s="27" t="s">
        <v>7</v>
      </c>
      <c r="AC291" s="27" t="s">
        <v>8</v>
      </c>
      <c r="AD291" s="27" t="s">
        <v>7</v>
      </c>
      <c r="AG291" s="27" t="s">
        <v>8</v>
      </c>
      <c r="AH291" s="27" t="s">
        <v>7</v>
      </c>
      <c r="AI291" s="27" t="s">
        <v>8</v>
      </c>
      <c r="AJ291" s="27" t="s">
        <v>7</v>
      </c>
      <c r="AK291" s="27" t="s">
        <v>8</v>
      </c>
      <c r="AL291" s="27" t="s">
        <v>7</v>
      </c>
      <c r="AO291" s="27" t="s">
        <v>8</v>
      </c>
      <c r="AP291" s="27" t="s">
        <v>7</v>
      </c>
      <c r="AQ291" s="27" t="s">
        <v>8</v>
      </c>
      <c r="AS291" s="27" t="s">
        <v>8</v>
      </c>
      <c r="AU291" s="27" t="s">
        <v>8</v>
      </c>
      <c r="AV291" s="27" t="s">
        <v>7</v>
      </c>
      <c r="AX291" s="27" t="s">
        <v>7</v>
      </c>
      <c r="AY291" s="27" t="s">
        <v>8</v>
      </c>
      <c r="AZ291" s="27" t="s">
        <v>7</v>
      </c>
      <c r="BA291" s="27" t="s">
        <v>8</v>
      </c>
      <c r="BB291" s="27" t="s">
        <v>7</v>
      </c>
      <c r="BC291" s="27" t="s">
        <v>8</v>
      </c>
      <c r="BF291" s="27" t="s">
        <v>7</v>
      </c>
      <c r="BG291" s="27" t="s">
        <v>8</v>
      </c>
      <c r="CK291" s="27" t="s">
        <v>8</v>
      </c>
      <c r="CL291" s="27" t="s">
        <v>7</v>
      </c>
      <c r="CU291" s="27" t="s">
        <v>8</v>
      </c>
      <c r="CV291" s="27" t="s">
        <v>7</v>
      </c>
      <c r="CW291" s="27" t="s">
        <v>8</v>
      </c>
      <c r="CX291" s="27" t="s">
        <v>7</v>
      </c>
      <c r="EW291" s="27" t="s">
        <v>8</v>
      </c>
      <c r="EZ291" s="27" t="s">
        <v>7</v>
      </c>
      <c r="FA291" s="27" t="s">
        <v>8</v>
      </c>
      <c r="FF291" s="27" t="s">
        <v>7</v>
      </c>
      <c r="FG291" s="27" t="s">
        <v>8</v>
      </c>
      <c r="FH291" s="27" t="s">
        <v>7</v>
      </c>
      <c r="FM291" s="27" t="s">
        <v>8</v>
      </c>
      <c r="FO291" s="27" t="s">
        <v>8</v>
      </c>
      <c r="FP291" s="27" t="s">
        <v>7</v>
      </c>
      <c r="FU291" s="27" t="s">
        <v>8</v>
      </c>
      <c r="FV291" s="27" t="s">
        <v>7</v>
      </c>
      <c r="FX291" s="27" t="s">
        <v>7</v>
      </c>
      <c r="FY291" s="27" t="s">
        <v>8</v>
      </c>
    </row>
    <row r="292" spans="1:181" x14ac:dyDescent="0.25">
      <c r="A292" s="7">
        <v>344.39010891185433</v>
      </c>
      <c r="B292"/>
      <c r="C292"/>
      <c r="D292"/>
      <c r="E292"/>
      <c r="S292" s="27" t="s">
        <v>8</v>
      </c>
      <c r="V292" s="27" t="s">
        <v>7</v>
      </c>
      <c r="W292" s="27" t="s">
        <v>8</v>
      </c>
      <c r="AB292" s="27" t="s">
        <v>7</v>
      </c>
      <c r="AC292" s="27" t="s">
        <v>8</v>
      </c>
      <c r="AD292" s="27" t="s">
        <v>7</v>
      </c>
      <c r="AG292" s="27" t="s">
        <v>8</v>
      </c>
      <c r="AH292" s="27" t="s">
        <v>7</v>
      </c>
      <c r="AI292" s="27" t="s">
        <v>8</v>
      </c>
      <c r="AJ292" s="27" t="s">
        <v>7</v>
      </c>
      <c r="AK292" s="27" t="s">
        <v>8</v>
      </c>
      <c r="AL292" s="27" t="s">
        <v>7</v>
      </c>
      <c r="AM292" s="27" t="s">
        <v>8</v>
      </c>
      <c r="AO292" s="27" t="s">
        <v>8</v>
      </c>
      <c r="AP292" s="27" t="s">
        <v>7</v>
      </c>
      <c r="AQ292" s="27" t="s">
        <v>8</v>
      </c>
      <c r="AR292" s="27" t="s">
        <v>7</v>
      </c>
      <c r="AS292" s="27" t="s">
        <v>8</v>
      </c>
      <c r="AT292" s="27" t="s">
        <v>7</v>
      </c>
      <c r="AU292" s="27" t="s">
        <v>8</v>
      </c>
      <c r="AX292" s="27" t="s">
        <v>7</v>
      </c>
      <c r="AY292" s="27" t="s">
        <v>8</v>
      </c>
      <c r="AZ292" s="27" t="s">
        <v>7</v>
      </c>
      <c r="BB292" s="27" t="s">
        <v>7</v>
      </c>
      <c r="BF292" s="27" t="s">
        <v>7</v>
      </c>
      <c r="BG292" s="27" t="s">
        <v>8</v>
      </c>
      <c r="BH292" s="27" t="s">
        <v>7</v>
      </c>
      <c r="CI292" s="27" t="s">
        <v>8</v>
      </c>
      <c r="CK292" s="27" t="s">
        <v>8</v>
      </c>
      <c r="CL292" s="27" t="s">
        <v>7</v>
      </c>
      <c r="CU292" s="27" t="s">
        <v>8</v>
      </c>
      <c r="CV292" s="27" t="s">
        <v>7</v>
      </c>
      <c r="CW292" s="27" t="s">
        <v>8</v>
      </c>
      <c r="CX292" s="27" t="s">
        <v>7</v>
      </c>
      <c r="EW292" s="27" t="s">
        <v>8</v>
      </c>
      <c r="EZ292" s="27" t="s">
        <v>7</v>
      </c>
      <c r="FA292" s="27" t="s">
        <v>8</v>
      </c>
      <c r="FF292" s="27" t="s">
        <v>7</v>
      </c>
      <c r="FG292" s="27" t="s">
        <v>8</v>
      </c>
      <c r="FH292" s="27" t="s">
        <v>7</v>
      </c>
      <c r="FI292" s="27" t="s">
        <v>8</v>
      </c>
      <c r="FM292" s="27" t="s">
        <v>8</v>
      </c>
      <c r="FN292" s="27" t="s">
        <v>7</v>
      </c>
      <c r="FO292" s="27" t="s">
        <v>8</v>
      </c>
      <c r="FP292" s="27" t="s">
        <v>7</v>
      </c>
      <c r="FQ292" s="27" t="s">
        <v>8</v>
      </c>
      <c r="FU292" s="27" t="s">
        <v>8</v>
      </c>
      <c r="FX292" s="27" t="s">
        <v>7</v>
      </c>
      <c r="FY292" s="27" t="s">
        <v>8</v>
      </c>
    </row>
    <row r="293" spans="1:181" x14ac:dyDescent="0.25">
      <c r="A293" s="7">
        <v>337.63736167828853</v>
      </c>
      <c r="B293"/>
      <c r="C293"/>
      <c r="D293"/>
      <c r="E293"/>
      <c r="S293" s="27" t="s">
        <v>8</v>
      </c>
      <c r="V293" s="27" t="s">
        <v>7</v>
      </c>
      <c r="W293" s="27" t="s">
        <v>8</v>
      </c>
      <c r="AB293" s="27" t="s">
        <v>7</v>
      </c>
      <c r="AC293" s="27" t="s">
        <v>8</v>
      </c>
      <c r="AD293" s="27" t="s">
        <v>7</v>
      </c>
      <c r="AG293" s="27" t="s">
        <v>8</v>
      </c>
      <c r="AH293" s="27" t="s">
        <v>7</v>
      </c>
      <c r="AI293" s="27" t="s">
        <v>8</v>
      </c>
      <c r="AJ293" s="27" t="s">
        <v>7</v>
      </c>
      <c r="AK293" s="27" t="s">
        <v>8</v>
      </c>
      <c r="AL293" s="27" t="s">
        <v>7</v>
      </c>
      <c r="AM293" s="27" t="s">
        <v>8</v>
      </c>
      <c r="AN293" s="27" t="s">
        <v>7</v>
      </c>
      <c r="AO293" s="27" t="s">
        <v>8</v>
      </c>
      <c r="AP293" s="27" t="s">
        <v>7</v>
      </c>
      <c r="AQ293" s="27" t="s">
        <v>8</v>
      </c>
      <c r="AR293" s="27" t="s">
        <v>7</v>
      </c>
      <c r="AS293" s="27" t="s">
        <v>8</v>
      </c>
      <c r="AT293" s="27" t="s">
        <v>7</v>
      </c>
      <c r="AU293" s="27" t="s">
        <v>8</v>
      </c>
      <c r="AX293" s="27" t="s">
        <v>7</v>
      </c>
      <c r="AY293" s="27" t="s">
        <v>8</v>
      </c>
      <c r="BF293" s="27" t="s">
        <v>7</v>
      </c>
      <c r="BG293" s="27" t="s">
        <v>8</v>
      </c>
      <c r="BH293" s="27" t="s">
        <v>7</v>
      </c>
      <c r="CI293" s="27" t="s">
        <v>8</v>
      </c>
      <c r="CJ293" s="27" t="s">
        <v>7</v>
      </c>
      <c r="CK293" s="27" t="s">
        <v>8</v>
      </c>
      <c r="CL293" s="27" t="s">
        <v>7</v>
      </c>
      <c r="CO293" s="27" t="s">
        <v>8</v>
      </c>
      <c r="CQ293" s="27" t="s">
        <v>8</v>
      </c>
      <c r="CU293" s="27" t="s">
        <v>8</v>
      </c>
      <c r="CV293" s="27" t="s">
        <v>7</v>
      </c>
      <c r="CW293" s="27" t="s">
        <v>8</v>
      </c>
      <c r="CX293" s="27" t="s">
        <v>7</v>
      </c>
      <c r="EW293" s="27" t="s">
        <v>8</v>
      </c>
      <c r="EZ293" s="27" t="s">
        <v>7</v>
      </c>
      <c r="FA293" s="27" t="s">
        <v>8</v>
      </c>
      <c r="FF293" s="27" t="s">
        <v>7</v>
      </c>
      <c r="FG293" s="27" t="s">
        <v>8</v>
      </c>
      <c r="FH293" s="27" t="s">
        <v>7</v>
      </c>
      <c r="FI293" s="27" t="s">
        <v>8</v>
      </c>
      <c r="FJ293" s="27" t="s">
        <v>7</v>
      </c>
      <c r="FM293" s="27" t="s">
        <v>8</v>
      </c>
      <c r="FN293" s="27" t="s">
        <v>7</v>
      </c>
      <c r="FO293" s="27" t="s">
        <v>8</v>
      </c>
      <c r="FP293" s="27" t="s">
        <v>7</v>
      </c>
      <c r="FQ293" s="27" t="s">
        <v>8</v>
      </c>
      <c r="FR293" s="27" t="s">
        <v>7</v>
      </c>
      <c r="FS293" s="27" t="s">
        <v>8</v>
      </c>
      <c r="FU293" s="27" t="s">
        <v>8</v>
      </c>
      <c r="FX293" s="27" t="s">
        <v>7</v>
      </c>
      <c r="FY293" s="27" t="s">
        <v>8</v>
      </c>
    </row>
    <row r="294" spans="1:181" x14ac:dyDescent="0.25">
      <c r="A294" s="7">
        <v>331.01702125322402</v>
      </c>
      <c r="B294"/>
      <c r="C294"/>
      <c r="D294"/>
      <c r="E294"/>
      <c r="S294" s="27" t="s">
        <v>8</v>
      </c>
      <c r="V294" s="27" t="s">
        <v>7</v>
      </c>
      <c r="W294" s="27" t="s">
        <v>8</v>
      </c>
      <c r="AB294" s="27" t="s">
        <v>7</v>
      </c>
      <c r="AC294" s="27" t="s">
        <v>8</v>
      </c>
      <c r="AD294" s="27" t="s">
        <v>7</v>
      </c>
      <c r="AG294" s="27" t="s">
        <v>8</v>
      </c>
      <c r="AH294" s="27" t="s">
        <v>7</v>
      </c>
      <c r="AI294" s="27" t="s">
        <v>8</v>
      </c>
      <c r="AJ294" s="27" t="s">
        <v>7</v>
      </c>
      <c r="AK294" s="27" t="s">
        <v>8</v>
      </c>
      <c r="AL294" s="27" t="s">
        <v>7</v>
      </c>
      <c r="AM294" s="27" t="s">
        <v>8</v>
      </c>
      <c r="AN294" s="27" t="s">
        <v>7</v>
      </c>
      <c r="AO294" s="27" t="s">
        <v>8</v>
      </c>
      <c r="AP294" s="27" t="s">
        <v>7</v>
      </c>
      <c r="AQ294" s="27" t="s">
        <v>8</v>
      </c>
      <c r="AR294" s="27" t="s">
        <v>7</v>
      </c>
      <c r="AS294" s="27" t="s">
        <v>8</v>
      </c>
      <c r="AT294" s="27" t="s">
        <v>7</v>
      </c>
      <c r="AU294" s="27" t="s">
        <v>8</v>
      </c>
      <c r="AX294" s="27" t="s">
        <v>7</v>
      </c>
      <c r="AY294" s="27" t="s">
        <v>8</v>
      </c>
      <c r="BF294" s="27" t="s">
        <v>7</v>
      </c>
      <c r="BG294" s="27" t="s">
        <v>8</v>
      </c>
      <c r="BH294" s="27" t="s">
        <v>7</v>
      </c>
      <c r="CI294" s="27" t="s">
        <v>8</v>
      </c>
      <c r="CJ294" s="27" t="s">
        <v>7</v>
      </c>
      <c r="CK294" s="27" t="s">
        <v>8</v>
      </c>
      <c r="CL294" s="27" t="s">
        <v>7</v>
      </c>
      <c r="CO294" s="27" t="s">
        <v>8</v>
      </c>
      <c r="CP294" s="27" t="s">
        <v>7</v>
      </c>
      <c r="CQ294" s="27" t="s">
        <v>8</v>
      </c>
      <c r="CR294" s="27" t="s">
        <v>7</v>
      </c>
      <c r="CU294" s="27" t="s">
        <v>8</v>
      </c>
      <c r="CV294" s="27" t="s">
        <v>7</v>
      </c>
      <c r="CW294" s="27" t="s">
        <v>8</v>
      </c>
      <c r="CX294" s="27" t="s">
        <v>7</v>
      </c>
      <c r="EW294" s="27" t="s">
        <v>8</v>
      </c>
      <c r="EZ294" s="27" t="s">
        <v>7</v>
      </c>
      <c r="FA294" s="27" t="s">
        <v>8</v>
      </c>
      <c r="FF294" s="27" t="s">
        <v>7</v>
      </c>
      <c r="FG294" s="27" t="s">
        <v>8</v>
      </c>
      <c r="FH294" s="27" t="s">
        <v>7</v>
      </c>
      <c r="FI294" s="27" t="s">
        <v>8</v>
      </c>
      <c r="FJ294" s="27" t="s">
        <v>7</v>
      </c>
      <c r="FM294" s="27" t="s">
        <v>8</v>
      </c>
      <c r="FN294" s="27" t="s">
        <v>7</v>
      </c>
      <c r="FO294" s="27" t="s">
        <v>8</v>
      </c>
      <c r="FP294" s="27" t="s">
        <v>7</v>
      </c>
      <c r="FQ294" s="27" t="s">
        <v>8</v>
      </c>
      <c r="FR294" s="27" t="s">
        <v>7</v>
      </c>
      <c r="FS294" s="27" t="s">
        <v>8</v>
      </c>
      <c r="FT294" s="27" t="s">
        <v>7</v>
      </c>
      <c r="FU294" s="27" t="s">
        <v>8</v>
      </c>
      <c r="FX294" s="27" t="s">
        <v>7</v>
      </c>
      <c r="FY294" s="27" t="s">
        <v>8</v>
      </c>
    </row>
    <row r="295" spans="1:181" x14ac:dyDescent="0.25">
      <c r="A295" s="7">
        <v>324.52649142472944</v>
      </c>
      <c r="B295"/>
      <c r="C295"/>
      <c r="D295"/>
      <c r="E295"/>
      <c r="S295" s="27" t="s">
        <v>8</v>
      </c>
      <c r="V295" s="27" t="s">
        <v>7</v>
      </c>
      <c r="W295" s="27" t="s">
        <v>8</v>
      </c>
      <c r="AB295" s="27" t="s">
        <v>7</v>
      </c>
      <c r="AC295" s="27" t="s">
        <v>8</v>
      </c>
      <c r="AD295" s="27" t="s">
        <v>7</v>
      </c>
      <c r="AG295" s="27" t="s">
        <v>8</v>
      </c>
      <c r="AH295" s="27" t="s">
        <v>7</v>
      </c>
      <c r="AI295" s="27" t="s">
        <v>8</v>
      </c>
      <c r="AJ295" s="27" t="s">
        <v>7</v>
      </c>
      <c r="AK295" s="27" t="s">
        <v>8</v>
      </c>
      <c r="AL295" s="27" t="s">
        <v>7</v>
      </c>
      <c r="AM295" s="27" t="s">
        <v>8</v>
      </c>
      <c r="AN295" s="27" t="s">
        <v>7</v>
      </c>
      <c r="AO295" s="27" t="s">
        <v>8</v>
      </c>
      <c r="AP295" s="27" t="s">
        <v>7</v>
      </c>
      <c r="AQ295" s="27" t="s">
        <v>8</v>
      </c>
      <c r="AR295" s="27" t="s">
        <v>7</v>
      </c>
      <c r="AS295" s="27" t="s">
        <v>8</v>
      </c>
      <c r="AT295" s="27" t="s">
        <v>7</v>
      </c>
      <c r="AU295" s="27" t="s">
        <v>8</v>
      </c>
      <c r="AX295" s="27" t="s">
        <v>7</v>
      </c>
      <c r="AY295" s="27" t="s">
        <v>8</v>
      </c>
      <c r="BF295" s="27" t="s">
        <v>7</v>
      </c>
      <c r="BG295" s="27" t="s">
        <v>8</v>
      </c>
      <c r="BH295" s="27" t="s">
        <v>7</v>
      </c>
      <c r="CI295" s="27" t="s">
        <v>8</v>
      </c>
      <c r="CJ295" s="27" t="s">
        <v>7</v>
      </c>
      <c r="CK295" s="27" t="s">
        <v>8</v>
      </c>
      <c r="CL295" s="27" t="s">
        <v>7</v>
      </c>
      <c r="CO295" s="27" t="s">
        <v>8</v>
      </c>
      <c r="CP295" s="27" t="s">
        <v>7</v>
      </c>
      <c r="CQ295" s="27" t="s">
        <v>8</v>
      </c>
      <c r="CR295" s="27" t="s">
        <v>7</v>
      </c>
      <c r="CS295" s="27" t="s">
        <v>8</v>
      </c>
      <c r="CU295" s="27" t="s">
        <v>8</v>
      </c>
      <c r="CV295" s="27" t="s">
        <v>7</v>
      </c>
      <c r="CW295" s="27" t="s">
        <v>8</v>
      </c>
      <c r="CX295" s="27" t="s">
        <v>7</v>
      </c>
      <c r="CY295" s="27" t="s">
        <v>8</v>
      </c>
      <c r="EW295" s="27" t="s">
        <v>8</v>
      </c>
      <c r="EZ295" s="27" t="s">
        <v>7</v>
      </c>
      <c r="FA295" s="27" t="s">
        <v>8</v>
      </c>
      <c r="FF295" s="27" t="s">
        <v>7</v>
      </c>
      <c r="FG295" s="27" t="s">
        <v>8</v>
      </c>
      <c r="FH295" s="27" t="s">
        <v>7</v>
      </c>
      <c r="FI295" s="27" t="s">
        <v>8</v>
      </c>
      <c r="FJ295" s="27" t="s">
        <v>7</v>
      </c>
      <c r="FK295" s="27" t="s">
        <v>8</v>
      </c>
      <c r="FM295" s="27" t="s">
        <v>8</v>
      </c>
      <c r="FN295" s="27" t="s">
        <v>7</v>
      </c>
      <c r="FO295" s="27" t="s">
        <v>8</v>
      </c>
      <c r="FP295" s="27" t="s">
        <v>7</v>
      </c>
      <c r="FQ295" s="27" t="s">
        <v>8</v>
      </c>
      <c r="FR295" s="27" t="s">
        <v>7</v>
      </c>
      <c r="FS295" s="27" t="s">
        <v>8</v>
      </c>
      <c r="FT295" s="27" t="s">
        <v>7</v>
      </c>
      <c r="FU295" s="27" t="s">
        <v>8</v>
      </c>
      <c r="FX295" s="27" t="s">
        <v>7</v>
      </c>
      <c r="FY295" s="27" t="s">
        <v>8</v>
      </c>
    </row>
    <row r="296" spans="1:181" x14ac:dyDescent="0.25">
      <c r="A296" s="7">
        <v>318.16322688698966</v>
      </c>
      <c r="B296"/>
      <c r="C296"/>
      <c r="D296"/>
      <c r="E296"/>
      <c r="S296" s="27" t="s">
        <v>8</v>
      </c>
      <c r="V296" s="27" t="s">
        <v>7</v>
      </c>
      <c r="W296" s="27" t="s">
        <v>8</v>
      </c>
      <c r="AB296" s="27" t="s">
        <v>7</v>
      </c>
      <c r="AD296" s="27" t="s">
        <v>7</v>
      </c>
      <c r="AG296" s="27" t="s">
        <v>8</v>
      </c>
      <c r="AH296" s="27" t="s">
        <v>7</v>
      </c>
      <c r="AI296" s="27" t="s">
        <v>8</v>
      </c>
      <c r="AJ296" s="27" t="s">
        <v>7</v>
      </c>
      <c r="AK296" s="27" t="s">
        <v>8</v>
      </c>
      <c r="AL296" s="27" t="s">
        <v>7</v>
      </c>
      <c r="AM296" s="27" t="s">
        <v>8</v>
      </c>
      <c r="AN296" s="27" t="s">
        <v>7</v>
      </c>
      <c r="AO296" s="27" t="s">
        <v>8</v>
      </c>
      <c r="AP296" s="27" t="s">
        <v>7</v>
      </c>
      <c r="AQ296" s="27" t="s">
        <v>8</v>
      </c>
      <c r="AR296" s="27" t="s">
        <v>7</v>
      </c>
      <c r="AS296" s="27" t="s">
        <v>8</v>
      </c>
      <c r="AT296" s="27" t="s">
        <v>7</v>
      </c>
      <c r="AU296" s="27" t="s">
        <v>8</v>
      </c>
      <c r="AX296" s="27" t="s">
        <v>7</v>
      </c>
      <c r="AY296" s="27" t="s">
        <v>8</v>
      </c>
      <c r="BF296" s="27" t="s">
        <v>7</v>
      </c>
      <c r="BG296" s="27" t="s">
        <v>8</v>
      </c>
      <c r="BH296" s="27" t="s">
        <v>7</v>
      </c>
      <c r="BK296" s="27" t="s">
        <v>8</v>
      </c>
      <c r="BU296" s="27" t="s">
        <v>8</v>
      </c>
      <c r="CI296" s="27" t="s">
        <v>8</v>
      </c>
      <c r="CJ296" s="27" t="s">
        <v>7</v>
      </c>
      <c r="CK296" s="27" t="s">
        <v>8</v>
      </c>
      <c r="CL296" s="27" t="s">
        <v>7</v>
      </c>
      <c r="CO296" s="27" t="s">
        <v>8</v>
      </c>
      <c r="CP296" s="27" t="s">
        <v>7</v>
      </c>
      <c r="CQ296" s="27" t="s">
        <v>8</v>
      </c>
      <c r="CR296" s="27" t="s">
        <v>7</v>
      </c>
      <c r="CS296" s="27" t="s">
        <v>8</v>
      </c>
      <c r="CT296" s="27" t="s">
        <v>7</v>
      </c>
      <c r="CU296" s="27" t="s">
        <v>8</v>
      </c>
      <c r="CV296" s="27" t="s">
        <v>7</v>
      </c>
      <c r="CW296" s="27" t="s">
        <v>8</v>
      </c>
      <c r="CX296" s="27" t="s">
        <v>7</v>
      </c>
      <c r="CY296" s="27" t="s">
        <v>8</v>
      </c>
      <c r="CZ296" s="27" t="s">
        <v>7</v>
      </c>
      <c r="EW296" s="27" t="s">
        <v>8</v>
      </c>
      <c r="EZ296" s="27" t="s">
        <v>7</v>
      </c>
      <c r="FA296" s="27" t="s">
        <v>8</v>
      </c>
      <c r="FF296" s="27" t="s">
        <v>7</v>
      </c>
      <c r="FG296" s="27" t="s">
        <v>8</v>
      </c>
      <c r="FH296" s="27" t="s">
        <v>7</v>
      </c>
      <c r="FJ296" s="27" t="s">
        <v>7</v>
      </c>
      <c r="FK296" s="27" t="s">
        <v>8</v>
      </c>
      <c r="FL296" s="27" t="s">
        <v>7</v>
      </c>
      <c r="FM296" s="27" t="s">
        <v>8</v>
      </c>
      <c r="FN296" s="27" t="s">
        <v>7</v>
      </c>
      <c r="FO296" s="27" t="s">
        <v>8</v>
      </c>
      <c r="FP296" s="27" t="s">
        <v>7</v>
      </c>
      <c r="FQ296" s="27" t="s">
        <v>8</v>
      </c>
      <c r="FR296" s="27" t="s">
        <v>7</v>
      </c>
      <c r="FS296" s="27" t="s">
        <v>8</v>
      </c>
      <c r="FT296" s="27" t="s">
        <v>7</v>
      </c>
      <c r="FU296" s="27" t="s">
        <v>8</v>
      </c>
      <c r="FX296" s="27" t="s">
        <v>7</v>
      </c>
    </row>
    <row r="297" spans="1:181" x14ac:dyDescent="0.25">
      <c r="A297" s="7">
        <v>311.92473224214672</v>
      </c>
      <c r="B297"/>
      <c r="C297"/>
      <c r="D297"/>
      <c r="E297"/>
      <c r="S297" s="27" t="s">
        <v>8</v>
      </c>
      <c r="V297" s="27" t="s">
        <v>7</v>
      </c>
      <c r="AD297" s="27" t="s">
        <v>7</v>
      </c>
      <c r="AG297" s="27" t="s">
        <v>8</v>
      </c>
      <c r="AH297" s="27" t="s">
        <v>7</v>
      </c>
      <c r="AI297" s="27" t="s">
        <v>8</v>
      </c>
      <c r="AJ297" s="27" t="s">
        <v>7</v>
      </c>
      <c r="AK297" s="27" t="s">
        <v>8</v>
      </c>
      <c r="AL297" s="27" t="s">
        <v>7</v>
      </c>
      <c r="AM297" s="27" t="s">
        <v>8</v>
      </c>
      <c r="AN297" s="27" t="s">
        <v>7</v>
      </c>
      <c r="AO297" s="27" t="s">
        <v>8</v>
      </c>
      <c r="AP297" s="27" t="s">
        <v>7</v>
      </c>
      <c r="AQ297" s="27" t="s">
        <v>8</v>
      </c>
      <c r="AR297" s="27" t="s">
        <v>7</v>
      </c>
      <c r="AS297" s="27" t="s">
        <v>8</v>
      </c>
      <c r="AT297" s="27" t="s">
        <v>7</v>
      </c>
      <c r="AX297" s="27" t="s">
        <v>7</v>
      </c>
      <c r="AY297" s="27" t="s">
        <v>8</v>
      </c>
      <c r="BF297" s="27" t="s">
        <v>7</v>
      </c>
      <c r="BG297" s="27" t="s">
        <v>8</v>
      </c>
      <c r="BH297" s="27" t="s">
        <v>7</v>
      </c>
      <c r="BK297" s="27" t="s">
        <v>8</v>
      </c>
      <c r="BL297" s="27" t="s">
        <v>7</v>
      </c>
      <c r="BU297" s="27" t="s">
        <v>8</v>
      </c>
      <c r="BV297" s="27" t="s">
        <v>7</v>
      </c>
      <c r="CI297" s="27" t="s">
        <v>8</v>
      </c>
      <c r="CJ297" s="27" t="s">
        <v>7</v>
      </c>
      <c r="CK297" s="27" t="s">
        <v>8</v>
      </c>
      <c r="CL297" s="27" t="s">
        <v>7</v>
      </c>
      <c r="CM297" s="27" t="s">
        <v>8</v>
      </c>
      <c r="CO297" s="27" t="s">
        <v>8</v>
      </c>
      <c r="CP297" s="27" t="s">
        <v>7</v>
      </c>
      <c r="CQ297" s="27" t="s">
        <v>8</v>
      </c>
      <c r="CR297" s="27" t="s">
        <v>7</v>
      </c>
      <c r="CS297" s="27" t="s">
        <v>8</v>
      </c>
      <c r="CT297" s="27" t="s">
        <v>7</v>
      </c>
      <c r="CU297" s="27" t="s">
        <v>8</v>
      </c>
      <c r="CV297" s="27" t="s">
        <v>7</v>
      </c>
      <c r="CW297" s="27" t="s">
        <v>8</v>
      </c>
      <c r="CX297" s="27" t="s">
        <v>7</v>
      </c>
      <c r="CY297" s="27" t="s">
        <v>8</v>
      </c>
      <c r="CZ297" s="27" t="s">
        <v>7</v>
      </c>
      <c r="EW297" s="27" t="s">
        <v>8</v>
      </c>
      <c r="EZ297" s="27" t="s">
        <v>7</v>
      </c>
      <c r="FA297" s="27" t="s">
        <v>8</v>
      </c>
      <c r="FF297" s="27" t="s">
        <v>7</v>
      </c>
      <c r="FG297" s="27" t="s">
        <v>8</v>
      </c>
      <c r="FJ297" s="27" t="s">
        <v>7</v>
      </c>
      <c r="FK297" s="27" t="s">
        <v>8</v>
      </c>
      <c r="FL297" s="27" t="s">
        <v>7</v>
      </c>
      <c r="FM297" s="27" t="s">
        <v>8</v>
      </c>
      <c r="FN297" s="27" t="s">
        <v>7</v>
      </c>
      <c r="FO297" s="27" t="s">
        <v>8</v>
      </c>
      <c r="FP297" s="27" t="s">
        <v>7</v>
      </c>
      <c r="FQ297" s="27" t="s">
        <v>8</v>
      </c>
      <c r="FR297" s="27" t="s">
        <v>7</v>
      </c>
      <c r="FS297" s="27" t="s">
        <v>8</v>
      </c>
      <c r="FT297" s="27" t="s">
        <v>7</v>
      </c>
    </row>
    <row r="298" spans="1:181" x14ac:dyDescent="0.25">
      <c r="A298" s="7">
        <v>305.80856102171248</v>
      </c>
      <c r="B298"/>
      <c r="C298"/>
      <c r="D298"/>
      <c r="E298"/>
      <c r="S298" s="27" t="s">
        <v>8</v>
      </c>
      <c r="AD298" s="27" t="s">
        <v>7</v>
      </c>
      <c r="AG298" s="27" t="s">
        <v>8</v>
      </c>
      <c r="AH298" s="27" t="s">
        <v>7</v>
      </c>
      <c r="AI298" s="27" t="s">
        <v>8</v>
      </c>
      <c r="AJ298" s="27" t="s">
        <v>7</v>
      </c>
      <c r="AK298" s="27" t="s">
        <v>8</v>
      </c>
      <c r="AL298" s="27" t="s">
        <v>7</v>
      </c>
      <c r="AM298" s="27" t="s">
        <v>8</v>
      </c>
      <c r="AN298" s="27" t="s">
        <v>7</v>
      </c>
      <c r="AO298" s="27" t="s">
        <v>8</v>
      </c>
      <c r="AP298" s="27" t="s">
        <v>7</v>
      </c>
      <c r="AQ298" s="27" t="s">
        <v>8</v>
      </c>
      <c r="AR298" s="27" t="s">
        <v>7</v>
      </c>
      <c r="AS298" s="27" t="s">
        <v>8</v>
      </c>
      <c r="AX298" s="27" t="s">
        <v>7</v>
      </c>
      <c r="BF298" s="27" t="s">
        <v>7</v>
      </c>
      <c r="BG298" s="27" t="s">
        <v>8</v>
      </c>
      <c r="BH298" s="27" t="s">
        <v>7</v>
      </c>
      <c r="BK298" s="27" t="s">
        <v>8</v>
      </c>
      <c r="BL298" s="27" t="s">
        <v>7</v>
      </c>
      <c r="BU298" s="27" t="s">
        <v>8</v>
      </c>
      <c r="BV298" s="27" t="s">
        <v>7</v>
      </c>
      <c r="CI298" s="27" t="s">
        <v>8</v>
      </c>
      <c r="CJ298" s="27" t="s">
        <v>7</v>
      </c>
      <c r="CK298" s="27" t="s">
        <v>8</v>
      </c>
      <c r="CL298" s="27" t="s">
        <v>7</v>
      </c>
      <c r="CM298" s="27" t="s">
        <v>8</v>
      </c>
      <c r="CN298" s="27" t="s">
        <v>7</v>
      </c>
      <c r="CO298" s="27" t="s">
        <v>8</v>
      </c>
      <c r="CP298" s="27" t="s">
        <v>7</v>
      </c>
      <c r="CQ298" s="27" t="s">
        <v>8</v>
      </c>
      <c r="CR298" s="27" t="s">
        <v>7</v>
      </c>
      <c r="CS298" s="27" t="s">
        <v>8</v>
      </c>
      <c r="CT298" s="27" t="s">
        <v>7</v>
      </c>
      <c r="CU298" s="27" t="s">
        <v>8</v>
      </c>
      <c r="CV298" s="27" t="s">
        <v>7</v>
      </c>
      <c r="CW298" s="27" t="s">
        <v>8</v>
      </c>
      <c r="CX298" s="27" t="s">
        <v>7</v>
      </c>
      <c r="CY298" s="27" t="s">
        <v>8</v>
      </c>
      <c r="CZ298" s="27" t="s">
        <v>7</v>
      </c>
      <c r="EU298" s="27" t="s">
        <v>8</v>
      </c>
      <c r="EW298" s="27" t="s">
        <v>8</v>
      </c>
      <c r="EZ298" s="27" t="s">
        <v>7</v>
      </c>
      <c r="FA298" s="27" t="s">
        <v>8</v>
      </c>
      <c r="FF298" s="27" t="s">
        <v>7</v>
      </c>
      <c r="FJ298" s="27" t="s">
        <v>7</v>
      </c>
      <c r="FK298" s="27" t="s">
        <v>8</v>
      </c>
      <c r="FL298" s="27" t="s">
        <v>7</v>
      </c>
      <c r="FM298" s="27" t="s">
        <v>8</v>
      </c>
      <c r="FN298" s="27" t="s">
        <v>7</v>
      </c>
      <c r="FO298" s="27" t="s">
        <v>8</v>
      </c>
      <c r="FP298" s="27" t="s">
        <v>7</v>
      </c>
      <c r="FR298" s="27" t="s">
        <v>7</v>
      </c>
    </row>
    <row r="299" spans="1:181" x14ac:dyDescent="0.25">
      <c r="A299" s="7">
        <v>299.81231472716911</v>
      </c>
      <c r="B299"/>
      <c r="C299"/>
      <c r="D299"/>
      <c r="E299"/>
      <c r="S299" s="27" t="s">
        <v>8</v>
      </c>
      <c r="AD299" s="27" t="s">
        <v>7</v>
      </c>
      <c r="AG299" s="27" t="s">
        <v>8</v>
      </c>
      <c r="AH299" s="27" t="s">
        <v>7</v>
      </c>
      <c r="AI299" s="27" t="s">
        <v>8</v>
      </c>
      <c r="AJ299" s="27" t="s">
        <v>7</v>
      </c>
      <c r="AK299" s="27" t="s">
        <v>8</v>
      </c>
      <c r="AL299" s="27" t="s">
        <v>7</v>
      </c>
      <c r="AM299" s="27" t="s">
        <v>8</v>
      </c>
      <c r="AN299" s="27" t="s">
        <v>7</v>
      </c>
      <c r="AO299" s="27" t="s">
        <v>8</v>
      </c>
      <c r="AP299" s="27" t="s">
        <v>7</v>
      </c>
      <c r="AQ299" s="27" t="s">
        <v>8</v>
      </c>
      <c r="AR299" s="27" t="s">
        <v>7</v>
      </c>
      <c r="AS299" s="27" t="s">
        <v>8</v>
      </c>
      <c r="BF299" s="27" t="s">
        <v>7</v>
      </c>
      <c r="BG299" s="27" t="s">
        <v>8</v>
      </c>
      <c r="BH299" s="27" t="s">
        <v>7</v>
      </c>
      <c r="BK299" s="27" t="s">
        <v>8</v>
      </c>
      <c r="BL299" s="27" t="s">
        <v>7</v>
      </c>
      <c r="BU299" s="27" t="s">
        <v>8</v>
      </c>
      <c r="BV299" s="27" t="s">
        <v>7</v>
      </c>
      <c r="CI299" s="27" t="s">
        <v>8</v>
      </c>
      <c r="CJ299" s="27" t="s">
        <v>7</v>
      </c>
      <c r="CK299" s="27" t="s">
        <v>8</v>
      </c>
      <c r="CL299" s="27" t="s">
        <v>7</v>
      </c>
      <c r="CM299" s="27" t="s">
        <v>8</v>
      </c>
      <c r="CN299" s="27" t="s">
        <v>7</v>
      </c>
      <c r="CO299" s="27" t="s">
        <v>8</v>
      </c>
      <c r="CP299" s="27" t="s">
        <v>7</v>
      </c>
      <c r="CQ299" s="27" t="s">
        <v>8</v>
      </c>
      <c r="CR299" s="27" t="s">
        <v>7</v>
      </c>
      <c r="CS299" s="27" t="s">
        <v>8</v>
      </c>
      <c r="CT299" s="27" t="s">
        <v>7</v>
      </c>
      <c r="CU299" s="27" t="s">
        <v>8</v>
      </c>
      <c r="CV299" s="27" t="s">
        <v>7</v>
      </c>
      <c r="CW299" s="27" t="s">
        <v>8</v>
      </c>
      <c r="CX299" s="27" t="s">
        <v>7</v>
      </c>
      <c r="CY299" s="27" t="s">
        <v>8</v>
      </c>
      <c r="CZ299" s="27" t="s">
        <v>7</v>
      </c>
      <c r="EU299" s="27" t="s">
        <v>8</v>
      </c>
      <c r="EV299" s="27" t="s">
        <v>7</v>
      </c>
      <c r="EW299" s="27" t="s">
        <v>8</v>
      </c>
      <c r="EZ299" s="27" t="s">
        <v>7</v>
      </c>
      <c r="FA299" s="27" t="s">
        <v>8</v>
      </c>
      <c r="FJ299" s="27" t="s">
        <v>7</v>
      </c>
      <c r="FK299" s="27" t="s">
        <v>8</v>
      </c>
      <c r="FL299" s="27" t="s">
        <v>7</v>
      </c>
      <c r="FM299" s="27" t="s">
        <v>8</v>
      </c>
      <c r="FN299" s="27" t="s">
        <v>7</v>
      </c>
    </row>
    <row r="300" spans="1:181" x14ac:dyDescent="0.25">
      <c r="A300" s="7">
        <v>293.93364188938148</v>
      </c>
      <c r="B300"/>
      <c r="C300"/>
      <c r="D300"/>
      <c r="E300"/>
      <c r="S300" s="27" t="s">
        <v>8</v>
      </c>
      <c r="AD300" s="27" t="s">
        <v>7</v>
      </c>
      <c r="AG300" s="27" t="s">
        <v>8</v>
      </c>
      <c r="AH300" s="27" t="s">
        <v>7</v>
      </c>
      <c r="AI300" s="27" t="s">
        <v>8</v>
      </c>
      <c r="AJ300" s="27" t="s">
        <v>7</v>
      </c>
      <c r="AK300" s="27" t="s">
        <v>8</v>
      </c>
      <c r="AL300" s="27" t="s">
        <v>7</v>
      </c>
      <c r="AM300" s="27" t="s">
        <v>8</v>
      </c>
      <c r="AN300" s="27" t="s">
        <v>7</v>
      </c>
      <c r="AO300" s="27" t="s">
        <v>8</v>
      </c>
      <c r="AP300" s="27" t="s">
        <v>7</v>
      </c>
      <c r="AQ300" s="27" t="s">
        <v>8</v>
      </c>
      <c r="AR300" s="27" t="s">
        <v>7</v>
      </c>
      <c r="AS300" s="27" t="s">
        <v>8</v>
      </c>
      <c r="BF300" s="27" t="s">
        <v>7</v>
      </c>
      <c r="BG300" s="27" t="s">
        <v>8</v>
      </c>
      <c r="BH300" s="27" t="s">
        <v>7</v>
      </c>
      <c r="BK300" s="27" t="s">
        <v>8</v>
      </c>
      <c r="BL300" s="27" t="s">
        <v>7</v>
      </c>
      <c r="BM300" s="27" t="s">
        <v>8</v>
      </c>
      <c r="BQ300" s="27" t="s">
        <v>8</v>
      </c>
      <c r="BU300" s="27" t="s">
        <v>8</v>
      </c>
      <c r="BV300" s="27" t="s">
        <v>7</v>
      </c>
      <c r="CI300" s="27" t="s">
        <v>8</v>
      </c>
      <c r="CJ300" s="27" t="s">
        <v>7</v>
      </c>
      <c r="CK300" s="27" t="s">
        <v>8</v>
      </c>
      <c r="CL300" s="27" t="s">
        <v>7</v>
      </c>
      <c r="CM300" s="27" t="s">
        <v>8</v>
      </c>
      <c r="CN300" s="27" t="s">
        <v>7</v>
      </c>
      <c r="CO300" s="27" t="s">
        <v>8</v>
      </c>
      <c r="CP300" s="27" t="s">
        <v>7</v>
      </c>
      <c r="CQ300" s="27" t="s">
        <v>8</v>
      </c>
      <c r="CR300" s="27" t="s">
        <v>7</v>
      </c>
      <c r="CS300" s="27" t="s">
        <v>8</v>
      </c>
      <c r="CT300" s="27" t="s">
        <v>7</v>
      </c>
      <c r="CU300" s="27" t="s">
        <v>8</v>
      </c>
      <c r="CV300" s="27" t="s">
        <v>7</v>
      </c>
      <c r="CX300" s="27" t="s">
        <v>7</v>
      </c>
      <c r="CY300" s="27" t="s">
        <v>8</v>
      </c>
      <c r="CZ300" s="27" t="s">
        <v>7</v>
      </c>
      <c r="EU300" s="27" t="s">
        <v>8</v>
      </c>
      <c r="EV300" s="27" t="s">
        <v>7</v>
      </c>
      <c r="EW300" s="27" t="s">
        <v>8</v>
      </c>
      <c r="EZ300" s="27" t="s">
        <v>7</v>
      </c>
      <c r="FA300" s="27" t="s">
        <v>8</v>
      </c>
      <c r="FJ300" s="27" t="s">
        <v>7</v>
      </c>
      <c r="FK300" s="27" t="s">
        <v>8</v>
      </c>
      <c r="FL300" s="27" t="s">
        <v>7</v>
      </c>
    </row>
    <row r="301" spans="1:181" x14ac:dyDescent="0.25">
      <c r="A301" s="7">
        <v>288.17023714645245</v>
      </c>
      <c r="B301"/>
      <c r="C301"/>
      <c r="D301"/>
      <c r="E301"/>
      <c r="S301" s="27" t="s">
        <v>8</v>
      </c>
      <c r="AD301" s="27" t="s">
        <v>7</v>
      </c>
      <c r="AG301" s="27" t="s">
        <v>8</v>
      </c>
      <c r="AH301" s="27" t="s">
        <v>7</v>
      </c>
      <c r="AI301" s="27" t="s">
        <v>8</v>
      </c>
      <c r="AJ301" s="27" t="s">
        <v>7</v>
      </c>
      <c r="AL301" s="27" t="s">
        <v>7</v>
      </c>
      <c r="AM301" s="27" t="s">
        <v>8</v>
      </c>
      <c r="AN301" s="27" t="s">
        <v>7</v>
      </c>
      <c r="AO301" s="27" t="s">
        <v>8</v>
      </c>
      <c r="AP301" s="27" t="s">
        <v>7</v>
      </c>
      <c r="AQ301" s="27" t="s">
        <v>8</v>
      </c>
      <c r="AR301" s="27" t="s">
        <v>7</v>
      </c>
      <c r="AS301" s="27" t="s">
        <v>8</v>
      </c>
      <c r="BF301" s="27" t="s">
        <v>7</v>
      </c>
      <c r="BG301" s="27" t="s">
        <v>8</v>
      </c>
      <c r="BH301" s="27" t="s">
        <v>7</v>
      </c>
      <c r="BK301" s="27" t="s">
        <v>8</v>
      </c>
      <c r="BL301" s="27" t="s">
        <v>7</v>
      </c>
      <c r="BM301" s="27" t="s">
        <v>8</v>
      </c>
      <c r="BN301" s="27" t="s">
        <v>7</v>
      </c>
      <c r="BQ301" s="27" t="s">
        <v>8</v>
      </c>
      <c r="BR301" s="27" t="s">
        <v>7</v>
      </c>
      <c r="BU301" s="27" t="s">
        <v>8</v>
      </c>
      <c r="BV301" s="27" t="s">
        <v>7</v>
      </c>
      <c r="CI301" s="27" t="s">
        <v>8</v>
      </c>
      <c r="CJ301" s="27" t="s">
        <v>7</v>
      </c>
      <c r="CK301" s="27" t="s">
        <v>8</v>
      </c>
      <c r="CL301" s="27" t="s">
        <v>7</v>
      </c>
      <c r="CM301" s="27" t="s">
        <v>8</v>
      </c>
      <c r="CN301" s="27" t="s">
        <v>7</v>
      </c>
      <c r="CO301" s="27" t="s">
        <v>8</v>
      </c>
      <c r="CP301" s="27" t="s">
        <v>7</v>
      </c>
      <c r="CQ301" s="27" t="s">
        <v>8</v>
      </c>
      <c r="CR301" s="27" t="s">
        <v>7</v>
      </c>
      <c r="CS301" s="27" t="s">
        <v>8</v>
      </c>
      <c r="CT301" s="27" t="s">
        <v>7</v>
      </c>
      <c r="CX301" s="27" t="s">
        <v>7</v>
      </c>
      <c r="CY301" s="27" t="s">
        <v>8</v>
      </c>
      <c r="CZ301" s="27" t="s">
        <v>7</v>
      </c>
      <c r="EU301" s="27" t="s">
        <v>8</v>
      </c>
      <c r="EV301" s="27" t="s">
        <v>7</v>
      </c>
      <c r="EW301" s="27" t="s">
        <v>8</v>
      </c>
      <c r="EZ301" s="27" t="s">
        <v>7</v>
      </c>
      <c r="FA301" s="27" t="s">
        <v>8</v>
      </c>
      <c r="FJ301" s="27" t="s">
        <v>7</v>
      </c>
      <c r="FK301" s="27" t="s">
        <v>8</v>
      </c>
    </row>
    <row r="302" spans="1:181" x14ac:dyDescent="0.25">
      <c r="A302" s="7">
        <v>282.51984033965925</v>
      </c>
      <c r="B302"/>
      <c r="C302"/>
      <c r="D302"/>
      <c r="E302"/>
      <c r="S302" s="27" t="s">
        <v>8</v>
      </c>
      <c r="AD302" s="27" t="s">
        <v>7</v>
      </c>
      <c r="AG302" s="27" t="s">
        <v>8</v>
      </c>
      <c r="AH302" s="27" t="s">
        <v>7</v>
      </c>
      <c r="AI302" s="27" t="s">
        <v>8</v>
      </c>
      <c r="AL302" s="27" t="s">
        <v>7</v>
      </c>
      <c r="AM302" s="27" t="s">
        <v>8</v>
      </c>
      <c r="AN302" s="27" t="s">
        <v>7</v>
      </c>
      <c r="AO302" s="27" t="s">
        <v>8</v>
      </c>
      <c r="AP302" s="27" t="s">
        <v>7</v>
      </c>
      <c r="AQ302" s="27" t="s">
        <v>8</v>
      </c>
      <c r="AR302" s="27" t="s">
        <v>7</v>
      </c>
      <c r="AS302" s="27" t="s">
        <v>8</v>
      </c>
      <c r="BF302" s="27" t="s">
        <v>7</v>
      </c>
      <c r="BG302" s="27" t="s">
        <v>8</v>
      </c>
      <c r="BH302" s="27" t="s">
        <v>7</v>
      </c>
      <c r="BK302" s="27" t="s">
        <v>8</v>
      </c>
      <c r="BL302" s="27" t="s">
        <v>7</v>
      </c>
      <c r="BM302" s="27" t="s">
        <v>8</v>
      </c>
      <c r="BN302" s="27" t="s">
        <v>7</v>
      </c>
      <c r="BQ302" s="27" t="s">
        <v>8</v>
      </c>
      <c r="BR302" s="27" t="s">
        <v>7</v>
      </c>
      <c r="BU302" s="27" t="s">
        <v>8</v>
      </c>
      <c r="BV302" s="27" t="s">
        <v>7</v>
      </c>
      <c r="CE302" s="27" t="s">
        <v>8</v>
      </c>
      <c r="CI302" s="27" t="s">
        <v>8</v>
      </c>
      <c r="CJ302" s="27" t="s">
        <v>7</v>
      </c>
      <c r="CK302" s="27" t="s">
        <v>8</v>
      </c>
      <c r="CL302" s="27" t="s">
        <v>7</v>
      </c>
      <c r="CM302" s="27" t="s">
        <v>8</v>
      </c>
      <c r="CN302" s="27" t="s">
        <v>7</v>
      </c>
      <c r="CO302" s="27" t="s">
        <v>8</v>
      </c>
      <c r="CP302" s="27" t="s">
        <v>7</v>
      </c>
      <c r="CQ302" s="27" t="s">
        <v>8</v>
      </c>
      <c r="CR302" s="27" t="s">
        <v>7</v>
      </c>
      <c r="CS302" s="27" t="s">
        <v>8</v>
      </c>
      <c r="CX302" s="27" t="s">
        <v>7</v>
      </c>
      <c r="CZ302" s="27" t="s">
        <v>7</v>
      </c>
      <c r="EU302" s="27" t="s">
        <v>8</v>
      </c>
      <c r="EV302" s="27" t="s">
        <v>7</v>
      </c>
      <c r="EW302" s="27" t="s">
        <v>8</v>
      </c>
      <c r="EZ302" s="27" t="s">
        <v>7</v>
      </c>
      <c r="FA302" s="27" t="s">
        <v>8</v>
      </c>
      <c r="FJ302" s="27" t="s">
        <v>7</v>
      </c>
      <c r="FK302" s="27" t="s">
        <v>8</v>
      </c>
    </row>
    <row r="303" spans="1:181" x14ac:dyDescent="0.25">
      <c r="A303" s="7">
        <v>276.98023562711688</v>
      </c>
      <c r="B303"/>
      <c r="C303"/>
      <c r="D303"/>
      <c r="E303"/>
      <c r="O303" s="27" t="s">
        <v>8</v>
      </c>
      <c r="S303" s="27" t="s">
        <v>8</v>
      </c>
      <c r="AD303" s="27" t="s">
        <v>7</v>
      </c>
      <c r="AE303" s="27" t="s">
        <v>8</v>
      </c>
      <c r="AG303" s="27" t="s">
        <v>8</v>
      </c>
      <c r="AH303" s="27" t="s">
        <v>7</v>
      </c>
      <c r="AI303" s="27" t="s">
        <v>8</v>
      </c>
      <c r="AL303" s="27" t="s">
        <v>7</v>
      </c>
      <c r="AM303" s="27" t="s">
        <v>8</v>
      </c>
      <c r="AN303" s="27" t="s">
        <v>7</v>
      </c>
      <c r="AO303" s="27" t="s">
        <v>8</v>
      </c>
      <c r="AP303" s="27" t="s">
        <v>7</v>
      </c>
      <c r="AQ303" s="27" t="s">
        <v>8</v>
      </c>
      <c r="AR303" s="27" t="s">
        <v>7</v>
      </c>
      <c r="AS303" s="27" t="s">
        <v>8</v>
      </c>
      <c r="BF303" s="27" t="s">
        <v>7</v>
      </c>
      <c r="BG303" s="27" t="s">
        <v>8</v>
      </c>
      <c r="BH303" s="27" t="s">
        <v>7</v>
      </c>
      <c r="BK303" s="27" t="s">
        <v>8</v>
      </c>
      <c r="BL303" s="27" t="s">
        <v>7</v>
      </c>
      <c r="BM303" s="27" t="s">
        <v>8</v>
      </c>
      <c r="BN303" s="27" t="s">
        <v>7</v>
      </c>
      <c r="BO303" s="27" t="s">
        <v>8</v>
      </c>
      <c r="BQ303" s="27" t="s">
        <v>8</v>
      </c>
      <c r="BR303" s="27" t="s">
        <v>7</v>
      </c>
      <c r="BU303" s="27" t="s">
        <v>8</v>
      </c>
      <c r="BV303" s="27" t="s">
        <v>7</v>
      </c>
      <c r="BY303" s="27" t="s">
        <v>8</v>
      </c>
      <c r="CE303" s="27" t="s">
        <v>8</v>
      </c>
      <c r="CF303" s="27" t="s">
        <v>7</v>
      </c>
      <c r="CG303" s="27" t="s">
        <v>8</v>
      </c>
      <c r="CI303" s="27" t="s">
        <v>8</v>
      </c>
      <c r="CJ303" s="27" t="s">
        <v>7</v>
      </c>
      <c r="CK303" s="27" t="s">
        <v>8</v>
      </c>
      <c r="CL303" s="27" t="s">
        <v>7</v>
      </c>
      <c r="CM303" s="27" t="s">
        <v>8</v>
      </c>
      <c r="CN303" s="27" t="s">
        <v>7</v>
      </c>
      <c r="CO303" s="27" t="s">
        <v>8</v>
      </c>
      <c r="CP303" s="27" t="s">
        <v>7</v>
      </c>
      <c r="CR303" s="27" t="s">
        <v>7</v>
      </c>
      <c r="CS303" s="27" t="s">
        <v>8</v>
      </c>
      <c r="CZ303" s="27" t="s">
        <v>7</v>
      </c>
      <c r="DA303" s="27" t="s">
        <v>8</v>
      </c>
      <c r="EU303" s="27" t="s">
        <v>8</v>
      </c>
      <c r="EV303" s="27" t="s">
        <v>7</v>
      </c>
      <c r="EW303" s="27" t="s">
        <v>8</v>
      </c>
      <c r="EZ303" s="27" t="s">
        <v>7</v>
      </c>
      <c r="FA303" s="27" t="s">
        <v>8</v>
      </c>
      <c r="FJ303" s="27" t="s">
        <v>7</v>
      </c>
      <c r="FK303" s="27" t="s">
        <v>8</v>
      </c>
    </row>
    <row r="304" spans="1:181" x14ac:dyDescent="0.25">
      <c r="A304" s="7">
        <v>271.54925061482049</v>
      </c>
      <c r="B304"/>
      <c r="C304"/>
      <c r="D304"/>
      <c r="E304"/>
      <c r="M304" s="27" t="s">
        <v>8</v>
      </c>
      <c r="O304" s="27" t="s">
        <v>8</v>
      </c>
      <c r="P304" s="27" t="s">
        <v>7</v>
      </c>
      <c r="S304" s="27" t="s">
        <v>8</v>
      </c>
      <c r="AD304" s="27" t="s">
        <v>7</v>
      </c>
      <c r="AE304" s="27" t="s">
        <v>8</v>
      </c>
      <c r="AF304" s="27" t="s">
        <v>7</v>
      </c>
      <c r="AG304" s="27" t="s">
        <v>8</v>
      </c>
      <c r="AH304" s="27" t="s">
        <v>7</v>
      </c>
      <c r="AI304" s="27" t="s">
        <v>8</v>
      </c>
      <c r="AL304" s="27" t="s">
        <v>7</v>
      </c>
      <c r="AM304" s="27" t="s">
        <v>8</v>
      </c>
      <c r="AN304" s="27" t="s">
        <v>7</v>
      </c>
      <c r="AP304" s="27" t="s">
        <v>7</v>
      </c>
      <c r="AQ304" s="27" t="s">
        <v>8</v>
      </c>
      <c r="AR304" s="27" t="s">
        <v>7</v>
      </c>
      <c r="BF304" s="27" t="s">
        <v>7</v>
      </c>
      <c r="BG304" s="27" t="s">
        <v>8</v>
      </c>
      <c r="BH304" s="27" t="s">
        <v>7</v>
      </c>
      <c r="BK304" s="27" t="s">
        <v>8</v>
      </c>
      <c r="BL304" s="27" t="s">
        <v>7</v>
      </c>
      <c r="BM304" s="27" t="s">
        <v>8</v>
      </c>
      <c r="BN304" s="27" t="s">
        <v>7</v>
      </c>
      <c r="BO304" s="27" t="s">
        <v>8</v>
      </c>
      <c r="BP304" s="27" t="s">
        <v>7</v>
      </c>
      <c r="BQ304" s="27" t="s">
        <v>8</v>
      </c>
      <c r="BR304" s="27" t="s">
        <v>7</v>
      </c>
      <c r="BU304" s="27" t="s">
        <v>8</v>
      </c>
      <c r="BV304" s="27" t="s">
        <v>7</v>
      </c>
      <c r="BY304" s="27" t="s">
        <v>8</v>
      </c>
      <c r="BZ304" s="27" t="s">
        <v>7</v>
      </c>
      <c r="CE304" s="27" t="s">
        <v>8</v>
      </c>
      <c r="CF304" s="27" t="s">
        <v>7</v>
      </c>
      <c r="CG304" s="27" t="s">
        <v>8</v>
      </c>
      <c r="CH304" s="27" t="s">
        <v>7</v>
      </c>
      <c r="CI304" s="27" t="s">
        <v>8</v>
      </c>
      <c r="CJ304" s="27" t="s">
        <v>7</v>
      </c>
      <c r="CL304" s="27" t="s">
        <v>7</v>
      </c>
      <c r="CM304" s="27" t="s">
        <v>8</v>
      </c>
      <c r="CN304" s="27" t="s">
        <v>7</v>
      </c>
      <c r="CO304" s="27" t="s">
        <v>8</v>
      </c>
      <c r="CR304" s="27" t="s">
        <v>7</v>
      </c>
      <c r="CZ304" s="27" t="s">
        <v>7</v>
      </c>
      <c r="DA304" s="27" t="s">
        <v>8</v>
      </c>
      <c r="DB304" s="27" t="s">
        <v>7</v>
      </c>
      <c r="EU304" s="27" t="s">
        <v>8</v>
      </c>
      <c r="EV304" s="27" t="s">
        <v>7</v>
      </c>
      <c r="EW304" s="27" t="s">
        <v>8</v>
      </c>
      <c r="EZ304" s="27" t="s">
        <v>7</v>
      </c>
      <c r="FA304" s="27" t="s">
        <v>8</v>
      </c>
      <c r="FJ304" s="27" t="s">
        <v>7</v>
      </c>
    </row>
    <row r="305" spans="1:157" x14ac:dyDescent="0.25">
      <c r="A305" s="7">
        <v>266.22475550472598</v>
      </c>
      <c r="B305"/>
      <c r="C305"/>
      <c r="D305"/>
      <c r="E305"/>
      <c r="M305" s="27" t="s">
        <v>8</v>
      </c>
      <c r="N305" s="27" t="s">
        <v>7</v>
      </c>
      <c r="O305" s="27" t="s">
        <v>8</v>
      </c>
      <c r="P305" s="27" t="s">
        <v>7</v>
      </c>
      <c r="S305" s="27" t="s">
        <v>8</v>
      </c>
      <c r="AD305" s="27" t="s">
        <v>7</v>
      </c>
      <c r="AE305" s="27" t="s">
        <v>8</v>
      </c>
      <c r="AF305" s="27" t="s">
        <v>7</v>
      </c>
      <c r="AG305" s="27" t="s">
        <v>8</v>
      </c>
      <c r="AH305" s="27" t="s">
        <v>7</v>
      </c>
      <c r="AI305" s="27" t="s">
        <v>8</v>
      </c>
      <c r="AL305" s="27" t="s">
        <v>7</v>
      </c>
      <c r="AM305" s="27" t="s">
        <v>8</v>
      </c>
      <c r="AP305" s="27" t="s">
        <v>7</v>
      </c>
      <c r="AQ305" s="27" t="s">
        <v>8</v>
      </c>
      <c r="BF305" s="27" t="s">
        <v>7</v>
      </c>
      <c r="BG305" s="27" t="s">
        <v>8</v>
      </c>
      <c r="BH305" s="27" t="s">
        <v>7</v>
      </c>
      <c r="BI305" s="27" t="s">
        <v>8</v>
      </c>
      <c r="BK305" s="27" t="s">
        <v>8</v>
      </c>
      <c r="BL305" s="27" t="s">
        <v>7</v>
      </c>
      <c r="BM305" s="27" t="s">
        <v>8</v>
      </c>
      <c r="BN305" s="27" t="s">
        <v>7</v>
      </c>
      <c r="BO305" s="27" t="s">
        <v>8</v>
      </c>
      <c r="BP305" s="27" t="s">
        <v>7</v>
      </c>
      <c r="BQ305" s="27" t="s">
        <v>8</v>
      </c>
      <c r="BR305" s="27" t="s">
        <v>7</v>
      </c>
      <c r="BS305" s="27" t="s">
        <v>8</v>
      </c>
      <c r="BU305" s="27" t="s">
        <v>8</v>
      </c>
      <c r="BV305" s="27" t="s">
        <v>7</v>
      </c>
      <c r="BY305" s="27" t="s">
        <v>8</v>
      </c>
      <c r="BZ305" s="27" t="s">
        <v>7</v>
      </c>
      <c r="CE305" s="27" t="s">
        <v>8</v>
      </c>
      <c r="CF305" s="27" t="s">
        <v>7</v>
      </c>
      <c r="CG305" s="27" t="s">
        <v>8</v>
      </c>
      <c r="CH305" s="27" t="s">
        <v>7</v>
      </c>
      <c r="CI305" s="27" t="s">
        <v>8</v>
      </c>
      <c r="CL305" s="27" t="s">
        <v>7</v>
      </c>
      <c r="CM305" s="27" t="s">
        <v>8</v>
      </c>
      <c r="CN305" s="27" t="s">
        <v>7</v>
      </c>
      <c r="CZ305" s="27" t="s">
        <v>7</v>
      </c>
      <c r="DA305" s="27" t="s">
        <v>8</v>
      </c>
      <c r="DB305" s="27" t="s">
        <v>7</v>
      </c>
      <c r="EU305" s="27" t="s">
        <v>8</v>
      </c>
      <c r="EV305" s="27" t="s">
        <v>7</v>
      </c>
      <c r="EW305" s="27" t="s">
        <v>8</v>
      </c>
      <c r="EZ305" s="27" t="s">
        <v>7</v>
      </c>
      <c r="FA305" s="27" t="s">
        <v>8</v>
      </c>
    </row>
    <row r="306" spans="1:157" x14ac:dyDescent="0.25">
      <c r="A306" s="7">
        <v>261.00466225953528</v>
      </c>
      <c r="B306"/>
      <c r="C306"/>
      <c r="D306"/>
      <c r="E306"/>
      <c r="M306" s="27" t="s">
        <v>8</v>
      </c>
      <c r="N306" s="27" t="s">
        <v>7</v>
      </c>
      <c r="O306" s="27" t="s">
        <v>8</v>
      </c>
      <c r="P306" s="27" t="s">
        <v>7</v>
      </c>
      <c r="S306" s="27" t="s">
        <v>8</v>
      </c>
      <c r="AD306" s="27" t="s">
        <v>7</v>
      </c>
      <c r="AE306" s="27" t="s">
        <v>8</v>
      </c>
      <c r="AF306" s="27" t="s">
        <v>7</v>
      </c>
      <c r="AG306" s="27" t="s">
        <v>8</v>
      </c>
      <c r="AH306" s="27" t="s">
        <v>7</v>
      </c>
      <c r="AI306" s="27" t="s">
        <v>8</v>
      </c>
      <c r="AL306" s="27" t="s">
        <v>7</v>
      </c>
      <c r="AM306" s="27" t="s">
        <v>8</v>
      </c>
      <c r="AP306" s="27" t="s">
        <v>7</v>
      </c>
      <c r="AQ306" s="27" t="s">
        <v>8</v>
      </c>
      <c r="BF306" s="27" t="s">
        <v>7</v>
      </c>
      <c r="BG306" s="27" t="s">
        <v>8</v>
      </c>
      <c r="BH306" s="27" t="s">
        <v>7</v>
      </c>
      <c r="BI306" s="27" t="s">
        <v>8</v>
      </c>
      <c r="BJ306" s="27" t="s">
        <v>7</v>
      </c>
      <c r="BK306" s="27" t="s">
        <v>8</v>
      </c>
      <c r="BL306" s="27" t="s">
        <v>7</v>
      </c>
      <c r="BN306" s="27" t="s">
        <v>7</v>
      </c>
      <c r="BP306" s="27" t="s">
        <v>7</v>
      </c>
      <c r="BQ306" s="27" t="s">
        <v>8</v>
      </c>
      <c r="BR306" s="27" t="s">
        <v>7</v>
      </c>
      <c r="BS306" s="27" t="s">
        <v>8</v>
      </c>
      <c r="BT306" s="27" t="s">
        <v>7</v>
      </c>
      <c r="BU306" s="27" t="s">
        <v>8</v>
      </c>
      <c r="BV306" s="27" t="s">
        <v>7</v>
      </c>
      <c r="BY306" s="27" t="s">
        <v>8</v>
      </c>
      <c r="BZ306" s="27" t="s">
        <v>7</v>
      </c>
      <c r="CE306" s="27" t="s">
        <v>8</v>
      </c>
      <c r="CF306" s="27" t="s">
        <v>7</v>
      </c>
      <c r="CG306" s="27" t="s">
        <v>8</v>
      </c>
      <c r="CH306" s="27" t="s">
        <v>7</v>
      </c>
      <c r="CI306" s="27" t="s">
        <v>8</v>
      </c>
      <c r="CL306" s="27" t="s">
        <v>7</v>
      </c>
      <c r="CM306" s="27" t="s">
        <v>8</v>
      </c>
      <c r="CZ306" s="27" t="s">
        <v>7</v>
      </c>
      <c r="DA306" s="27" t="s">
        <v>8</v>
      </c>
      <c r="DB306" s="27" t="s">
        <v>7</v>
      </c>
      <c r="EU306" s="27" t="s">
        <v>8</v>
      </c>
      <c r="EV306" s="27" t="s">
        <v>7</v>
      </c>
      <c r="EW306" s="27" t="s">
        <v>8</v>
      </c>
      <c r="EZ306" s="27" t="s">
        <v>7</v>
      </c>
      <c r="FA306" s="27" t="s">
        <v>8</v>
      </c>
    </row>
    <row r="307" spans="1:157" x14ac:dyDescent="0.25">
      <c r="A307" s="7">
        <v>255.88692378385809</v>
      </c>
      <c r="B307"/>
      <c r="C307"/>
      <c r="D307"/>
      <c r="E307"/>
      <c r="M307" s="27" t="s">
        <v>8</v>
      </c>
      <c r="N307" s="27" t="s">
        <v>7</v>
      </c>
      <c r="O307" s="27" t="s">
        <v>8</v>
      </c>
      <c r="P307" s="27" t="s">
        <v>7</v>
      </c>
      <c r="S307" s="27" t="s">
        <v>8</v>
      </c>
      <c r="AD307" s="27" t="s">
        <v>7</v>
      </c>
      <c r="AE307" s="27" t="s">
        <v>8</v>
      </c>
      <c r="AF307" s="27" t="s">
        <v>7</v>
      </c>
      <c r="AG307" s="27" t="s">
        <v>8</v>
      </c>
      <c r="AH307" s="27" t="s">
        <v>7</v>
      </c>
      <c r="AI307" s="27" t="s">
        <v>8</v>
      </c>
      <c r="AL307" s="27" t="s">
        <v>7</v>
      </c>
      <c r="AM307" s="27" t="s">
        <v>8</v>
      </c>
      <c r="AP307" s="27" t="s">
        <v>7</v>
      </c>
      <c r="BF307" s="27" t="s">
        <v>7</v>
      </c>
      <c r="BG307" s="27" t="s">
        <v>8</v>
      </c>
      <c r="BH307" s="27" t="s">
        <v>7</v>
      </c>
      <c r="BI307" s="27" t="s">
        <v>8</v>
      </c>
      <c r="BJ307" s="27" t="s">
        <v>7</v>
      </c>
      <c r="BK307" s="27" t="s">
        <v>8</v>
      </c>
      <c r="BP307" s="27" t="s">
        <v>7</v>
      </c>
      <c r="BQ307" s="27" t="s">
        <v>8</v>
      </c>
      <c r="BR307" s="27" t="s">
        <v>7</v>
      </c>
      <c r="BS307" s="27" t="s">
        <v>8</v>
      </c>
      <c r="BT307" s="27" t="s">
        <v>7</v>
      </c>
      <c r="BU307" s="27" t="s">
        <v>8</v>
      </c>
      <c r="BV307" s="27" t="s">
        <v>7</v>
      </c>
      <c r="BY307" s="27" t="s">
        <v>8</v>
      </c>
      <c r="BZ307" s="27" t="s">
        <v>7</v>
      </c>
      <c r="CE307" s="27" t="s">
        <v>8</v>
      </c>
      <c r="CF307" s="27" t="s">
        <v>7</v>
      </c>
      <c r="CG307" s="27" t="s">
        <v>8</v>
      </c>
      <c r="CH307" s="27" t="s">
        <v>7</v>
      </c>
      <c r="CI307" s="27" t="s">
        <v>8</v>
      </c>
      <c r="CL307" s="27" t="s">
        <v>7</v>
      </c>
      <c r="CM307" s="27" t="s">
        <v>8</v>
      </c>
      <c r="CZ307" s="27" t="s">
        <v>7</v>
      </c>
      <c r="DA307" s="27" t="s">
        <v>8</v>
      </c>
      <c r="DB307" s="27" t="s">
        <v>7</v>
      </c>
      <c r="EU307" s="27" t="s">
        <v>8</v>
      </c>
      <c r="EV307" s="27" t="s">
        <v>7</v>
      </c>
      <c r="EW307" s="27" t="s">
        <v>8</v>
      </c>
      <c r="EZ307" s="27" t="s">
        <v>7</v>
      </c>
      <c r="FA307" s="27" t="s">
        <v>8</v>
      </c>
    </row>
    <row r="308" spans="1:157" x14ac:dyDescent="0.25">
      <c r="A308" s="7">
        <v>250.8695331214295</v>
      </c>
      <c r="B308"/>
      <c r="C308"/>
      <c r="D308"/>
      <c r="E308"/>
      <c r="M308" s="27" t="s">
        <v>8</v>
      </c>
      <c r="N308" s="27" t="s">
        <v>7</v>
      </c>
      <c r="O308" s="27" t="s">
        <v>8</v>
      </c>
      <c r="P308" s="27" t="s">
        <v>7</v>
      </c>
      <c r="S308" s="27" t="s">
        <v>8</v>
      </c>
      <c r="AD308" s="27" t="s">
        <v>7</v>
      </c>
      <c r="AE308" s="27" t="s">
        <v>8</v>
      </c>
      <c r="AF308" s="27" t="s">
        <v>7</v>
      </c>
      <c r="AG308" s="27" t="s">
        <v>8</v>
      </c>
      <c r="AH308" s="27" t="s">
        <v>7</v>
      </c>
      <c r="AL308" s="27" t="s">
        <v>7</v>
      </c>
      <c r="AM308" s="27" t="s">
        <v>8</v>
      </c>
      <c r="BF308" s="27" t="s">
        <v>7</v>
      </c>
      <c r="BG308" s="27" t="s">
        <v>8</v>
      </c>
      <c r="BH308" s="27" t="s">
        <v>7</v>
      </c>
      <c r="BI308" s="27" t="s">
        <v>8</v>
      </c>
      <c r="BJ308" s="27" t="s">
        <v>7</v>
      </c>
      <c r="BK308" s="27" t="s">
        <v>8</v>
      </c>
      <c r="BP308" s="27" t="s">
        <v>7</v>
      </c>
      <c r="BQ308" s="27" t="s">
        <v>8</v>
      </c>
      <c r="BR308" s="27" t="s">
        <v>7</v>
      </c>
      <c r="BT308" s="27" t="s">
        <v>7</v>
      </c>
      <c r="BU308" s="27" t="s">
        <v>8</v>
      </c>
      <c r="BV308" s="27" t="s">
        <v>7</v>
      </c>
      <c r="BY308" s="27" t="s">
        <v>8</v>
      </c>
      <c r="BZ308" s="27" t="s">
        <v>7</v>
      </c>
      <c r="CE308" s="27" t="s">
        <v>8</v>
      </c>
      <c r="CF308" s="27" t="s">
        <v>7</v>
      </c>
      <c r="CG308" s="27" t="s">
        <v>8</v>
      </c>
      <c r="CH308" s="27" t="s">
        <v>7</v>
      </c>
      <c r="CI308" s="27" t="s">
        <v>8</v>
      </c>
      <c r="CL308" s="27" t="s">
        <v>7</v>
      </c>
      <c r="CM308" s="27" t="s">
        <v>8</v>
      </c>
      <c r="CZ308" s="27" t="s">
        <v>7</v>
      </c>
      <c r="DB308" s="27" t="s">
        <v>7</v>
      </c>
      <c r="EU308" s="27" t="s">
        <v>8</v>
      </c>
      <c r="EV308" s="27" t="s">
        <v>7</v>
      </c>
      <c r="EW308" s="27" t="s">
        <v>8</v>
      </c>
      <c r="EZ308" s="27" t="s">
        <v>7</v>
      </c>
    </row>
    <row r="309" spans="1:157" x14ac:dyDescent="0.25">
      <c r="A309" s="7">
        <v>245.95052266806812</v>
      </c>
      <c r="B309"/>
      <c r="C309"/>
      <c r="D309"/>
      <c r="E309"/>
      <c r="M309" s="27" t="s">
        <v>8</v>
      </c>
      <c r="N309" s="27" t="s">
        <v>7</v>
      </c>
      <c r="O309" s="27" t="s">
        <v>8</v>
      </c>
      <c r="P309" s="27" t="s">
        <v>7</v>
      </c>
      <c r="S309" s="27" t="s">
        <v>8</v>
      </c>
      <c r="AD309" s="27" t="s">
        <v>7</v>
      </c>
      <c r="AE309" s="27" t="s">
        <v>8</v>
      </c>
      <c r="AF309" s="27" t="s">
        <v>7</v>
      </c>
      <c r="AG309" s="27" t="s">
        <v>8</v>
      </c>
      <c r="AL309" s="27" t="s">
        <v>7</v>
      </c>
      <c r="AM309" s="27" t="s">
        <v>8</v>
      </c>
      <c r="BF309" s="27" t="s">
        <v>7</v>
      </c>
      <c r="BG309" s="27" t="s">
        <v>8</v>
      </c>
      <c r="BH309" s="27" t="s">
        <v>7</v>
      </c>
      <c r="BJ309" s="27" t="s">
        <v>7</v>
      </c>
      <c r="BK309" s="27" t="s">
        <v>8</v>
      </c>
      <c r="BP309" s="27" t="s">
        <v>7</v>
      </c>
      <c r="BQ309" s="27" t="s">
        <v>8</v>
      </c>
      <c r="BT309" s="27" t="s">
        <v>7</v>
      </c>
      <c r="BU309" s="27" t="s">
        <v>8</v>
      </c>
      <c r="BV309" s="27" t="s">
        <v>7</v>
      </c>
      <c r="BY309" s="27" t="s">
        <v>8</v>
      </c>
      <c r="BZ309" s="27" t="s">
        <v>7</v>
      </c>
      <c r="CA309" s="27" t="s">
        <v>8</v>
      </c>
      <c r="CE309" s="27" t="s">
        <v>8</v>
      </c>
      <c r="CF309" s="27" t="s">
        <v>7</v>
      </c>
      <c r="CH309" s="27" t="s">
        <v>7</v>
      </c>
      <c r="CI309" s="27" t="s">
        <v>8</v>
      </c>
      <c r="CL309" s="27" t="s">
        <v>7</v>
      </c>
      <c r="CM309" s="27" t="s">
        <v>8</v>
      </c>
      <c r="DB309" s="27" t="s">
        <v>7</v>
      </c>
      <c r="EU309" s="27" t="s">
        <v>8</v>
      </c>
      <c r="EV309" s="27" t="s">
        <v>7</v>
      </c>
      <c r="EW309" s="27" t="s">
        <v>8</v>
      </c>
    </row>
    <row r="310" spans="1:157" x14ac:dyDescent="0.25">
      <c r="A310" s="7">
        <v>241.12796340006679</v>
      </c>
      <c r="B310"/>
      <c r="C310"/>
      <c r="D310"/>
      <c r="E310"/>
      <c r="M310" s="27" t="s">
        <v>8</v>
      </c>
      <c r="N310" s="27" t="s">
        <v>7</v>
      </c>
      <c r="O310" s="27" t="s">
        <v>8</v>
      </c>
      <c r="P310" s="27" t="s">
        <v>7</v>
      </c>
      <c r="S310" s="27" t="s">
        <v>8</v>
      </c>
      <c r="AD310" s="27" t="s">
        <v>7</v>
      </c>
      <c r="AE310" s="27" t="s">
        <v>8</v>
      </c>
      <c r="AF310" s="27" t="s">
        <v>7</v>
      </c>
      <c r="AG310" s="27" t="s">
        <v>8</v>
      </c>
      <c r="AL310" s="27" t="s">
        <v>7</v>
      </c>
      <c r="AM310" s="27" t="s">
        <v>8</v>
      </c>
      <c r="BF310" s="27" t="s">
        <v>7</v>
      </c>
      <c r="BG310" s="27" t="s">
        <v>8</v>
      </c>
      <c r="BJ310" s="27" t="s">
        <v>7</v>
      </c>
      <c r="BK310" s="27" t="s">
        <v>8</v>
      </c>
      <c r="BP310" s="27" t="s">
        <v>7</v>
      </c>
      <c r="BT310" s="27" t="s">
        <v>7</v>
      </c>
      <c r="BU310" s="27" t="s">
        <v>8</v>
      </c>
      <c r="BV310" s="27" t="s">
        <v>7</v>
      </c>
      <c r="BW310" s="27" t="s">
        <v>8</v>
      </c>
      <c r="BY310" s="27" t="s">
        <v>8</v>
      </c>
      <c r="BZ310" s="27" t="s">
        <v>7</v>
      </c>
      <c r="CA310" s="27" t="s">
        <v>8</v>
      </c>
      <c r="CB310" s="27" t="s">
        <v>7</v>
      </c>
      <c r="CC310" s="27" t="s">
        <v>8</v>
      </c>
      <c r="CE310" s="27" t="s">
        <v>8</v>
      </c>
      <c r="CH310" s="27" t="s">
        <v>7</v>
      </c>
      <c r="CI310" s="27" t="s">
        <v>8</v>
      </c>
      <c r="CL310" s="27" t="s">
        <v>7</v>
      </c>
      <c r="CM310" s="27" t="s">
        <v>8</v>
      </c>
      <c r="DB310" s="27" t="s">
        <v>7</v>
      </c>
      <c r="EU310" s="27" t="s">
        <v>8</v>
      </c>
      <c r="EV310" s="27" t="s">
        <v>7</v>
      </c>
      <c r="EW310" s="27" t="s">
        <v>8</v>
      </c>
    </row>
    <row r="311" spans="1:157" x14ac:dyDescent="0.25">
      <c r="A311" s="7">
        <v>236.39996411771253</v>
      </c>
      <c r="B311"/>
      <c r="C311"/>
      <c r="D311"/>
      <c r="E311"/>
      <c r="M311" s="27" t="s">
        <v>8</v>
      </c>
      <c r="N311" s="27" t="s">
        <v>7</v>
      </c>
      <c r="O311" s="27" t="s">
        <v>8</v>
      </c>
      <c r="P311" s="27" t="s">
        <v>7</v>
      </c>
      <c r="S311" s="27" t="s">
        <v>8</v>
      </c>
      <c r="AD311" s="27" t="s">
        <v>7</v>
      </c>
      <c r="AE311" s="27" t="s">
        <v>8</v>
      </c>
      <c r="AF311" s="27" t="s">
        <v>7</v>
      </c>
      <c r="AG311" s="27" t="s">
        <v>8</v>
      </c>
      <c r="AL311" s="27" t="s">
        <v>7</v>
      </c>
      <c r="AM311" s="27" t="s">
        <v>8</v>
      </c>
      <c r="BF311" s="27" t="s">
        <v>7</v>
      </c>
      <c r="BG311" s="27" t="s">
        <v>8</v>
      </c>
      <c r="BJ311" s="27" t="s">
        <v>7</v>
      </c>
      <c r="BK311" s="27" t="s">
        <v>8</v>
      </c>
      <c r="BT311" s="27" t="s">
        <v>7</v>
      </c>
      <c r="BU311" s="27" t="s">
        <v>8</v>
      </c>
      <c r="BV311" s="27" t="s">
        <v>7</v>
      </c>
      <c r="BW311" s="27" t="s">
        <v>8</v>
      </c>
      <c r="BX311" s="27" t="s">
        <v>7</v>
      </c>
      <c r="BY311" s="27" t="s">
        <v>8</v>
      </c>
      <c r="BZ311" s="27" t="s">
        <v>7</v>
      </c>
      <c r="CA311" s="27" t="s">
        <v>8</v>
      </c>
      <c r="CB311" s="27" t="s">
        <v>7</v>
      </c>
      <c r="CC311" s="27" t="s">
        <v>8</v>
      </c>
      <c r="CD311" s="27" t="s">
        <v>7</v>
      </c>
      <c r="CE311" s="27" t="s">
        <v>8</v>
      </c>
      <c r="CH311" s="27" t="s">
        <v>7</v>
      </c>
      <c r="CI311" s="27" t="s">
        <v>8</v>
      </c>
      <c r="CL311" s="27" t="s">
        <v>7</v>
      </c>
      <c r="CM311" s="27" t="s">
        <v>8</v>
      </c>
      <c r="DB311" s="27" t="s">
        <v>7</v>
      </c>
      <c r="EI311" s="27" t="s">
        <v>8</v>
      </c>
      <c r="ES311" s="27" t="s">
        <v>8</v>
      </c>
      <c r="EU311" s="27" t="s">
        <v>8</v>
      </c>
      <c r="EV311" s="27" t="s">
        <v>7</v>
      </c>
    </row>
    <row r="312" spans="1:157" x14ac:dyDescent="0.25">
      <c r="A312" s="7">
        <v>231.76467070363972</v>
      </c>
      <c r="B312"/>
      <c r="C312"/>
      <c r="D312"/>
      <c r="E312"/>
      <c r="M312" s="27" t="s">
        <v>8</v>
      </c>
      <c r="N312" s="27" t="s">
        <v>7</v>
      </c>
      <c r="O312" s="27" t="s">
        <v>8</v>
      </c>
      <c r="P312" s="27" t="s">
        <v>7</v>
      </c>
      <c r="S312" s="27" t="s">
        <v>8</v>
      </c>
      <c r="AD312" s="27" t="s">
        <v>7</v>
      </c>
      <c r="AE312" s="27" t="s">
        <v>8</v>
      </c>
      <c r="AF312" s="27" t="s">
        <v>7</v>
      </c>
      <c r="AG312" s="27" t="s">
        <v>8</v>
      </c>
      <c r="AL312" s="27" t="s">
        <v>7</v>
      </c>
      <c r="AM312" s="27" t="s">
        <v>8</v>
      </c>
      <c r="BF312" s="27" t="s">
        <v>7</v>
      </c>
      <c r="BG312" s="27" t="s">
        <v>8</v>
      </c>
      <c r="BJ312" s="27" t="s">
        <v>7</v>
      </c>
      <c r="BK312" s="27" t="s">
        <v>8</v>
      </c>
      <c r="BT312" s="27" t="s">
        <v>7</v>
      </c>
      <c r="BV312" s="27" t="s">
        <v>7</v>
      </c>
      <c r="BW312" s="27" t="s">
        <v>8</v>
      </c>
      <c r="BX312" s="27" t="s">
        <v>7</v>
      </c>
      <c r="BY312" s="27" t="s">
        <v>8</v>
      </c>
      <c r="BZ312" s="27" t="s">
        <v>7</v>
      </c>
      <c r="CA312" s="27" t="s">
        <v>8</v>
      </c>
      <c r="CB312" s="27" t="s">
        <v>7</v>
      </c>
      <c r="CC312" s="27" t="s">
        <v>8</v>
      </c>
      <c r="CD312" s="27" t="s">
        <v>7</v>
      </c>
      <c r="CE312" s="27" t="s">
        <v>8</v>
      </c>
      <c r="CH312" s="27" t="s">
        <v>7</v>
      </c>
      <c r="CI312" s="27" t="s">
        <v>8</v>
      </c>
      <c r="CL312" s="27" t="s">
        <v>7</v>
      </c>
      <c r="CM312" s="27" t="s">
        <v>8</v>
      </c>
      <c r="DB312" s="27" t="s">
        <v>7</v>
      </c>
      <c r="EI312" s="27" t="s">
        <v>8</v>
      </c>
      <c r="EJ312" s="27" t="s">
        <v>7</v>
      </c>
      <c r="EQ312" s="27" t="s">
        <v>8</v>
      </c>
      <c r="ES312" s="27" t="s">
        <v>8</v>
      </c>
      <c r="ET312" s="27" t="s">
        <v>7</v>
      </c>
      <c r="EU312" s="27" t="s">
        <v>8</v>
      </c>
    </row>
    <row r="313" spans="1:157" x14ac:dyDescent="0.25">
      <c r="A313" s="7">
        <v>227.22026539572522</v>
      </c>
      <c r="B313"/>
      <c r="C313"/>
      <c r="D313"/>
      <c r="E313"/>
      <c r="M313" s="27" t="s">
        <v>8</v>
      </c>
      <c r="N313" s="27" t="s">
        <v>7</v>
      </c>
      <c r="O313" s="27" t="s">
        <v>8</v>
      </c>
      <c r="P313" s="27" t="s">
        <v>7</v>
      </c>
      <c r="S313" s="27" t="s">
        <v>8</v>
      </c>
      <c r="AD313" s="27" t="s">
        <v>7</v>
      </c>
      <c r="AF313" s="27" t="s">
        <v>7</v>
      </c>
      <c r="AG313" s="27" t="s">
        <v>8</v>
      </c>
      <c r="AL313" s="27" t="s">
        <v>7</v>
      </c>
      <c r="AM313" s="27" t="s">
        <v>8</v>
      </c>
      <c r="BF313" s="27" t="s">
        <v>7</v>
      </c>
      <c r="BJ313" s="27" t="s">
        <v>7</v>
      </c>
      <c r="BK313" s="27" t="s">
        <v>8</v>
      </c>
      <c r="BV313" s="27" t="s">
        <v>7</v>
      </c>
      <c r="BW313" s="27" t="s">
        <v>8</v>
      </c>
      <c r="BX313" s="27" t="s">
        <v>7</v>
      </c>
      <c r="BZ313" s="27" t="s">
        <v>7</v>
      </c>
      <c r="CA313" s="27" t="s">
        <v>8</v>
      </c>
      <c r="CB313" s="27" t="s">
        <v>7</v>
      </c>
      <c r="CC313" s="27" t="s">
        <v>8</v>
      </c>
      <c r="CD313" s="27" t="s">
        <v>7</v>
      </c>
      <c r="CE313" s="27" t="s">
        <v>8</v>
      </c>
      <c r="CH313" s="27" t="s">
        <v>7</v>
      </c>
      <c r="CI313" s="27" t="s">
        <v>8</v>
      </c>
      <c r="CL313" s="27" t="s">
        <v>7</v>
      </c>
      <c r="DB313" s="27" t="s">
        <v>7</v>
      </c>
      <c r="DC313" s="27" t="s">
        <v>8</v>
      </c>
      <c r="EI313" s="27" t="s">
        <v>8</v>
      </c>
      <c r="EJ313" s="27" t="s">
        <v>7</v>
      </c>
      <c r="EQ313" s="27" t="s">
        <v>8</v>
      </c>
      <c r="ER313" s="27" t="s">
        <v>7</v>
      </c>
      <c r="ES313" s="27" t="s">
        <v>8</v>
      </c>
      <c r="ET313" s="27" t="s">
        <v>7</v>
      </c>
      <c r="EU313" s="27" t="s">
        <v>8</v>
      </c>
    </row>
    <row r="314" spans="1:157" x14ac:dyDescent="0.25">
      <c r="A314" s="7">
        <v>222.76496607424042</v>
      </c>
      <c r="B314"/>
      <c r="C314"/>
      <c r="D314"/>
      <c r="E314"/>
      <c r="M314" s="27" t="s">
        <v>8</v>
      </c>
      <c r="N314" s="27" t="s">
        <v>7</v>
      </c>
      <c r="O314" s="27" t="s">
        <v>8</v>
      </c>
      <c r="P314" s="27" t="s">
        <v>7</v>
      </c>
      <c r="S314" s="27" t="s">
        <v>8</v>
      </c>
      <c r="AF314" s="27" t="s">
        <v>7</v>
      </c>
      <c r="AG314" s="27" t="s">
        <v>8</v>
      </c>
      <c r="AL314" s="27" t="s">
        <v>7</v>
      </c>
      <c r="AM314" s="27" t="s">
        <v>8</v>
      </c>
      <c r="BJ314" s="27" t="s">
        <v>7</v>
      </c>
      <c r="BV314" s="27" t="s">
        <v>7</v>
      </c>
      <c r="BW314" s="27" t="s">
        <v>8</v>
      </c>
      <c r="BZ314" s="27" t="s">
        <v>7</v>
      </c>
      <c r="CB314" s="27" t="s">
        <v>7</v>
      </c>
      <c r="CD314" s="27" t="s">
        <v>7</v>
      </c>
      <c r="CE314" s="27" t="s">
        <v>8</v>
      </c>
      <c r="CH314" s="27" t="s">
        <v>7</v>
      </c>
      <c r="CI314" s="27" t="s">
        <v>8</v>
      </c>
      <c r="DB314" s="27" t="s">
        <v>7</v>
      </c>
      <c r="DC314" s="27" t="s">
        <v>8</v>
      </c>
      <c r="DD314" s="27" t="s">
        <v>7</v>
      </c>
      <c r="EI314" s="27" t="s">
        <v>8</v>
      </c>
      <c r="EJ314" s="27" t="s">
        <v>7</v>
      </c>
      <c r="EQ314" s="27" t="s">
        <v>8</v>
      </c>
      <c r="ER314" s="27" t="s">
        <v>7</v>
      </c>
      <c r="ES314" s="27" t="s">
        <v>8</v>
      </c>
      <c r="ET314" s="27" t="s">
        <v>7</v>
      </c>
      <c r="EU314" s="27" t="s">
        <v>8</v>
      </c>
    </row>
    <row r="315" spans="1:157" x14ac:dyDescent="0.25">
      <c r="A315" s="7">
        <v>218.39702556298079</v>
      </c>
      <c r="B315"/>
      <c r="C315"/>
      <c r="D315"/>
      <c r="E315"/>
      <c r="M315" s="27" t="s">
        <v>8</v>
      </c>
      <c r="N315" s="27" t="s">
        <v>7</v>
      </c>
      <c r="O315" s="27" t="s">
        <v>8</v>
      </c>
      <c r="P315" s="27" t="s">
        <v>7</v>
      </c>
      <c r="Q315" s="27" t="s">
        <v>8</v>
      </c>
      <c r="S315" s="27" t="s">
        <v>8</v>
      </c>
      <c r="AF315" s="27" t="s">
        <v>7</v>
      </c>
      <c r="AG315" s="27" t="s">
        <v>8</v>
      </c>
      <c r="AL315" s="27" t="s">
        <v>7</v>
      </c>
      <c r="BV315" s="27" t="s">
        <v>7</v>
      </c>
      <c r="BW315" s="27" t="s">
        <v>8</v>
      </c>
      <c r="CD315" s="27" t="s">
        <v>7</v>
      </c>
      <c r="CH315" s="27" t="s">
        <v>7</v>
      </c>
      <c r="CI315" s="27" t="s">
        <v>8</v>
      </c>
      <c r="DB315" s="27" t="s">
        <v>7</v>
      </c>
      <c r="DC315" s="27" t="s">
        <v>8</v>
      </c>
      <c r="DD315" s="27" t="s">
        <v>7</v>
      </c>
      <c r="EI315" s="27" t="s">
        <v>8</v>
      </c>
      <c r="EJ315" s="27" t="s">
        <v>7</v>
      </c>
      <c r="EQ315" s="27" t="s">
        <v>8</v>
      </c>
      <c r="ER315" s="27" t="s">
        <v>7</v>
      </c>
      <c r="ES315" s="27" t="s">
        <v>8</v>
      </c>
      <c r="ET315" s="27" t="s">
        <v>7</v>
      </c>
      <c r="EU315" s="27" t="s">
        <v>8</v>
      </c>
    </row>
    <row r="316" spans="1:157" x14ac:dyDescent="0.25">
      <c r="A316" s="7">
        <v>214.1147309440988</v>
      </c>
      <c r="B316"/>
      <c r="C316"/>
      <c r="D316"/>
      <c r="E316"/>
      <c r="M316" s="27" t="s">
        <v>8</v>
      </c>
      <c r="N316" s="27" t="s">
        <v>7</v>
      </c>
      <c r="O316" s="27" t="s">
        <v>8</v>
      </c>
      <c r="P316" s="27" t="s">
        <v>7</v>
      </c>
      <c r="Q316" s="27" t="s">
        <v>8</v>
      </c>
      <c r="R316" s="27" t="s">
        <v>7</v>
      </c>
      <c r="S316" s="27" t="s">
        <v>8</v>
      </c>
      <c r="AF316" s="27" t="s">
        <v>7</v>
      </c>
      <c r="AG316" s="27" t="s">
        <v>8</v>
      </c>
      <c r="BV316" s="27" t="s">
        <v>7</v>
      </c>
      <c r="BW316" s="27" t="s">
        <v>8</v>
      </c>
      <c r="CH316" s="27" t="s">
        <v>7</v>
      </c>
      <c r="CI316" s="27" t="s">
        <v>8</v>
      </c>
      <c r="DB316" s="27" t="s">
        <v>7</v>
      </c>
      <c r="DC316" s="27" t="s">
        <v>8</v>
      </c>
      <c r="DD316" s="27" t="s">
        <v>7</v>
      </c>
      <c r="EI316" s="27" t="s">
        <v>8</v>
      </c>
      <c r="EJ316" s="27" t="s">
        <v>7</v>
      </c>
      <c r="EQ316" s="27" t="s">
        <v>8</v>
      </c>
      <c r="ER316" s="27" t="s">
        <v>7</v>
      </c>
      <c r="ES316" s="27" t="s">
        <v>8</v>
      </c>
      <c r="ET316" s="27" t="s">
        <v>7</v>
      </c>
      <c r="EU316" s="27" t="s">
        <v>8</v>
      </c>
    </row>
    <row r="317" spans="1:157" x14ac:dyDescent="0.25">
      <c r="A317" s="7">
        <v>209.91640288637137</v>
      </c>
      <c r="B317"/>
      <c r="C317"/>
      <c r="D317"/>
      <c r="E317"/>
      <c r="M317" s="27" t="s">
        <v>8</v>
      </c>
      <c r="N317" s="27" t="s">
        <v>7</v>
      </c>
      <c r="O317" s="27" t="s">
        <v>8</v>
      </c>
      <c r="P317" s="27" t="s">
        <v>7</v>
      </c>
      <c r="Q317" s="27" t="s">
        <v>8</v>
      </c>
      <c r="R317" s="27" t="s">
        <v>7</v>
      </c>
      <c r="S317" s="27" t="s">
        <v>8</v>
      </c>
      <c r="AF317" s="27" t="s">
        <v>7</v>
      </c>
      <c r="AG317" s="27" t="s">
        <v>8</v>
      </c>
      <c r="BV317" s="27" t="s">
        <v>7</v>
      </c>
      <c r="CH317" s="27" t="s">
        <v>7</v>
      </c>
      <c r="CI317" s="27" t="s">
        <v>8</v>
      </c>
      <c r="DB317" s="27" t="s">
        <v>7</v>
      </c>
      <c r="DC317" s="27" t="s">
        <v>8</v>
      </c>
      <c r="DD317" s="27" t="s">
        <v>7</v>
      </c>
      <c r="EI317" s="27" t="s">
        <v>8</v>
      </c>
      <c r="EJ317" s="27" t="s">
        <v>7</v>
      </c>
      <c r="EQ317" s="27" t="s">
        <v>8</v>
      </c>
      <c r="ER317" s="27" t="s">
        <v>7</v>
      </c>
      <c r="ES317" s="27" t="s">
        <v>8</v>
      </c>
      <c r="ET317" s="27" t="s">
        <v>7</v>
      </c>
      <c r="EU317" s="27" t="s">
        <v>8</v>
      </c>
    </row>
    <row r="318" spans="1:157" x14ac:dyDescent="0.25">
      <c r="A318" s="7">
        <v>205.80039498663859</v>
      </c>
      <c r="B318"/>
      <c r="C318"/>
      <c r="D318"/>
      <c r="E318"/>
      <c r="M318" s="27" t="s">
        <v>8</v>
      </c>
      <c r="N318" s="27" t="s">
        <v>7</v>
      </c>
      <c r="O318" s="27" t="s">
        <v>8</v>
      </c>
      <c r="P318" s="27" t="s">
        <v>7</v>
      </c>
      <c r="Q318" s="27" t="s">
        <v>8</v>
      </c>
      <c r="R318" s="27" t="s">
        <v>7</v>
      </c>
      <c r="S318" s="27" t="s">
        <v>8</v>
      </c>
      <c r="AF318" s="27" t="s">
        <v>7</v>
      </c>
      <c r="AG318" s="27" t="s">
        <v>8</v>
      </c>
      <c r="CH318" s="27" t="s">
        <v>7</v>
      </c>
      <c r="CI318" s="27" t="s">
        <v>8</v>
      </c>
      <c r="DB318" s="27" t="s">
        <v>7</v>
      </c>
      <c r="DC318" s="27" t="s">
        <v>8</v>
      </c>
      <c r="DD318" s="27" t="s">
        <v>7</v>
      </c>
      <c r="EI318" s="27" t="s">
        <v>8</v>
      </c>
      <c r="EJ318" s="27" t="s">
        <v>7</v>
      </c>
      <c r="EQ318" s="27" t="s">
        <v>8</v>
      </c>
      <c r="ER318" s="27" t="s">
        <v>7</v>
      </c>
      <c r="ES318" s="27" t="s">
        <v>8</v>
      </c>
      <c r="ET318" s="27" t="s">
        <v>7</v>
      </c>
      <c r="EU318" s="27" t="s">
        <v>8</v>
      </c>
    </row>
    <row r="319" spans="1:157" x14ac:dyDescent="0.25">
      <c r="A319" s="7">
        <v>201.76509312415547</v>
      </c>
      <c r="B319"/>
      <c r="C319"/>
      <c r="D319"/>
      <c r="E319"/>
      <c r="M319" s="27" t="s">
        <v>8</v>
      </c>
      <c r="N319" s="27" t="s">
        <v>7</v>
      </c>
      <c r="O319" s="27" t="s">
        <v>8</v>
      </c>
      <c r="P319" s="27" t="s">
        <v>7</v>
      </c>
      <c r="Q319" s="27" t="s">
        <v>8</v>
      </c>
      <c r="R319" s="27" t="s">
        <v>7</v>
      </c>
      <c r="S319" s="27" t="s">
        <v>8</v>
      </c>
      <c r="AF319" s="27" t="s">
        <v>7</v>
      </c>
      <c r="AG319" s="27" t="s">
        <v>8</v>
      </c>
      <c r="CH319" s="27" t="s">
        <v>7</v>
      </c>
      <c r="CI319" s="27" t="s">
        <v>8</v>
      </c>
      <c r="DB319" s="27" t="s">
        <v>7</v>
      </c>
      <c r="DC319" s="27" t="s">
        <v>8</v>
      </c>
      <c r="DD319" s="27" t="s">
        <v>7</v>
      </c>
      <c r="EI319" s="27" t="s">
        <v>8</v>
      </c>
      <c r="EJ319" s="27" t="s">
        <v>7</v>
      </c>
      <c r="EQ319" s="27" t="s">
        <v>8</v>
      </c>
      <c r="ER319" s="27" t="s">
        <v>7</v>
      </c>
      <c r="ES319" s="27" t="s">
        <v>8</v>
      </c>
      <c r="ET319" s="27" t="s">
        <v>7</v>
      </c>
      <c r="EU319" s="27" t="s">
        <v>8</v>
      </c>
    </row>
    <row r="320" spans="1:157" x14ac:dyDescent="0.25">
      <c r="A320" s="7">
        <v>197.80891482760339</v>
      </c>
      <c r="B320"/>
      <c r="C320"/>
      <c r="D320"/>
      <c r="E320"/>
      <c r="M320" s="27" t="s">
        <v>8</v>
      </c>
      <c r="N320" s="27" t="s">
        <v>7</v>
      </c>
      <c r="O320" s="27" t="s">
        <v>8</v>
      </c>
      <c r="P320" s="27" t="s">
        <v>7</v>
      </c>
      <c r="Q320" s="27" t="s">
        <v>8</v>
      </c>
      <c r="R320" s="27" t="s">
        <v>7</v>
      </c>
      <c r="S320" s="27" t="s">
        <v>8</v>
      </c>
      <c r="AF320" s="27" t="s">
        <v>7</v>
      </c>
      <c r="AG320" s="27" t="s">
        <v>8</v>
      </c>
      <c r="CH320" s="27" t="s">
        <v>7</v>
      </c>
      <c r="DB320" s="27" t="s">
        <v>7</v>
      </c>
      <c r="DC320" s="27" t="s">
        <v>8</v>
      </c>
      <c r="DD320" s="27" t="s">
        <v>7</v>
      </c>
      <c r="EI320" s="27" t="s">
        <v>8</v>
      </c>
      <c r="EJ320" s="27" t="s">
        <v>7</v>
      </c>
      <c r="EQ320" s="27" t="s">
        <v>8</v>
      </c>
      <c r="ER320" s="27" t="s">
        <v>7</v>
      </c>
      <c r="ES320" s="27" t="s">
        <v>8</v>
      </c>
      <c r="ET320" s="27" t="s">
        <v>7</v>
      </c>
      <c r="EU320" s="27" t="s">
        <v>8</v>
      </c>
    </row>
    <row r="321" spans="1:151" x14ac:dyDescent="0.25">
      <c r="A321" s="7">
        <v>193.93030865451311</v>
      </c>
      <c r="B321"/>
      <c r="C321"/>
      <c r="D321"/>
      <c r="E321"/>
      <c r="G321" s="27" t="s">
        <v>8</v>
      </c>
      <c r="M321" s="27" t="s">
        <v>8</v>
      </c>
      <c r="N321" s="27" t="s">
        <v>7</v>
      </c>
      <c r="O321" s="27" t="s">
        <v>8</v>
      </c>
      <c r="P321" s="27" t="s">
        <v>7</v>
      </c>
      <c r="Q321" s="27" t="s">
        <v>8</v>
      </c>
      <c r="R321" s="27" t="s">
        <v>7</v>
      </c>
      <c r="S321" s="27" t="s">
        <v>8</v>
      </c>
      <c r="AF321" s="27" t="s">
        <v>7</v>
      </c>
      <c r="DB321" s="27" t="s">
        <v>7</v>
      </c>
      <c r="DC321" s="27" t="s">
        <v>8</v>
      </c>
      <c r="DD321" s="27" t="s">
        <v>7</v>
      </c>
      <c r="DG321" s="27" t="s">
        <v>8</v>
      </c>
      <c r="EI321" s="27" t="s">
        <v>8</v>
      </c>
      <c r="EJ321" s="27" t="s">
        <v>7</v>
      </c>
      <c r="EQ321" s="27" t="s">
        <v>8</v>
      </c>
      <c r="ER321" s="27" t="s">
        <v>7</v>
      </c>
      <c r="ES321" s="27" t="s">
        <v>8</v>
      </c>
      <c r="ET321" s="27" t="s">
        <v>7</v>
      </c>
      <c r="EU321" s="27" t="s">
        <v>8</v>
      </c>
    </row>
    <row r="322" spans="1:151" x14ac:dyDescent="0.25">
      <c r="A322" s="7">
        <v>190.127753582856</v>
      </c>
      <c r="B322"/>
      <c r="C322"/>
      <c r="D322"/>
      <c r="E322"/>
      <c r="G322" s="27" t="s">
        <v>8</v>
      </c>
      <c r="H322" s="27" t="s">
        <v>7</v>
      </c>
      <c r="M322" s="27" t="s">
        <v>8</v>
      </c>
      <c r="N322" s="27" t="s">
        <v>7</v>
      </c>
      <c r="P322" s="27" t="s">
        <v>7</v>
      </c>
      <c r="Q322" s="27" t="s">
        <v>8</v>
      </c>
      <c r="R322" s="27" t="s">
        <v>7</v>
      </c>
      <c r="S322" s="27" t="s">
        <v>8</v>
      </c>
      <c r="DB322" s="27" t="s">
        <v>7</v>
      </c>
      <c r="DC322" s="27" t="s">
        <v>8</v>
      </c>
      <c r="DD322" s="27" t="s">
        <v>7</v>
      </c>
      <c r="DG322" s="27" t="s">
        <v>8</v>
      </c>
      <c r="DH322" s="27" t="s">
        <v>7</v>
      </c>
      <c r="DM322" s="27" t="s">
        <v>8</v>
      </c>
      <c r="EI322" s="27" t="s">
        <v>8</v>
      </c>
      <c r="EJ322" s="27" t="s">
        <v>7</v>
      </c>
      <c r="EQ322" s="27" t="s">
        <v>8</v>
      </c>
      <c r="ER322" s="27" t="s">
        <v>7</v>
      </c>
      <c r="ES322" s="27" t="s">
        <v>8</v>
      </c>
      <c r="ET322" s="27" t="s">
        <v>7</v>
      </c>
      <c r="EU322" s="27" t="s">
        <v>8</v>
      </c>
    </row>
    <row r="323" spans="1:151" x14ac:dyDescent="0.25">
      <c r="A323" s="7">
        <v>186.3997584145647</v>
      </c>
      <c r="B323"/>
      <c r="C323"/>
      <c r="D323"/>
      <c r="E323"/>
      <c r="G323" s="27" t="s">
        <v>8</v>
      </c>
      <c r="H323" s="27" t="s">
        <v>7</v>
      </c>
      <c r="M323" s="27" t="s">
        <v>8</v>
      </c>
      <c r="P323" s="27" t="s">
        <v>7</v>
      </c>
      <c r="Q323" s="27" t="s">
        <v>8</v>
      </c>
      <c r="R323" s="27" t="s">
        <v>7</v>
      </c>
      <c r="S323" s="27" t="s">
        <v>8</v>
      </c>
      <c r="DB323" s="27" t="s">
        <v>7</v>
      </c>
      <c r="DC323" s="27" t="s">
        <v>8</v>
      </c>
      <c r="DD323" s="27" t="s">
        <v>7</v>
      </c>
      <c r="DG323" s="27" t="s">
        <v>8</v>
      </c>
      <c r="DH323" s="27" t="s">
        <v>7</v>
      </c>
      <c r="DM323" s="27" t="s">
        <v>8</v>
      </c>
      <c r="DN323" s="27" t="s">
        <v>7</v>
      </c>
      <c r="EI323" s="27" t="s">
        <v>8</v>
      </c>
      <c r="EJ323" s="27" t="s">
        <v>7</v>
      </c>
      <c r="EQ323" s="27" t="s">
        <v>8</v>
      </c>
      <c r="ER323" s="27" t="s">
        <v>7</v>
      </c>
      <c r="ES323" s="27" t="s">
        <v>8</v>
      </c>
      <c r="ET323" s="27" t="s">
        <v>7</v>
      </c>
    </row>
    <row r="324" spans="1:151" x14ac:dyDescent="0.25">
      <c r="A324" s="7">
        <v>182.7448611907497</v>
      </c>
      <c r="B324"/>
      <c r="C324"/>
      <c r="D324"/>
      <c r="E324"/>
      <c r="G324" s="27" t="s">
        <v>8</v>
      </c>
      <c r="H324" s="27" t="s">
        <v>7</v>
      </c>
      <c r="M324" s="27" t="s">
        <v>8</v>
      </c>
      <c r="P324" s="27" t="s">
        <v>7</v>
      </c>
      <c r="Q324" s="27" t="s">
        <v>8</v>
      </c>
      <c r="R324" s="27" t="s">
        <v>7</v>
      </c>
      <c r="DB324" s="27" t="s">
        <v>7</v>
      </c>
      <c r="DC324" s="27" t="s">
        <v>8</v>
      </c>
      <c r="DD324" s="27" t="s">
        <v>7</v>
      </c>
      <c r="DG324" s="27" t="s">
        <v>8</v>
      </c>
      <c r="DH324" s="27" t="s">
        <v>7</v>
      </c>
      <c r="DM324" s="27" t="s">
        <v>8</v>
      </c>
      <c r="DN324" s="27" t="s">
        <v>7</v>
      </c>
      <c r="EI324" s="27" t="s">
        <v>8</v>
      </c>
      <c r="EJ324" s="27" t="s">
        <v>7</v>
      </c>
      <c r="EQ324" s="27" t="s">
        <v>8</v>
      </c>
      <c r="ER324" s="27" t="s">
        <v>7</v>
      </c>
      <c r="ES324" s="27" t="s">
        <v>8</v>
      </c>
    </row>
    <row r="325" spans="1:151" x14ac:dyDescent="0.25">
      <c r="A325" s="7">
        <v>179.16162861838205</v>
      </c>
      <c r="B325"/>
      <c r="C325"/>
      <c r="D325"/>
      <c r="E325"/>
      <c r="G325" s="27" t="s">
        <v>8</v>
      </c>
      <c r="H325" s="27" t="s">
        <v>7</v>
      </c>
      <c r="M325" s="27" t="s">
        <v>8</v>
      </c>
      <c r="P325" s="27" t="s">
        <v>7</v>
      </c>
      <c r="Q325" s="27" t="s">
        <v>8</v>
      </c>
      <c r="DB325" s="27" t="s">
        <v>7</v>
      </c>
      <c r="DC325" s="27" t="s">
        <v>8</v>
      </c>
      <c r="DD325" s="27" t="s">
        <v>7</v>
      </c>
      <c r="DG325" s="27" t="s">
        <v>8</v>
      </c>
      <c r="DH325" s="27" t="s">
        <v>7</v>
      </c>
      <c r="DM325" s="27" t="s">
        <v>8</v>
      </c>
      <c r="DN325" s="27" t="s">
        <v>7</v>
      </c>
      <c r="EI325" s="27" t="s">
        <v>8</v>
      </c>
      <c r="EJ325" s="27" t="s">
        <v>7</v>
      </c>
      <c r="EQ325" s="27" t="s">
        <v>8</v>
      </c>
      <c r="ER325" s="27" t="s">
        <v>7</v>
      </c>
      <c r="ES325" s="27" t="s">
        <v>8</v>
      </c>
    </row>
    <row r="326" spans="1:151" x14ac:dyDescent="0.25">
      <c r="A326" s="7">
        <v>175.6486555082177</v>
      </c>
      <c r="B326"/>
      <c r="C326"/>
      <c r="D326"/>
      <c r="E326"/>
      <c r="G326" s="27" t="s">
        <v>8</v>
      </c>
      <c r="H326" s="27" t="s">
        <v>7</v>
      </c>
      <c r="M326" s="27" t="s">
        <v>8</v>
      </c>
      <c r="P326" s="27" t="s">
        <v>7</v>
      </c>
      <c r="Q326" s="27" t="s">
        <v>8</v>
      </c>
      <c r="DB326" s="27" t="s">
        <v>7</v>
      </c>
      <c r="DC326" s="27" t="s">
        <v>8</v>
      </c>
      <c r="DD326" s="27" t="s">
        <v>7</v>
      </c>
      <c r="DG326" s="27" t="s">
        <v>8</v>
      </c>
      <c r="DH326" s="27" t="s">
        <v>7</v>
      </c>
      <c r="DM326" s="27" t="s">
        <v>8</v>
      </c>
      <c r="DN326" s="27" t="s">
        <v>7</v>
      </c>
      <c r="EI326" s="27" t="s">
        <v>8</v>
      </c>
      <c r="EJ326" s="27" t="s">
        <v>7</v>
      </c>
      <c r="EQ326" s="27" t="s">
        <v>8</v>
      </c>
      <c r="ER326" s="27" t="s">
        <v>7</v>
      </c>
      <c r="ES326" s="27" t="s">
        <v>8</v>
      </c>
    </row>
    <row r="327" spans="1:151" x14ac:dyDescent="0.25">
      <c r="A327" s="7">
        <v>172.20456422374284</v>
      </c>
      <c r="B327"/>
      <c r="C327"/>
      <c r="D327"/>
      <c r="E327"/>
      <c r="G327" s="27" t="s">
        <v>8</v>
      </c>
      <c r="H327" s="27" t="s">
        <v>7</v>
      </c>
      <c r="M327" s="27" t="s">
        <v>8</v>
      </c>
      <c r="P327" s="27" t="s">
        <v>7</v>
      </c>
      <c r="Q327" s="27" t="s">
        <v>8</v>
      </c>
      <c r="DB327" s="27" t="s">
        <v>7</v>
      </c>
      <c r="DC327" s="27" t="s">
        <v>8</v>
      </c>
      <c r="DD327" s="27" t="s">
        <v>7</v>
      </c>
      <c r="DG327" s="27" t="s">
        <v>8</v>
      </c>
      <c r="DH327" s="27" t="s">
        <v>7</v>
      </c>
      <c r="DM327" s="27" t="s">
        <v>8</v>
      </c>
      <c r="DN327" s="27" t="s">
        <v>7</v>
      </c>
      <c r="EI327" s="27" t="s">
        <v>8</v>
      </c>
      <c r="EJ327" s="27" t="s">
        <v>7</v>
      </c>
      <c r="EO327" s="27" t="s">
        <v>8</v>
      </c>
      <c r="EQ327" s="27" t="s">
        <v>8</v>
      </c>
      <c r="ER327" s="27" t="s">
        <v>7</v>
      </c>
      <c r="ES327" s="27" t="s">
        <v>8</v>
      </c>
    </row>
    <row r="328" spans="1:151" x14ac:dyDescent="0.25">
      <c r="A328" s="7">
        <v>168.82800414092435</v>
      </c>
      <c r="B328"/>
      <c r="C328"/>
      <c r="D328"/>
      <c r="E328"/>
      <c r="G328" s="27" t="s">
        <v>8</v>
      </c>
      <c r="H328" s="27" t="s">
        <v>7</v>
      </c>
      <c r="M328" s="27" t="s">
        <v>8</v>
      </c>
      <c r="P328" s="27" t="s">
        <v>7</v>
      </c>
      <c r="Q328" s="27" t="s">
        <v>8</v>
      </c>
      <c r="DB328" s="27" t="s">
        <v>7</v>
      </c>
      <c r="DC328" s="27" t="s">
        <v>8</v>
      </c>
      <c r="DD328" s="27" t="s">
        <v>7</v>
      </c>
      <c r="DG328" s="27" t="s">
        <v>8</v>
      </c>
      <c r="DH328" s="27" t="s">
        <v>7</v>
      </c>
      <c r="DM328" s="27" t="s">
        <v>8</v>
      </c>
      <c r="DN328" s="27" t="s">
        <v>7</v>
      </c>
      <c r="EI328" s="27" t="s">
        <v>8</v>
      </c>
      <c r="EJ328" s="27" t="s">
        <v>7</v>
      </c>
      <c r="EO328" s="27" t="s">
        <v>8</v>
      </c>
      <c r="EP328" s="27" t="s">
        <v>7</v>
      </c>
      <c r="EQ328" s="27" t="s">
        <v>8</v>
      </c>
      <c r="ER328" s="27" t="s">
        <v>7</v>
      </c>
      <c r="ES328" s="27" t="s">
        <v>8</v>
      </c>
    </row>
    <row r="329" spans="1:151" x14ac:dyDescent="0.25">
      <c r="A329" s="7">
        <v>165.51765111855329</v>
      </c>
      <c r="B329"/>
      <c r="C329"/>
      <c r="D329"/>
      <c r="E329"/>
      <c r="G329" s="27" t="s">
        <v>8</v>
      </c>
      <c r="H329" s="27" t="s">
        <v>7</v>
      </c>
      <c r="M329" s="27" t="s">
        <v>8</v>
      </c>
      <c r="P329" s="27" t="s">
        <v>7</v>
      </c>
      <c r="Q329" s="27" t="s">
        <v>8</v>
      </c>
      <c r="DB329" s="27" t="s">
        <v>7</v>
      </c>
      <c r="DC329" s="27" t="s">
        <v>8</v>
      </c>
      <c r="DD329" s="27" t="s">
        <v>7</v>
      </c>
      <c r="DG329" s="27" t="s">
        <v>8</v>
      </c>
      <c r="DH329" s="27" t="s">
        <v>7</v>
      </c>
      <c r="DI329" s="27" t="s">
        <v>8</v>
      </c>
      <c r="DM329" s="27" t="s">
        <v>8</v>
      </c>
      <c r="DN329" s="27" t="s">
        <v>7</v>
      </c>
      <c r="EI329" s="27" t="s">
        <v>8</v>
      </c>
      <c r="EJ329" s="27" t="s">
        <v>7</v>
      </c>
      <c r="EK329" s="27" t="s">
        <v>8</v>
      </c>
      <c r="EO329" s="27" t="s">
        <v>8</v>
      </c>
      <c r="EP329" s="27" t="s">
        <v>7</v>
      </c>
      <c r="EQ329" s="27" t="s">
        <v>8</v>
      </c>
      <c r="ER329" s="27" t="s">
        <v>7</v>
      </c>
      <c r="ES329" s="27" t="s">
        <v>8</v>
      </c>
    </row>
    <row r="330" spans="1:151" x14ac:dyDescent="0.25">
      <c r="A330" s="7">
        <v>162.2722069789738</v>
      </c>
      <c r="B330"/>
      <c r="C330"/>
      <c r="D330"/>
      <c r="E330"/>
      <c r="G330" s="27" t="s">
        <v>8</v>
      </c>
      <c r="H330" s="27" t="s">
        <v>7</v>
      </c>
      <c r="M330" s="27" t="s">
        <v>8</v>
      </c>
      <c r="P330" s="27" t="s">
        <v>7</v>
      </c>
      <c r="Q330" s="27" t="s">
        <v>8</v>
      </c>
      <c r="DB330" s="27" t="s">
        <v>7</v>
      </c>
      <c r="DC330" s="27" t="s">
        <v>8</v>
      </c>
      <c r="DD330" s="27" t="s">
        <v>7</v>
      </c>
      <c r="DG330" s="27" t="s">
        <v>8</v>
      </c>
      <c r="DH330" s="27" t="s">
        <v>7</v>
      </c>
      <c r="DI330" s="27" t="s">
        <v>8</v>
      </c>
      <c r="DJ330" s="27" t="s">
        <v>7</v>
      </c>
      <c r="DM330" s="27" t="s">
        <v>8</v>
      </c>
      <c r="DN330" s="27" t="s">
        <v>7</v>
      </c>
      <c r="EI330" s="27" t="s">
        <v>8</v>
      </c>
      <c r="EJ330" s="27" t="s">
        <v>7</v>
      </c>
      <c r="EK330" s="27" t="s">
        <v>8</v>
      </c>
      <c r="EL330" s="27" t="s">
        <v>7</v>
      </c>
      <c r="EO330" s="27" t="s">
        <v>8</v>
      </c>
      <c r="EP330" s="27" t="s">
        <v>7</v>
      </c>
      <c r="EQ330" s="27" t="s">
        <v>8</v>
      </c>
      <c r="ER330" s="27" t="s">
        <v>7</v>
      </c>
    </row>
    <row r="331" spans="1:151" x14ac:dyDescent="0.25">
      <c r="A331" s="7">
        <v>159.09039899899392</v>
      </c>
      <c r="B331"/>
      <c r="C331"/>
      <c r="D331"/>
      <c r="E331" t="s">
        <v>8</v>
      </c>
      <c r="G331" s="27" t="s">
        <v>8</v>
      </c>
      <c r="H331" s="27" t="s">
        <v>7</v>
      </c>
      <c r="K331" s="27" t="s">
        <v>8</v>
      </c>
      <c r="M331" s="27" t="s">
        <v>8</v>
      </c>
      <c r="P331" s="27" t="s">
        <v>7</v>
      </c>
      <c r="Q331" s="27" t="s">
        <v>8</v>
      </c>
      <c r="DB331" s="27" t="s">
        <v>7</v>
      </c>
      <c r="DC331" s="27" t="s">
        <v>8</v>
      </c>
      <c r="DD331" s="27" t="s">
        <v>7</v>
      </c>
      <c r="DG331" s="27" t="s">
        <v>8</v>
      </c>
      <c r="DH331" s="27" t="s">
        <v>7</v>
      </c>
      <c r="DI331" s="27" t="s">
        <v>8</v>
      </c>
      <c r="DJ331" s="27" t="s">
        <v>7</v>
      </c>
      <c r="DM331" s="27" t="s">
        <v>8</v>
      </c>
      <c r="DN331" s="27" t="s">
        <v>7</v>
      </c>
      <c r="DO331" s="27" t="s">
        <v>8</v>
      </c>
      <c r="EI331" s="27" t="s">
        <v>8</v>
      </c>
      <c r="EJ331" s="27" t="s">
        <v>7</v>
      </c>
      <c r="EK331" s="27" t="s">
        <v>8</v>
      </c>
      <c r="EL331" s="27" t="s">
        <v>7</v>
      </c>
      <c r="EM331" s="27" t="s">
        <v>8</v>
      </c>
      <c r="EO331" s="27" t="s">
        <v>8</v>
      </c>
      <c r="EP331" s="27" t="s">
        <v>7</v>
      </c>
      <c r="EQ331" s="27" t="s">
        <v>8</v>
      </c>
    </row>
    <row r="332" spans="1:151" x14ac:dyDescent="0.25">
      <c r="A332" s="7">
        <v>155.97097941077834</v>
      </c>
      <c r="B332"/>
      <c r="C332"/>
      <c r="D332"/>
      <c r="E332" t="s">
        <v>8</v>
      </c>
      <c r="F332" s="27" t="s">
        <v>7</v>
      </c>
      <c r="G332" s="27" t="s">
        <v>8</v>
      </c>
      <c r="H332" s="27" t="s">
        <v>7</v>
      </c>
      <c r="K332" s="27" t="s">
        <v>8</v>
      </c>
      <c r="L332" s="27" t="s">
        <v>7</v>
      </c>
      <c r="M332" s="27" t="s">
        <v>8</v>
      </c>
      <c r="P332" s="27" t="s">
        <v>7</v>
      </c>
      <c r="Q332" s="27" t="s">
        <v>8</v>
      </c>
      <c r="DB332" s="27" t="s">
        <v>7</v>
      </c>
      <c r="DC332" s="27" t="s">
        <v>8</v>
      </c>
      <c r="DD332" s="27" t="s">
        <v>7</v>
      </c>
      <c r="DE332" s="27" t="s">
        <v>8</v>
      </c>
      <c r="DG332" s="27" t="s">
        <v>8</v>
      </c>
      <c r="DH332" s="27" t="s">
        <v>7</v>
      </c>
      <c r="DI332" s="27" t="s">
        <v>8</v>
      </c>
      <c r="DJ332" s="27" t="s">
        <v>7</v>
      </c>
      <c r="DK332" s="27" t="s">
        <v>8</v>
      </c>
      <c r="DM332" s="27" t="s">
        <v>8</v>
      </c>
      <c r="DN332" s="27" t="s">
        <v>7</v>
      </c>
      <c r="DO332" s="27" t="s">
        <v>8</v>
      </c>
      <c r="DP332" s="27" t="s">
        <v>7</v>
      </c>
      <c r="EI332" s="27" t="s">
        <v>8</v>
      </c>
      <c r="EJ332" s="27" t="s">
        <v>7</v>
      </c>
      <c r="EK332" s="27" t="s">
        <v>8</v>
      </c>
      <c r="EL332" s="27" t="s">
        <v>7</v>
      </c>
      <c r="EM332" s="27" t="s">
        <v>8</v>
      </c>
      <c r="EN332" s="27" t="s">
        <v>7</v>
      </c>
      <c r="EO332" s="27" t="s">
        <v>8</v>
      </c>
      <c r="EP332" s="27" t="s">
        <v>7</v>
      </c>
      <c r="EQ332" s="27" t="s">
        <v>8</v>
      </c>
    </row>
    <row r="333" spans="1:151" x14ac:dyDescent="0.25">
      <c r="A333" s="7">
        <v>152.91272491252778</v>
      </c>
      <c r="B333"/>
      <c r="C333"/>
      <c r="D333"/>
      <c r="E333" t="s">
        <v>8</v>
      </c>
      <c r="F333" s="27" t="s">
        <v>7</v>
      </c>
      <c r="G333" s="27" t="s">
        <v>8</v>
      </c>
      <c r="H333" s="27" t="s">
        <v>7</v>
      </c>
      <c r="K333" s="27" t="s">
        <v>8</v>
      </c>
      <c r="L333" s="27" t="s">
        <v>7</v>
      </c>
      <c r="M333" s="27" t="s">
        <v>8</v>
      </c>
      <c r="P333" s="27" t="s">
        <v>7</v>
      </c>
      <c r="Q333" s="27" t="s">
        <v>8</v>
      </c>
      <c r="DB333" s="27" t="s">
        <v>7</v>
      </c>
      <c r="DC333" s="27" t="s">
        <v>8</v>
      </c>
      <c r="DD333" s="27" t="s">
        <v>7</v>
      </c>
      <c r="DE333" s="27" t="s">
        <v>8</v>
      </c>
      <c r="DF333" s="27" t="s">
        <v>7</v>
      </c>
      <c r="DG333" s="27" t="s">
        <v>8</v>
      </c>
      <c r="DH333" s="27" t="s">
        <v>7</v>
      </c>
      <c r="DI333" s="27" t="s">
        <v>8</v>
      </c>
      <c r="DJ333" s="27" t="s">
        <v>7</v>
      </c>
      <c r="DK333" s="27" t="s">
        <v>8</v>
      </c>
      <c r="DL333" s="27" t="s">
        <v>7</v>
      </c>
      <c r="DM333" s="27" t="s">
        <v>8</v>
      </c>
      <c r="DN333" s="27" t="s">
        <v>7</v>
      </c>
      <c r="DO333" s="27" t="s">
        <v>8</v>
      </c>
      <c r="DP333" s="27" t="s">
        <v>7</v>
      </c>
      <c r="EI333" s="27" t="s">
        <v>8</v>
      </c>
      <c r="EJ333" s="27" t="s">
        <v>7</v>
      </c>
      <c r="EK333" s="27" t="s">
        <v>8</v>
      </c>
      <c r="EL333" s="27" t="s">
        <v>7</v>
      </c>
      <c r="EM333" s="27" t="s">
        <v>8</v>
      </c>
      <c r="EN333" s="27" t="s">
        <v>7</v>
      </c>
      <c r="EO333" s="27" t="s">
        <v>8</v>
      </c>
      <c r="EP333" s="27" t="s">
        <v>7</v>
      </c>
      <c r="EQ333" s="27" t="s">
        <v>8</v>
      </c>
    </row>
    <row r="334" spans="1:151" x14ac:dyDescent="0.25">
      <c r="A334" s="7">
        <v>149.91443618875272</v>
      </c>
      <c r="B334"/>
      <c r="C334"/>
      <c r="D334"/>
      <c r="E334" t="s">
        <v>8</v>
      </c>
      <c r="F334" s="27" t="s">
        <v>7</v>
      </c>
      <c r="G334" s="27" t="s">
        <v>8</v>
      </c>
      <c r="H334" s="27" t="s">
        <v>7</v>
      </c>
      <c r="K334" s="27" t="s">
        <v>8</v>
      </c>
      <c r="L334" s="27" t="s">
        <v>7</v>
      </c>
      <c r="M334" s="27" t="s">
        <v>8</v>
      </c>
      <c r="P334" s="27" t="s">
        <v>7</v>
      </c>
      <c r="Q334" s="27" t="s">
        <v>8</v>
      </c>
      <c r="DB334" s="27" t="s">
        <v>7</v>
      </c>
      <c r="DC334" s="27" t="s">
        <v>8</v>
      </c>
      <c r="DD334" s="27" t="s">
        <v>7</v>
      </c>
      <c r="DE334" s="27" t="s">
        <v>8</v>
      </c>
      <c r="DF334" s="27" t="s">
        <v>7</v>
      </c>
      <c r="DG334" s="27" t="s">
        <v>8</v>
      </c>
      <c r="DH334" s="27" t="s">
        <v>7</v>
      </c>
      <c r="DJ334" s="27" t="s">
        <v>7</v>
      </c>
      <c r="DK334" s="27" t="s">
        <v>8</v>
      </c>
      <c r="DL334" s="27" t="s">
        <v>7</v>
      </c>
      <c r="DM334" s="27" t="s">
        <v>8</v>
      </c>
      <c r="DN334" s="27" t="s">
        <v>7</v>
      </c>
      <c r="DO334" s="27" t="s">
        <v>8</v>
      </c>
      <c r="DP334" s="27" t="s">
        <v>7</v>
      </c>
      <c r="EI334" s="27" t="s">
        <v>8</v>
      </c>
      <c r="EJ334" s="27" t="s">
        <v>7</v>
      </c>
      <c r="EK334" s="27" t="s">
        <v>8</v>
      </c>
      <c r="EL334" s="27" t="s">
        <v>7</v>
      </c>
      <c r="EM334" s="27" t="s">
        <v>8</v>
      </c>
      <c r="EN334" s="27" t="s">
        <v>7</v>
      </c>
      <c r="EO334" s="27" t="s">
        <v>8</v>
      </c>
      <c r="EP334" s="27" t="s">
        <v>7</v>
      </c>
      <c r="EQ334" s="27" t="s">
        <v>8</v>
      </c>
    </row>
    <row r="335" spans="1:151" x14ac:dyDescent="0.25">
      <c r="A335" s="7">
        <v>146.97493743995364</v>
      </c>
      <c r="B335"/>
      <c r="C335"/>
      <c r="D335"/>
      <c r="E335" t="s">
        <v>8</v>
      </c>
      <c r="F335" s="27" t="s">
        <v>7</v>
      </c>
      <c r="G335" s="27" t="s">
        <v>8</v>
      </c>
      <c r="H335" s="27" t="s">
        <v>7</v>
      </c>
      <c r="K335" s="27" t="s">
        <v>8</v>
      </c>
      <c r="L335" s="27" t="s">
        <v>7</v>
      </c>
      <c r="M335" s="27" t="s">
        <v>8</v>
      </c>
      <c r="P335" s="27" t="s">
        <v>7</v>
      </c>
      <c r="Q335" s="27" t="s">
        <v>8</v>
      </c>
      <c r="DB335" s="27" t="s">
        <v>7</v>
      </c>
      <c r="DC335" s="27" t="s">
        <v>8</v>
      </c>
      <c r="DD335" s="27" t="s">
        <v>7</v>
      </c>
      <c r="DE335" s="27" t="s">
        <v>8</v>
      </c>
      <c r="DF335" s="27" t="s">
        <v>7</v>
      </c>
      <c r="DG335" s="27" t="s">
        <v>8</v>
      </c>
      <c r="DJ335" s="27" t="s">
        <v>7</v>
      </c>
      <c r="DK335" s="27" t="s">
        <v>8</v>
      </c>
      <c r="DL335" s="27" t="s">
        <v>7</v>
      </c>
      <c r="DM335" s="27" t="s">
        <v>8</v>
      </c>
      <c r="DN335" s="27" t="s">
        <v>7</v>
      </c>
      <c r="DO335" s="27" t="s">
        <v>8</v>
      </c>
      <c r="DP335" s="27" t="s">
        <v>7</v>
      </c>
      <c r="EI335" s="27" t="s">
        <v>8</v>
      </c>
      <c r="EJ335" s="27" t="s">
        <v>7</v>
      </c>
      <c r="EK335" s="27" t="s">
        <v>8</v>
      </c>
      <c r="EL335" s="27" t="s">
        <v>7</v>
      </c>
      <c r="EM335" s="27" t="s">
        <v>8</v>
      </c>
      <c r="EN335" s="27" t="s">
        <v>7</v>
      </c>
      <c r="EO335" s="27" t="s">
        <v>8</v>
      </c>
      <c r="EP335" s="27" t="s">
        <v>7</v>
      </c>
      <c r="EQ335" s="27" t="s">
        <v>8</v>
      </c>
    </row>
    <row r="336" spans="1:151" x14ac:dyDescent="0.25">
      <c r="A336" s="7">
        <v>144.09307592152317</v>
      </c>
      <c r="B336"/>
      <c r="C336"/>
      <c r="D336"/>
      <c r="E336" t="s">
        <v>8</v>
      </c>
      <c r="F336" s="27" t="s">
        <v>7</v>
      </c>
      <c r="G336" s="27" t="s">
        <v>8</v>
      </c>
      <c r="H336" s="27" t="s">
        <v>7</v>
      </c>
      <c r="K336" s="27" t="s">
        <v>8</v>
      </c>
      <c r="L336" s="27" t="s">
        <v>7</v>
      </c>
      <c r="M336" s="27" t="s">
        <v>8</v>
      </c>
      <c r="P336" s="27" t="s">
        <v>7</v>
      </c>
      <c r="Q336" s="27" t="s">
        <v>8</v>
      </c>
      <c r="DB336" s="27" t="s">
        <v>7</v>
      </c>
      <c r="DC336" s="27" t="s">
        <v>8</v>
      </c>
      <c r="DD336" s="27" t="s">
        <v>7</v>
      </c>
      <c r="DE336" s="27" t="s">
        <v>8</v>
      </c>
      <c r="DF336" s="27" t="s">
        <v>7</v>
      </c>
      <c r="DG336" s="27" t="s">
        <v>8</v>
      </c>
      <c r="DJ336" s="27" t="s">
        <v>7</v>
      </c>
      <c r="DK336" s="27" t="s">
        <v>8</v>
      </c>
      <c r="DL336" s="27" t="s">
        <v>7</v>
      </c>
      <c r="DM336" s="27" t="s">
        <v>8</v>
      </c>
      <c r="DN336" s="27" t="s">
        <v>7</v>
      </c>
      <c r="DO336" s="27" t="s">
        <v>8</v>
      </c>
      <c r="DP336" s="27" t="s">
        <v>7</v>
      </c>
      <c r="EI336" s="27" t="s">
        <v>8</v>
      </c>
      <c r="EJ336" s="27" t="s">
        <v>7</v>
      </c>
      <c r="EK336" s="27" t="s">
        <v>8</v>
      </c>
      <c r="EL336" s="27" t="s">
        <v>7</v>
      </c>
      <c r="EM336" s="27" t="s">
        <v>8</v>
      </c>
      <c r="EN336" s="27" t="s">
        <v>7</v>
      </c>
      <c r="EO336" s="27" t="s">
        <v>8</v>
      </c>
      <c r="EP336" s="27" t="s">
        <v>7</v>
      </c>
      <c r="EQ336" s="27" t="s">
        <v>8</v>
      </c>
    </row>
    <row r="337" spans="1:147" x14ac:dyDescent="0.25">
      <c r="A337" s="7">
        <v>141.26772149168937</v>
      </c>
      <c r="B337"/>
      <c r="C337"/>
      <c r="D337"/>
      <c r="E337" t="s">
        <v>8</v>
      </c>
      <c r="F337" s="27" t="s">
        <v>7</v>
      </c>
      <c r="G337" s="27" t="s">
        <v>8</v>
      </c>
      <c r="H337" s="27" t="s">
        <v>7</v>
      </c>
      <c r="K337" s="27" t="s">
        <v>8</v>
      </c>
      <c r="L337" s="27" t="s">
        <v>7</v>
      </c>
      <c r="M337" s="27" t="s">
        <v>8</v>
      </c>
      <c r="P337" s="27" t="s">
        <v>7</v>
      </c>
      <c r="Q337" s="27" t="s">
        <v>8</v>
      </c>
      <c r="DB337" s="27" t="s">
        <v>7</v>
      </c>
      <c r="DC337" s="27" t="s">
        <v>8</v>
      </c>
      <c r="DD337" s="27" t="s">
        <v>7</v>
      </c>
      <c r="DE337" s="27" t="s">
        <v>8</v>
      </c>
      <c r="DF337" s="27" t="s">
        <v>7</v>
      </c>
      <c r="DG337" s="27" t="s">
        <v>8</v>
      </c>
      <c r="DJ337" s="27" t="s">
        <v>7</v>
      </c>
      <c r="DK337" s="27" t="s">
        <v>8</v>
      </c>
      <c r="DL337" s="27" t="s">
        <v>7</v>
      </c>
      <c r="DM337" s="27" t="s">
        <v>8</v>
      </c>
      <c r="DN337" s="27" t="s">
        <v>7</v>
      </c>
      <c r="DO337" s="27" t="s">
        <v>8</v>
      </c>
      <c r="DP337" s="27" t="s">
        <v>7</v>
      </c>
      <c r="EI337" s="27" t="s">
        <v>8</v>
      </c>
      <c r="EJ337" s="27" t="s">
        <v>7</v>
      </c>
      <c r="EK337" s="27" t="s">
        <v>8</v>
      </c>
      <c r="EL337" s="27" t="s">
        <v>7</v>
      </c>
      <c r="EM337" s="27" t="s">
        <v>8</v>
      </c>
      <c r="EN337" s="27" t="s">
        <v>7</v>
      </c>
      <c r="EO337" s="27" t="s">
        <v>8</v>
      </c>
      <c r="EP337" s="27" t="s">
        <v>7</v>
      </c>
      <c r="EQ337" s="27" t="s">
        <v>8</v>
      </c>
    </row>
    <row r="338" spans="1:147" x14ac:dyDescent="0.25">
      <c r="A338" s="7">
        <v>138.4977661683229</v>
      </c>
      <c r="B338"/>
      <c r="C338"/>
      <c r="D338"/>
      <c r="E338" t="s">
        <v>8</v>
      </c>
      <c r="F338" s="27" t="s">
        <v>7</v>
      </c>
      <c r="G338" s="27" t="s">
        <v>8</v>
      </c>
      <c r="H338" s="27" t="s">
        <v>7</v>
      </c>
      <c r="I338" s="27" t="s">
        <v>8</v>
      </c>
      <c r="K338" s="27" t="s">
        <v>8</v>
      </c>
      <c r="L338" s="27" t="s">
        <v>7</v>
      </c>
      <c r="M338" s="27" t="s">
        <v>8</v>
      </c>
      <c r="P338" s="27" t="s">
        <v>7</v>
      </c>
      <c r="Q338" s="27" t="s">
        <v>8</v>
      </c>
      <c r="DB338" s="27" t="s">
        <v>7</v>
      </c>
      <c r="DC338" s="27" t="s">
        <v>8</v>
      </c>
      <c r="DD338" s="27" t="s">
        <v>7</v>
      </c>
      <c r="DE338" s="27" t="s">
        <v>8</v>
      </c>
      <c r="DF338" s="27" t="s">
        <v>7</v>
      </c>
      <c r="DG338" s="27" t="s">
        <v>8</v>
      </c>
      <c r="DJ338" s="27" t="s">
        <v>7</v>
      </c>
      <c r="DK338" s="27" t="s">
        <v>8</v>
      </c>
      <c r="DL338" s="27" t="s">
        <v>7</v>
      </c>
      <c r="DM338" s="27" t="s">
        <v>8</v>
      </c>
      <c r="DN338" s="27" t="s">
        <v>7</v>
      </c>
      <c r="DO338" s="27" t="s">
        <v>8</v>
      </c>
      <c r="DP338" s="27" t="s">
        <v>7</v>
      </c>
      <c r="EI338" s="27" t="s">
        <v>8</v>
      </c>
      <c r="EJ338" s="27" t="s">
        <v>7</v>
      </c>
      <c r="EK338" s="27" t="s">
        <v>8</v>
      </c>
      <c r="EL338" s="27" t="s">
        <v>7</v>
      </c>
      <c r="EM338" s="27" t="s">
        <v>8</v>
      </c>
      <c r="EN338" s="27" t="s">
        <v>7</v>
      </c>
      <c r="EO338" s="27" t="s">
        <v>8</v>
      </c>
      <c r="EP338" s="27" t="s">
        <v>7</v>
      </c>
      <c r="EQ338" s="27" t="s">
        <v>8</v>
      </c>
    </row>
    <row r="339" spans="1:147" x14ac:dyDescent="0.25">
      <c r="A339" s="7">
        <v>135.7821236944342</v>
      </c>
      <c r="B339"/>
      <c r="C339"/>
      <c r="D339"/>
      <c r="E339" t="s">
        <v>8</v>
      </c>
      <c r="F339" s="27" t="s">
        <v>7</v>
      </c>
      <c r="G339" s="27" t="s">
        <v>8</v>
      </c>
      <c r="H339" s="27" t="s">
        <v>7</v>
      </c>
      <c r="I339" s="27" t="s">
        <v>8</v>
      </c>
      <c r="J339" s="27" t="s">
        <v>7</v>
      </c>
      <c r="K339" s="27" t="s">
        <v>8</v>
      </c>
      <c r="L339" s="27" t="s">
        <v>7</v>
      </c>
      <c r="M339" s="27" t="s">
        <v>8</v>
      </c>
      <c r="P339" s="27" t="s">
        <v>7</v>
      </c>
      <c r="Q339" s="27" t="s">
        <v>8</v>
      </c>
      <c r="DB339" s="27" t="s">
        <v>7</v>
      </c>
      <c r="DC339" s="27" t="s">
        <v>8</v>
      </c>
      <c r="DD339" s="27" t="s">
        <v>7</v>
      </c>
      <c r="DF339" s="27" t="s">
        <v>7</v>
      </c>
      <c r="DG339" s="27" t="s">
        <v>8</v>
      </c>
      <c r="DJ339" s="27" t="s">
        <v>7</v>
      </c>
      <c r="DK339" s="27" t="s">
        <v>8</v>
      </c>
      <c r="DL339" s="27" t="s">
        <v>7</v>
      </c>
      <c r="DM339" s="27" t="s">
        <v>8</v>
      </c>
      <c r="DN339" s="27" t="s">
        <v>7</v>
      </c>
      <c r="DO339" s="27" t="s">
        <v>8</v>
      </c>
      <c r="DP339" s="27" t="s">
        <v>7</v>
      </c>
      <c r="EI339" s="27" t="s">
        <v>8</v>
      </c>
      <c r="EJ339" s="27" t="s">
        <v>7</v>
      </c>
      <c r="EK339" s="27" t="s">
        <v>8</v>
      </c>
      <c r="EL339" s="27" t="s">
        <v>7</v>
      </c>
      <c r="EM339" s="27" t="s">
        <v>8</v>
      </c>
      <c r="EN339" s="27" t="s">
        <v>7</v>
      </c>
      <c r="EO339" s="27" t="s">
        <v>8</v>
      </c>
      <c r="EP339" s="27" t="s">
        <v>7</v>
      </c>
      <c r="EQ339" s="27" t="s">
        <v>8</v>
      </c>
    </row>
    <row r="340" spans="1:147" x14ac:dyDescent="0.25">
      <c r="A340" s="7">
        <v>133.11972911219038</v>
      </c>
      <c r="B340"/>
      <c r="C340"/>
      <c r="D340"/>
      <c r="E340" t="s">
        <v>8</v>
      </c>
      <c r="F340" s="27" t="s">
        <v>7</v>
      </c>
      <c r="G340" s="27" t="s">
        <v>8</v>
      </c>
      <c r="H340" s="27" t="s">
        <v>7</v>
      </c>
      <c r="I340" s="27" t="s">
        <v>8</v>
      </c>
      <c r="J340" s="27" t="s">
        <v>7</v>
      </c>
      <c r="K340" s="27" t="s">
        <v>8</v>
      </c>
      <c r="L340" s="27" t="s">
        <v>7</v>
      </c>
      <c r="M340" s="27" t="s">
        <v>8</v>
      </c>
      <c r="P340" s="27" t="s">
        <v>7</v>
      </c>
      <c r="Q340" s="27" t="s">
        <v>8</v>
      </c>
      <c r="DB340" s="27" t="s">
        <v>7</v>
      </c>
      <c r="DC340" s="27" t="s">
        <v>8</v>
      </c>
      <c r="DF340" s="27" t="s">
        <v>7</v>
      </c>
      <c r="DG340" s="27" t="s">
        <v>8</v>
      </c>
      <c r="DJ340" s="27" t="s">
        <v>7</v>
      </c>
      <c r="DK340" s="27" t="s">
        <v>8</v>
      </c>
      <c r="DL340" s="27" t="s">
        <v>7</v>
      </c>
      <c r="DN340" s="27" t="s">
        <v>7</v>
      </c>
      <c r="DO340" s="27" t="s">
        <v>8</v>
      </c>
      <c r="DP340" s="27" t="s">
        <v>7</v>
      </c>
      <c r="EI340" s="27" t="s">
        <v>8</v>
      </c>
      <c r="EJ340" s="27" t="s">
        <v>7</v>
      </c>
      <c r="EK340" s="27" t="s">
        <v>8</v>
      </c>
      <c r="EL340" s="27" t="s">
        <v>7</v>
      </c>
      <c r="EM340" s="27" t="s">
        <v>8</v>
      </c>
      <c r="EN340" s="27" t="s">
        <v>7</v>
      </c>
      <c r="EO340" s="27" t="s">
        <v>8</v>
      </c>
      <c r="EP340" s="27" t="s">
        <v>7</v>
      </c>
    </row>
    <row r="341" spans="1:147" x14ac:dyDescent="0.25">
      <c r="A341" s="7">
        <v>130.50953834528468</v>
      </c>
      <c r="B341"/>
      <c r="C341"/>
      <c r="D341"/>
      <c r="E341" t="s">
        <v>8</v>
      </c>
      <c r="F341" s="27" t="s">
        <v>7</v>
      </c>
      <c r="G341" s="27" t="s">
        <v>8</v>
      </c>
      <c r="H341" s="27" t="s">
        <v>7</v>
      </c>
      <c r="I341" s="27" t="s">
        <v>8</v>
      </c>
      <c r="J341" s="27" t="s">
        <v>7</v>
      </c>
      <c r="K341" s="27" t="s">
        <v>8</v>
      </c>
      <c r="L341" s="27" t="s">
        <v>7</v>
      </c>
      <c r="M341" s="27" t="s">
        <v>8</v>
      </c>
      <c r="P341" s="27" t="s">
        <v>7</v>
      </c>
      <c r="Q341" s="27" t="s">
        <v>8</v>
      </c>
      <c r="DB341" s="27" t="s">
        <v>7</v>
      </c>
      <c r="DC341" s="27" t="s">
        <v>8</v>
      </c>
      <c r="DF341" s="27" t="s">
        <v>7</v>
      </c>
      <c r="DG341" s="27" t="s">
        <v>8</v>
      </c>
      <c r="DJ341" s="27" t="s">
        <v>7</v>
      </c>
      <c r="DK341" s="27" t="s">
        <v>8</v>
      </c>
      <c r="DN341" s="27" t="s">
        <v>7</v>
      </c>
      <c r="DP341" s="27" t="s">
        <v>7</v>
      </c>
      <c r="EI341" s="27" t="s">
        <v>8</v>
      </c>
      <c r="EJ341" s="27" t="s">
        <v>7</v>
      </c>
      <c r="EK341" s="27" t="s">
        <v>8</v>
      </c>
      <c r="EL341" s="27" t="s">
        <v>7</v>
      </c>
      <c r="EM341" s="27" t="s">
        <v>8</v>
      </c>
      <c r="EN341" s="27" t="s">
        <v>7</v>
      </c>
    </row>
    <row r="342" spans="1:147" x14ac:dyDescent="0.25">
      <c r="A342" s="7">
        <v>127.95052778949477</v>
      </c>
      <c r="B342"/>
      <c r="C342"/>
      <c r="D342"/>
      <c r="E342" t="s">
        <v>8</v>
      </c>
      <c r="F342" s="27" t="s">
        <v>7</v>
      </c>
      <c r="G342" s="27" t="s">
        <v>8</v>
      </c>
      <c r="H342" s="27" t="s">
        <v>7</v>
      </c>
      <c r="I342" s="27" t="s">
        <v>8</v>
      </c>
      <c r="J342" s="27" t="s">
        <v>7</v>
      </c>
      <c r="K342" s="27" t="s">
        <v>8</v>
      </c>
      <c r="L342" s="27" t="s">
        <v>7</v>
      </c>
      <c r="M342" s="27" t="s">
        <v>8</v>
      </c>
      <c r="P342" s="27" t="s">
        <v>7</v>
      </c>
      <c r="Q342" s="27" t="s">
        <v>8</v>
      </c>
      <c r="DB342" s="27" t="s">
        <v>7</v>
      </c>
      <c r="DC342" s="27" t="s">
        <v>8</v>
      </c>
      <c r="DF342" s="27" t="s">
        <v>7</v>
      </c>
      <c r="DG342" s="27" t="s">
        <v>8</v>
      </c>
      <c r="DJ342" s="27" t="s">
        <v>7</v>
      </c>
      <c r="DK342" s="27" t="s">
        <v>8</v>
      </c>
      <c r="DP342" s="27" t="s">
        <v>7</v>
      </c>
      <c r="EI342" s="27" t="s">
        <v>8</v>
      </c>
      <c r="EJ342" s="27" t="s">
        <v>7</v>
      </c>
      <c r="EL342" s="27" t="s">
        <v>7</v>
      </c>
      <c r="EM342" s="27" t="s">
        <v>8</v>
      </c>
    </row>
    <row r="343" spans="1:147" x14ac:dyDescent="0.25">
      <c r="A343" s="7">
        <v>125.44169391126938</v>
      </c>
      <c r="B343"/>
      <c r="C343"/>
      <c r="D343"/>
      <c r="E343" t="s">
        <v>8</v>
      </c>
      <c r="F343" s="27" t="s">
        <v>7</v>
      </c>
      <c r="G343" s="27" t="s">
        <v>8</v>
      </c>
      <c r="H343" s="27" t="s">
        <v>7</v>
      </c>
      <c r="I343" s="27" t="s">
        <v>8</v>
      </c>
      <c r="J343" s="27" t="s">
        <v>7</v>
      </c>
      <c r="K343" s="27" t="s">
        <v>8</v>
      </c>
      <c r="L343" s="27" t="s">
        <v>7</v>
      </c>
      <c r="P343" s="27" t="s">
        <v>7</v>
      </c>
      <c r="DB343" s="27" t="s">
        <v>7</v>
      </c>
      <c r="DC343" s="27" t="s">
        <v>8</v>
      </c>
      <c r="DF343" s="27" t="s">
        <v>7</v>
      </c>
      <c r="DG343" s="27" t="s">
        <v>8</v>
      </c>
      <c r="DJ343" s="27" t="s">
        <v>7</v>
      </c>
      <c r="DK343" s="27" t="s">
        <v>8</v>
      </c>
      <c r="DP343" s="27" t="s">
        <v>7</v>
      </c>
      <c r="EI343" s="27" t="s">
        <v>8</v>
      </c>
      <c r="EL343" s="27" t="s">
        <v>7</v>
      </c>
      <c r="EM343" s="27" t="s">
        <v>8</v>
      </c>
    </row>
    <row r="344" spans="1:147" x14ac:dyDescent="0.25">
      <c r="A344" s="7">
        <v>122.98205285418567</v>
      </c>
      <c r="B344"/>
      <c r="C344"/>
      <c r="D344"/>
      <c r="E344" t="s">
        <v>8</v>
      </c>
      <c r="F344" s="27" t="s">
        <v>7</v>
      </c>
      <c r="G344" s="27" t="s">
        <v>8</v>
      </c>
      <c r="H344" s="27" t="s">
        <v>7</v>
      </c>
      <c r="I344" s="27" t="s">
        <v>8</v>
      </c>
      <c r="J344" s="27" t="s">
        <v>7</v>
      </c>
      <c r="K344" s="27" t="s">
        <v>8</v>
      </c>
      <c r="DB344" s="27" t="s">
        <v>7</v>
      </c>
      <c r="DF344" s="27" t="s">
        <v>7</v>
      </c>
      <c r="DG344" s="27" t="s">
        <v>8</v>
      </c>
      <c r="DJ344" s="27" t="s">
        <v>7</v>
      </c>
      <c r="DK344" s="27" t="s">
        <v>8</v>
      </c>
      <c r="DP344" s="27" t="s">
        <v>7</v>
      </c>
      <c r="EI344" s="27" t="s">
        <v>8</v>
      </c>
      <c r="EL344" s="27" t="s">
        <v>7</v>
      </c>
      <c r="EM344" s="27" t="s">
        <v>8</v>
      </c>
    </row>
    <row r="345" spans="1:147" x14ac:dyDescent="0.25">
      <c r="A345" s="7">
        <v>120.5706400531232</v>
      </c>
      <c r="B345"/>
      <c r="C345"/>
      <c r="D345"/>
      <c r="E345" t="s">
        <v>8</v>
      </c>
      <c r="F345" s="27" t="s">
        <v>7</v>
      </c>
      <c r="G345" s="27" t="s">
        <v>8</v>
      </c>
      <c r="H345" s="27" t="s">
        <v>7</v>
      </c>
      <c r="I345" s="27" t="s">
        <v>8</v>
      </c>
      <c r="J345" s="27" t="s">
        <v>7</v>
      </c>
      <c r="K345" s="27" t="s">
        <v>8</v>
      </c>
      <c r="DF345" s="27" t="s">
        <v>7</v>
      </c>
      <c r="DG345" s="27" t="s">
        <v>8</v>
      </c>
      <c r="DJ345" s="27" t="s">
        <v>7</v>
      </c>
      <c r="DK345" s="27" t="s">
        <v>8</v>
      </c>
      <c r="DP345" s="27" t="s">
        <v>7</v>
      </c>
      <c r="EI345" s="27" t="s">
        <v>8</v>
      </c>
      <c r="EL345" s="27" t="s">
        <v>7</v>
      </c>
    </row>
    <row r="346" spans="1:147" x14ac:dyDescent="0.25">
      <c r="A346" s="7">
        <v>118.20650985600314</v>
      </c>
      <c r="B346"/>
      <c r="C346"/>
      <c r="D346"/>
      <c r="E346" t="s">
        <v>8</v>
      </c>
      <c r="F346" s="27" t="s">
        <v>7</v>
      </c>
      <c r="G346" s="27" t="s">
        <v>8</v>
      </c>
      <c r="H346" s="27" t="s">
        <v>7</v>
      </c>
      <c r="I346" s="27" t="s">
        <v>8</v>
      </c>
      <c r="J346" s="27" t="s">
        <v>7</v>
      </c>
      <c r="K346" s="27" t="s">
        <v>8</v>
      </c>
      <c r="DF346" s="27" t="s">
        <v>7</v>
      </c>
      <c r="DG346" s="27" t="s">
        <v>8</v>
      </c>
      <c r="DJ346" s="27" t="s">
        <v>7</v>
      </c>
      <c r="DK346" s="27" t="s">
        <v>8</v>
      </c>
      <c r="DP346" s="27" t="s">
        <v>7</v>
      </c>
      <c r="EI346" s="27" t="s">
        <v>8</v>
      </c>
    </row>
    <row r="347" spans="1:147" x14ac:dyDescent="0.25">
      <c r="A347" s="7">
        <v>115.88873515294425</v>
      </c>
      <c r="B347"/>
      <c r="C347"/>
      <c r="D347"/>
      <c r="E347" t="s">
        <v>8</v>
      </c>
      <c r="F347" s="27" t="s">
        <v>7</v>
      </c>
      <c r="G347" s="27" t="s">
        <v>8</v>
      </c>
      <c r="H347" s="27" t="s">
        <v>7</v>
      </c>
      <c r="I347" s="27" t="s">
        <v>8</v>
      </c>
      <c r="J347" s="27" t="s">
        <v>7</v>
      </c>
      <c r="K347" s="27" t="s">
        <v>8</v>
      </c>
      <c r="DF347" s="27" t="s">
        <v>7</v>
      </c>
      <c r="DG347" s="27" t="s">
        <v>8</v>
      </c>
      <c r="DJ347" s="27" t="s">
        <v>7</v>
      </c>
      <c r="DK347" s="27" t="s">
        <v>8</v>
      </c>
      <c r="DP347" s="27" t="s">
        <v>7</v>
      </c>
      <c r="EI347" s="27" t="s">
        <v>8</v>
      </c>
    </row>
    <row r="348" spans="1:147" x14ac:dyDescent="0.25">
      <c r="A348" s="7">
        <v>113.61640701269044</v>
      </c>
      <c r="B348"/>
      <c r="C348"/>
      <c r="D348"/>
      <c r="E348" t="s">
        <v>8</v>
      </c>
      <c r="F348" s="27" t="s">
        <v>7</v>
      </c>
      <c r="G348" s="27" t="s">
        <v>8</v>
      </c>
      <c r="H348" s="27" t="s">
        <v>7</v>
      </c>
      <c r="I348" s="27" t="s">
        <v>8</v>
      </c>
      <c r="J348" s="27" t="s">
        <v>7</v>
      </c>
      <c r="K348" s="27" t="s">
        <v>8</v>
      </c>
      <c r="DF348" s="27" t="s">
        <v>7</v>
      </c>
      <c r="DG348" s="27" t="s">
        <v>8</v>
      </c>
      <c r="DJ348" s="27" t="s">
        <v>7</v>
      </c>
      <c r="DP348" s="27" t="s">
        <v>7</v>
      </c>
      <c r="EI348" s="27" t="s">
        <v>8</v>
      </c>
    </row>
    <row r="349" spans="1:147" x14ac:dyDescent="0.25">
      <c r="A349" s="7">
        <v>111.38863432616711</v>
      </c>
      <c r="B349"/>
      <c r="C349"/>
      <c r="D349"/>
      <c r="E349" t="s">
        <v>8</v>
      </c>
      <c r="F349" s="27" t="s">
        <v>7</v>
      </c>
      <c r="H349" s="27" t="s">
        <v>7</v>
      </c>
      <c r="I349" s="27" t="s">
        <v>8</v>
      </c>
      <c r="J349" s="27" t="s">
        <v>7</v>
      </c>
      <c r="K349" s="27" t="s">
        <v>8</v>
      </c>
      <c r="DF349" s="27" t="s">
        <v>7</v>
      </c>
      <c r="DG349" s="27" t="s">
        <v>8</v>
      </c>
      <c r="DP349" s="27" t="s">
        <v>7</v>
      </c>
      <c r="EI349" s="27" t="s">
        <v>8</v>
      </c>
    </row>
    <row r="350" spans="1:147" x14ac:dyDescent="0.25">
      <c r="A350" s="7">
        <v>109.20454345702657</v>
      </c>
      <c r="B350"/>
      <c r="C350"/>
      <c r="D350"/>
      <c r="E350" t="s">
        <v>8</v>
      </c>
      <c r="H350" s="27" t="s">
        <v>7</v>
      </c>
      <c r="I350" s="27" t="s">
        <v>8</v>
      </c>
      <c r="J350" s="27" t="s">
        <v>7</v>
      </c>
      <c r="K350" s="27" t="s">
        <v>8</v>
      </c>
      <c r="DF350" s="27" t="s">
        <v>7</v>
      </c>
      <c r="DG350" s="27" t="s">
        <v>8</v>
      </c>
      <c r="DP350" s="27" t="s">
        <v>7</v>
      </c>
      <c r="EI350" s="27" t="s">
        <v>8</v>
      </c>
    </row>
    <row r="351" spans="1:147" x14ac:dyDescent="0.25">
      <c r="A351" s="7">
        <v>107.06327789904566</v>
      </c>
      <c r="B351"/>
      <c r="C351"/>
      <c r="D351"/>
      <c r="E351" t="s">
        <v>8</v>
      </c>
      <c r="H351" s="27" t="s">
        <v>7</v>
      </c>
      <c r="I351" s="27" t="s">
        <v>8</v>
      </c>
      <c r="J351" s="27" t="s">
        <v>7</v>
      </c>
      <c r="K351" s="27" t="s">
        <v>8</v>
      </c>
      <c r="DF351" s="27" t="s">
        <v>7</v>
      </c>
      <c r="DG351" s="27" t="s">
        <v>8</v>
      </c>
      <c r="DP351" s="27" t="s">
        <v>7</v>
      </c>
      <c r="EI351" s="27" t="s">
        <v>8</v>
      </c>
    </row>
    <row r="352" spans="1:147" x14ac:dyDescent="0.25">
      <c r="A352" s="7">
        <v>104.96399794024084</v>
      </c>
      <c r="B352"/>
      <c r="C352"/>
      <c r="D352"/>
      <c r="E352" t="s">
        <v>8</v>
      </c>
      <c r="H352" s="27" t="s">
        <v>7</v>
      </c>
      <c r="J352" s="27" t="s">
        <v>7</v>
      </c>
      <c r="K352" s="27" t="s">
        <v>8</v>
      </c>
      <c r="DF352" s="27" t="s">
        <v>7</v>
      </c>
      <c r="DG352" s="27" t="s">
        <v>8</v>
      </c>
      <c r="DP352" s="27" t="s">
        <v>7</v>
      </c>
      <c r="EI352" s="27" t="s">
        <v>8</v>
      </c>
    </row>
    <row r="353" spans="1:139" x14ac:dyDescent="0.25">
      <c r="A353" s="7">
        <v>102.90588033356946</v>
      </c>
      <c r="B353"/>
      <c r="C353"/>
      <c r="D353"/>
      <c r="E353" t="s">
        <v>8</v>
      </c>
      <c r="J353" s="27" t="s">
        <v>7</v>
      </c>
      <c r="K353" s="27" t="s">
        <v>8</v>
      </c>
      <c r="DF353" s="27" t="s">
        <v>7</v>
      </c>
      <c r="DP353" s="27" t="s">
        <v>7</v>
      </c>
      <c r="EI353" s="27" t="s">
        <v>8</v>
      </c>
    </row>
    <row r="354" spans="1:139" x14ac:dyDescent="0.25">
      <c r="A354" s="7">
        <v>100.88811797408771</v>
      </c>
      <c r="B354"/>
      <c r="C354"/>
      <c r="D354"/>
      <c r="E354" t="s">
        <v>8</v>
      </c>
      <c r="J354" s="27" t="s">
        <v>7</v>
      </c>
      <c r="K354" s="27" t="s">
        <v>8</v>
      </c>
      <c r="DP354" s="27" t="s">
        <v>7</v>
      </c>
      <c r="EI354" s="27" t="s">
        <v>8</v>
      </c>
    </row>
    <row r="355" spans="1:139" x14ac:dyDescent="0.25">
      <c r="A355" s="7">
        <v>98.909919582438931</v>
      </c>
      <c r="B355"/>
      <c r="C355"/>
      <c r="D355"/>
      <c r="E355" t="s">
        <v>8</v>
      </c>
      <c r="J355" s="27" t="s">
        <v>7</v>
      </c>
      <c r="K355" s="27" t="s">
        <v>8</v>
      </c>
      <c r="DP355" s="27" t="s">
        <v>7</v>
      </c>
      <c r="DQ355" s="27" t="s">
        <v>8</v>
      </c>
      <c r="DS355" s="27" t="s">
        <v>8</v>
      </c>
      <c r="EA355" s="27" t="s">
        <v>8</v>
      </c>
      <c r="EI355" s="27" t="s">
        <v>8</v>
      </c>
    </row>
    <row r="356" spans="1:139" x14ac:dyDescent="0.25">
      <c r="A356" s="7">
        <v>96.970509394547975</v>
      </c>
      <c r="B356"/>
      <c r="C356"/>
      <c r="D356"/>
      <c r="E356" t="s">
        <v>8</v>
      </c>
      <c r="J356" s="27" t="s">
        <v>7</v>
      </c>
      <c r="K356" s="27" t="s">
        <v>8</v>
      </c>
      <c r="DP356" s="27" t="s">
        <v>7</v>
      </c>
      <c r="DQ356" s="27" t="s">
        <v>8</v>
      </c>
      <c r="DR356" s="27" t="s">
        <v>7</v>
      </c>
      <c r="DS356" s="27" t="s">
        <v>8</v>
      </c>
      <c r="DT356" s="27" t="s">
        <v>7</v>
      </c>
      <c r="DW356" s="27" t="s">
        <v>8</v>
      </c>
      <c r="EA356" s="27" t="s">
        <v>8</v>
      </c>
      <c r="EB356" s="27" t="s">
        <v>7</v>
      </c>
      <c r="EI356" s="27" t="s">
        <v>8</v>
      </c>
    </row>
    <row r="357" spans="1:139" x14ac:dyDescent="0.25">
      <c r="A357" s="7">
        <v>95.069126857399979</v>
      </c>
      <c r="B357"/>
      <c r="C357"/>
      <c r="D357"/>
      <c r="E357" t="s">
        <v>8</v>
      </c>
      <c r="J357" s="27" t="s">
        <v>7</v>
      </c>
      <c r="K357" s="27" t="s">
        <v>8</v>
      </c>
      <c r="DP357" s="27" t="s">
        <v>7</v>
      </c>
      <c r="DQ357" s="27" t="s">
        <v>8</v>
      </c>
      <c r="DR357" s="27" t="s">
        <v>7</v>
      </c>
      <c r="DS357" s="27" t="s">
        <v>8</v>
      </c>
      <c r="DT357" s="27" t="s">
        <v>7</v>
      </c>
      <c r="DW357" s="27" t="s">
        <v>8</v>
      </c>
      <c r="DX357" s="27" t="s">
        <v>7</v>
      </c>
      <c r="EA357" s="27" t="s">
        <v>8</v>
      </c>
      <c r="EB357" s="27" t="s">
        <v>7</v>
      </c>
      <c r="EI357" s="27" t="s">
        <v>8</v>
      </c>
    </row>
    <row r="358" spans="1:139" x14ac:dyDescent="0.25">
      <c r="A358" s="7">
        <v>93.205026330784293</v>
      </c>
      <c r="B358"/>
      <c r="C358"/>
      <c r="D358"/>
      <c r="E358" t="s">
        <v>8</v>
      </c>
      <c r="J358" s="27" t="s">
        <v>7</v>
      </c>
      <c r="K358" s="27" t="s">
        <v>8</v>
      </c>
      <c r="DP358" s="27" t="s">
        <v>7</v>
      </c>
      <c r="DQ358" s="27" t="s">
        <v>8</v>
      </c>
      <c r="DR358" s="27" t="s">
        <v>7</v>
      </c>
      <c r="DS358" s="27" t="s">
        <v>8</v>
      </c>
      <c r="DT358" s="27" t="s">
        <v>7</v>
      </c>
      <c r="DU358" s="27" t="s">
        <v>8</v>
      </c>
      <c r="DW358" s="27" t="s">
        <v>8</v>
      </c>
      <c r="DX358" s="27" t="s">
        <v>7</v>
      </c>
      <c r="EA358" s="27" t="s">
        <v>8</v>
      </c>
      <c r="EB358" s="27" t="s">
        <v>7</v>
      </c>
      <c r="EI358" s="27" t="s">
        <v>8</v>
      </c>
    </row>
    <row r="359" spans="1:139" x14ac:dyDescent="0.25">
      <c r="A359" s="7">
        <v>91.377476794886562</v>
      </c>
      <c r="B359"/>
      <c r="C359"/>
      <c r="D359"/>
      <c r="E359" t="s">
        <v>8</v>
      </c>
      <c r="J359" s="27" t="s">
        <v>7</v>
      </c>
      <c r="K359" s="27" t="s">
        <v>8</v>
      </c>
      <c r="DP359" s="27" t="s">
        <v>7</v>
      </c>
      <c r="DQ359" s="27" t="s">
        <v>8</v>
      </c>
      <c r="DR359" s="27" t="s">
        <v>7</v>
      </c>
      <c r="DS359" s="27" t="s">
        <v>8</v>
      </c>
      <c r="DT359" s="27" t="s">
        <v>7</v>
      </c>
      <c r="DU359" s="27" t="s">
        <v>8</v>
      </c>
      <c r="DV359" s="27" t="s">
        <v>7</v>
      </c>
      <c r="DW359" s="27" t="s">
        <v>8</v>
      </c>
      <c r="DX359" s="27" t="s">
        <v>7</v>
      </c>
      <c r="EA359" s="27" t="s">
        <v>8</v>
      </c>
      <c r="EB359" s="27" t="s">
        <v>7</v>
      </c>
      <c r="EG359" s="27" t="s">
        <v>8</v>
      </c>
      <c r="EI359" s="27" t="s">
        <v>8</v>
      </c>
    </row>
    <row r="360" spans="1:139" x14ac:dyDescent="0.25">
      <c r="A360" s="7">
        <v>89.58576156361427</v>
      </c>
      <c r="B360"/>
      <c r="C360"/>
      <c r="D360"/>
      <c r="E360" t="s">
        <v>8</v>
      </c>
      <c r="J360" s="27" t="s">
        <v>7</v>
      </c>
      <c r="K360" s="27" t="s">
        <v>8</v>
      </c>
      <c r="DP360" s="27" t="s">
        <v>7</v>
      </c>
      <c r="DQ360" s="27" t="s">
        <v>8</v>
      </c>
      <c r="DR360" s="27" t="s">
        <v>7</v>
      </c>
      <c r="DS360" s="27" t="s">
        <v>8</v>
      </c>
      <c r="DT360" s="27" t="s">
        <v>7</v>
      </c>
      <c r="DU360" s="27" t="s">
        <v>8</v>
      </c>
      <c r="DV360" s="27" t="s">
        <v>7</v>
      </c>
      <c r="DW360" s="27" t="s">
        <v>8</v>
      </c>
      <c r="DX360" s="27" t="s">
        <v>7</v>
      </c>
      <c r="EA360" s="27" t="s">
        <v>8</v>
      </c>
      <c r="EB360" s="27" t="s">
        <v>7</v>
      </c>
      <c r="EE360" s="27" t="s">
        <v>8</v>
      </c>
      <c r="EG360" s="27" t="s">
        <v>8</v>
      </c>
      <c r="EH360" s="27" t="s">
        <v>7</v>
      </c>
      <c r="EI360" s="27" t="s">
        <v>8</v>
      </c>
    </row>
    <row r="361" spans="1:139" x14ac:dyDescent="0.25">
      <c r="A361" s="7">
        <v>87.829178003543404</v>
      </c>
      <c r="B361"/>
      <c r="C361"/>
      <c r="D361"/>
      <c r="E361" t="s">
        <v>8</v>
      </c>
      <c r="J361" s="27" t="s">
        <v>7</v>
      </c>
      <c r="K361" s="27" t="s">
        <v>8</v>
      </c>
      <c r="DP361" s="27" t="s">
        <v>7</v>
      </c>
      <c r="DQ361" s="27" t="s">
        <v>8</v>
      </c>
      <c r="DR361" s="27" t="s">
        <v>7</v>
      </c>
      <c r="DS361" s="27" t="s">
        <v>8</v>
      </c>
      <c r="DT361" s="27" t="s">
        <v>7</v>
      </c>
      <c r="DU361" s="27" t="s">
        <v>8</v>
      </c>
      <c r="DV361" s="27" t="s">
        <v>7</v>
      </c>
      <c r="DW361" s="27" t="s">
        <v>8</v>
      </c>
      <c r="DX361" s="27" t="s">
        <v>7</v>
      </c>
      <c r="EA361" s="27" t="s">
        <v>8</v>
      </c>
      <c r="EB361" s="27" t="s">
        <v>7</v>
      </c>
      <c r="EE361" s="27" t="s">
        <v>8</v>
      </c>
      <c r="EF361" s="27" t="s">
        <v>7</v>
      </c>
      <c r="EG361" s="27" t="s">
        <v>8</v>
      </c>
      <c r="EH361" s="27" t="s">
        <v>7</v>
      </c>
      <c r="EI361" s="27" t="s">
        <v>8</v>
      </c>
    </row>
    <row r="362" spans="1:139" x14ac:dyDescent="0.25">
      <c r="A362" s="7">
        <v>86.107037258375883</v>
      </c>
      <c r="B362"/>
      <c r="C362"/>
      <c r="D362"/>
      <c r="E362" t="s">
        <v>8</v>
      </c>
      <c r="J362" s="27" t="s">
        <v>7</v>
      </c>
      <c r="K362" s="27" t="s">
        <v>8</v>
      </c>
      <c r="DP362" s="27" t="s">
        <v>7</v>
      </c>
      <c r="DQ362" s="27" t="s">
        <v>8</v>
      </c>
      <c r="DR362" s="27" t="s">
        <v>7</v>
      </c>
      <c r="DS362" s="27" t="s">
        <v>8</v>
      </c>
      <c r="DT362" s="27" t="s">
        <v>7</v>
      </c>
      <c r="DU362" s="27" t="s">
        <v>8</v>
      </c>
      <c r="DV362" s="27" t="s">
        <v>7</v>
      </c>
      <c r="DW362" s="27" t="s">
        <v>8</v>
      </c>
      <c r="DX362" s="27" t="s">
        <v>7</v>
      </c>
      <c r="DY362" s="27" t="s">
        <v>8</v>
      </c>
      <c r="EA362" s="27" t="s">
        <v>8</v>
      </c>
      <c r="EB362" s="27" t="s">
        <v>7</v>
      </c>
      <c r="EE362" s="27" t="s">
        <v>8</v>
      </c>
      <c r="EF362" s="27" t="s">
        <v>7</v>
      </c>
      <c r="EG362" s="27" t="s">
        <v>8</v>
      </c>
      <c r="EH362" s="27" t="s">
        <v>7</v>
      </c>
      <c r="EI362" s="27" t="s">
        <v>8</v>
      </c>
    </row>
    <row r="363" spans="1:139" x14ac:dyDescent="0.25">
      <c r="A363" s="7">
        <v>84.418663978799884</v>
      </c>
      <c r="B363"/>
      <c r="C363"/>
      <c r="D363"/>
      <c r="E363" t="s">
        <v>8</v>
      </c>
      <c r="J363" s="27" t="s">
        <v>7</v>
      </c>
      <c r="K363" s="27" t="s">
        <v>8</v>
      </c>
      <c r="DP363" s="27" t="s">
        <v>7</v>
      </c>
      <c r="DQ363" s="27" t="s">
        <v>8</v>
      </c>
      <c r="DR363" s="27" t="s">
        <v>7</v>
      </c>
      <c r="DS363" s="27" t="s">
        <v>8</v>
      </c>
      <c r="DT363" s="27" t="s">
        <v>7</v>
      </c>
      <c r="DU363" s="27" t="s">
        <v>8</v>
      </c>
      <c r="DV363" s="27" t="s">
        <v>7</v>
      </c>
      <c r="DX363" s="27" t="s">
        <v>7</v>
      </c>
      <c r="DY363" s="27" t="s">
        <v>8</v>
      </c>
      <c r="DZ363" s="27" t="s">
        <v>7</v>
      </c>
      <c r="EA363" s="27" t="s">
        <v>8</v>
      </c>
      <c r="EB363" s="27" t="s">
        <v>7</v>
      </c>
      <c r="EE363" s="27" t="s">
        <v>8</v>
      </c>
      <c r="EF363" s="27" t="s">
        <v>7</v>
      </c>
      <c r="EG363" s="27" t="s">
        <v>8</v>
      </c>
      <c r="EH363" s="27" t="s">
        <v>7</v>
      </c>
      <c r="EI363" s="27" t="s">
        <v>8</v>
      </c>
    </row>
    <row r="364" spans="1:139" x14ac:dyDescent="0.25">
      <c r="A364" s="7">
        <v>82.763396057646943</v>
      </c>
      <c r="B364"/>
      <c r="C364"/>
      <c r="D364"/>
      <c r="E364" t="s">
        <v>8</v>
      </c>
      <c r="J364" s="27" t="s">
        <v>7</v>
      </c>
      <c r="DP364" s="27" t="s">
        <v>7</v>
      </c>
      <c r="DQ364" s="27" t="s">
        <v>8</v>
      </c>
      <c r="DR364" s="27" t="s">
        <v>7</v>
      </c>
      <c r="DS364" s="27" t="s">
        <v>8</v>
      </c>
      <c r="DT364" s="27" t="s">
        <v>7</v>
      </c>
      <c r="DU364" s="27" t="s">
        <v>8</v>
      </c>
      <c r="DX364" s="27" t="s">
        <v>7</v>
      </c>
      <c r="DY364" s="27" t="s">
        <v>8</v>
      </c>
      <c r="DZ364" s="27" t="s">
        <v>7</v>
      </c>
      <c r="EA364" s="27" t="s">
        <v>8</v>
      </c>
      <c r="EB364" s="27" t="s">
        <v>7</v>
      </c>
      <c r="EE364" s="27" t="s">
        <v>8</v>
      </c>
      <c r="EF364" s="27" t="s">
        <v>7</v>
      </c>
      <c r="EG364" s="27" t="s">
        <v>8</v>
      </c>
      <c r="EH364" s="27" t="s">
        <v>7</v>
      </c>
    </row>
    <row r="365" spans="1:139" x14ac:dyDescent="0.25">
      <c r="A365" s="7">
        <v>81.140584370242095</v>
      </c>
      <c r="B365"/>
      <c r="C365"/>
      <c r="D365"/>
      <c r="E365" t="s">
        <v>8</v>
      </c>
      <c r="DP365" s="27" t="s">
        <v>7</v>
      </c>
      <c r="DR365" s="27" t="s">
        <v>7</v>
      </c>
      <c r="DS365" s="27" t="s">
        <v>8</v>
      </c>
      <c r="DT365" s="27" t="s">
        <v>7</v>
      </c>
      <c r="DX365" s="27" t="s">
        <v>7</v>
      </c>
      <c r="DZ365" s="27" t="s">
        <v>7</v>
      </c>
      <c r="EA365" s="27" t="s">
        <v>8</v>
      </c>
      <c r="EB365" s="27" t="s">
        <v>7</v>
      </c>
      <c r="EC365" s="27" t="s">
        <v>8</v>
      </c>
      <c r="EE365" s="27" t="s">
        <v>8</v>
      </c>
      <c r="EF365" s="27" t="s">
        <v>7</v>
      </c>
      <c r="EG365" s="27" t="s">
        <v>8</v>
      </c>
    </row>
    <row r="366" spans="1:139" x14ac:dyDescent="0.25">
      <c r="A366" s="7">
        <v>79.549592519845191</v>
      </c>
      <c r="B366"/>
      <c r="C366"/>
      <c r="D366"/>
      <c r="E366" t="s">
        <v>8</v>
      </c>
      <c r="DR366" s="27" t="s">
        <v>7</v>
      </c>
      <c r="DS366" s="27" t="s">
        <v>8</v>
      </c>
      <c r="DZ366" s="27" t="s">
        <v>7</v>
      </c>
      <c r="EA366" s="27" t="s">
        <v>8</v>
      </c>
      <c r="EB366" s="27" t="s">
        <v>7</v>
      </c>
      <c r="EC366" s="27" t="s">
        <v>8</v>
      </c>
      <c r="ED366" s="27" t="s">
        <v>7</v>
      </c>
      <c r="EE366" s="27" t="s">
        <v>8</v>
      </c>
      <c r="EF366" s="27" t="s">
        <v>7</v>
      </c>
    </row>
    <row r="367" spans="1:139" x14ac:dyDescent="0.25">
      <c r="A367" s="7">
        <v>77.989796588083522</v>
      </c>
      <c r="B367"/>
      <c r="C367"/>
      <c r="D367"/>
      <c r="E367" t="s">
        <v>8</v>
      </c>
      <c r="DR367" s="27" t="s">
        <v>7</v>
      </c>
      <c r="DS367" s="27" t="s">
        <v>8</v>
      </c>
      <c r="DZ367" s="27" t="s">
        <v>7</v>
      </c>
      <c r="EA367" s="27" t="s">
        <v>8</v>
      </c>
      <c r="EB367" s="27" t="s">
        <v>7</v>
      </c>
      <c r="EC367" s="27" t="s">
        <v>8</v>
      </c>
      <c r="ED367" s="27" t="s">
        <v>7</v>
      </c>
      <c r="EE367" s="27" t="s">
        <v>8</v>
      </c>
    </row>
    <row r="368" spans="1:139" x14ac:dyDescent="0.25">
      <c r="A368" s="7">
        <v>76.460584890277957</v>
      </c>
      <c r="B368"/>
      <c r="C368"/>
      <c r="D368"/>
      <c r="E368" t="s">
        <v>8</v>
      </c>
      <c r="DR368" s="27" t="s">
        <v>7</v>
      </c>
      <c r="DZ368" s="27" t="s">
        <v>7</v>
      </c>
      <c r="EA368" s="27" t="s">
        <v>8</v>
      </c>
      <c r="EB368" s="27" t="s">
        <v>7</v>
      </c>
      <c r="EC368" s="27" t="s">
        <v>8</v>
      </c>
      <c r="ED368" s="27" t="s">
        <v>7</v>
      </c>
    </row>
    <row r="369" spans="1:133" x14ac:dyDescent="0.25">
      <c r="A369" s="7">
        <v>74.961357735566622</v>
      </c>
      <c r="B369"/>
      <c r="C369"/>
      <c r="D369"/>
      <c r="E369" t="s">
        <v>8</v>
      </c>
      <c r="DZ369" s="27" t="s">
        <v>7</v>
      </c>
      <c r="EA369" s="27" t="s">
        <v>8</v>
      </c>
      <c r="EB369" s="27" t="s">
        <v>7</v>
      </c>
      <c r="EC369" s="27" t="s">
        <v>8</v>
      </c>
    </row>
    <row r="370" spans="1:133" x14ac:dyDescent="0.25">
      <c r="A370" s="7">
        <v>73.491527191731976</v>
      </c>
      <c r="B370"/>
      <c r="C370"/>
      <c r="D370"/>
      <c r="E370" t="s">
        <v>8</v>
      </c>
      <c r="DZ370" s="27" t="s">
        <v>7</v>
      </c>
      <c r="EA370" s="27" t="s">
        <v>8</v>
      </c>
      <c r="EB370" s="27" t="s">
        <v>7</v>
      </c>
      <c r="EC370" s="27" t="s">
        <v>8</v>
      </c>
    </row>
    <row r="371" spans="1:133" x14ac:dyDescent="0.25">
      <c r="A371" s="7">
        <v>72.050516854639184</v>
      </c>
      <c r="B371"/>
      <c r="C371"/>
      <c r="D371"/>
      <c r="E371" t="s">
        <v>8</v>
      </c>
      <c r="DZ371" s="27" t="s">
        <v>7</v>
      </c>
      <c r="EA371" s="27" t="s">
        <v>8</v>
      </c>
      <c r="EB371" s="27" t="s">
        <v>7</v>
      </c>
      <c r="EC371" s="27" t="s">
        <v>8</v>
      </c>
    </row>
    <row r="372" spans="1:133" x14ac:dyDescent="0.25">
      <c r="A372" s="7">
        <v>70.637761622195271</v>
      </c>
      <c r="B372"/>
      <c r="C372"/>
      <c r="D372"/>
      <c r="E372" t="s">
        <v>8</v>
      </c>
      <c r="DZ372" s="27" t="s">
        <v>7</v>
      </c>
      <c r="EA372" s="27" t="s">
        <v>8</v>
      </c>
      <c r="EB372" s="27" t="s">
        <v>7</v>
      </c>
      <c r="EC372" s="27" t="s">
        <v>8</v>
      </c>
    </row>
    <row r="373" spans="1:133" x14ac:dyDescent="0.25">
      <c r="A373" s="7">
        <v>69.252707472740454</v>
      </c>
      <c r="B373"/>
      <c r="C373"/>
      <c r="D373"/>
      <c r="E373" t="s">
        <v>8</v>
      </c>
      <c r="DZ373" s="27" t="s">
        <v>7</v>
      </c>
      <c r="EA373" s="27" t="s">
        <v>8</v>
      </c>
      <c r="EB373" s="18" t="s">
        <v>7</v>
      </c>
      <c r="EC373" s="27" t="s">
        <v>8</v>
      </c>
    </row>
    <row r="374" spans="1:133" x14ac:dyDescent="0.25">
      <c r="A374" s="7">
        <v>67.894811247784759</v>
      </c>
      <c r="B374"/>
      <c r="C374"/>
      <c r="D374"/>
      <c r="E374" t="s">
        <v>8</v>
      </c>
      <c r="DZ374" s="27" t="s">
        <v>7</v>
      </c>
      <c r="EB374" s="27" t="s">
        <v>7</v>
      </c>
      <c r="EC374" s="27" t="s">
        <v>8</v>
      </c>
    </row>
    <row r="375" spans="1:133" x14ac:dyDescent="0.25">
      <c r="A375" s="7">
        <v>66.563540439004669</v>
      </c>
      <c r="B375"/>
      <c r="C375"/>
      <c r="D375"/>
      <c r="E375" t="s">
        <v>8</v>
      </c>
      <c r="EB375" s="27" t="s">
        <v>7</v>
      </c>
      <c r="EC375" s="27" t="s">
        <v>8</v>
      </c>
    </row>
    <row r="376" spans="1:133" x14ac:dyDescent="0.25">
      <c r="A376" s="7">
        <v>65.258372979416336</v>
      </c>
      <c r="B376"/>
      <c r="C376"/>
      <c r="D376"/>
      <c r="E376" t="s">
        <v>8</v>
      </c>
      <c r="EB376" s="27" t="s">
        <v>7</v>
      </c>
    </row>
    <row r="377" spans="1:133" x14ac:dyDescent="0.25">
      <c r="A377" s="7">
        <v>63.978797038643471</v>
      </c>
      <c r="B377"/>
      <c r="C377"/>
      <c r="D377"/>
      <c r="E377" t="s">
        <v>8</v>
      </c>
    </row>
    <row r="378" spans="1:133" x14ac:dyDescent="0.25">
      <c r="A378" s="7">
        <v>62.724310822199477</v>
      </c>
      <c r="B378"/>
      <c r="C378"/>
      <c r="D378"/>
      <c r="E378" t="s">
        <v>8</v>
      </c>
    </row>
    <row r="379" spans="1:133" x14ac:dyDescent="0.25">
      <c r="A379" s="7">
        <v>61.494422374705366</v>
      </c>
      <c r="B379"/>
      <c r="C379"/>
      <c r="D379"/>
      <c r="E379" t="s">
        <v>8</v>
      </c>
    </row>
    <row r="380" spans="1:133" x14ac:dyDescent="0.25">
      <c r="A380" s="7">
        <v>60.288649386966043</v>
      </c>
      <c r="B380"/>
      <c r="C380"/>
      <c r="D380"/>
      <c r="E380" t="s">
        <v>8</v>
      </c>
    </row>
    <row r="381" spans="1:133" x14ac:dyDescent="0.25">
      <c r="A381" s="7">
        <v>59.106519006829451</v>
      </c>
      <c r="B381"/>
      <c r="C381"/>
      <c r="D381"/>
      <c r="E381" t="s">
        <v>8</v>
      </c>
    </row>
    <row r="382" spans="1:133" x14ac:dyDescent="0.25">
      <c r="A382" s="7">
        <v>57.947567653754362</v>
      </c>
      <c r="B382"/>
      <c r="C382"/>
      <c r="D382"/>
      <c r="E382" t="s">
        <v>8</v>
      </c>
    </row>
    <row r="383" spans="1:133" x14ac:dyDescent="0.25">
      <c r="A383" s="7">
        <v>56.811340837014079</v>
      </c>
      <c r="B383"/>
      <c r="C383"/>
      <c r="D383"/>
      <c r="E383" t="s">
        <v>8</v>
      </c>
    </row>
    <row r="384" spans="1:133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56" operator="equal">
      <formula>$U$1</formula>
    </cfRule>
    <cfRule type="cellIs" dxfId="89" priority="857" operator="equal">
      <formula>$S$1</formula>
    </cfRule>
  </conditionalFormatting>
  <conditionalFormatting sqref="D27">
    <cfRule type="cellIs" dxfId="88" priority="854" operator="equal">
      <formula>$S$1</formula>
    </cfRule>
    <cfRule type="cellIs" dxfId="87" priority="855" operator="equal">
      <formula>$U$1</formula>
    </cfRule>
  </conditionalFormatting>
  <conditionalFormatting sqref="C164">
    <cfRule type="cellIs" dxfId="86" priority="852" operator="equal">
      <formula>$U$1</formula>
    </cfRule>
    <cfRule type="cellIs" dxfId="85" priority="853" operator="equal">
      <formula>$S$1</formula>
    </cfRule>
  </conditionalFormatting>
  <conditionalFormatting sqref="D164">
    <cfRule type="cellIs" dxfId="84" priority="850" operator="equal">
      <formula>$S$1</formula>
    </cfRule>
    <cfRule type="cellIs" dxfId="83" priority="851" operator="equal">
      <formula>$U$1</formula>
    </cfRule>
  </conditionalFormatting>
  <conditionalFormatting sqref="C55">
    <cfRule type="cellIs" dxfId="82" priority="848" operator="equal">
      <formula>$U$1</formula>
    </cfRule>
    <cfRule type="cellIs" dxfId="81" priority="849" operator="equal">
      <formula>$S$1</formula>
    </cfRule>
  </conditionalFormatting>
  <conditionalFormatting sqref="D55">
    <cfRule type="cellIs" dxfId="80" priority="846" operator="equal">
      <formula>$S$1</formula>
    </cfRule>
    <cfRule type="cellIs" dxfId="79" priority="847" operator="equal">
      <formula>$U$1</formula>
    </cfRule>
  </conditionalFormatting>
  <conditionalFormatting sqref="C89">
    <cfRule type="cellIs" dxfId="78" priority="844" operator="equal">
      <formula>$U$1</formula>
    </cfRule>
    <cfRule type="cellIs" dxfId="77" priority="845" operator="equal">
      <formula>$S$1</formula>
    </cfRule>
  </conditionalFormatting>
  <conditionalFormatting sqref="D89">
    <cfRule type="cellIs" dxfId="76" priority="842" operator="equal">
      <formula>$S$1</formula>
    </cfRule>
    <cfRule type="cellIs" dxfId="75" priority="843" operator="equal">
      <formula>$U$1</formula>
    </cfRule>
  </conditionalFormatting>
  <conditionalFormatting sqref="C136">
    <cfRule type="cellIs" dxfId="74" priority="840" operator="equal">
      <formula>$U$1</formula>
    </cfRule>
    <cfRule type="cellIs" dxfId="73" priority="841" operator="equal">
      <formula>$S$1</formula>
    </cfRule>
  </conditionalFormatting>
  <conditionalFormatting sqref="D136">
    <cfRule type="cellIs" dxfId="72" priority="838" operator="equal">
      <formula>$S$1</formula>
    </cfRule>
    <cfRule type="cellIs" dxfId="71" priority="839" operator="equal">
      <formula>$U$1</formula>
    </cfRule>
  </conditionalFormatting>
  <conditionalFormatting sqref="C1">
    <cfRule type="cellIs" dxfId="70" priority="83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2" zoomScale="90" zoomScaleNormal="90" workbookViewId="0">
      <pane xSplit="4" topLeftCell="BS1" activePane="topRight" state="frozen"/>
      <selection activeCell="A109" sqref="A109"/>
      <selection pane="topRight" activeCell="FA95" sqref="FA9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157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157" x14ac:dyDescent="0.25">
      <c r="A82" s="30">
        <v>2227.9695606549776</v>
      </c>
      <c r="E82"/>
    </row>
    <row r="83" spans="1:157" x14ac:dyDescent="0.25">
      <c r="A83" s="30">
        <v>2121.8757720523595</v>
      </c>
      <c r="E83"/>
    </row>
    <row r="84" spans="1:157" x14ac:dyDescent="0.25">
      <c r="A84" s="30">
        <v>2020.8340686212948</v>
      </c>
      <c r="E84"/>
      <c r="DW84" s="27" t="s">
        <v>8</v>
      </c>
    </row>
    <row r="85" spans="1:157" x14ac:dyDescent="0.25">
      <c r="A85" s="30">
        <v>1924.6038748774236</v>
      </c>
      <c r="E85"/>
      <c r="DW85" s="27" t="s">
        <v>8</v>
      </c>
      <c r="DX85" s="27" t="s">
        <v>7</v>
      </c>
      <c r="DY85" s="27" t="s">
        <v>8</v>
      </c>
      <c r="EU85" s="27" t="s">
        <v>8</v>
      </c>
    </row>
    <row r="86" spans="1:157" x14ac:dyDescent="0.25">
      <c r="A86" s="30">
        <v>1832.9560713118319</v>
      </c>
      <c r="E86"/>
      <c r="DW86" s="27" t="s">
        <v>8</v>
      </c>
      <c r="DX86" s="27" t="s">
        <v>7</v>
      </c>
      <c r="DY86" s="27" t="s">
        <v>8</v>
      </c>
      <c r="DZ86" s="27" t="s">
        <v>7</v>
      </c>
      <c r="EU86" s="27" t="s">
        <v>8</v>
      </c>
      <c r="EV86" s="27" t="s">
        <v>7</v>
      </c>
    </row>
    <row r="87" spans="1:157" x14ac:dyDescent="0.25">
      <c r="A87" s="30">
        <v>1745.6724488684113</v>
      </c>
      <c r="E87"/>
      <c r="DW87" s="27" t="s">
        <v>8</v>
      </c>
      <c r="DX87" s="27" t="s">
        <v>7</v>
      </c>
      <c r="DY87" s="27" t="s">
        <v>8</v>
      </c>
      <c r="DZ87" s="27" t="s">
        <v>7</v>
      </c>
      <c r="EC87" s="27" t="s">
        <v>8</v>
      </c>
      <c r="EU87" s="27" t="s">
        <v>8</v>
      </c>
      <c r="EV87" s="27" t="s">
        <v>7</v>
      </c>
    </row>
    <row r="88" spans="1:157" x14ac:dyDescent="0.25">
      <c r="A88" s="30">
        <v>1662.5451893984869</v>
      </c>
      <c r="E88"/>
      <c r="DW88" s="27" t="s">
        <v>8</v>
      </c>
      <c r="DX88" s="27" t="s">
        <v>7</v>
      </c>
      <c r="DY88" s="27" t="s">
        <v>8</v>
      </c>
      <c r="DZ88" s="27" t="s">
        <v>7</v>
      </c>
      <c r="EC88" s="27" t="s">
        <v>8</v>
      </c>
      <c r="ED88" s="27" t="s">
        <v>7</v>
      </c>
      <c r="EU88" s="27" t="s">
        <v>8</v>
      </c>
      <c r="EV88" s="27" t="s">
        <v>7</v>
      </c>
      <c r="EW88" s="27" t="s">
        <v>8</v>
      </c>
    </row>
    <row r="89" spans="1:157" x14ac:dyDescent="0.25">
      <c r="A89" s="30">
        <v>1583.3763708557017</v>
      </c>
      <c r="E89"/>
      <c r="DW89" s="27" t="s">
        <v>8</v>
      </c>
      <c r="DX89" s="27" t="s">
        <v>7</v>
      </c>
      <c r="DY89" s="27" t="s">
        <v>8</v>
      </c>
      <c r="DZ89" s="27" t="s">
        <v>7</v>
      </c>
      <c r="EC89" s="27" t="s">
        <v>8</v>
      </c>
      <c r="ED89" s="27" t="s">
        <v>7</v>
      </c>
      <c r="EU89" s="27" t="s">
        <v>8</v>
      </c>
      <c r="EV89" s="27" t="s">
        <v>7</v>
      </c>
      <c r="EW89" s="27" t="s">
        <v>8</v>
      </c>
      <c r="EX89" s="27" t="s">
        <v>7</v>
      </c>
    </row>
    <row r="90" spans="1:157" x14ac:dyDescent="0.25">
      <c r="A90" s="30">
        <v>1507.9774960530492</v>
      </c>
      <c r="E90"/>
      <c r="DW90" s="27" t="s">
        <v>8</v>
      </c>
      <c r="DX90" s="27" t="s">
        <v>7</v>
      </c>
      <c r="DY90" s="27" t="s">
        <v>8</v>
      </c>
      <c r="DZ90" s="27" t="s">
        <v>7</v>
      </c>
      <c r="EC90" s="27" t="s">
        <v>8</v>
      </c>
      <c r="ED90" s="27" t="s">
        <v>7</v>
      </c>
      <c r="EU90" s="27" t="s">
        <v>8</v>
      </c>
      <c r="EV90" s="27" t="s">
        <v>7</v>
      </c>
      <c r="EW90" s="27" t="s">
        <v>8</v>
      </c>
      <c r="EX90" s="27" t="s">
        <v>7</v>
      </c>
    </row>
    <row r="91" spans="1:157" x14ac:dyDescent="0.25">
      <c r="A91" s="30">
        <v>1436.1690438600467</v>
      </c>
      <c r="E91"/>
      <c r="DW91" s="27" t="s">
        <v>8</v>
      </c>
      <c r="DX91" s="27" t="s">
        <v>7</v>
      </c>
      <c r="DZ91" s="27" t="s">
        <v>7</v>
      </c>
      <c r="EC91" s="27" t="s">
        <v>8</v>
      </c>
      <c r="ED91" s="27" t="s">
        <v>7</v>
      </c>
      <c r="EU91" s="27" t="s">
        <v>8</v>
      </c>
      <c r="EV91" s="27" t="s">
        <v>7</v>
      </c>
      <c r="EW91" s="27" t="s">
        <v>8</v>
      </c>
      <c r="EX91" s="27" t="s">
        <v>7</v>
      </c>
    </row>
    <row r="92" spans="1:157" x14ac:dyDescent="0.25">
      <c r="A92" s="30">
        <v>1367.780041771473</v>
      </c>
      <c r="E92"/>
      <c r="DU92" s="27" t="s">
        <v>8</v>
      </c>
      <c r="DW92" s="27" t="s">
        <v>8</v>
      </c>
      <c r="DZ92" s="27" t="s">
        <v>7</v>
      </c>
      <c r="EA92" s="27" t="s">
        <v>8</v>
      </c>
      <c r="EC92" s="27" t="s">
        <v>8</v>
      </c>
      <c r="ED92" s="27" t="s">
        <v>7</v>
      </c>
      <c r="EQ92" s="27" t="s">
        <v>8</v>
      </c>
      <c r="ES92" s="27" t="s">
        <v>8</v>
      </c>
      <c r="EU92" s="27" t="s">
        <v>8</v>
      </c>
      <c r="EV92" s="27" t="s">
        <v>7</v>
      </c>
      <c r="EX92" s="27" t="s">
        <v>7</v>
      </c>
    </row>
    <row r="93" spans="1:157" x14ac:dyDescent="0.25">
      <c r="A93" s="30">
        <v>1302.6476588299743</v>
      </c>
      <c r="E93"/>
      <c r="DU93" s="27" t="s">
        <v>8</v>
      </c>
      <c r="DV93" s="27" t="s">
        <v>7</v>
      </c>
      <c r="DW93" s="27" t="s">
        <v>8</v>
      </c>
      <c r="DZ93" s="27" t="s">
        <v>7</v>
      </c>
      <c r="EA93" s="27" t="s">
        <v>8</v>
      </c>
      <c r="EB93" s="27" t="s">
        <v>7</v>
      </c>
      <c r="EC93" s="27" t="s">
        <v>8</v>
      </c>
      <c r="ED93" s="27" t="s">
        <v>7</v>
      </c>
      <c r="EE93" s="27" t="s">
        <v>8</v>
      </c>
      <c r="EQ93" s="27" t="s">
        <v>8</v>
      </c>
      <c r="ER93" s="27" t="s">
        <v>7</v>
      </c>
      <c r="ES93" s="27" t="s">
        <v>8</v>
      </c>
      <c r="ET93" s="27" t="s">
        <v>7</v>
      </c>
      <c r="EU93" s="27" t="s">
        <v>8</v>
      </c>
      <c r="EX93" s="27" t="s">
        <v>7</v>
      </c>
      <c r="EY93" s="27" t="s">
        <v>8</v>
      </c>
    </row>
    <row r="94" spans="1:157" x14ac:dyDescent="0.25">
      <c r="A94" s="30">
        <v>1240.6168179333088</v>
      </c>
      <c r="E94"/>
      <c r="DU94" s="27" t="s">
        <v>8</v>
      </c>
      <c r="DV94" s="27" t="s">
        <v>7</v>
      </c>
      <c r="DW94" s="27" t="s">
        <v>8</v>
      </c>
      <c r="DZ94" s="27" t="s">
        <v>7</v>
      </c>
      <c r="EA94" s="27" t="s">
        <v>8</v>
      </c>
      <c r="EB94" s="27" t="s">
        <v>7</v>
      </c>
      <c r="EC94" s="27" t="s">
        <v>8</v>
      </c>
      <c r="ED94" s="27" t="s">
        <v>7</v>
      </c>
      <c r="EE94" s="27" t="s">
        <v>8</v>
      </c>
      <c r="EF94" s="27" t="s">
        <v>7</v>
      </c>
      <c r="EQ94" s="27" t="s">
        <v>8</v>
      </c>
      <c r="ER94" s="27" t="s">
        <v>7</v>
      </c>
      <c r="ES94" s="27" t="s">
        <v>8</v>
      </c>
      <c r="ET94" s="27" t="s">
        <v>7</v>
      </c>
      <c r="EU94" s="27" t="s">
        <v>8</v>
      </c>
      <c r="EX94" s="27" t="s">
        <v>7</v>
      </c>
      <c r="EY94" s="27" t="s">
        <v>8</v>
      </c>
      <c r="EZ94" s="27" t="s">
        <v>7</v>
      </c>
    </row>
    <row r="95" spans="1:157" x14ac:dyDescent="0.25">
      <c r="A95" s="30">
        <v>1181.5398266031511</v>
      </c>
      <c r="E95"/>
      <c r="DU95" s="27" t="s">
        <v>8</v>
      </c>
      <c r="DV95" s="27" t="s">
        <v>7</v>
      </c>
      <c r="DW95" s="27" t="s">
        <v>8</v>
      </c>
      <c r="DZ95" s="27" t="s">
        <v>7</v>
      </c>
      <c r="EB95" s="27" t="s">
        <v>7</v>
      </c>
      <c r="EC95" s="27" t="s">
        <v>8</v>
      </c>
      <c r="ED95" s="27" t="s">
        <v>7</v>
      </c>
      <c r="EE95" s="27" t="s">
        <v>8</v>
      </c>
      <c r="EF95" s="27" t="s">
        <v>7</v>
      </c>
      <c r="EQ95" s="27" t="s">
        <v>8</v>
      </c>
      <c r="ER95" s="27" t="s">
        <v>7</v>
      </c>
      <c r="ES95" s="27" t="s">
        <v>8</v>
      </c>
      <c r="ET95" s="27" t="s">
        <v>7</v>
      </c>
      <c r="EU95" s="27" t="s">
        <v>8</v>
      </c>
      <c r="EX95" s="27" t="s">
        <v>7</v>
      </c>
      <c r="EY95" s="27" t="s">
        <v>8</v>
      </c>
      <c r="EZ95" s="27" t="s">
        <v>7</v>
      </c>
      <c r="FA95" s="27" t="s">
        <v>8</v>
      </c>
    </row>
    <row r="96" spans="1:157" x14ac:dyDescent="0.25">
      <c r="A96" s="30">
        <v>1125.2760253363344</v>
      </c>
      <c r="C96" s="1" t="s">
        <v>15</v>
      </c>
      <c r="E96"/>
      <c r="DU96" s="27" t="s">
        <v>8</v>
      </c>
      <c r="DV96" s="27" t="s">
        <v>7</v>
      </c>
      <c r="DW96" s="27" t="s">
        <v>8</v>
      </c>
      <c r="EB96" s="27" t="s">
        <v>7</v>
      </c>
      <c r="EC96" s="27" t="s">
        <v>8</v>
      </c>
      <c r="ED96" s="27" t="s">
        <v>7</v>
      </c>
      <c r="EE96" s="27" t="s">
        <v>8</v>
      </c>
      <c r="EF96" s="27" t="s">
        <v>7</v>
      </c>
      <c r="EG96" s="27" t="s">
        <v>8</v>
      </c>
      <c r="EQ96" s="27" t="s">
        <v>8</v>
      </c>
      <c r="ER96" s="27" t="s">
        <v>7</v>
      </c>
      <c r="ES96" s="27" t="s">
        <v>8</v>
      </c>
      <c r="ET96" s="27" t="s">
        <v>7</v>
      </c>
      <c r="EU96" s="27" t="s">
        <v>8</v>
      </c>
      <c r="EX96" s="27" t="s">
        <v>7</v>
      </c>
      <c r="EY96" s="27" t="s">
        <v>8</v>
      </c>
      <c r="EZ96" s="27" t="s">
        <v>7</v>
      </c>
      <c r="FA96" s="27" t="s">
        <v>8</v>
      </c>
    </row>
    <row r="97" spans="1:157" x14ac:dyDescent="0.25">
      <c r="A97" s="30">
        <v>1071.6914527012709</v>
      </c>
      <c r="C97" s="7">
        <v>0.11686133436193799</v>
      </c>
      <c r="D97"/>
      <c r="E97"/>
      <c r="DU97" s="27" t="s">
        <v>8</v>
      </c>
      <c r="DV97" s="27" t="s">
        <v>7</v>
      </c>
      <c r="DW97" s="27" t="s">
        <v>8</v>
      </c>
      <c r="EB97" s="27" t="s">
        <v>7</v>
      </c>
      <c r="ED97" s="27" t="s">
        <v>7</v>
      </c>
      <c r="EE97" s="27" t="s">
        <v>8</v>
      </c>
      <c r="EF97" s="27" t="s">
        <v>7</v>
      </c>
      <c r="EG97" s="27" t="s">
        <v>8</v>
      </c>
      <c r="EH97" s="27" t="s">
        <v>7</v>
      </c>
      <c r="EQ97" s="27" t="s">
        <v>8</v>
      </c>
      <c r="ER97" s="27" t="s">
        <v>7</v>
      </c>
      <c r="ES97" s="27" t="s">
        <v>8</v>
      </c>
      <c r="ET97" s="27" t="s">
        <v>7</v>
      </c>
      <c r="EU97" s="27" t="s">
        <v>8</v>
      </c>
      <c r="EX97" s="27" t="s">
        <v>7</v>
      </c>
      <c r="EY97" s="27" t="s">
        <v>8</v>
      </c>
      <c r="EZ97" s="27" t="s">
        <v>7</v>
      </c>
      <c r="FA97" s="27" t="s">
        <v>8</v>
      </c>
    </row>
    <row r="98" spans="1:157" x14ac:dyDescent="0.25">
      <c r="A98" s="30">
        <v>1020.6585263821628</v>
      </c>
      <c r="E98"/>
      <c r="DU98" s="27" t="s">
        <v>8</v>
      </c>
      <c r="DV98" s="27" t="s">
        <v>7</v>
      </c>
      <c r="DW98" s="27" t="s">
        <v>8</v>
      </c>
      <c r="ED98" s="27" t="s">
        <v>7</v>
      </c>
      <c r="EF98" s="27" t="s">
        <v>7</v>
      </c>
      <c r="EG98" s="27" t="s">
        <v>8</v>
      </c>
      <c r="EH98" s="27" t="s">
        <v>7</v>
      </c>
      <c r="EQ98" s="27" t="s">
        <v>8</v>
      </c>
      <c r="ER98" s="27" t="s">
        <v>7</v>
      </c>
      <c r="ET98" s="27" t="s">
        <v>7</v>
      </c>
      <c r="EU98" s="27" t="s">
        <v>8</v>
      </c>
      <c r="EX98" s="27" t="s">
        <v>7</v>
      </c>
      <c r="EY98" s="27" t="s">
        <v>8</v>
      </c>
      <c r="EZ98" s="27" t="s">
        <v>7</v>
      </c>
    </row>
    <row r="99" spans="1:157" x14ac:dyDescent="0.25">
      <c r="A99" s="30">
        <v>972.05573941158355</v>
      </c>
      <c r="C99" s="1" t="s">
        <v>11</v>
      </c>
      <c r="D99" s="1" t="s">
        <v>12</v>
      </c>
      <c r="E99"/>
      <c r="DU99" s="27" t="s">
        <v>8</v>
      </c>
      <c r="DV99" s="27" t="s">
        <v>7</v>
      </c>
      <c r="EF99" s="27" t="s">
        <v>7</v>
      </c>
      <c r="EG99" s="27" t="s">
        <v>8</v>
      </c>
      <c r="EH99" s="27" t="s">
        <v>7</v>
      </c>
      <c r="EO99" s="27" t="s">
        <v>8</v>
      </c>
      <c r="EQ99" s="27" t="s">
        <v>8</v>
      </c>
      <c r="ET99" s="27" t="s">
        <v>7</v>
      </c>
      <c r="EX99" s="27" t="s">
        <v>7</v>
      </c>
      <c r="EY99" s="27" t="s">
        <v>8</v>
      </c>
    </row>
    <row r="100" spans="1:157" x14ac:dyDescent="0.25">
      <c r="A100" s="30">
        <v>925.76737086817479</v>
      </c>
      <c r="C100"/>
      <c r="D100"/>
      <c r="E100"/>
      <c r="DU100" s="27" t="s">
        <v>8</v>
      </c>
      <c r="EF100" s="27" t="s">
        <v>7</v>
      </c>
      <c r="EG100" s="27" t="s">
        <v>8</v>
      </c>
      <c r="EH100" s="27" t="s">
        <v>7</v>
      </c>
      <c r="EO100" s="27" t="s">
        <v>8</v>
      </c>
      <c r="EP100" s="27" t="s">
        <v>7</v>
      </c>
      <c r="EQ100" s="27" t="s">
        <v>8</v>
      </c>
      <c r="EX100" s="27" t="s">
        <v>7</v>
      </c>
      <c r="EY100" s="27" t="s">
        <v>8</v>
      </c>
    </row>
    <row r="101" spans="1:157" x14ac:dyDescent="0.25">
      <c r="A101" s="30">
        <v>881.68321035064264</v>
      </c>
      <c r="E101"/>
      <c r="DU101" s="27" t="s">
        <v>8</v>
      </c>
      <c r="EF101" s="27" t="s">
        <v>7</v>
      </c>
      <c r="EG101" s="27" t="s">
        <v>8</v>
      </c>
      <c r="EH101" s="27" t="s">
        <v>7</v>
      </c>
      <c r="EI101" s="27" t="s">
        <v>8</v>
      </c>
      <c r="EO101" s="27" t="s">
        <v>8</v>
      </c>
      <c r="EP101" s="27" t="s">
        <v>7</v>
      </c>
      <c r="EQ101" s="27" t="s">
        <v>8</v>
      </c>
      <c r="EX101" s="27" t="s">
        <v>7</v>
      </c>
      <c r="EY101" s="27" t="s">
        <v>8</v>
      </c>
    </row>
    <row r="102" spans="1:157" x14ac:dyDescent="0.25">
      <c r="A102" s="30">
        <v>839.69829557204059</v>
      </c>
      <c r="C102" s="1" t="s">
        <v>13</v>
      </c>
      <c r="E102"/>
      <c r="DU102" s="27" t="s">
        <v>8</v>
      </c>
      <c r="EF102" s="27" t="s">
        <v>7</v>
      </c>
      <c r="EG102" s="27" t="s">
        <v>8</v>
      </c>
      <c r="EH102" s="27" t="s">
        <v>7</v>
      </c>
      <c r="EI102" s="27" t="s">
        <v>8</v>
      </c>
      <c r="EJ102" s="27" t="s">
        <v>7</v>
      </c>
      <c r="EM102" s="27" t="s">
        <v>8</v>
      </c>
      <c r="EO102" s="27" t="s">
        <v>8</v>
      </c>
      <c r="EP102" s="27" t="s">
        <v>7</v>
      </c>
      <c r="EQ102" s="27" t="s">
        <v>8</v>
      </c>
      <c r="EX102" s="27" t="s">
        <v>7</v>
      </c>
      <c r="EY102" s="27" t="s">
        <v>8</v>
      </c>
    </row>
    <row r="103" spans="1:157" x14ac:dyDescent="0.25">
      <c r="A103" s="30">
        <v>799.71266244956246</v>
      </c>
      <c r="C103" s="1">
        <f>C92</f>
        <v>0</v>
      </c>
      <c r="E103"/>
      <c r="DU103" s="27" t="s">
        <v>8</v>
      </c>
      <c r="EF103" s="27" t="s">
        <v>7</v>
      </c>
      <c r="EG103" s="27" t="s">
        <v>8</v>
      </c>
      <c r="EH103" s="27" t="s">
        <v>7</v>
      </c>
      <c r="EI103" s="27" t="s">
        <v>8</v>
      </c>
      <c r="EJ103" s="27" t="s">
        <v>7</v>
      </c>
      <c r="EK103" s="27" t="s">
        <v>8</v>
      </c>
      <c r="EM103" s="27" t="s">
        <v>8</v>
      </c>
      <c r="EN103" s="27" t="s">
        <v>7</v>
      </c>
      <c r="EO103" s="27" t="s">
        <v>8</v>
      </c>
      <c r="EP103" s="27" t="s">
        <v>7</v>
      </c>
      <c r="EQ103" s="27" t="s">
        <v>8</v>
      </c>
      <c r="EX103" s="27" t="s">
        <v>7</v>
      </c>
      <c r="EY103" s="27" t="s">
        <v>8</v>
      </c>
    </row>
    <row r="104" spans="1:157" x14ac:dyDescent="0.25">
      <c r="A104" s="30">
        <v>761.63110709482135</v>
      </c>
      <c r="C104"/>
      <c r="E104"/>
      <c r="DU104" s="27" t="s">
        <v>8</v>
      </c>
      <c r="EF104" s="27" t="s">
        <v>7</v>
      </c>
      <c r="EG104" s="27" t="s">
        <v>8</v>
      </c>
      <c r="EH104" s="27" t="s">
        <v>7</v>
      </c>
      <c r="EJ104" s="27" t="s">
        <v>7</v>
      </c>
      <c r="EK104" s="27" t="s">
        <v>8</v>
      </c>
      <c r="EL104" s="27" t="s">
        <v>7</v>
      </c>
      <c r="EM104" s="27" t="s">
        <v>8</v>
      </c>
      <c r="EN104" s="27" t="s">
        <v>7</v>
      </c>
      <c r="EO104" s="27" t="s">
        <v>8</v>
      </c>
      <c r="EP104" s="27" t="s">
        <v>7</v>
      </c>
      <c r="EQ104" s="27" t="s">
        <v>8</v>
      </c>
      <c r="EX104" s="27" t="s">
        <v>7</v>
      </c>
    </row>
    <row r="105" spans="1:157" x14ac:dyDescent="0.25">
      <c r="A105" s="30">
        <v>725.36295913792503</v>
      </c>
      <c r="C105" s="1" t="s">
        <v>14</v>
      </c>
      <c r="E105"/>
      <c r="DU105" s="27" t="s">
        <v>8</v>
      </c>
      <c r="EF105" s="27" t="s">
        <v>7</v>
      </c>
      <c r="EG105" s="27" t="s">
        <v>8</v>
      </c>
      <c r="EJ105" s="27" t="s">
        <v>7</v>
      </c>
      <c r="EK105" s="27" t="s">
        <v>8</v>
      </c>
      <c r="EL105" s="27" t="s">
        <v>7</v>
      </c>
      <c r="EM105" s="27" t="s">
        <v>8</v>
      </c>
      <c r="EN105" s="27" t="s">
        <v>7</v>
      </c>
      <c r="EP105" s="27" t="s">
        <v>7</v>
      </c>
    </row>
    <row r="106" spans="1:157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  <c r="DU106" s="27" t="s">
        <v>8</v>
      </c>
      <c r="EF106" s="27" t="s">
        <v>7</v>
      </c>
      <c r="EG106" s="27" t="s">
        <v>8</v>
      </c>
      <c r="EJ106" s="27" t="s">
        <v>7</v>
      </c>
      <c r="EK106" s="27" t="s">
        <v>8</v>
      </c>
      <c r="EL106" s="27" t="s">
        <v>7</v>
      </c>
      <c r="EM106" s="27" t="s">
        <v>8</v>
      </c>
    </row>
    <row r="107" spans="1:157" x14ac:dyDescent="0.25">
      <c r="A107" s="30">
        <v>657.92558651965976</v>
      </c>
      <c r="E107"/>
      <c r="DU107" s="27" t="s">
        <v>8</v>
      </c>
      <c r="EF107" s="27" t="s">
        <v>7</v>
      </c>
      <c r="EG107" s="27" t="s">
        <v>8</v>
      </c>
      <c r="EJ107" s="27" t="s">
        <v>7</v>
      </c>
      <c r="EK107" s="27" t="s">
        <v>8</v>
      </c>
      <c r="EL107" s="27" t="s">
        <v>7</v>
      </c>
    </row>
    <row r="108" spans="1:157" x14ac:dyDescent="0.25">
      <c r="A108" s="30">
        <v>626.59579668539027</v>
      </c>
      <c r="E108"/>
      <c r="DU108" s="27" t="s">
        <v>8</v>
      </c>
      <c r="EF108" s="27" t="s">
        <v>7</v>
      </c>
      <c r="EJ108" s="27" t="s">
        <v>7</v>
      </c>
      <c r="EK108" s="27" t="s">
        <v>8</v>
      </c>
    </row>
    <row r="109" spans="1:157" x14ac:dyDescent="0.25">
      <c r="A109" s="30">
        <v>596.75790160513361</v>
      </c>
      <c r="E109"/>
      <c r="DU109" s="27" t="s">
        <v>8</v>
      </c>
      <c r="EJ109" s="27" t="s">
        <v>7</v>
      </c>
      <c r="EK109" s="27" t="s">
        <v>8</v>
      </c>
    </row>
    <row r="110" spans="1:157" x14ac:dyDescent="0.25">
      <c r="A110" s="30">
        <v>568.34085867155579</v>
      </c>
      <c r="E110"/>
      <c r="Y110" s="27" t="s">
        <v>8</v>
      </c>
      <c r="DU110" s="27" t="s">
        <v>8</v>
      </c>
      <c r="EJ110" s="27" t="s">
        <v>7</v>
      </c>
    </row>
    <row r="111" spans="1:157" x14ac:dyDescent="0.25">
      <c r="A111" s="30">
        <v>541.27700825862451</v>
      </c>
      <c r="C111" s="1" t="str">
        <f>ADDRESS(C121-1,1,1,1)</f>
        <v>$A$94</v>
      </c>
      <c r="D111" s="1" t="str">
        <f>ADDRESS(C121-1,D121,1,1)</f>
        <v>$FA$94</v>
      </c>
      <c r="E111"/>
      <c r="Y111" s="27" t="s">
        <v>8</v>
      </c>
      <c r="Z111" s="27" t="s">
        <v>7</v>
      </c>
      <c r="DI111" s="27" t="s">
        <v>8</v>
      </c>
      <c r="DU111" s="27" t="s">
        <v>8</v>
      </c>
    </row>
    <row r="112" spans="1:157" x14ac:dyDescent="0.25">
      <c r="A112" s="30">
        <v>515.50191262726139</v>
      </c>
      <c r="C112" s="1" t="str">
        <f>ADDRESS(C121,1,1,1)</f>
        <v>$A$95</v>
      </c>
      <c r="D112" s="1" t="str">
        <f>ADDRESS(C121,D121-1,1,1)</f>
        <v>$EZ$95</v>
      </c>
      <c r="E112"/>
      <c r="Y112" s="27" t="s">
        <v>8</v>
      </c>
      <c r="Z112" s="27" t="s">
        <v>7</v>
      </c>
      <c r="DI112" s="27" t="s">
        <v>8</v>
      </c>
      <c r="DJ112" s="27" t="s">
        <v>7</v>
      </c>
      <c r="DU112" s="27" t="s">
        <v>8</v>
      </c>
    </row>
    <row r="113" spans="1:125" x14ac:dyDescent="0.25">
      <c r="A113" s="30">
        <v>490.95420250215363</v>
      </c>
      <c r="C113" s="1" t="str">
        <f>ADDRESS(C121+1,1,1,1)</f>
        <v>$A$96</v>
      </c>
      <c r="D113" s="1" t="str">
        <f>ADDRESS(C121-1,D121+1,1,1)</f>
        <v>$FB$94</v>
      </c>
      <c r="W113" s="27" t="s">
        <v>8</v>
      </c>
      <c r="Y113" s="27" t="s">
        <v>8</v>
      </c>
      <c r="Z113" s="27" t="s">
        <v>7</v>
      </c>
      <c r="AW113" s="27" t="s">
        <v>8</v>
      </c>
      <c r="DI113" s="27" t="s">
        <v>8</v>
      </c>
      <c r="DJ113" s="27" t="s">
        <v>7</v>
      </c>
      <c r="DU113" s="27" t="s">
        <v>8</v>
      </c>
    </row>
    <row r="114" spans="1:125" x14ac:dyDescent="0.25">
      <c r="A114" s="30">
        <v>467.57543095443202</v>
      </c>
      <c r="C114" s="1" t="str">
        <f>ADDRESS(C121,D121,1,1)</f>
        <v>$FA$95</v>
      </c>
      <c r="D114" s="1" t="str">
        <f>ADDRESS(C121+1,D121+1,1,1)</f>
        <v>$FB$96</v>
      </c>
      <c r="U114" s="27" t="s">
        <v>8</v>
      </c>
      <c r="W114" s="27" t="s">
        <v>8</v>
      </c>
      <c r="X114" s="27" t="s">
        <v>7</v>
      </c>
      <c r="Y114" s="27" t="s">
        <v>8</v>
      </c>
      <c r="Z114" s="27" t="s">
        <v>7</v>
      </c>
      <c r="AW114" s="27" t="s">
        <v>8</v>
      </c>
      <c r="AX114" s="27" t="s">
        <v>7</v>
      </c>
      <c r="DI114" s="27" t="s">
        <v>8</v>
      </c>
      <c r="DJ114" s="27" t="s">
        <v>7</v>
      </c>
      <c r="DK114" s="27" t="s">
        <v>8</v>
      </c>
      <c r="DU114" s="27" t="s">
        <v>8</v>
      </c>
    </row>
    <row r="115" spans="1:125" x14ac:dyDescent="0.25">
      <c r="A115" s="30">
        <v>445.30993424231622</v>
      </c>
      <c r="C115" s="1" t="str">
        <f>ADDRESS(C121+1,D121,1,1)</f>
        <v>$FA$96</v>
      </c>
      <c r="U115" s="27" t="s">
        <v>8</v>
      </c>
      <c r="V115" s="27" t="s">
        <v>7</v>
      </c>
      <c r="W115" s="27" t="s">
        <v>8</v>
      </c>
      <c r="X115" s="27" t="s">
        <v>7</v>
      </c>
      <c r="Y115" s="27" t="s">
        <v>8</v>
      </c>
      <c r="Z115" s="27" t="s">
        <v>7</v>
      </c>
      <c r="AU115" s="27" t="s">
        <v>8</v>
      </c>
      <c r="AW115" s="27" t="s">
        <v>8</v>
      </c>
      <c r="AX115" s="27" t="s">
        <v>7</v>
      </c>
      <c r="DE115" s="27" t="s">
        <v>8</v>
      </c>
      <c r="DI115" s="27" t="s">
        <v>8</v>
      </c>
      <c r="DJ115" s="27" t="s">
        <v>7</v>
      </c>
      <c r="DK115" s="27" t="s">
        <v>8</v>
      </c>
      <c r="DL115" s="27" t="s">
        <v>7</v>
      </c>
      <c r="DS115" s="27" t="s">
        <v>8</v>
      </c>
      <c r="DU115" s="27" t="s">
        <v>8</v>
      </c>
    </row>
    <row r="116" spans="1:125" x14ac:dyDescent="0.25">
      <c r="A116" s="30">
        <v>424.10469927839637</v>
      </c>
      <c r="C116" s="1">
        <f>C117-1</f>
        <v>94</v>
      </c>
      <c r="U116" s="27" t="s">
        <v>8</v>
      </c>
      <c r="V116" s="27" t="s">
        <v>7</v>
      </c>
      <c r="W116" s="27" t="s">
        <v>8</v>
      </c>
      <c r="X116" s="27" t="s">
        <v>7</v>
      </c>
      <c r="Y116" s="27" t="s">
        <v>8</v>
      </c>
      <c r="Z116" s="27" t="s">
        <v>7</v>
      </c>
      <c r="AU116" s="27" t="s">
        <v>8</v>
      </c>
      <c r="AV116" s="27" t="s">
        <v>7</v>
      </c>
      <c r="AW116" s="27" t="s">
        <v>8</v>
      </c>
      <c r="AX116" s="27" t="s">
        <v>7</v>
      </c>
      <c r="AY116" s="27" t="s">
        <v>8</v>
      </c>
      <c r="BA116" s="27" t="s">
        <v>8</v>
      </c>
      <c r="BW116" s="27" t="s">
        <v>8</v>
      </c>
      <c r="DE116" s="27" t="s">
        <v>8</v>
      </c>
      <c r="DF116" s="27" t="s">
        <v>7</v>
      </c>
      <c r="DG116" s="27" t="s">
        <v>8</v>
      </c>
      <c r="DI116" s="27" t="s">
        <v>8</v>
      </c>
      <c r="DJ116" s="27" t="s">
        <v>7</v>
      </c>
      <c r="DK116" s="27" t="s">
        <v>8</v>
      </c>
      <c r="DL116" s="27" t="s">
        <v>7</v>
      </c>
      <c r="DS116" s="27" t="s">
        <v>8</v>
      </c>
      <c r="DT116" s="27" t="s">
        <v>7</v>
      </c>
      <c r="DU116" s="27" t="s">
        <v>8</v>
      </c>
    </row>
    <row r="117" spans="1:125" x14ac:dyDescent="0.25">
      <c r="A117" s="30">
        <v>403.9092374079965</v>
      </c>
      <c r="C117" s="1">
        <f>C121</f>
        <v>95</v>
      </c>
      <c r="D117" s="1">
        <f>D121</f>
        <v>157</v>
      </c>
      <c r="U117" s="27" t="s">
        <v>8</v>
      </c>
      <c r="V117" s="27" t="s">
        <v>7</v>
      </c>
      <c r="W117" s="27" t="s">
        <v>8</v>
      </c>
      <c r="X117" s="27" t="s">
        <v>7</v>
      </c>
      <c r="Y117" s="27" t="s">
        <v>8</v>
      </c>
      <c r="Z117" s="27" t="s">
        <v>7</v>
      </c>
      <c r="AG117" s="27" t="s">
        <v>8</v>
      </c>
      <c r="AS117" s="27" t="s">
        <v>8</v>
      </c>
      <c r="AU117" s="27" t="s">
        <v>8</v>
      </c>
      <c r="AV117" s="27" t="s">
        <v>7</v>
      </c>
      <c r="AW117" s="27" t="s">
        <v>8</v>
      </c>
      <c r="AX117" s="27" t="s">
        <v>7</v>
      </c>
      <c r="AY117" s="27" t="s">
        <v>8</v>
      </c>
      <c r="AZ117" s="27" t="s">
        <v>7</v>
      </c>
      <c r="BA117" s="27" t="s">
        <v>8</v>
      </c>
      <c r="BB117" s="27" t="s">
        <v>7</v>
      </c>
      <c r="BW117" s="27" t="s">
        <v>8</v>
      </c>
      <c r="BX117" s="27" t="s">
        <v>7</v>
      </c>
      <c r="DE117" s="27" t="s">
        <v>8</v>
      </c>
      <c r="DF117" s="27" t="s">
        <v>7</v>
      </c>
      <c r="DG117" s="27" t="s">
        <v>8</v>
      </c>
      <c r="DH117" s="27" t="s">
        <v>7</v>
      </c>
      <c r="DI117" s="27" t="s">
        <v>8</v>
      </c>
      <c r="DJ117" s="27" t="s">
        <v>7</v>
      </c>
      <c r="DK117" s="27" t="s">
        <v>8</v>
      </c>
      <c r="DL117" s="27" t="s">
        <v>7</v>
      </c>
      <c r="DS117" s="27" t="s">
        <v>8</v>
      </c>
      <c r="DT117" s="27" t="s">
        <v>7</v>
      </c>
      <c r="DU117" s="27" t="s">
        <v>8</v>
      </c>
    </row>
    <row r="118" spans="1:125" x14ac:dyDescent="0.25">
      <c r="A118" s="30">
        <v>384.6754641980919</v>
      </c>
      <c r="C118" s="1">
        <f>C117+1</f>
        <v>96</v>
      </c>
      <c r="D118" s="1">
        <f>D117+1</f>
        <v>158</v>
      </c>
      <c r="U118" s="27" t="s">
        <v>8</v>
      </c>
      <c r="V118" s="27" t="s">
        <v>7</v>
      </c>
      <c r="W118" s="27" t="s">
        <v>8</v>
      </c>
      <c r="X118" s="27" t="s">
        <v>7</v>
      </c>
      <c r="Y118" s="27" t="s">
        <v>8</v>
      </c>
      <c r="Z118" s="27" t="s">
        <v>7</v>
      </c>
      <c r="AA118" s="27" t="s">
        <v>8</v>
      </c>
      <c r="AG118" s="27" t="s">
        <v>8</v>
      </c>
      <c r="AH118" s="27" t="s">
        <v>7</v>
      </c>
      <c r="AO118" s="27" t="s">
        <v>8</v>
      </c>
      <c r="AS118" s="27" t="s">
        <v>8</v>
      </c>
      <c r="AT118" s="27" t="s">
        <v>7</v>
      </c>
      <c r="AU118" s="27" t="s">
        <v>8</v>
      </c>
      <c r="AV118" s="27" t="s">
        <v>7</v>
      </c>
      <c r="AW118" s="27" t="s">
        <v>8</v>
      </c>
      <c r="AX118" s="27" t="s">
        <v>7</v>
      </c>
      <c r="AY118" s="27" t="s">
        <v>8</v>
      </c>
      <c r="AZ118" s="27" t="s">
        <v>7</v>
      </c>
      <c r="BA118" s="27" t="s">
        <v>8</v>
      </c>
      <c r="BB118" s="27" t="s">
        <v>7</v>
      </c>
      <c r="BW118" s="27" t="s">
        <v>8</v>
      </c>
      <c r="BX118" s="27" t="s">
        <v>7</v>
      </c>
      <c r="DE118" s="27" t="s">
        <v>8</v>
      </c>
      <c r="DF118" s="27" t="s">
        <v>7</v>
      </c>
      <c r="DG118" s="27" t="s">
        <v>8</v>
      </c>
      <c r="DH118" s="27" t="s">
        <v>7</v>
      </c>
      <c r="DI118" s="27" t="s">
        <v>8</v>
      </c>
      <c r="DJ118" s="27" t="s">
        <v>7</v>
      </c>
      <c r="DL118" s="27" t="s">
        <v>7</v>
      </c>
      <c r="DM118" s="27" t="s">
        <v>8</v>
      </c>
      <c r="DS118" s="27" t="s">
        <v>8</v>
      </c>
      <c r="DT118" s="27" t="s">
        <v>7</v>
      </c>
      <c r="DU118" s="27" t="s">
        <v>8</v>
      </c>
    </row>
    <row r="119" spans="1:125" x14ac:dyDescent="0.25">
      <c r="A119" s="30">
        <v>366.35758495056371</v>
      </c>
      <c r="U119" s="27" t="s">
        <v>8</v>
      </c>
      <c r="V119" s="27" t="s">
        <v>7</v>
      </c>
      <c r="X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G119" s="27" t="s">
        <v>8</v>
      </c>
      <c r="AH119" s="27" t="s">
        <v>7</v>
      </c>
      <c r="AI119" s="27" t="s">
        <v>8</v>
      </c>
      <c r="AO119" s="27" t="s">
        <v>8</v>
      </c>
      <c r="AP119" s="27" t="s">
        <v>7</v>
      </c>
      <c r="AS119" s="27" t="s">
        <v>8</v>
      </c>
      <c r="AT119" s="27" t="s">
        <v>7</v>
      </c>
      <c r="AU119" s="27" t="s">
        <v>8</v>
      </c>
      <c r="AV119" s="27" t="s">
        <v>7</v>
      </c>
      <c r="AW119" s="27" t="s">
        <v>8</v>
      </c>
      <c r="AX119" s="27" t="s">
        <v>7</v>
      </c>
      <c r="AY119" s="27" t="s">
        <v>8</v>
      </c>
      <c r="AZ119" s="27" t="s">
        <v>7</v>
      </c>
      <c r="BB119" s="27" t="s">
        <v>7</v>
      </c>
      <c r="BQ119" s="27" t="s">
        <v>8</v>
      </c>
      <c r="BW119" s="27" t="s">
        <v>8</v>
      </c>
      <c r="BX119" s="27" t="s">
        <v>7</v>
      </c>
      <c r="DE119" s="27" t="s">
        <v>8</v>
      </c>
      <c r="DF119" s="27" t="s">
        <v>7</v>
      </c>
      <c r="DH119" s="27" t="s">
        <v>7</v>
      </c>
      <c r="DI119" s="27" t="s">
        <v>8</v>
      </c>
      <c r="DL119" s="27" t="s">
        <v>7</v>
      </c>
      <c r="DM119" s="27" t="s">
        <v>8</v>
      </c>
      <c r="DN119" s="27" t="s">
        <v>7</v>
      </c>
      <c r="DQ119" s="27" t="s">
        <v>8</v>
      </c>
      <c r="DS119" s="27" t="s">
        <v>8</v>
      </c>
      <c r="DT119" s="27" t="s">
        <v>7</v>
      </c>
      <c r="DU119" s="27" t="s">
        <v>8</v>
      </c>
    </row>
    <row r="120" spans="1:125" x14ac:dyDescent="0.25">
      <c r="A120" s="30">
        <v>348.91198566720351</v>
      </c>
      <c r="C120" s="1" t="s">
        <v>9</v>
      </c>
      <c r="U120" s="27" t="s">
        <v>8</v>
      </c>
      <c r="X120" s="27" t="s">
        <v>7</v>
      </c>
      <c r="Y120" s="27" t="s">
        <v>8</v>
      </c>
      <c r="Z120" s="27" t="s">
        <v>7</v>
      </c>
      <c r="AA120" s="27" t="s">
        <v>8</v>
      </c>
      <c r="AB120" s="27" t="s">
        <v>7</v>
      </c>
      <c r="AE120" s="27" t="s">
        <v>8</v>
      </c>
      <c r="AG120" s="27" t="s">
        <v>8</v>
      </c>
      <c r="AH120" s="27" t="s">
        <v>7</v>
      </c>
      <c r="AI120" s="27" t="s">
        <v>8</v>
      </c>
      <c r="AJ120" s="27" t="s">
        <v>7</v>
      </c>
      <c r="AK120" s="27" t="s">
        <v>8</v>
      </c>
      <c r="AM120" s="27" t="s">
        <v>8</v>
      </c>
      <c r="AO120" s="27" t="s">
        <v>8</v>
      </c>
      <c r="AP120" s="27" t="s">
        <v>7</v>
      </c>
      <c r="AQ120" s="27" t="s">
        <v>8</v>
      </c>
      <c r="AS120" s="27" t="s">
        <v>8</v>
      </c>
      <c r="AT120" s="27" t="s">
        <v>7</v>
      </c>
      <c r="AV120" s="27" t="s">
        <v>7</v>
      </c>
      <c r="AW120" s="27" t="s">
        <v>8</v>
      </c>
      <c r="AX120" s="27" t="s">
        <v>7</v>
      </c>
      <c r="BB120" s="27" t="s">
        <v>7</v>
      </c>
      <c r="BC120" s="27" t="s">
        <v>8</v>
      </c>
      <c r="BO120" s="27" t="s">
        <v>8</v>
      </c>
      <c r="BQ120" s="27" t="s">
        <v>8</v>
      </c>
      <c r="BR120" s="27" t="s">
        <v>7</v>
      </c>
      <c r="BS120" s="27" t="s">
        <v>8</v>
      </c>
      <c r="BW120" s="27" t="s">
        <v>8</v>
      </c>
      <c r="BX120" s="27" t="s">
        <v>7</v>
      </c>
      <c r="DE120" s="27" t="s">
        <v>8</v>
      </c>
      <c r="DH120" s="27" t="s">
        <v>7</v>
      </c>
      <c r="DI120" s="27" t="s">
        <v>8</v>
      </c>
      <c r="DL120" s="27" t="s">
        <v>7</v>
      </c>
      <c r="DM120" s="27" t="s">
        <v>8</v>
      </c>
      <c r="DN120" s="27" t="s">
        <v>7</v>
      </c>
      <c r="DO120" s="27" t="s">
        <v>8</v>
      </c>
      <c r="DQ120" s="27" t="s">
        <v>8</v>
      </c>
      <c r="DR120" s="27" t="s">
        <v>7</v>
      </c>
      <c r="DS120" s="27" t="s">
        <v>8</v>
      </c>
      <c r="DT120" s="27" t="s">
        <v>7</v>
      </c>
      <c r="DU120" s="27" t="s">
        <v>8</v>
      </c>
    </row>
    <row r="121" spans="1:125" x14ac:dyDescent="0.25">
      <c r="A121" s="30">
        <v>332.29712920686046</v>
      </c>
      <c r="C121" s="18">
        <v>95</v>
      </c>
      <c r="D121" s="19">
        <v>157</v>
      </c>
      <c r="E121" s="19"/>
      <c r="U121" s="27" t="s">
        <v>8</v>
      </c>
      <c r="X121" s="27" t="s">
        <v>7</v>
      </c>
      <c r="Y121" s="27" t="s">
        <v>8</v>
      </c>
      <c r="Z121" s="27" t="s">
        <v>7</v>
      </c>
      <c r="AA121" s="27" t="s">
        <v>8</v>
      </c>
      <c r="AB121" s="27" t="s">
        <v>7</v>
      </c>
      <c r="AE121" s="27" t="s">
        <v>8</v>
      </c>
      <c r="AF121" s="27" t="s">
        <v>7</v>
      </c>
      <c r="AG121" s="27" t="s">
        <v>8</v>
      </c>
      <c r="AH121" s="27" t="s">
        <v>7</v>
      </c>
      <c r="AI121" s="27" t="s">
        <v>8</v>
      </c>
      <c r="AJ121" s="27" t="s">
        <v>7</v>
      </c>
      <c r="AK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V121" s="27" t="s">
        <v>7</v>
      </c>
      <c r="AW121" s="27" t="s">
        <v>8</v>
      </c>
      <c r="BB121" s="27" t="s">
        <v>7</v>
      </c>
      <c r="BC121" s="27" t="s">
        <v>8</v>
      </c>
      <c r="BD121" s="27" t="s">
        <v>7</v>
      </c>
      <c r="BO121" s="27" t="s">
        <v>8</v>
      </c>
      <c r="BP121" s="27" t="s">
        <v>7</v>
      </c>
      <c r="BQ121" s="27" t="s">
        <v>8</v>
      </c>
      <c r="BR121" s="27" t="s">
        <v>7</v>
      </c>
      <c r="BS121" s="27" t="s">
        <v>8</v>
      </c>
      <c r="BT121" s="27" t="s">
        <v>7</v>
      </c>
      <c r="BU121" s="27" t="s">
        <v>8</v>
      </c>
      <c r="BW121" s="27" t="s">
        <v>8</v>
      </c>
      <c r="BX121" s="27" t="s">
        <v>7</v>
      </c>
      <c r="DE121" s="27" t="s">
        <v>8</v>
      </c>
      <c r="DH121" s="27" t="s">
        <v>7</v>
      </c>
      <c r="DI121" s="27" t="s">
        <v>8</v>
      </c>
      <c r="DL121" s="27" t="s">
        <v>7</v>
      </c>
      <c r="DM121" s="27" t="s">
        <v>8</v>
      </c>
      <c r="DN121" s="27" t="s">
        <v>7</v>
      </c>
      <c r="DO121" s="27" t="s">
        <v>8</v>
      </c>
      <c r="DP121" s="27" t="s">
        <v>7</v>
      </c>
      <c r="DQ121" s="27" t="s">
        <v>8</v>
      </c>
      <c r="DR121" s="27" t="s">
        <v>7</v>
      </c>
      <c r="DS121" s="27" t="s">
        <v>8</v>
      </c>
      <c r="DT121" s="27" t="s">
        <v>7</v>
      </c>
      <c r="DU121" s="27" t="s">
        <v>8</v>
      </c>
    </row>
    <row r="122" spans="1:125" x14ac:dyDescent="0.25">
      <c r="A122" s="30">
        <v>316.47345638748612</v>
      </c>
      <c r="C122" s="1" t="str">
        <f>INDEX(1:1048576,C117,D117)</f>
        <v>X</v>
      </c>
      <c r="U122" s="27" t="s">
        <v>8</v>
      </c>
      <c r="X122" s="27" t="s">
        <v>7</v>
      </c>
      <c r="Z122" s="27" t="s">
        <v>7</v>
      </c>
      <c r="AB122" s="27" t="s">
        <v>7</v>
      </c>
      <c r="AE122" s="27" t="s">
        <v>8</v>
      </c>
      <c r="AF122" s="27" t="s">
        <v>7</v>
      </c>
      <c r="AG122" s="27" t="s">
        <v>8</v>
      </c>
      <c r="AH122" s="27" t="s">
        <v>7</v>
      </c>
      <c r="AI122" s="27" t="s">
        <v>8</v>
      </c>
      <c r="AJ122" s="27" t="s">
        <v>7</v>
      </c>
      <c r="AK122" s="27" t="s">
        <v>8</v>
      </c>
      <c r="AL122" s="27" t="s">
        <v>7</v>
      </c>
      <c r="AM122" s="27" t="s">
        <v>8</v>
      </c>
      <c r="AN122" s="27" t="s">
        <v>7</v>
      </c>
      <c r="AO122" s="27" t="s">
        <v>8</v>
      </c>
      <c r="AP122" s="27" t="s">
        <v>7</v>
      </c>
      <c r="AQ122" s="27" t="s">
        <v>8</v>
      </c>
      <c r="AR122" s="27" t="s">
        <v>7</v>
      </c>
      <c r="AS122" s="27" t="s">
        <v>8</v>
      </c>
      <c r="AV122" s="27" t="s">
        <v>7</v>
      </c>
      <c r="BB122" s="27" t="s">
        <v>7</v>
      </c>
      <c r="BC122" s="27" t="s">
        <v>8</v>
      </c>
      <c r="BD122" s="27" t="s">
        <v>7</v>
      </c>
      <c r="BE122" s="27" t="s">
        <v>8</v>
      </c>
      <c r="BI122" s="27" t="s">
        <v>8</v>
      </c>
      <c r="BO122" s="27" t="s">
        <v>8</v>
      </c>
      <c r="BP122" s="27" t="s">
        <v>7</v>
      </c>
      <c r="BQ122" s="27" t="s">
        <v>8</v>
      </c>
      <c r="BR122" s="27" t="s">
        <v>7</v>
      </c>
      <c r="BS122" s="27" t="s">
        <v>8</v>
      </c>
      <c r="BT122" s="27" t="s">
        <v>7</v>
      </c>
      <c r="BU122" s="27" t="s">
        <v>8</v>
      </c>
      <c r="BV122" s="27" t="s">
        <v>7</v>
      </c>
      <c r="BW122" s="27" t="s">
        <v>8</v>
      </c>
      <c r="BX122" s="27" t="s">
        <v>7</v>
      </c>
      <c r="DE122" s="27" t="s">
        <v>8</v>
      </c>
      <c r="DH122" s="27" t="s">
        <v>7</v>
      </c>
      <c r="DI122" s="27" t="s">
        <v>8</v>
      </c>
      <c r="DL122" s="27" t="s">
        <v>7</v>
      </c>
      <c r="DM122" s="27" t="s">
        <v>8</v>
      </c>
      <c r="DN122" s="27" t="s">
        <v>7</v>
      </c>
      <c r="DO122" s="27" t="s">
        <v>8</v>
      </c>
      <c r="DP122" s="27" t="s">
        <v>7</v>
      </c>
      <c r="DQ122" s="27" t="s">
        <v>8</v>
      </c>
      <c r="DR122" s="27" t="s">
        <v>7</v>
      </c>
      <c r="DT122" s="27" t="s">
        <v>7</v>
      </c>
    </row>
    <row r="123" spans="1:125" x14ac:dyDescent="0.25">
      <c r="A123" s="30">
        <v>301.40329179760585</v>
      </c>
      <c r="C123" s="1" t="str">
        <f>"R"&amp;C121</f>
        <v>R95</v>
      </c>
      <c r="D123" s="1" t="str">
        <f>"C"&amp;D121</f>
        <v>C157</v>
      </c>
      <c r="U123" s="27" t="s">
        <v>8</v>
      </c>
      <c r="AB123" s="27" t="s">
        <v>7</v>
      </c>
      <c r="AE123" s="27" t="s">
        <v>8</v>
      </c>
      <c r="AF123" s="27" t="s">
        <v>7</v>
      </c>
      <c r="AG123" s="27" t="s">
        <v>8</v>
      </c>
      <c r="AH123" s="27" t="s">
        <v>7</v>
      </c>
      <c r="AJ123" s="27" t="s">
        <v>7</v>
      </c>
      <c r="AK123" s="27" t="s">
        <v>8</v>
      </c>
      <c r="AL123" s="27" t="s">
        <v>7</v>
      </c>
      <c r="AM123" s="27" t="s">
        <v>8</v>
      </c>
      <c r="AN123" s="27" t="s">
        <v>7</v>
      </c>
      <c r="AP123" s="27" t="s">
        <v>7</v>
      </c>
      <c r="AQ123" s="27" t="s">
        <v>8</v>
      </c>
      <c r="AR123" s="27" t="s">
        <v>7</v>
      </c>
      <c r="AS123" s="27" t="s">
        <v>8</v>
      </c>
      <c r="BB123" s="27" t="s">
        <v>7</v>
      </c>
      <c r="BC123" s="27" t="s">
        <v>8</v>
      </c>
      <c r="BD123" s="27" t="s">
        <v>7</v>
      </c>
      <c r="BE123" s="27" t="s">
        <v>8</v>
      </c>
      <c r="BF123" s="27" t="s">
        <v>7</v>
      </c>
      <c r="BI123" s="27" t="s">
        <v>8</v>
      </c>
      <c r="BJ123" s="27" t="s">
        <v>7</v>
      </c>
      <c r="BO123" s="27" t="s">
        <v>8</v>
      </c>
      <c r="BP123" s="27" t="s">
        <v>7</v>
      </c>
      <c r="BQ123" s="27" t="s">
        <v>8</v>
      </c>
      <c r="BR123" s="27" t="s">
        <v>7</v>
      </c>
      <c r="BS123" s="27" t="s">
        <v>8</v>
      </c>
      <c r="BT123" s="27" t="s">
        <v>7</v>
      </c>
      <c r="BU123" s="27" t="s">
        <v>8</v>
      </c>
      <c r="BV123" s="27" t="s">
        <v>7</v>
      </c>
      <c r="BW123" s="27" t="s">
        <v>8</v>
      </c>
      <c r="BX123" s="27" t="s">
        <v>7</v>
      </c>
      <c r="DC123" s="27" t="s">
        <v>8</v>
      </c>
      <c r="DE123" s="27" t="s">
        <v>8</v>
      </c>
      <c r="DH123" s="27" t="s">
        <v>7</v>
      </c>
      <c r="DI123" s="27" t="s">
        <v>8</v>
      </c>
      <c r="DL123" s="27" t="s">
        <v>7</v>
      </c>
      <c r="DN123" s="27" t="s">
        <v>7</v>
      </c>
      <c r="DO123" s="27" t="s">
        <v>8</v>
      </c>
      <c r="DP123" s="27" t="s">
        <v>7</v>
      </c>
    </row>
    <row r="124" spans="1:125" x14ac:dyDescent="0.25">
      <c r="A124" s="30">
        <v>287.05075409295796</v>
      </c>
      <c r="C124" s="1">
        <f>SUM(C130:D130)</f>
        <v>0</v>
      </c>
      <c r="D124" s="1">
        <f>IF(C124=0,0,1)</f>
        <v>0</v>
      </c>
      <c r="U124" s="27" t="s">
        <v>8</v>
      </c>
      <c r="AB124" s="27" t="s">
        <v>7</v>
      </c>
      <c r="AE124" s="27" t="s">
        <v>8</v>
      </c>
      <c r="AF124" s="27" t="s">
        <v>7</v>
      </c>
      <c r="AG124" s="27" t="s">
        <v>8</v>
      </c>
      <c r="AJ124" s="27" t="s">
        <v>7</v>
      </c>
      <c r="AK124" s="27" t="s">
        <v>8</v>
      </c>
      <c r="AL124" s="27" t="s">
        <v>7</v>
      </c>
      <c r="AM124" s="27" t="s">
        <v>8</v>
      </c>
      <c r="AP124" s="27" t="s">
        <v>7</v>
      </c>
      <c r="AQ124" s="27" t="s">
        <v>8</v>
      </c>
      <c r="AR124" s="27" t="s">
        <v>7</v>
      </c>
      <c r="AS124" s="27" t="s">
        <v>8</v>
      </c>
      <c r="BB124" s="27" t="s">
        <v>7</v>
      </c>
      <c r="BC124" s="27" t="s">
        <v>8</v>
      </c>
      <c r="BD124" s="27" t="s">
        <v>7</v>
      </c>
      <c r="BE124" s="27" t="s">
        <v>8</v>
      </c>
      <c r="BF124" s="27" t="s">
        <v>7</v>
      </c>
      <c r="BG124" s="27" t="s">
        <v>8</v>
      </c>
      <c r="BI124" s="27" t="s">
        <v>8</v>
      </c>
      <c r="BJ124" s="27" t="s">
        <v>7</v>
      </c>
      <c r="BM124" s="27" t="s">
        <v>8</v>
      </c>
      <c r="BO124" s="27" t="s">
        <v>8</v>
      </c>
      <c r="BP124" s="27" t="s">
        <v>7</v>
      </c>
      <c r="BQ124" s="27" t="s">
        <v>8</v>
      </c>
      <c r="BR124" s="27" t="s">
        <v>7</v>
      </c>
      <c r="BS124" s="27" t="s">
        <v>8</v>
      </c>
      <c r="BT124" s="27" t="s">
        <v>7</v>
      </c>
      <c r="BU124" s="27" t="s">
        <v>8</v>
      </c>
      <c r="BV124" s="27" t="s">
        <v>7</v>
      </c>
      <c r="BW124" s="27" t="s">
        <v>8</v>
      </c>
      <c r="BX124" s="27" t="s">
        <v>7</v>
      </c>
      <c r="DC124" s="27" t="s">
        <v>8</v>
      </c>
      <c r="DD124" s="27" t="s">
        <v>7</v>
      </c>
      <c r="DE124" s="27" t="s">
        <v>8</v>
      </c>
      <c r="DH124" s="27" t="s">
        <v>7</v>
      </c>
      <c r="DI124" s="27" t="s">
        <v>8</v>
      </c>
      <c r="DN124" s="27" t="s">
        <v>7</v>
      </c>
      <c r="DO124" s="27" t="s">
        <v>8</v>
      </c>
    </row>
    <row r="125" spans="1:125" x14ac:dyDescent="0.25">
      <c r="A125" s="30">
        <v>273.38167056472184</v>
      </c>
      <c r="O125" s="27" t="s">
        <v>8</v>
      </c>
      <c r="Q125" s="27" t="s">
        <v>8</v>
      </c>
      <c r="U125" s="27" t="s">
        <v>8</v>
      </c>
      <c r="AB125" s="27" t="s">
        <v>7</v>
      </c>
      <c r="AC125" s="27" t="s">
        <v>8</v>
      </c>
      <c r="AE125" s="27" t="s">
        <v>8</v>
      </c>
      <c r="AF125" s="27" t="s">
        <v>7</v>
      </c>
      <c r="AG125" s="27" t="s">
        <v>8</v>
      </c>
      <c r="AJ125" s="27" t="s">
        <v>7</v>
      </c>
      <c r="AK125" s="27" t="s">
        <v>8</v>
      </c>
      <c r="AL125" s="27" t="s">
        <v>7</v>
      </c>
      <c r="AP125" s="27" t="s">
        <v>7</v>
      </c>
      <c r="AQ125" s="27" t="s">
        <v>8</v>
      </c>
      <c r="AR125" s="27" t="s">
        <v>7</v>
      </c>
      <c r="BB125" s="27" t="s">
        <v>7</v>
      </c>
      <c r="BC125" s="27" t="s">
        <v>8</v>
      </c>
      <c r="BD125" s="27" t="s">
        <v>7</v>
      </c>
      <c r="BE125" s="27" t="s">
        <v>8</v>
      </c>
      <c r="BF125" s="27" t="s">
        <v>7</v>
      </c>
      <c r="BG125" s="27" t="s">
        <v>8</v>
      </c>
      <c r="BH125" s="27" t="s">
        <v>7</v>
      </c>
      <c r="BI125" s="27" t="s">
        <v>8</v>
      </c>
      <c r="BJ125" s="27" t="s">
        <v>7</v>
      </c>
      <c r="BK125" s="27" t="s">
        <v>8</v>
      </c>
      <c r="BM125" s="27" t="s">
        <v>8</v>
      </c>
      <c r="BN125" s="27" t="s">
        <v>7</v>
      </c>
      <c r="BO125" s="27" t="s">
        <v>8</v>
      </c>
      <c r="BP125" s="27" t="s">
        <v>7</v>
      </c>
      <c r="BR125" s="27" t="s">
        <v>7</v>
      </c>
      <c r="BS125" s="27" t="s">
        <v>8</v>
      </c>
      <c r="BT125" s="27" t="s">
        <v>7</v>
      </c>
      <c r="BV125" s="27" t="s">
        <v>7</v>
      </c>
      <c r="BX125" s="27" t="s">
        <v>7</v>
      </c>
      <c r="DC125" s="27" t="s">
        <v>8</v>
      </c>
      <c r="DD125" s="27" t="s">
        <v>7</v>
      </c>
      <c r="DE125" s="27" t="s">
        <v>8</v>
      </c>
      <c r="DH125" s="27" t="s">
        <v>7</v>
      </c>
      <c r="DI125" s="27" t="s">
        <v>8</v>
      </c>
      <c r="DN125" s="27" t="s">
        <v>7</v>
      </c>
    </row>
    <row r="126" spans="1:125" x14ac:dyDescent="0.25">
      <c r="A126" s="30">
        <v>260.36349577592557</v>
      </c>
      <c r="C126" s="1" t="s">
        <v>10</v>
      </c>
      <c r="O126" s="27" t="s">
        <v>8</v>
      </c>
      <c r="P126" s="27" t="s">
        <v>7</v>
      </c>
      <c r="Q126" s="27" t="s">
        <v>8</v>
      </c>
      <c r="R126" s="27" t="s">
        <v>7</v>
      </c>
      <c r="U126" s="27" t="s">
        <v>8</v>
      </c>
      <c r="AB126" s="27" t="s">
        <v>7</v>
      </c>
      <c r="AC126" s="27" t="s">
        <v>8</v>
      </c>
      <c r="AD126" s="27" t="s">
        <v>7</v>
      </c>
      <c r="AE126" s="27" t="s">
        <v>8</v>
      </c>
      <c r="AF126" s="27" t="s">
        <v>7</v>
      </c>
      <c r="AG126" s="27" t="s">
        <v>8</v>
      </c>
      <c r="AJ126" s="27" t="s">
        <v>7</v>
      </c>
      <c r="AK126" s="27" t="s">
        <v>8</v>
      </c>
      <c r="AP126" s="27" t="s">
        <v>7</v>
      </c>
      <c r="BB126" s="27" t="s">
        <v>7</v>
      </c>
      <c r="BC126" s="27" t="s">
        <v>8</v>
      </c>
      <c r="BD126" s="27" t="s">
        <v>7</v>
      </c>
      <c r="BE126" s="27" t="s">
        <v>8</v>
      </c>
      <c r="BF126" s="27" t="s">
        <v>7</v>
      </c>
      <c r="BG126" s="27" t="s">
        <v>8</v>
      </c>
      <c r="BH126" s="27" t="s">
        <v>7</v>
      </c>
      <c r="BI126" s="27" t="s">
        <v>8</v>
      </c>
      <c r="BJ126" s="27" t="s">
        <v>7</v>
      </c>
      <c r="BK126" s="27" t="s">
        <v>8</v>
      </c>
      <c r="BL126" s="27" t="s">
        <v>7</v>
      </c>
      <c r="BM126" s="27" t="s">
        <v>8</v>
      </c>
      <c r="BN126" s="27" t="s">
        <v>7</v>
      </c>
      <c r="BO126" s="27" t="s">
        <v>8</v>
      </c>
      <c r="BR126" s="27" t="s">
        <v>7</v>
      </c>
      <c r="BS126" s="27" t="s">
        <v>8</v>
      </c>
      <c r="BX126" s="27" t="s">
        <v>7</v>
      </c>
      <c r="DC126" s="27" t="s">
        <v>8</v>
      </c>
      <c r="DD126" s="27" t="s">
        <v>7</v>
      </c>
      <c r="DE126" s="27" t="s">
        <v>8</v>
      </c>
      <c r="DH126" s="27" t="s">
        <v>7</v>
      </c>
    </row>
    <row r="127" spans="1:125" x14ac:dyDescent="0.25">
      <c r="A127" s="30">
        <v>247.96523407231004</v>
      </c>
      <c r="C127" s="30">
        <v>1181.5398266031511</v>
      </c>
      <c r="D127"/>
      <c r="O127" s="27" t="s">
        <v>8</v>
      </c>
      <c r="P127" s="27" t="s">
        <v>7</v>
      </c>
      <c r="Q127" s="27" t="s">
        <v>8</v>
      </c>
      <c r="R127" s="27" t="s">
        <v>7</v>
      </c>
      <c r="U127" s="27" t="s">
        <v>8</v>
      </c>
      <c r="AB127" s="27" t="s">
        <v>7</v>
      </c>
      <c r="AC127" s="27" t="s">
        <v>8</v>
      </c>
      <c r="AD127" s="27" t="s">
        <v>7</v>
      </c>
      <c r="AE127" s="27" t="s">
        <v>8</v>
      </c>
      <c r="AF127" s="27" t="s">
        <v>7</v>
      </c>
      <c r="AJ127" s="27" t="s">
        <v>7</v>
      </c>
      <c r="AK127" s="27" t="s">
        <v>8</v>
      </c>
      <c r="BB127" s="27" t="s">
        <v>7</v>
      </c>
      <c r="BC127" s="27" t="s">
        <v>8</v>
      </c>
      <c r="BD127" s="27" t="s">
        <v>7</v>
      </c>
      <c r="BE127" s="27" t="s">
        <v>8</v>
      </c>
      <c r="BF127" s="27" t="s">
        <v>7</v>
      </c>
      <c r="BH127" s="27" t="s">
        <v>7</v>
      </c>
      <c r="BI127" s="27" t="s">
        <v>8</v>
      </c>
      <c r="BJ127" s="27" t="s">
        <v>7</v>
      </c>
      <c r="BK127" s="27" t="s">
        <v>8</v>
      </c>
      <c r="BL127" s="27" t="s">
        <v>7</v>
      </c>
      <c r="BM127" s="27" t="s">
        <v>8</v>
      </c>
      <c r="BN127" s="27" t="s">
        <v>7</v>
      </c>
      <c r="BO127" s="27" t="s">
        <v>8</v>
      </c>
      <c r="BR127" s="27" t="s">
        <v>7</v>
      </c>
      <c r="BS127" s="27" t="s">
        <v>8</v>
      </c>
      <c r="BX127" s="27" t="s">
        <v>7</v>
      </c>
      <c r="DC127" s="27" t="s">
        <v>8</v>
      </c>
      <c r="DD127" s="27" t="s">
        <v>7</v>
      </c>
      <c r="DE127" s="27" t="s">
        <v>8</v>
      </c>
    </row>
    <row r="128" spans="1:125" x14ac:dyDescent="0.25">
      <c r="A128" s="30">
        <v>236.15736578315241</v>
      </c>
      <c r="O128" s="27" t="s">
        <v>8</v>
      </c>
      <c r="P128" s="27" t="s">
        <v>7</v>
      </c>
      <c r="Q128" s="27" t="s">
        <v>8</v>
      </c>
      <c r="R128" s="27" t="s">
        <v>7</v>
      </c>
      <c r="U128" s="27" t="s">
        <v>8</v>
      </c>
      <c r="AB128" s="27" t="s">
        <v>7</v>
      </c>
      <c r="AC128" s="27" t="s">
        <v>8</v>
      </c>
      <c r="AD128" s="27" t="s">
        <v>7</v>
      </c>
      <c r="AE128" s="27" t="s">
        <v>8</v>
      </c>
      <c r="AJ128" s="27" t="s">
        <v>7</v>
      </c>
      <c r="AK128" s="27" t="s">
        <v>8</v>
      </c>
      <c r="BB128" s="27" t="s">
        <v>7</v>
      </c>
      <c r="BC128" s="27" t="s">
        <v>8</v>
      </c>
      <c r="BD128" s="27" t="s">
        <v>7</v>
      </c>
      <c r="BE128" s="27" t="s">
        <v>8</v>
      </c>
      <c r="BH128" s="27" t="s">
        <v>7</v>
      </c>
      <c r="BJ128" s="27" t="s">
        <v>7</v>
      </c>
      <c r="BK128" s="27" t="s">
        <v>8</v>
      </c>
      <c r="BL128" s="27" t="s">
        <v>7</v>
      </c>
      <c r="BM128" s="27" t="s">
        <v>8</v>
      </c>
      <c r="BN128" s="27" t="s">
        <v>7</v>
      </c>
      <c r="BO128" s="27" t="s">
        <v>8</v>
      </c>
      <c r="BR128" s="27" t="s">
        <v>7</v>
      </c>
      <c r="BS128" s="27" t="s">
        <v>8</v>
      </c>
      <c r="BX128" s="27" t="s">
        <v>7</v>
      </c>
      <c r="CQ128" s="27" t="s">
        <v>8</v>
      </c>
      <c r="DA128" s="27" t="s">
        <v>8</v>
      </c>
      <c r="DC128" s="27" t="s">
        <v>8</v>
      </c>
      <c r="DD128" s="27" t="s">
        <v>7</v>
      </c>
    </row>
    <row r="129" spans="1:107" x14ac:dyDescent="0.25">
      <c r="A129" s="30">
        <v>224.91177693633563</v>
      </c>
      <c r="C129" s="1" t="s">
        <v>11</v>
      </c>
      <c r="D129" s="1" t="s">
        <v>12</v>
      </c>
      <c r="E129"/>
      <c r="O129" s="27" t="s">
        <v>8</v>
      </c>
      <c r="P129" s="27" t="s">
        <v>7</v>
      </c>
      <c r="Q129" s="27" t="s">
        <v>8</v>
      </c>
      <c r="R129" s="27" t="s">
        <v>7</v>
      </c>
      <c r="U129" s="27" t="s">
        <v>8</v>
      </c>
      <c r="AB129" s="27" t="s">
        <v>7</v>
      </c>
      <c r="AD129" s="27" t="s">
        <v>7</v>
      </c>
      <c r="AE129" s="27" t="s">
        <v>8</v>
      </c>
      <c r="AJ129" s="27" t="s">
        <v>7</v>
      </c>
      <c r="BB129" s="27" t="s">
        <v>7</v>
      </c>
      <c r="BD129" s="27" t="s">
        <v>7</v>
      </c>
      <c r="BJ129" s="27" t="s">
        <v>7</v>
      </c>
      <c r="BK129" s="27" t="s">
        <v>8</v>
      </c>
      <c r="BL129" s="27" t="s">
        <v>7</v>
      </c>
      <c r="BM129" s="27" t="s">
        <v>8</v>
      </c>
      <c r="BN129" s="27" t="s">
        <v>7</v>
      </c>
      <c r="BO129" s="27" t="s">
        <v>8</v>
      </c>
      <c r="BR129" s="27" t="s">
        <v>7</v>
      </c>
      <c r="BX129" s="27" t="s">
        <v>7</v>
      </c>
      <c r="BY129" s="27" t="s">
        <v>8</v>
      </c>
      <c r="CQ129" s="27" t="s">
        <v>8</v>
      </c>
      <c r="CR129" s="27" t="s">
        <v>7</v>
      </c>
      <c r="CY129" s="27" t="s">
        <v>8</v>
      </c>
      <c r="DA129" s="27" t="s">
        <v>8</v>
      </c>
      <c r="DB129" s="27" t="s">
        <v>7</v>
      </c>
      <c r="DC129" s="27" t="s">
        <v>8</v>
      </c>
    </row>
    <row r="130" spans="1:107" x14ac:dyDescent="0.25">
      <c r="A130" s="30">
        <v>214.20169232031964</v>
      </c>
      <c r="C130" s="6"/>
      <c r="D130" s="6"/>
      <c r="E130"/>
      <c r="O130" s="27" t="s">
        <v>8</v>
      </c>
      <c r="P130" s="27" t="s">
        <v>7</v>
      </c>
      <c r="Q130" s="27" t="s">
        <v>8</v>
      </c>
      <c r="R130" s="27" t="s">
        <v>7</v>
      </c>
      <c r="S130" s="27" t="s">
        <v>8</v>
      </c>
      <c r="U130" s="27" t="s">
        <v>8</v>
      </c>
      <c r="AD130" s="27" t="s">
        <v>7</v>
      </c>
      <c r="AE130" s="27" t="s">
        <v>8</v>
      </c>
      <c r="BJ130" s="27" t="s">
        <v>7</v>
      </c>
      <c r="BL130" s="27" t="s">
        <v>7</v>
      </c>
      <c r="BN130" s="27" t="s">
        <v>7</v>
      </c>
      <c r="BO130" s="27" t="s">
        <v>8</v>
      </c>
      <c r="BX130" s="27" t="s">
        <v>7</v>
      </c>
      <c r="BY130" s="27" t="s">
        <v>8</v>
      </c>
      <c r="BZ130" s="27" t="s">
        <v>7</v>
      </c>
      <c r="CQ130" s="27" t="s">
        <v>8</v>
      </c>
      <c r="CR130" s="27" t="s">
        <v>7</v>
      </c>
      <c r="CY130" s="27" t="s">
        <v>8</v>
      </c>
      <c r="CZ130" s="27" t="s">
        <v>7</v>
      </c>
      <c r="DA130" s="27" t="s">
        <v>8</v>
      </c>
      <c r="DB130" s="27" t="s">
        <v>7</v>
      </c>
      <c r="DC130" s="27" t="s">
        <v>8</v>
      </c>
    </row>
    <row r="131" spans="1:107" x14ac:dyDescent="0.25">
      <c r="A131" s="30">
        <v>204.00161173363773</v>
      </c>
      <c r="E131"/>
      <c r="O131" s="27" t="s">
        <v>8</v>
      </c>
      <c r="P131" s="27" t="s">
        <v>7</v>
      </c>
      <c r="Q131" s="27" t="s">
        <v>8</v>
      </c>
      <c r="R131" s="27" t="s">
        <v>7</v>
      </c>
      <c r="S131" s="27" t="s">
        <v>8</v>
      </c>
      <c r="T131" s="27" t="s">
        <v>7</v>
      </c>
      <c r="U131" s="27" t="s">
        <v>8</v>
      </c>
      <c r="AD131" s="27" t="s">
        <v>7</v>
      </c>
      <c r="AE131" s="27" t="s">
        <v>8</v>
      </c>
      <c r="BN131" s="27" t="s">
        <v>7</v>
      </c>
      <c r="BX131" s="27" t="s">
        <v>7</v>
      </c>
      <c r="BY131" s="27" t="s">
        <v>8</v>
      </c>
      <c r="BZ131" s="27" t="s">
        <v>7</v>
      </c>
      <c r="CQ131" s="27" t="s">
        <v>8</v>
      </c>
      <c r="CR131" s="27" t="s">
        <v>7</v>
      </c>
      <c r="CY131" s="27" t="s">
        <v>8</v>
      </c>
      <c r="CZ131" s="27" t="s">
        <v>7</v>
      </c>
      <c r="DA131" s="27" t="s">
        <v>8</v>
      </c>
      <c r="DB131" s="27" t="s">
        <v>7</v>
      </c>
      <c r="DC131" s="27" t="s">
        <v>8</v>
      </c>
    </row>
    <row r="132" spans="1:107" x14ac:dyDescent="0.25">
      <c r="A132" s="30">
        <v>194.28724927013116</v>
      </c>
      <c r="C132" s="1" t="s">
        <v>13</v>
      </c>
      <c r="E132"/>
      <c r="G132" s="27" t="s">
        <v>8</v>
      </c>
      <c r="O132" s="27" t="s">
        <v>8</v>
      </c>
      <c r="P132" s="27" t="s">
        <v>7</v>
      </c>
      <c r="R132" s="27" t="s">
        <v>7</v>
      </c>
      <c r="S132" s="27" t="s">
        <v>8</v>
      </c>
      <c r="T132" s="27" t="s">
        <v>7</v>
      </c>
      <c r="U132" s="27" t="s">
        <v>8</v>
      </c>
      <c r="AD132" s="27" t="s">
        <v>7</v>
      </c>
      <c r="BX132" s="27" t="s">
        <v>7</v>
      </c>
      <c r="BY132" s="27" t="s">
        <v>8</v>
      </c>
      <c r="BZ132" s="27" t="s">
        <v>7</v>
      </c>
      <c r="CA132" s="27" t="s">
        <v>8</v>
      </c>
      <c r="CQ132" s="27" t="s">
        <v>8</v>
      </c>
      <c r="CR132" s="27" t="s">
        <v>7</v>
      </c>
      <c r="CY132" s="27" t="s">
        <v>8</v>
      </c>
      <c r="CZ132" s="27" t="s">
        <v>7</v>
      </c>
      <c r="DA132" s="27" t="s">
        <v>8</v>
      </c>
      <c r="DB132" s="27" t="s">
        <v>7</v>
      </c>
    </row>
    <row r="133" spans="1:107" x14ac:dyDescent="0.25">
      <c r="A133" s="30">
        <v>185.03547549536299</v>
      </c>
      <c r="C133" s="1" t="str">
        <f>C122</f>
        <v>X</v>
      </c>
      <c r="E133"/>
      <c r="G133" s="27" t="s">
        <v>8</v>
      </c>
      <c r="H133" s="27" t="s">
        <v>7</v>
      </c>
      <c r="O133" s="27" t="s">
        <v>8</v>
      </c>
      <c r="R133" s="27" t="s">
        <v>7</v>
      </c>
      <c r="S133" s="27" t="s">
        <v>8</v>
      </c>
      <c r="T133" s="27" t="s">
        <v>7</v>
      </c>
      <c r="BX133" s="27" t="s">
        <v>7</v>
      </c>
      <c r="BY133" s="27" t="s">
        <v>8</v>
      </c>
      <c r="BZ133" s="27" t="s">
        <v>7</v>
      </c>
      <c r="CA133" s="27" t="s">
        <v>8</v>
      </c>
      <c r="CB133" s="27" t="s">
        <v>7</v>
      </c>
      <c r="CE133" s="27" t="s">
        <v>8</v>
      </c>
      <c r="CQ133" s="27" t="s">
        <v>8</v>
      </c>
      <c r="CR133" s="27" t="s">
        <v>7</v>
      </c>
      <c r="CY133" s="27" t="s">
        <v>8</v>
      </c>
      <c r="CZ133" s="27" t="s">
        <v>7</v>
      </c>
      <c r="DA133" s="27" t="s">
        <v>8</v>
      </c>
    </row>
    <row r="134" spans="1:107" x14ac:dyDescent="0.25">
      <c r="A134" s="30">
        <v>176.22426237653616</v>
      </c>
      <c r="C134"/>
      <c r="E134"/>
      <c r="G134" s="27" t="s">
        <v>8</v>
      </c>
      <c r="H134" s="27" t="s">
        <v>7</v>
      </c>
      <c r="O134" s="27" t="s">
        <v>8</v>
      </c>
      <c r="R134" s="27" t="s">
        <v>7</v>
      </c>
      <c r="S134" s="27" t="s">
        <v>8</v>
      </c>
      <c r="BX134" s="27" t="s">
        <v>7</v>
      </c>
      <c r="BY134" s="27" t="s">
        <v>8</v>
      </c>
      <c r="BZ134" s="27" t="s">
        <v>7</v>
      </c>
      <c r="CA134" s="27" t="s">
        <v>8</v>
      </c>
      <c r="CB134" s="27" t="s">
        <v>7</v>
      </c>
      <c r="CE134" s="27" t="s">
        <v>8</v>
      </c>
      <c r="CF134" s="27" t="s">
        <v>7</v>
      </c>
      <c r="CQ134" s="27" t="s">
        <v>8</v>
      </c>
      <c r="CR134" s="27" t="s">
        <v>7</v>
      </c>
      <c r="CY134" s="27" t="s">
        <v>8</v>
      </c>
      <c r="CZ134" s="27" t="s">
        <v>7</v>
      </c>
      <c r="DA134" s="27" t="s">
        <v>8</v>
      </c>
    </row>
    <row r="135" spans="1:107" x14ac:dyDescent="0.25">
      <c r="A135" s="30">
        <v>167.83263083479633</v>
      </c>
      <c r="C135" s="1" t="s">
        <v>14</v>
      </c>
      <c r="E135"/>
      <c r="G135" s="27" t="s">
        <v>8</v>
      </c>
      <c r="H135" s="27" t="s">
        <v>7</v>
      </c>
      <c r="I135" s="27" t="s">
        <v>8</v>
      </c>
      <c r="O135" s="27" t="s">
        <v>8</v>
      </c>
      <c r="R135" s="27" t="s">
        <v>7</v>
      </c>
      <c r="S135" s="27" t="s">
        <v>8</v>
      </c>
      <c r="BX135" s="27" t="s">
        <v>7</v>
      </c>
      <c r="BY135" s="27" t="s">
        <v>8</v>
      </c>
      <c r="BZ135" s="27" t="s">
        <v>7</v>
      </c>
      <c r="CA135" s="27" t="s">
        <v>8</v>
      </c>
      <c r="CB135" s="27" t="s">
        <v>7</v>
      </c>
      <c r="CC135" s="27" t="s">
        <v>8</v>
      </c>
      <c r="CE135" s="27" t="s">
        <v>8</v>
      </c>
      <c r="CF135" s="27" t="s">
        <v>7</v>
      </c>
      <c r="CQ135" s="27" t="s">
        <v>8</v>
      </c>
      <c r="CR135" s="27" t="s">
        <v>7</v>
      </c>
      <c r="CW135" s="27" t="s">
        <v>8</v>
      </c>
      <c r="CY135" s="27" t="s">
        <v>8</v>
      </c>
      <c r="CZ135" s="27" t="s">
        <v>7</v>
      </c>
    </row>
    <row r="136" spans="1:107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 t="s">
        <v>8</v>
      </c>
      <c r="G136" s="27" t="s">
        <v>8</v>
      </c>
      <c r="H136" s="27" t="s">
        <v>7</v>
      </c>
      <c r="I136" s="27" t="s">
        <v>8</v>
      </c>
      <c r="J136" s="27" t="s">
        <v>7</v>
      </c>
      <c r="O136" s="27" t="s">
        <v>8</v>
      </c>
      <c r="R136" s="27" t="s">
        <v>7</v>
      </c>
      <c r="S136" s="27" t="s">
        <v>8</v>
      </c>
      <c r="BX136" s="27" t="s">
        <v>7</v>
      </c>
      <c r="BY136" s="27" t="s">
        <v>8</v>
      </c>
      <c r="BZ136" s="27" t="s">
        <v>7</v>
      </c>
      <c r="CA136" s="27" t="s">
        <v>8</v>
      </c>
      <c r="CB136" s="27" t="s">
        <v>7</v>
      </c>
      <c r="CC136" s="27" t="s">
        <v>8</v>
      </c>
      <c r="CD136" s="27" t="s">
        <v>7</v>
      </c>
      <c r="CE136" s="27" t="s">
        <v>8</v>
      </c>
      <c r="CF136" s="27" t="s">
        <v>7</v>
      </c>
      <c r="CG136" s="27" t="s">
        <v>8</v>
      </c>
      <c r="CQ136" s="27" t="s">
        <v>8</v>
      </c>
      <c r="CR136" s="27" t="s">
        <v>7</v>
      </c>
      <c r="CS136" s="27" t="s">
        <v>8</v>
      </c>
      <c r="CU136" s="27" t="s">
        <v>8</v>
      </c>
      <c r="CW136" s="27" t="s">
        <v>8</v>
      </c>
      <c r="CX136" s="27" t="s">
        <v>7</v>
      </c>
      <c r="CY136" s="27" t="s">
        <v>8</v>
      </c>
    </row>
    <row r="137" spans="1:107" x14ac:dyDescent="0.25">
      <c r="A137" s="30">
        <v>152.22914361432771</v>
      </c>
      <c r="E137" t="s">
        <v>8</v>
      </c>
      <c r="F137" s="27" t="s">
        <v>7</v>
      </c>
      <c r="G137" s="27" t="s">
        <v>8</v>
      </c>
      <c r="H137" s="27" t="s">
        <v>7</v>
      </c>
      <c r="I137" s="27" t="s">
        <v>8</v>
      </c>
      <c r="J137" s="27" t="s">
        <v>7</v>
      </c>
      <c r="M137" s="27" t="s">
        <v>8</v>
      </c>
      <c r="O137" s="27" t="s">
        <v>8</v>
      </c>
      <c r="R137" s="27" t="s">
        <v>7</v>
      </c>
      <c r="S137" s="27" t="s">
        <v>8</v>
      </c>
      <c r="BX137" s="27" t="s">
        <v>7</v>
      </c>
      <c r="BY137" s="27" t="s">
        <v>8</v>
      </c>
      <c r="BZ137" s="27" t="s">
        <v>7</v>
      </c>
      <c r="CA137" s="27" t="s">
        <v>8</v>
      </c>
      <c r="CB137" s="27" t="s">
        <v>7</v>
      </c>
      <c r="CC137" s="27" t="s">
        <v>8</v>
      </c>
      <c r="CD137" s="27" t="s">
        <v>7</v>
      </c>
      <c r="CE137" s="27" t="s">
        <v>8</v>
      </c>
      <c r="CF137" s="27" t="s">
        <v>7</v>
      </c>
      <c r="CG137" s="27" t="s">
        <v>8</v>
      </c>
      <c r="CH137" s="27" t="s">
        <v>7</v>
      </c>
      <c r="CQ137" s="27" t="s">
        <v>8</v>
      </c>
      <c r="CR137" s="27" t="s">
        <v>7</v>
      </c>
      <c r="CS137" s="27" t="s">
        <v>8</v>
      </c>
      <c r="CT137" s="27" t="s">
        <v>7</v>
      </c>
      <c r="CU137" s="27" t="s">
        <v>8</v>
      </c>
      <c r="CV137" s="27" t="s">
        <v>7</v>
      </c>
      <c r="CW137" s="27" t="s">
        <v>8</v>
      </c>
      <c r="CX137" s="27" t="s">
        <v>7</v>
      </c>
      <c r="CY137" s="27" t="s">
        <v>8</v>
      </c>
    </row>
    <row r="138" spans="1:107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 t="s">
        <v>8</v>
      </c>
      <c r="F138" s="27" t="s">
        <v>7</v>
      </c>
      <c r="G138" s="27" t="s">
        <v>8</v>
      </c>
      <c r="H138" s="27" t="s">
        <v>7</v>
      </c>
      <c r="I138" s="27" t="s">
        <v>8</v>
      </c>
      <c r="J138" s="27" t="s">
        <v>7</v>
      </c>
      <c r="M138" s="27" t="s">
        <v>8</v>
      </c>
      <c r="N138" s="27" t="s">
        <v>7</v>
      </c>
      <c r="O138" s="27" t="s">
        <v>8</v>
      </c>
      <c r="R138" s="27" t="s">
        <v>7</v>
      </c>
      <c r="S138" s="27" t="s">
        <v>8</v>
      </c>
      <c r="BX138" s="27" t="s">
        <v>7</v>
      </c>
      <c r="BY138" s="27" t="s">
        <v>8</v>
      </c>
      <c r="BZ138" s="27" t="s">
        <v>7</v>
      </c>
      <c r="CA138" s="27" t="s">
        <v>8</v>
      </c>
      <c r="CB138" s="27" t="s">
        <v>7</v>
      </c>
      <c r="CC138" s="27" t="s">
        <v>8</v>
      </c>
      <c r="CD138" s="27" t="s">
        <v>7</v>
      </c>
      <c r="CE138" s="27" t="s">
        <v>8</v>
      </c>
      <c r="CF138" s="27" t="s">
        <v>7</v>
      </c>
      <c r="CG138" s="27" t="s">
        <v>8</v>
      </c>
      <c r="CH138" s="27" t="s">
        <v>7</v>
      </c>
      <c r="CQ138" s="27" t="s">
        <v>8</v>
      </c>
      <c r="CR138" s="27" t="s">
        <v>7</v>
      </c>
      <c r="CS138" s="27" t="s">
        <v>8</v>
      </c>
      <c r="CT138" s="27" t="s">
        <v>7</v>
      </c>
      <c r="CU138" s="27" t="s">
        <v>8</v>
      </c>
      <c r="CV138" s="27" t="s">
        <v>7</v>
      </c>
      <c r="CW138" s="27" t="s">
        <v>8</v>
      </c>
      <c r="CX138" s="27" t="s">
        <v>7</v>
      </c>
      <c r="CY138" s="27" t="s">
        <v>8</v>
      </c>
    </row>
    <row r="139" spans="1:107" x14ac:dyDescent="0.25">
      <c r="A139" s="30">
        <v>138.07632073861922</v>
      </c>
      <c r="E139" t="s">
        <v>8</v>
      </c>
      <c r="F139" s="27" t="s">
        <v>7</v>
      </c>
      <c r="G139" s="27" t="s">
        <v>8</v>
      </c>
      <c r="H139" s="27" t="s">
        <v>7</v>
      </c>
      <c r="I139" s="27" t="s">
        <v>8</v>
      </c>
      <c r="J139" s="27" t="s">
        <v>7</v>
      </c>
      <c r="K139" s="27" t="s">
        <v>8</v>
      </c>
      <c r="M139" s="27" t="s">
        <v>8</v>
      </c>
      <c r="N139" s="27" t="s">
        <v>7</v>
      </c>
      <c r="O139" s="27" t="s">
        <v>8</v>
      </c>
      <c r="R139" s="27" t="s">
        <v>7</v>
      </c>
      <c r="S139" s="27" t="s">
        <v>8</v>
      </c>
      <c r="BX139" s="27" t="s">
        <v>7</v>
      </c>
      <c r="BY139" s="27" t="s">
        <v>8</v>
      </c>
      <c r="BZ139" s="27" t="s">
        <v>7</v>
      </c>
      <c r="CA139" s="27" t="s">
        <v>8</v>
      </c>
      <c r="CB139" s="27" t="s">
        <v>7</v>
      </c>
      <c r="CC139" s="27" t="s">
        <v>8</v>
      </c>
      <c r="CD139" s="27" t="s">
        <v>7</v>
      </c>
      <c r="CF139" s="27" t="s">
        <v>7</v>
      </c>
      <c r="CG139" s="27" t="s">
        <v>8</v>
      </c>
      <c r="CH139" s="27" t="s">
        <v>7</v>
      </c>
      <c r="CQ139" s="27" t="s">
        <v>8</v>
      </c>
      <c r="CR139" s="27" t="s">
        <v>7</v>
      </c>
      <c r="CS139" s="27" t="s">
        <v>8</v>
      </c>
      <c r="CT139" s="27" t="s">
        <v>7</v>
      </c>
      <c r="CU139" s="27" t="s">
        <v>8</v>
      </c>
      <c r="CV139" s="27" t="s">
        <v>7</v>
      </c>
      <c r="CW139" s="27" t="s">
        <v>8</v>
      </c>
      <c r="CX139" s="27" t="s">
        <v>7</v>
      </c>
    </row>
    <row r="140" spans="1:107" x14ac:dyDescent="0.25">
      <c r="A140" s="30">
        <v>131.50125784630401</v>
      </c>
      <c r="C140" s="1">
        <v>0</v>
      </c>
      <c r="E140" t="s">
        <v>8</v>
      </c>
      <c r="F140" s="27" t="s">
        <v>7</v>
      </c>
      <c r="G140" s="27" t="s">
        <v>8</v>
      </c>
      <c r="H140" s="27" t="s">
        <v>7</v>
      </c>
      <c r="I140" s="27" t="s">
        <v>8</v>
      </c>
      <c r="J140" s="27" t="s">
        <v>7</v>
      </c>
      <c r="K140" s="27" t="s">
        <v>8</v>
      </c>
      <c r="L140" s="27" t="s">
        <v>7</v>
      </c>
      <c r="M140" s="27" t="s">
        <v>8</v>
      </c>
      <c r="N140" s="27" t="s">
        <v>7</v>
      </c>
      <c r="O140" s="27" t="s">
        <v>8</v>
      </c>
      <c r="R140" s="27" t="s">
        <v>7</v>
      </c>
      <c r="S140" s="27" t="s">
        <v>8</v>
      </c>
      <c r="BX140" s="27" t="s">
        <v>7</v>
      </c>
      <c r="BY140" s="27" t="s">
        <v>8</v>
      </c>
      <c r="BZ140" s="27" t="s">
        <v>7</v>
      </c>
      <c r="CA140" s="27" t="s">
        <v>8</v>
      </c>
      <c r="CB140" s="27" t="s">
        <v>7</v>
      </c>
      <c r="CC140" s="27" t="s">
        <v>8</v>
      </c>
      <c r="CF140" s="27" t="s">
        <v>7</v>
      </c>
      <c r="CH140" s="27" t="s">
        <v>7</v>
      </c>
      <c r="CQ140" s="27" t="s">
        <v>8</v>
      </c>
      <c r="CR140" s="27" t="s">
        <v>7</v>
      </c>
      <c r="CT140" s="27" t="s">
        <v>7</v>
      </c>
      <c r="CU140" s="27" t="s">
        <v>8</v>
      </c>
      <c r="CV140" s="27" t="s">
        <v>7</v>
      </c>
    </row>
    <row r="141" spans="1:107" x14ac:dyDescent="0.25">
      <c r="A141" s="30">
        <v>125.23929318695619</v>
      </c>
      <c r="C141" s="1">
        <v>1</v>
      </c>
      <c r="E141" t="s">
        <v>8</v>
      </c>
      <c r="F141" s="27" t="s">
        <v>7</v>
      </c>
      <c r="G141" s="27" t="s">
        <v>8</v>
      </c>
      <c r="H141" s="27" t="s">
        <v>7</v>
      </c>
      <c r="J141" s="27" t="s">
        <v>7</v>
      </c>
      <c r="K141" s="27" t="s">
        <v>8</v>
      </c>
      <c r="L141" s="27" t="s">
        <v>7</v>
      </c>
      <c r="M141" s="27" t="s">
        <v>8</v>
      </c>
      <c r="N141" s="27" t="s">
        <v>7</v>
      </c>
      <c r="R141" s="27" t="s">
        <v>7</v>
      </c>
      <c r="BX141" s="27" t="s">
        <v>7</v>
      </c>
      <c r="BZ141" s="27" t="s">
        <v>7</v>
      </c>
      <c r="CA141" s="27" t="s">
        <v>8</v>
      </c>
      <c r="CB141" s="27" t="s">
        <v>7</v>
      </c>
      <c r="CC141" s="27" t="s">
        <v>8</v>
      </c>
      <c r="CH141" s="27" t="s">
        <v>7</v>
      </c>
      <c r="CQ141" s="27" t="s">
        <v>8</v>
      </c>
      <c r="CT141" s="27" t="s">
        <v>7</v>
      </c>
    </row>
    <row r="142" spans="1:107" x14ac:dyDescent="0.25">
      <c r="A142" s="30">
        <v>119.27551732091065</v>
      </c>
      <c r="C142" s="1">
        <v>2</v>
      </c>
      <c r="E142" t="s">
        <v>8</v>
      </c>
      <c r="F142" s="27" t="s">
        <v>7</v>
      </c>
      <c r="G142" s="27" t="s">
        <v>8</v>
      </c>
      <c r="J142" s="27" t="s">
        <v>7</v>
      </c>
      <c r="K142" s="27" t="s">
        <v>8</v>
      </c>
      <c r="L142" s="27" t="s">
        <v>7</v>
      </c>
      <c r="M142" s="27" t="s">
        <v>8</v>
      </c>
      <c r="BZ142" s="27" t="s">
        <v>7</v>
      </c>
      <c r="CA142" s="27" t="s">
        <v>8</v>
      </c>
      <c r="CB142" s="27" t="s">
        <v>7</v>
      </c>
      <c r="CC142" s="27" t="s">
        <v>8</v>
      </c>
      <c r="CH142" s="27" t="s">
        <v>7</v>
      </c>
      <c r="CQ142" s="27" t="s">
        <v>8</v>
      </c>
    </row>
    <row r="143" spans="1:107" x14ac:dyDescent="0.25">
      <c r="A143" s="30">
        <v>113.59573078181967</v>
      </c>
      <c r="C143" s="1">
        <v>3</v>
      </c>
      <c r="E143" t="s">
        <v>8</v>
      </c>
      <c r="F143" s="27" t="s">
        <v>7</v>
      </c>
      <c r="J143" s="27" t="s">
        <v>7</v>
      </c>
      <c r="K143" s="27" t="s">
        <v>8</v>
      </c>
      <c r="L143" s="27" t="s">
        <v>7</v>
      </c>
      <c r="M143" s="27" t="s">
        <v>8</v>
      </c>
      <c r="BZ143" s="27" t="s">
        <v>7</v>
      </c>
      <c r="CA143" s="27" t="s">
        <v>8</v>
      </c>
      <c r="CB143" s="27" t="s">
        <v>7</v>
      </c>
      <c r="CH143" s="27" t="s">
        <v>7</v>
      </c>
      <c r="CQ143" s="27" t="s">
        <v>8</v>
      </c>
    </row>
    <row r="144" spans="1:107" x14ac:dyDescent="0.25">
      <c r="A144" s="30">
        <v>108.18641026839968</v>
      </c>
      <c r="C144" s="1">
        <v>4</v>
      </c>
      <c r="E144" t="s">
        <v>8</v>
      </c>
      <c r="J144" s="27" t="s">
        <v>7</v>
      </c>
      <c r="K144" s="27" t="s">
        <v>8</v>
      </c>
      <c r="L144" s="27" t="s">
        <v>7</v>
      </c>
      <c r="M144" s="27" t="s">
        <v>8</v>
      </c>
      <c r="BZ144" s="27" t="s">
        <v>7</v>
      </c>
      <c r="CA144" s="27" t="s">
        <v>8</v>
      </c>
      <c r="CH144" s="27" t="s">
        <v>7</v>
      </c>
      <c r="CQ144" s="27" t="s">
        <v>8</v>
      </c>
    </row>
    <row r="145" spans="1:95" x14ac:dyDescent="0.25">
      <c r="A145" s="30">
        <v>103.03467644609493</v>
      </c>
      <c r="E145" t="s">
        <v>8</v>
      </c>
      <c r="J145" s="27" t="s">
        <v>7</v>
      </c>
      <c r="L145" s="27" t="s">
        <v>7</v>
      </c>
      <c r="M145" s="27" t="s">
        <v>8</v>
      </c>
      <c r="BZ145" s="27" t="s">
        <v>7</v>
      </c>
      <c r="CH145" s="27" t="s">
        <v>7</v>
      </c>
      <c r="CQ145" s="27" t="s">
        <v>8</v>
      </c>
    </row>
    <row r="146" spans="1:95" x14ac:dyDescent="0.25">
      <c r="A146" s="30">
        <v>98.128263281995174</v>
      </c>
      <c r="E146" t="s">
        <v>8</v>
      </c>
      <c r="L146" s="27" t="s">
        <v>7</v>
      </c>
      <c r="M146" s="27" t="s">
        <v>8</v>
      </c>
      <c r="CH146" s="27" t="s">
        <v>7</v>
      </c>
      <c r="CI146" s="27" t="s">
        <v>8</v>
      </c>
      <c r="CK146" s="27" t="s">
        <v>8</v>
      </c>
      <c r="CM146" s="27" t="s">
        <v>8</v>
      </c>
      <c r="CO146" s="27" t="s">
        <v>8</v>
      </c>
      <c r="CQ146" s="27" t="s">
        <v>8</v>
      </c>
    </row>
    <row r="147" spans="1:95" x14ac:dyDescent="0.25">
      <c r="A147" s="30">
        <v>93.455488839995397</v>
      </c>
      <c r="E147" t="s">
        <v>8</v>
      </c>
      <c r="L147" s="27" t="s">
        <v>7</v>
      </c>
      <c r="M147" s="27" t="s">
        <v>8</v>
      </c>
      <c r="CH147" s="27" t="s">
        <v>7</v>
      </c>
      <c r="CI147" s="27" t="s">
        <v>8</v>
      </c>
      <c r="CJ147" s="27" t="s">
        <v>7</v>
      </c>
      <c r="CK147" s="27" t="s">
        <v>8</v>
      </c>
      <c r="CL147" s="27" t="s">
        <v>7</v>
      </c>
      <c r="CM147" s="27" t="s">
        <v>8</v>
      </c>
      <c r="CN147" s="27" t="s">
        <v>7</v>
      </c>
      <c r="CO147" s="27" t="s">
        <v>8</v>
      </c>
      <c r="CP147" s="27" t="s">
        <v>7</v>
      </c>
      <c r="CQ147" s="27" t="s">
        <v>8</v>
      </c>
    </row>
    <row r="148" spans="1:95" x14ac:dyDescent="0.25">
      <c r="A148" s="30">
        <v>89.005227466662276</v>
      </c>
      <c r="E148" t="s">
        <v>8</v>
      </c>
      <c r="L148" s="27" t="s">
        <v>7</v>
      </c>
      <c r="M148" s="27" t="s">
        <v>8</v>
      </c>
      <c r="CH148" s="27" t="s">
        <v>7</v>
      </c>
      <c r="CI148" s="27" t="s">
        <v>8</v>
      </c>
      <c r="CJ148" s="27" t="s">
        <v>7</v>
      </c>
      <c r="CK148" s="27" t="s">
        <v>8</v>
      </c>
      <c r="CL148" s="27" t="s">
        <v>7</v>
      </c>
      <c r="CM148" s="27" t="s">
        <v>8</v>
      </c>
      <c r="CN148" s="27" t="s">
        <v>7</v>
      </c>
      <c r="CO148" s="27" t="s">
        <v>8</v>
      </c>
      <c r="CP148" s="27" t="s">
        <v>7</v>
      </c>
      <c r="CQ148" s="27" t="s">
        <v>8</v>
      </c>
    </row>
    <row r="149" spans="1:95" x14ac:dyDescent="0.25">
      <c r="A149" s="30">
        <v>84.766883301583121</v>
      </c>
      <c r="E149" t="s">
        <v>8</v>
      </c>
      <c r="L149" s="27" t="s">
        <v>7</v>
      </c>
      <c r="CH149" s="27" t="s">
        <v>7</v>
      </c>
      <c r="CI149" s="27" t="s">
        <v>8</v>
      </c>
      <c r="CJ149" s="27" t="s">
        <v>7</v>
      </c>
      <c r="CK149" s="27" t="s">
        <v>8</v>
      </c>
      <c r="CL149" s="27" t="s">
        <v>7</v>
      </c>
      <c r="CM149" s="27" t="s">
        <v>8</v>
      </c>
      <c r="CN149" s="27" t="s">
        <v>7</v>
      </c>
      <c r="CO149" s="27" t="s">
        <v>8</v>
      </c>
      <c r="CP149" s="27" t="s">
        <v>7</v>
      </c>
      <c r="CQ149" s="27" t="s">
        <v>8</v>
      </c>
    </row>
    <row r="150" spans="1:95" x14ac:dyDescent="0.25">
      <c r="A150" s="30">
        <v>80.730365049126775</v>
      </c>
      <c r="E150" t="s">
        <v>8</v>
      </c>
      <c r="CH150" s="27" t="s">
        <v>7</v>
      </c>
      <c r="CJ150" s="27" t="s">
        <v>7</v>
      </c>
      <c r="CK150" s="27" t="s">
        <v>8</v>
      </c>
      <c r="CL150" s="27" t="s">
        <v>7</v>
      </c>
      <c r="CN150" s="27" t="s">
        <v>7</v>
      </c>
      <c r="CO150" s="27" t="s">
        <v>8</v>
      </c>
      <c r="CP150" s="27" t="s">
        <v>7</v>
      </c>
      <c r="CQ150" s="27" t="s">
        <v>8</v>
      </c>
    </row>
    <row r="151" spans="1:95" x14ac:dyDescent="0.25">
      <c r="A151" s="30">
        <v>76.886061951549308</v>
      </c>
      <c r="E151" t="s">
        <v>8</v>
      </c>
      <c r="CJ151" s="27" t="s">
        <v>7</v>
      </c>
      <c r="CN151" s="27" t="s">
        <v>7</v>
      </c>
      <c r="CO151" s="27" t="s">
        <v>8</v>
      </c>
      <c r="CP151" s="27" t="s">
        <v>7</v>
      </c>
      <c r="CQ151" s="27" t="s">
        <v>8</v>
      </c>
    </row>
    <row r="152" spans="1:95" x14ac:dyDescent="0.25">
      <c r="A152" s="30">
        <v>73.22482090623744</v>
      </c>
      <c r="E152" t="s">
        <v>8</v>
      </c>
      <c r="CN152" s="27" t="s">
        <v>7</v>
      </c>
      <c r="CO152" s="27" t="s">
        <v>8</v>
      </c>
      <c r="CP152" s="27" t="s">
        <v>7</v>
      </c>
      <c r="CQ152" s="27" t="s">
        <v>8</v>
      </c>
    </row>
    <row r="153" spans="1:95" x14ac:dyDescent="0.25">
      <c r="A153" s="30">
        <v>69.737924672607079</v>
      </c>
      <c r="C153" s="7"/>
      <c r="D153"/>
      <c r="E153" t="s">
        <v>8</v>
      </c>
      <c r="CN153" s="27" t="s">
        <v>7</v>
      </c>
      <c r="CP153" s="18" t="s">
        <v>7</v>
      </c>
      <c r="CQ153" s="27" t="s">
        <v>8</v>
      </c>
    </row>
    <row r="154" spans="1:95" x14ac:dyDescent="0.25">
      <c r="A154" s="30">
        <v>66.417071116768639</v>
      </c>
      <c r="E154" t="s">
        <v>8</v>
      </c>
      <c r="CP154" s="27" t="s">
        <v>7</v>
      </c>
    </row>
    <row r="155" spans="1:95" x14ac:dyDescent="0.25">
      <c r="A155" s="30">
        <v>63.254353444541557</v>
      </c>
      <c r="E155" t="s">
        <v>8</v>
      </c>
    </row>
    <row r="156" spans="1:95" x14ac:dyDescent="0.25">
      <c r="A156" s="30">
        <v>60.242241375753864</v>
      </c>
      <c r="C156"/>
      <c r="D156"/>
      <c r="E156" t="s">
        <v>8</v>
      </c>
    </row>
    <row r="157" spans="1:95" x14ac:dyDescent="0.25">
      <c r="A157" s="30">
        <v>57.373563215003678</v>
      </c>
      <c r="E157" t="s">
        <v>8</v>
      </c>
    </row>
    <row r="158" spans="1:95" x14ac:dyDescent="0.25">
      <c r="A158" s="30">
        <v>54.641488776193974</v>
      </c>
      <c r="E158" t="s">
        <v>8</v>
      </c>
    </row>
    <row r="159" spans="1:95" x14ac:dyDescent="0.25">
      <c r="A159" s="30">
        <v>52.039513120184736</v>
      </c>
      <c r="E159" t="s">
        <v>8</v>
      </c>
    </row>
    <row r="160" spans="1:9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71" operator="equal">
      <formula>$U$1</formula>
    </cfRule>
    <cfRule type="cellIs" dxfId="67" priority="872" operator="equal">
      <formula>$S$1</formula>
    </cfRule>
  </conditionalFormatting>
  <conditionalFormatting sqref="D136">
    <cfRule type="cellIs" dxfId="66" priority="869" operator="equal">
      <formula>$S$1</formula>
    </cfRule>
    <cfRule type="cellIs" dxfId="65" priority="870" operator="equal">
      <formula>$U$1</formula>
    </cfRule>
  </conditionalFormatting>
  <conditionalFormatting sqref="C162">
    <cfRule type="cellIs" dxfId="64" priority="867" operator="equal">
      <formula>$U$1</formula>
    </cfRule>
    <cfRule type="cellIs" dxfId="63" priority="868" operator="equal">
      <formula>$S$1</formula>
    </cfRule>
  </conditionalFormatting>
  <conditionalFormatting sqref="D162">
    <cfRule type="cellIs" dxfId="62" priority="865" operator="equal">
      <formula>$S$1</formula>
    </cfRule>
    <cfRule type="cellIs" dxfId="61" priority="866" operator="equal">
      <formula>$U$1</formula>
    </cfRule>
  </conditionalFormatting>
  <conditionalFormatting sqref="C187">
    <cfRule type="cellIs" dxfId="60" priority="863" operator="equal">
      <formula>$U$1</formula>
    </cfRule>
    <cfRule type="cellIs" dxfId="59" priority="864" operator="equal">
      <formula>$S$1</formula>
    </cfRule>
  </conditionalFormatting>
  <conditionalFormatting sqref="D187">
    <cfRule type="cellIs" dxfId="58" priority="861" operator="equal">
      <formula>$S$1</formula>
    </cfRule>
    <cfRule type="cellIs" dxfId="57" priority="862" operator="equal">
      <formula>$U$1</formula>
    </cfRule>
  </conditionalFormatting>
  <conditionalFormatting sqref="C212">
    <cfRule type="cellIs" dxfId="56" priority="859" operator="equal">
      <formula>$U$1</formula>
    </cfRule>
    <cfRule type="cellIs" dxfId="55" priority="860" operator="equal">
      <formula>$S$1</formula>
    </cfRule>
  </conditionalFormatting>
  <conditionalFormatting sqref="D212">
    <cfRule type="cellIs" dxfId="54" priority="857" operator="equal">
      <formula>$S$1</formula>
    </cfRule>
    <cfRule type="cellIs" dxfId="53" priority="858" operator="equal">
      <formula>$U$1</formula>
    </cfRule>
  </conditionalFormatting>
  <conditionalFormatting sqref="C237">
    <cfRule type="cellIs" dxfId="52" priority="855" operator="equal">
      <formula>$U$1</formula>
    </cfRule>
    <cfRule type="cellIs" dxfId="51" priority="856" operator="equal">
      <formula>$S$1</formula>
    </cfRule>
  </conditionalFormatting>
  <conditionalFormatting sqref="D237">
    <cfRule type="cellIs" dxfId="50" priority="853" operator="equal">
      <formula>$S$1</formula>
    </cfRule>
    <cfRule type="cellIs" dxfId="49" priority="854" operator="equal">
      <formula>$U$1</formula>
    </cfRule>
  </conditionalFormatting>
  <conditionalFormatting sqref="C106">
    <cfRule type="cellIs" dxfId="48" priority="851" operator="equal">
      <formula>$U$1</formula>
    </cfRule>
    <cfRule type="cellIs" dxfId="47" priority="852" operator="equal">
      <formula>$S$1</formula>
    </cfRule>
  </conditionalFormatting>
  <conditionalFormatting sqref="D106">
    <cfRule type="cellIs" dxfId="46" priority="849" operator="equal">
      <formula>$S$1</formula>
    </cfRule>
    <cfRule type="cellIs" dxfId="45" priority="850" operator="equal">
      <formula>$U$1</formula>
    </cfRule>
  </conditionalFormatting>
  <conditionalFormatting sqref="C81">
    <cfRule type="cellIs" dxfId="44" priority="847" operator="equal">
      <formula>$U$1</formula>
    </cfRule>
    <cfRule type="cellIs" dxfId="43" priority="848" operator="equal">
      <formula>$S$1</formula>
    </cfRule>
  </conditionalFormatting>
  <conditionalFormatting sqref="D81">
    <cfRule type="cellIs" dxfId="42" priority="845" operator="equal">
      <formula>$S$1</formula>
    </cfRule>
    <cfRule type="cellIs" dxfId="41" priority="846" operator="equal">
      <formula>$U$1</formula>
    </cfRule>
  </conditionalFormatting>
  <conditionalFormatting sqref="C56">
    <cfRule type="cellIs" dxfId="40" priority="843" operator="equal">
      <formula>$U$1</formula>
    </cfRule>
    <cfRule type="cellIs" dxfId="39" priority="844" operator="equal">
      <formula>$S$1</formula>
    </cfRule>
  </conditionalFormatting>
  <conditionalFormatting sqref="D56">
    <cfRule type="cellIs" dxfId="38" priority="841" operator="equal">
      <formula>$S$1</formula>
    </cfRule>
    <cfRule type="cellIs" dxfId="37" priority="842" operator="equal">
      <formula>$U$1</formula>
    </cfRule>
  </conditionalFormatting>
  <conditionalFormatting sqref="C31">
    <cfRule type="cellIs" dxfId="36" priority="839" operator="equal">
      <formula>$U$1</formula>
    </cfRule>
    <cfRule type="cellIs" dxfId="35" priority="840" operator="equal">
      <formula>$S$1</formula>
    </cfRule>
  </conditionalFormatting>
  <conditionalFormatting sqref="D31">
    <cfRule type="cellIs" dxfId="34" priority="837" operator="equal">
      <formula>$S$1</formula>
    </cfRule>
    <cfRule type="cellIs" dxfId="33" priority="83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O46" sqref="BO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67" x14ac:dyDescent="0.25">
      <c r="A33" s="30">
        <v>4390.927778387033</v>
      </c>
      <c r="E33"/>
    </row>
    <row r="34" spans="1:67" x14ac:dyDescent="0.25">
      <c r="A34" s="30">
        <v>3991.7525258063934</v>
      </c>
      <c r="E34"/>
    </row>
    <row r="35" spans="1:67" x14ac:dyDescent="0.25">
      <c r="A35" s="30">
        <v>3628.8659325512663</v>
      </c>
      <c r="E35"/>
    </row>
    <row r="36" spans="1:67" x14ac:dyDescent="0.25">
      <c r="A36" s="30">
        <v>3298.96902959206</v>
      </c>
      <c r="E36"/>
    </row>
    <row r="37" spans="1:67" x14ac:dyDescent="0.25">
      <c r="A37" s="30">
        <v>2999.0627541745998</v>
      </c>
      <c r="E37"/>
    </row>
    <row r="38" spans="1:67" x14ac:dyDescent="0.25">
      <c r="A38" s="30">
        <v>2726.4206856132723</v>
      </c>
      <c r="E38"/>
    </row>
    <row r="39" spans="1:67" x14ac:dyDescent="0.25">
      <c r="A39" s="30">
        <v>2478.564259648429</v>
      </c>
      <c r="E39"/>
    </row>
    <row r="40" spans="1:67" x14ac:dyDescent="0.25">
      <c r="A40" s="30">
        <v>2253.240236044026</v>
      </c>
      <c r="E40"/>
    </row>
    <row r="41" spans="1:67" x14ac:dyDescent="0.25">
      <c r="A41" s="30">
        <v>2048.4002145854779</v>
      </c>
      <c r="E41"/>
      <c r="BC41" s="27" t="s">
        <v>8</v>
      </c>
    </row>
    <row r="42" spans="1:67" x14ac:dyDescent="0.25">
      <c r="A42" s="30">
        <v>1862.1820132595253</v>
      </c>
      <c r="C42" s="1" t="s">
        <v>15</v>
      </c>
      <c r="E42"/>
      <c r="BC42" s="27" t="s">
        <v>8</v>
      </c>
      <c r="BD42" s="27" t="s">
        <v>7</v>
      </c>
      <c r="BM42" s="27" t="s">
        <v>8</v>
      </c>
    </row>
    <row r="43" spans="1:67" x14ac:dyDescent="0.25">
      <c r="A43" s="30">
        <v>1692.8927393268411</v>
      </c>
      <c r="C43" s="7">
        <v>0.11167815779424731</v>
      </c>
      <c r="D43"/>
      <c r="E43"/>
      <c r="BC43" s="27" t="s">
        <v>8</v>
      </c>
      <c r="BD43" s="27" t="s">
        <v>7</v>
      </c>
      <c r="BE43" s="27" t="s">
        <v>8</v>
      </c>
      <c r="BM43" s="27" t="s">
        <v>8</v>
      </c>
      <c r="BN43" s="27" t="s">
        <v>7</v>
      </c>
    </row>
    <row r="44" spans="1:67" x14ac:dyDescent="0.25">
      <c r="A44" s="30">
        <v>1538.9933993880372</v>
      </c>
      <c r="E44"/>
      <c r="BC44" s="27" t="s">
        <v>8</v>
      </c>
      <c r="BD44" s="27" t="s">
        <v>7</v>
      </c>
      <c r="BE44" s="27" t="s">
        <v>8</v>
      </c>
      <c r="BF44" s="27" t="s">
        <v>7</v>
      </c>
      <c r="BM44" s="27" t="s">
        <v>8</v>
      </c>
      <c r="BN44" s="27" t="s">
        <v>7</v>
      </c>
    </row>
    <row r="45" spans="1:67" x14ac:dyDescent="0.25">
      <c r="A45" s="30">
        <v>1399.0849085345792</v>
      </c>
      <c r="C45" s="1" t="s">
        <v>11</v>
      </c>
      <c r="D45" s="1" t="s">
        <v>12</v>
      </c>
      <c r="E45"/>
      <c r="BC45" s="27" t="s">
        <v>8</v>
      </c>
      <c r="BD45" s="27" t="s">
        <v>7</v>
      </c>
      <c r="BE45" s="27" t="s">
        <v>8</v>
      </c>
      <c r="BF45" s="27" t="s">
        <v>7</v>
      </c>
      <c r="BM45" s="27" t="s">
        <v>8</v>
      </c>
      <c r="BN45" s="27" t="s">
        <v>7</v>
      </c>
    </row>
    <row r="46" spans="1:67" x14ac:dyDescent="0.25">
      <c r="A46" s="30">
        <v>1271.8953713950718</v>
      </c>
      <c r="C46"/>
      <c r="D46"/>
      <c r="E46"/>
      <c r="BC46" s="27" t="s">
        <v>8</v>
      </c>
      <c r="BD46" s="27" t="s">
        <v>7</v>
      </c>
      <c r="BE46" s="27" t="s">
        <v>8</v>
      </c>
      <c r="BF46" s="27" t="s">
        <v>7</v>
      </c>
      <c r="BK46" s="27" t="s">
        <v>8</v>
      </c>
      <c r="BM46" s="27" t="s">
        <v>8</v>
      </c>
      <c r="BN46" s="27" t="s">
        <v>7</v>
      </c>
      <c r="BO46" s="27" t="s">
        <v>8</v>
      </c>
    </row>
    <row r="47" spans="1:67" x14ac:dyDescent="0.25">
      <c r="A47" s="30">
        <v>1156.2685194500652</v>
      </c>
      <c r="E47"/>
      <c r="BC47" s="27" t="s">
        <v>8</v>
      </c>
      <c r="BD47" s="27" t="s">
        <v>7</v>
      </c>
      <c r="BF47" s="27" t="s">
        <v>7</v>
      </c>
      <c r="BK47" s="27" t="s">
        <v>8</v>
      </c>
      <c r="BL47" s="27" t="s">
        <v>7</v>
      </c>
      <c r="BM47" s="27" t="s">
        <v>8</v>
      </c>
      <c r="BN47" s="27" t="s">
        <v>7</v>
      </c>
      <c r="BO47" s="27" t="s">
        <v>8</v>
      </c>
    </row>
    <row r="48" spans="1:67" x14ac:dyDescent="0.25">
      <c r="A48" s="30">
        <v>1051.1531995000591</v>
      </c>
      <c r="C48" s="1" t="s">
        <v>13</v>
      </c>
      <c r="E48"/>
      <c r="BC48" s="27" t="s">
        <v>8</v>
      </c>
      <c r="BF48" s="27" t="s">
        <v>7</v>
      </c>
      <c r="BG48" s="27" t="s">
        <v>8</v>
      </c>
      <c r="BK48" s="27" t="s">
        <v>8</v>
      </c>
      <c r="BL48" s="27" t="s">
        <v>7</v>
      </c>
      <c r="BM48" s="27" t="s">
        <v>8</v>
      </c>
      <c r="BN48" s="27" t="s">
        <v>7</v>
      </c>
      <c r="BO48" s="27" t="s">
        <v>8</v>
      </c>
    </row>
    <row r="49" spans="1:67" x14ac:dyDescent="0.25">
      <c r="A49" s="30">
        <v>955.59381772732638</v>
      </c>
      <c r="C49" s="1">
        <f>C38</f>
        <v>0</v>
      </c>
      <c r="E49"/>
      <c r="BC49" s="27" t="s">
        <v>8</v>
      </c>
      <c r="BF49" s="27" t="s">
        <v>7</v>
      </c>
      <c r="BG49" s="27" t="s">
        <v>8</v>
      </c>
      <c r="BH49" s="27" t="s">
        <v>7</v>
      </c>
      <c r="BI49" s="27" t="s">
        <v>8</v>
      </c>
      <c r="BK49" s="27" t="s">
        <v>8</v>
      </c>
      <c r="BL49" s="27" t="s">
        <v>7</v>
      </c>
      <c r="BN49" s="27" t="s">
        <v>7</v>
      </c>
      <c r="BO49" s="27" t="s">
        <v>8</v>
      </c>
    </row>
    <row r="50" spans="1:67" x14ac:dyDescent="0.25">
      <c r="A50" s="30">
        <v>868.72165247938756</v>
      </c>
      <c r="C50"/>
      <c r="D50"/>
      <c r="E50"/>
      <c r="BC50" s="27" t="s">
        <v>8</v>
      </c>
      <c r="BF50" s="27" t="s">
        <v>7</v>
      </c>
      <c r="BG50" s="27" t="s">
        <v>8</v>
      </c>
      <c r="BH50" s="27" t="s">
        <v>7</v>
      </c>
      <c r="BI50" s="27" t="s">
        <v>8</v>
      </c>
      <c r="BJ50" s="27" t="s">
        <v>7</v>
      </c>
      <c r="BK50" s="27" t="s">
        <v>8</v>
      </c>
      <c r="BN50" s="27" t="s">
        <v>7</v>
      </c>
      <c r="BO50" s="27" t="s">
        <v>8</v>
      </c>
    </row>
    <row r="51" spans="1:67" x14ac:dyDescent="0.25">
      <c r="A51" s="30">
        <v>789.74695679944318</v>
      </c>
      <c r="C51" s="1" t="s">
        <v>14</v>
      </c>
      <c r="E51"/>
      <c r="BC51" s="27" t="s">
        <v>8</v>
      </c>
      <c r="BF51" s="27" t="s">
        <v>7</v>
      </c>
      <c r="BG51" s="27" t="s">
        <v>8</v>
      </c>
      <c r="BH51" s="27" t="s">
        <v>7</v>
      </c>
      <c r="BI51" s="27" t="s">
        <v>8</v>
      </c>
      <c r="BJ51" s="27" t="s">
        <v>7</v>
      </c>
      <c r="BK51" s="27" t="s">
        <v>8</v>
      </c>
      <c r="BN51" s="27" t="s">
        <v>7</v>
      </c>
    </row>
    <row r="52" spans="1:67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  <c r="BC52" s="27" t="s">
        <v>8</v>
      </c>
      <c r="BF52" s="27" t="s">
        <v>7</v>
      </c>
      <c r="BG52" s="27" t="s">
        <v>8</v>
      </c>
      <c r="BH52" s="27" t="s">
        <v>7</v>
      </c>
      <c r="BI52" s="27" t="s">
        <v>8</v>
      </c>
      <c r="BJ52" s="27" t="s">
        <v>7</v>
      </c>
    </row>
    <row r="53" spans="1:67" x14ac:dyDescent="0.25">
      <c r="A53" s="30">
        <v>652.68343537144051</v>
      </c>
      <c r="E53"/>
      <c r="BC53" s="27" t="s">
        <v>8</v>
      </c>
      <c r="BF53" s="27" t="s">
        <v>7</v>
      </c>
      <c r="BH53" s="27" t="s">
        <v>7</v>
      </c>
      <c r="BI53" s="27" t="s">
        <v>8</v>
      </c>
    </row>
    <row r="54" spans="1:67" x14ac:dyDescent="0.25">
      <c r="A54" s="30">
        <v>593.34857761040041</v>
      </c>
      <c r="E54"/>
      <c r="BC54" s="27" t="s">
        <v>8</v>
      </c>
      <c r="BH54" s="27" t="s">
        <v>7</v>
      </c>
    </row>
    <row r="55" spans="1:67" x14ac:dyDescent="0.25">
      <c r="A55" s="30">
        <v>539.40779782763673</v>
      </c>
      <c r="E55"/>
      <c r="M55" s="27" t="s">
        <v>8</v>
      </c>
      <c r="AY55" s="27" t="s">
        <v>8</v>
      </c>
      <c r="BC55" s="27" t="s">
        <v>8</v>
      </c>
    </row>
    <row r="56" spans="1:67" x14ac:dyDescent="0.25">
      <c r="A56" s="30">
        <v>490.37072529785149</v>
      </c>
      <c r="E56"/>
      <c r="K56" s="27" t="s">
        <v>8</v>
      </c>
      <c r="M56" s="27" t="s">
        <v>8</v>
      </c>
      <c r="N56" s="27" t="s">
        <v>7</v>
      </c>
      <c r="W56" s="27" t="s">
        <v>8</v>
      </c>
      <c r="AY56" s="27" t="s">
        <v>8</v>
      </c>
      <c r="AZ56" s="27" t="s">
        <v>7</v>
      </c>
      <c r="BC56" s="27" t="s">
        <v>8</v>
      </c>
    </row>
    <row r="57" spans="1:67" x14ac:dyDescent="0.25">
      <c r="A57" s="30">
        <v>445.79156845259223</v>
      </c>
      <c r="E57"/>
      <c r="K57" s="27" t="s">
        <v>8</v>
      </c>
      <c r="L57" s="27" t="s">
        <v>7</v>
      </c>
      <c r="M57" s="27" t="s">
        <v>8</v>
      </c>
      <c r="N57" s="27" t="s">
        <v>7</v>
      </c>
      <c r="U57" s="27" t="s">
        <v>8</v>
      </c>
      <c r="W57" s="27" t="s">
        <v>8</v>
      </c>
      <c r="X57" s="27" t="s">
        <v>7</v>
      </c>
      <c r="AW57" s="27" t="s">
        <v>8</v>
      </c>
      <c r="AY57" s="27" t="s">
        <v>8</v>
      </c>
      <c r="AZ57" s="27" t="s">
        <v>7</v>
      </c>
      <c r="BA57" s="27" t="s">
        <v>8</v>
      </c>
      <c r="BC57" s="27" t="s">
        <v>8</v>
      </c>
    </row>
    <row r="58" spans="1:67" x14ac:dyDescent="0.25">
      <c r="A58" s="30">
        <v>405.26506222962928</v>
      </c>
      <c r="E58"/>
      <c r="K58" s="27" t="s">
        <v>8</v>
      </c>
      <c r="L58" s="27" t="s">
        <v>7</v>
      </c>
      <c r="M58" s="27" t="s">
        <v>8</v>
      </c>
      <c r="N58" s="27" t="s">
        <v>7</v>
      </c>
      <c r="Q58" s="27" t="s">
        <v>8</v>
      </c>
      <c r="U58" s="27" t="s">
        <v>8</v>
      </c>
      <c r="V58" s="27" t="s">
        <v>7</v>
      </c>
      <c r="W58" s="27" t="s">
        <v>8</v>
      </c>
      <c r="X58" s="27" t="s">
        <v>7</v>
      </c>
      <c r="AI58" s="27" t="s">
        <v>8</v>
      </c>
      <c r="AW58" s="27" t="s">
        <v>8</v>
      </c>
      <c r="AX58" s="27" t="s">
        <v>7</v>
      </c>
      <c r="AY58" s="27" t="s">
        <v>8</v>
      </c>
      <c r="AZ58" s="27" t="s">
        <v>7</v>
      </c>
      <c r="BA58" s="27" t="s">
        <v>8</v>
      </c>
      <c r="BB58" s="27" t="s">
        <v>7</v>
      </c>
      <c r="BC58" s="27" t="s">
        <v>8</v>
      </c>
    </row>
    <row r="59" spans="1:67" x14ac:dyDescent="0.25">
      <c r="A59" s="30">
        <v>368.42278384511752</v>
      </c>
      <c r="E59"/>
      <c r="K59" s="27" t="s">
        <v>8</v>
      </c>
      <c r="L59" s="27" t="s">
        <v>7</v>
      </c>
      <c r="M59" s="27" t="s">
        <v>8</v>
      </c>
      <c r="N59" s="27" t="s">
        <v>7</v>
      </c>
      <c r="Q59" s="27" t="s">
        <v>8</v>
      </c>
      <c r="R59" s="27" t="s">
        <v>7</v>
      </c>
      <c r="S59" s="27" t="s">
        <v>8</v>
      </c>
      <c r="U59" s="27" t="s">
        <v>8</v>
      </c>
      <c r="V59" s="27" t="s">
        <v>7</v>
      </c>
      <c r="W59" s="27" t="s">
        <v>8</v>
      </c>
      <c r="X59" s="27" t="s">
        <v>7</v>
      </c>
      <c r="AG59" s="27" t="s">
        <v>8</v>
      </c>
      <c r="AI59" s="27" t="s">
        <v>8</v>
      </c>
      <c r="AJ59" s="27" t="s">
        <v>7</v>
      </c>
      <c r="AW59" s="27" t="s">
        <v>8</v>
      </c>
      <c r="AX59" s="27" t="s">
        <v>7</v>
      </c>
      <c r="AY59" s="27" t="s">
        <v>8</v>
      </c>
      <c r="AZ59" s="27" t="s">
        <v>7</v>
      </c>
      <c r="BA59" s="27" t="s">
        <v>8</v>
      </c>
      <c r="BB59" s="27" t="s">
        <v>7</v>
      </c>
      <c r="BC59" s="27" t="s">
        <v>8</v>
      </c>
    </row>
    <row r="60" spans="1:67" x14ac:dyDescent="0.25">
      <c r="A60" s="30">
        <v>334.92980349556137</v>
      </c>
      <c r="E60"/>
      <c r="K60" s="27" t="s">
        <v>8</v>
      </c>
      <c r="L60" s="27" t="s">
        <v>7</v>
      </c>
      <c r="N60" s="27" t="s">
        <v>7</v>
      </c>
      <c r="O60" s="27" t="s">
        <v>8</v>
      </c>
      <c r="Q60" s="27" t="s">
        <v>8</v>
      </c>
      <c r="R60" s="27" t="s">
        <v>7</v>
      </c>
      <c r="S60" s="27" t="s">
        <v>8</v>
      </c>
      <c r="T60" s="27" t="s">
        <v>7</v>
      </c>
      <c r="U60" s="27" t="s">
        <v>8</v>
      </c>
      <c r="V60" s="27" t="s">
        <v>7</v>
      </c>
      <c r="X60" s="27" t="s">
        <v>7</v>
      </c>
      <c r="Y60" s="27" t="s">
        <v>8</v>
      </c>
      <c r="AG60" s="27" t="s">
        <v>8</v>
      </c>
      <c r="AH60" s="27" t="s">
        <v>7</v>
      </c>
      <c r="AI60" s="27" t="s">
        <v>8</v>
      </c>
      <c r="AJ60" s="27" t="s">
        <v>7</v>
      </c>
      <c r="AW60" s="27" t="s">
        <v>8</v>
      </c>
      <c r="AX60" s="27" t="s">
        <v>7</v>
      </c>
      <c r="AY60" s="27" t="s">
        <v>8</v>
      </c>
      <c r="AZ60" s="27" t="s">
        <v>7</v>
      </c>
      <c r="BA60" s="27" t="s">
        <v>8</v>
      </c>
      <c r="BB60" s="27" t="s">
        <v>7</v>
      </c>
    </row>
    <row r="61" spans="1:67" x14ac:dyDescent="0.25">
      <c r="A61" s="30">
        <v>304.48163954141938</v>
      </c>
      <c r="E61"/>
      <c r="K61" s="27" t="s">
        <v>8</v>
      </c>
      <c r="N61" s="27" t="s">
        <v>7</v>
      </c>
      <c r="O61" s="27" t="s">
        <v>8</v>
      </c>
      <c r="P61" s="27" t="s">
        <v>7</v>
      </c>
      <c r="Q61" s="27" t="s">
        <v>8</v>
      </c>
      <c r="R61" s="27" t="s">
        <v>7</v>
      </c>
      <c r="S61" s="27" t="s">
        <v>8</v>
      </c>
      <c r="T61" s="27" t="s">
        <v>7</v>
      </c>
      <c r="U61" s="27" t="s">
        <v>8</v>
      </c>
      <c r="X61" s="27" t="s">
        <v>7</v>
      </c>
      <c r="Y61" s="27" t="s">
        <v>8</v>
      </c>
      <c r="Z61" s="27" t="s">
        <v>7</v>
      </c>
      <c r="AA61" s="27" t="s">
        <v>8</v>
      </c>
      <c r="AG61" s="27" t="s">
        <v>8</v>
      </c>
      <c r="AH61" s="27" t="s">
        <v>7</v>
      </c>
      <c r="AI61" s="27" t="s">
        <v>8</v>
      </c>
      <c r="AJ61" s="27" t="s">
        <v>7</v>
      </c>
      <c r="AW61" s="27" t="s">
        <v>8</v>
      </c>
      <c r="AX61" s="27" t="s">
        <v>7</v>
      </c>
      <c r="AY61" s="27" t="s">
        <v>8</v>
      </c>
      <c r="AZ61" s="27" t="s">
        <v>7</v>
      </c>
      <c r="BA61" s="27" t="s">
        <v>8</v>
      </c>
    </row>
    <row r="62" spans="1:67" x14ac:dyDescent="0.25">
      <c r="A62" s="30">
        <v>276.80149049219943</v>
      </c>
      <c r="E62"/>
      <c r="I62" s="27" t="s">
        <v>8</v>
      </c>
      <c r="K62" s="27" t="s">
        <v>8</v>
      </c>
      <c r="N62" s="27" t="s">
        <v>7</v>
      </c>
      <c r="O62" s="27" t="s">
        <v>8</v>
      </c>
      <c r="P62" s="27" t="s">
        <v>7</v>
      </c>
      <c r="Q62" s="27" t="s">
        <v>8</v>
      </c>
      <c r="R62" s="27" t="s">
        <v>7</v>
      </c>
      <c r="S62" s="27" t="s">
        <v>8</v>
      </c>
      <c r="T62" s="27" t="s">
        <v>7</v>
      </c>
      <c r="X62" s="27" t="s">
        <v>7</v>
      </c>
      <c r="Y62" s="27" t="s">
        <v>8</v>
      </c>
      <c r="Z62" s="27" t="s">
        <v>7</v>
      </c>
      <c r="AA62" s="27" t="s">
        <v>8</v>
      </c>
      <c r="AB62" s="27" t="s">
        <v>7</v>
      </c>
      <c r="AC62" s="27" t="s">
        <v>8</v>
      </c>
      <c r="AE62" s="27" t="s">
        <v>8</v>
      </c>
      <c r="AG62" s="27" t="s">
        <v>8</v>
      </c>
      <c r="AH62" s="27" t="s">
        <v>7</v>
      </c>
      <c r="AI62" s="27" t="s">
        <v>8</v>
      </c>
      <c r="AJ62" s="27" t="s">
        <v>7</v>
      </c>
      <c r="AW62" s="27" t="s">
        <v>8</v>
      </c>
      <c r="AX62" s="27" t="s">
        <v>7</v>
      </c>
      <c r="AY62" s="27" t="s">
        <v>8</v>
      </c>
      <c r="AZ62" s="27" t="s">
        <v>7</v>
      </c>
    </row>
    <row r="63" spans="1:67" x14ac:dyDescent="0.25">
      <c r="A63" s="30">
        <v>251.63771862927217</v>
      </c>
      <c r="E63"/>
      <c r="I63" s="27" t="s">
        <v>8</v>
      </c>
      <c r="J63" s="27" t="s">
        <v>7</v>
      </c>
      <c r="K63" s="27" t="s">
        <v>8</v>
      </c>
      <c r="N63" s="27" t="s">
        <v>7</v>
      </c>
      <c r="O63" s="27" t="s">
        <v>8</v>
      </c>
      <c r="P63" s="27" t="s">
        <v>7</v>
      </c>
      <c r="R63" s="27" t="s">
        <v>7</v>
      </c>
      <c r="S63" s="27" t="s">
        <v>8</v>
      </c>
      <c r="X63" s="27" t="s">
        <v>7</v>
      </c>
      <c r="Y63" s="27" t="s">
        <v>8</v>
      </c>
      <c r="Z63" s="27" t="s">
        <v>7</v>
      </c>
      <c r="AA63" s="27" t="s">
        <v>8</v>
      </c>
      <c r="AB63" s="27" t="s">
        <v>7</v>
      </c>
      <c r="AC63" s="27" t="s">
        <v>8</v>
      </c>
      <c r="AD63" s="27" t="s">
        <v>7</v>
      </c>
      <c r="AE63" s="27" t="s">
        <v>8</v>
      </c>
      <c r="AF63" s="27" t="s">
        <v>7</v>
      </c>
      <c r="AG63" s="27" t="s">
        <v>8</v>
      </c>
      <c r="AH63" s="27" t="s">
        <v>7</v>
      </c>
      <c r="AI63" s="27" t="s">
        <v>8</v>
      </c>
      <c r="AJ63" s="27" t="s">
        <v>7</v>
      </c>
      <c r="AW63" s="27" t="s">
        <v>8</v>
      </c>
      <c r="AX63" s="27" t="s">
        <v>7</v>
      </c>
    </row>
    <row r="64" spans="1:67" x14ac:dyDescent="0.25">
      <c r="A64" s="30">
        <v>228.76156239024741</v>
      </c>
      <c r="E64"/>
      <c r="I64" s="27" t="s">
        <v>8</v>
      </c>
      <c r="J64" s="27" t="s">
        <v>7</v>
      </c>
      <c r="K64" s="27" t="s">
        <v>8</v>
      </c>
      <c r="N64" s="27" t="s">
        <v>7</v>
      </c>
      <c r="O64" s="27" t="s">
        <v>8</v>
      </c>
      <c r="R64" s="27" t="s">
        <v>7</v>
      </c>
      <c r="X64" s="27" t="s">
        <v>7</v>
      </c>
      <c r="Z64" s="27" t="s">
        <v>7</v>
      </c>
      <c r="AB64" s="27" t="s">
        <v>7</v>
      </c>
      <c r="AC64" s="27" t="s">
        <v>8</v>
      </c>
      <c r="AD64" s="27" t="s">
        <v>7</v>
      </c>
      <c r="AE64" s="27" t="s">
        <v>8</v>
      </c>
      <c r="AF64" s="27" t="s">
        <v>7</v>
      </c>
      <c r="AG64" s="27" t="s">
        <v>8</v>
      </c>
      <c r="AH64" s="27" t="s">
        <v>7</v>
      </c>
      <c r="AJ64" s="27" t="s">
        <v>7</v>
      </c>
      <c r="AS64" s="27" t="s">
        <v>8</v>
      </c>
      <c r="AU64" s="27" t="s">
        <v>8</v>
      </c>
      <c r="AW64" s="27" t="s">
        <v>8</v>
      </c>
    </row>
    <row r="65" spans="1:49" x14ac:dyDescent="0.25">
      <c r="A65" s="30">
        <v>207.96505671840671</v>
      </c>
      <c r="E65"/>
      <c r="I65" s="27" t="s">
        <v>8</v>
      </c>
      <c r="J65" s="27" t="s">
        <v>7</v>
      </c>
      <c r="K65" s="27" t="s">
        <v>8</v>
      </c>
      <c r="N65" s="27" t="s">
        <v>7</v>
      </c>
      <c r="AB65" s="27" t="s">
        <v>7</v>
      </c>
      <c r="AD65" s="27" t="s">
        <v>7</v>
      </c>
      <c r="AF65" s="27" t="s">
        <v>7</v>
      </c>
      <c r="AJ65" s="27" t="s">
        <v>7</v>
      </c>
      <c r="AK65" s="27" t="s">
        <v>8</v>
      </c>
      <c r="AS65" s="27" t="s">
        <v>8</v>
      </c>
      <c r="AT65" s="27" t="s">
        <v>7</v>
      </c>
      <c r="AU65" s="27" t="s">
        <v>8</v>
      </c>
      <c r="AV65" s="27" t="s">
        <v>7</v>
      </c>
      <c r="AW65" s="27" t="s">
        <v>8</v>
      </c>
    </row>
    <row r="66" spans="1:49" x14ac:dyDescent="0.25">
      <c r="A66" s="30">
        <v>189.05914247127882</v>
      </c>
      <c r="E66"/>
      <c r="G66" s="27" t="s">
        <v>8</v>
      </c>
      <c r="I66" s="27" t="s">
        <v>8</v>
      </c>
      <c r="J66" s="27" t="s">
        <v>7</v>
      </c>
      <c r="K66" s="27" t="s">
        <v>8</v>
      </c>
      <c r="AJ66" s="27" t="s">
        <v>7</v>
      </c>
      <c r="AK66" s="27" t="s">
        <v>8</v>
      </c>
      <c r="AL66" s="27" t="s">
        <v>7</v>
      </c>
      <c r="AM66" s="27" t="s">
        <v>8</v>
      </c>
      <c r="AO66" s="27" t="s">
        <v>8</v>
      </c>
      <c r="AS66" s="27" t="s">
        <v>8</v>
      </c>
      <c r="AT66" s="27" t="s">
        <v>7</v>
      </c>
      <c r="AU66" s="27" t="s">
        <v>8</v>
      </c>
      <c r="AV66" s="27" t="s">
        <v>7</v>
      </c>
      <c r="AW66" s="27" t="s">
        <v>8</v>
      </c>
    </row>
    <row r="67" spans="1:49" x14ac:dyDescent="0.25">
      <c r="A67" s="30">
        <v>171.87194770116255</v>
      </c>
      <c r="C67" s="1" t="s">
        <v>15</v>
      </c>
      <c r="E67"/>
      <c r="G67" s="27" t="s">
        <v>8</v>
      </c>
      <c r="H67" s="27" t="s">
        <v>7</v>
      </c>
      <c r="I67" s="27" t="s">
        <v>8</v>
      </c>
      <c r="J67" s="27" t="s">
        <v>7</v>
      </c>
      <c r="K67" s="27" t="s">
        <v>8</v>
      </c>
      <c r="AJ67" s="27" t="s">
        <v>7</v>
      </c>
      <c r="AK67" s="27" t="s">
        <v>8</v>
      </c>
      <c r="AL67" s="27" t="s">
        <v>7</v>
      </c>
      <c r="AM67" s="27" t="s">
        <v>8</v>
      </c>
      <c r="AN67" s="27" t="s">
        <v>7</v>
      </c>
      <c r="AO67" s="27" t="s">
        <v>8</v>
      </c>
      <c r="AP67" s="27" t="s">
        <v>7</v>
      </c>
      <c r="AS67" s="27" t="s">
        <v>8</v>
      </c>
      <c r="AT67" s="27" t="s">
        <v>7</v>
      </c>
      <c r="AU67" s="27" t="s">
        <v>8</v>
      </c>
      <c r="AV67" s="27" t="s">
        <v>7</v>
      </c>
    </row>
    <row r="68" spans="1:49" x14ac:dyDescent="0.25">
      <c r="A68" s="30">
        <v>156.24722518287504</v>
      </c>
      <c r="C68" s="7">
        <v>0.11167815779424731</v>
      </c>
      <c r="D68"/>
      <c r="E68" t="s">
        <v>8</v>
      </c>
      <c r="G68" s="27" t="s">
        <v>8</v>
      </c>
      <c r="H68" s="27" t="s">
        <v>7</v>
      </c>
      <c r="I68" s="27" t="s">
        <v>8</v>
      </c>
      <c r="J68" s="27" t="s">
        <v>7</v>
      </c>
      <c r="K68" s="27" t="s">
        <v>8</v>
      </c>
      <c r="AJ68" s="27" t="s">
        <v>7</v>
      </c>
      <c r="AK68" s="27" t="s">
        <v>8</v>
      </c>
      <c r="AL68" s="27" t="s">
        <v>7</v>
      </c>
      <c r="AM68" s="27" t="s">
        <v>8</v>
      </c>
      <c r="AN68" s="27" t="s">
        <v>7</v>
      </c>
      <c r="AO68" s="27" t="s">
        <v>8</v>
      </c>
      <c r="AP68" s="27" t="s">
        <v>7</v>
      </c>
      <c r="AS68" s="27" t="s">
        <v>8</v>
      </c>
      <c r="AT68" s="27" t="s">
        <v>7</v>
      </c>
      <c r="AU68" s="27" t="s">
        <v>8</v>
      </c>
    </row>
    <row r="69" spans="1:49" x14ac:dyDescent="0.25">
      <c r="A69" s="30">
        <v>142.04293198443185</v>
      </c>
      <c r="E69" t="s">
        <v>8</v>
      </c>
      <c r="F69" s="27" t="s">
        <v>7</v>
      </c>
      <c r="G69" s="27" t="s">
        <v>8</v>
      </c>
      <c r="H69" s="27" t="s">
        <v>7</v>
      </c>
      <c r="I69" s="27" t="s">
        <v>8</v>
      </c>
      <c r="J69" s="27" t="s">
        <v>7</v>
      </c>
      <c r="K69" s="27" t="s">
        <v>8</v>
      </c>
      <c r="AJ69" s="27" t="s">
        <v>7</v>
      </c>
      <c r="AK69" s="27" t="s">
        <v>8</v>
      </c>
      <c r="AL69" s="27" t="s">
        <v>7</v>
      </c>
      <c r="AM69" s="27" t="s">
        <v>8</v>
      </c>
      <c r="AN69" s="27" t="s">
        <v>7</v>
      </c>
      <c r="AO69" s="27" t="s">
        <v>8</v>
      </c>
      <c r="AP69" s="27" t="s">
        <v>7</v>
      </c>
      <c r="AS69" s="27" t="s">
        <v>8</v>
      </c>
      <c r="AT69" s="27" t="s">
        <v>7</v>
      </c>
      <c r="AU69" s="27" t="s">
        <v>8</v>
      </c>
    </row>
    <row r="70" spans="1:49" x14ac:dyDescent="0.25">
      <c r="A70" s="30">
        <v>129.1299381676653</v>
      </c>
      <c r="C70" s="1" t="s">
        <v>11</v>
      </c>
      <c r="D70" s="1" t="s">
        <v>12</v>
      </c>
      <c r="E70" t="s">
        <v>8</v>
      </c>
      <c r="F70" s="27" t="s">
        <v>7</v>
      </c>
      <c r="G70" s="27" t="s">
        <v>8</v>
      </c>
      <c r="H70" s="27" t="s">
        <v>7</v>
      </c>
      <c r="I70" s="27" t="s">
        <v>8</v>
      </c>
      <c r="J70" s="27" t="s">
        <v>7</v>
      </c>
      <c r="AJ70" s="27" t="s">
        <v>7</v>
      </c>
      <c r="AL70" s="27" t="s">
        <v>7</v>
      </c>
      <c r="AM70" s="27" t="s">
        <v>8</v>
      </c>
      <c r="AN70" s="27" t="s">
        <v>7</v>
      </c>
      <c r="AO70" s="27" t="s">
        <v>8</v>
      </c>
      <c r="AP70" s="27" t="s">
        <v>7</v>
      </c>
      <c r="AS70" s="27" t="s">
        <v>8</v>
      </c>
      <c r="AT70" s="27" t="s">
        <v>7</v>
      </c>
    </row>
    <row r="71" spans="1:49" x14ac:dyDescent="0.25">
      <c r="A71" s="30">
        <v>117.39085287969573</v>
      </c>
      <c r="C71"/>
      <c r="D71"/>
      <c r="E71" t="s">
        <v>8</v>
      </c>
      <c r="F71" s="27" t="s">
        <v>7</v>
      </c>
      <c r="H71" s="27" t="s">
        <v>7</v>
      </c>
      <c r="I71" s="27" t="s">
        <v>8</v>
      </c>
      <c r="AL71" s="27" t="s">
        <v>7</v>
      </c>
      <c r="AM71" s="27" t="s">
        <v>8</v>
      </c>
      <c r="AN71" s="27" t="s">
        <v>7</v>
      </c>
      <c r="AP71" s="27" t="s">
        <v>7</v>
      </c>
      <c r="AS71" s="27" t="s">
        <v>8</v>
      </c>
    </row>
    <row r="72" spans="1:49" x14ac:dyDescent="0.25">
      <c r="A72" s="30">
        <v>106.71895716335975</v>
      </c>
      <c r="E72" t="s">
        <v>8</v>
      </c>
      <c r="H72" s="27" t="s">
        <v>7</v>
      </c>
      <c r="I72" s="27" t="s">
        <v>8</v>
      </c>
      <c r="AL72" s="27" t="s">
        <v>7</v>
      </c>
      <c r="AP72" s="27" t="s">
        <v>7</v>
      </c>
      <c r="AS72" s="27" t="s">
        <v>8</v>
      </c>
    </row>
    <row r="73" spans="1:49" x14ac:dyDescent="0.25">
      <c r="A73" s="30">
        <v>97.017233784872488</v>
      </c>
      <c r="C73" s="1" t="s">
        <v>13</v>
      </c>
      <c r="E73" t="s">
        <v>8</v>
      </c>
      <c r="H73" s="27" t="s">
        <v>7</v>
      </c>
      <c r="I73" s="27" t="s">
        <v>8</v>
      </c>
      <c r="AP73" s="27" t="s">
        <v>7</v>
      </c>
      <c r="AQ73" s="27" t="s">
        <v>8</v>
      </c>
      <c r="AS73" s="27" t="s">
        <v>8</v>
      </c>
    </row>
    <row r="74" spans="1:49" x14ac:dyDescent="0.25">
      <c r="A74" s="30">
        <v>88.197485258974979</v>
      </c>
      <c r="C74" s="1">
        <f>C63</f>
        <v>0</v>
      </c>
      <c r="E74" t="s">
        <v>8</v>
      </c>
      <c r="H74" s="27" t="s">
        <v>7</v>
      </c>
      <c r="AP74" s="27" t="s">
        <v>7</v>
      </c>
      <c r="AQ74" s="27" t="s">
        <v>8</v>
      </c>
      <c r="AR74" s="27" t="s">
        <v>7</v>
      </c>
      <c r="AS74" s="27" t="s">
        <v>8</v>
      </c>
    </row>
    <row r="75" spans="1:49" x14ac:dyDescent="0.25">
      <c r="A75" s="30">
        <v>80.179532053613613</v>
      </c>
      <c r="C75"/>
      <c r="D75"/>
      <c r="E75" t="s">
        <v>8</v>
      </c>
      <c r="AP75" s="27" t="s">
        <v>7</v>
      </c>
      <c r="AQ75" s="27" t="s">
        <v>8</v>
      </c>
      <c r="AR75" s="27" t="s">
        <v>7</v>
      </c>
      <c r="AS75" s="27" t="s">
        <v>8</v>
      </c>
    </row>
    <row r="76" spans="1:49" x14ac:dyDescent="0.25">
      <c r="A76" s="30">
        <v>72.890483685103277</v>
      </c>
      <c r="C76" s="1" t="s">
        <v>14</v>
      </c>
      <c r="E76" t="s">
        <v>8</v>
      </c>
      <c r="AP76" s="27" t="s">
        <v>7</v>
      </c>
      <c r="AR76" s="18" t="s">
        <v>7</v>
      </c>
      <c r="AS76" s="27" t="s">
        <v>8</v>
      </c>
    </row>
    <row r="77" spans="1:49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AR77" s="27" t="s">
        <v>7</v>
      </c>
    </row>
    <row r="78" spans="1:49" x14ac:dyDescent="0.25">
      <c r="A78" s="30">
        <v>60.240069161242367</v>
      </c>
      <c r="E78" t="s">
        <v>8</v>
      </c>
    </row>
    <row r="79" spans="1:49" x14ac:dyDescent="0.25">
      <c r="A79" s="30">
        <v>54.763699237493057</v>
      </c>
      <c r="E79" t="s">
        <v>8</v>
      </c>
    </row>
    <row r="80" spans="1:49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$A$45</v>
      </c>
      <c r="D111" s="1" t="str">
        <f>ADDRESS(C121-1,D121,1,1)</f>
        <v>$BO$45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$A$46</v>
      </c>
      <c r="D112" s="1" t="str">
        <f>ADDRESS(C121,D121-1,1,1)</f>
        <v>$BN$46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$A$47</v>
      </c>
      <c r="D113" s="1" t="str">
        <f>ADDRESS(C121-1,D121+1,1,1)</f>
        <v>$BP$45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$BO$46</v>
      </c>
      <c r="D114" s="1" t="str">
        <f>ADDRESS(C121+1,D121+1,1,1)</f>
        <v>$BP$47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$BO$47</v>
      </c>
      <c r="E115" s="1" t="s">
        <v>8</v>
      </c>
    </row>
    <row r="116" spans="1:5" x14ac:dyDescent="0.25">
      <c r="A116" s="30">
        <v>1.6105100000000008</v>
      </c>
      <c r="C116" s="1">
        <f>C117-1</f>
        <v>45</v>
      </c>
      <c r="E116" s="1" t="s">
        <v>8</v>
      </c>
    </row>
    <row r="117" spans="1:5" x14ac:dyDescent="0.25">
      <c r="A117" s="30">
        <v>1.4641000000000006</v>
      </c>
      <c r="C117" s="1">
        <f>C121</f>
        <v>46</v>
      </c>
      <c r="D117" s="1">
        <f>D121</f>
        <v>67</v>
      </c>
      <c r="E117" s="1" t="s">
        <v>8</v>
      </c>
    </row>
    <row r="118" spans="1:5" x14ac:dyDescent="0.25">
      <c r="A118" s="30">
        <v>1.3310000000000004</v>
      </c>
      <c r="C118" s="1">
        <f>C117+1</f>
        <v>47</v>
      </c>
      <c r="D118" s="1">
        <f>D117+1</f>
        <v>68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46</v>
      </c>
      <c r="D121" s="19">
        <v>67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X</v>
      </c>
    </row>
    <row r="123" spans="1:5" x14ac:dyDescent="0.25">
      <c r="A123" s="30">
        <v>0.82644628099173523</v>
      </c>
      <c r="C123" s="1" t="str">
        <f>"R"&amp;C121</f>
        <v>R46</v>
      </c>
      <c r="D123" s="1" t="str">
        <f>"C"&amp;D121</f>
        <v>C67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1271.8953713950718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55" operator="equal">
      <formula>$U$1</formula>
    </cfRule>
    <cfRule type="cellIs" dxfId="30" priority="856" operator="equal">
      <formula>$S$1</formula>
    </cfRule>
  </conditionalFormatting>
  <conditionalFormatting sqref="D136">
    <cfRule type="cellIs" dxfId="29" priority="853" operator="equal">
      <formula>$S$1</formula>
    </cfRule>
    <cfRule type="cellIs" dxfId="28" priority="854" operator="equal">
      <formula>$U$1</formula>
    </cfRule>
  </conditionalFormatting>
  <conditionalFormatting sqref="C102">
    <cfRule type="cellIs" dxfId="27" priority="851" operator="equal">
      <formula>$U$1</formula>
    </cfRule>
    <cfRule type="cellIs" dxfId="26" priority="852" operator="equal">
      <formula>$S$1</formula>
    </cfRule>
  </conditionalFormatting>
  <conditionalFormatting sqref="D102">
    <cfRule type="cellIs" dxfId="25" priority="849" operator="equal">
      <formula>$S$1</formula>
    </cfRule>
    <cfRule type="cellIs" dxfId="24" priority="850" operator="equal">
      <formula>$U$1</formula>
    </cfRule>
  </conditionalFormatting>
  <conditionalFormatting sqref="C77">
    <cfRule type="cellIs" dxfId="23" priority="847" operator="equal">
      <formula>$U$1</formula>
    </cfRule>
    <cfRule type="cellIs" dxfId="22" priority="848" operator="equal">
      <formula>$S$1</formula>
    </cfRule>
  </conditionalFormatting>
  <conditionalFormatting sqref="D77">
    <cfRule type="cellIs" dxfId="21" priority="845" operator="equal">
      <formula>$S$1</formula>
    </cfRule>
    <cfRule type="cellIs" dxfId="20" priority="846" operator="equal">
      <formula>$U$1</formula>
    </cfRule>
  </conditionalFormatting>
  <conditionalFormatting sqref="C52">
    <cfRule type="cellIs" dxfId="19" priority="843" operator="equal">
      <formula>$U$1</formula>
    </cfRule>
    <cfRule type="cellIs" dxfId="18" priority="844" operator="equal">
      <formula>$S$1</formula>
    </cfRule>
  </conditionalFormatting>
  <conditionalFormatting sqref="D52">
    <cfRule type="cellIs" dxfId="17" priority="841" operator="equal">
      <formula>$S$1</formula>
    </cfRule>
    <cfRule type="cellIs" dxfId="16" priority="842" operator="equal">
      <formula>$U$1</formula>
    </cfRule>
  </conditionalFormatting>
  <conditionalFormatting sqref="C26">
    <cfRule type="cellIs" dxfId="15" priority="839" operator="equal">
      <formula>$U$1</formula>
    </cfRule>
    <cfRule type="cellIs" dxfId="14" priority="840" operator="equal">
      <formula>$S$1</formula>
    </cfRule>
  </conditionalFormatting>
  <conditionalFormatting sqref="D26">
    <cfRule type="cellIs" dxfId="13" priority="837" operator="equal">
      <formula>$S$1</formula>
    </cfRule>
    <cfRule type="cellIs" dxfId="12" priority="83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2022-01-28T01:18:16Z</dcterms:modified>
</cp:coreProperties>
</file>