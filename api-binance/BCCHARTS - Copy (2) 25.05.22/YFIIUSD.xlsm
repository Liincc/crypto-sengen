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7D304CE-76A1-43B6-92AE-A3DCF11717D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3"/>
  <c r="C118" i="4"/>
  <c r="C122" i="4"/>
  <c r="C133" i="4" s="1"/>
  <c r="D136" i="4" s="1"/>
  <c r="R765" i="1"/>
  <c r="C122" i="3"/>
  <c r="C133" i="3" s="1"/>
  <c r="D136" i="3" s="1"/>
  <c r="C136" i="5" l="1"/>
  <c r="C138" i="5" s="1"/>
  <c r="C136" i="4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R750" i="1" l="1"/>
  <c r="S751" i="1"/>
  <c r="T751" i="1" s="1"/>
  <c r="S750" i="1" l="1"/>
  <c r="T750" i="1" s="1"/>
  <c r="R749" i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S729" i="1" l="1"/>
  <c r="T729" i="1" s="1"/>
  <c r="R728" i="1"/>
  <c r="R727" i="1" l="1"/>
  <c r="S728" i="1"/>
  <c r="T728" i="1" s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S717" i="1" l="1"/>
  <c r="T717" i="1" s="1"/>
  <c r="R716" i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R698" i="1" l="1"/>
  <c r="S699" i="1"/>
  <c r="T699" i="1" s="1"/>
  <c r="S698" i="1" l="1"/>
  <c r="T698" i="1" s="1"/>
  <c r="R697" i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S676" i="1" l="1"/>
  <c r="T676" i="1" s="1"/>
  <c r="R675" i="1"/>
  <c r="S675" i="1" l="1"/>
  <c r="T675" i="1" s="1"/>
  <c r="R674" i="1"/>
  <c r="S674" i="1" l="1"/>
  <c r="T674" i="1" s="1"/>
  <c r="R673" i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S648" i="1" l="1"/>
  <c r="T648" i="1" s="1"/>
  <c r="R647" i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S632" i="1" l="1"/>
  <c r="T632" i="1" s="1"/>
  <c r="R631" i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S607" i="1" l="1"/>
  <c r="T607" i="1" s="1"/>
  <c r="R606" i="1"/>
  <c r="S606" i="1" l="1"/>
  <c r="T606" i="1" s="1"/>
  <c r="R605" i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S601" i="1" l="1"/>
  <c r="T601" i="1" s="1"/>
  <c r="R600" i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S593" i="1" l="1"/>
  <c r="T593" i="1" s="1"/>
  <c r="R592" i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S491" i="1" l="1"/>
  <c r="T491" i="1" s="1"/>
  <c r="R490" i="1"/>
  <c r="R489" i="1" l="1"/>
  <c r="S490" i="1"/>
  <c r="T490" i="1" s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S483" i="1" l="1"/>
  <c r="T483" i="1" s="1"/>
  <c r="R482" i="1"/>
  <c r="S482" i="1" l="1"/>
  <c r="T482" i="1" s="1"/>
  <c r="R481" i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R442" i="1" l="1"/>
  <c r="S443" i="1"/>
  <c r="T443" i="1" s="1"/>
  <c r="S442" i="1" l="1"/>
  <c r="T442" i="1" s="1"/>
  <c r="R441" i="1"/>
  <c r="R440" i="1" l="1"/>
  <c r="S441" i="1"/>
  <c r="T441" i="1" s="1"/>
  <c r="S440" i="1" l="1"/>
  <c r="T440" i="1" s="1"/>
  <c r="R439" i="1"/>
  <c r="S439" i="1" l="1"/>
  <c r="T439" i="1" s="1"/>
  <c r="R438" i="1"/>
  <c r="S438" i="1" l="1"/>
  <c r="T438" i="1" s="1"/>
  <c r="R437" i="1"/>
  <c r="R436" i="1" l="1"/>
  <c r="S437" i="1"/>
  <c r="T437" i="1" s="1"/>
  <c r="S436" i="1" l="1"/>
  <c r="T436" i="1" s="1"/>
  <c r="R435" i="1"/>
  <c r="R434" i="1" l="1"/>
  <c r="S435" i="1"/>
  <c r="T435" i="1" s="1"/>
  <c r="S434" i="1" l="1"/>
  <c r="T434" i="1" s="1"/>
  <c r="R433" i="1"/>
  <c r="S433" i="1" l="1"/>
  <c r="T433" i="1" s="1"/>
  <c r="R432" i="1"/>
  <c r="S432" i="1" l="1"/>
  <c r="T432" i="1" s="1"/>
  <c r="R431" i="1"/>
  <c r="S431" i="1" l="1"/>
  <c r="T431" i="1" s="1"/>
  <c r="R430" i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S418" i="1" l="1"/>
  <c r="T418" i="1" s="1"/>
  <c r="R417" i="1"/>
  <c r="R416" i="1" l="1"/>
  <c r="S417" i="1"/>
  <c r="T417" i="1" s="1"/>
  <c r="S416" i="1" l="1"/>
  <c r="T416" i="1" s="1"/>
  <c r="R415" i="1"/>
  <c r="S415" i="1" l="1"/>
  <c r="T415" i="1" s="1"/>
  <c r="R414" i="1"/>
  <c r="R413" i="1" l="1"/>
  <c r="S414" i="1"/>
  <c r="T414" i="1" s="1"/>
  <c r="S413" i="1" l="1"/>
  <c r="T413" i="1" s="1"/>
  <c r="R412" i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S402" i="1" l="1"/>
  <c r="T402" i="1" s="1"/>
  <c r="R401" i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S346" i="1" l="1"/>
  <c r="T346" i="1" s="1"/>
  <c r="R345" i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R314" i="1" l="1"/>
  <c r="S315" i="1"/>
  <c r="T315" i="1" s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S272" i="1" l="1"/>
  <c r="T272" i="1" s="1"/>
  <c r="R271" i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S265" i="1" l="1"/>
  <c r="T265" i="1" s="1"/>
  <c r="R264" i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S213" i="1" l="1"/>
  <c r="T213" i="1" s="1"/>
  <c r="R212" i="1"/>
  <c r="S212" i="1" l="1"/>
  <c r="T212" i="1" s="1"/>
  <c r="R211" i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S175" i="1" l="1"/>
  <c r="T175" i="1" s="1"/>
  <c r="R174" i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S170" i="1" l="1"/>
  <c r="T170" i="1" s="1"/>
  <c r="R169" i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S161" i="1" l="1"/>
  <c r="T161" i="1" s="1"/>
  <c r="R160" i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S120" i="1" l="1"/>
  <c r="T120" i="1" s="1"/>
  <c r="R119" i="1"/>
  <c r="S119" i="1" l="1"/>
  <c r="T119" i="1" s="1"/>
  <c r="R118" i="1"/>
  <c r="R117" i="1" l="1"/>
  <c r="S118" i="1"/>
  <c r="T118" i="1" s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R37" i="1" l="1"/>
  <c r="S38" i="1"/>
  <c r="T38" i="1" s="1"/>
  <c r="S37" i="1" l="1"/>
  <c r="T37" i="1" s="1"/>
  <c r="R36" i="1"/>
  <c r="S36" i="1" l="1"/>
  <c r="T36" i="1" s="1"/>
  <c r="R35" i="1"/>
  <c r="R34" i="1" l="1"/>
  <c r="S35" i="1"/>
  <c r="T35" i="1" s="1"/>
  <c r="S34" i="1" l="1"/>
  <c r="T34" i="1" s="1"/>
  <c r="R33" i="1"/>
  <c r="S33" i="1" l="1"/>
  <c r="T33" i="1" s="1"/>
  <c r="R32" i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<sst xmlns="http://schemas.openxmlformats.org/spreadsheetml/2006/main" count="5992" uniqueCount="34">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</sst>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2177</c:v>
                </c:pt>
                <c:pt idx="1">
                  <c:v>2214</c:v>
                </c:pt>
                <c:pt idx="2">
                  <c:v>2100</c:v>
                </c:pt>
                <c:pt idx="3">
                  <c:v>2009</c:v>
                </c:pt>
                <c:pt idx="4">
                  <c:v>2142</c:v>
                </c:pt>
                <c:pt idx="5">
                  <c:v>2007</c:v>
                </c:pt>
                <c:pt idx="6">
                  <c:v>2127</c:v>
                </c:pt>
                <c:pt idx="7">
                  <c:v>2369</c:v>
                </c:pt>
                <c:pt idx="8">
                  <c:v>2455</c:v>
                </c:pt>
                <c:pt idx="9">
                  <c:v>2544</c:v>
                </c:pt>
                <c:pt idx="10">
                  <c:v>2592</c:v>
                </c:pt>
                <c:pt idx="11">
                  <c:v>2591</c:v>
                </c:pt>
                <c:pt idx="12">
                  <c:v>2629</c:v>
                </c:pt>
                <c:pt idx="13">
                  <c:v>2620</c:v>
                </c:pt>
                <c:pt idx="14">
                  <c:v>2671</c:v>
                </c:pt>
                <c:pt idx="15">
                  <c:v>2712</c:v>
                </c:pt>
                <c:pt idx="16">
                  <c:v>2575</c:v>
                </c:pt>
                <c:pt idx="17">
                  <c:v>2429</c:v>
                </c:pt>
                <c:pt idx="18">
                  <c:v>2528</c:v>
                </c:pt>
                <c:pt idx="19">
                  <c:v>2482</c:v>
                </c:pt>
                <c:pt idx="20">
                  <c:v>2592</c:v>
                </c:pt>
                <c:pt idx="21">
                  <c:v>2670</c:v>
                </c:pt>
                <c:pt idx="22">
                  <c:v>2597</c:v>
                </c:pt>
                <c:pt idx="23">
                  <c:v>2912</c:v>
                </c:pt>
                <c:pt idx="24">
                  <c:v>3064</c:v>
                </c:pt>
                <c:pt idx="25">
                  <c:v>2948</c:v>
                </c:pt>
                <c:pt idx="26">
                  <c:v>2988</c:v>
                </c:pt>
                <c:pt idx="27">
                  <c:v>2814</c:v>
                </c:pt>
                <c:pt idx="28">
                  <c:v>2750</c:v>
                </c:pt>
                <c:pt idx="29">
                  <c:v>2671</c:v>
                </c:pt>
                <c:pt idx="30">
                  <c:v>2731</c:v>
                </c:pt>
                <c:pt idx="31">
                  <c:v>2912</c:v>
                </c:pt>
                <c:pt idx="32">
                  <c:v>2914</c:v>
                </c:pt>
                <c:pt idx="33">
                  <c:v>2960</c:v>
                </c:pt>
                <c:pt idx="34">
                  <c:v>2891</c:v>
                </c:pt>
                <c:pt idx="35">
                  <c:v>2980</c:v>
                </c:pt>
                <c:pt idx="36">
                  <c:v>2954</c:v>
                </c:pt>
                <c:pt idx="37">
                  <c:v>3092</c:v>
                </c:pt>
                <c:pt idx="38">
                  <c:v>3127</c:v>
                </c:pt>
                <c:pt idx="39">
                  <c:v>3229</c:v>
                </c:pt>
                <c:pt idx="40">
                  <c:v>3393</c:v>
                </c:pt>
                <c:pt idx="41">
                  <c:v>3750</c:v>
                </c:pt>
                <c:pt idx="42">
                  <c:v>2905</c:v>
                </c:pt>
                <c:pt idx="43">
                  <c:v>2807</c:v>
                </c:pt>
                <c:pt idx="44">
                  <c:v>2798</c:v>
                </c:pt>
                <c:pt idx="45">
                  <c:v>2458</c:v>
                </c:pt>
                <c:pt idx="46">
                  <c:v>2654</c:v>
                </c:pt>
                <c:pt idx="47">
                  <c:v>2522</c:v>
                </c:pt>
                <c:pt idx="48">
                  <c:v>2504</c:v>
                </c:pt>
                <c:pt idx="49">
                  <c:v>2626</c:v>
                </c:pt>
                <c:pt idx="50">
                  <c:v>2878</c:v>
                </c:pt>
                <c:pt idx="51">
                  <c:v>2762</c:v>
                </c:pt>
                <c:pt idx="52">
                  <c:v>2689</c:v>
                </c:pt>
                <c:pt idx="53">
                  <c:v>2674</c:v>
                </c:pt>
                <c:pt idx="54">
                  <c:v>2826</c:v>
                </c:pt>
                <c:pt idx="55">
                  <c:v>3265</c:v>
                </c:pt>
                <c:pt idx="56">
                  <c:v>3456</c:v>
                </c:pt>
                <c:pt idx="57">
                  <c:v>3432</c:v>
                </c:pt>
                <c:pt idx="58">
                  <c:v>3473</c:v>
                </c:pt>
                <c:pt idx="59">
                  <c:v>3492</c:v>
                </c:pt>
                <c:pt idx="60">
                  <c:v>3516</c:v>
                </c:pt>
                <c:pt idx="61">
                  <c:v>3456</c:v>
                </c:pt>
                <c:pt idx="62">
                  <c:v>3433</c:v>
                </c:pt>
                <c:pt idx="63">
                  <c:v>3808</c:v>
                </c:pt>
                <c:pt idx="64">
                  <c:v>3847</c:v>
                </c:pt>
                <c:pt idx="65">
                  <c:v>3837</c:v>
                </c:pt>
                <c:pt idx="66">
                  <c:v>3698</c:v>
                </c:pt>
                <c:pt idx="67">
                  <c:v>3895</c:v>
                </c:pt>
                <c:pt idx="68">
                  <c:v>3911</c:v>
                </c:pt>
                <c:pt idx="69">
                  <c:v>3906</c:v>
                </c:pt>
                <c:pt idx="70">
                  <c:v>3771</c:v>
                </c:pt>
                <c:pt idx="71">
                  <c:v>3872</c:v>
                </c:pt>
                <c:pt idx="72">
                  <c:v>3872</c:v>
                </c:pt>
                <c:pt idx="73">
                  <c:v>4111</c:v>
                </c:pt>
                <c:pt idx="74">
                  <c:v>4141</c:v>
                </c:pt>
                <c:pt idx="75">
                  <c:v>4117</c:v>
                </c:pt>
                <c:pt idx="76">
                  <c:v>4109</c:v>
                </c:pt>
                <c:pt idx="77">
                  <c:v>4029</c:v>
                </c:pt>
                <c:pt idx="78">
                  <c:v>3764</c:v>
                </c:pt>
                <c:pt idx="79">
                  <c:v>4050</c:v>
                </c:pt>
                <c:pt idx="80">
                  <c:v>4367</c:v>
                </c:pt>
                <c:pt idx="81">
                  <c:v>3897</c:v>
                </c:pt>
                <c:pt idx="82">
                  <c:v>3832</c:v>
                </c:pt>
                <c:pt idx="83">
                  <c:v>3858</c:v>
                </c:pt>
                <c:pt idx="84">
                  <c:v>3855</c:v>
                </c:pt>
                <c:pt idx="85">
                  <c:v>4102</c:v>
                </c:pt>
                <c:pt idx="86">
                  <c:v>3865</c:v>
                </c:pt>
                <c:pt idx="87">
                  <c:v>3983</c:v>
                </c:pt>
                <c:pt idx="88">
                  <c:v>3772</c:v>
                </c:pt>
                <c:pt idx="89">
                  <c:v>3785</c:v>
                </c:pt>
                <c:pt idx="90">
                  <c:v>3862</c:v>
                </c:pt>
                <c:pt idx="91">
                  <c:v>3806</c:v>
                </c:pt>
                <c:pt idx="92">
                  <c:v>3674</c:v>
                </c:pt>
                <c:pt idx="93">
                  <c:v>4196</c:v>
                </c:pt>
                <c:pt idx="94">
                  <c:v>4058</c:v>
                </c:pt>
                <c:pt idx="95">
                  <c:v>3971</c:v>
                </c:pt>
                <c:pt idx="96">
                  <c:v>4012</c:v>
                </c:pt>
                <c:pt idx="97">
                  <c:v>3966</c:v>
                </c:pt>
                <c:pt idx="98">
                  <c:v>3941</c:v>
                </c:pt>
                <c:pt idx="99">
                  <c:v>4053</c:v>
                </c:pt>
                <c:pt idx="100">
                  <c:v>3925</c:v>
                </c:pt>
                <c:pt idx="101">
                  <c:v>3929</c:v>
                </c:pt>
                <c:pt idx="102">
                  <c:v>4002</c:v>
                </c:pt>
                <c:pt idx="103">
                  <c:v>4166</c:v>
                </c:pt>
                <c:pt idx="104">
                  <c:v>4113</c:v>
                </c:pt>
                <c:pt idx="105">
                  <c:v>4032</c:v>
                </c:pt>
                <c:pt idx="106">
                  <c:v>3938</c:v>
                </c:pt>
                <c:pt idx="107">
                  <c:v>3856</c:v>
                </c:pt>
                <c:pt idx="108">
                  <c:v>3902</c:v>
                </c:pt>
                <c:pt idx="109">
                  <c:v>4006</c:v>
                </c:pt>
                <c:pt idx="110">
                  <c:v>4272</c:v>
                </c:pt>
                <c:pt idx="111">
                  <c:v>4252</c:v>
                </c:pt>
                <c:pt idx="112">
                  <c:v>4097</c:v>
                </c:pt>
                <c:pt idx="113">
                  <c:v>4127</c:v>
                </c:pt>
                <c:pt idx="114">
                  <c:v>4252</c:v>
                </c:pt>
                <c:pt idx="115">
                  <c:v>4303</c:v>
                </c:pt>
                <c:pt idx="116">
                  <c:v>4476</c:v>
                </c:pt>
                <c:pt idx="117">
                  <c:v>4338</c:v>
                </c:pt>
                <c:pt idx="118">
                  <c:v>4288</c:v>
                </c:pt>
                <c:pt idx="119">
                  <c:v>4036</c:v>
                </c:pt>
                <c:pt idx="120">
                  <c:v>3885</c:v>
                </c:pt>
                <c:pt idx="121">
                  <c:v>4026</c:v>
                </c:pt>
                <c:pt idx="122">
                  <c:v>3799</c:v>
                </c:pt>
                <c:pt idx="123">
                  <c:v>3949</c:v>
                </c:pt>
                <c:pt idx="124">
                  <c:v>4019</c:v>
                </c:pt>
                <c:pt idx="125">
                  <c:v>3983</c:v>
                </c:pt>
                <c:pt idx="126">
                  <c:v>4278</c:v>
                </c:pt>
                <c:pt idx="127">
                  <c:v>4401</c:v>
                </c:pt>
                <c:pt idx="128">
                  <c:v>3826</c:v>
                </c:pt>
                <c:pt idx="129">
                  <c:v>4333</c:v>
                </c:pt>
                <c:pt idx="130">
                  <c:v>4633</c:v>
                </c:pt>
                <c:pt idx="131">
                  <c:v>4838</c:v>
                </c:pt>
                <c:pt idx="132">
                  <c:v>4349</c:v>
                </c:pt>
                <c:pt idx="133">
                  <c:v>4706</c:v>
                </c:pt>
                <c:pt idx="134">
                  <c:v>4700</c:v>
                </c:pt>
                <c:pt idx="135">
                  <c:v>4692</c:v>
                </c:pt>
                <c:pt idx="136">
                  <c:v>4228</c:v>
                </c:pt>
                <c:pt idx="137">
                  <c:v>4529</c:v>
                </c:pt>
                <c:pt idx="138">
                  <c:v>4528</c:v>
                </c:pt>
                <c:pt idx="139">
                  <c:v>4427</c:v>
                </c:pt>
                <c:pt idx="140">
                  <c:v>4718</c:v>
                </c:pt>
                <c:pt idx="141">
                  <c:v>4689</c:v>
                </c:pt>
                <c:pt idx="142">
                  <c:v>4563</c:v>
                </c:pt>
                <c:pt idx="143">
                  <c:v>5534</c:v>
                </c:pt>
                <c:pt idx="144">
                  <c:v>5665</c:v>
                </c:pt>
                <c:pt idx="145">
                  <c:v>5503</c:v>
                </c:pt>
                <c:pt idx="146">
                  <c:v>5574</c:v>
                </c:pt>
                <c:pt idx="147">
                  <c:v>5703</c:v>
                </c:pt>
                <c:pt idx="148">
                  <c:v>5841</c:v>
                </c:pt>
                <c:pt idx="149">
                  <c:v>6310</c:v>
                </c:pt>
                <c:pt idx="150">
                  <c:v>5129</c:v>
                </c:pt>
                <c:pt idx="151">
                  <c:v>4215</c:v>
                </c:pt>
                <c:pt idx="152">
                  <c:v>4354</c:v>
                </c:pt>
                <c:pt idx="153">
                  <c:v>4238</c:v>
                </c:pt>
                <c:pt idx="154">
                  <c:v>4039</c:v>
                </c:pt>
                <c:pt idx="155">
                  <c:v>4166.25</c:v>
                </c:pt>
                <c:pt idx="156">
                  <c:v>4162.41</c:v>
                </c:pt>
                <c:pt idx="157">
                  <c:v>4750</c:v>
                </c:pt>
                <c:pt idx="158">
                  <c:v>4165.78</c:v>
                </c:pt>
                <c:pt idx="159">
                  <c:v>4159.3500000000004</c:v>
                </c:pt>
                <c:pt idx="160">
                  <c:v>4223.62</c:v>
                </c:pt>
                <c:pt idx="161">
                  <c:v>4118.6099999999997</c:v>
                </c:pt>
                <c:pt idx="162">
                  <c:v>3842.94</c:v>
                </c:pt>
                <c:pt idx="163">
                  <c:v>3836.53</c:v>
                </c:pt>
                <c:pt idx="164">
                  <c:v>4032.87</c:v>
                </c:pt>
                <c:pt idx="165">
                  <c:v>4476.59</c:v>
                </c:pt>
                <c:pt idx="166">
                  <c:v>4075.93</c:v>
                </c:pt>
                <c:pt idx="167">
                  <c:v>4298.34</c:v>
                </c:pt>
                <c:pt idx="168">
                  <c:v>4084.82</c:v>
                </c:pt>
                <c:pt idx="169">
                  <c:v>4144.3999999999996</c:v>
                </c:pt>
                <c:pt idx="170">
                  <c:v>4178.3900000000003</c:v>
                </c:pt>
                <c:pt idx="171">
                  <c:v>4008.69</c:v>
                </c:pt>
                <c:pt idx="172">
                  <c:v>4024</c:v>
                </c:pt>
                <c:pt idx="173">
                  <c:v>4275.53</c:v>
                </c:pt>
                <c:pt idx="174">
                  <c:v>4229.0600000000004</c:v>
                </c:pt>
                <c:pt idx="175">
                  <c:v>4310.13</c:v>
                </c:pt>
                <c:pt idx="176">
                  <c:v>4512.6099999999997</c:v>
                </c:pt>
                <c:pt idx="177">
                  <c:v>4677.3100000000004</c:v>
                </c:pt>
                <c:pt idx="178">
                  <c:v>3630.44</c:v>
                </c:pt>
                <c:pt idx="179">
                  <c:v>3498.46</c:v>
                </c:pt>
                <c:pt idx="180">
                  <c:v>3510.27</c:v>
                </c:pt>
                <c:pt idx="181">
                  <c:v>2945.33</c:v>
                </c:pt>
                <c:pt idx="182">
                  <c:v>2556.91</c:v>
                </c:pt>
                <c:pt idx="183">
                  <c:v>2598.12</c:v>
                </c:pt>
                <c:pt idx="184">
                  <c:v>2648.81</c:v>
                </c:pt>
                <c:pt idx="185">
                  <c:v>2527.02</c:v>
                </c:pt>
                <c:pt idx="186">
                  <c:v>2542.08</c:v>
                </c:pt>
                <c:pt idx="187">
                  <c:v>2603.25</c:v>
                </c:pt>
                <c:pt idx="188">
                  <c:v>2611.65</c:v>
                </c:pt>
                <c:pt idx="189">
                  <c:v>2552.79</c:v>
                </c:pt>
                <c:pt idx="190">
                  <c:v>2569.35</c:v>
                </c:pt>
                <c:pt idx="191">
                  <c:v>2318.98</c:v>
                </c:pt>
                <c:pt idx="192">
                  <c:v>2609.79</c:v>
                </c:pt>
                <c:pt idx="193">
                  <c:v>2461.61</c:v>
                </c:pt>
                <c:pt idx="194">
                  <c:v>2439.52</c:v>
                </c:pt>
                <c:pt idx="195">
                  <c:v>2249.8200000000002</c:v>
                </c:pt>
                <c:pt idx="196">
                  <c:v>2319.4899999999998</c:v>
                </c:pt>
                <c:pt idx="197">
                  <c:v>2267.09</c:v>
                </c:pt>
                <c:pt idx="198">
                  <c:v>2153.39</c:v>
                </c:pt>
                <c:pt idx="199">
                  <c:v>2135.6</c:v>
                </c:pt>
                <c:pt idx="200">
                  <c:v>2167.62</c:v>
                </c:pt>
                <c:pt idx="201">
                  <c:v>2182.66</c:v>
                </c:pt>
                <c:pt idx="202">
                  <c:v>2194.42</c:v>
                </c:pt>
                <c:pt idx="203">
                  <c:v>2130.13</c:v>
                </c:pt>
                <c:pt idx="204">
                  <c:v>2190.6999999999998</c:v>
                </c:pt>
                <c:pt idx="205">
                  <c:v>2289.0300000000002</c:v>
                </c:pt>
                <c:pt idx="206">
                  <c:v>2260.3200000000002</c:v>
                </c:pt>
                <c:pt idx="207">
                  <c:v>2187.34</c:v>
                </c:pt>
                <c:pt idx="208">
                  <c:v>2006.6</c:v>
                </c:pt>
                <c:pt idx="209">
                  <c:v>1920.04</c:v>
                </c:pt>
                <c:pt idx="210">
                  <c:v>1920.44</c:v>
                </c:pt>
                <c:pt idx="211">
                  <c:v>1974.28</c:v>
                </c:pt>
                <c:pt idx="212">
                  <c:v>1902.97</c:v>
                </c:pt>
                <c:pt idx="213">
                  <c:v>1933.72</c:v>
                </c:pt>
                <c:pt idx="214">
                  <c:v>1764.64</c:v>
                </c:pt>
                <c:pt idx="215">
                  <c:v>1724.78</c:v>
                </c:pt>
                <c:pt idx="216">
                  <c:v>1771.99</c:v>
                </c:pt>
                <c:pt idx="217">
                  <c:v>1851.1</c:v>
                </c:pt>
                <c:pt idx="218">
                  <c:v>1763.66</c:v>
                </c:pt>
                <c:pt idx="219">
                  <c:v>1504.27</c:v>
                </c:pt>
                <c:pt idx="220">
                  <c:v>1478.96</c:v>
                </c:pt>
                <c:pt idx="221">
                  <c:v>1784.85</c:v>
                </c:pt>
                <c:pt idx="222">
                  <c:v>1701.81</c:v>
                </c:pt>
                <c:pt idx="223">
                  <c:v>1782.69</c:v>
                </c:pt>
                <c:pt idx="224">
                  <c:v>1883.69</c:v>
                </c:pt>
                <c:pt idx="225">
                  <c:v>1811.42</c:v>
                </c:pt>
                <c:pt idx="226">
                  <c:v>1800.27</c:v>
                </c:pt>
                <c:pt idx="227">
                  <c:v>1827.93</c:v>
                </c:pt>
                <c:pt idx="228">
                  <c:v>1815.38</c:v>
                </c:pt>
                <c:pt idx="229">
                  <c:v>1655.56</c:v>
                </c:pt>
                <c:pt idx="230">
                  <c:v>1633.68</c:v>
                </c:pt>
                <c:pt idx="231">
                  <c:v>1692.8</c:v>
                </c:pt>
                <c:pt idx="232">
                  <c:v>1761.96</c:v>
                </c:pt>
                <c:pt idx="233">
                  <c:v>1718.14</c:v>
                </c:pt>
                <c:pt idx="234">
                  <c:v>1761.67</c:v>
                </c:pt>
                <c:pt idx="235">
                  <c:v>1907.5</c:v>
                </c:pt>
                <c:pt idx="236">
                  <c:v>1803.33</c:v>
                </c:pt>
                <c:pt idx="237">
                  <c:v>1793.03</c:v>
                </c:pt>
                <c:pt idx="238">
                  <c:v>1979.97</c:v>
                </c:pt>
                <c:pt idx="239">
                  <c:v>1912.33</c:v>
                </c:pt>
                <c:pt idx="240">
                  <c:v>1877</c:v>
                </c:pt>
                <c:pt idx="241">
                  <c:v>1888.6</c:v>
                </c:pt>
                <c:pt idx="242">
                  <c:v>1789.62</c:v>
                </c:pt>
                <c:pt idx="243">
                  <c:v>1799.14</c:v>
                </c:pt>
                <c:pt idx="244">
                  <c:v>1735.3</c:v>
                </c:pt>
                <c:pt idx="245">
                  <c:v>1913.26</c:v>
                </c:pt>
                <c:pt idx="246">
                  <c:v>2133.9699999999998</c:v>
                </c:pt>
                <c:pt idx="247">
                  <c:v>1829.98</c:v>
                </c:pt>
                <c:pt idx="248">
                  <c:v>1895.71</c:v>
                </c:pt>
                <c:pt idx="249">
                  <c:v>1595.44</c:v>
                </c:pt>
                <c:pt idx="250">
                  <c:v>1798.04</c:v>
                </c:pt>
                <c:pt idx="251">
                  <c:v>1624.39</c:v>
                </c:pt>
                <c:pt idx="252">
                  <c:v>1879.35</c:v>
                </c:pt>
                <c:pt idx="253">
                  <c:v>1514.51</c:v>
                </c:pt>
                <c:pt idx="254">
                  <c:v>2648.69</c:v>
                </c:pt>
                <c:pt idx="255">
                  <c:v>2498.71</c:v>
                </c:pt>
                <c:pt idx="256">
                  <c:v>2639.26</c:v>
                </c:pt>
                <c:pt idx="257">
                  <c:v>2607.67</c:v>
                </c:pt>
                <c:pt idx="258">
                  <c:v>2802.99</c:v>
                </c:pt>
                <c:pt idx="259">
                  <c:v>2688.35</c:v>
                </c:pt>
                <c:pt idx="260">
                  <c:v>2710.92</c:v>
                </c:pt>
                <c:pt idx="261">
                  <c:v>3265.05</c:v>
                </c:pt>
                <c:pt idx="262">
                  <c:v>2919.99</c:v>
                </c:pt>
                <c:pt idx="263">
                  <c:v>2568.79</c:v>
                </c:pt>
                <c:pt idx="264">
                  <c:v>2626.44</c:v>
                </c:pt>
                <c:pt idx="265">
                  <c:v>2592.6999999999998</c:v>
                </c:pt>
                <c:pt idx="266">
                  <c:v>2702.84</c:v>
                </c:pt>
                <c:pt idx="267">
                  <c:v>2701.03</c:v>
                </c:pt>
                <c:pt idx="268">
                  <c:v>2430.38</c:v>
                </c:pt>
                <c:pt idx="269">
                  <c:v>2699.97</c:v>
                </c:pt>
                <c:pt idx="270">
                  <c:v>2590.29</c:v>
                </c:pt>
                <c:pt idx="271">
                  <c:v>2653.42</c:v>
                </c:pt>
                <c:pt idx="272">
                  <c:v>2607.2600000000002</c:v>
                </c:pt>
                <c:pt idx="273">
                  <c:v>2471.79</c:v>
                </c:pt>
                <c:pt idx="274">
                  <c:v>2470.35</c:v>
                </c:pt>
                <c:pt idx="275">
                  <c:v>2516.87</c:v>
                </c:pt>
                <c:pt idx="276">
                  <c:v>2419.64</c:v>
                </c:pt>
                <c:pt idx="277">
                  <c:v>2212.9299999999998</c:v>
                </c:pt>
                <c:pt idx="278">
                  <c:v>2106.65</c:v>
                </c:pt>
                <c:pt idx="279">
                  <c:v>2320.6999999999998</c:v>
                </c:pt>
                <c:pt idx="280">
                  <c:v>2316.1799999999998</c:v>
                </c:pt>
                <c:pt idx="281">
                  <c:v>2488.5</c:v>
                </c:pt>
                <c:pt idx="282">
                  <c:v>2613.69</c:v>
                </c:pt>
                <c:pt idx="283">
                  <c:v>2279.59</c:v>
                </c:pt>
                <c:pt idx="284">
                  <c:v>2578.12</c:v>
                </c:pt>
                <c:pt idx="285">
                  <c:v>3031.21</c:v>
                </c:pt>
                <c:pt idx="286">
                  <c:v>3035.61</c:v>
                </c:pt>
                <c:pt idx="287">
                  <c:v>3184.02</c:v>
                </c:pt>
                <c:pt idx="288">
                  <c:v>2946.78</c:v>
                </c:pt>
                <c:pt idx="289">
                  <c:v>2892</c:v>
                </c:pt>
                <c:pt idx="290">
                  <c:v>2825</c:v>
                </c:pt>
                <c:pt idx="291">
                  <c:v>2970.37</c:v>
                </c:pt>
                <c:pt idx="292">
                  <c:v>2992.28</c:v>
                </c:pt>
                <c:pt idx="293">
                  <c:v>2965.93</c:v>
                </c:pt>
                <c:pt idx="294">
                  <c:v>3083.51</c:v>
                </c:pt>
                <c:pt idx="295">
                  <c:v>3002.56</c:v>
                </c:pt>
                <c:pt idx="296">
                  <c:v>2992.46</c:v>
                </c:pt>
                <c:pt idx="297">
                  <c:v>2976.63</c:v>
                </c:pt>
                <c:pt idx="298">
                  <c:v>2721.47</c:v>
                </c:pt>
                <c:pt idx="299">
                  <c:v>2548.5100000000002</c:v>
                </c:pt>
                <c:pt idx="300">
                  <c:v>2762.34</c:v>
                </c:pt>
                <c:pt idx="301">
                  <c:v>2655.63</c:v>
                </c:pt>
                <c:pt idx="302">
                  <c:v>2374.52</c:v>
                </c:pt>
                <c:pt idx="303">
                  <c:v>2386.17</c:v>
                </c:pt>
                <c:pt idx="304">
                  <c:v>2339.6799999999998</c:v>
                </c:pt>
                <c:pt idx="305">
                  <c:v>2202.1999999999998</c:v>
                </c:pt>
                <c:pt idx="306">
                  <c:v>2202.54</c:v>
                </c:pt>
                <c:pt idx="307">
                  <c:v>2165.7399999999998</c:v>
                </c:pt>
                <c:pt idx="308">
                  <c:v>2035.56</c:v>
                </c:pt>
                <c:pt idx="309">
                  <c:v>2053.6</c:v>
                </c:pt>
                <c:pt idx="310">
                  <c:v>2236.1999999999998</c:v>
                </c:pt>
                <c:pt idx="311">
                  <c:v>2221.94</c:v>
                </c:pt>
                <c:pt idx="312">
                  <c:v>2317.5</c:v>
                </c:pt>
                <c:pt idx="313">
                  <c:v>2368.08</c:v>
                </c:pt>
                <c:pt idx="314">
                  <c:v>2348.61</c:v>
                </c:pt>
                <c:pt idx="315">
                  <c:v>2319.4699999999998</c:v>
                </c:pt>
                <c:pt idx="316">
                  <c:v>2287.63</c:v>
                </c:pt>
                <c:pt idx="317">
                  <c:v>2248</c:v>
                </c:pt>
                <c:pt idx="318">
                  <c:v>2116.96</c:v>
                </c:pt>
                <c:pt idx="319">
                  <c:v>2138.02</c:v>
                </c:pt>
                <c:pt idx="320">
                  <c:v>2333.9899999999998</c:v>
                </c:pt>
                <c:pt idx="321">
                  <c:v>2099.84</c:v>
                </c:pt>
                <c:pt idx="322">
                  <c:v>2222.0500000000002</c:v>
                </c:pt>
                <c:pt idx="323">
                  <c:v>2267.5100000000002</c:v>
                </c:pt>
                <c:pt idx="324">
                  <c:v>2411.4299999999998</c:v>
                </c:pt>
                <c:pt idx="325">
                  <c:v>2356.37</c:v>
                </c:pt>
                <c:pt idx="326">
                  <c:v>2202.8200000000002</c:v>
                </c:pt>
                <c:pt idx="327">
                  <c:v>2055.15</c:v>
                </c:pt>
                <c:pt idx="328">
                  <c:v>2022.73</c:v>
                </c:pt>
                <c:pt idx="329">
                  <c:v>2073.39</c:v>
                </c:pt>
                <c:pt idx="330">
                  <c:v>2189</c:v>
                </c:pt>
                <c:pt idx="331">
                  <c:v>2107.58</c:v>
                </c:pt>
                <c:pt idx="332">
                  <c:v>2169.71</c:v>
                </c:pt>
                <c:pt idx="333">
                  <c:v>1916.01</c:v>
                </c:pt>
                <c:pt idx="334">
                  <c:v>2050.16</c:v>
                </c:pt>
                <c:pt idx="335">
                  <c:v>2064.52</c:v>
                </c:pt>
                <c:pt idx="336">
                  <c:v>2119.8200000000002</c:v>
                </c:pt>
                <c:pt idx="337">
                  <c:v>2218</c:v>
                </c:pt>
                <c:pt idx="338">
                  <c:v>2192</c:v>
                </c:pt>
                <c:pt idx="339">
                  <c:v>2768.94</c:v>
                </c:pt>
                <c:pt idx="340">
                  <c:v>3145.07</c:v>
                </c:pt>
                <c:pt idx="341">
                  <c:v>3159.93</c:v>
                </c:pt>
                <c:pt idx="342">
                  <c:v>3528.72</c:v>
                </c:pt>
                <c:pt idx="343">
                  <c:v>3290.91</c:v>
                </c:pt>
                <c:pt idx="344">
                  <c:v>3343.7</c:v>
                </c:pt>
                <c:pt idx="345">
                  <c:v>3147.4</c:v>
                </c:pt>
                <c:pt idx="346">
                  <c:v>2882.49</c:v>
                </c:pt>
                <c:pt idx="347">
                  <c:v>3055.52</c:v>
                </c:pt>
                <c:pt idx="348">
                  <c:v>3335.96</c:v>
                </c:pt>
                <c:pt idx="349">
                  <c:v>3201.17</c:v>
                </c:pt>
                <c:pt idx="350">
                  <c:v>3041.57</c:v>
                </c:pt>
                <c:pt idx="351">
                  <c:v>2421.9899999999998</c:v>
                </c:pt>
                <c:pt idx="352">
                  <c:v>2391.15</c:v>
                </c:pt>
                <c:pt idx="353">
                  <c:v>2126.81</c:v>
                </c:pt>
                <c:pt idx="354">
                  <c:v>2007.92</c:v>
                </c:pt>
                <c:pt idx="355">
                  <c:v>2157.6999999999998</c:v>
                </c:pt>
                <c:pt idx="356">
                  <c:v>2336.31</c:v>
                </c:pt>
                <c:pt idx="357">
                  <c:v>1900.98</c:v>
                </c:pt>
                <c:pt idx="358">
                  <c:v>1923.5</c:v>
                </c:pt>
                <c:pt idx="359">
                  <c:v>1912</c:v>
                </c:pt>
                <c:pt idx="360">
                  <c:v>1870.87</c:v>
                </c:pt>
                <c:pt idx="361">
                  <c:v>1810.38</c:v>
                </c:pt>
                <c:pt idx="362">
                  <c:v>1802.42</c:v>
                </c:pt>
                <c:pt idx="363">
                  <c:v>1788.46</c:v>
                </c:pt>
                <c:pt idx="364">
                  <c:v>1745.99</c:v>
                </c:pt>
                <c:pt idx="365">
                  <c:v>1653.47</c:v>
                </c:pt>
                <c:pt idx="366">
                  <c:v>1803.89</c:v>
                </c:pt>
                <c:pt idx="367">
                  <c:v>1789.79</c:v>
                </c:pt>
                <c:pt idx="368">
                  <c:v>1859.86</c:v>
                </c:pt>
                <c:pt idx="369">
                  <c:v>1851.35</c:v>
                </c:pt>
                <c:pt idx="370">
                  <c:v>1826.09</c:v>
                </c:pt>
                <c:pt idx="371">
                  <c:v>1681.19</c:v>
                </c:pt>
                <c:pt idx="372">
                  <c:v>2014.71</c:v>
                </c:pt>
                <c:pt idx="373">
                  <c:v>1989.37</c:v>
                </c:pt>
                <c:pt idx="374">
                  <c:v>2252</c:v>
                </c:pt>
                <c:pt idx="375">
                  <c:v>1964</c:v>
                </c:pt>
                <c:pt idx="376">
                  <c:v>1857.72</c:v>
                </c:pt>
                <c:pt idx="377">
                  <c:v>1775.4</c:v>
                </c:pt>
                <c:pt idx="378">
                  <c:v>1860.66</c:v>
                </c:pt>
                <c:pt idx="379">
                  <c:v>1766.22</c:v>
                </c:pt>
                <c:pt idx="380">
                  <c:v>1599.11</c:v>
                </c:pt>
                <c:pt idx="381">
                  <c:v>1625.56</c:v>
                </c:pt>
                <c:pt idx="382">
                  <c:v>1878.09</c:v>
                </c:pt>
                <c:pt idx="383">
                  <c:v>1930.46</c:v>
                </c:pt>
                <c:pt idx="384">
                  <c:v>1909.08</c:v>
                </c:pt>
                <c:pt idx="385">
                  <c:v>1814.76</c:v>
                </c:pt>
                <c:pt idx="386">
                  <c:v>1584.11</c:v>
                </c:pt>
                <c:pt idx="387">
                  <c:v>1540.8</c:v>
                </c:pt>
                <c:pt idx="388">
                  <c:v>1564.48</c:v>
                </c:pt>
                <c:pt idx="389">
                  <c:v>1611.29</c:v>
                </c:pt>
                <c:pt idx="390">
                  <c:v>1475.36</c:v>
                </c:pt>
                <c:pt idx="391">
                  <c:v>1580.05</c:v>
                </c:pt>
                <c:pt idx="392">
                  <c:v>1620.67</c:v>
                </c:pt>
                <c:pt idx="393">
                  <c:v>1443.94</c:v>
                </c:pt>
                <c:pt idx="394">
                  <c:v>1394.27</c:v>
                </c:pt>
                <c:pt idx="395">
                  <c:v>1457.44</c:v>
                </c:pt>
                <c:pt idx="396">
                  <c:v>1428.88</c:v>
                </c:pt>
                <c:pt idx="397">
                  <c:v>1417.96</c:v>
                </c:pt>
                <c:pt idx="398">
                  <c:v>1466.57</c:v>
                </c:pt>
                <c:pt idx="399">
                  <c:v>1448.43</c:v>
                </c:pt>
                <c:pt idx="400">
                  <c:v>1344</c:v>
                </c:pt>
                <c:pt idx="401">
                  <c:v>1597.42</c:v>
                </c:pt>
                <c:pt idx="402">
                  <c:v>1625.8</c:v>
                </c:pt>
                <c:pt idx="403">
                  <c:v>1693.38</c:v>
                </c:pt>
                <c:pt idx="404">
                  <c:v>1790.39</c:v>
                </c:pt>
                <c:pt idx="405">
                  <c:v>1809.04</c:v>
                </c:pt>
                <c:pt idx="406">
                  <c:v>1782.23</c:v>
                </c:pt>
                <c:pt idx="407">
                  <c:v>1854.42</c:v>
                </c:pt>
                <c:pt idx="408">
                  <c:v>1782.79</c:v>
                </c:pt>
                <c:pt idx="409">
                  <c:v>1766.07</c:v>
                </c:pt>
                <c:pt idx="410">
                  <c:v>1795.26</c:v>
                </c:pt>
                <c:pt idx="411">
                  <c:v>1750.4</c:v>
                </c:pt>
                <c:pt idx="412">
                  <c:v>1690.64</c:v>
                </c:pt>
                <c:pt idx="413">
                  <c:v>1801.97</c:v>
                </c:pt>
                <c:pt idx="414">
                  <c:v>1825.4</c:v>
                </c:pt>
                <c:pt idx="415">
                  <c:v>1810.72</c:v>
                </c:pt>
                <c:pt idx="416">
                  <c:v>1953.91</c:v>
                </c:pt>
                <c:pt idx="417">
                  <c:v>1959.27</c:v>
                </c:pt>
                <c:pt idx="418">
                  <c:v>2030</c:v>
                </c:pt>
                <c:pt idx="419">
                  <c:v>1900</c:v>
                </c:pt>
                <c:pt idx="420">
                  <c:v>2215.31</c:v>
                </c:pt>
                <c:pt idx="421">
                  <c:v>2067.5500000000002</c:v>
                </c:pt>
                <c:pt idx="422">
                  <c:v>1878.1</c:v>
                </c:pt>
                <c:pt idx="423">
                  <c:v>2026.07</c:v>
                </c:pt>
                <c:pt idx="424">
                  <c:v>1847.84</c:v>
                </c:pt>
                <c:pt idx="425">
                  <c:v>1816.82</c:v>
                </c:pt>
                <c:pt idx="426">
                  <c:v>1766.12</c:v>
                </c:pt>
                <c:pt idx="427">
                  <c:v>1767.65</c:v>
                </c:pt>
                <c:pt idx="428">
                  <c:v>1933.64</c:v>
                </c:pt>
                <c:pt idx="429">
                  <c:v>2210</c:v>
                </c:pt>
                <c:pt idx="430">
                  <c:v>2230.6799999999998</c:v>
                </c:pt>
                <c:pt idx="431">
                  <c:v>2203.48</c:v>
                </c:pt>
                <c:pt idx="432">
                  <c:v>2326.85</c:v>
                </c:pt>
                <c:pt idx="433">
                  <c:v>2523.81</c:v>
                </c:pt>
                <c:pt idx="434">
                  <c:v>2333.4299999999998</c:v>
                </c:pt>
                <c:pt idx="435">
                  <c:v>2069.86</c:v>
                </c:pt>
                <c:pt idx="436">
                  <c:v>2132.9499999999998</c:v>
                </c:pt>
                <c:pt idx="437">
                  <c:v>1779.17</c:v>
                </c:pt>
                <c:pt idx="438">
                  <c:v>1705</c:v>
                </c:pt>
                <c:pt idx="439">
                  <c:v>1577.51</c:v>
                </c:pt>
                <c:pt idx="440">
                  <c:v>1667.71</c:v>
                </c:pt>
                <c:pt idx="441">
                  <c:v>1453.44</c:v>
                </c:pt>
                <c:pt idx="442">
                  <c:v>1530</c:v>
                </c:pt>
                <c:pt idx="443">
                  <c:v>1704.39</c:v>
                </c:pt>
                <c:pt idx="444">
                  <c:v>1518.6</c:v>
                </c:pt>
                <c:pt idx="445">
                  <c:v>1601.45</c:v>
                </c:pt>
                <c:pt idx="446">
                  <c:v>1519.45</c:v>
                </c:pt>
                <c:pt idx="447">
                  <c:v>1370.91</c:v>
                </c:pt>
                <c:pt idx="448">
                  <c:v>1121.92</c:v>
                </c:pt>
                <c:pt idx="449">
                  <c:v>1067.31</c:v>
                </c:pt>
                <c:pt idx="450">
                  <c:v>1178.55</c:v>
                </c:pt>
                <c:pt idx="451">
                  <c:v>1229.08</c:v>
                </c:pt>
                <c:pt idx="452">
                  <c:v>1302.8699999999999</c:v>
                </c:pt>
                <c:pt idx="453">
                  <c:v>1280.67</c:v>
                </c:pt>
                <c:pt idx="454">
                  <c:v>1370.62</c:v>
                </c:pt>
                <c:pt idx="455">
                  <c:v>1266.77</c:v>
                </c:pt>
                <c:pt idx="456">
                  <c:v>1395</c:v>
                </c:pt>
                <c:pt idx="457">
                  <c:v>1570.68</c:v>
                </c:pt>
                <c:pt idx="458">
                  <c:v>1577.25</c:v>
                </c:pt>
                <c:pt idx="459">
                  <c:v>1736.13</c:v>
                </c:pt>
                <c:pt idx="460">
                  <c:v>1864.9</c:v>
                </c:pt>
                <c:pt idx="461">
                  <c:v>1897.11</c:v>
                </c:pt>
                <c:pt idx="462">
                  <c:v>1845.92</c:v>
                </c:pt>
                <c:pt idx="463">
                  <c:v>1839.71</c:v>
                </c:pt>
                <c:pt idx="464">
                  <c:v>1777.07</c:v>
                </c:pt>
                <c:pt idx="465">
                  <c:v>1895.27</c:v>
                </c:pt>
                <c:pt idx="466">
                  <c:v>2080.79</c:v>
                </c:pt>
                <c:pt idx="467">
                  <c:v>1909.15</c:v>
                </c:pt>
                <c:pt idx="468">
                  <c:v>1883.58</c:v>
                </c:pt>
                <c:pt idx="469">
                  <c:v>2153.9899999999998</c:v>
                </c:pt>
                <c:pt idx="470">
                  <c:v>2150.12</c:v>
                </c:pt>
                <c:pt idx="471">
                  <c:v>2294.17</c:v>
                </c:pt>
                <c:pt idx="472">
                  <c:v>2359.9</c:v>
                </c:pt>
                <c:pt idx="473">
                  <c:v>2192.94</c:v>
                </c:pt>
                <c:pt idx="474">
                  <c:v>2010</c:v>
                </c:pt>
                <c:pt idx="475">
                  <c:v>2395.0100000000002</c:v>
                </c:pt>
                <c:pt idx="476">
                  <c:v>1904</c:v>
                </c:pt>
                <c:pt idx="477">
                  <c:v>1415</c:v>
                </c:pt>
                <c:pt idx="478">
                  <c:v>1559.94</c:v>
                </c:pt>
                <c:pt idx="479">
                  <c:v>1945.67</c:v>
                </c:pt>
                <c:pt idx="480">
                  <c:v>2135.77</c:v>
                </c:pt>
                <c:pt idx="481">
                  <c:v>2198.4899999999998</c:v>
                </c:pt>
                <c:pt idx="482">
                  <c:v>2612.65</c:v>
                </c:pt>
                <c:pt idx="483">
                  <c:v>3041.1</c:v>
                </c:pt>
                <c:pt idx="484">
                  <c:v>3087.19</c:v>
                </c:pt>
                <c:pt idx="485">
                  <c:v>3142.09</c:v>
                </c:pt>
                <c:pt idx="486">
                  <c:v>3243.22</c:v>
                </c:pt>
                <c:pt idx="487">
                  <c:v>3536.78</c:v>
                </c:pt>
                <c:pt idx="488">
                  <c:v>3800.56</c:v>
                </c:pt>
                <c:pt idx="489">
                  <c:v>3344.88</c:v>
                </c:pt>
                <c:pt idx="490">
                  <c:v>3245</c:v>
                </c:pt>
                <c:pt idx="491">
                  <c:v>2893</c:v>
                </c:pt>
                <c:pt idx="492">
                  <c:v>3166</c:v>
                </c:pt>
                <c:pt idx="493">
                  <c:v>3066.43</c:v>
                </c:pt>
                <c:pt idx="494">
                  <c:v>3538.79</c:v>
                </c:pt>
                <c:pt idx="495">
                  <c:v>3911.68</c:v>
                </c:pt>
                <c:pt idx="496">
                  <c:v>4110.4399999999996</c:v>
                </c:pt>
                <c:pt idx="497">
                  <c:v>4345.6400000000003</c:v>
                </c:pt>
                <c:pt idx="498">
                  <c:v>4659.16</c:v>
                </c:pt>
                <c:pt idx="499">
                  <c:v>4914.75</c:v>
                </c:pt>
                <c:pt idx="500">
                  <c:v>5769.46</c:v>
                </c:pt>
                <c:pt idx="501">
                  <c:v>5539.56</c:v>
                </c:pt>
                <c:pt idx="502">
                  <c:v>6471.59</c:v>
                </c:pt>
                <c:pt idx="503">
                  <c:v>4925</c:v>
                </c:pt>
                <c:pt idx="504">
                  <c:v>3959.22</c:v>
                </c:pt>
                <c:pt idx="505">
                  <c:v>3563.55</c:v>
                </c:pt>
                <c:pt idx="506">
                  <c:v>3214</c:v>
                </c:pt>
                <c:pt idx="507">
                  <c:v>3703</c:v>
                </c:pt>
                <c:pt idx="508">
                  <c:v>3871.57</c:v>
                </c:pt>
                <c:pt idx="509">
                  <c:v>3765</c:v>
                </c:pt>
                <c:pt idx="510">
                  <c:v>4296.7</c:v>
                </c:pt>
                <c:pt idx="511">
                  <c:v>4888</c:v>
                </c:pt>
                <c:pt idx="512">
                  <c:v>7325</c:v>
                </c:pt>
                <c:pt idx="513">
                  <c:v>8549.64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DE-A62A-9DBE1A67258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5.5366203984388049E-4</c:v>
                </c:pt>
                <c:pt idx="1">
                  <c:v>5.5458251898086682E-4</c:v>
                </c:pt>
                <c:pt idx="2">
                  <c:v>5.537610324993854E-4</c:v>
                </c:pt>
                <c:pt idx="3">
                  <c:v>5.4668179608418081E-4</c:v>
                </c:pt>
                <c:pt idx="4">
                  <c:v>5.4279680720952894E-4</c:v>
                </c:pt>
                <c:pt idx="5">
                  <c:v>5.2987030213935346E-4</c:v>
                </c:pt>
                <c:pt idx="6">
                  <c:v>5.2515547328909977E-4</c:v>
                </c:pt>
                <c:pt idx="7">
                  <c:v>5.4133161025879666E-4</c:v>
                </c:pt>
                <c:pt idx="8">
                  <c:v>5.4701814000879668E-4</c:v>
                </c:pt>
                <c:pt idx="9">
                  <c:v>5.5048243456617377E-4</c:v>
                </c:pt>
                <c:pt idx="10">
                  <c:v>5.4951935999474511E-4</c:v>
                </c:pt>
                <c:pt idx="11">
                  <c:v>5.4807050324474514E-4</c:v>
                </c:pt>
                <c:pt idx="12">
                  <c:v>5.488409152447451E-4</c:v>
                </c:pt>
                <c:pt idx="13">
                  <c:v>5.4917840288110878E-4</c:v>
                </c:pt>
                <c:pt idx="14">
                  <c:v>5.5008102027547488E-4</c:v>
                </c:pt>
                <c:pt idx="15">
                  <c:v>5.5576573297021182E-4</c:v>
                </c:pt>
                <c:pt idx="16">
                  <c:v>5.5110775518073805E-4</c:v>
                </c:pt>
                <c:pt idx="17">
                  <c:v>5.4688921607263E-4</c:v>
                </c:pt>
                <c:pt idx="18">
                  <c:v>5.4747261516353905E-4</c:v>
                </c:pt>
                <c:pt idx="19">
                  <c:v>5.4741597060628706E-4</c:v>
                </c:pt>
                <c:pt idx="20">
                  <c:v>5.5175535463485861E-4</c:v>
                </c:pt>
                <c:pt idx="21">
                  <c:v>5.4952857696529344E-4</c:v>
                </c:pt>
                <c:pt idx="22">
                  <c:v>5.3837908507438424E-4</c:v>
                </c:pt>
                <c:pt idx="23">
                  <c:v>5.4465656617115848E-4</c:v>
                </c:pt>
                <c:pt idx="24">
                  <c:v>5.5435369417115854E-4</c:v>
                </c:pt>
                <c:pt idx="25">
                  <c:v>5.5479636091692122E-4</c:v>
                </c:pt>
                <c:pt idx="26">
                  <c:v>5.6313303565485218E-4</c:v>
                </c:pt>
                <c:pt idx="27">
                  <c:v>5.5445807182876524E-4</c:v>
                </c:pt>
                <c:pt idx="28">
                  <c:v>5.5141333024500891E-4</c:v>
                </c:pt>
                <c:pt idx="29">
                  <c:v>5.4605319284075358E-4</c:v>
                </c:pt>
                <c:pt idx="30">
                  <c:v>5.5568795984075356E-4</c:v>
                </c:pt>
                <c:pt idx="31">
                  <c:v>5.6112011838620808E-4</c:v>
                </c:pt>
                <c:pt idx="32">
                  <c:v>5.7397820224496519E-4</c:v>
                </c:pt>
                <c:pt idx="33">
                  <c:v>5.7280197210797892E-4</c:v>
                </c:pt>
                <c:pt idx="34">
                  <c:v>5.681743120170698E-4</c:v>
                </c:pt>
                <c:pt idx="35">
                  <c:v>5.7757700873297887E-4</c:v>
                </c:pt>
                <c:pt idx="36">
                  <c:v>5.7964276446155038E-4</c:v>
                </c:pt>
                <c:pt idx="37">
                  <c:v>5.9485071909842193E-4</c:v>
                </c:pt>
                <c:pt idx="38">
                  <c:v>6.038498948948821E-4</c:v>
                </c:pt>
                <c:pt idx="39">
                  <c:v>6.6975580095928887E-4</c:v>
                </c:pt>
                <c:pt idx="40">
                  <c:v>6.7999566054903243E-4</c:v>
                </c:pt>
                <c:pt idx="41">
                  <c:v>7.3777283873795749E-4</c:v>
                </c:pt>
                <c:pt idx="42">
                  <c:v>6.8036606960784592E-4</c:v>
                </c:pt>
                <c:pt idx="43">
                  <c:v>6.765419359852045E-4</c:v>
                </c:pt>
                <c:pt idx="44">
                  <c:v>6.7835109561377579E-4</c:v>
                </c:pt>
                <c:pt idx="45">
                  <c:v>6.6118604983137971E-4</c:v>
                </c:pt>
                <c:pt idx="46">
                  <c:v>6.7779801946100937E-4</c:v>
                </c:pt>
                <c:pt idx="47">
                  <c:v>6.822297193885456E-4</c:v>
                </c:pt>
                <c:pt idx="48">
                  <c:v>6.8188701717335578E-4</c:v>
                </c:pt>
                <c:pt idx="49">
                  <c:v>6.8859867981056506E-4</c:v>
                </c:pt>
                <c:pt idx="50">
                  <c:v>6.979136433547347E-4</c:v>
                </c:pt>
                <c:pt idx="51">
                  <c:v>6.8870279150690854E-4</c:v>
                </c:pt>
                <c:pt idx="52">
                  <c:v>6.9485583768872673E-4</c:v>
                </c:pt>
                <c:pt idx="53">
                  <c:v>6.8360252885428974E-4</c:v>
                </c:pt>
                <c:pt idx="54">
                  <c:v>6.8727649574170692E-4</c:v>
                </c:pt>
                <c:pt idx="55">
                  <c:v>6.8306545625319869E-4</c:v>
                </c:pt>
                <c:pt idx="56">
                  <c:v>6.8763572747227992E-4</c:v>
                </c:pt>
                <c:pt idx="57">
                  <c:v>6.8430456599500732E-4</c:v>
                </c:pt>
                <c:pt idx="58">
                  <c:v>6.8829232358493539E-4</c:v>
                </c:pt>
                <c:pt idx="59">
                  <c:v>6.8965044790925969E-4</c:v>
                </c:pt>
                <c:pt idx="60">
                  <c:v>6.9009308359242803E-4</c:v>
                </c:pt>
                <c:pt idx="61">
                  <c:v>6.8426766407242803E-4</c:v>
                </c:pt>
                <c:pt idx="62">
                  <c:v>6.8599787558757948E-4</c:v>
                </c:pt>
                <c:pt idx="63">
                  <c:v>6.9515029938186528E-4</c:v>
                </c:pt>
                <c:pt idx="64">
                  <c:v>6.9424806009615089E-4</c:v>
                </c:pt>
                <c:pt idx="65">
                  <c:v>6.9603437814493138E-4</c:v>
                </c:pt>
                <c:pt idx="66">
                  <c:v>6.9165428580207438E-4</c:v>
                </c:pt>
                <c:pt idx="67">
                  <c:v>6.9675491330207433E-4</c:v>
                </c:pt>
                <c:pt idx="68">
                  <c:v>6.9862715563540751E-4</c:v>
                </c:pt>
                <c:pt idx="69">
                  <c:v>6.9583481949255042E-4</c:v>
                </c:pt>
                <c:pt idx="70">
                  <c:v>6.9113346561600726E-4</c:v>
                </c:pt>
                <c:pt idx="71">
                  <c:v>7.1361211211765747E-4</c:v>
                </c:pt>
                <c:pt idx="72">
                  <c:v>7.0633262082036023E-4</c:v>
                </c:pt>
                <c:pt idx="73">
                  <c:v>7.0803817426815592E-4</c:v>
                </c:pt>
                <c:pt idx="74">
                  <c:v>7.1568045874732269E-4</c:v>
                </c:pt>
                <c:pt idx="75">
                  <c:v>7.1559412991279033E-4</c:v>
                </c:pt>
                <c:pt idx="76">
                  <c:v>7.1670132368830059E-4</c:v>
                </c:pt>
                <c:pt idx="77">
                  <c:v>6.9396878214113083E-4</c:v>
                </c:pt>
                <c:pt idx="78">
                  <c:v>6.8410020040342594E-4</c:v>
                </c:pt>
                <c:pt idx="79">
                  <c:v>6.8782073365380753E-4</c:v>
                </c:pt>
                <c:pt idx="80">
                  <c:v>7.0165283171228702E-4</c:v>
                </c:pt>
                <c:pt idx="81">
                  <c:v>6.6434623234706955E-4</c:v>
                </c:pt>
                <c:pt idx="82">
                  <c:v>6.6054504435447703E-4</c:v>
                </c:pt>
                <c:pt idx="83">
                  <c:v>6.5932801911224102E-4</c:v>
                </c:pt>
                <c:pt idx="84">
                  <c:v>6.5747205097270618E-4</c:v>
                </c:pt>
                <c:pt idx="85">
                  <c:v>6.635267705977062E-4</c:v>
                </c:pt>
                <c:pt idx="86">
                  <c:v>6.4518271134084832E-4</c:v>
                </c:pt>
                <c:pt idx="87">
                  <c:v>6.5301042204507379E-4</c:v>
                </c:pt>
                <c:pt idx="88">
                  <c:v>6.4058148025837017E-4</c:v>
                </c:pt>
                <c:pt idx="89">
                  <c:v>6.3860015230434721E-4</c:v>
                </c:pt>
                <c:pt idx="90">
                  <c:v>6.3954275055584414E-4</c:v>
                </c:pt>
                <c:pt idx="91">
                  <c:v>6.3803759655584426E-4</c:v>
                </c:pt>
                <c:pt idx="92">
                  <c:v>6.3295440453381782E-4</c:v>
                </c:pt>
                <c:pt idx="93">
                  <c:v>6.5742205455492889E-4</c:v>
                </c:pt>
                <c:pt idx="94">
                  <c:v>6.580317558656086E-4</c:v>
                </c:pt>
                <c:pt idx="95">
                  <c:v>6.5526653091966256E-4</c:v>
                </c:pt>
                <c:pt idx="96">
                  <c:v>6.5780083818980472E-4</c:v>
                </c:pt>
                <c:pt idx="97">
                  <c:v>6.550127961898048E-4</c:v>
                </c:pt>
                <c:pt idx="98">
                  <c:v>6.5235447186548045E-4</c:v>
                </c:pt>
                <c:pt idx="99">
                  <c:v>6.5639501854519581E-4</c:v>
                </c:pt>
                <c:pt idx="100">
                  <c:v>6.5367627489403305E-4</c:v>
                </c:pt>
                <c:pt idx="101">
                  <c:v>6.5303438665593777E-4</c:v>
                </c:pt>
                <c:pt idx="102">
                  <c:v>6.5429803894509443E-4</c:v>
                </c:pt>
                <c:pt idx="103">
                  <c:v>6.5679465822606115E-4</c:v>
                </c:pt>
                <c:pt idx="104">
                  <c:v>6.5570181385106116E-4</c:v>
                </c:pt>
                <c:pt idx="105">
                  <c:v>6.5365066182421553E-4</c:v>
                </c:pt>
                <c:pt idx="106">
                  <c:v>6.4950227252724582E-4</c:v>
                </c:pt>
                <c:pt idx="107">
                  <c:v>6.4296026417867431E-4</c:v>
                </c:pt>
                <c:pt idx="108">
                  <c:v>6.3600554950931948E-4</c:v>
                </c:pt>
                <c:pt idx="109">
                  <c:v>6.5595286585931958E-4</c:v>
                </c:pt>
                <c:pt idx="110">
                  <c:v>6.5991281866556949E-4</c:v>
                </c:pt>
                <c:pt idx="111">
                  <c:v>6.62050108162924E-4</c:v>
                </c:pt>
                <c:pt idx="112">
                  <c:v>6.5620896822621505E-4</c:v>
                </c:pt>
                <c:pt idx="113">
                  <c:v>6.5914418108335791E-4</c:v>
                </c:pt>
                <c:pt idx="114">
                  <c:v>6.5975449094251291E-4</c:v>
                </c:pt>
                <c:pt idx="115">
                  <c:v>6.5714203329033901E-4</c:v>
                </c:pt>
                <c:pt idx="116">
                  <c:v>6.6658809077897545E-4</c:v>
                </c:pt>
                <c:pt idx="117">
                  <c:v>6.589672207542841E-4</c:v>
                </c:pt>
                <c:pt idx="118">
                  <c:v>6.5890096307571263E-4</c:v>
                </c:pt>
                <c:pt idx="119">
                  <c:v>6.4891872918580436E-4</c:v>
                </c:pt>
                <c:pt idx="120">
                  <c:v>6.4318919674369909E-4</c:v>
                </c:pt>
                <c:pt idx="121">
                  <c:v>6.4837231575091937E-4</c:v>
                </c:pt>
                <c:pt idx="122">
                  <c:v>6.4465574728245093E-4</c:v>
                </c:pt>
                <c:pt idx="123">
                  <c:v>6.5160962087468385E-4</c:v>
                </c:pt>
                <c:pt idx="124">
                  <c:v>6.4415425512882765E-4</c:v>
                </c:pt>
                <c:pt idx="125">
                  <c:v>6.4010816380262437E-4</c:v>
                </c:pt>
                <c:pt idx="126">
                  <c:v>6.4045233740364302E-4</c:v>
                </c:pt>
                <c:pt idx="127">
                  <c:v>6.3915906119345193E-4</c:v>
                </c:pt>
                <c:pt idx="128">
                  <c:v>6.2790575131683795E-4</c:v>
                </c:pt>
                <c:pt idx="129">
                  <c:v>6.4187503029171226E-4</c:v>
                </c:pt>
                <c:pt idx="130">
                  <c:v>6.4679176098969885E-4</c:v>
                </c:pt>
                <c:pt idx="131">
                  <c:v>6.8604180205886309E-4</c:v>
                </c:pt>
                <c:pt idx="132">
                  <c:v>6.6846788035020176E-4</c:v>
                </c:pt>
                <c:pt idx="133">
                  <c:v>6.7516240069166516E-4</c:v>
                </c:pt>
                <c:pt idx="134">
                  <c:v>6.7857076531719707E-4</c:v>
                </c:pt>
                <c:pt idx="135">
                  <c:v>6.8164220215356059E-4</c:v>
                </c:pt>
                <c:pt idx="136">
                  <c:v>6.7154430045509922E-4</c:v>
                </c:pt>
                <c:pt idx="137">
                  <c:v>6.7436184993561869E-4</c:v>
                </c:pt>
                <c:pt idx="138">
                  <c:v>6.7389486440228529E-4</c:v>
                </c:pt>
                <c:pt idx="139">
                  <c:v>6.7615648814128826E-4</c:v>
                </c:pt>
                <c:pt idx="140">
                  <c:v>6.8238445137878826E-4</c:v>
                </c:pt>
                <c:pt idx="141">
                  <c:v>6.7912289372904205E-4</c:v>
                </c:pt>
                <c:pt idx="142">
                  <c:v>6.7338150916315849E-4</c:v>
                </c:pt>
                <c:pt idx="143">
                  <c:v>6.7791529509721789E-4</c:v>
                </c:pt>
                <c:pt idx="144">
                  <c:v>6.7810494046116935E-4</c:v>
                </c:pt>
                <c:pt idx="145">
                  <c:v>6.8090882525064303E-4</c:v>
                </c:pt>
                <c:pt idx="146">
                  <c:v>6.9764950031628845E-4</c:v>
                </c:pt>
                <c:pt idx="147">
                  <c:v>7.1177044391628852E-4</c:v>
                </c:pt>
                <c:pt idx="148">
                  <c:v>7.4040850322155158E-4</c:v>
                </c:pt>
                <c:pt idx="149">
                  <c:v>8.254474301906987E-4</c:v>
                </c:pt>
                <c:pt idx="150">
                  <c:v>8.4014967024249908E-4</c:v>
                </c:pt>
                <c:pt idx="151">
                  <c:v>8.0229608915419247E-4</c:v>
                </c:pt>
                <c:pt idx="152">
                  <c:v>8.1043910460873783E-4</c:v>
                </c:pt>
                <c:pt idx="153">
                  <c:v>7.9912936407127517E-4</c:v>
                </c:pt>
                <c:pt idx="154">
                  <c:v>7.8843661545762811E-4</c:v>
                </c:pt>
                <c:pt idx="155">
                  <c:v>7.9240100191129727E-4</c:v>
                </c:pt>
                <c:pt idx="156">
                  <c:v>7.8858304034388062E-4</c:v>
                </c:pt>
                <c:pt idx="157">
                  <c:v>8.1316636895089505E-4</c:v>
                </c:pt>
                <c:pt idx="158">
                  <c:v>7.8217771605664931E-4</c:v>
                </c:pt>
                <c:pt idx="159">
                  <c:v>7.81277262853158E-4</c:v>
                </c:pt>
                <c:pt idx="160">
                  <c:v>7.8302822312726998E-4</c:v>
                </c:pt>
                <c:pt idx="161">
                  <c:v>7.8384732684628122E-4</c:v>
                </c:pt>
                <c:pt idx="162">
                  <c:v>7.7094430019100299E-4</c:v>
                </c:pt>
                <c:pt idx="163">
                  <c:v>7.67548398879756E-4</c:v>
                </c:pt>
                <c:pt idx="164">
                  <c:v>7.8733853122323961E-4</c:v>
                </c:pt>
                <c:pt idx="165">
                  <c:v>8.0625214059874589E-4</c:v>
                </c:pt>
                <c:pt idx="166">
                  <c:v>7.7898143027874578E-4</c:v>
                </c:pt>
                <c:pt idx="167">
                  <c:v>7.8768848828286448E-4</c:v>
                </c:pt>
                <c:pt idx="168">
                  <c:v>7.7211196961259315E-4</c:v>
                </c:pt>
                <c:pt idx="169">
                  <c:v>7.7409360918128257E-4</c:v>
                </c:pt>
                <c:pt idx="170">
                  <c:v>7.9979293253619964E-4</c:v>
                </c:pt>
                <c:pt idx="171">
                  <c:v>7.9658530254577667E-4</c:v>
                </c:pt>
                <c:pt idx="172">
                  <c:v>8.0746915332623908E-4</c:v>
                </c:pt>
                <c:pt idx="173">
                  <c:v>8.2254702504509206E-4</c:v>
                </c:pt>
                <c:pt idx="174">
                  <c:v>8.2852419065745193E-4</c:v>
                </c:pt>
                <c:pt idx="175">
                  <c:v>8.3577686382256143E-4</c:v>
                </c:pt>
                <c:pt idx="176">
                  <c:v>8.4210156324495496E-4</c:v>
                </c:pt>
                <c:pt idx="177">
                  <c:v>8.3628963536839119E-4</c:v>
                </c:pt>
                <c:pt idx="178">
                  <c:v>7.1570731077565054E-4</c:v>
                </c:pt>
                <c:pt idx="179">
                  <c:v>7.3045300919599026E-4</c:v>
                </c:pt>
                <c:pt idx="180">
                  <c:v>7.8212700251760611E-4</c:v>
                </c:pt>
                <c:pt idx="181">
                  <c:v>7.0943372668993434E-4</c:v>
                </c:pt>
                <c:pt idx="182">
                  <c:v>6.5865667271368692E-4</c:v>
                </c:pt>
                <c:pt idx="183">
                  <c:v>6.5706165624097466E-4</c:v>
                </c:pt>
                <c:pt idx="184">
                  <c:v>6.5879141420407484E-4</c:v>
                </c:pt>
                <c:pt idx="185">
                  <c:v>6.4514914329090087E-4</c:v>
                </c:pt>
                <c:pt idx="186">
                  <c:v>6.7692258706803475E-4</c:v>
                </c:pt>
                <c:pt idx="187">
                  <c:v>6.7629556811611626E-4</c:v>
                </c:pt>
                <c:pt idx="188">
                  <c:v>6.8421543201756436E-4</c:v>
                </c:pt>
                <c:pt idx="189">
                  <c:v>6.6796849652864428E-4</c:v>
                </c:pt>
                <c:pt idx="190">
                  <c:v>6.6717523930507542E-4</c:v>
                </c:pt>
                <c:pt idx="191">
                  <c:v>6.3303319531305205E-4</c:v>
                </c:pt>
                <c:pt idx="192">
                  <c:v>6.6497474106489655E-4</c:v>
                </c:pt>
                <c:pt idx="193">
                  <c:v>6.3805796790689887E-4</c:v>
                </c:pt>
                <c:pt idx="194">
                  <c:v>6.323217525902793E-4</c:v>
                </c:pt>
                <c:pt idx="195">
                  <c:v>6.1236588162310408E-4</c:v>
                </c:pt>
                <c:pt idx="196">
                  <c:v>6.5482063685994257E-4</c:v>
                </c:pt>
                <c:pt idx="197">
                  <c:v>6.34210707163631E-4</c:v>
                </c:pt>
                <c:pt idx="198">
                  <c:v>6.2112240394907015E-4</c:v>
                </c:pt>
                <c:pt idx="199">
                  <c:v>6.2317851246214602E-4</c:v>
                </c:pt>
                <c:pt idx="200">
                  <c:v>6.2133165014904661E-4</c:v>
                </c:pt>
                <c:pt idx="201">
                  <c:v>6.2071863770080484E-4</c:v>
                </c:pt>
                <c:pt idx="202">
                  <c:v>6.1958080663775052E-4</c:v>
                </c:pt>
                <c:pt idx="203">
                  <c:v>6.1082935009872379E-4</c:v>
                </c:pt>
                <c:pt idx="204">
                  <c:v>6.0849900501420994E-4</c:v>
                </c:pt>
                <c:pt idx="205">
                  <c:v>6.2322024836802185E-4</c:v>
                </c:pt>
                <c:pt idx="206">
                  <c:v>6.3798632952036683E-4</c:v>
                </c:pt>
                <c:pt idx="207">
                  <c:v>6.2127880518345329E-4</c:v>
                </c:pt>
                <c:pt idx="208">
                  <c:v>6.0744193549935768E-4</c:v>
                </c:pt>
                <c:pt idx="209">
                  <c:v>5.9434360230561424E-4</c:v>
                </c:pt>
                <c:pt idx="210">
                  <c:v>5.8730559744885362E-4</c:v>
                </c:pt>
                <c:pt idx="211">
                  <c:v>6.1205039875066622E-4</c:v>
                </c:pt>
                <c:pt idx="212">
                  <c:v>5.9611140213959243E-4</c:v>
                </c:pt>
                <c:pt idx="213">
                  <c:v>6.0702791870152566E-4</c:v>
                </c:pt>
                <c:pt idx="214">
                  <c:v>5.8891117993366303E-4</c:v>
                </c:pt>
                <c:pt idx="215">
                  <c:v>5.7018166556456408E-4</c:v>
                </c:pt>
                <c:pt idx="216">
                  <c:v>5.7450738094737828E-4</c:v>
                </c:pt>
                <c:pt idx="217">
                  <c:v>5.7507172111529619E-4</c:v>
                </c:pt>
                <c:pt idx="218">
                  <c:v>5.5861779377221882E-4</c:v>
                </c:pt>
                <c:pt idx="219">
                  <c:v>5.4015781678495194E-4</c:v>
                </c:pt>
                <c:pt idx="220">
                  <c:v>5.2445428640793019E-4</c:v>
                </c:pt>
                <c:pt idx="221">
                  <c:v>5.469772491435242E-4</c:v>
                </c:pt>
                <c:pt idx="222">
                  <c:v>5.3503119455274961E-4</c:v>
                </c:pt>
                <c:pt idx="223">
                  <c:v>5.4566099875456289E-4</c:v>
                </c:pt>
                <c:pt idx="224">
                  <c:v>5.5326586312685834E-4</c:v>
                </c:pt>
                <c:pt idx="225">
                  <c:v>5.5541152900614099E-4</c:v>
                </c:pt>
                <c:pt idx="226">
                  <c:v>5.4741973178375702E-4</c:v>
                </c:pt>
                <c:pt idx="227">
                  <c:v>5.577203329391598E-4</c:v>
                </c:pt>
                <c:pt idx="228">
                  <c:v>5.494520687553215E-4</c:v>
                </c:pt>
                <c:pt idx="229">
                  <c:v>5.212914787010764E-4</c:v>
                </c:pt>
                <c:pt idx="230">
                  <c:v>5.2188578329535689E-4</c:v>
                </c:pt>
                <c:pt idx="231">
                  <c:v>5.2898072891012331E-4</c:v>
                </c:pt>
                <c:pt idx="232">
                  <c:v>5.3401043136229822E-4</c:v>
                </c:pt>
                <c:pt idx="233">
                  <c:v>5.236580677364641E-4</c:v>
                </c:pt>
                <c:pt idx="234">
                  <c:v>5.2079232143044396E-4</c:v>
                </c:pt>
                <c:pt idx="235">
                  <c:v>5.3021369380560918E-4</c:v>
                </c:pt>
                <c:pt idx="236">
                  <c:v>5.2386600587318746E-4</c:v>
                </c:pt>
                <c:pt idx="237">
                  <c:v>5.290240376258367E-4</c:v>
                </c:pt>
                <c:pt idx="238">
                  <c:v>5.4556886892154666E-4</c:v>
                </c:pt>
                <c:pt idx="239">
                  <c:v>5.3471392266665556E-4</c:v>
                </c:pt>
                <c:pt idx="240">
                  <c:v>5.2657323363268613E-4</c:v>
                </c:pt>
                <c:pt idx="241">
                  <c:v>5.2519976055789472E-4</c:v>
                </c:pt>
                <c:pt idx="242">
                  <c:v>5.0913548573376785E-4</c:v>
                </c:pt>
                <c:pt idx="243">
                  <c:v>5.1027457646002307E-4</c:v>
                </c:pt>
                <c:pt idx="244">
                  <c:v>4.892261638870509E-4</c:v>
                </c:pt>
                <c:pt idx="245">
                  <c:v>5.1104361954747277E-4</c:v>
                </c:pt>
                <c:pt idx="246">
                  <c:v>5.4093360928302535E-4</c:v>
                </c:pt>
                <c:pt idx="247">
                  <c:v>4.8913095748271849E-4</c:v>
                </c:pt>
                <c:pt idx="248">
                  <c:v>4.8675009319865023E-4</c:v>
                </c:pt>
                <c:pt idx="249">
                  <c:v>4.237078198818948E-4</c:v>
                </c:pt>
                <c:pt idx="250">
                  <c:v>4.0101788446695837E-4</c:v>
                </c:pt>
                <c:pt idx="251">
                  <c:v>3.5299894356083351E-4</c:v>
                </c:pt>
                <c:pt idx="252">
                  <c:v>3.7198498814443743E-4</c:v>
                </c:pt>
                <c:pt idx="253">
                  <c:v>2.8387251515592509E-4</c:v>
                </c:pt>
                <c:pt idx="254">
                  <c:v>4.0160957926717588E-4</c:v>
                </c:pt>
                <c:pt idx="255">
                  <c:v>3.9156459964406716E-4</c:v>
                </c:pt>
                <c:pt idx="256">
                  <c:v>4.0887697001628574E-4</c:v>
                </c:pt>
                <c:pt idx="257">
                  <c:v>4.1005898339615084E-4</c:v>
                </c:pt>
                <c:pt idx="258">
                  <c:v>4.5077835473367504E-4</c:v>
                </c:pt>
                <c:pt idx="259">
                  <c:v>4.531885557159356E-4</c:v>
                </c:pt>
                <c:pt idx="260">
                  <c:v>4.6582119614375049E-4</c:v>
                </c:pt>
                <c:pt idx="261">
                  <c:v>7.1037855515659681E-4</c:v>
                </c:pt>
                <c:pt idx="262">
                  <c:v>5.8456726756489659E-4</c:v>
                </c:pt>
                <c:pt idx="263">
                  <c:v>5.0474468630389252E-4</c:v>
                </c:pt>
                <c:pt idx="264">
                  <c:v>5.1139247121796195E-4</c:v>
                </c:pt>
                <c:pt idx="265">
                  <c:v>5.1376272101734399E-4</c:v>
                </c:pt>
                <c:pt idx="266">
                  <c:v>5.2759433287097963E-4</c:v>
                </c:pt>
                <c:pt idx="267">
                  <c:v>5.4463833178026576E-4</c:v>
                </c:pt>
                <c:pt idx="268">
                  <c:v>5.197136772690735E-4</c:v>
                </c:pt>
                <c:pt idx="269">
                  <c:v>5.5971793752027782E-4</c:v>
                </c:pt>
                <c:pt idx="270">
                  <c:v>5.5314768536567722E-4</c:v>
                </c:pt>
                <c:pt idx="271">
                  <c:v>5.5241004818717715E-4</c:v>
                </c:pt>
                <c:pt idx="272">
                  <c:v>5.3191928155838766E-4</c:v>
                </c:pt>
                <c:pt idx="273">
                  <c:v>5.1427733475452341E-4</c:v>
                </c:pt>
                <c:pt idx="274">
                  <c:v>5.1288495538103895E-4</c:v>
                </c:pt>
                <c:pt idx="275">
                  <c:v>5.1129003540685688E-4</c:v>
                </c:pt>
                <c:pt idx="276">
                  <c:v>4.9304470449384259E-4</c:v>
                </c:pt>
                <c:pt idx="277">
                  <c:v>4.7732349213178984E-4</c:v>
                </c:pt>
                <c:pt idx="278">
                  <c:v>4.6435454096357639E-4</c:v>
                </c:pt>
                <c:pt idx="279">
                  <c:v>4.9489463328723294E-4</c:v>
                </c:pt>
                <c:pt idx="280">
                  <c:v>4.4737531652763436E-4</c:v>
                </c:pt>
                <c:pt idx="281">
                  <c:v>4.9260576867853783E-4</c:v>
                </c:pt>
                <c:pt idx="282">
                  <c:v>5.3565076719188558E-4</c:v>
                </c:pt>
                <c:pt idx="283">
                  <c:v>4.6588232955604948E-4</c:v>
                </c:pt>
                <c:pt idx="284">
                  <c:v>5.4458702746505391E-4</c:v>
                </c:pt>
                <c:pt idx="285">
                  <c:v>5.3072341078269712E-4</c:v>
                </c:pt>
                <c:pt idx="286">
                  <c:v>5.7284200431350089E-4</c:v>
                </c:pt>
                <c:pt idx="287">
                  <c:v>5.6597831258675625E-4</c:v>
                </c:pt>
                <c:pt idx="288">
                  <c:v>5.2820746064554714E-4</c:v>
                </c:pt>
                <c:pt idx="289">
                  <c:v>4.9017380656840429E-4</c:v>
                </c:pt>
                <c:pt idx="290">
                  <c:v>4.7482815888297693E-4</c:v>
                </c:pt>
                <c:pt idx="291">
                  <c:v>4.9491888466229579E-4</c:v>
                </c:pt>
                <c:pt idx="292">
                  <c:v>5.2444991270205095E-4</c:v>
                </c:pt>
                <c:pt idx="293">
                  <c:v>5.3129660595804698E-4</c:v>
                </c:pt>
                <c:pt idx="294">
                  <c:v>5.5787210861341975E-4</c:v>
                </c:pt>
                <c:pt idx="295">
                  <c:v>5.8309196092351068E-4</c:v>
                </c:pt>
                <c:pt idx="296">
                  <c:v>5.1906053563604301E-4</c:v>
                </c:pt>
                <c:pt idx="297">
                  <c:v>5.4680623933363228E-4</c:v>
                </c:pt>
                <c:pt idx="298">
                  <c:v>5.1481809324994293E-4</c:v>
                </c:pt>
                <c:pt idx="299">
                  <c:v>4.8648385266672809E-4</c:v>
                </c:pt>
                <c:pt idx="300">
                  <c:v>5.4318272670920824E-4</c:v>
                </c:pt>
                <c:pt idx="301">
                  <c:v>5.2906119322475916E-4</c:v>
                </c:pt>
                <c:pt idx="302">
                  <c:v>4.8754801754960747E-4</c:v>
                </c:pt>
                <c:pt idx="303">
                  <c:v>4.6587011258703525E-4</c:v>
                </c:pt>
                <c:pt idx="304">
                  <c:v>4.5928151808867696E-4</c:v>
                </c:pt>
                <c:pt idx="305">
                  <c:v>4.3852649877967702E-4</c:v>
                </c:pt>
                <c:pt idx="306">
                  <c:v>4.4878616040030497E-4</c:v>
                </c:pt>
                <c:pt idx="307">
                  <c:v>4.5505675944488037E-4</c:v>
                </c:pt>
                <c:pt idx="308">
                  <c:v>4.3926574978341698E-4</c:v>
                </c:pt>
                <c:pt idx="309">
                  <c:v>4.4890233678304464E-4</c:v>
                </c:pt>
                <c:pt idx="310">
                  <c:v>4.7323093215122003E-4</c:v>
                </c:pt>
                <c:pt idx="311">
                  <c:v>4.8714992412084867E-4</c:v>
                </c:pt>
                <c:pt idx="312">
                  <c:v>5.1286073681054863E-4</c:v>
                </c:pt>
                <c:pt idx="313">
                  <c:v>5.2001427470041602E-4</c:v>
                </c:pt>
                <c:pt idx="314">
                  <c:v>5.5646337569439605E-4</c:v>
                </c:pt>
                <c:pt idx="315">
                  <c:v>5.4960575662774016E-4</c:v>
                </c:pt>
                <c:pt idx="316">
                  <c:v>5.6547604946541471E-4</c:v>
                </c:pt>
                <c:pt idx="317">
                  <c:v>5.485541670776058E-4</c:v>
                </c:pt>
                <c:pt idx="318">
                  <c:v>5.1938469198201435E-4</c:v>
                </c:pt>
                <c:pt idx="319">
                  <c:v>5.2793391890483879E-4</c:v>
                </c:pt>
                <c:pt idx="320">
                  <c:v>5.6649240634902987E-4</c:v>
                </c:pt>
                <c:pt idx="321">
                  <c:v>5.3256945068501566E-4</c:v>
                </c:pt>
                <c:pt idx="322">
                  <c:v>5.5300954061041291E-4</c:v>
                </c:pt>
                <c:pt idx="323">
                  <c:v>5.3731925092857715E-4</c:v>
                </c:pt>
                <c:pt idx="324">
                  <c:v>5.6312751977725321E-4</c:v>
                </c:pt>
                <c:pt idx="325">
                  <c:v>5.2640917334905802E-4</c:v>
                </c:pt>
                <c:pt idx="326">
                  <c:v>4.7224572980872505E-4</c:v>
                </c:pt>
                <c:pt idx="327">
                  <c:v>4.3230496949996479E-4</c:v>
                </c:pt>
                <c:pt idx="328">
                  <c:v>4.2201137174957526E-4</c:v>
                </c:pt>
                <c:pt idx="329">
                  <c:v>4.1733793475654977E-4</c:v>
                </c:pt>
                <c:pt idx="330">
                  <c:v>4.5094416507863679E-4</c:v>
                </c:pt>
                <c:pt idx="331">
                  <c:v>4.4367006252082149E-4</c:v>
                </c:pt>
                <c:pt idx="332">
                  <c:v>4.5059070791984114E-4</c:v>
                </c:pt>
                <c:pt idx="333">
                  <c:v>2.8869370285720388E-4</c:v>
                </c:pt>
                <c:pt idx="334">
                  <c:v>2.963991476640613E-4</c:v>
                </c:pt>
                <c:pt idx="335">
                  <c:v>3.1817713634225308E-4</c:v>
                </c:pt>
                <c:pt idx="336">
                  <c:v>3.2997711799916579E-4</c:v>
                </c:pt>
                <c:pt idx="337">
                  <c:v>3.9474273253828996E-4</c:v>
                </c:pt>
                <c:pt idx="338">
                  <c:v>4.1182567464506014E-4</c:v>
                </c:pt>
                <c:pt idx="339">
                  <c:v>4.5639817446769588E-4</c:v>
                </c:pt>
                <c:pt idx="340">
                  <c:v>4.4558177148913019E-4</c:v>
                </c:pt>
                <c:pt idx="341">
                  <c:v>4.5071138105595075E-4</c:v>
                </c:pt>
                <c:pt idx="342">
                  <c:v>5.0099249006785198E-4</c:v>
                </c:pt>
                <c:pt idx="343">
                  <c:v>4.54835105431644E-4</c:v>
                </c:pt>
                <c:pt idx="344">
                  <c:v>4.5866657304841692E-4</c:v>
                </c:pt>
                <c:pt idx="345">
                  <c:v>3.8850338431799865E-4</c:v>
                </c:pt>
                <c:pt idx="346">
                  <c:v>3.2977939711168087E-4</c:v>
                </c:pt>
                <c:pt idx="347">
                  <c:v>3.2163269934720599E-4</c:v>
                </c:pt>
                <c:pt idx="348">
                  <c:v>3.765080473904297E-4</c:v>
                </c:pt>
                <c:pt idx="349">
                  <c:v>3.2196649216638536E-4</c:v>
                </c:pt>
                <c:pt idx="350">
                  <c:v>3.4628677175338229E-4</c:v>
                </c:pt>
                <c:pt idx="351">
                  <c:v>1.8546420666059211E-4</c:v>
                </c:pt>
                <c:pt idx="352">
                  <c:v>1.3245377798346887E-4</c:v>
                </c:pt>
                <c:pt idx="353">
                  <c:v>3.7407901345277444E-5</c:v>
                </c:pt>
                <c:pt idx="354">
                  <c:v>-5.1055944955634598E-6</c:v>
                </c:pt>
                <c:pt idx="355">
                  <c:v>8.4453717399695052E-6</c:v>
                </c:pt>
                <c:pt idx="356">
                  <c:v>8.9749425445560655E-5</c:v>
                </c:pt>
                <c:pt idx="357">
                  <c:v>5.2495018130699393E-5</c:v>
                </c:pt>
                <c:pt idx="358">
                  <c:v>7.830198981078571E-5</c:v>
                </c:pt>
                <c:pt idx="359">
                  <c:v>6.6676903842573265E-5</c:v>
                </c:pt>
                <c:pt idx="360">
                  <c:v>3.3421379402516895E-5</c:v>
                </c:pt>
                <c:pt idx="361">
                  <c:v>-2.4946807258501668E-6</c:v>
                </c:pt>
                <c:pt idx="362">
                  <c:v>4.4889768303075393E-5</c:v>
                </c:pt>
                <c:pt idx="363">
                  <c:v>1.8928611740955444E-5</c:v>
                </c:pt>
                <c:pt idx="364">
                  <c:v>6.1633743592736035E-6</c:v>
                </c:pt>
                <c:pt idx="365">
                  <c:v>-2.0870837127073182E-5</c:v>
                </c:pt>
                <c:pt idx="366">
                  <c:v>5.3952832689252655E-6</c:v>
                </c:pt>
                <c:pt idx="367">
                  <c:v>-1.342605255770916E-5</c:v>
                </c:pt>
                <c:pt idx="368">
                  <c:v>3.22403573548542E-5</c:v>
                </c:pt>
                <c:pt idx="369">
                  <c:v>6.5172109616883108E-5</c:v>
                </c:pt>
                <c:pt idx="370">
                  <c:v>6.1990844266804153E-5</c:v>
                </c:pt>
                <c:pt idx="371">
                  <c:v>1.3936761984779441E-5</c:v>
                </c:pt>
                <c:pt idx="372">
                  <c:v>8.7657549812926921E-5</c:v>
                </c:pt>
                <c:pt idx="373">
                  <c:v>3.4613125160684465E-5</c:v>
                </c:pt>
                <c:pt idx="374">
                  <c:v>1.2420585657300627E-4</c:v>
                </c:pt>
                <c:pt idx="375">
                  <c:v>6.7600982501567561E-5</c:v>
                </c:pt>
                <c:pt idx="376">
                  <c:v>4.8352452942821583E-5</c:v>
                </c:pt>
                <c:pt idx="377">
                  <c:v>5.7699055385050974E-5</c:v>
                </c:pt>
                <c:pt idx="378">
                  <c:v>5.7394326597562884E-5</c:v>
                </c:pt>
                <c:pt idx="379">
                  <c:v>-1.3356531112646845E-5</c:v>
                </c:pt>
                <c:pt idx="380">
                  <c:v>-8.5072632220361974E-5</c:v>
                </c:pt>
                <c:pt idx="381">
                  <c:v>-6.4506080432241985E-5</c:v>
                </c:pt>
                <c:pt idx="382">
                  <c:v>-4.5405471839783238E-5</c:v>
                </c:pt>
                <c:pt idx="383">
                  <c:v>6.5061898935496585E-6</c:v>
                </c:pt>
                <c:pt idx="384">
                  <c:v>3.2488490697029347E-5</c:v>
                </c:pt>
                <c:pt idx="385">
                  <c:v>-4.9110477620479722E-5</c:v>
                </c:pt>
                <c:pt idx="386">
                  <c:v>-6.4054538361611564E-5</c:v>
                </c:pt>
                <c:pt idx="387">
                  <c:v>-7.3910813702645698E-5</c:v>
                </c:pt>
                <c:pt idx="388">
                  <c:v>-6.8619504557597757E-5</c:v>
                </c:pt>
                <c:pt idx="389">
                  <c:v>-4.5792530213894021E-5</c:v>
                </c:pt>
                <c:pt idx="390">
                  <c:v>-8.5485524566814274E-5</c:v>
                </c:pt>
                <c:pt idx="391">
                  <c:v>-5.1252299842855009E-5</c:v>
                </c:pt>
                <c:pt idx="392">
                  <c:v>-2.8743983381444843E-5</c:v>
                </c:pt>
                <c:pt idx="393">
                  <c:v>-9.8103758476418207E-5</c:v>
                </c:pt>
                <c:pt idx="394">
                  <c:v>-1.0474188083400833E-4</c:v>
                </c:pt>
                <c:pt idx="395">
                  <c:v>-9.850074160243656E-5</c:v>
                </c:pt>
                <c:pt idx="396">
                  <c:v>-9.268537501595328E-5</c:v>
                </c:pt>
                <c:pt idx="397">
                  <c:v>-7.9640133581027875E-5</c:v>
                </c:pt>
                <c:pt idx="398">
                  <c:v>-7.0851631942190813E-5</c:v>
                </c:pt>
                <c:pt idx="399">
                  <c:v>-5.9195560809989706E-5</c:v>
                </c:pt>
                <c:pt idx="400">
                  <c:v>-1.377551425748153E-4</c:v>
                </c:pt>
                <c:pt idx="401">
                  <c:v>-1.1453283063715667E-4</c:v>
                </c:pt>
                <c:pt idx="402">
                  <c:v>-1.1552644713178349E-4</c:v>
                </c:pt>
                <c:pt idx="403">
                  <c:v>-9.6198844986009388E-5</c:v>
                </c:pt>
                <c:pt idx="404">
                  <c:v>-6.9977896152937418E-5</c:v>
                </c:pt>
                <c:pt idx="405">
                  <c:v>-2.9391394641742357E-5</c:v>
                </c:pt>
                <c:pt idx="406">
                  <c:v>-3.6020644523034191E-5</c:v>
                </c:pt>
                <c:pt idx="407">
                  <c:v>1.8161849859164275E-5</c:v>
                </c:pt>
                <c:pt idx="408">
                  <c:v>-3.0892015006915688E-5</c:v>
                </c:pt>
                <c:pt idx="409">
                  <c:v>-1.7536660847186153E-5</c:v>
                </c:pt>
                <c:pt idx="410">
                  <c:v>2.2155231739465757E-6</c:v>
                </c:pt>
                <c:pt idx="411">
                  <c:v>1.7868088873901406E-6</c:v>
                </c:pt>
                <c:pt idx="412">
                  <c:v>3.7143015039513127E-6</c:v>
                </c:pt>
                <c:pt idx="413">
                  <c:v>2.3467390315402067E-5</c:v>
                </c:pt>
                <c:pt idx="414">
                  <c:v>1.9368270630982083E-5</c:v>
                </c:pt>
                <c:pt idx="415">
                  <c:v>-1.600410889114105E-5</c:v>
                </c:pt>
                <c:pt idx="416">
                  <c:v>2.7157545008461119E-5</c:v>
                </c:pt>
                <c:pt idx="417">
                  <c:v>5.7147734193961805E-5</c:v>
                </c:pt>
                <c:pt idx="418">
                  <c:v>7.2820137941011435E-5</c:v>
                </c:pt>
                <c:pt idx="419">
                  <c:v>1.8051949993877188E-5</c:v>
                </c:pt>
                <c:pt idx="420">
                  <c:v>1.2739996925637226E-4</c:v>
                </c:pt>
                <c:pt idx="421">
                  <c:v>4.6690110215287663E-5</c:v>
                </c:pt>
                <c:pt idx="422">
                  <c:v>-1.7925056896504661E-5</c:v>
                </c:pt>
                <c:pt idx="423">
                  <c:v>-2.7896807915311856E-5</c:v>
                </c:pt>
                <c:pt idx="424">
                  <c:v>-1.2677238621391907E-4</c:v>
                </c:pt>
                <c:pt idx="425">
                  <c:v>-1.2919502360557409E-4</c:v>
                </c:pt>
                <c:pt idx="426">
                  <c:v>-1.7518917990587402E-4</c:v>
                </c:pt>
                <c:pt idx="427">
                  <c:v>-7.4425396941467441E-5</c:v>
                </c:pt>
                <c:pt idx="428">
                  <c:v>-1.024289422082602E-4</c:v>
                </c:pt>
                <c:pt idx="429">
                  <c:v>-2.0035774894029182E-5</c:v>
                </c:pt>
                <c:pt idx="430">
                  <c:v>-7.4496816048097523E-6</c:v>
                </c:pt>
                <c:pt idx="431">
                  <c:v>-1.8922347451855301E-5</c:v>
                </c:pt>
                <c:pt idx="432">
                  <c:v>-4.4722332546287363E-6</c:v>
                </c:pt>
                <c:pt idx="433">
                  <c:v>9.0148306088196189E-5</c:v>
                </c:pt>
                <c:pt idx="434">
                  <c:v>9.6761985766957351E-5</c:v>
                </c:pt>
                <c:pt idx="435">
                  <c:v>-3.1965965882562377E-5</c:v>
                </c:pt>
                <c:pt idx="436">
                  <c:v>-1.6323206722446731E-4</c:v>
                </c:pt>
                <c:pt idx="437">
                  <c:v>-3.0336169390588418E-4</c:v>
                </c:pt>
                <c:pt idx="438">
                  <c:v>-3.6541333523462991E-4</c:v>
                </c:pt>
                <c:pt idx="439">
                  <c:v>-3.4453915480067552E-4</c:v>
                </c:pt>
                <c:pt idx="440">
                  <c:v>-3.2882755639271685E-4</c:v>
                </c:pt>
                <c:pt idx="441">
                  <c:v>-4.6853519798619239E-4</c:v>
                </c:pt>
                <c:pt idx="442">
                  <c:v>-4.1948596569738093E-4</c:v>
                </c:pt>
                <c:pt idx="443">
                  <c:v>-3.1398019882090212E-4</c:v>
                </c:pt>
                <c:pt idx="444">
                  <c:v>-4.8343845255934632E-4</c:v>
                </c:pt>
                <c:pt idx="445">
                  <c:v>-4.0586945681747805E-4</c:v>
                </c:pt>
                <c:pt idx="446">
                  <c:v>-4.5888071382615828E-4</c:v>
                </c:pt>
                <c:pt idx="447">
                  <c:v>-2.1521915565473617E-4</c:v>
                </c:pt>
                <c:pt idx="448">
                  <c:v>-4.3589626004982273E-4</c:v>
                </c:pt>
                <c:pt idx="449">
                  <c:v>-4.1848228657359452E-4</c:v>
                </c:pt>
                <c:pt idx="450">
                  <c:v>-3.4031949992188368E-4</c:v>
                </c:pt>
                <c:pt idx="451">
                  <c:v>-3.1002916492077817E-4</c:v>
                </c:pt>
                <c:pt idx="452">
                  <c:v>-2.3688796407748787E-4</c:v>
                </c:pt>
                <c:pt idx="453">
                  <c:v>-2.4622441036265008E-4</c:v>
                </c:pt>
                <c:pt idx="454">
                  <c:v>-1.4942689084801168E-4</c:v>
                </c:pt>
                <c:pt idx="455">
                  <c:v>-1.9337663412800164E-4</c:v>
                </c:pt>
                <c:pt idx="456">
                  <c:v>-1.0379566318423159E-4</c:v>
                </c:pt>
                <c:pt idx="457">
                  <c:v>-4.1951334493343077E-5</c:v>
                </c:pt>
                <c:pt idx="458">
                  <c:v>-1.5975449331985524E-5</c:v>
                </c:pt>
                <c:pt idx="459">
                  <c:v>2.3532719733518086E-5</c:v>
                </c:pt>
                <c:pt idx="460">
                  <c:v>6.6054472889868284E-5</c:v>
                </c:pt>
                <c:pt idx="461">
                  <c:v>8.6143198770722882E-5</c:v>
                </c:pt>
                <c:pt idx="462">
                  <c:v>7.9268853378521874E-5</c:v>
                </c:pt>
                <c:pt idx="463">
                  <c:v>1.0817484050243742E-4</c:v>
                </c:pt>
                <c:pt idx="464">
                  <c:v>1.3899704978259775E-4</c:v>
                </c:pt>
                <c:pt idx="465">
                  <c:v>1.8261055541286326E-4</c:v>
                </c:pt>
                <c:pt idx="466">
                  <c:v>2.4510057134789857E-4</c:v>
                </c:pt>
                <c:pt idx="467">
                  <c:v>1.5249990037058929E-4</c:v>
                </c:pt>
                <c:pt idx="468">
                  <c:v>1.1390896414616722E-4</c:v>
                </c:pt>
                <c:pt idx="469">
                  <c:v>1.9287497059737639E-4</c:v>
                </c:pt>
                <c:pt idx="470">
                  <c:v>1.6317707790710324E-4</c:v>
                </c:pt>
                <c:pt idx="471">
                  <c:v>1.8739984537536637E-4</c:v>
                </c:pt>
                <c:pt idx="472">
                  <c:v>2.4409888760576487E-4</c:v>
                </c:pt>
                <c:pt idx="473">
                  <c:v>2.0843016295370528E-4</c:v>
                </c:pt>
                <c:pt idx="474">
                  <c:v>1.2430672459625667E-4</c:v>
                </c:pt>
                <c:pt idx="475">
                  <c:v>3.3761613249937145E-4</c:v>
                </c:pt>
                <c:pt idx="476">
                  <c:v>8.09129224104877E-5</c:v>
                </c:pt>
                <c:pt idx="477">
                  <c:v>-1.1776168294127699E-4</c:v>
                </c:pt>
                <c:pt idx="478">
                  <c:v>-1.7373261500027467E-4</c:v>
                </c:pt>
                <c:pt idx="479">
                  <c:v>-8.3522730154319985E-5</c:v>
                </c:pt>
                <c:pt idx="480">
                  <c:v>-3.8833368002628092E-5</c:v>
                </c:pt>
                <c:pt idx="481">
                  <c:v>-7.8211790019592836E-5</c:v>
                </c:pt>
                <c:pt idx="482">
                  <c:v>-2.7922659805164685E-5</c:v>
                </c:pt>
                <c:pt idx="483">
                  <c:v>8.9417656424303522E-6</c:v>
                </c:pt>
                <c:pt idx="484">
                  <c:v>8.630935583080379E-6</c:v>
                </c:pt>
                <c:pt idx="485">
                  <c:v>6.714951989517295E-7</c:v>
                </c:pt>
                <c:pt idx="486">
                  <c:v>6.9586673018566669E-6</c:v>
                </c:pt>
                <c:pt idx="487">
                  <c:v>6.8007800582580143E-5</c:v>
                </c:pt>
                <c:pt idx="488">
                  <c:v>1.3047917989747736E-4</c:v>
                </c:pt>
                <c:pt idx="489">
                  <c:v>4.7525254021706749E-5</c:v>
                </c:pt>
                <c:pt idx="490">
                  <c:v>1.3134088891004329E-5</c:v>
                </c:pt>
                <c:pt idx="491">
                  <c:v>-6.0543430815019197E-5</c:v>
                </c:pt>
                <c:pt idx="492">
                  <c:v>2.7365343692381226E-5</c:v>
                </c:pt>
                <c:pt idx="493">
                  <c:v>2.3068002337746357E-5</c:v>
                </c:pt>
                <c:pt idx="494">
                  <c:v>8.2341915880448688E-5</c:v>
                </c:pt>
                <c:pt idx="495">
                  <c:v>1.4020934747080983E-4</c:v>
                </c:pt>
                <c:pt idx="496">
                  <c:v>1.3761764322301896E-4</c:v>
                </c:pt>
                <c:pt idx="497">
                  <c:v>1.7556130225679421E-4</c:v>
                </c:pt>
                <c:pt idx="498">
                  <c:v>2.3631187595111512E-4</c:v>
                </c:pt>
                <c:pt idx="499">
                  <c:v>2.6897829282018272E-4</c:v>
                </c:pt>
                <c:pt idx="500">
                  <c:v>4.1784935585514009E-4</c:v>
                </c:pt>
                <c:pt idx="501">
                  <c:v>4.2481804025180318E-4</c:v>
                </c:pt>
                <c:pt idx="502">
                  <c:v>4.7716219221617678E-4</c:v>
                </c:pt>
                <c:pt idx="503">
                  <c:v>2.2414230544185945E-4</c:v>
                </c:pt>
                <c:pt idx="504">
                  <c:v>6.23378291740524E-5</c:v>
                </c:pt>
                <c:pt idx="505">
                  <c:v>2.6548076054074528E-5</c:v>
                </c:pt>
                <c:pt idx="506">
                  <c:v>-4.5469295281569427E-5</c:v>
                </c:pt>
                <c:pt idx="507">
                  <c:v>-1.3069492413764055E-6</c:v>
                </c:pt>
                <c:pt idx="508">
                  <c:v>-2.8486754779715065E-5</c:v>
                </c:pt>
                <c:pt idx="509">
                  <c:v>-1.175350397175151E-4</c:v>
                </c:pt>
                <c:pt idx="510">
                  <c:v>1.5356422548260752E-5</c:v>
                </c:pt>
                <c:pt idx="511">
                  <c:v>8.230607257937916E-5</c:v>
                </c:pt>
                <c:pt idx="512">
                  <c:v>1.9369717185931646E-4</c:v>
                </c:pt>
                <c:pt idx="513">
                  <c:v>2.0468569444203916E-4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7-44DE-A62A-9DBE1A67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6734335"/>
        <c:axId val="1596740575"/>
      </c:lineChart>
      <c:dateAx>
        <c:axId val="1596734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40575"/>
        <c:crosses val="autoZero"/>
        <c:auto val="1"/>
        <c:lblOffset val="100"/>
        <c:baseTimeUnit val="days"/>
      </c:dateAx>
      <c:valAx>
        <c:axId val="159674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34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4A1EDF8-54B5-4720-9155-2536BF265CF1}">
  <sheetPr codeName="Chart9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51D19D-4D88-4418-8822-3740174A550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9865</v>
      </c>
      <c r="D2" s="4">
        <f>MIN(D3:D1912)</f>
        <v>970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2214</v>
      </c>
      <c r="C5">
        <v>2244</v>
      </c>
      <c r="D5">
        <v>2171</v>
      </c>
      <c r="E5">
        <v>2177</v>
      </c>
      <c r="F5">
        <v>110.1557</v>
      </c>
      <c r="G5">
        <v>2177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-0.83561643835616439</v>
      </c>
      <c r="Q5">
        <f t="shared" ref="Q5" si="1">F5*P5</f>
        <v>-92.04791369863014</v>
      </c>
      <c r="R5">
        <f t="shared" ref="R5" si="2">R6+Q5</f>
        <v>55366.203984388056</v>
      </c>
      <c r="S5">
        <f t="shared" ref="S5" si="3">R5/100000</f>
        <v>0.55366203984388052</v>
      </c>
      <c r="T5">
        <f t="shared" ref="T5" si="4">S5/1000</f>
        <v>5.5366203984388049E-4</v>
      </c>
    </row>
    <row r="6" spans="1:20" x14ac:dyDescent="0.25">
      <c r="A6" s="5">
        <v>44587</v>
      </c>
      <c r="B6">
        <v>2100</v>
      </c>
      <c r="C6">
        <v>2328</v>
      </c>
      <c r="D6">
        <v>2085</v>
      </c>
      <c r="E6">
        <v>2214</v>
      </c>
      <c r="F6">
        <v>1330.8081</v>
      </c>
      <c r="G6">
        <v>2214</v>
      </c>
      <c r="L6" t="s">
        <v>8</v>
      </c>
      <c r="M6" t="s">
        <v>8</v>
      </c>
      <c r="N6" t="s">
        <v>7</v>
      </c>
      <c r="P6">
        <f t="shared" ref="P6" si="5">IF(C6=D6,0,((E6-D6)-(C6-E6))/(C6-D6))</f>
        <v>6.1728395061728392E-2</v>
      </c>
      <c r="Q6">
        <f t="shared" ref="Q6" si="6">F6*P6</f>
        <v>82.148648148148141</v>
      </c>
      <c r="R6">
        <f t="shared" ref="R6" si="7">R7+Q6</f>
        <v>55458.251898086688</v>
      </c>
      <c r="S6">
        <f t="shared" ref="S6" si="8">R6/100000</f>
        <v>0.55458251898086686</v>
      </c>
      <c r="T6">
        <f t="shared" ref="T6" si="9">S6/1000</f>
        <v>5.5458251898086682E-4</v>
      </c>
    </row>
    <row r="7" spans="1:20" x14ac:dyDescent="0.25">
      <c r="A7" s="5">
        <v>44586</v>
      </c>
      <c r="B7">
        <v>2006</v>
      </c>
      <c r="C7">
        <v>2137</v>
      </c>
      <c r="D7">
        <v>1966</v>
      </c>
      <c r="E7">
        <v>2100</v>
      </c>
      <c r="F7">
        <v>1247.9891</v>
      </c>
      <c r="G7">
        <v>2100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0.56725146198830412</v>
      </c>
      <c r="Q7">
        <f t="shared" ref="Q7" si="11">F7*P7</f>
        <v>707.92364152046787</v>
      </c>
      <c r="R7">
        <f t="shared" ref="R7" si="12">R8+Q7</f>
        <v>55376.10324993854</v>
      </c>
      <c r="S7">
        <f t="shared" ref="S7" si="13">R7/100000</f>
        <v>0.55376103249938535</v>
      </c>
      <c r="T7">
        <f t="shared" ref="T7" si="14">S7/1000</f>
        <v>5.537610324993854E-4</v>
      </c>
    </row>
    <row r="8" spans="1:20" x14ac:dyDescent="0.25">
      <c r="A8" s="5">
        <v>44585</v>
      </c>
      <c r="B8">
        <v>2140</v>
      </c>
      <c r="C8">
        <v>2162</v>
      </c>
      <c r="D8">
        <v>1803</v>
      </c>
      <c r="E8">
        <v>2009</v>
      </c>
      <c r="F8">
        <v>2631.5302000000001</v>
      </c>
      <c r="G8">
        <v>2009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0.14763231197771587</v>
      </c>
      <c r="Q8">
        <f t="shared" ref="Q8" si="16">F8*P8</f>
        <v>388.49888746518104</v>
      </c>
      <c r="R8">
        <f t="shared" ref="R8" si="17">R9+Q8</f>
        <v>54668.179608418075</v>
      </c>
      <c r="S8">
        <f t="shared" ref="S8" si="18">R8/100000</f>
        <v>0.54668179608418077</v>
      </c>
      <c r="T8">
        <f t="shared" ref="T8" si="19">S8/1000</f>
        <v>5.4668179608418081E-4</v>
      </c>
    </row>
    <row r="9" spans="1:20" x14ac:dyDescent="0.25">
      <c r="A9" s="5">
        <v>44584</v>
      </c>
      <c r="B9">
        <v>2008</v>
      </c>
      <c r="C9">
        <v>2156</v>
      </c>
      <c r="D9">
        <v>1985</v>
      </c>
      <c r="E9">
        <v>2142</v>
      </c>
      <c r="F9">
        <v>1545.7569000000001</v>
      </c>
      <c r="G9">
        <v>2142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0.83625730994152048</v>
      </c>
      <c r="Q9">
        <f t="shared" ref="Q9" si="21">F9*P9</f>
        <v>1292.650507017544</v>
      </c>
      <c r="R9">
        <f t="shared" ref="R9" si="22">R10+Q9</f>
        <v>54279.680720952892</v>
      </c>
      <c r="S9">
        <f t="shared" ref="S9" si="23">R9/100000</f>
        <v>0.54279680720952894</v>
      </c>
      <c r="T9">
        <f t="shared" ref="T9" si="24">S9/1000</f>
        <v>5.4279680720952894E-4</v>
      </c>
    </row>
    <row r="10" spans="1:20" x14ac:dyDescent="0.25">
      <c r="A10" s="5">
        <v>44583</v>
      </c>
      <c r="B10">
        <v>2125</v>
      </c>
      <c r="C10">
        <v>2171</v>
      </c>
      <c r="D10">
        <v>1777</v>
      </c>
      <c r="E10">
        <v>2007</v>
      </c>
      <c r="F10">
        <v>2814.60995</v>
      </c>
      <c r="G10">
        <v>2007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0.16751269035532995</v>
      </c>
      <c r="Q10">
        <f t="shared" ref="Q10" si="26">F10*P10</f>
        <v>471.48288502538071</v>
      </c>
      <c r="R10">
        <f t="shared" ref="R10" si="27">R11+Q10</f>
        <v>52987.030213935352</v>
      </c>
      <c r="S10">
        <f t="shared" ref="S10" si="28">R10/100000</f>
        <v>0.52987030213935349</v>
      </c>
      <c r="T10">
        <f t="shared" ref="T10" si="29">S10/1000</f>
        <v>5.2987030213935346E-4</v>
      </c>
    </row>
    <row r="11" spans="1:20" x14ac:dyDescent="0.25">
      <c r="A11" s="5">
        <v>44582</v>
      </c>
      <c r="B11">
        <v>2367</v>
      </c>
      <c r="C11">
        <v>2407</v>
      </c>
      <c r="D11">
        <v>2077</v>
      </c>
      <c r="E11">
        <v>2127</v>
      </c>
      <c r="F11">
        <v>2320.924</v>
      </c>
      <c r="G11">
        <v>2127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-0.69696969696969702</v>
      </c>
      <c r="Q11">
        <f t="shared" ref="Q11" si="31">F11*P11</f>
        <v>-1617.613696969697</v>
      </c>
      <c r="R11">
        <f t="shared" ref="R11" si="32">R12+Q11</f>
        <v>52515.547328909968</v>
      </c>
      <c r="S11">
        <f t="shared" ref="S11" si="33">R11/100000</f>
        <v>0.52515547328909973</v>
      </c>
      <c r="T11">
        <f t="shared" ref="T11" si="34">S11/1000</f>
        <v>5.2515547328909977E-4</v>
      </c>
    </row>
    <row r="12" spans="1:20" x14ac:dyDescent="0.25">
      <c r="A12" s="5">
        <v>44581</v>
      </c>
      <c r="B12">
        <v>2458</v>
      </c>
      <c r="C12">
        <v>2591</v>
      </c>
      <c r="D12">
        <v>2351</v>
      </c>
      <c r="E12">
        <v>2369</v>
      </c>
      <c r="F12">
        <v>669.00350000000003</v>
      </c>
      <c r="G12">
        <v>2369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-0.85</v>
      </c>
      <c r="Q12">
        <f t="shared" ref="Q12" si="36">F12*P12</f>
        <v>-568.65297499999997</v>
      </c>
      <c r="R12">
        <f t="shared" ref="R12" si="37">R13+Q12</f>
        <v>54133.161025879665</v>
      </c>
      <c r="S12">
        <f t="shared" ref="S12" si="38">R12/100000</f>
        <v>0.54133161025879661</v>
      </c>
      <c r="T12">
        <f t="shared" ref="T12" si="39">S12/1000</f>
        <v>5.4133161025879666E-4</v>
      </c>
    </row>
    <row r="13" spans="1:20" x14ac:dyDescent="0.25">
      <c r="A13" s="5">
        <v>44580</v>
      </c>
      <c r="B13">
        <v>2544</v>
      </c>
      <c r="C13">
        <v>2560</v>
      </c>
      <c r="D13">
        <v>2438</v>
      </c>
      <c r="E13">
        <v>2455</v>
      </c>
      <c r="F13">
        <v>480.27719999999999</v>
      </c>
      <c r="G13">
        <v>2455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-0.72131147540983609</v>
      </c>
      <c r="Q13">
        <f t="shared" ref="Q13" si="41">F13*P13</f>
        <v>-346.42945573770493</v>
      </c>
      <c r="R13">
        <f t="shared" ref="R13" si="42">R14+Q13</f>
        <v>54701.814000879662</v>
      </c>
      <c r="S13">
        <f t="shared" ref="S13" si="43">R13/100000</f>
        <v>0.54701814000879667</v>
      </c>
      <c r="T13">
        <f t="shared" ref="T13" si="44">S13/1000</f>
        <v>5.4701814000879668E-4</v>
      </c>
    </row>
    <row r="14" spans="1:20" x14ac:dyDescent="0.25">
      <c r="A14" s="5">
        <v>44579</v>
      </c>
      <c r="B14">
        <v>2593</v>
      </c>
      <c r="C14">
        <v>2611</v>
      </c>
      <c r="D14">
        <v>2450</v>
      </c>
      <c r="E14">
        <v>2544</v>
      </c>
      <c r="F14">
        <v>574.27779999999996</v>
      </c>
      <c r="G14">
        <v>2544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0.16770186335403728</v>
      </c>
      <c r="Q14">
        <f t="shared" ref="Q14" si="46">F14*P14</f>
        <v>96.307457142857146</v>
      </c>
      <c r="R14">
        <f t="shared" ref="R14" si="47">R15+Q14</f>
        <v>55048.243456617369</v>
      </c>
      <c r="S14">
        <f t="shared" ref="S14" si="48">R14/100000</f>
        <v>0.55048243456617374</v>
      </c>
      <c r="T14">
        <f t="shared" ref="T14" si="49">S14/1000</f>
        <v>5.5048243456617377E-4</v>
      </c>
    </row>
    <row r="15" spans="1:20" x14ac:dyDescent="0.25">
      <c r="A15" s="5">
        <v>44578</v>
      </c>
      <c r="B15">
        <v>2588</v>
      </c>
      <c r="C15">
        <v>2640</v>
      </c>
      <c r="D15">
        <v>2512</v>
      </c>
      <c r="E15">
        <v>2592</v>
      </c>
      <c r="F15">
        <v>579.54269999999997</v>
      </c>
      <c r="G15">
        <v>2592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0.25</v>
      </c>
      <c r="Q15">
        <f t="shared" ref="Q15" si="51">F15*P15</f>
        <v>144.88567499999999</v>
      </c>
      <c r="R15">
        <f t="shared" ref="R15" si="52">R16+Q15</f>
        <v>54951.93599947451</v>
      </c>
      <c r="S15">
        <f t="shared" ref="S15" si="53">R15/100000</f>
        <v>0.5495193599947451</v>
      </c>
      <c r="T15">
        <f t="shared" ref="T15" si="54">S15/1000</f>
        <v>5.4951935999474511E-4</v>
      </c>
    </row>
    <row r="16" spans="1:20" x14ac:dyDescent="0.25">
      <c r="A16" s="5">
        <v>44577</v>
      </c>
      <c r="B16">
        <v>2629</v>
      </c>
      <c r="C16">
        <v>2631</v>
      </c>
      <c r="D16">
        <v>2567</v>
      </c>
      <c r="E16">
        <v>2591</v>
      </c>
      <c r="F16">
        <v>308.16480000000001</v>
      </c>
      <c r="G16">
        <v>2591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-0.25</v>
      </c>
      <c r="Q16">
        <f t="shared" ref="Q16" si="56">F16*P16</f>
        <v>-77.041200000000003</v>
      </c>
      <c r="R16">
        <f t="shared" ref="R16" si="57">R17+Q16</f>
        <v>54807.050324474512</v>
      </c>
      <c r="S16">
        <f t="shared" ref="S16" si="58">R16/100000</f>
        <v>0.54807050324474516</v>
      </c>
      <c r="T16">
        <f t="shared" ref="T16" si="59">S16/1000</f>
        <v>5.4807050324474514E-4</v>
      </c>
    </row>
    <row r="17" spans="1:20" x14ac:dyDescent="0.25">
      <c r="A17" s="5">
        <v>44576</v>
      </c>
      <c r="B17">
        <v>2620</v>
      </c>
      <c r="C17">
        <v>2666</v>
      </c>
      <c r="D17">
        <v>2600</v>
      </c>
      <c r="E17">
        <v>2629</v>
      </c>
      <c r="F17">
        <v>278.4273</v>
      </c>
      <c r="G17">
        <v>2629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-0.12121212121212122</v>
      </c>
      <c r="Q17">
        <f t="shared" ref="Q17" si="61">F17*P17</f>
        <v>-33.748763636363634</v>
      </c>
      <c r="R17">
        <f t="shared" ref="R17" si="62">R18+Q17</f>
        <v>54884.091524474512</v>
      </c>
      <c r="S17">
        <f t="shared" ref="S17" si="63">R17/100000</f>
        <v>0.5488409152447451</v>
      </c>
      <c r="T17">
        <f t="shared" ref="T17" si="64">S17/1000</f>
        <v>5.488409152447451E-4</v>
      </c>
    </row>
    <row r="18" spans="1:20" x14ac:dyDescent="0.25">
      <c r="A18" s="5">
        <v>44575</v>
      </c>
      <c r="B18">
        <v>2672</v>
      </c>
      <c r="C18">
        <v>2706</v>
      </c>
      <c r="D18">
        <v>2564</v>
      </c>
      <c r="E18">
        <v>2620</v>
      </c>
      <c r="F18">
        <v>427.2389</v>
      </c>
      <c r="G18">
        <v>2620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-0.21126760563380281</v>
      </c>
      <c r="Q18">
        <f t="shared" ref="Q18" si="66">F18*P18</f>
        <v>-90.26173943661972</v>
      </c>
      <c r="R18">
        <f t="shared" ref="R18" si="67">R19+Q18</f>
        <v>54917.840288110878</v>
      </c>
      <c r="S18">
        <f t="shared" ref="S18" si="68">R18/100000</f>
        <v>0.54917840288110875</v>
      </c>
      <c r="T18">
        <f t="shared" ref="T18" si="69">S18/1000</f>
        <v>5.4917840288110878E-4</v>
      </c>
    </row>
    <row r="19" spans="1:20" x14ac:dyDescent="0.25">
      <c r="A19" s="5">
        <v>44574</v>
      </c>
      <c r="B19">
        <v>2715</v>
      </c>
      <c r="C19">
        <v>2832</v>
      </c>
      <c r="D19">
        <v>2642</v>
      </c>
      <c r="E19">
        <v>2671</v>
      </c>
      <c r="F19">
        <v>818.25409999999999</v>
      </c>
      <c r="G19">
        <v>2671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-0.69473684210526321</v>
      </c>
      <c r="Q19">
        <f t="shared" ref="Q19" si="71">F19*P19</f>
        <v>-568.47126947368429</v>
      </c>
      <c r="R19">
        <f t="shared" ref="R19" si="72">R20+Q19</f>
        <v>55008.102027547495</v>
      </c>
      <c r="S19">
        <f t="shared" ref="S19" si="73">R19/100000</f>
        <v>0.5500810202754749</v>
      </c>
      <c r="T19">
        <f t="shared" ref="T19" si="74">S19/1000</f>
        <v>5.5008102027547488E-4</v>
      </c>
    </row>
    <row r="20" spans="1:20" x14ac:dyDescent="0.25">
      <c r="A20" s="5">
        <v>44573</v>
      </c>
      <c r="B20">
        <v>2576</v>
      </c>
      <c r="C20">
        <v>2722</v>
      </c>
      <c r="D20">
        <v>2570</v>
      </c>
      <c r="E20">
        <v>2712</v>
      </c>
      <c r="F20">
        <v>536.3732</v>
      </c>
      <c r="G20">
        <v>2712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0.86842105263157898</v>
      </c>
      <c r="Q20">
        <f t="shared" ref="Q20" si="76">F20*P20</f>
        <v>465.79777894736844</v>
      </c>
      <c r="R20">
        <f t="shared" ref="R20" si="77">R21+Q20</f>
        <v>55576.573297021176</v>
      </c>
      <c r="S20">
        <f t="shared" ref="S20" si="78">R20/100000</f>
        <v>0.55576573297021181</v>
      </c>
      <c r="T20">
        <f t="shared" ref="T20" si="79">S20/1000</f>
        <v>5.5576573297021182E-4</v>
      </c>
    </row>
    <row r="21" spans="1:20" x14ac:dyDescent="0.25">
      <c r="A21" s="5">
        <v>44572</v>
      </c>
      <c r="B21">
        <v>2429</v>
      </c>
      <c r="C21">
        <v>2600</v>
      </c>
      <c r="D21">
        <v>2415</v>
      </c>
      <c r="E21">
        <v>2575</v>
      </c>
      <c r="F21">
        <v>578.09609999999998</v>
      </c>
      <c r="G21">
        <v>2575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0.72972972972972971</v>
      </c>
      <c r="Q21">
        <f t="shared" ref="Q21" si="81">F21*P21</f>
        <v>421.85391081081076</v>
      </c>
      <c r="R21">
        <f t="shared" ref="R21" si="82">R22+Q21</f>
        <v>55110.77551807381</v>
      </c>
      <c r="S21">
        <f t="shared" ref="S21" si="83">R21/100000</f>
        <v>0.55110775518073807</v>
      </c>
      <c r="T21">
        <f t="shared" ref="T21" si="84">S21/1000</f>
        <v>5.5110775518073805E-4</v>
      </c>
    </row>
    <row r="22" spans="1:20" x14ac:dyDescent="0.25">
      <c r="A22" s="5">
        <v>44571</v>
      </c>
      <c r="B22">
        <v>2527</v>
      </c>
      <c r="C22">
        <v>2570</v>
      </c>
      <c r="D22">
        <v>2306</v>
      </c>
      <c r="E22">
        <v>2429</v>
      </c>
      <c r="F22">
        <v>855.65200000000004</v>
      </c>
      <c r="G22">
        <v>2429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-6.8181818181818177E-2</v>
      </c>
      <c r="Q22">
        <f t="shared" ref="Q22" si="86">F22*P22</f>
        <v>-58.339909090909089</v>
      </c>
      <c r="R22">
        <f t="shared" ref="R22" si="87">R23+Q22</f>
        <v>54688.921607263001</v>
      </c>
      <c r="S22">
        <f t="shared" ref="S22" si="88">R22/100000</f>
        <v>0.54688921607262997</v>
      </c>
      <c r="T22">
        <f t="shared" ref="T22" si="89">S22/1000</f>
        <v>5.4688921607263E-4</v>
      </c>
    </row>
    <row r="23" spans="1:20" x14ac:dyDescent="0.25">
      <c r="A23" s="5">
        <v>44570</v>
      </c>
      <c r="B23">
        <v>2482</v>
      </c>
      <c r="C23">
        <v>2593</v>
      </c>
      <c r="D23">
        <v>2462</v>
      </c>
      <c r="E23">
        <v>2528</v>
      </c>
      <c r="F23">
        <v>742.04369999999994</v>
      </c>
      <c r="G23">
        <v>2528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7.6335877862595417E-3</v>
      </c>
      <c r="Q23">
        <f t="shared" ref="Q23" si="91">F23*P23</f>
        <v>5.6644557251908392</v>
      </c>
      <c r="R23">
        <f t="shared" ref="R23" si="92">R24+Q23</f>
        <v>54747.261516353909</v>
      </c>
      <c r="S23">
        <f t="shared" ref="S23" si="93">R23/100000</f>
        <v>0.54747261516353907</v>
      </c>
      <c r="T23">
        <f t="shared" ref="T23" si="94">S23/1000</f>
        <v>5.4747261516353905E-4</v>
      </c>
    </row>
    <row r="24" spans="1:20" x14ac:dyDescent="0.25">
      <c r="A24" s="5">
        <v>44569</v>
      </c>
      <c r="B24">
        <v>2592</v>
      </c>
      <c r="C24">
        <v>2661</v>
      </c>
      <c r="D24">
        <v>2416</v>
      </c>
      <c r="E24">
        <v>2482</v>
      </c>
      <c r="F24">
        <v>940.83989999999994</v>
      </c>
      <c r="G24">
        <v>2482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-0.46122448979591835</v>
      </c>
      <c r="Q24">
        <f t="shared" ref="Q24" si="96">F24*P24</f>
        <v>-433.93840285714282</v>
      </c>
      <c r="R24">
        <f t="shared" ref="R24" si="97">R25+Q24</f>
        <v>54741.597060628716</v>
      </c>
      <c r="S24">
        <f t="shared" ref="S24" si="98">R24/100000</f>
        <v>0.54741597060628711</v>
      </c>
      <c r="T24">
        <f t="shared" ref="T24" si="99">S24/1000</f>
        <v>5.4741597060628706E-4</v>
      </c>
    </row>
    <row r="25" spans="1:20" x14ac:dyDescent="0.25">
      <c r="A25" s="5">
        <v>44568</v>
      </c>
      <c r="B25">
        <v>2668</v>
      </c>
      <c r="C25">
        <v>2693</v>
      </c>
      <c r="D25">
        <v>2463</v>
      </c>
      <c r="E25">
        <v>2592</v>
      </c>
      <c r="F25">
        <v>1829.1387999999999</v>
      </c>
      <c r="G25">
        <v>2592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0.12173913043478261</v>
      </c>
      <c r="Q25">
        <f t="shared" ref="Q25" si="101">F25*P25</f>
        <v>222.67776695652174</v>
      </c>
      <c r="R25">
        <f t="shared" ref="R25" si="102">R26+Q25</f>
        <v>55175.53546348586</v>
      </c>
      <c r="S25">
        <f t="shared" ref="S25" si="103">R25/100000</f>
        <v>0.55175535463485859</v>
      </c>
      <c r="T25">
        <f t="shared" ref="T25" si="104">S25/1000</f>
        <v>5.5175535463485861E-4</v>
      </c>
    </row>
    <row r="26" spans="1:20" x14ac:dyDescent="0.25">
      <c r="A26" s="5">
        <v>44567</v>
      </c>
      <c r="B26">
        <v>2600</v>
      </c>
      <c r="C26">
        <v>2694</v>
      </c>
      <c r="D26">
        <v>2474</v>
      </c>
      <c r="E26">
        <v>2670</v>
      </c>
      <c r="F26">
        <v>1426.0978</v>
      </c>
      <c r="G26">
        <v>2670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0.78181818181818186</v>
      </c>
      <c r="Q26">
        <f t="shared" ref="Q26" si="106">F26*P26</f>
        <v>1114.9491890909092</v>
      </c>
      <c r="R26">
        <f t="shared" ref="R26" si="107">R27+Q26</f>
        <v>54952.85769652934</v>
      </c>
      <c r="S26">
        <f t="shared" ref="S26" si="108">R26/100000</f>
        <v>0.54952857696529345</v>
      </c>
      <c r="T26">
        <f t="shared" ref="T26" si="109">S26/1000</f>
        <v>5.4952857696529344E-4</v>
      </c>
    </row>
    <row r="27" spans="1:20" x14ac:dyDescent="0.25">
      <c r="A27" s="5">
        <v>44566</v>
      </c>
      <c r="B27">
        <v>2916</v>
      </c>
      <c r="C27">
        <v>2984</v>
      </c>
      <c r="D27">
        <v>2457</v>
      </c>
      <c r="E27">
        <v>2597</v>
      </c>
      <c r="F27">
        <v>1339.3653999999999</v>
      </c>
      <c r="G27">
        <v>2597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-0.46869070208728653</v>
      </c>
      <c r="Q27">
        <f t="shared" ref="Q27" si="111">F27*P27</f>
        <v>-627.74810967741928</v>
      </c>
      <c r="R27">
        <f t="shared" ref="R27" si="112">R28+Q27</f>
        <v>53837.908507438427</v>
      </c>
      <c r="S27">
        <f t="shared" ref="S27" si="113">R27/100000</f>
        <v>0.53837908507438426</v>
      </c>
      <c r="T27">
        <f t="shared" ref="T27" si="114">S27/1000</f>
        <v>5.3837908507438424E-4</v>
      </c>
    </row>
    <row r="28" spans="1:20" x14ac:dyDescent="0.25">
      <c r="A28" s="5">
        <v>44565</v>
      </c>
      <c r="B28">
        <v>3066</v>
      </c>
      <c r="C28">
        <v>3076</v>
      </c>
      <c r="D28">
        <v>2912</v>
      </c>
      <c r="E28">
        <v>2912</v>
      </c>
      <c r="F28">
        <v>969.71280000000002</v>
      </c>
      <c r="G28">
        <v>2912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-1</v>
      </c>
      <c r="Q28">
        <f t="shared" ref="Q28" si="116">F28*P28</f>
        <v>-969.71280000000002</v>
      </c>
      <c r="R28">
        <f t="shared" ref="R28" si="117">R29+Q28</f>
        <v>54465.656617115848</v>
      </c>
      <c r="S28">
        <f t="shared" ref="S28" si="118">R28/100000</f>
        <v>0.54465656617115843</v>
      </c>
      <c r="T28">
        <f t="shared" ref="T28" si="119">S28/1000</f>
        <v>5.4465656617115848E-4</v>
      </c>
    </row>
    <row r="29" spans="1:20" x14ac:dyDescent="0.25">
      <c r="A29" s="5">
        <v>44564</v>
      </c>
      <c r="B29">
        <v>2950</v>
      </c>
      <c r="C29">
        <v>3184</v>
      </c>
      <c r="D29">
        <v>2948</v>
      </c>
      <c r="E29">
        <v>3064</v>
      </c>
      <c r="F29">
        <v>2611.7338</v>
      </c>
      <c r="G29">
        <v>3064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-1.6949152542372881E-2</v>
      </c>
      <c r="Q29">
        <f t="shared" ref="Q29" si="121">F29*P29</f>
        <v>-44.266674576271186</v>
      </c>
      <c r="R29">
        <f t="shared" ref="R29" si="122">R30+Q29</f>
        <v>55435.36941711585</v>
      </c>
      <c r="S29">
        <f t="shared" ref="S29" si="123">R29/100000</f>
        <v>0.55435369417115854</v>
      </c>
      <c r="T29">
        <f t="shared" ref="T29" si="124">S29/1000</f>
        <v>5.5435369417115854E-4</v>
      </c>
    </row>
    <row r="30" spans="1:20" x14ac:dyDescent="0.25">
      <c r="A30" s="5">
        <v>44563</v>
      </c>
      <c r="B30">
        <v>2990</v>
      </c>
      <c r="C30">
        <v>3061</v>
      </c>
      <c r="D30">
        <v>2916</v>
      </c>
      <c r="E30">
        <v>2948</v>
      </c>
      <c r="F30">
        <v>1492.3677</v>
      </c>
      <c r="G30">
        <v>2948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-0.55862068965517242</v>
      </c>
      <c r="Q30">
        <f t="shared" ref="Q30" si="126">F30*P30</f>
        <v>-833.66747379310345</v>
      </c>
      <c r="R30">
        <f t="shared" ref="R30" si="127">R31+Q30</f>
        <v>55479.636091692118</v>
      </c>
      <c r="S30">
        <f t="shared" ref="S30" si="128">R30/100000</f>
        <v>0.55479636091692119</v>
      </c>
      <c r="T30">
        <f t="shared" ref="T30" si="129">S30/1000</f>
        <v>5.5479636091692122E-4</v>
      </c>
    </row>
    <row r="31" spans="1:20" x14ac:dyDescent="0.25">
      <c r="A31" s="5">
        <v>44562</v>
      </c>
      <c r="B31">
        <v>2812</v>
      </c>
      <c r="C31">
        <v>3042</v>
      </c>
      <c r="D31">
        <v>2812</v>
      </c>
      <c r="E31">
        <v>2988</v>
      </c>
      <c r="F31">
        <v>1635.444</v>
      </c>
      <c r="G31">
        <v>2988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0.5304347826086957</v>
      </c>
      <c r="Q31">
        <f t="shared" ref="Q31" si="131">F31*P31</f>
        <v>867.49638260869574</v>
      </c>
      <c r="R31">
        <f t="shared" ref="R31" si="132">R32+Q31</f>
        <v>56313.303565485221</v>
      </c>
      <c r="S31">
        <f t="shared" ref="S31" si="133">R31/100000</f>
        <v>0.56313303565485218</v>
      </c>
      <c r="T31">
        <f t="shared" ref="T31" si="134">S31/1000</f>
        <v>5.6313303565485218E-4</v>
      </c>
    </row>
    <row r="32" spans="1:20" x14ac:dyDescent="0.25">
      <c r="A32" s="5">
        <v>44561</v>
      </c>
      <c r="B32">
        <v>2751</v>
      </c>
      <c r="C32">
        <v>2892</v>
      </c>
      <c r="D32">
        <v>2695</v>
      </c>
      <c r="E32">
        <v>2814</v>
      </c>
      <c r="F32">
        <v>1462.9612</v>
      </c>
      <c r="G32">
        <v>2814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0.20812182741116753</v>
      </c>
      <c r="Q32">
        <f t="shared" ref="Q32" si="136">F32*P32</f>
        <v>304.47415837563454</v>
      </c>
      <c r="R32">
        <f t="shared" ref="R32" si="137">R33+Q32</f>
        <v>55445.807182876524</v>
      </c>
      <c r="S32">
        <f t="shared" ref="S32" si="138">R32/100000</f>
        <v>0.55445807182876528</v>
      </c>
      <c r="T32">
        <f t="shared" ref="T32" si="139">S32/1000</f>
        <v>5.5445807182876524E-4</v>
      </c>
    </row>
    <row r="33" spans="1:20" x14ac:dyDescent="0.25">
      <c r="A33" s="5">
        <v>44560</v>
      </c>
      <c r="B33">
        <v>2674</v>
      </c>
      <c r="C33">
        <v>2802</v>
      </c>
      <c r="D33">
        <v>2614</v>
      </c>
      <c r="E33">
        <v>2750</v>
      </c>
      <c r="F33">
        <v>1199.6497999999999</v>
      </c>
      <c r="G33">
        <v>2750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0.44680851063829785</v>
      </c>
      <c r="Q33">
        <f t="shared" ref="Q33" si="141">F33*P33</f>
        <v>536.01374042553186</v>
      </c>
      <c r="R33">
        <f t="shared" ref="R33" si="142">R34+Q33</f>
        <v>55141.333024500891</v>
      </c>
      <c r="S33">
        <f t="shared" ref="S33" si="143">R33/100000</f>
        <v>0.55141333024500894</v>
      </c>
      <c r="T33">
        <f t="shared" ref="T33" si="144">S33/1000</f>
        <v>5.5141333024500891E-4</v>
      </c>
    </row>
    <row r="34" spans="1:20" x14ac:dyDescent="0.25">
      <c r="A34" s="5">
        <v>44559</v>
      </c>
      <c r="B34">
        <v>2733</v>
      </c>
      <c r="C34">
        <v>2863</v>
      </c>
      <c r="D34">
        <v>2631</v>
      </c>
      <c r="E34">
        <v>2671</v>
      </c>
      <c r="F34">
        <v>1470.5697</v>
      </c>
      <c r="G34">
        <v>2671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-0.65517241379310343</v>
      </c>
      <c r="Q34">
        <f t="shared" ref="Q34" si="146">F34*P34</f>
        <v>-963.47669999999994</v>
      </c>
      <c r="R34">
        <f t="shared" ref="R34" si="147">R35+Q34</f>
        <v>54605.319284075362</v>
      </c>
      <c r="S34">
        <f t="shared" ref="S34" si="148">R34/100000</f>
        <v>0.5460531928407536</v>
      </c>
      <c r="T34">
        <f t="shared" ref="T34" si="149">S34/1000</f>
        <v>5.4605319284075358E-4</v>
      </c>
    </row>
    <row r="35" spans="1:20" x14ac:dyDescent="0.25">
      <c r="A35" s="5">
        <v>44558</v>
      </c>
      <c r="B35">
        <v>2910</v>
      </c>
      <c r="C35">
        <v>2911</v>
      </c>
      <c r="D35">
        <v>2647</v>
      </c>
      <c r="E35">
        <v>2731</v>
      </c>
      <c r="F35">
        <v>1493.8435999999999</v>
      </c>
      <c r="G35">
        <v>2731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-0.36363636363636365</v>
      </c>
      <c r="Q35">
        <f t="shared" ref="Q35" si="151">F35*P35</f>
        <v>-543.21585454545448</v>
      </c>
      <c r="R35">
        <f t="shared" ref="R35" si="152">R36+Q35</f>
        <v>55568.795984075361</v>
      </c>
      <c r="S35">
        <f t="shared" ref="S35" si="153">R35/100000</f>
        <v>0.55568795984075359</v>
      </c>
      <c r="T35">
        <f t="shared" ref="T35" si="154">S35/1000</f>
        <v>5.5568795984075356E-4</v>
      </c>
    </row>
    <row r="36" spans="1:20" x14ac:dyDescent="0.25">
      <c r="A36" s="5">
        <v>44557</v>
      </c>
      <c r="B36">
        <v>2915</v>
      </c>
      <c r="C36">
        <v>3084</v>
      </c>
      <c r="D36">
        <v>2907</v>
      </c>
      <c r="E36">
        <v>2912</v>
      </c>
      <c r="F36">
        <v>1362.8028999999999</v>
      </c>
      <c r="G36">
        <v>2912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-0.94350282485875703</v>
      </c>
      <c r="Q36">
        <f t="shared" ref="Q36" si="156">F36*P36</f>
        <v>-1285.8083858757061</v>
      </c>
      <c r="R36">
        <f t="shared" ref="R36" si="157">R37+Q36</f>
        <v>56112.011838620812</v>
      </c>
      <c r="S36">
        <f t="shared" ref="S36" si="158">R36/100000</f>
        <v>0.56112011838620812</v>
      </c>
      <c r="T36">
        <f t="shared" ref="T36" si="159">S36/1000</f>
        <v>5.6112011838620808E-4</v>
      </c>
    </row>
    <row r="37" spans="1:20" x14ac:dyDescent="0.25">
      <c r="A37" s="5">
        <v>44556</v>
      </c>
      <c r="B37">
        <v>2962</v>
      </c>
      <c r="C37">
        <v>2977</v>
      </c>
      <c r="D37">
        <v>2831</v>
      </c>
      <c r="E37">
        <v>2914</v>
      </c>
      <c r="F37">
        <v>858.64800000000002</v>
      </c>
      <c r="G37">
        <v>2914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0.13698630136986301</v>
      </c>
      <c r="Q37">
        <f t="shared" ref="Q37" si="161">F37*P37</f>
        <v>117.62301369863013</v>
      </c>
      <c r="R37">
        <f t="shared" ref="R37" si="162">R38+Q37</f>
        <v>57397.820224496521</v>
      </c>
      <c r="S37">
        <f t="shared" ref="S37" si="163">R37/100000</f>
        <v>0.57397820224496521</v>
      </c>
      <c r="T37">
        <f t="shared" ref="T37" si="164">S37/1000</f>
        <v>5.7397820224496519E-4</v>
      </c>
    </row>
    <row r="38" spans="1:20" x14ac:dyDescent="0.25">
      <c r="A38" s="5">
        <v>44555</v>
      </c>
      <c r="B38">
        <v>2890</v>
      </c>
      <c r="C38">
        <v>2999</v>
      </c>
      <c r="D38">
        <v>2867</v>
      </c>
      <c r="E38">
        <v>2960</v>
      </c>
      <c r="F38">
        <v>1131.2058</v>
      </c>
      <c r="G38">
        <v>2960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0.40909090909090912</v>
      </c>
      <c r="Q38">
        <f t="shared" ref="Q38" si="166">F38*P38</f>
        <v>462.76600909090911</v>
      </c>
      <c r="R38">
        <f t="shared" ref="R38" si="167">R39+Q38</f>
        <v>57280.197210797895</v>
      </c>
      <c r="S38">
        <f t="shared" ref="S38" si="168">R38/100000</f>
        <v>0.5728019721079789</v>
      </c>
      <c r="T38">
        <f t="shared" ref="T38" si="169">S38/1000</f>
        <v>5.7280197210797892E-4</v>
      </c>
    </row>
    <row r="39" spans="1:20" x14ac:dyDescent="0.25">
      <c r="A39" s="5">
        <v>44554</v>
      </c>
      <c r="B39">
        <v>2981</v>
      </c>
      <c r="C39">
        <v>3030</v>
      </c>
      <c r="D39">
        <v>2854</v>
      </c>
      <c r="E39">
        <v>2891</v>
      </c>
      <c r="F39">
        <v>1622.4260999999999</v>
      </c>
      <c r="G39">
        <v>2891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-0.57954545454545459</v>
      </c>
      <c r="Q39">
        <f t="shared" ref="Q39" si="171">F39*P39</f>
        <v>-940.26967159090907</v>
      </c>
      <c r="R39">
        <f t="shared" ref="R39" si="172">R40+Q39</f>
        <v>56817.431201706982</v>
      </c>
      <c r="S39">
        <f t="shared" ref="S39" si="173">R39/100000</f>
        <v>0.5681743120170698</v>
      </c>
      <c r="T39">
        <f t="shared" ref="T39" si="174">S39/1000</f>
        <v>5.681743120170698E-4</v>
      </c>
    </row>
    <row r="40" spans="1:20" x14ac:dyDescent="0.25">
      <c r="A40" s="5">
        <v>44553</v>
      </c>
      <c r="B40">
        <v>2956</v>
      </c>
      <c r="C40">
        <v>3059</v>
      </c>
      <c r="D40">
        <v>2919</v>
      </c>
      <c r="E40">
        <v>2980</v>
      </c>
      <c r="F40">
        <v>1606.6989000000001</v>
      </c>
      <c r="G40">
        <v>2980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-0.12857142857142856</v>
      </c>
      <c r="Q40">
        <f t="shared" ref="Q40" si="176">F40*P40</f>
        <v>-206.57557285714284</v>
      </c>
      <c r="R40">
        <f t="shared" ref="R40" si="177">R41+Q40</f>
        <v>57757.700873297894</v>
      </c>
      <c r="S40">
        <f t="shared" ref="S40" si="178">R40/100000</f>
        <v>0.5775770087329789</v>
      </c>
      <c r="T40">
        <f t="shared" ref="T40" si="179">S40/1000</f>
        <v>5.7757700873297887E-4</v>
      </c>
    </row>
    <row r="41" spans="1:20" x14ac:dyDescent="0.25">
      <c r="A41" s="5">
        <v>44552</v>
      </c>
      <c r="B41">
        <v>3093</v>
      </c>
      <c r="C41">
        <v>3125</v>
      </c>
      <c r="D41">
        <v>2946</v>
      </c>
      <c r="E41">
        <v>2954</v>
      </c>
      <c r="F41">
        <v>1670.076</v>
      </c>
      <c r="G41">
        <v>2954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-0.91061452513966479</v>
      </c>
      <c r="Q41">
        <f t="shared" ref="Q41" si="181">F41*P41</f>
        <v>-1520.7954636871509</v>
      </c>
      <c r="R41">
        <f t="shared" ref="R41" si="182">R42+Q41</f>
        <v>57964.27644615504</v>
      </c>
      <c r="S41">
        <f t="shared" ref="S41" si="183">R41/100000</f>
        <v>0.57964276446155039</v>
      </c>
      <c r="T41">
        <f t="shared" ref="T41" si="184">S41/1000</f>
        <v>5.7964276446155038E-4</v>
      </c>
    </row>
    <row r="42" spans="1:20" x14ac:dyDescent="0.25">
      <c r="A42" s="5">
        <v>44551</v>
      </c>
      <c r="B42">
        <v>3126</v>
      </c>
      <c r="C42">
        <v>3168</v>
      </c>
      <c r="D42">
        <v>3055</v>
      </c>
      <c r="E42">
        <v>3092</v>
      </c>
      <c r="F42">
        <v>2607.4535000000001</v>
      </c>
      <c r="G42">
        <v>3092</v>
      </c>
      <c r="L42" t="s">
        <v>7</v>
      </c>
      <c r="M42" t="s">
        <v>7</v>
      </c>
      <c r="N42" t="s">
        <v>8</v>
      </c>
      <c r="P42">
        <f t="shared" ref="P42" si="185">IF(C42=D42,0,((E42-D42)-(C42-E42))/(C42-D42))</f>
        <v>-0.34513274336283184</v>
      </c>
      <c r="Q42">
        <f t="shared" ref="Q42" si="186">F42*P42</f>
        <v>-899.91757964601766</v>
      </c>
      <c r="R42">
        <f t="shared" ref="R42" si="187">R43+Q42</f>
        <v>59485.071909842191</v>
      </c>
      <c r="S42">
        <f t="shared" ref="S42" si="188">R42/100000</f>
        <v>0.59485071909842191</v>
      </c>
      <c r="T42">
        <f t="shared" ref="T42" si="189">S42/1000</f>
        <v>5.9485071909842193E-4</v>
      </c>
    </row>
    <row r="43" spans="1:20" x14ac:dyDescent="0.25">
      <c r="A43" s="5">
        <v>44550</v>
      </c>
      <c r="B43">
        <v>3226</v>
      </c>
      <c r="C43">
        <v>3645</v>
      </c>
      <c r="D43">
        <v>3055</v>
      </c>
      <c r="E43">
        <v>3127</v>
      </c>
      <c r="F43">
        <v>8718.4943000000003</v>
      </c>
      <c r="G43">
        <v>3127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-0.75593220338983047</v>
      </c>
      <c r="Q43">
        <f t="shared" ref="Q43" si="191">F43*P43</f>
        <v>-6590.5906064406781</v>
      </c>
      <c r="R43">
        <f t="shared" ref="R43" si="192">R44+Q43</f>
        <v>60384.989489488209</v>
      </c>
      <c r="S43">
        <f t="shared" ref="S43" si="193">R43/100000</f>
        <v>0.60384989489488206</v>
      </c>
      <c r="T43">
        <f t="shared" ref="T43" si="194">S43/1000</f>
        <v>6.038498948948821E-4</v>
      </c>
    </row>
    <row r="44" spans="1:20" x14ac:dyDescent="0.25">
      <c r="A44" s="5">
        <v>44549</v>
      </c>
      <c r="B44">
        <v>3392</v>
      </c>
      <c r="C44">
        <v>3439</v>
      </c>
      <c r="D44">
        <v>3205</v>
      </c>
      <c r="E44">
        <v>3229</v>
      </c>
      <c r="F44">
        <v>1288.2403999999999</v>
      </c>
      <c r="G44">
        <v>3229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-0.79487179487179482</v>
      </c>
      <c r="Q44">
        <f t="shared" ref="Q44" si="196">F44*P44</f>
        <v>-1023.9859589743588</v>
      </c>
      <c r="R44">
        <f t="shared" ref="R44" si="197">R45+Q44</f>
        <v>66975.58009592889</v>
      </c>
      <c r="S44">
        <f t="shared" ref="S44" si="198">R44/100000</f>
        <v>0.66975580095928888</v>
      </c>
      <c r="T44">
        <f t="shared" ref="T44" si="199">S44/1000</f>
        <v>6.6975580095928887E-4</v>
      </c>
    </row>
    <row r="45" spans="1:20" x14ac:dyDescent="0.25">
      <c r="A45" s="5">
        <v>44548</v>
      </c>
      <c r="B45">
        <v>3753</v>
      </c>
      <c r="C45">
        <v>3951</v>
      </c>
      <c r="D45">
        <v>3337</v>
      </c>
      <c r="E45">
        <v>3393</v>
      </c>
      <c r="F45">
        <v>7066.7704000000003</v>
      </c>
      <c r="G45">
        <v>3393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-0.8175895765472313</v>
      </c>
      <c r="Q45">
        <f t="shared" ref="Q45" si="201">F45*P45</f>
        <v>-5777.7178188925091</v>
      </c>
      <c r="R45">
        <f t="shared" ref="R45" si="202">R46+Q45</f>
        <v>67999.566054903247</v>
      </c>
      <c r="S45">
        <f t="shared" ref="S45" si="203">R45/100000</f>
        <v>0.67999566054903249</v>
      </c>
      <c r="T45">
        <f t="shared" ref="T45" si="204">S45/1000</f>
        <v>6.7999566054903243E-4</v>
      </c>
    </row>
    <row r="46" spans="1:20" x14ac:dyDescent="0.25">
      <c r="A46" s="5">
        <v>44547</v>
      </c>
      <c r="B46">
        <v>2902</v>
      </c>
      <c r="C46">
        <v>3864</v>
      </c>
      <c r="D46">
        <v>2788</v>
      </c>
      <c r="E46">
        <v>3750</v>
      </c>
      <c r="F46">
        <v>7284.1607999999997</v>
      </c>
      <c r="G46">
        <v>3750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0.78810408921933084</v>
      </c>
      <c r="Q46">
        <f t="shared" ref="Q46" si="206">F46*P46</f>
        <v>5740.6769130111525</v>
      </c>
      <c r="R46">
        <f t="shared" ref="R46" si="207">R47+Q46</f>
        <v>73777.28387379575</v>
      </c>
      <c r="S46">
        <f t="shared" ref="S46" si="208">R46/100000</f>
        <v>0.73777283873795751</v>
      </c>
      <c r="T46">
        <f t="shared" ref="T46" si="209">S46/1000</f>
        <v>7.3777283873795749E-4</v>
      </c>
    </row>
    <row r="47" spans="1:20" x14ac:dyDescent="0.25">
      <c r="A47" s="5">
        <v>44546</v>
      </c>
      <c r="B47">
        <v>2806</v>
      </c>
      <c r="C47">
        <v>2975</v>
      </c>
      <c r="D47">
        <v>2763</v>
      </c>
      <c r="E47">
        <v>2905</v>
      </c>
      <c r="F47">
        <v>1125.9948999999999</v>
      </c>
      <c r="G47">
        <v>2905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0.33962264150943394</v>
      </c>
      <c r="Q47">
        <f t="shared" ref="Q47" si="211">F47*P47</f>
        <v>382.41336226415092</v>
      </c>
      <c r="R47">
        <f t="shared" ref="R47" si="212">R48+Q47</f>
        <v>68036.6069607846</v>
      </c>
      <c r="S47">
        <f t="shared" ref="S47" si="213">R47/100000</f>
        <v>0.68036606960784596</v>
      </c>
      <c r="T47">
        <f t="shared" ref="T47" si="214">S47/1000</f>
        <v>6.8036606960784592E-4</v>
      </c>
    </row>
    <row r="48" spans="1:20" x14ac:dyDescent="0.25">
      <c r="A48" s="5">
        <v>44545</v>
      </c>
      <c r="B48">
        <v>2798</v>
      </c>
      <c r="C48">
        <v>2981</v>
      </c>
      <c r="D48">
        <v>2666</v>
      </c>
      <c r="E48">
        <v>2807</v>
      </c>
      <c r="F48">
        <v>1726.9250999999999</v>
      </c>
      <c r="G48">
        <v>2807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-0.10476190476190476</v>
      </c>
      <c r="Q48">
        <f t="shared" ref="Q48" si="216">F48*P48</f>
        <v>-180.91596285714286</v>
      </c>
      <c r="R48">
        <f t="shared" ref="R48" si="217">R49+Q48</f>
        <v>67654.193598520447</v>
      </c>
      <c r="S48">
        <f t="shared" ref="S48" si="218">R48/100000</f>
        <v>0.67654193598520451</v>
      </c>
      <c r="T48">
        <f t="shared" ref="T48" si="219">S48/1000</f>
        <v>6.765419359852045E-4</v>
      </c>
    </row>
    <row r="49" spans="1:20" x14ac:dyDescent="0.25">
      <c r="A49" s="5">
        <v>44544</v>
      </c>
      <c r="B49">
        <v>2456</v>
      </c>
      <c r="C49">
        <v>2850</v>
      </c>
      <c r="D49">
        <v>2441</v>
      </c>
      <c r="E49">
        <v>2798</v>
      </c>
      <c r="F49">
        <v>2301.8045000000002</v>
      </c>
      <c r="G49">
        <v>2798</v>
      </c>
      <c r="L49" t="s">
        <v>7</v>
      </c>
      <c r="M49" t="s">
        <v>8</v>
      </c>
      <c r="N49" t="s">
        <v>7</v>
      </c>
      <c r="P49">
        <f t="shared" ref="P49" si="220">IF(C49=D49,0,((E49-D49)-(C49-E49))/(C49-D49))</f>
        <v>0.74572127139364308</v>
      </c>
      <c r="Q49">
        <f t="shared" ref="Q49" si="221">F49*P49</f>
        <v>1716.5045782396091</v>
      </c>
      <c r="R49">
        <f t="shared" ref="R49" si="222">R50+Q49</f>
        <v>67835.109561377583</v>
      </c>
      <c r="S49">
        <f t="shared" ref="S49" si="223">R49/100000</f>
        <v>0.67835109561377582</v>
      </c>
      <c r="T49">
        <f t="shared" ref="T49" si="224">S49/1000</f>
        <v>6.7835109561377579E-4</v>
      </c>
    </row>
    <row r="50" spans="1:20" x14ac:dyDescent="0.25">
      <c r="A50" s="5">
        <v>44543</v>
      </c>
      <c r="B50">
        <v>2652</v>
      </c>
      <c r="C50">
        <v>2868</v>
      </c>
      <c r="D50">
        <v>2328</v>
      </c>
      <c r="E50">
        <v>2458</v>
      </c>
      <c r="F50">
        <v>3203.7370000000001</v>
      </c>
      <c r="G50">
        <v>2458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-0.51851851851851849</v>
      </c>
      <c r="Q50">
        <f t="shared" ref="Q50" si="226">F50*P50</f>
        <v>-1661.196962962963</v>
      </c>
      <c r="R50">
        <f t="shared" ref="R50" si="227">R51+Q50</f>
        <v>66118.604983137979</v>
      </c>
      <c r="S50">
        <f t="shared" ref="S50" si="228">R50/100000</f>
        <v>0.66118604983137974</v>
      </c>
      <c r="T50">
        <f t="shared" ref="T50" si="229">S50/1000</f>
        <v>6.6118604983137971E-4</v>
      </c>
    </row>
    <row r="51" spans="1:20" x14ac:dyDescent="0.25">
      <c r="A51" s="5">
        <v>44542</v>
      </c>
      <c r="B51">
        <v>2642</v>
      </c>
      <c r="C51">
        <v>2847</v>
      </c>
      <c r="D51">
        <v>2571</v>
      </c>
      <c r="E51">
        <v>2654</v>
      </c>
      <c r="F51">
        <v>1111.9538</v>
      </c>
      <c r="G51">
        <v>2654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-0.39855072463768115</v>
      </c>
      <c r="Q51">
        <f t="shared" ref="Q51" si="231">F51*P51</f>
        <v>-443.16999275362321</v>
      </c>
      <c r="R51">
        <f t="shared" ref="R51" si="232">R52+Q51</f>
        <v>67779.801946100939</v>
      </c>
      <c r="S51">
        <f t="shared" ref="S51" si="233">R51/100000</f>
        <v>0.67779801946100937</v>
      </c>
      <c r="T51">
        <f t="shared" ref="T51" si="234">S51/1000</f>
        <v>6.7779801946100937E-4</v>
      </c>
    </row>
    <row r="52" spans="1:20" x14ac:dyDescent="0.25">
      <c r="A52" s="5">
        <v>44541</v>
      </c>
      <c r="B52">
        <v>2503</v>
      </c>
      <c r="C52">
        <v>2534</v>
      </c>
      <c r="D52">
        <v>2455</v>
      </c>
      <c r="E52">
        <v>2522</v>
      </c>
      <c r="F52">
        <v>49.224499999999999</v>
      </c>
      <c r="G52">
        <v>2522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0.69620253164556967</v>
      </c>
      <c r="Q52">
        <f t="shared" ref="Q52" si="236">F52*P52</f>
        <v>34.270221518987341</v>
      </c>
      <c r="R52">
        <f t="shared" ref="R52" si="237">R53+Q52</f>
        <v>68222.971938854564</v>
      </c>
      <c r="S52">
        <f t="shared" ref="S52" si="238">R52/100000</f>
        <v>0.6822297193885456</v>
      </c>
      <c r="T52">
        <f t="shared" ref="T52" si="239">S52/1000</f>
        <v>6.822297193885456E-4</v>
      </c>
    </row>
    <row r="53" spans="1:20" x14ac:dyDescent="0.25">
      <c r="A53" s="5">
        <v>44540</v>
      </c>
      <c r="B53">
        <v>2625</v>
      </c>
      <c r="C53">
        <v>2710</v>
      </c>
      <c r="D53">
        <v>2495</v>
      </c>
      <c r="E53">
        <v>2504</v>
      </c>
      <c r="F53">
        <v>732.49109999999996</v>
      </c>
      <c r="G53">
        <v>2504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-0.91627906976744189</v>
      </c>
      <c r="Q53">
        <f t="shared" ref="Q53" si="241">F53*P53</f>
        <v>-671.16626372093026</v>
      </c>
      <c r="R53">
        <f t="shared" ref="R53" si="242">R54+Q53</f>
        <v>68188.701717335571</v>
      </c>
      <c r="S53">
        <f t="shared" ref="S53" si="243">R53/100000</f>
        <v>0.68188701717335576</v>
      </c>
      <c r="T53">
        <f t="shared" ref="T53" si="244">S53/1000</f>
        <v>6.8188701717335578E-4</v>
      </c>
    </row>
    <row r="54" spans="1:20" x14ac:dyDescent="0.25">
      <c r="A54" s="5">
        <v>44539</v>
      </c>
      <c r="B54">
        <v>2878</v>
      </c>
      <c r="C54">
        <v>2904</v>
      </c>
      <c r="D54">
        <v>2621</v>
      </c>
      <c r="E54">
        <v>2626</v>
      </c>
      <c r="F54">
        <v>965.61710000000005</v>
      </c>
      <c r="G54">
        <v>2626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-0.96466431095406358</v>
      </c>
      <c r="Q54">
        <f t="shared" ref="Q54" si="246">F54*P54</f>
        <v>-931.49635441696114</v>
      </c>
      <c r="R54">
        <f t="shared" ref="R54" si="247">R55+Q54</f>
        <v>68859.867981056508</v>
      </c>
      <c r="S54">
        <f t="shared" ref="S54" si="248">R54/100000</f>
        <v>0.68859867981056511</v>
      </c>
      <c r="T54">
        <f t="shared" ref="T54" si="249">S54/1000</f>
        <v>6.8859867981056506E-4</v>
      </c>
    </row>
    <row r="55" spans="1:20" x14ac:dyDescent="0.25">
      <c r="A55" s="5">
        <v>44538</v>
      </c>
      <c r="B55">
        <v>2764</v>
      </c>
      <c r="C55">
        <v>2879</v>
      </c>
      <c r="D55">
        <v>2695</v>
      </c>
      <c r="E55">
        <v>2878</v>
      </c>
      <c r="F55">
        <v>931.20699999999999</v>
      </c>
      <c r="G55">
        <v>2878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0.98913043478260865</v>
      </c>
      <c r="Q55">
        <f t="shared" ref="Q55" si="251">F55*P55</f>
        <v>921.08518478260862</v>
      </c>
      <c r="R55">
        <f t="shared" ref="R55" si="252">R56+Q55</f>
        <v>69791.364335473467</v>
      </c>
      <c r="S55">
        <f t="shared" ref="S55" si="253">R55/100000</f>
        <v>0.69791364335473471</v>
      </c>
      <c r="T55">
        <f t="shared" ref="T55" si="254">S55/1000</f>
        <v>6.979136433547347E-4</v>
      </c>
    </row>
    <row r="56" spans="1:20" x14ac:dyDescent="0.25">
      <c r="A56" s="5">
        <v>44537</v>
      </c>
      <c r="B56">
        <v>2684</v>
      </c>
      <c r="C56">
        <v>2942</v>
      </c>
      <c r="D56">
        <v>2678</v>
      </c>
      <c r="E56">
        <v>2762</v>
      </c>
      <c r="F56">
        <v>1692.0877</v>
      </c>
      <c r="G56">
        <v>2762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-0.36363636363636365</v>
      </c>
      <c r="Q56">
        <f t="shared" ref="Q56" si="256">F56*P56</f>
        <v>-615.30461818181823</v>
      </c>
      <c r="R56">
        <f t="shared" ref="R56" si="257">R57+Q56</f>
        <v>68870.279150690854</v>
      </c>
      <c r="S56">
        <f t="shared" ref="S56" si="258">R56/100000</f>
        <v>0.6887027915069085</v>
      </c>
      <c r="T56">
        <f t="shared" ref="T56" si="259">S56/1000</f>
        <v>6.8870279150690854E-4</v>
      </c>
    </row>
    <row r="57" spans="1:20" x14ac:dyDescent="0.25">
      <c r="A57" s="5">
        <v>44536</v>
      </c>
      <c r="B57">
        <v>2675</v>
      </c>
      <c r="C57">
        <v>2703</v>
      </c>
      <c r="D57">
        <v>2401</v>
      </c>
      <c r="E57">
        <v>2689</v>
      </c>
      <c r="F57">
        <v>1240.3281999999999</v>
      </c>
      <c r="G57">
        <v>2689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0.9072847682119205</v>
      </c>
      <c r="Q57">
        <f t="shared" ref="Q57" si="261">F57*P57</f>
        <v>1125.3308834437084</v>
      </c>
      <c r="R57">
        <f t="shared" ref="R57" si="262">R58+Q57</f>
        <v>69485.583768872675</v>
      </c>
      <c r="S57">
        <f t="shared" ref="S57" si="263">R57/100000</f>
        <v>0.69485583768872672</v>
      </c>
      <c r="T57">
        <f t="shared" ref="T57" si="264">S57/1000</f>
        <v>6.9485583768872673E-4</v>
      </c>
    </row>
    <row r="58" spans="1:20" x14ac:dyDescent="0.25">
      <c r="A58" s="5">
        <v>44535</v>
      </c>
      <c r="B58">
        <v>2826</v>
      </c>
      <c r="C58">
        <v>2875</v>
      </c>
      <c r="D58">
        <v>2573</v>
      </c>
      <c r="E58">
        <v>2674</v>
      </c>
      <c r="F58">
        <v>1109.538</v>
      </c>
      <c r="G58">
        <v>2674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-0.33112582781456956</v>
      </c>
      <c r="Q58">
        <f t="shared" ref="Q58" si="266">F58*P58</f>
        <v>-367.3966887417219</v>
      </c>
      <c r="R58">
        <f t="shared" ref="R58" si="267">R59+Q58</f>
        <v>68360.25288542897</v>
      </c>
      <c r="S58">
        <f t="shared" ref="S58" si="268">R58/100000</f>
        <v>0.68360252885428974</v>
      </c>
      <c r="T58">
        <f t="shared" ref="T58" si="269">S58/1000</f>
        <v>6.8360252885428974E-4</v>
      </c>
    </row>
    <row r="59" spans="1:20" x14ac:dyDescent="0.25">
      <c r="A59" s="5">
        <v>44534</v>
      </c>
      <c r="B59">
        <v>3259</v>
      </c>
      <c r="C59">
        <v>3272</v>
      </c>
      <c r="D59">
        <v>2186</v>
      </c>
      <c r="E59">
        <v>2826</v>
      </c>
      <c r="F59">
        <v>2357.313858</v>
      </c>
      <c r="G59">
        <v>2826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0.17863720073664824</v>
      </c>
      <c r="Q59">
        <f t="shared" ref="Q59" si="271">F59*P59</f>
        <v>421.10394885082871</v>
      </c>
      <c r="R59">
        <f t="shared" ref="R59" si="272">R60+Q59</f>
        <v>68727.649574170689</v>
      </c>
      <c r="S59">
        <f t="shared" ref="S59" si="273">R59/100000</f>
        <v>0.68727649574170691</v>
      </c>
      <c r="T59">
        <f t="shared" ref="T59" si="274">S59/1000</f>
        <v>6.8727649574170692E-4</v>
      </c>
    </row>
    <row r="60" spans="1:20" x14ac:dyDescent="0.25">
      <c r="A60" s="5">
        <v>44533</v>
      </c>
      <c r="B60">
        <v>3460</v>
      </c>
      <c r="C60">
        <v>3505</v>
      </c>
      <c r="D60">
        <v>3222</v>
      </c>
      <c r="E60">
        <v>3265</v>
      </c>
      <c r="F60">
        <v>656.54150000000004</v>
      </c>
      <c r="G60">
        <v>3265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-0.69611307420494695</v>
      </c>
      <c r="Q60">
        <f t="shared" ref="Q60" si="276">F60*P60</f>
        <v>-457.02712190812719</v>
      </c>
      <c r="R60">
        <f t="shared" ref="R60" si="277">R61+Q60</f>
        <v>68306.545625319864</v>
      </c>
      <c r="S60">
        <f t="shared" ref="S60" si="278">R60/100000</f>
        <v>0.6830654562531987</v>
      </c>
      <c r="T60">
        <f t="shared" ref="T60" si="279">S60/1000</f>
        <v>6.8306545625319869E-4</v>
      </c>
    </row>
    <row r="61" spans="1:20" x14ac:dyDescent="0.25">
      <c r="A61" s="5">
        <v>44532</v>
      </c>
      <c r="B61">
        <v>3433</v>
      </c>
      <c r="C61">
        <v>3483</v>
      </c>
      <c r="D61">
        <v>3307</v>
      </c>
      <c r="E61">
        <v>3456</v>
      </c>
      <c r="F61">
        <v>480.56099999999998</v>
      </c>
      <c r="G61">
        <v>3456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0.69318181818181823</v>
      </c>
      <c r="Q61">
        <f t="shared" ref="Q61" si="281">F61*P61</f>
        <v>333.11614772727273</v>
      </c>
      <c r="R61">
        <f t="shared" ref="R61" si="282">R62+Q61</f>
        <v>68763.572747227998</v>
      </c>
      <c r="S61">
        <f t="shared" ref="S61" si="283">R61/100000</f>
        <v>0.68763572747227997</v>
      </c>
      <c r="T61">
        <f t="shared" ref="T61" si="284">S61/1000</f>
        <v>6.8763572747227992E-4</v>
      </c>
    </row>
    <row r="62" spans="1:20" x14ac:dyDescent="0.25">
      <c r="A62" s="5">
        <v>44531</v>
      </c>
      <c r="B62">
        <v>3475</v>
      </c>
      <c r="C62">
        <v>3549</v>
      </c>
      <c r="D62">
        <v>3410</v>
      </c>
      <c r="E62">
        <v>3432</v>
      </c>
      <c r="F62">
        <v>583.47190000000001</v>
      </c>
      <c r="G62">
        <v>3432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-0.68345323741007191</v>
      </c>
      <c r="Q62">
        <f t="shared" ref="Q62" si="286">F62*P62</f>
        <v>-398.77575899280572</v>
      </c>
      <c r="R62">
        <f t="shared" ref="R62" si="287">R63+Q62</f>
        <v>68430.456599500729</v>
      </c>
      <c r="S62">
        <f t="shared" ref="S62" si="288">R62/100000</f>
        <v>0.68430456599500733</v>
      </c>
      <c r="T62">
        <f t="shared" ref="T62" si="289">S62/1000</f>
        <v>6.8430456599500732E-4</v>
      </c>
    </row>
    <row r="63" spans="1:20" x14ac:dyDescent="0.25">
      <c r="A63" s="5">
        <v>44530</v>
      </c>
      <c r="B63">
        <v>3496</v>
      </c>
      <c r="C63">
        <v>3563</v>
      </c>
      <c r="D63">
        <v>3415</v>
      </c>
      <c r="E63">
        <v>3473</v>
      </c>
      <c r="F63">
        <v>628.13250000000005</v>
      </c>
      <c r="G63">
        <v>3473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-0.21621621621621623</v>
      </c>
      <c r="Q63">
        <f t="shared" ref="Q63" si="291">F63*P63</f>
        <v>-135.81243243243244</v>
      </c>
      <c r="R63">
        <f t="shared" ref="R63" si="292">R64+Q63</f>
        <v>68829.232358493537</v>
      </c>
      <c r="S63">
        <f t="shared" ref="S63" si="293">R63/100000</f>
        <v>0.68829232358493542</v>
      </c>
      <c r="T63">
        <f t="shared" ref="T63" si="294">S63/1000</f>
        <v>6.8829232358493539E-4</v>
      </c>
    </row>
    <row r="64" spans="1:20" x14ac:dyDescent="0.25">
      <c r="A64" s="5">
        <v>44529</v>
      </c>
      <c r="B64">
        <v>3523</v>
      </c>
      <c r="C64">
        <v>3547</v>
      </c>
      <c r="D64">
        <v>3446</v>
      </c>
      <c r="E64">
        <v>3492</v>
      </c>
      <c r="F64">
        <v>496.73559999999998</v>
      </c>
      <c r="G64">
        <v>3492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-8.9108910891089105E-2</v>
      </c>
      <c r="Q64">
        <f t="shared" ref="Q64" si="296">F64*P64</f>
        <v>-44.26356831683168</v>
      </c>
      <c r="R64">
        <f t="shared" ref="R64" si="297">R65+Q64</f>
        <v>68965.044790925967</v>
      </c>
      <c r="S64">
        <f t="shared" ref="S64" si="298">R64/100000</f>
        <v>0.68965044790925967</v>
      </c>
      <c r="T64">
        <f t="shared" ref="T64" si="299">S64/1000</f>
        <v>6.8965044790925969E-4</v>
      </c>
    </row>
    <row r="65" spans="1:20" x14ac:dyDescent="0.25">
      <c r="A65" s="5">
        <v>44528</v>
      </c>
      <c r="B65">
        <v>3455</v>
      </c>
      <c r="C65">
        <v>3528</v>
      </c>
      <c r="D65">
        <v>3303</v>
      </c>
      <c r="E65">
        <v>3516</v>
      </c>
      <c r="F65">
        <v>652.0992</v>
      </c>
      <c r="G65">
        <v>3516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0.89333333333333331</v>
      </c>
      <c r="Q65">
        <f t="shared" ref="Q65" si="301">F65*P65</f>
        <v>582.54195200000004</v>
      </c>
      <c r="R65">
        <f t="shared" ref="R65" si="302">R66+Q65</f>
        <v>69009.308359242801</v>
      </c>
      <c r="S65">
        <f t="shared" ref="S65" si="303">R65/100000</f>
        <v>0.69009308359242805</v>
      </c>
      <c r="T65">
        <f t="shared" ref="T65" si="304">S65/1000</f>
        <v>6.9009308359242803E-4</v>
      </c>
    </row>
    <row r="66" spans="1:20" x14ac:dyDescent="0.25">
      <c r="A66" s="5">
        <v>44527</v>
      </c>
      <c r="B66">
        <v>3434</v>
      </c>
      <c r="C66">
        <v>3542</v>
      </c>
      <c r="D66">
        <v>3410</v>
      </c>
      <c r="E66">
        <v>3456</v>
      </c>
      <c r="F66">
        <v>570.96979999999996</v>
      </c>
      <c r="G66">
        <v>3456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-0.30303030303030304</v>
      </c>
      <c r="Q66">
        <f t="shared" ref="Q66" si="306">F66*P66</f>
        <v>-173.0211515151515</v>
      </c>
      <c r="R66">
        <f t="shared" ref="R66" si="307">R67+Q66</f>
        <v>68426.766407242802</v>
      </c>
      <c r="S66">
        <f t="shared" ref="S66" si="308">R66/100000</f>
        <v>0.68426766407242801</v>
      </c>
      <c r="T66">
        <f t="shared" ref="T66" si="309">S66/1000</f>
        <v>6.8426766407242803E-4</v>
      </c>
    </row>
    <row r="67" spans="1:20" x14ac:dyDescent="0.25">
      <c r="A67" s="5">
        <v>44526</v>
      </c>
      <c r="B67">
        <v>3811</v>
      </c>
      <c r="C67">
        <v>3829</v>
      </c>
      <c r="D67">
        <v>3325</v>
      </c>
      <c r="E67">
        <v>3433</v>
      </c>
      <c r="F67">
        <v>1601.674164</v>
      </c>
      <c r="G67">
        <v>3433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-0.5714285714285714</v>
      </c>
      <c r="Q67">
        <f t="shared" ref="Q67" si="311">F67*P67</f>
        <v>-915.24237942857144</v>
      </c>
      <c r="R67">
        <f t="shared" ref="R67" si="312">R68+Q67</f>
        <v>68599.787558757947</v>
      </c>
      <c r="S67">
        <f t="shared" ref="S67" si="313">R67/100000</f>
        <v>0.68599787558757952</v>
      </c>
      <c r="T67">
        <f t="shared" ref="T67" si="314">S67/1000</f>
        <v>6.8599787558757948E-4</v>
      </c>
    </row>
    <row r="68" spans="1:20" x14ac:dyDescent="0.25">
      <c r="A68" s="5">
        <v>44525</v>
      </c>
      <c r="B68">
        <v>3748</v>
      </c>
      <c r="C68">
        <v>3871</v>
      </c>
      <c r="D68">
        <v>3724</v>
      </c>
      <c r="E68">
        <v>3808</v>
      </c>
      <c r="F68">
        <v>631.5675</v>
      </c>
      <c r="G68">
        <v>3808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0.14285714285714285</v>
      </c>
      <c r="Q68">
        <f t="shared" ref="Q68" si="316">F68*P68</f>
        <v>90.223928571428573</v>
      </c>
      <c r="R68">
        <f t="shared" ref="R68" si="317">R69+Q68</f>
        <v>69515.029938186519</v>
      </c>
      <c r="S68">
        <f t="shared" ref="S68" si="318">R68/100000</f>
        <v>0.69515029938186523</v>
      </c>
      <c r="T68">
        <f t="shared" ref="T68" si="319">S68/1000</f>
        <v>6.9515029938186528E-4</v>
      </c>
    </row>
    <row r="69" spans="1:20" x14ac:dyDescent="0.25">
      <c r="A69" s="5">
        <v>44524</v>
      </c>
      <c r="B69">
        <v>3844</v>
      </c>
      <c r="C69">
        <v>3908</v>
      </c>
      <c r="D69">
        <v>3826</v>
      </c>
      <c r="E69">
        <v>3847</v>
      </c>
      <c r="F69">
        <v>366.1952</v>
      </c>
      <c r="G69">
        <v>3847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-0.48780487804878048</v>
      </c>
      <c r="Q69">
        <f t="shared" ref="Q69" si="321">F69*P69</f>
        <v>-178.63180487804877</v>
      </c>
      <c r="R69">
        <f t="shared" ref="R69" si="322">R70+Q69</f>
        <v>69424.806009615088</v>
      </c>
      <c r="S69">
        <f t="shared" ref="S69" si="323">R69/100000</f>
        <v>0.69424806009615092</v>
      </c>
      <c r="T69">
        <f t="shared" ref="T69" si="324">S69/1000</f>
        <v>6.9424806009615089E-4</v>
      </c>
    </row>
    <row r="70" spans="1:20" x14ac:dyDescent="0.25">
      <c r="A70" s="5">
        <v>44523</v>
      </c>
      <c r="B70">
        <v>3698</v>
      </c>
      <c r="C70">
        <v>3878</v>
      </c>
      <c r="D70">
        <v>3668</v>
      </c>
      <c r="E70">
        <v>3837</v>
      </c>
      <c r="F70">
        <v>718.60889999999995</v>
      </c>
      <c r="G70">
        <v>3837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0.60952380952380958</v>
      </c>
      <c r="Q70">
        <f t="shared" ref="Q70" si="326">F70*P70</f>
        <v>438.00923428571429</v>
      </c>
      <c r="R70">
        <f t="shared" ref="R70" si="327">R71+Q70</f>
        <v>69603.43781449314</v>
      </c>
      <c r="S70">
        <f t="shared" ref="S70" si="328">R70/100000</f>
        <v>0.69603437814493141</v>
      </c>
      <c r="T70">
        <f t="shared" ref="T70" si="329">S70/1000</f>
        <v>6.9603437814493138E-4</v>
      </c>
    </row>
    <row r="71" spans="1:20" x14ac:dyDescent="0.25">
      <c r="A71" s="5">
        <v>44522</v>
      </c>
      <c r="B71">
        <v>3898</v>
      </c>
      <c r="C71">
        <v>3906</v>
      </c>
      <c r="D71">
        <v>3650</v>
      </c>
      <c r="E71">
        <v>3698</v>
      </c>
      <c r="F71">
        <v>816.10040000000004</v>
      </c>
      <c r="G71">
        <v>3698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-0.625</v>
      </c>
      <c r="Q71">
        <f t="shared" ref="Q71" si="331">F71*P71</f>
        <v>-510.06275000000005</v>
      </c>
      <c r="R71">
        <f t="shared" ref="R71" si="332">R72+Q71</f>
        <v>69165.42858020743</v>
      </c>
      <c r="S71">
        <f t="shared" ref="S71" si="333">R71/100000</f>
        <v>0.69165428580207433</v>
      </c>
      <c r="T71">
        <f t="shared" ref="T71" si="334">S71/1000</f>
        <v>6.9165428580207438E-4</v>
      </c>
    </row>
    <row r="72" spans="1:20" x14ac:dyDescent="0.25">
      <c r="A72" s="5">
        <v>44521</v>
      </c>
      <c r="B72">
        <v>3914</v>
      </c>
      <c r="C72">
        <v>3997</v>
      </c>
      <c r="D72">
        <v>3844</v>
      </c>
      <c r="E72">
        <v>3895</v>
      </c>
      <c r="F72">
        <v>561.67269999999996</v>
      </c>
      <c r="G72">
        <v>3895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-0.33333333333333331</v>
      </c>
      <c r="Q72">
        <f t="shared" ref="Q72" si="336">F72*P72</f>
        <v>-187.2242333333333</v>
      </c>
      <c r="R72">
        <f t="shared" ref="R72" si="337">R73+Q72</f>
        <v>69675.491330207427</v>
      </c>
      <c r="S72">
        <f t="shared" ref="S72" si="338">R72/100000</f>
        <v>0.69675491330207429</v>
      </c>
      <c r="T72">
        <f t="shared" ref="T72" si="339">S72/1000</f>
        <v>6.9675491330207433E-4</v>
      </c>
    </row>
    <row r="73" spans="1:20" x14ac:dyDescent="0.25">
      <c r="A73" s="5">
        <v>44520</v>
      </c>
      <c r="B73">
        <v>3911</v>
      </c>
      <c r="C73">
        <v>3958</v>
      </c>
      <c r="D73">
        <v>3783</v>
      </c>
      <c r="E73">
        <v>3911</v>
      </c>
      <c r="F73">
        <v>603.28250000000003</v>
      </c>
      <c r="G73">
        <v>3911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0.46285714285714286</v>
      </c>
      <c r="Q73">
        <f t="shared" ref="Q73" si="341">F73*P73</f>
        <v>279.23361428571428</v>
      </c>
      <c r="R73">
        <f t="shared" ref="R73" si="342">R74+Q73</f>
        <v>69862.715563540754</v>
      </c>
      <c r="S73">
        <f t="shared" ref="S73" si="343">R73/100000</f>
        <v>0.69862715563540756</v>
      </c>
      <c r="T73">
        <f t="shared" ref="T73" si="344">S73/1000</f>
        <v>6.9862715563540751E-4</v>
      </c>
    </row>
    <row r="74" spans="1:20" x14ac:dyDescent="0.25">
      <c r="A74" s="5">
        <v>44519</v>
      </c>
      <c r="B74">
        <v>3773</v>
      </c>
      <c r="C74">
        <v>3948</v>
      </c>
      <c r="D74">
        <v>3705</v>
      </c>
      <c r="E74">
        <v>3906</v>
      </c>
      <c r="F74">
        <v>718.50879999999995</v>
      </c>
      <c r="G74">
        <v>3906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0.65432098765432101</v>
      </c>
      <c r="Q74">
        <f t="shared" ref="Q74" si="346">F74*P74</f>
        <v>470.13538765432099</v>
      </c>
      <c r="R74">
        <f t="shared" ref="R74" si="347">R75+Q74</f>
        <v>69583.481949255045</v>
      </c>
      <c r="S74">
        <f t="shared" ref="S74" si="348">R74/100000</f>
        <v>0.69583481949255044</v>
      </c>
      <c r="T74">
        <f t="shared" ref="T74" si="349">S74/1000</f>
        <v>6.9583481949255042E-4</v>
      </c>
    </row>
    <row r="75" spans="1:20" x14ac:dyDescent="0.25">
      <c r="A75" s="5">
        <v>44518</v>
      </c>
      <c r="B75">
        <v>3868</v>
      </c>
      <c r="C75">
        <v>4319</v>
      </c>
      <c r="D75">
        <v>3713</v>
      </c>
      <c r="E75">
        <v>3771</v>
      </c>
      <c r="F75">
        <v>2780.0122000000001</v>
      </c>
      <c r="G75">
        <v>3771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-0.8085808580858086</v>
      </c>
      <c r="Q75">
        <f t="shared" ref="Q75" si="351">F75*P75</f>
        <v>-2247.8646501650164</v>
      </c>
      <c r="R75">
        <f t="shared" ref="R75" si="352">R76+Q75</f>
        <v>69113.346561600731</v>
      </c>
      <c r="S75">
        <f t="shared" ref="S75" si="353">R75/100000</f>
        <v>0.6911334656160073</v>
      </c>
      <c r="T75">
        <f t="shared" ref="T75" si="354">S75/1000</f>
        <v>6.9113346561600726E-4</v>
      </c>
    </row>
    <row r="76" spans="1:20" x14ac:dyDescent="0.25">
      <c r="A76" s="5">
        <v>44517</v>
      </c>
      <c r="B76">
        <v>3872</v>
      </c>
      <c r="C76">
        <v>3896</v>
      </c>
      <c r="D76">
        <v>3711</v>
      </c>
      <c r="E76">
        <v>3872</v>
      </c>
      <c r="F76">
        <v>982.99699999999996</v>
      </c>
      <c r="G76">
        <v>3872</v>
      </c>
      <c r="L76" t="s">
        <v>7</v>
      </c>
      <c r="M76" t="s">
        <v>8</v>
      </c>
      <c r="N76" t="s">
        <v>7</v>
      </c>
      <c r="P76">
        <f t="shared" ref="P76" si="355">IF(C76=D76,0,((E76-D76)-(C76-E76))/(C76-D76))</f>
        <v>0.74054054054054053</v>
      </c>
      <c r="Q76">
        <f t="shared" ref="Q76" si="356">F76*P76</f>
        <v>727.94912972972963</v>
      </c>
      <c r="R76">
        <f t="shared" ref="R76" si="357">R77+Q76</f>
        <v>71361.211211765753</v>
      </c>
      <c r="S76">
        <f t="shared" ref="S76" si="358">R76/100000</f>
        <v>0.71361211211765752</v>
      </c>
      <c r="T76">
        <f t="shared" ref="T76" si="359">S76/1000</f>
        <v>7.1361211211765747E-4</v>
      </c>
    </row>
    <row r="77" spans="1:20" x14ac:dyDescent="0.25">
      <c r="A77" s="5">
        <v>44516</v>
      </c>
      <c r="B77">
        <v>4108</v>
      </c>
      <c r="C77">
        <v>4111</v>
      </c>
      <c r="D77">
        <v>3680</v>
      </c>
      <c r="E77">
        <v>3872</v>
      </c>
      <c r="F77">
        <v>1564.0288</v>
      </c>
      <c r="G77">
        <v>3872</v>
      </c>
      <c r="L77" t="s">
        <v>7</v>
      </c>
      <c r="M77" t="s">
        <v>8</v>
      </c>
      <c r="N77" t="s">
        <v>7</v>
      </c>
      <c r="P77">
        <f t="shared" ref="P77" si="360">IF(C77=D77,0,((E77-D77)-(C77-E77))/(C77-D77))</f>
        <v>-0.10904872389791183</v>
      </c>
      <c r="Q77">
        <f t="shared" ref="Q77" si="361">F77*P77</f>
        <v>-170.55534477958236</v>
      </c>
      <c r="R77">
        <f t="shared" ref="R77" si="362">R78+Q77</f>
        <v>70633.262082036017</v>
      </c>
      <c r="S77">
        <f t="shared" ref="S77" si="363">R77/100000</f>
        <v>0.70633262082036019</v>
      </c>
      <c r="T77">
        <f t="shared" ref="T77" si="364">S77/1000</f>
        <v>7.0633262082036023E-4</v>
      </c>
    </row>
    <row r="78" spans="1:20" x14ac:dyDescent="0.25">
      <c r="A78" s="5">
        <v>44515</v>
      </c>
      <c r="B78">
        <v>4144</v>
      </c>
      <c r="C78">
        <v>4340</v>
      </c>
      <c r="D78">
        <v>4052</v>
      </c>
      <c r="E78">
        <v>4111</v>
      </c>
      <c r="F78">
        <v>1294.6929</v>
      </c>
      <c r="G78">
        <v>4111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-0.59027777777777779</v>
      </c>
      <c r="Q78">
        <f t="shared" ref="Q78" si="366">F78*P78</f>
        <v>-764.22844791666671</v>
      </c>
      <c r="R78">
        <f t="shared" ref="R78" si="367">R79+Q78</f>
        <v>70803.8174268156</v>
      </c>
      <c r="S78">
        <f t="shared" ref="S78" si="368">R78/100000</f>
        <v>0.70803817426815596</v>
      </c>
      <c r="T78">
        <f t="shared" ref="T78" si="369">S78/1000</f>
        <v>7.0803817426815592E-4</v>
      </c>
    </row>
    <row r="79" spans="1:20" x14ac:dyDescent="0.25">
      <c r="A79" s="5">
        <v>44514</v>
      </c>
      <c r="B79">
        <v>4118</v>
      </c>
      <c r="C79">
        <v>4210</v>
      </c>
      <c r="D79">
        <v>4071</v>
      </c>
      <c r="E79">
        <v>4141</v>
      </c>
      <c r="F79">
        <v>1199.9708000000001</v>
      </c>
      <c r="G79">
        <v>4141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7.1942446043165471E-3</v>
      </c>
      <c r="Q79">
        <f t="shared" ref="Q79" si="371">F79*P79</f>
        <v>8.6328834532374117</v>
      </c>
      <c r="R79">
        <f t="shared" ref="R79" si="372">R80+Q79</f>
        <v>71568.04587473227</v>
      </c>
      <c r="S79">
        <f t="shared" ref="S79" si="373">R79/100000</f>
        <v>0.71568045874732267</v>
      </c>
      <c r="T79">
        <f t="shared" ref="T79" si="374">S79/1000</f>
        <v>7.1568045874732269E-4</v>
      </c>
    </row>
    <row r="80" spans="1:20" x14ac:dyDescent="0.25">
      <c r="A80" s="5">
        <v>44513</v>
      </c>
      <c r="B80">
        <v>4104</v>
      </c>
      <c r="C80">
        <v>4198</v>
      </c>
      <c r="D80">
        <v>4051</v>
      </c>
      <c r="E80">
        <v>4117</v>
      </c>
      <c r="F80">
        <v>1085.0499</v>
      </c>
      <c r="G80">
        <v>4117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-0.10204081632653061</v>
      </c>
      <c r="Q80">
        <f t="shared" ref="Q80" si="376">F80*P80</f>
        <v>-110.71937755102041</v>
      </c>
      <c r="R80">
        <f t="shared" ref="R80" si="377">R81+Q80</f>
        <v>71559.412991279038</v>
      </c>
      <c r="S80">
        <f t="shared" ref="S80" si="378">R80/100000</f>
        <v>0.71559412991279037</v>
      </c>
      <c r="T80">
        <f t="shared" ref="T80" si="379">S80/1000</f>
        <v>7.1559412991279033E-4</v>
      </c>
    </row>
    <row r="81" spans="1:20" x14ac:dyDescent="0.25">
      <c r="A81" s="5">
        <v>44512</v>
      </c>
      <c r="B81">
        <v>4031</v>
      </c>
      <c r="C81">
        <v>4135</v>
      </c>
      <c r="D81">
        <v>3870</v>
      </c>
      <c r="E81">
        <v>4109</v>
      </c>
      <c r="F81">
        <v>2828.2269999999999</v>
      </c>
      <c r="G81">
        <v>4109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0.80377358490566042</v>
      </c>
      <c r="Q81">
        <f t="shared" ref="Q81" si="381">F81*P81</f>
        <v>2273.2541547169812</v>
      </c>
      <c r="R81">
        <f t="shared" ref="R81" si="382">R82+Q81</f>
        <v>71670.132368830062</v>
      </c>
      <c r="S81">
        <f t="shared" ref="S81" si="383">R81/100000</f>
        <v>0.71670132368830064</v>
      </c>
      <c r="T81">
        <f t="shared" ref="T81" si="384">S81/1000</f>
        <v>7.1670132368830059E-4</v>
      </c>
    </row>
    <row r="82" spans="1:20" x14ac:dyDescent="0.25">
      <c r="A82" s="5">
        <v>44511</v>
      </c>
      <c r="B82">
        <v>3768</v>
      </c>
      <c r="C82">
        <v>4147</v>
      </c>
      <c r="D82">
        <v>3720</v>
      </c>
      <c r="E82">
        <v>4029</v>
      </c>
      <c r="F82">
        <v>2206.2222000000002</v>
      </c>
      <c r="G82">
        <v>4029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0.44730679156908665</v>
      </c>
      <c r="Q82">
        <f t="shared" ref="Q82" si="386">F82*P82</f>
        <v>986.85817377049182</v>
      </c>
      <c r="R82">
        <f t="shared" ref="R82" si="387">R83+Q82</f>
        <v>69396.87821411308</v>
      </c>
      <c r="S82">
        <f t="shared" ref="S82" si="388">R82/100000</f>
        <v>0.69396878214113078</v>
      </c>
      <c r="T82">
        <f t="shared" ref="T82" si="389">S82/1000</f>
        <v>6.9396878214113083E-4</v>
      </c>
    </row>
    <row r="83" spans="1:20" x14ac:dyDescent="0.25">
      <c r="A83" s="5">
        <v>44510</v>
      </c>
      <c r="B83">
        <v>4051</v>
      </c>
      <c r="C83">
        <v>4155</v>
      </c>
      <c r="D83">
        <v>3500</v>
      </c>
      <c r="E83">
        <v>3764</v>
      </c>
      <c r="F83">
        <v>1918.8577</v>
      </c>
      <c r="G83">
        <v>3764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-0.19389312977099238</v>
      </c>
      <c r="Q83">
        <f t="shared" ref="Q83" si="391">F83*P83</f>
        <v>-372.05332503816794</v>
      </c>
      <c r="R83">
        <f t="shared" ref="R83" si="392">R84+Q83</f>
        <v>68410.020040342584</v>
      </c>
      <c r="S83">
        <f t="shared" ref="S83" si="393">R83/100000</f>
        <v>0.6841002004034259</v>
      </c>
      <c r="T83">
        <f t="shared" ref="T83" si="394">S83/1000</f>
        <v>6.8410020040342594E-4</v>
      </c>
    </row>
    <row r="84" spans="1:20" x14ac:dyDescent="0.25">
      <c r="A84" s="5">
        <v>44509</v>
      </c>
      <c r="B84">
        <v>4366</v>
      </c>
      <c r="C84">
        <v>4367</v>
      </c>
      <c r="D84">
        <v>4025</v>
      </c>
      <c r="E84">
        <v>4050</v>
      </c>
      <c r="F84">
        <v>1620.0608</v>
      </c>
      <c r="G84">
        <v>4050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-0.85380116959064323</v>
      </c>
      <c r="Q84">
        <f t="shared" ref="Q84" si="396">F84*P84</f>
        <v>-1383.209805847953</v>
      </c>
      <c r="R84">
        <f t="shared" ref="R84" si="397">R85+Q84</f>
        <v>68782.073365380755</v>
      </c>
      <c r="S84">
        <f t="shared" ref="S84" si="398">R84/100000</f>
        <v>0.68782073365380758</v>
      </c>
      <c r="T84">
        <f t="shared" ref="T84" si="399">S84/1000</f>
        <v>6.8782073365380753E-4</v>
      </c>
    </row>
    <row r="85" spans="1:20" x14ac:dyDescent="0.25">
      <c r="A85" s="5">
        <v>44508</v>
      </c>
      <c r="B85">
        <v>3896</v>
      </c>
      <c r="C85">
        <v>4437</v>
      </c>
      <c r="D85">
        <v>3862</v>
      </c>
      <c r="E85">
        <v>4367</v>
      </c>
      <c r="F85">
        <v>4931.3320999999996</v>
      </c>
      <c r="G85">
        <v>4367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0.75652173913043474</v>
      </c>
      <c r="Q85">
        <f t="shared" ref="Q85" si="401">F85*P85</f>
        <v>3730.6599365217385</v>
      </c>
      <c r="R85">
        <f t="shared" ref="R85" si="402">R86+Q85</f>
        <v>70165.283171228701</v>
      </c>
      <c r="S85">
        <f t="shared" ref="S85" si="403">R85/100000</f>
        <v>0.70165283171228698</v>
      </c>
      <c r="T85">
        <f t="shared" ref="T85" si="404">S85/1000</f>
        <v>7.0165283171228702E-4</v>
      </c>
    </row>
    <row r="86" spans="1:20" x14ac:dyDescent="0.25">
      <c r="A86" s="5">
        <v>44507</v>
      </c>
      <c r="B86">
        <v>3834</v>
      </c>
      <c r="C86">
        <v>3925</v>
      </c>
      <c r="D86">
        <v>3790</v>
      </c>
      <c r="E86">
        <v>3897</v>
      </c>
      <c r="F86">
        <v>649.57010000000002</v>
      </c>
      <c r="G86">
        <v>3897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0.58518518518518514</v>
      </c>
      <c r="Q86">
        <f t="shared" ref="Q86" si="406">F86*P86</f>
        <v>380.11879925925922</v>
      </c>
      <c r="R86">
        <f t="shared" ref="R86" si="407">R87+Q86</f>
        <v>66434.62323470696</v>
      </c>
      <c r="S86">
        <f t="shared" ref="S86" si="408">R86/100000</f>
        <v>0.66434623234706958</v>
      </c>
      <c r="T86">
        <f t="shared" ref="T86" si="409">S86/1000</f>
        <v>6.6434623234706955E-4</v>
      </c>
    </row>
    <row r="87" spans="1:20" x14ac:dyDescent="0.25">
      <c r="A87" s="5">
        <v>44506</v>
      </c>
      <c r="B87">
        <v>3860</v>
      </c>
      <c r="C87">
        <v>3896</v>
      </c>
      <c r="D87">
        <v>3735</v>
      </c>
      <c r="E87">
        <v>3832</v>
      </c>
      <c r="F87">
        <v>593.76080000000002</v>
      </c>
      <c r="G87">
        <v>3832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0.20496894409937888</v>
      </c>
      <c r="Q87">
        <f t="shared" ref="Q87" si="411">F87*P87</f>
        <v>121.70252422360248</v>
      </c>
      <c r="R87">
        <f t="shared" ref="R87" si="412">R88+Q87</f>
        <v>66054.5044354477</v>
      </c>
      <c r="S87">
        <f t="shared" ref="S87" si="413">R87/100000</f>
        <v>0.66054504435447703</v>
      </c>
      <c r="T87">
        <f t="shared" ref="T87" si="414">S87/1000</f>
        <v>6.6054504435447703E-4</v>
      </c>
    </row>
    <row r="88" spans="1:20" x14ac:dyDescent="0.25">
      <c r="A88" s="5">
        <v>44505</v>
      </c>
      <c r="B88">
        <v>3852</v>
      </c>
      <c r="C88">
        <v>3886</v>
      </c>
      <c r="D88">
        <v>3800</v>
      </c>
      <c r="E88">
        <v>3858</v>
      </c>
      <c r="F88">
        <v>532.04420000000005</v>
      </c>
      <c r="G88">
        <v>3858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0.34883720930232559</v>
      </c>
      <c r="Q88">
        <f t="shared" ref="Q88" si="416">F88*P88</f>
        <v>185.59681395348838</v>
      </c>
      <c r="R88">
        <f t="shared" ref="R88" si="417">R89+Q88</f>
        <v>65932.801911224102</v>
      </c>
      <c r="S88">
        <f t="shared" ref="S88" si="418">R88/100000</f>
        <v>0.65932801911224104</v>
      </c>
      <c r="T88">
        <f t="shared" ref="T88" si="419">S88/1000</f>
        <v>6.5932801911224102E-4</v>
      </c>
    </row>
    <row r="89" spans="1:20" x14ac:dyDescent="0.25">
      <c r="A89" s="5">
        <v>44504</v>
      </c>
      <c r="B89">
        <v>4104</v>
      </c>
      <c r="C89">
        <v>4120</v>
      </c>
      <c r="D89">
        <v>3752</v>
      </c>
      <c r="E89">
        <v>3855</v>
      </c>
      <c r="F89">
        <v>1375.3931</v>
      </c>
      <c r="G89">
        <v>3855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-0.44021739130434784</v>
      </c>
      <c r="Q89">
        <f t="shared" ref="Q89" si="421">F89*P89</f>
        <v>-605.47196250000002</v>
      </c>
      <c r="R89">
        <f t="shared" ref="R89" si="422">R90+Q89</f>
        <v>65747.20509727062</v>
      </c>
      <c r="S89">
        <f t="shared" ref="S89" si="423">R89/100000</f>
        <v>0.65747205097270622</v>
      </c>
      <c r="T89">
        <f t="shared" ref="T89" si="424">S89/1000</f>
        <v>6.5747205097270618E-4</v>
      </c>
    </row>
    <row r="90" spans="1:20" x14ac:dyDescent="0.25">
      <c r="A90" s="5">
        <v>44503</v>
      </c>
      <c r="B90">
        <v>3865</v>
      </c>
      <c r="C90">
        <v>4121</v>
      </c>
      <c r="D90">
        <v>3720</v>
      </c>
      <c r="E90">
        <v>4102</v>
      </c>
      <c r="F90">
        <v>2026.4374</v>
      </c>
      <c r="G90">
        <v>4102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0.90523690773067333</v>
      </c>
      <c r="Q90">
        <f t="shared" ref="Q90" si="426">F90*P90</f>
        <v>1834.4059256857856</v>
      </c>
      <c r="R90">
        <f t="shared" ref="R90" si="427">R91+Q90</f>
        <v>66352.67705977062</v>
      </c>
      <c r="S90">
        <f t="shared" ref="S90" si="428">R90/100000</f>
        <v>0.66352677059770615</v>
      </c>
      <c r="T90">
        <f t="shared" ref="T90" si="429">S90/1000</f>
        <v>6.635267705977062E-4</v>
      </c>
    </row>
    <row r="91" spans="1:20" x14ac:dyDescent="0.25">
      <c r="A91" s="5">
        <v>44502</v>
      </c>
      <c r="B91">
        <v>3983</v>
      </c>
      <c r="C91">
        <v>4039</v>
      </c>
      <c r="D91">
        <v>3826</v>
      </c>
      <c r="E91">
        <v>3865</v>
      </c>
      <c r="F91">
        <v>1235.0388</v>
      </c>
      <c r="G91">
        <v>3865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-0.63380281690140849</v>
      </c>
      <c r="Q91">
        <f t="shared" ref="Q91" si="431">F91*P91</f>
        <v>-782.77107042253533</v>
      </c>
      <c r="R91">
        <f t="shared" ref="R91" si="432">R92+Q91</f>
        <v>64518.27113408484</v>
      </c>
      <c r="S91">
        <f t="shared" ref="S91" si="433">R91/100000</f>
        <v>0.64518271134084837</v>
      </c>
      <c r="T91">
        <f t="shared" ref="T91" si="434">S91/1000</f>
        <v>6.4518271134084832E-4</v>
      </c>
    </row>
    <row r="92" spans="1:20" x14ac:dyDescent="0.25">
      <c r="A92" s="5">
        <v>44501</v>
      </c>
      <c r="B92">
        <v>3775</v>
      </c>
      <c r="C92">
        <v>4011</v>
      </c>
      <c r="D92">
        <v>3650</v>
      </c>
      <c r="E92">
        <v>3983</v>
      </c>
      <c r="F92">
        <v>1471.0977</v>
      </c>
      <c r="G92">
        <v>3983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0.84487534626038785</v>
      </c>
      <c r="Q92">
        <f t="shared" ref="Q92" si="436">F92*P92</f>
        <v>1242.8941786703601</v>
      </c>
      <c r="R92">
        <f t="shared" ref="R92" si="437">R93+Q92</f>
        <v>65301.042204507372</v>
      </c>
      <c r="S92">
        <f t="shared" ref="S92" si="438">R92/100000</f>
        <v>0.65301042204507376</v>
      </c>
      <c r="T92">
        <f t="shared" ref="T92" si="439">S92/1000</f>
        <v>6.5301042204507379E-4</v>
      </c>
    </row>
    <row r="93" spans="1:20" x14ac:dyDescent="0.25">
      <c r="A93" s="5">
        <v>44500</v>
      </c>
      <c r="B93">
        <v>3781</v>
      </c>
      <c r="C93">
        <v>3831</v>
      </c>
      <c r="D93">
        <v>3657</v>
      </c>
      <c r="E93">
        <v>3772</v>
      </c>
      <c r="F93">
        <v>615.62689999999998</v>
      </c>
      <c r="G93">
        <v>3772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0.32183908045977011</v>
      </c>
      <c r="Q93">
        <f t="shared" ref="Q93" si="441">F93*P93</f>
        <v>198.13279540229885</v>
      </c>
      <c r="R93">
        <f t="shared" ref="R93" si="442">R94+Q93</f>
        <v>64058.148025837014</v>
      </c>
      <c r="S93">
        <f t="shared" ref="S93" si="443">R93/100000</f>
        <v>0.64058148025837014</v>
      </c>
      <c r="T93">
        <f t="shared" ref="T93" si="444">S93/1000</f>
        <v>6.4058148025837017E-4</v>
      </c>
    </row>
    <row r="94" spans="1:20" x14ac:dyDescent="0.25">
      <c r="A94" s="5">
        <v>44499</v>
      </c>
      <c r="B94">
        <v>3863</v>
      </c>
      <c r="C94">
        <v>3884</v>
      </c>
      <c r="D94">
        <v>3717</v>
      </c>
      <c r="E94">
        <v>3785</v>
      </c>
      <c r="F94">
        <v>507.78680000000003</v>
      </c>
      <c r="G94">
        <v>3785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-0.18562874251497005</v>
      </c>
      <c r="Q94">
        <f t="shared" ref="Q94" si="446">F94*P94</f>
        <v>-94.259825149700603</v>
      </c>
      <c r="R94">
        <f t="shared" ref="R94" si="447">R95+Q94</f>
        <v>63860.015230434714</v>
      </c>
      <c r="S94">
        <f t="shared" ref="S94" si="448">R94/100000</f>
        <v>0.63860015230434719</v>
      </c>
      <c r="T94">
        <f t="shared" ref="T94" si="449">S94/1000</f>
        <v>6.3860015230434721E-4</v>
      </c>
    </row>
    <row r="95" spans="1:20" x14ac:dyDescent="0.25">
      <c r="A95" s="5">
        <v>44498</v>
      </c>
      <c r="B95">
        <v>3807</v>
      </c>
      <c r="C95">
        <v>3927</v>
      </c>
      <c r="D95">
        <v>3762</v>
      </c>
      <c r="E95">
        <v>3862</v>
      </c>
      <c r="F95">
        <v>709.57259999999997</v>
      </c>
      <c r="G95">
        <v>3862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0.21212121212121213</v>
      </c>
      <c r="Q95">
        <f t="shared" ref="Q95" si="451">F95*P95</f>
        <v>150.5154</v>
      </c>
      <c r="R95">
        <f t="shared" ref="R95" si="452">R96+Q95</f>
        <v>63954.275055584418</v>
      </c>
      <c r="S95">
        <f t="shared" ref="S95" si="453">R95/100000</f>
        <v>0.6395427505558442</v>
      </c>
      <c r="T95">
        <f t="shared" ref="T95" si="454">S95/1000</f>
        <v>6.3954275055584414E-4</v>
      </c>
    </row>
    <row r="96" spans="1:20" x14ac:dyDescent="0.25">
      <c r="A96" s="5">
        <v>44497</v>
      </c>
      <c r="B96">
        <v>3674</v>
      </c>
      <c r="C96">
        <v>3868</v>
      </c>
      <c r="D96">
        <v>3641</v>
      </c>
      <c r="E96">
        <v>3806</v>
      </c>
      <c r="F96">
        <v>1120.2763</v>
      </c>
      <c r="G96">
        <v>3806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0.45374449339207046</v>
      </c>
      <c r="Q96">
        <f t="shared" ref="Q96" si="456">F96*P96</f>
        <v>508.31920220264311</v>
      </c>
      <c r="R96">
        <f t="shared" ref="R96" si="457">R97+Q96</f>
        <v>63803.759655584421</v>
      </c>
      <c r="S96">
        <f t="shared" ref="S96" si="458">R96/100000</f>
        <v>0.63803759655584424</v>
      </c>
      <c r="T96">
        <f t="shared" ref="T96" si="459">S96/1000</f>
        <v>6.3803759655584426E-4</v>
      </c>
    </row>
    <row r="97" spans="1:20" x14ac:dyDescent="0.25">
      <c r="A97" s="5">
        <v>44496</v>
      </c>
      <c r="B97">
        <v>4196</v>
      </c>
      <c r="C97">
        <v>4530</v>
      </c>
      <c r="D97">
        <v>3567</v>
      </c>
      <c r="E97">
        <v>3674</v>
      </c>
      <c r="F97">
        <v>3145.840717</v>
      </c>
      <c r="G97">
        <v>3674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-0.77777777777777779</v>
      </c>
      <c r="Q97">
        <f t="shared" ref="Q97" si="461">F97*P97</f>
        <v>-2446.7650021111112</v>
      </c>
      <c r="R97">
        <f t="shared" ref="R97" si="462">R98+Q97</f>
        <v>63295.44045338178</v>
      </c>
      <c r="S97">
        <f t="shared" ref="S97" si="463">R97/100000</f>
        <v>0.63295440453381779</v>
      </c>
      <c r="T97">
        <f t="shared" ref="T97" si="464">S97/1000</f>
        <v>6.3295440453381782E-4</v>
      </c>
    </row>
    <row r="98" spans="1:20" x14ac:dyDescent="0.25">
      <c r="A98" s="5">
        <v>44495</v>
      </c>
      <c r="B98">
        <v>4055</v>
      </c>
      <c r="C98">
        <v>4358</v>
      </c>
      <c r="D98">
        <v>4049</v>
      </c>
      <c r="E98">
        <v>4196</v>
      </c>
      <c r="F98">
        <v>1255.9847</v>
      </c>
      <c r="G98">
        <v>4196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-4.8543689320388349E-2</v>
      </c>
      <c r="Q98">
        <f t="shared" ref="Q98" si="466">F98*P98</f>
        <v>-60.970131067961162</v>
      </c>
      <c r="R98">
        <f t="shared" ref="R98" si="467">R99+Q98</f>
        <v>65742.205455492891</v>
      </c>
      <c r="S98">
        <f t="shared" ref="S98" si="468">R98/100000</f>
        <v>0.65742205455492886</v>
      </c>
      <c r="T98">
        <f t="shared" ref="T98" si="469">S98/1000</f>
        <v>6.5742205455492889E-4</v>
      </c>
    </row>
    <row r="99" spans="1:20" x14ac:dyDescent="0.25">
      <c r="A99" s="5">
        <v>44494</v>
      </c>
      <c r="B99">
        <v>3970</v>
      </c>
      <c r="C99">
        <v>4083</v>
      </c>
      <c r="D99">
        <v>3935</v>
      </c>
      <c r="E99">
        <v>4058</v>
      </c>
      <c r="F99">
        <v>417.60539999999997</v>
      </c>
      <c r="G99">
        <v>4058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0.66216216216216217</v>
      </c>
      <c r="Q99">
        <f t="shared" ref="Q99" si="471">F99*P99</f>
        <v>276.5224945945946</v>
      </c>
      <c r="R99">
        <f t="shared" ref="R99" si="472">R100+Q99</f>
        <v>65803.175586560857</v>
      </c>
      <c r="S99">
        <f t="shared" ref="S99" si="473">R99/100000</f>
        <v>0.65803175586560858</v>
      </c>
      <c r="T99">
        <f t="shared" ref="T99" si="474">S99/1000</f>
        <v>6.580317558656086E-4</v>
      </c>
    </row>
    <row r="100" spans="1:20" x14ac:dyDescent="0.25">
      <c r="A100" s="5">
        <v>44493</v>
      </c>
      <c r="B100">
        <v>4010</v>
      </c>
      <c r="C100">
        <v>4116</v>
      </c>
      <c r="D100">
        <v>3905</v>
      </c>
      <c r="E100">
        <v>3971</v>
      </c>
      <c r="F100">
        <v>676.88459999999998</v>
      </c>
      <c r="G100">
        <v>3971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-0.37440758293838861</v>
      </c>
      <c r="Q100">
        <f t="shared" ref="Q100" si="476">F100*P100</f>
        <v>-253.43072701421798</v>
      </c>
      <c r="R100">
        <f t="shared" ref="R100" si="477">R101+Q100</f>
        <v>65526.653091966262</v>
      </c>
      <c r="S100">
        <f t="shared" ref="S100" si="478">R100/100000</f>
        <v>0.65526653091966258</v>
      </c>
      <c r="T100">
        <f t="shared" ref="T100" si="479">S100/1000</f>
        <v>6.5526653091966256E-4</v>
      </c>
    </row>
    <row r="101" spans="1:20" x14ac:dyDescent="0.25">
      <c r="A101" s="5">
        <v>44492</v>
      </c>
      <c r="B101">
        <v>3970</v>
      </c>
      <c r="C101">
        <v>4012</v>
      </c>
      <c r="D101">
        <v>3887</v>
      </c>
      <c r="E101">
        <v>4012</v>
      </c>
      <c r="F101">
        <v>278.80419999999998</v>
      </c>
      <c r="G101">
        <v>4012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1</v>
      </c>
      <c r="Q101">
        <f t="shared" ref="Q101" si="481">F101*P101</f>
        <v>278.80419999999998</v>
      </c>
      <c r="R101">
        <f t="shared" ref="R101" si="482">R102+Q101</f>
        <v>65780.083818980478</v>
      </c>
      <c r="S101">
        <f t="shared" ref="S101" si="483">R101/100000</f>
        <v>0.65780083818980473</v>
      </c>
      <c r="T101">
        <f t="shared" ref="T101" si="484">S101/1000</f>
        <v>6.5780083818980472E-4</v>
      </c>
    </row>
    <row r="102" spans="1:20" x14ac:dyDescent="0.25">
      <c r="A102" s="5">
        <v>44491</v>
      </c>
      <c r="B102">
        <v>3942</v>
      </c>
      <c r="C102">
        <v>4008</v>
      </c>
      <c r="D102">
        <v>3860</v>
      </c>
      <c r="E102">
        <v>3966</v>
      </c>
      <c r="F102">
        <v>614.73749999999995</v>
      </c>
      <c r="G102">
        <v>3966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0.43243243243243246</v>
      </c>
      <c r="Q102">
        <f t="shared" ref="Q102" si="486">F102*P102</f>
        <v>265.83243243243243</v>
      </c>
      <c r="R102">
        <f t="shared" ref="R102" si="487">R103+Q102</f>
        <v>65501.279618980479</v>
      </c>
      <c r="S102">
        <f t="shared" ref="S102" si="488">R102/100000</f>
        <v>0.65501279618980479</v>
      </c>
      <c r="T102">
        <f t="shared" ref="T102" si="489">S102/1000</f>
        <v>6.550127961898048E-4</v>
      </c>
    </row>
    <row r="103" spans="1:20" x14ac:dyDescent="0.25">
      <c r="A103" s="5">
        <v>44490</v>
      </c>
      <c r="B103">
        <v>4053</v>
      </c>
      <c r="C103">
        <v>4152</v>
      </c>
      <c r="D103">
        <v>3871</v>
      </c>
      <c r="E103">
        <v>3941</v>
      </c>
      <c r="F103">
        <v>805.24369999999999</v>
      </c>
      <c r="G103">
        <v>3941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-0.50177935943060503</v>
      </c>
      <c r="Q103">
        <f t="shared" ref="Q103" si="491">F103*P103</f>
        <v>-404.05466797153031</v>
      </c>
      <c r="R103">
        <f t="shared" ref="R103" si="492">R104+Q103</f>
        <v>65235.447186548045</v>
      </c>
      <c r="S103">
        <f t="shared" ref="S103" si="493">R103/100000</f>
        <v>0.65235447186548046</v>
      </c>
      <c r="T103">
        <f t="shared" ref="T103" si="494">S103/1000</f>
        <v>6.5235447186548045E-4</v>
      </c>
    </row>
    <row r="104" spans="1:20" x14ac:dyDescent="0.25">
      <c r="A104" s="5">
        <v>44489</v>
      </c>
      <c r="B104">
        <v>3918</v>
      </c>
      <c r="C104">
        <v>4105</v>
      </c>
      <c r="D104">
        <v>3890</v>
      </c>
      <c r="E104">
        <v>4053</v>
      </c>
      <c r="F104">
        <v>526.60350000000005</v>
      </c>
      <c r="G104">
        <v>4053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0.51627906976744187</v>
      </c>
      <c r="Q104">
        <f t="shared" ref="Q104" si="496">F104*P104</f>
        <v>271.87436511627908</v>
      </c>
      <c r="R104">
        <f t="shared" ref="R104" si="497">R105+Q104</f>
        <v>65639.501854519578</v>
      </c>
      <c r="S104">
        <f t="shared" ref="S104" si="498">R104/100000</f>
        <v>0.65639501854519577</v>
      </c>
      <c r="T104">
        <f t="shared" ref="T104" si="499">S104/1000</f>
        <v>6.5639501854519581E-4</v>
      </c>
    </row>
    <row r="105" spans="1:20" x14ac:dyDescent="0.25">
      <c r="A105" s="5">
        <v>44488</v>
      </c>
      <c r="B105">
        <v>3934</v>
      </c>
      <c r="C105">
        <v>3977</v>
      </c>
      <c r="D105">
        <v>3851</v>
      </c>
      <c r="E105">
        <v>3925</v>
      </c>
      <c r="F105">
        <v>367.62689999999998</v>
      </c>
      <c r="G105">
        <v>3925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0.17460317460317459</v>
      </c>
      <c r="Q105">
        <f t="shared" ref="Q105" si="501">F105*P105</f>
        <v>64.188823809523797</v>
      </c>
      <c r="R105">
        <f t="shared" ref="R105" si="502">R106+Q105</f>
        <v>65367.627489403305</v>
      </c>
      <c r="S105">
        <f t="shared" ref="S105" si="503">R105/100000</f>
        <v>0.65367627489403302</v>
      </c>
      <c r="T105">
        <f t="shared" ref="T105" si="504">S105/1000</f>
        <v>6.5367627489403305E-4</v>
      </c>
    </row>
    <row r="106" spans="1:20" x14ac:dyDescent="0.25">
      <c r="A106" s="5">
        <v>44487</v>
      </c>
      <c r="B106">
        <v>4003</v>
      </c>
      <c r="C106">
        <v>4041</v>
      </c>
      <c r="D106">
        <v>3875</v>
      </c>
      <c r="E106">
        <v>3929</v>
      </c>
      <c r="F106">
        <v>361.666</v>
      </c>
      <c r="G106">
        <v>3929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-0.3493975903614458</v>
      </c>
      <c r="Q106">
        <f t="shared" ref="Q106" si="506">F106*P106</f>
        <v>-126.36522891566266</v>
      </c>
      <c r="R106">
        <f t="shared" ref="R106" si="507">R107+Q106</f>
        <v>65303.438665593778</v>
      </c>
      <c r="S106">
        <f t="shared" ref="S106" si="508">R106/100000</f>
        <v>0.65303438665593783</v>
      </c>
      <c r="T106">
        <f t="shared" ref="T106" si="509">S106/1000</f>
        <v>6.5303438665593777E-4</v>
      </c>
    </row>
    <row r="107" spans="1:20" x14ac:dyDescent="0.25">
      <c r="A107" s="5">
        <v>44486</v>
      </c>
      <c r="B107">
        <v>4167</v>
      </c>
      <c r="C107">
        <v>4227</v>
      </c>
      <c r="D107">
        <v>3896</v>
      </c>
      <c r="E107">
        <v>4002</v>
      </c>
      <c r="F107">
        <v>694.43780000000004</v>
      </c>
      <c r="G107">
        <v>4002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-0.3595166163141994</v>
      </c>
      <c r="Q107">
        <f t="shared" ref="Q107" si="511">F107*P107</f>
        <v>-249.66192809667675</v>
      </c>
      <c r="R107">
        <f t="shared" ref="R107" si="512">R108+Q107</f>
        <v>65429.803894509438</v>
      </c>
      <c r="S107">
        <f t="shared" ref="S107" si="513">R107/100000</f>
        <v>0.65429803894509442</v>
      </c>
      <c r="T107">
        <f t="shared" ref="T107" si="514">S107/1000</f>
        <v>6.5429803894509443E-4</v>
      </c>
    </row>
    <row r="108" spans="1:20" x14ac:dyDescent="0.25">
      <c r="A108" s="5">
        <v>44485</v>
      </c>
      <c r="B108">
        <v>4108</v>
      </c>
      <c r="C108">
        <v>4248</v>
      </c>
      <c r="D108">
        <v>4056</v>
      </c>
      <c r="E108">
        <v>4166</v>
      </c>
      <c r="F108">
        <v>749.37900000000002</v>
      </c>
      <c r="G108">
        <v>4166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0.14583333333333334</v>
      </c>
      <c r="Q108">
        <f t="shared" ref="Q108" si="516">F108*P108</f>
        <v>109.28443750000001</v>
      </c>
      <c r="R108">
        <f t="shared" ref="R108" si="517">R109+Q108</f>
        <v>65679.465822606115</v>
      </c>
      <c r="S108">
        <f t="shared" ref="S108" si="518">R108/100000</f>
        <v>0.6567946582260612</v>
      </c>
      <c r="T108">
        <f t="shared" ref="T108" si="519">S108/1000</f>
        <v>6.5679465822606115E-4</v>
      </c>
    </row>
    <row r="109" spans="1:20" x14ac:dyDescent="0.25">
      <c r="A109" s="5">
        <v>44484</v>
      </c>
      <c r="B109">
        <v>4034</v>
      </c>
      <c r="C109">
        <v>4241</v>
      </c>
      <c r="D109">
        <v>3943</v>
      </c>
      <c r="E109">
        <v>4113</v>
      </c>
      <c r="F109">
        <v>1455.3412000000001</v>
      </c>
      <c r="G109">
        <v>4113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0.14093959731543623</v>
      </c>
      <c r="Q109">
        <f t="shared" ref="Q109" si="521">F109*P109</f>
        <v>205.11520268456377</v>
      </c>
      <c r="R109">
        <f t="shared" ref="R109" si="522">R110+Q109</f>
        <v>65570.181385106116</v>
      </c>
      <c r="S109">
        <f t="shared" ref="S109" si="523">R109/100000</f>
        <v>0.65570181385106119</v>
      </c>
      <c r="T109">
        <f t="shared" ref="T109" si="524">S109/1000</f>
        <v>6.5570181385106116E-4</v>
      </c>
    </row>
    <row r="110" spans="1:20" x14ac:dyDescent="0.25">
      <c r="A110" s="5">
        <v>44483</v>
      </c>
      <c r="B110">
        <v>3938</v>
      </c>
      <c r="C110">
        <v>4063</v>
      </c>
      <c r="D110">
        <v>3898</v>
      </c>
      <c r="E110">
        <v>4032</v>
      </c>
      <c r="F110">
        <v>664.54780000000005</v>
      </c>
      <c r="G110">
        <v>4032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0.62424242424242427</v>
      </c>
      <c r="Q110">
        <f t="shared" ref="Q110" si="526">F110*P110</f>
        <v>414.83892969696973</v>
      </c>
      <c r="R110">
        <f t="shared" ref="R110" si="527">R111+Q110</f>
        <v>65365.066182421549</v>
      </c>
      <c r="S110">
        <f t="shared" ref="S110" si="528">R110/100000</f>
        <v>0.6536506618242155</v>
      </c>
      <c r="T110">
        <f t="shared" ref="T110" si="529">S110/1000</f>
        <v>6.5365066182421553E-4</v>
      </c>
    </row>
    <row r="111" spans="1:20" x14ac:dyDescent="0.25">
      <c r="A111" s="5">
        <v>44482</v>
      </c>
      <c r="B111">
        <v>3861</v>
      </c>
      <c r="C111">
        <v>3941</v>
      </c>
      <c r="D111">
        <v>3766</v>
      </c>
      <c r="E111">
        <v>3938</v>
      </c>
      <c r="F111">
        <v>677.42690000000005</v>
      </c>
      <c r="G111">
        <v>3938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0.96571428571428575</v>
      </c>
      <c r="Q111">
        <f t="shared" ref="Q111" si="531">F111*P111</f>
        <v>654.20083485714292</v>
      </c>
      <c r="R111">
        <f t="shared" ref="R111" si="532">R112+Q111</f>
        <v>64950.22725272458</v>
      </c>
      <c r="S111">
        <f t="shared" ref="S111" si="533">R111/100000</f>
        <v>0.64950227252724579</v>
      </c>
      <c r="T111">
        <f t="shared" ref="T111" si="534">S111/1000</f>
        <v>6.4950227252724582E-4</v>
      </c>
    </row>
    <row r="112" spans="1:20" x14ac:dyDescent="0.25">
      <c r="A112" s="5">
        <v>44481</v>
      </c>
      <c r="B112">
        <v>3899</v>
      </c>
      <c r="C112">
        <v>3901</v>
      </c>
      <c r="D112">
        <v>3653</v>
      </c>
      <c r="E112">
        <v>3856</v>
      </c>
      <c r="F112">
        <v>1091.6261</v>
      </c>
      <c r="G112">
        <v>3856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0.63709677419354838</v>
      </c>
      <c r="Q112">
        <f t="shared" ref="Q112" si="536">F112*P112</f>
        <v>695.47146693548382</v>
      </c>
      <c r="R112">
        <f t="shared" ref="R112" si="537">R113+Q112</f>
        <v>64296.026417867441</v>
      </c>
      <c r="S112">
        <f t="shared" ref="S112" si="538">R112/100000</f>
        <v>0.64296026417867436</v>
      </c>
      <c r="T112">
        <f t="shared" ref="T112" si="539">S112/1000</f>
        <v>6.4296026417867431E-4</v>
      </c>
    </row>
    <row r="113" spans="1:20" x14ac:dyDescent="0.25">
      <c r="A113" s="5">
        <v>44480</v>
      </c>
      <c r="B113">
        <v>4004</v>
      </c>
      <c r="C113">
        <v>4133</v>
      </c>
      <c r="D113">
        <v>3853</v>
      </c>
      <c r="E113">
        <v>3902</v>
      </c>
      <c r="F113">
        <v>3068.8179</v>
      </c>
      <c r="G113">
        <v>3902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-0.65</v>
      </c>
      <c r="Q113">
        <f t="shared" ref="Q113" si="541">F113*P113</f>
        <v>-1994.7316350000001</v>
      </c>
      <c r="R113">
        <f t="shared" ref="R113" si="542">R114+Q113</f>
        <v>63600.554950931953</v>
      </c>
      <c r="S113">
        <f t="shared" ref="S113" si="543">R113/100000</f>
        <v>0.63600554950931953</v>
      </c>
      <c r="T113">
        <f t="shared" ref="T113" si="544">S113/1000</f>
        <v>6.3600554950931948E-4</v>
      </c>
    </row>
    <row r="114" spans="1:20" x14ac:dyDescent="0.25">
      <c r="A114" s="5">
        <v>44479</v>
      </c>
      <c r="B114">
        <v>4275</v>
      </c>
      <c r="C114">
        <v>4299</v>
      </c>
      <c r="D114">
        <v>3979</v>
      </c>
      <c r="E114">
        <v>4006</v>
      </c>
      <c r="F114">
        <v>476.38529999999997</v>
      </c>
      <c r="G114">
        <v>4006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-0.83125000000000004</v>
      </c>
      <c r="Q114">
        <f t="shared" ref="Q114" si="546">F114*P114</f>
        <v>-395.99528062500002</v>
      </c>
      <c r="R114">
        <f t="shared" ref="R114" si="547">R115+Q114</f>
        <v>65595.286585931957</v>
      </c>
      <c r="S114">
        <f t="shared" ref="S114" si="548">R114/100000</f>
        <v>0.65595286585931956</v>
      </c>
      <c r="T114">
        <f t="shared" ref="T114" si="549">S114/1000</f>
        <v>6.5595286585931958E-4</v>
      </c>
    </row>
    <row r="115" spans="1:20" x14ac:dyDescent="0.25">
      <c r="A115" s="5">
        <v>44478</v>
      </c>
      <c r="B115">
        <v>4252</v>
      </c>
      <c r="C115">
        <v>4393</v>
      </c>
      <c r="D115">
        <v>4204</v>
      </c>
      <c r="E115">
        <v>4272</v>
      </c>
      <c r="F115">
        <v>762.16549999999995</v>
      </c>
      <c r="G115">
        <v>4272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-0.28042328042328041</v>
      </c>
      <c r="Q115">
        <f t="shared" ref="Q115" si="551">F115*P115</f>
        <v>-213.7289497354497</v>
      </c>
      <c r="R115">
        <f t="shared" ref="R115" si="552">R116+Q115</f>
        <v>65991.28186655695</v>
      </c>
      <c r="S115">
        <f t="shared" ref="S115" si="553">R115/100000</f>
        <v>0.6599128186655695</v>
      </c>
      <c r="T115">
        <f t="shared" ref="T115" si="554">S115/1000</f>
        <v>6.5991281866556949E-4</v>
      </c>
    </row>
    <row r="116" spans="1:20" x14ac:dyDescent="0.25">
      <c r="A116" s="5">
        <v>44477</v>
      </c>
      <c r="B116">
        <v>4100</v>
      </c>
      <c r="C116">
        <v>4349</v>
      </c>
      <c r="D116">
        <v>4033</v>
      </c>
      <c r="E116">
        <v>4252</v>
      </c>
      <c r="F116">
        <v>1512.951</v>
      </c>
      <c r="G116">
        <v>4252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0.38607594936708861</v>
      </c>
      <c r="Q116">
        <f t="shared" ref="Q116" si="556">F116*P116</f>
        <v>584.11399367088609</v>
      </c>
      <c r="R116">
        <f t="shared" ref="R116" si="557">R117+Q116</f>
        <v>66205.010816292401</v>
      </c>
      <c r="S116">
        <f t="shared" ref="S116" si="558">R116/100000</f>
        <v>0.66205010816292398</v>
      </c>
      <c r="T116">
        <f t="shared" ref="T116" si="559">S116/1000</f>
        <v>6.62050108162924E-4</v>
      </c>
    </row>
    <row r="117" spans="1:20" x14ac:dyDescent="0.25">
      <c r="A117" s="5">
        <v>44476</v>
      </c>
      <c r="B117">
        <v>4127</v>
      </c>
      <c r="C117">
        <v>4219</v>
      </c>
      <c r="D117">
        <v>4037</v>
      </c>
      <c r="E117">
        <v>4097</v>
      </c>
      <c r="F117">
        <v>861.62699999999995</v>
      </c>
      <c r="G117">
        <v>4097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-0.34065934065934067</v>
      </c>
      <c r="Q117">
        <f t="shared" ref="Q117" si="561">F117*P117</f>
        <v>-293.52128571428568</v>
      </c>
      <c r="R117">
        <f t="shared" ref="R117" si="562">R118+Q117</f>
        <v>65620.896822621507</v>
      </c>
      <c r="S117">
        <f t="shared" ref="S117" si="563">R117/100000</f>
        <v>0.65620896822621511</v>
      </c>
      <c r="T117">
        <f t="shared" ref="T117" si="564">S117/1000</f>
        <v>6.5620896822621505E-4</v>
      </c>
    </row>
    <row r="118" spans="1:20" x14ac:dyDescent="0.25">
      <c r="A118" s="5">
        <v>44475</v>
      </c>
      <c r="B118">
        <v>4249</v>
      </c>
      <c r="C118">
        <v>4277</v>
      </c>
      <c r="D118">
        <v>3993</v>
      </c>
      <c r="E118">
        <v>4127</v>
      </c>
      <c r="F118">
        <v>1083.3</v>
      </c>
      <c r="G118">
        <v>4127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-5.6338028169014086E-2</v>
      </c>
      <c r="Q118">
        <f t="shared" ref="Q118" si="566">F118*P118</f>
        <v>-61.030985915492955</v>
      </c>
      <c r="R118">
        <f t="shared" ref="R118" si="567">R119+Q118</f>
        <v>65914.418108335798</v>
      </c>
      <c r="S118">
        <f t="shared" ref="S118" si="568">R118/100000</f>
        <v>0.65914418108335793</v>
      </c>
      <c r="T118">
        <f t="shared" ref="T118" si="569">S118/1000</f>
        <v>6.5914418108335791E-4</v>
      </c>
    </row>
    <row r="119" spans="1:20" x14ac:dyDescent="0.25">
      <c r="A119" s="5">
        <v>44474</v>
      </c>
      <c r="B119">
        <v>4286</v>
      </c>
      <c r="C119">
        <v>4320</v>
      </c>
      <c r="D119">
        <v>4136</v>
      </c>
      <c r="E119">
        <v>4252</v>
      </c>
      <c r="F119">
        <v>1001.4421</v>
      </c>
      <c r="G119">
        <v>4252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0.2608695652173913</v>
      </c>
      <c r="Q119">
        <f t="shared" ref="Q119" si="571">F119*P119</f>
        <v>261.24576521739129</v>
      </c>
      <c r="R119">
        <f t="shared" ref="R119" si="572">R120+Q119</f>
        <v>65975.449094251293</v>
      </c>
      <c r="S119">
        <f t="shared" ref="S119" si="573">R119/100000</f>
        <v>0.65975449094251293</v>
      </c>
      <c r="T119">
        <f t="shared" ref="T119" si="574">S119/1000</f>
        <v>6.5975449094251291E-4</v>
      </c>
    </row>
    <row r="120" spans="1:20" x14ac:dyDescent="0.25">
      <c r="A120" s="5">
        <v>44473</v>
      </c>
      <c r="B120">
        <v>4487</v>
      </c>
      <c r="C120">
        <v>4605</v>
      </c>
      <c r="D120">
        <v>4253</v>
      </c>
      <c r="E120">
        <v>4303</v>
      </c>
      <c r="F120">
        <v>1319.4493</v>
      </c>
      <c r="G120">
        <v>4303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-0.71590909090909094</v>
      </c>
      <c r="Q120">
        <f t="shared" ref="Q120" si="576">F120*P120</f>
        <v>-944.60574886363645</v>
      </c>
      <c r="R120">
        <f t="shared" ref="R120" si="577">R121+Q120</f>
        <v>65714.203329033902</v>
      </c>
      <c r="S120">
        <f t="shared" ref="S120" si="578">R120/100000</f>
        <v>0.65714203329033904</v>
      </c>
      <c r="T120">
        <f t="shared" ref="T120" si="579">S120/1000</f>
        <v>6.5714203329033901E-4</v>
      </c>
    </row>
    <row r="121" spans="1:20" x14ac:dyDescent="0.25">
      <c r="A121" s="5">
        <v>44472</v>
      </c>
      <c r="B121">
        <v>4336</v>
      </c>
      <c r="C121">
        <v>4491</v>
      </c>
      <c r="D121">
        <v>4248</v>
      </c>
      <c r="E121">
        <v>4476</v>
      </c>
      <c r="F121">
        <v>869.42319999999995</v>
      </c>
      <c r="G121">
        <v>4476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0.87654320987654322</v>
      </c>
      <c r="Q121">
        <f t="shared" ref="Q121" si="581">F121*P121</f>
        <v>762.08700246913577</v>
      </c>
      <c r="R121">
        <f t="shared" ref="R121" si="582">R122+Q121</f>
        <v>66658.809077897546</v>
      </c>
      <c r="S121">
        <f t="shared" ref="S121" si="583">R121/100000</f>
        <v>0.66658809077897541</v>
      </c>
      <c r="T121">
        <f t="shared" ref="T121" si="584">S121/1000</f>
        <v>6.6658809077897545E-4</v>
      </c>
    </row>
    <row r="122" spans="1:20" x14ac:dyDescent="0.25">
      <c r="A122" s="5">
        <v>44471</v>
      </c>
      <c r="B122">
        <v>4285</v>
      </c>
      <c r="C122">
        <v>4449</v>
      </c>
      <c r="D122">
        <v>4225</v>
      </c>
      <c r="E122">
        <v>4338</v>
      </c>
      <c r="F122">
        <v>742.08600000000001</v>
      </c>
      <c r="G122">
        <v>4338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8.9285714285714281E-3</v>
      </c>
      <c r="Q122">
        <f t="shared" ref="Q122" si="586">F122*P122</f>
        <v>6.6257678571428569</v>
      </c>
      <c r="R122">
        <f t="shared" ref="R122" si="587">R123+Q122</f>
        <v>65896.722075428406</v>
      </c>
      <c r="S122">
        <f t="shared" ref="S122" si="588">R122/100000</f>
        <v>0.65896722075428404</v>
      </c>
      <c r="T122">
        <f t="shared" ref="T122" si="589">S122/1000</f>
        <v>6.589672207542841E-4</v>
      </c>
    </row>
    <row r="123" spans="1:20" x14ac:dyDescent="0.25">
      <c r="A123" s="5">
        <v>44470</v>
      </c>
      <c r="B123">
        <v>4039</v>
      </c>
      <c r="C123">
        <v>4308</v>
      </c>
      <c r="D123">
        <v>3981</v>
      </c>
      <c r="E123">
        <v>4288</v>
      </c>
      <c r="F123">
        <v>1137.3486</v>
      </c>
      <c r="G123">
        <v>4288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0.8776758409785933</v>
      </c>
      <c r="Q123">
        <f t="shared" ref="Q123" si="591">F123*P123</f>
        <v>998.2233889908257</v>
      </c>
      <c r="R123">
        <f t="shared" ref="R123" si="592">R124+Q123</f>
        <v>65890.096307571264</v>
      </c>
      <c r="S123">
        <f t="shared" ref="S123" si="593">R123/100000</f>
        <v>0.65890096307571266</v>
      </c>
      <c r="T123">
        <f t="shared" ref="T123" si="594">S123/1000</f>
        <v>6.5890096307571263E-4</v>
      </c>
    </row>
    <row r="124" spans="1:20" x14ac:dyDescent="0.25">
      <c r="A124" s="5">
        <v>44469</v>
      </c>
      <c r="B124">
        <v>3880</v>
      </c>
      <c r="C124">
        <v>4050</v>
      </c>
      <c r="D124">
        <v>3860</v>
      </c>
      <c r="E124">
        <v>4036</v>
      </c>
      <c r="F124">
        <v>671.98220000000003</v>
      </c>
      <c r="G124">
        <v>4036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0.85263157894736841</v>
      </c>
      <c r="Q124">
        <f t="shared" ref="Q124" si="596">F124*P124</f>
        <v>572.95324421052635</v>
      </c>
      <c r="R124">
        <f t="shared" ref="R124" si="597">R125+Q124</f>
        <v>64891.87291858044</v>
      </c>
      <c r="S124">
        <f t="shared" ref="S124" si="598">R124/100000</f>
        <v>0.6489187291858044</v>
      </c>
      <c r="T124">
        <f t="shared" ref="T124" si="599">S124/1000</f>
        <v>6.4891872918580436E-4</v>
      </c>
    </row>
    <row r="125" spans="1:20" x14ac:dyDescent="0.25">
      <c r="A125" s="5">
        <v>44468</v>
      </c>
      <c r="B125">
        <v>4025</v>
      </c>
      <c r="C125">
        <v>4082</v>
      </c>
      <c r="D125">
        <v>3805</v>
      </c>
      <c r="E125">
        <v>3885</v>
      </c>
      <c r="F125">
        <v>1227.1144999999999</v>
      </c>
      <c r="G125">
        <v>3885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-0.42238267148014441</v>
      </c>
      <c r="Q125">
        <f t="shared" ref="Q125" si="601">F125*P125</f>
        <v>-518.31190072202162</v>
      </c>
      <c r="R125">
        <f t="shared" ref="R125" si="602">R126+Q125</f>
        <v>64318.919674369914</v>
      </c>
      <c r="S125">
        <f t="shared" ref="S125" si="603">R125/100000</f>
        <v>0.64318919674369912</v>
      </c>
      <c r="T125">
        <f t="shared" ref="T125" si="604">S125/1000</f>
        <v>6.4318919674369909E-4</v>
      </c>
    </row>
    <row r="126" spans="1:20" x14ac:dyDescent="0.25">
      <c r="A126" s="5">
        <v>44467</v>
      </c>
      <c r="B126">
        <v>3792</v>
      </c>
      <c r="C126">
        <v>4208</v>
      </c>
      <c r="D126">
        <v>3764</v>
      </c>
      <c r="E126">
        <v>4026</v>
      </c>
      <c r="F126">
        <v>2062.6954999999998</v>
      </c>
      <c r="G126">
        <v>4026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0.18018018018018017</v>
      </c>
      <c r="Q126">
        <f t="shared" ref="Q126" si="606">F126*P126</f>
        <v>371.6568468468468</v>
      </c>
      <c r="R126">
        <f t="shared" ref="R126" si="607">R127+Q126</f>
        <v>64837.231575091937</v>
      </c>
      <c r="S126">
        <f t="shared" ref="S126" si="608">R126/100000</f>
        <v>0.64837231575091936</v>
      </c>
      <c r="T126">
        <f t="shared" ref="T126" si="609">S126/1000</f>
        <v>6.4837231575091937E-4</v>
      </c>
    </row>
    <row r="127" spans="1:20" x14ac:dyDescent="0.25">
      <c r="A127" s="5">
        <v>44466</v>
      </c>
      <c r="B127">
        <v>3941</v>
      </c>
      <c r="C127">
        <v>4071</v>
      </c>
      <c r="D127">
        <v>3762</v>
      </c>
      <c r="E127">
        <v>3799</v>
      </c>
      <c r="F127">
        <v>914.36040000000003</v>
      </c>
      <c r="G127">
        <v>3799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-0.76051779935275077</v>
      </c>
      <c r="Q127">
        <f t="shared" ref="Q127" si="611">F127*P127</f>
        <v>-695.3873592233009</v>
      </c>
      <c r="R127">
        <f t="shared" ref="R127" si="612">R128+Q127</f>
        <v>64465.57472824509</v>
      </c>
      <c r="S127">
        <f t="shared" ref="S127" si="613">R127/100000</f>
        <v>0.6446557472824509</v>
      </c>
      <c r="T127">
        <f t="shared" ref="T127" si="614">S127/1000</f>
        <v>6.4465574728245093E-4</v>
      </c>
    </row>
    <row r="128" spans="1:20" x14ac:dyDescent="0.25">
      <c r="A128" s="5">
        <v>44465</v>
      </c>
      <c r="B128">
        <v>4018</v>
      </c>
      <c r="C128">
        <v>4030</v>
      </c>
      <c r="D128">
        <v>3668</v>
      </c>
      <c r="E128">
        <v>3949</v>
      </c>
      <c r="F128">
        <v>1349.4212</v>
      </c>
      <c r="G128">
        <v>3949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0.5524861878453039</v>
      </c>
      <c r="Q128">
        <f t="shared" ref="Q128" si="616">F128*P128</f>
        <v>745.53657458563544</v>
      </c>
      <c r="R128">
        <f t="shared" ref="R128" si="617">R129+Q128</f>
        <v>65160.96208746839</v>
      </c>
      <c r="S128">
        <f t="shared" ref="S128" si="618">R128/100000</f>
        <v>0.65160962087468388</v>
      </c>
      <c r="T128">
        <f t="shared" ref="T128" si="619">S128/1000</f>
        <v>6.5160962087468385E-4</v>
      </c>
    </row>
    <row r="129" spans="1:20" x14ac:dyDescent="0.25">
      <c r="A129" s="5">
        <v>44464</v>
      </c>
      <c r="B129">
        <v>3976</v>
      </c>
      <c r="C129">
        <v>4062</v>
      </c>
      <c r="D129">
        <v>3875</v>
      </c>
      <c r="E129">
        <v>4019</v>
      </c>
      <c r="F129">
        <v>749.12779999999998</v>
      </c>
      <c r="G129">
        <v>4019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0.5401069518716578</v>
      </c>
      <c r="Q129">
        <f t="shared" ref="Q129" si="621">F129*P129</f>
        <v>404.60913262032091</v>
      </c>
      <c r="R129">
        <f t="shared" ref="R129" si="622">R130+Q129</f>
        <v>64415.425512882757</v>
      </c>
      <c r="S129">
        <f t="shared" ref="S129" si="623">R129/100000</f>
        <v>0.64415425512882762</v>
      </c>
      <c r="T129">
        <f t="shared" ref="T129" si="624">S129/1000</f>
        <v>6.4415425512882765E-4</v>
      </c>
    </row>
    <row r="130" spans="1:20" x14ac:dyDescent="0.25">
      <c r="A130" s="5">
        <v>44463</v>
      </c>
      <c r="B130">
        <v>4277</v>
      </c>
      <c r="C130">
        <v>4286</v>
      </c>
      <c r="D130">
        <v>3697</v>
      </c>
      <c r="E130">
        <v>3983</v>
      </c>
      <c r="F130">
        <v>1192.4603</v>
      </c>
      <c r="G130">
        <v>3983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-2.8862478777589132E-2</v>
      </c>
      <c r="Q130">
        <f t="shared" ref="Q130" si="626">F130*P130</f>
        <v>-34.417360101867565</v>
      </c>
      <c r="R130">
        <f t="shared" ref="R130" si="627">R131+Q130</f>
        <v>64010.816380262433</v>
      </c>
      <c r="S130">
        <f t="shared" ref="S130" si="628">R130/100000</f>
        <v>0.64010816380262436</v>
      </c>
      <c r="T130">
        <f t="shared" ref="T130" si="629">S130/1000</f>
        <v>6.4010816380262437E-4</v>
      </c>
    </row>
    <row r="131" spans="1:20" x14ac:dyDescent="0.25">
      <c r="A131" s="5">
        <v>44462</v>
      </c>
      <c r="B131">
        <v>4395</v>
      </c>
      <c r="C131">
        <v>4420</v>
      </c>
      <c r="D131">
        <v>4106</v>
      </c>
      <c r="E131">
        <v>4278</v>
      </c>
      <c r="F131">
        <v>1353.6291000000001</v>
      </c>
      <c r="G131">
        <v>4278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9.5541401273885357E-2</v>
      </c>
      <c r="Q131">
        <f t="shared" ref="Q131" si="631">F131*P131</f>
        <v>129.32762101910831</v>
      </c>
      <c r="R131">
        <f t="shared" ref="R131" si="632">R132+Q131</f>
        <v>64045.233740364303</v>
      </c>
      <c r="S131">
        <f t="shared" ref="S131" si="633">R131/100000</f>
        <v>0.64045233740364305</v>
      </c>
      <c r="T131">
        <f t="shared" ref="T131" si="634">S131/1000</f>
        <v>6.4045233740364302E-4</v>
      </c>
    </row>
    <row r="132" spans="1:20" x14ac:dyDescent="0.25">
      <c r="A132" s="5">
        <v>44461</v>
      </c>
      <c r="B132">
        <v>3834</v>
      </c>
      <c r="C132">
        <v>4440</v>
      </c>
      <c r="D132">
        <v>3743</v>
      </c>
      <c r="E132">
        <v>4401</v>
      </c>
      <c r="F132">
        <v>1267.1335999999999</v>
      </c>
      <c r="G132">
        <v>4401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0.88809182209469151</v>
      </c>
      <c r="Q132">
        <f t="shared" ref="Q132" si="636">F132*P132</f>
        <v>1125.330987661406</v>
      </c>
      <c r="R132">
        <f t="shared" ref="R132" si="637">R133+Q132</f>
        <v>63915.906119345193</v>
      </c>
      <c r="S132">
        <f t="shared" ref="S132" si="638">R132/100000</f>
        <v>0.63915906119345189</v>
      </c>
      <c r="T132">
        <f t="shared" ref="T132" si="639">S132/1000</f>
        <v>6.3915906119345193E-4</v>
      </c>
    </row>
    <row r="133" spans="1:20" x14ac:dyDescent="0.25">
      <c r="A133" s="5">
        <v>44460</v>
      </c>
      <c r="B133">
        <v>4336</v>
      </c>
      <c r="C133">
        <v>4349</v>
      </c>
      <c r="D133">
        <v>3752</v>
      </c>
      <c r="E133">
        <v>3826</v>
      </c>
      <c r="F133">
        <v>1857.3851999999999</v>
      </c>
      <c r="G133">
        <v>3826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-0.75209380234505863</v>
      </c>
      <c r="Q133">
        <f t="shared" ref="Q133" si="641">F133*P133</f>
        <v>-1396.9278974874371</v>
      </c>
      <c r="R133">
        <f t="shared" ref="R133" si="642">R134+Q133</f>
        <v>62790.575131683785</v>
      </c>
      <c r="S133">
        <f t="shared" ref="S133" si="643">R133/100000</f>
        <v>0.6279057513168379</v>
      </c>
      <c r="T133">
        <f t="shared" ref="T133" si="644">S133/1000</f>
        <v>6.2790575131683795E-4</v>
      </c>
    </row>
    <row r="134" spans="1:20" x14ac:dyDescent="0.25">
      <c r="A134" s="5">
        <v>44459</v>
      </c>
      <c r="B134">
        <v>4637</v>
      </c>
      <c r="C134">
        <v>4653</v>
      </c>
      <c r="D134">
        <v>4206</v>
      </c>
      <c r="E134">
        <v>4333</v>
      </c>
      <c r="F134">
        <v>1138.7454</v>
      </c>
      <c r="G134">
        <v>4333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-0.43176733780760629</v>
      </c>
      <c r="Q134">
        <f t="shared" ref="Q134" si="646">F134*P134</f>
        <v>-491.67306979865776</v>
      </c>
      <c r="R134">
        <f t="shared" ref="R134" si="647">R135+Q134</f>
        <v>64187.503029171225</v>
      </c>
      <c r="S134">
        <f t="shared" ref="S134" si="648">R134/100000</f>
        <v>0.64187503029171222</v>
      </c>
      <c r="T134">
        <f t="shared" ref="T134" si="649">S134/1000</f>
        <v>6.4187503029171226E-4</v>
      </c>
    </row>
    <row r="135" spans="1:20" x14ac:dyDescent="0.25">
      <c r="A135" s="5">
        <v>44458</v>
      </c>
      <c r="B135">
        <v>4838</v>
      </c>
      <c r="C135">
        <v>5247</v>
      </c>
      <c r="D135">
        <v>4553</v>
      </c>
      <c r="E135">
        <v>4633</v>
      </c>
      <c r="F135">
        <v>5101.0352999999996</v>
      </c>
      <c r="G135">
        <v>4633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-0.7694524495677233</v>
      </c>
      <c r="Q135">
        <f t="shared" ref="Q135" si="651">F135*P135</f>
        <v>-3925.0041069164258</v>
      </c>
      <c r="R135">
        <f t="shared" ref="R135" si="652">R136+Q135</f>
        <v>64679.176098969881</v>
      </c>
      <c r="S135">
        <f t="shared" ref="S135" si="653">R135/100000</f>
        <v>0.64679176098969882</v>
      </c>
      <c r="T135">
        <f t="shared" ref="T135" si="654">S135/1000</f>
        <v>6.4679176098969885E-4</v>
      </c>
    </row>
    <row r="136" spans="1:20" x14ac:dyDescent="0.25">
      <c r="A136" s="5">
        <v>44457</v>
      </c>
      <c r="B136">
        <v>4353</v>
      </c>
      <c r="C136">
        <v>4900</v>
      </c>
      <c r="D136">
        <v>4265</v>
      </c>
      <c r="E136">
        <v>4838</v>
      </c>
      <c r="F136">
        <v>2183.8434999999999</v>
      </c>
      <c r="G136">
        <v>4838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0.80472440944881884</v>
      </c>
      <c r="Q136">
        <f t="shared" ref="Q136" si="656">F136*P136</f>
        <v>1757.3921708661417</v>
      </c>
      <c r="R136">
        <f t="shared" ref="R136" si="657">R137+Q136</f>
        <v>68604.18020588631</v>
      </c>
      <c r="S136">
        <f t="shared" ref="S136" si="658">R136/100000</f>
        <v>0.68604180205886311</v>
      </c>
      <c r="T136">
        <f t="shared" ref="T136" si="659">S136/1000</f>
        <v>6.8604180205886309E-4</v>
      </c>
    </row>
    <row r="137" spans="1:20" x14ac:dyDescent="0.25">
      <c r="A137" s="5">
        <v>44456</v>
      </c>
      <c r="B137">
        <v>4702</v>
      </c>
      <c r="C137">
        <v>4731</v>
      </c>
      <c r="D137">
        <v>4280</v>
      </c>
      <c r="E137">
        <v>4349</v>
      </c>
      <c r="F137">
        <v>964.60979999999995</v>
      </c>
      <c r="G137">
        <v>4349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-0.69401330376940129</v>
      </c>
      <c r="Q137">
        <f t="shared" ref="Q137" si="661">F137*P137</f>
        <v>-669.45203414634136</v>
      </c>
      <c r="R137">
        <f t="shared" ref="R137" si="662">R138+Q137</f>
        <v>66846.788035020174</v>
      </c>
      <c r="S137">
        <f t="shared" ref="S137" si="663">R137/100000</f>
        <v>0.66846788035020177</v>
      </c>
      <c r="T137">
        <f t="shared" ref="T137" si="664">S137/1000</f>
        <v>6.6846788035020176E-4</v>
      </c>
    </row>
    <row r="138" spans="1:20" x14ac:dyDescent="0.25">
      <c r="A138" s="5">
        <v>44455</v>
      </c>
      <c r="B138">
        <v>4698</v>
      </c>
      <c r="C138">
        <v>4984</v>
      </c>
      <c r="D138">
        <v>4514</v>
      </c>
      <c r="E138">
        <v>4706</v>
      </c>
      <c r="F138">
        <v>1862.7109</v>
      </c>
      <c r="G138">
        <v>4706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-0.18297872340425531</v>
      </c>
      <c r="Q138">
        <f t="shared" ref="Q138" si="666">F138*P138</f>
        <v>-340.8364625531915</v>
      </c>
      <c r="R138">
        <f t="shared" ref="R138" si="667">R139+Q138</f>
        <v>67516.24006916651</v>
      </c>
      <c r="S138">
        <f t="shared" ref="S138" si="668">R138/100000</f>
        <v>0.67516240069166511</v>
      </c>
      <c r="T138">
        <f t="shared" ref="T138" si="669">S138/1000</f>
        <v>6.7516240069166516E-4</v>
      </c>
    </row>
    <row r="139" spans="1:20" x14ac:dyDescent="0.25">
      <c r="A139" s="5">
        <v>44454</v>
      </c>
      <c r="B139">
        <v>4693</v>
      </c>
      <c r="C139">
        <v>4907</v>
      </c>
      <c r="D139">
        <v>4577</v>
      </c>
      <c r="E139">
        <v>4700</v>
      </c>
      <c r="F139">
        <v>1206.6359</v>
      </c>
      <c r="G139">
        <v>4700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-0.25454545454545452</v>
      </c>
      <c r="Q139">
        <f t="shared" ref="Q139" si="671">F139*P139</f>
        <v>-307.14368363636362</v>
      </c>
      <c r="R139">
        <f t="shared" ref="R139" si="672">R140+Q139</f>
        <v>67857.076531719707</v>
      </c>
      <c r="S139">
        <f t="shared" ref="S139" si="673">R139/100000</f>
        <v>0.67857076531719707</v>
      </c>
      <c r="T139">
        <f t="shared" ref="T139" si="674">S139/1000</f>
        <v>6.7857076531719707E-4</v>
      </c>
    </row>
    <row r="140" spans="1:20" x14ac:dyDescent="0.25">
      <c r="A140" s="5">
        <v>44453</v>
      </c>
      <c r="B140">
        <v>4223</v>
      </c>
      <c r="C140">
        <v>4829</v>
      </c>
      <c r="D140">
        <v>4179</v>
      </c>
      <c r="E140">
        <v>4692</v>
      </c>
      <c r="F140">
        <v>1745.6478999999999</v>
      </c>
      <c r="G140">
        <v>4692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0.57846153846153847</v>
      </c>
      <c r="Q140">
        <f t="shared" ref="Q140" si="676">F140*P140</f>
        <v>1009.7901698461538</v>
      </c>
      <c r="R140">
        <f t="shared" ref="R140" si="677">R141+Q140</f>
        <v>68164.220215356065</v>
      </c>
      <c r="S140">
        <f t="shared" ref="S140" si="678">R140/100000</f>
        <v>0.68164220215356064</v>
      </c>
      <c r="T140">
        <f t="shared" ref="T140" si="679">S140/1000</f>
        <v>6.8164220215356059E-4</v>
      </c>
    </row>
    <row r="141" spans="1:20" x14ac:dyDescent="0.25">
      <c r="A141" s="5">
        <v>44452</v>
      </c>
      <c r="B141">
        <v>4527</v>
      </c>
      <c r="C141">
        <v>4564</v>
      </c>
      <c r="D141">
        <v>4025</v>
      </c>
      <c r="E141">
        <v>4228</v>
      </c>
      <c r="F141">
        <v>1141.8489999999999</v>
      </c>
      <c r="G141">
        <v>4228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-0.24675324675324675</v>
      </c>
      <c r="Q141">
        <f t="shared" ref="Q141" si="681">F141*P141</f>
        <v>-281.75494805194802</v>
      </c>
      <c r="R141">
        <f t="shared" ref="R141" si="682">R142+Q141</f>
        <v>67154.430045509915</v>
      </c>
      <c r="S141">
        <f t="shared" ref="S141" si="683">R141/100000</f>
        <v>0.67154430045509916</v>
      </c>
      <c r="T141">
        <f t="shared" ref="T141" si="684">S141/1000</f>
        <v>6.7154430045509922E-4</v>
      </c>
    </row>
    <row r="142" spans="1:20" x14ac:dyDescent="0.25">
      <c r="A142" s="5">
        <v>44451</v>
      </c>
      <c r="B142">
        <v>4532</v>
      </c>
      <c r="C142">
        <v>4641</v>
      </c>
      <c r="D142">
        <v>4401</v>
      </c>
      <c r="E142">
        <v>4529</v>
      </c>
      <c r="F142">
        <v>700.47829999999999</v>
      </c>
      <c r="G142">
        <v>4529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6.6666666666666666E-2</v>
      </c>
      <c r="Q142">
        <f t="shared" ref="Q142" si="686">F142*P142</f>
        <v>46.698553333333329</v>
      </c>
      <c r="R142">
        <f t="shared" ref="R142" si="687">R143+Q142</f>
        <v>67436.184993561867</v>
      </c>
      <c r="S142">
        <f t="shared" ref="S142" si="688">R142/100000</f>
        <v>0.67436184993561865</v>
      </c>
      <c r="T142">
        <f t="shared" ref="T142" si="689">S142/1000</f>
        <v>6.7436184993561869E-4</v>
      </c>
    </row>
    <row r="143" spans="1:20" x14ac:dyDescent="0.25">
      <c r="A143" s="5">
        <v>44450</v>
      </c>
      <c r="B143">
        <v>4431</v>
      </c>
      <c r="C143">
        <v>4753</v>
      </c>
      <c r="D143">
        <v>4412</v>
      </c>
      <c r="E143">
        <v>4528</v>
      </c>
      <c r="F143">
        <v>707.53549999999996</v>
      </c>
      <c r="G143">
        <v>4528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-0.31964809384164222</v>
      </c>
      <c r="Q143">
        <f t="shared" ref="Q143" si="691">F143*P143</f>
        <v>-226.16237390029323</v>
      </c>
      <c r="R143">
        <f t="shared" ref="R143" si="692">R144+Q143</f>
        <v>67389.486440228531</v>
      </c>
      <c r="S143">
        <f t="shared" ref="S143" si="693">R143/100000</f>
        <v>0.6738948644022853</v>
      </c>
      <c r="T143">
        <f t="shared" ref="T143" si="694">S143/1000</f>
        <v>6.7389486440228529E-4</v>
      </c>
    </row>
    <row r="144" spans="1:20" x14ac:dyDescent="0.25">
      <c r="A144" s="5">
        <v>44449</v>
      </c>
      <c r="B144">
        <v>4719</v>
      </c>
      <c r="C144">
        <v>4920</v>
      </c>
      <c r="D144">
        <v>4280</v>
      </c>
      <c r="E144">
        <v>4427</v>
      </c>
      <c r="F144">
        <v>1151.9931999999999</v>
      </c>
      <c r="G144">
        <v>4427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-0.54062500000000002</v>
      </c>
      <c r="Q144">
        <f t="shared" ref="Q144" si="696">F144*P144</f>
        <v>-622.79632374999994</v>
      </c>
      <c r="R144">
        <f t="shared" ref="R144" si="697">R145+Q144</f>
        <v>67615.648814128828</v>
      </c>
      <c r="S144">
        <f t="shared" ref="S144" si="698">R144/100000</f>
        <v>0.67615648814128826</v>
      </c>
      <c r="T144">
        <f t="shared" ref="T144" si="699">S144/1000</f>
        <v>6.7615648814128826E-4</v>
      </c>
    </row>
    <row r="145" spans="1:20" x14ac:dyDescent="0.25">
      <c r="A145" s="5">
        <v>44448</v>
      </c>
      <c r="B145">
        <v>4688</v>
      </c>
      <c r="C145">
        <v>4866</v>
      </c>
      <c r="D145">
        <v>4472</v>
      </c>
      <c r="E145">
        <v>4718</v>
      </c>
      <c r="F145">
        <v>1311.2792999999999</v>
      </c>
      <c r="G145">
        <v>4718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0.24873096446700507</v>
      </c>
      <c r="Q145">
        <f t="shared" ref="Q145" si="701">F145*P145</f>
        <v>326.15576497461927</v>
      </c>
      <c r="R145">
        <f t="shared" ref="R145" si="702">R146+Q145</f>
        <v>68238.445137878822</v>
      </c>
      <c r="S145">
        <f t="shared" ref="S145" si="703">R145/100000</f>
        <v>0.68238445137878823</v>
      </c>
      <c r="T145">
        <f t="shared" ref="T145" si="704">S145/1000</f>
        <v>6.8238445137878826E-4</v>
      </c>
    </row>
    <row r="146" spans="1:20" x14ac:dyDescent="0.25">
      <c r="A146" s="5">
        <v>44447</v>
      </c>
      <c r="B146">
        <v>4563</v>
      </c>
      <c r="C146">
        <v>5122</v>
      </c>
      <c r="D146">
        <v>4143</v>
      </c>
      <c r="E146">
        <v>4689</v>
      </c>
      <c r="F146">
        <v>4974.1729999999998</v>
      </c>
      <c r="G146">
        <v>4689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0.11542390194075587</v>
      </c>
      <c r="Q146">
        <f t="shared" ref="Q146" si="706">F146*P146</f>
        <v>574.13845658835544</v>
      </c>
      <c r="R146">
        <f t="shared" ref="R146" si="707">R147+Q146</f>
        <v>67912.289372904197</v>
      </c>
      <c r="S146">
        <f t="shared" ref="S146" si="708">R146/100000</f>
        <v>0.679122893729042</v>
      </c>
      <c r="T146">
        <f t="shared" ref="T146" si="709">S146/1000</f>
        <v>6.7912289372904205E-4</v>
      </c>
    </row>
    <row r="147" spans="1:20" x14ac:dyDescent="0.25">
      <c r="A147" s="5">
        <v>44446</v>
      </c>
      <c r="B147">
        <v>5537</v>
      </c>
      <c r="C147">
        <v>5646</v>
      </c>
      <c r="D147">
        <v>3727</v>
      </c>
      <c r="E147">
        <v>4563</v>
      </c>
      <c r="F147">
        <v>3522.4029180000002</v>
      </c>
      <c r="G147">
        <v>4563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-0.12871287128712872</v>
      </c>
      <c r="Q147">
        <f t="shared" ref="Q147" si="711">F147*P147</f>
        <v>-453.37859340594065</v>
      </c>
      <c r="R147">
        <f t="shared" ref="R147" si="712">R148+Q147</f>
        <v>67338.150916315848</v>
      </c>
      <c r="S147">
        <f t="shared" ref="S147" si="713">R147/100000</f>
        <v>0.67338150916315853</v>
      </c>
      <c r="T147">
        <f t="shared" ref="T147" si="714">S147/1000</f>
        <v>6.7338150916315849E-4</v>
      </c>
    </row>
    <row r="148" spans="1:20" x14ac:dyDescent="0.25">
      <c r="A148" s="5">
        <v>44445</v>
      </c>
      <c r="B148">
        <v>5665</v>
      </c>
      <c r="C148">
        <v>5825</v>
      </c>
      <c r="D148">
        <v>5248</v>
      </c>
      <c r="E148">
        <v>5534</v>
      </c>
      <c r="F148">
        <v>2188.5075000000002</v>
      </c>
      <c r="G148">
        <v>5534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-8.6655112651646445E-3</v>
      </c>
      <c r="Q148">
        <f t="shared" ref="Q148" si="716">F148*P148</f>
        <v>-18.964536395147313</v>
      </c>
      <c r="R148">
        <f t="shared" ref="R148" si="717">R149+Q148</f>
        <v>67791.52950972179</v>
      </c>
      <c r="S148">
        <f t="shared" ref="S148" si="718">R148/100000</f>
        <v>0.67791529509721793</v>
      </c>
      <c r="T148">
        <f t="shared" ref="T148" si="719">S148/1000</f>
        <v>6.7791529509721789E-4</v>
      </c>
    </row>
    <row r="149" spans="1:20" x14ac:dyDescent="0.25">
      <c r="A149" s="5">
        <v>44444</v>
      </c>
      <c r="B149">
        <v>5504</v>
      </c>
      <c r="C149">
        <v>5918</v>
      </c>
      <c r="D149">
        <v>5481</v>
      </c>
      <c r="E149">
        <v>5665</v>
      </c>
      <c r="F149">
        <v>1775.7936999999999</v>
      </c>
      <c r="G149">
        <v>5665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-0.15789473684210525</v>
      </c>
      <c r="Q149">
        <f t="shared" ref="Q149" si="721">F149*P149</f>
        <v>-280.38847894736841</v>
      </c>
      <c r="R149">
        <f t="shared" ref="R149" si="722">R150+Q149</f>
        <v>67810.494046116932</v>
      </c>
      <c r="S149">
        <f t="shared" ref="S149" si="723">R149/100000</f>
        <v>0.67810494046116931</v>
      </c>
      <c r="T149">
        <f t="shared" ref="T149" si="724">S149/1000</f>
        <v>6.7810494046116935E-4</v>
      </c>
    </row>
    <row r="150" spans="1:20" x14ac:dyDescent="0.25">
      <c r="A150" s="5">
        <v>44443</v>
      </c>
      <c r="B150">
        <v>5572</v>
      </c>
      <c r="C150">
        <v>5904</v>
      </c>
      <c r="D150">
        <v>5447</v>
      </c>
      <c r="E150">
        <v>5503</v>
      </c>
      <c r="F150">
        <v>2217.5329000000002</v>
      </c>
      <c r="G150">
        <v>5503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-0.75492341356673964</v>
      </c>
      <c r="Q150">
        <f t="shared" ref="Q150" si="726">F150*P150</f>
        <v>-1674.0675065645516</v>
      </c>
      <c r="R150">
        <f t="shared" ref="R150" si="727">R151+Q150</f>
        <v>68090.882525064299</v>
      </c>
      <c r="S150">
        <f t="shared" ref="S150" si="728">R150/100000</f>
        <v>0.680908825250643</v>
      </c>
      <c r="T150">
        <f t="shared" ref="T150" si="729">S150/1000</f>
        <v>6.8090882525064303E-4</v>
      </c>
    </row>
    <row r="151" spans="1:20" x14ac:dyDescent="0.25">
      <c r="A151" s="5">
        <v>44442</v>
      </c>
      <c r="B151">
        <v>5709</v>
      </c>
      <c r="C151">
        <v>5875</v>
      </c>
      <c r="D151">
        <v>5500</v>
      </c>
      <c r="E151">
        <v>5574</v>
      </c>
      <c r="F151">
        <v>2332.7550000000001</v>
      </c>
      <c r="G151">
        <v>5574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-0.60533333333333328</v>
      </c>
      <c r="Q151">
        <f t="shared" ref="Q151" si="731">F151*P151</f>
        <v>-1412.0943600000001</v>
      </c>
      <c r="R151">
        <f t="shared" ref="R151" si="732">R152+Q151</f>
        <v>69764.950031628847</v>
      </c>
      <c r="S151">
        <f t="shared" ref="S151" si="733">R151/100000</f>
        <v>0.69764950031628847</v>
      </c>
      <c r="T151">
        <f t="shared" ref="T151" si="734">S151/1000</f>
        <v>6.9764950031628845E-4</v>
      </c>
    </row>
    <row r="152" spans="1:20" x14ac:dyDescent="0.25">
      <c r="A152" s="5">
        <v>44441</v>
      </c>
      <c r="B152">
        <v>5842</v>
      </c>
      <c r="C152">
        <v>6050</v>
      </c>
      <c r="D152">
        <v>5670</v>
      </c>
      <c r="E152">
        <v>5703</v>
      </c>
      <c r="F152">
        <v>3465.7523999999999</v>
      </c>
      <c r="G152">
        <v>5703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-0.82631578947368423</v>
      </c>
      <c r="Q152">
        <f t="shared" ref="Q152" si="736">F152*P152</f>
        <v>-2863.8059305263159</v>
      </c>
      <c r="R152">
        <f t="shared" ref="R152" si="737">R153+Q152</f>
        <v>71177.04439162885</v>
      </c>
      <c r="S152">
        <f t="shared" ref="S152" si="738">R152/100000</f>
        <v>0.71177044391628852</v>
      </c>
      <c r="T152">
        <f t="shared" ref="T152" si="739">S152/1000</f>
        <v>7.1177044391628852E-4</v>
      </c>
    </row>
    <row r="153" spans="1:20" x14ac:dyDescent="0.25">
      <c r="A153" s="5">
        <v>44440</v>
      </c>
      <c r="B153">
        <v>6310</v>
      </c>
      <c r="C153">
        <v>6832</v>
      </c>
      <c r="D153">
        <v>5730</v>
      </c>
      <c r="E153">
        <v>5841</v>
      </c>
      <c r="F153">
        <v>10649.1929</v>
      </c>
      <c r="G153">
        <v>5841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-0.79854809437386565</v>
      </c>
      <c r="Q153">
        <f t="shared" ref="Q153" si="741">F153*P153</f>
        <v>-8503.8926969146996</v>
      </c>
      <c r="R153">
        <f t="shared" ref="R153" si="742">R154+Q153</f>
        <v>74040.850322155165</v>
      </c>
      <c r="S153">
        <f t="shared" ref="S153" si="743">R153/100000</f>
        <v>0.74040850322155161</v>
      </c>
      <c r="T153">
        <f t="shared" ref="T153" si="744">S153/1000</f>
        <v>7.4040850322155158E-4</v>
      </c>
    </row>
    <row r="154" spans="1:20" x14ac:dyDescent="0.25">
      <c r="A154" s="5">
        <v>44439</v>
      </c>
      <c r="B154">
        <v>5126</v>
      </c>
      <c r="C154">
        <v>7884</v>
      </c>
      <c r="D154">
        <v>4957</v>
      </c>
      <c r="E154">
        <v>6310</v>
      </c>
      <c r="F154">
        <v>19472.152322000002</v>
      </c>
      <c r="G154">
        <v>6310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-7.5503928937478648E-2</v>
      </c>
      <c r="Q154">
        <f t="shared" ref="Q154" si="746">F154*P154</f>
        <v>-1470.2240051800479</v>
      </c>
      <c r="R154">
        <f t="shared" ref="R154" si="747">R155+Q154</f>
        <v>82544.743019069865</v>
      </c>
      <c r="S154">
        <f t="shared" ref="S154" si="748">R154/100000</f>
        <v>0.82544743019069866</v>
      </c>
      <c r="T154">
        <f t="shared" ref="T154" si="749">S154/1000</f>
        <v>8.254474301906987E-4</v>
      </c>
    </row>
    <row r="155" spans="1:20" x14ac:dyDescent="0.25">
      <c r="A155" s="5">
        <v>44438</v>
      </c>
      <c r="B155">
        <v>4212</v>
      </c>
      <c r="C155">
        <v>5346</v>
      </c>
      <c r="D155">
        <v>4094</v>
      </c>
      <c r="E155">
        <v>5129</v>
      </c>
      <c r="F155">
        <v>5793.726592</v>
      </c>
      <c r="G155">
        <v>5129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0.65335463258785942</v>
      </c>
      <c r="Q155">
        <f t="shared" ref="Q155" si="751">F155*P155</f>
        <v>3785.358108830671</v>
      </c>
      <c r="R155">
        <f t="shared" ref="R155" si="752">R156+Q155</f>
        <v>84014.967024249912</v>
      </c>
      <c r="S155">
        <f t="shared" ref="S155" si="753">R155/100000</f>
        <v>0.84014967024249909</v>
      </c>
      <c r="T155">
        <f t="shared" ref="T155" si="754">S155/1000</f>
        <v>8.4014967024249908E-4</v>
      </c>
    </row>
    <row r="156" spans="1:20" x14ac:dyDescent="0.25">
      <c r="A156" s="5">
        <v>44437</v>
      </c>
      <c r="B156">
        <v>4358</v>
      </c>
      <c r="C156">
        <v>4485</v>
      </c>
      <c r="D156">
        <v>4177</v>
      </c>
      <c r="E156">
        <v>4215</v>
      </c>
      <c r="F156">
        <v>1081.0554999999999</v>
      </c>
      <c r="G156">
        <v>4215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-0.75324675324675328</v>
      </c>
      <c r="Q156">
        <f t="shared" ref="Q156" si="756">F156*P156</f>
        <v>-814.30154545454548</v>
      </c>
      <c r="R156">
        <f t="shared" ref="R156" si="757">R157+Q156</f>
        <v>80229.608915419245</v>
      </c>
      <c r="S156">
        <f t="shared" ref="S156" si="758">R156/100000</f>
        <v>0.80229608915419248</v>
      </c>
      <c r="T156">
        <f t="shared" ref="T156" si="759">S156/1000</f>
        <v>8.0229608915419247E-4</v>
      </c>
    </row>
    <row r="157" spans="1:20" x14ac:dyDescent="0.25">
      <c r="A157" s="5">
        <v>44436</v>
      </c>
      <c r="B157">
        <v>4240</v>
      </c>
      <c r="C157">
        <v>4370</v>
      </c>
      <c r="D157">
        <v>4169</v>
      </c>
      <c r="E157">
        <v>4354</v>
      </c>
      <c r="F157">
        <v>1345.122987</v>
      </c>
      <c r="G157">
        <v>4354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0.84079601990049746</v>
      </c>
      <c r="Q157">
        <f t="shared" ref="Q157" si="761">F157*P157</f>
        <v>1130.9740537462685</v>
      </c>
      <c r="R157">
        <f t="shared" ref="R157" si="762">R158+Q157</f>
        <v>81043.910460873783</v>
      </c>
      <c r="S157">
        <f t="shared" ref="S157" si="763">R157/100000</f>
        <v>0.8104391046087378</v>
      </c>
      <c r="T157">
        <f t="shared" ref="T157" si="764">S157/1000</f>
        <v>8.1043910460873783E-4</v>
      </c>
    </row>
    <row r="158" spans="1:20" x14ac:dyDescent="0.25">
      <c r="A158" s="5">
        <v>44435</v>
      </c>
      <c r="B158">
        <v>4038</v>
      </c>
      <c r="C158">
        <v>4240</v>
      </c>
      <c r="D158">
        <v>3900</v>
      </c>
      <c r="E158">
        <v>4238</v>
      </c>
      <c r="F158">
        <v>1082.004324</v>
      </c>
      <c r="G158">
        <v>4238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0.9882352941176471</v>
      </c>
      <c r="Q158">
        <f t="shared" ref="Q158" si="766">F158*P158</f>
        <v>1069.2748613647059</v>
      </c>
      <c r="R158">
        <f t="shared" ref="R158" si="767">R159+Q158</f>
        <v>79912.936407127519</v>
      </c>
      <c r="S158">
        <f t="shared" ref="S158" si="768">R158/100000</f>
        <v>0.79912936407127522</v>
      </c>
      <c r="T158">
        <f t="shared" ref="T158" si="769">S158/1000</f>
        <v>7.9912936407127517E-4</v>
      </c>
    </row>
    <row r="159" spans="1:20" x14ac:dyDescent="0.25">
      <c r="A159" s="5">
        <v>44434</v>
      </c>
      <c r="B159">
        <v>4181.28</v>
      </c>
      <c r="C159">
        <v>4248.16</v>
      </c>
      <c r="D159">
        <v>3925.74</v>
      </c>
      <c r="E159">
        <v>4039</v>
      </c>
      <c r="F159">
        <v>1332.8440880000001</v>
      </c>
      <c r="G159">
        <v>4039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-0.29743812418584337</v>
      </c>
      <c r="Q159">
        <f t="shared" ref="Q159" si="771">F159*P159</f>
        <v>-396.43864536691115</v>
      </c>
      <c r="R159">
        <f t="shared" ref="R159" si="772">R160+Q159</f>
        <v>78843.661545762807</v>
      </c>
      <c r="S159">
        <f t="shared" ref="S159" si="773">R159/100000</f>
        <v>0.78843661545762811</v>
      </c>
      <c r="T159">
        <f t="shared" ref="T159" si="774">S159/1000</f>
        <v>7.8843661545762811E-4</v>
      </c>
    </row>
    <row r="160" spans="1:20" x14ac:dyDescent="0.25">
      <c r="A160" s="5">
        <v>44433</v>
      </c>
      <c r="B160">
        <v>4160.3500000000004</v>
      </c>
      <c r="C160">
        <v>4280.84</v>
      </c>
      <c r="D160">
        <v>3984.86</v>
      </c>
      <c r="E160">
        <v>4166.25</v>
      </c>
      <c r="F160">
        <v>1691.6770429999999</v>
      </c>
      <c r="G160">
        <v>4166.25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0.22569092506250329</v>
      </c>
      <c r="Q160">
        <f t="shared" ref="Q160" si="776">F160*P160</f>
        <v>381.79615674167013</v>
      </c>
      <c r="R160">
        <f t="shared" ref="R160" si="777">R161+Q160</f>
        <v>79240.100191129721</v>
      </c>
      <c r="S160">
        <f t="shared" ref="S160" si="778">R160/100000</f>
        <v>0.79240100191129725</v>
      </c>
      <c r="T160">
        <f t="shared" ref="T160" si="779">S160/1000</f>
        <v>7.9240100191129727E-4</v>
      </c>
    </row>
    <row r="161" spans="1:20" x14ac:dyDescent="0.25">
      <c r="A161" s="5">
        <v>44432</v>
      </c>
      <c r="B161">
        <v>4752.17</v>
      </c>
      <c r="C161">
        <v>4812.8100000000004</v>
      </c>
      <c r="D161">
        <v>4101</v>
      </c>
      <c r="E161">
        <v>4162.41</v>
      </c>
      <c r="F161">
        <v>2970.9603109999998</v>
      </c>
      <c r="G161">
        <v>4162.41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-0.82745395540944966</v>
      </c>
      <c r="Q161">
        <f t="shared" ref="Q161" si="781">F161*P161</f>
        <v>-2458.3328607014387</v>
      </c>
      <c r="R161">
        <f t="shared" ref="R161" si="782">R162+Q161</f>
        <v>78858.304034388057</v>
      </c>
      <c r="S161">
        <f t="shared" ref="S161" si="783">R161/100000</f>
        <v>0.7885830403438806</v>
      </c>
      <c r="T161">
        <f t="shared" ref="T161" si="784">S161/1000</f>
        <v>7.8858304034388062E-4</v>
      </c>
    </row>
    <row r="162" spans="1:20" x14ac:dyDescent="0.25">
      <c r="A162" s="5">
        <v>44431</v>
      </c>
      <c r="B162">
        <v>4096.4399999999996</v>
      </c>
      <c r="C162">
        <v>4900</v>
      </c>
      <c r="D162">
        <v>4069.74</v>
      </c>
      <c r="E162">
        <v>4750</v>
      </c>
      <c r="F162">
        <v>4852.0799139999999</v>
      </c>
      <c r="G162">
        <v>4750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0.63866740539108235</v>
      </c>
      <c r="Q162">
        <f t="shared" ref="Q162" si="786">F162*P162</f>
        <v>3098.8652894245661</v>
      </c>
      <c r="R162">
        <f t="shared" ref="R162" si="787">R163+Q162</f>
        <v>81316.636895089498</v>
      </c>
      <c r="S162">
        <f t="shared" ref="S162" si="788">R162/100000</f>
        <v>0.813166368950895</v>
      </c>
      <c r="T162">
        <f t="shared" ref="T162" si="789">S162/1000</f>
        <v>8.1316636895089505E-4</v>
      </c>
    </row>
    <row r="163" spans="1:20" x14ac:dyDescent="0.25">
      <c r="A163" s="5">
        <v>44430</v>
      </c>
      <c r="B163">
        <v>4160.3100000000004</v>
      </c>
      <c r="C163">
        <v>4197.93</v>
      </c>
      <c r="D163">
        <v>4086.11</v>
      </c>
      <c r="E163">
        <v>4165.78</v>
      </c>
      <c r="F163">
        <v>211.88694699999999</v>
      </c>
      <c r="G163">
        <v>4165.78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0.42496869969593098</v>
      </c>
      <c r="Q163">
        <f t="shared" ref="Q163" si="791">F163*P163</f>
        <v>90.045320349130648</v>
      </c>
      <c r="R163">
        <f t="shared" ref="R163" si="792">R164+Q163</f>
        <v>78217.771605664937</v>
      </c>
      <c r="S163">
        <f t="shared" ref="S163" si="793">R163/100000</f>
        <v>0.78217771605664932</v>
      </c>
      <c r="T163">
        <f t="shared" ref="T163" si="794">S163/1000</f>
        <v>7.8217771605664931E-4</v>
      </c>
    </row>
    <row r="164" spans="1:20" x14ac:dyDescent="0.25">
      <c r="A164" s="5">
        <v>44429</v>
      </c>
      <c r="B164">
        <v>4219.97</v>
      </c>
      <c r="C164">
        <v>4290</v>
      </c>
      <c r="D164">
        <v>4058.09</v>
      </c>
      <c r="E164">
        <v>4159.3500000000004</v>
      </c>
      <c r="F164">
        <v>1381.6440869999999</v>
      </c>
      <c r="G164">
        <v>4159.3500000000004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-0.12673019705920158</v>
      </c>
      <c r="Q164">
        <f t="shared" ref="Q164" si="796">F164*P164</f>
        <v>-175.09602741119065</v>
      </c>
      <c r="R164">
        <f t="shared" ref="R164" si="797">R165+Q164</f>
        <v>78127.726285315803</v>
      </c>
      <c r="S164">
        <f t="shared" ref="S164" si="798">R164/100000</f>
        <v>0.78127726285315802</v>
      </c>
      <c r="T164">
        <f t="shared" ref="T164" si="799">S164/1000</f>
        <v>7.81277262853158E-4</v>
      </c>
    </row>
    <row r="165" spans="1:20" x14ac:dyDescent="0.25">
      <c r="A165" s="5">
        <v>44428</v>
      </c>
      <c r="B165">
        <v>4121.8500000000004</v>
      </c>
      <c r="C165">
        <v>4347</v>
      </c>
      <c r="D165">
        <v>4112.1400000000003</v>
      </c>
      <c r="E165">
        <v>4223.62</v>
      </c>
      <c r="F165">
        <v>1616.5941130000001</v>
      </c>
      <c r="G165">
        <v>4223.62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-5.0668483351786434E-2</v>
      </c>
      <c r="Q165">
        <f t="shared" ref="Q165" si="801">F165*P165</f>
        <v>-81.910371901136457</v>
      </c>
      <c r="R165">
        <f t="shared" ref="R165" si="802">R166+Q165</f>
        <v>78302.822312726988</v>
      </c>
      <c r="S165">
        <f t="shared" ref="S165" si="803">R165/100000</f>
        <v>0.78302822312726994</v>
      </c>
      <c r="T165">
        <f t="shared" ref="T165" si="804">S165/1000</f>
        <v>7.8302822312726998E-4</v>
      </c>
    </row>
    <row r="166" spans="1:20" x14ac:dyDescent="0.25">
      <c r="A166" s="5">
        <v>44427</v>
      </c>
      <c r="B166">
        <v>3847.71</v>
      </c>
      <c r="C166">
        <v>4199</v>
      </c>
      <c r="D166">
        <v>3730.57</v>
      </c>
      <c r="E166">
        <v>4118.6099999999997</v>
      </c>
      <c r="F166">
        <v>1964.6236879999999</v>
      </c>
      <c r="G166">
        <v>4118.6099999999997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0.65676835386290222</v>
      </c>
      <c r="Q166">
        <f t="shared" ref="Q166" si="806">F166*P166</f>
        <v>1290.302665527824</v>
      </c>
      <c r="R166">
        <f t="shared" ref="R166" si="807">R167+Q166</f>
        <v>78384.732684628121</v>
      </c>
      <c r="S166">
        <f t="shared" ref="S166" si="808">R166/100000</f>
        <v>0.78384732684628122</v>
      </c>
      <c r="T166">
        <f t="shared" ref="T166" si="809">S166/1000</f>
        <v>7.8384732684628122E-4</v>
      </c>
    </row>
    <row r="167" spans="1:20" x14ac:dyDescent="0.25">
      <c r="A167" s="5">
        <v>44426</v>
      </c>
      <c r="B167">
        <v>3833.36</v>
      </c>
      <c r="C167">
        <v>3969.74</v>
      </c>
      <c r="D167">
        <v>3652.65</v>
      </c>
      <c r="E167">
        <v>3842.94</v>
      </c>
      <c r="F167">
        <v>1696.0251169999999</v>
      </c>
      <c r="G167">
        <v>3842.94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0.20022706487117317</v>
      </c>
      <c r="Q167">
        <f t="shared" ref="Q167" si="811">F167*P167</f>
        <v>339.59013112469808</v>
      </c>
      <c r="R167">
        <f t="shared" ref="R167" si="812">R168+Q167</f>
        <v>77094.430019100299</v>
      </c>
      <c r="S167">
        <f t="shared" ref="S167" si="813">R167/100000</f>
        <v>0.77094430019100302</v>
      </c>
      <c r="T167">
        <f t="shared" ref="T167" si="814">S167/1000</f>
        <v>7.7094430019100299E-4</v>
      </c>
    </row>
    <row r="168" spans="1:20" x14ac:dyDescent="0.25">
      <c r="A168" s="5">
        <v>44425</v>
      </c>
      <c r="B168">
        <v>4028.28</v>
      </c>
      <c r="C168">
        <v>4292.58</v>
      </c>
      <c r="D168">
        <v>3788.41</v>
      </c>
      <c r="E168">
        <v>3836.53</v>
      </c>
      <c r="F168">
        <v>2445.9076369999998</v>
      </c>
      <c r="G168">
        <v>3836.53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-0.80911200587103427</v>
      </c>
      <c r="Q168">
        <f t="shared" ref="Q168" si="816">F168*P168</f>
        <v>-1979.0132343483515</v>
      </c>
      <c r="R168">
        <f t="shared" ref="R168" si="817">R169+Q168</f>
        <v>76754.839887975599</v>
      </c>
      <c r="S168">
        <f t="shared" ref="S168" si="818">R168/100000</f>
        <v>0.76754839887975601</v>
      </c>
      <c r="T168">
        <f t="shared" ref="T168" si="819">S168/1000</f>
        <v>7.67548398879756E-4</v>
      </c>
    </row>
    <row r="169" spans="1:20" x14ac:dyDescent="0.25">
      <c r="A169" s="5">
        <v>44424</v>
      </c>
      <c r="B169">
        <v>4476.59</v>
      </c>
      <c r="C169">
        <v>4500</v>
      </c>
      <c r="D169">
        <v>3963.65</v>
      </c>
      <c r="E169">
        <v>4032.87</v>
      </c>
      <c r="F169">
        <v>2549.3992079999998</v>
      </c>
      <c r="G169">
        <v>4032.87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-0.74188496317703068</v>
      </c>
      <c r="Q169">
        <f t="shared" ref="Q169" si="821">F169*P169</f>
        <v>-1891.360937550631</v>
      </c>
      <c r="R169">
        <f t="shared" ref="R169" si="822">R170+Q169</f>
        <v>78733.853122323955</v>
      </c>
      <c r="S169">
        <f t="shared" ref="S169" si="823">R169/100000</f>
        <v>0.7873385312232396</v>
      </c>
      <c r="T169">
        <f t="shared" ref="T169" si="824">S169/1000</f>
        <v>7.8733853122323961E-4</v>
      </c>
    </row>
    <row r="170" spans="1:20" x14ac:dyDescent="0.25">
      <c r="A170" s="5">
        <v>44423</v>
      </c>
      <c r="B170">
        <v>4075.9</v>
      </c>
      <c r="C170">
        <v>4476.59</v>
      </c>
      <c r="D170">
        <v>3956.22</v>
      </c>
      <c r="E170">
        <v>4476.59</v>
      </c>
      <c r="F170">
        <v>2727.0710319999998</v>
      </c>
      <c r="G170">
        <v>4476.59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1</v>
      </c>
      <c r="Q170">
        <f t="shared" ref="Q170" si="826">F170*P170</f>
        <v>2727.0710319999998</v>
      </c>
      <c r="R170">
        <f t="shared" ref="R170" si="827">R171+Q170</f>
        <v>80625.21405987459</v>
      </c>
      <c r="S170">
        <f t="shared" ref="S170" si="828">R170/100000</f>
        <v>0.80625214059874595</v>
      </c>
      <c r="T170">
        <f t="shared" ref="T170" si="829">S170/1000</f>
        <v>8.0625214059874589E-4</v>
      </c>
    </row>
    <row r="171" spans="1:20" x14ac:dyDescent="0.25">
      <c r="A171" s="5">
        <v>44422</v>
      </c>
      <c r="B171">
        <v>4297.82</v>
      </c>
      <c r="C171">
        <v>4299.9799999999996</v>
      </c>
      <c r="D171">
        <v>4010.62</v>
      </c>
      <c r="E171">
        <v>4075.93</v>
      </c>
      <c r="F171">
        <v>1587.1704070000001</v>
      </c>
      <c r="G171">
        <v>4075.93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-0.54858999170583345</v>
      </c>
      <c r="Q171">
        <f t="shared" ref="Q171" si="831">F171*P171</f>
        <v>-870.70580041187429</v>
      </c>
      <c r="R171">
        <f t="shared" ref="R171" si="832">R172+Q171</f>
        <v>77898.143027874583</v>
      </c>
      <c r="S171">
        <f t="shared" ref="S171" si="833">R171/100000</f>
        <v>0.77898143027874578</v>
      </c>
      <c r="T171">
        <f t="shared" ref="T171" si="834">S171/1000</f>
        <v>7.7898143027874578E-4</v>
      </c>
    </row>
    <row r="172" spans="1:20" x14ac:dyDescent="0.25">
      <c r="A172" s="5">
        <v>44421</v>
      </c>
      <c r="B172">
        <v>4080.46</v>
      </c>
      <c r="C172">
        <v>4304</v>
      </c>
      <c r="D172">
        <v>4037.3</v>
      </c>
      <c r="E172">
        <v>4298.34</v>
      </c>
      <c r="F172">
        <v>1626.6965029999999</v>
      </c>
      <c r="G172">
        <v>4298.34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0.95755530558680269</v>
      </c>
      <c r="Q172">
        <f t="shared" ref="Q172" si="836">F172*P172</f>
        <v>1557.6518670271482</v>
      </c>
      <c r="R172">
        <f t="shared" ref="R172" si="837">R173+Q172</f>
        <v>78768.848828286456</v>
      </c>
      <c r="S172">
        <f t="shared" ref="S172" si="838">R172/100000</f>
        <v>0.78768848828286453</v>
      </c>
      <c r="T172">
        <f t="shared" ref="T172" si="839">S172/1000</f>
        <v>7.8768848828286448E-4</v>
      </c>
    </row>
    <row r="173" spans="1:20" x14ac:dyDescent="0.25">
      <c r="A173" s="5">
        <v>44420</v>
      </c>
      <c r="B173">
        <v>4135.99</v>
      </c>
      <c r="C173">
        <v>4284.16</v>
      </c>
      <c r="D173">
        <v>3917</v>
      </c>
      <c r="E173">
        <v>4084.82</v>
      </c>
      <c r="F173">
        <v>2308.308325</v>
      </c>
      <c r="G173">
        <v>4084.82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-8.5848131604748718E-2</v>
      </c>
      <c r="Q173">
        <f t="shared" ref="Q173" si="841">F173*P173</f>
        <v>-198.16395686893708</v>
      </c>
      <c r="R173">
        <f t="shared" ref="R173" si="842">R174+Q173</f>
        <v>77211.196961259309</v>
      </c>
      <c r="S173">
        <f t="shared" ref="S173" si="843">R173/100000</f>
        <v>0.7721119696125931</v>
      </c>
      <c r="T173">
        <f t="shared" ref="T173" si="844">S173/1000</f>
        <v>7.7211196961259315E-4</v>
      </c>
    </row>
    <row r="174" spans="1:20" x14ac:dyDescent="0.25">
      <c r="A174" s="5">
        <v>44419</v>
      </c>
      <c r="B174">
        <v>4175</v>
      </c>
      <c r="C174">
        <v>4550</v>
      </c>
      <c r="D174">
        <v>4126.46</v>
      </c>
      <c r="E174">
        <v>4144.3999999999996</v>
      </c>
      <c r="F174">
        <v>2807.7932759999999</v>
      </c>
      <c r="G174">
        <v>4144.3999999999996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-0.91528545119705529</v>
      </c>
      <c r="Q174">
        <f t="shared" ref="Q174" si="846">F174*P174</f>
        <v>-2569.9323354917178</v>
      </c>
      <c r="R174">
        <f t="shared" ref="R174" si="847">R175+Q174</f>
        <v>77409.360918128252</v>
      </c>
      <c r="S174">
        <f t="shared" ref="S174" si="848">R174/100000</f>
        <v>0.77409360918128256</v>
      </c>
      <c r="T174">
        <f t="shared" ref="T174" si="849">S174/1000</f>
        <v>7.7409360918128257E-4</v>
      </c>
    </row>
    <row r="175" spans="1:20" x14ac:dyDescent="0.25">
      <c r="A175" s="5">
        <v>44418</v>
      </c>
      <c r="B175">
        <v>4006.67</v>
      </c>
      <c r="C175">
        <v>4385</v>
      </c>
      <c r="D175">
        <v>3932.42</v>
      </c>
      <c r="E175">
        <v>4178.3900000000003</v>
      </c>
      <c r="F175">
        <v>3688.2855209999998</v>
      </c>
      <c r="G175">
        <v>4178.3900000000003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8.696804984754207E-2</v>
      </c>
      <c r="Q175">
        <f t="shared" ref="Q175" si="851">F175*P175</f>
        <v>320.76299904229563</v>
      </c>
      <c r="R175">
        <f t="shared" ref="R175" si="852">R176+Q175</f>
        <v>79979.293253619966</v>
      </c>
      <c r="S175">
        <f t="shared" ref="S175" si="853">R175/100000</f>
        <v>0.79979293253619965</v>
      </c>
      <c r="T175">
        <f t="shared" ref="T175" si="854">S175/1000</f>
        <v>7.9979293253619964E-4</v>
      </c>
    </row>
    <row r="176" spans="1:20" x14ac:dyDescent="0.25">
      <c r="A176" s="5">
        <v>44417</v>
      </c>
      <c r="B176">
        <v>4021.94</v>
      </c>
      <c r="C176">
        <v>4285</v>
      </c>
      <c r="D176">
        <v>3887.97</v>
      </c>
      <c r="E176">
        <v>4008.69</v>
      </c>
      <c r="F176">
        <v>2777.3091300000001</v>
      </c>
      <c r="G176">
        <v>4008.69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-0.39188474422587616</v>
      </c>
      <c r="Q176">
        <f t="shared" ref="Q176" si="856">F176*P176</f>
        <v>-1088.3850780462408</v>
      </c>
      <c r="R176">
        <f t="shared" ref="R176" si="857">R177+Q176</f>
        <v>79658.530254577665</v>
      </c>
      <c r="S176">
        <f t="shared" ref="S176" si="858">R176/100000</f>
        <v>0.79658530254577664</v>
      </c>
      <c r="T176">
        <f t="shared" ref="T176" si="859">S176/1000</f>
        <v>7.9658530254577667E-4</v>
      </c>
    </row>
    <row r="177" spans="1:20" x14ac:dyDescent="0.25">
      <c r="A177" s="5">
        <v>44416</v>
      </c>
      <c r="B177">
        <v>4270</v>
      </c>
      <c r="C177">
        <v>4337.5600000000004</v>
      </c>
      <c r="D177">
        <v>3942.08</v>
      </c>
      <c r="E177">
        <v>4024</v>
      </c>
      <c r="F177">
        <v>2574.25173</v>
      </c>
      <c r="G177">
        <v>4024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-0.58571862041064038</v>
      </c>
      <c r="Q177">
        <f t="shared" ref="Q177" si="861">F177*P177</f>
        <v>-1507.7871718853044</v>
      </c>
      <c r="R177">
        <f t="shared" ref="R177" si="862">R178+Q177</f>
        <v>80746.915332623903</v>
      </c>
      <c r="S177">
        <f t="shared" ref="S177" si="863">R177/100000</f>
        <v>0.80746915332623903</v>
      </c>
      <c r="T177">
        <f t="shared" ref="T177" si="864">S177/1000</f>
        <v>8.0746915332623908E-4</v>
      </c>
    </row>
    <row r="178" spans="1:20" x14ac:dyDescent="0.25">
      <c r="A178" s="5">
        <v>44415</v>
      </c>
      <c r="B178">
        <v>4226.05</v>
      </c>
      <c r="C178">
        <v>4475.8500000000004</v>
      </c>
      <c r="D178">
        <v>4128.63</v>
      </c>
      <c r="E178">
        <v>4275.53</v>
      </c>
      <c r="F178">
        <v>3885.0457580000002</v>
      </c>
      <c r="G178">
        <v>4275.53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-0.15385058464374443</v>
      </c>
      <c r="Q178">
        <f t="shared" ref="Q178" si="866">F178*P178</f>
        <v>-597.71656123599928</v>
      </c>
      <c r="R178">
        <f t="shared" ref="R178" si="867">R179+Q178</f>
        <v>82254.702504509201</v>
      </c>
      <c r="S178">
        <f t="shared" ref="S178" si="868">R178/100000</f>
        <v>0.82254702504509203</v>
      </c>
      <c r="T178">
        <f t="shared" ref="T178" si="869">S178/1000</f>
        <v>8.2254702504509206E-4</v>
      </c>
    </row>
    <row r="179" spans="1:20" x14ac:dyDescent="0.25">
      <c r="A179" s="5">
        <v>44414</v>
      </c>
      <c r="B179">
        <v>4311.1499999999996</v>
      </c>
      <c r="C179">
        <v>4392.66</v>
      </c>
      <c r="D179">
        <v>4135.0200000000004</v>
      </c>
      <c r="E179">
        <v>4229.0600000000004</v>
      </c>
      <c r="F179">
        <v>2686.2833730000002</v>
      </c>
      <c r="G179">
        <v>4229.0600000000004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-0.26998913212233988</v>
      </c>
      <c r="Q179">
        <f t="shared" ref="Q179" si="871">F179*P179</f>
        <v>-725.2673165109419</v>
      </c>
      <c r="R179">
        <f t="shared" ref="R179" si="872">R180+Q179</f>
        <v>82852.419065745198</v>
      </c>
      <c r="S179">
        <f t="shared" ref="S179" si="873">R179/100000</f>
        <v>0.82852419065745198</v>
      </c>
      <c r="T179">
        <f t="shared" ref="T179" si="874">S179/1000</f>
        <v>8.2852419065745193E-4</v>
      </c>
    </row>
    <row r="180" spans="1:20" x14ac:dyDescent="0.25">
      <c r="A180" s="5">
        <v>44413</v>
      </c>
      <c r="B180">
        <v>4509.2700000000004</v>
      </c>
      <c r="C180">
        <v>4549.76</v>
      </c>
      <c r="D180">
        <v>4140</v>
      </c>
      <c r="E180">
        <v>4310.13</v>
      </c>
      <c r="F180">
        <v>3728.9335759999999</v>
      </c>
      <c r="G180">
        <v>4310.13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-0.1696114798906676</v>
      </c>
      <c r="Q180">
        <f t="shared" ref="Q180" si="876">F180*P180</f>
        <v>-632.46994223935917</v>
      </c>
      <c r="R180">
        <f t="shared" ref="R180" si="877">R181+Q180</f>
        <v>83577.686382256143</v>
      </c>
      <c r="S180">
        <f t="shared" ref="S180" si="878">R180/100000</f>
        <v>0.83577686382256144</v>
      </c>
      <c r="T180">
        <f t="shared" ref="T180" si="879">S180/1000</f>
        <v>8.3577686382256143E-4</v>
      </c>
    </row>
    <row r="181" spans="1:20" x14ac:dyDescent="0.25">
      <c r="A181" s="5">
        <v>44412</v>
      </c>
      <c r="B181">
        <v>4692.84</v>
      </c>
      <c r="C181">
        <v>4697.6099999999997</v>
      </c>
      <c r="D181">
        <v>4287.78</v>
      </c>
      <c r="E181">
        <v>4512.6099999999997</v>
      </c>
      <c r="F181">
        <v>5980.1717339999996</v>
      </c>
      <c r="G181">
        <v>4512.6099999999997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9.7186638362247599E-2</v>
      </c>
      <c r="Q181">
        <f t="shared" ref="Q181" si="881">F181*P181</f>
        <v>581.19278765639308</v>
      </c>
      <c r="R181">
        <f t="shared" ref="R181" si="882">R182+Q181</f>
        <v>84210.156324495503</v>
      </c>
      <c r="S181">
        <f t="shared" ref="S181" si="883">R181/100000</f>
        <v>0.842101563244955</v>
      </c>
      <c r="T181">
        <f t="shared" ref="T181" si="884">S181/1000</f>
        <v>8.4210156324495496E-4</v>
      </c>
    </row>
    <row r="182" spans="1:20" x14ac:dyDescent="0.25">
      <c r="A182" s="5">
        <v>44411</v>
      </c>
      <c r="B182">
        <v>3629.27</v>
      </c>
      <c r="C182">
        <v>4766</v>
      </c>
      <c r="D182">
        <v>3577.01</v>
      </c>
      <c r="E182">
        <v>4677.3100000000004</v>
      </c>
      <c r="F182">
        <v>14172.574225</v>
      </c>
      <c r="G182">
        <v>4677.3100000000004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0.8508145568928257</v>
      </c>
      <c r="Q182">
        <f t="shared" ref="Q182" si="886">F182*P182</f>
        <v>12058.232459274059</v>
      </c>
      <c r="R182">
        <f t="shared" ref="R182" si="887">R183+Q182</f>
        <v>83628.963536839117</v>
      </c>
      <c r="S182">
        <f t="shared" ref="S182" si="888">R182/100000</f>
        <v>0.83628963536839118</v>
      </c>
      <c r="T182">
        <f t="shared" ref="T182" si="889">S182/1000</f>
        <v>8.3628963536839119E-4</v>
      </c>
    </row>
    <row r="183" spans="1:20" x14ac:dyDescent="0.25">
      <c r="A183" s="5">
        <v>44410</v>
      </c>
      <c r="B183">
        <v>3497.07</v>
      </c>
      <c r="C183">
        <v>3940.52</v>
      </c>
      <c r="D183">
        <v>3467</v>
      </c>
      <c r="E183">
        <v>3630.44</v>
      </c>
      <c r="F183">
        <v>4761.5815030000003</v>
      </c>
      <c r="G183">
        <v>3630.44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-0.3096806893056257</v>
      </c>
      <c r="Q183">
        <f t="shared" ref="Q183" si="891">F183*P183</f>
        <v>-1474.5698420339575</v>
      </c>
      <c r="R183">
        <f t="shared" ref="R183" si="892">R184+Q183</f>
        <v>71570.731077565055</v>
      </c>
      <c r="S183">
        <f t="shared" ref="S183" si="893">R183/100000</f>
        <v>0.71570731077565053</v>
      </c>
      <c r="T183">
        <f t="shared" ref="T183" si="894">S183/1000</f>
        <v>7.1570731077565054E-4</v>
      </c>
    </row>
    <row r="184" spans="1:20" x14ac:dyDescent="0.25">
      <c r="A184" s="5">
        <v>44409</v>
      </c>
      <c r="B184">
        <v>3510.24</v>
      </c>
      <c r="C184">
        <v>3884</v>
      </c>
      <c r="D184">
        <v>3410</v>
      </c>
      <c r="E184">
        <v>3498.46</v>
      </c>
      <c r="F184">
        <v>8244.7397450000008</v>
      </c>
      <c r="G184">
        <v>3498.46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-0.62675105485232052</v>
      </c>
      <c r="Q184">
        <f t="shared" ref="Q184" si="896">F184*P184</f>
        <v>-5167.3993321616026</v>
      </c>
      <c r="R184">
        <f t="shared" ref="R184" si="897">R185+Q184</f>
        <v>73045.300919599016</v>
      </c>
      <c r="S184">
        <f t="shared" ref="S184" si="898">R184/100000</f>
        <v>0.73045300919599021</v>
      </c>
      <c r="T184">
        <f t="shared" ref="T184" si="899">S184/1000</f>
        <v>7.3045300919599026E-4</v>
      </c>
    </row>
    <row r="185" spans="1:20" x14ac:dyDescent="0.25">
      <c r="A185" s="5">
        <v>44408</v>
      </c>
      <c r="B185">
        <v>2947.63</v>
      </c>
      <c r="C185">
        <v>3659</v>
      </c>
      <c r="D185">
        <v>2907.58</v>
      </c>
      <c r="E185">
        <v>3510.27</v>
      </c>
      <c r="F185">
        <v>12032.597877</v>
      </c>
      <c r="G185">
        <v>3510.27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0.60413616885363708</v>
      </c>
      <c r="Q185">
        <f t="shared" ref="Q185" si="901">F185*P185</f>
        <v>7269.3275827671869</v>
      </c>
      <c r="R185">
        <f t="shared" ref="R185" si="902">R186+Q185</f>
        <v>78212.700251760616</v>
      </c>
      <c r="S185">
        <f t="shared" ref="S185" si="903">R185/100000</f>
        <v>0.78212700251760614</v>
      </c>
      <c r="T185">
        <f t="shared" ref="T185" si="904">S185/1000</f>
        <v>7.8212700251760611E-4</v>
      </c>
    </row>
    <row r="186" spans="1:20" x14ac:dyDescent="0.25">
      <c r="A186" s="5">
        <v>44407</v>
      </c>
      <c r="B186">
        <v>2560.6999999999998</v>
      </c>
      <c r="C186">
        <v>2990</v>
      </c>
      <c r="D186">
        <v>2421.42</v>
      </c>
      <c r="E186">
        <v>2945.33</v>
      </c>
      <c r="F186">
        <v>6024.2920770000001</v>
      </c>
      <c r="G186">
        <v>2945.33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0.84287171550177609</v>
      </c>
      <c r="Q186">
        <f t="shared" ref="Q186" si="906">F186*P186</f>
        <v>5077.705397624748</v>
      </c>
      <c r="R186">
        <f t="shared" ref="R186" si="907">R187+Q186</f>
        <v>70943.372668993426</v>
      </c>
      <c r="S186">
        <f t="shared" ref="S186" si="908">R186/100000</f>
        <v>0.70943372668993432</v>
      </c>
      <c r="T186">
        <f t="shared" ref="T186" si="909">S186/1000</f>
        <v>7.0943372668993434E-4</v>
      </c>
    </row>
    <row r="187" spans="1:20" x14ac:dyDescent="0.25">
      <c r="A187" s="5">
        <v>44406</v>
      </c>
      <c r="B187">
        <v>2602.84</v>
      </c>
      <c r="C187">
        <v>2607.42</v>
      </c>
      <c r="D187">
        <v>2493.4899999999998</v>
      </c>
      <c r="E187">
        <v>2556.91</v>
      </c>
      <c r="F187">
        <v>1407.5927710000001</v>
      </c>
      <c r="G187">
        <v>2556.91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0.11331519353989135</v>
      </c>
      <c r="Q187">
        <f t="shared" ref="Q187" si="911">F187*P187</f>
        <v>159.50164727121697</v>
      </c>
      <c r="R187">
        <f t="shared" ref="R187" si="912">R188+Q187</f>
        <v>65865.667271368686</v>
      </c>
      <c r="S187">
        <f t="shared" ref="S187" si="913">R187/100000</f>
        <v>0.65865667271368689</v>
      </c>
      <c r="T187">
        <f t="shared" ref="T187" si="914">S187/1000</f>
        <v>6.5865667271368692E-4</v>
      </c>
    </row>
    <row r="188" spans="1:20" x14ac:dyDescent="0.25">
      <c r="A188" s="5">
        <v>44405</v>
      </c>
      <c r="B188">
        <v>2647.1</v>
      </c>
      <c r="C188">
        <v>2676</v>
      </c>
      <c r="D188">
        <v>2533.94</v>
      </c>
      <c r="E188">
        <v>2598.12</v>
      </c>
      <c r="F188">
        <v>1793.6453739999999</v>
      </c>
      <c r="G188">
        <v>2598.12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-9.6438124736028988E-2</v>
      </c>
      <c r="Q188">
        <f t="shared" ref="Q188" si="916">F188*P188</f>
        <v>-172.97579631001335</v>
      </c>
      <c r="R188">
        <f t="shared" ref="R188" si="917">R189+Q188</f>
        <v>65706.16562409747</v>
      </c>
      <c r="S188">
        <f t="shared" ref="S188" si="918">R188/100000</f>
        <v>0.65706165624097468</v>
      </c>
      <c r="T188">
        <f t="shared" ref="T188" si="919">S188/1000</f>
        <v>6.5706165624097466E-4</v>
      </c>
    </row>
    <row r="189" spans="1:20" x14ac:dyDescent="0.25">
      <c r="A189" s="5">
        <v>44404</v>
      </c>
      <c r="B189">
        <v>2527.9499999999998</v>
      </c>
      <c r="C189">
        <v>2735</v>
      </c>
      <c r="D189">
        <v>2440.63</v>
      </c>
      <c r="E189">
        <v>2648.81</v>
      </c>
      <c r="F189">
        <v>3291.9708900000001</v>
      </c>
      <c r="G189">
        <v>2648.81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0.41441043584604348</v>
      </c>
      <c r="Q189">
        <f t="shared" ref="Q189" si="921">F189*P189</f>
        <v>1364.2270913173877</v>
      </c>
      <c r="R189">
        <f t="shared" ref="R189" si="922">R190+Q189</f>
        <v>65879.141420407483</v>
      </c>
      <c r="S189">
        <f t="shared" ref="S189" si="923">R189/100000</f>
        <v>0.65879141420407483</v>
      </c>
      <c r="T189">
        <f t="shared" ref="T189" si="924">S189/1000</f>
        <v>6.5879141420407484E-4</v>
      </c>
    </row>
    <row r="190" spans="1:20" x14ac:dyDescent="0.25">
      <c r="A190" s="5">
        <v>44403</v>
      </c>
      <c r="B190">
        <v>2541.42</v>
      </c>
      <c r="C190">
        <v>2750</v>
      </c>
      <c r="D190">
        <v>2505.21</v>
      </c>
      <c r="E190">
        <v>2527.02</v>
      </c>
      <c r="F190">
        <v>3866.2928379999998</v>
      </c>
      <c r="G190">
        <v>2527.02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-0.8218064463417627</v>
      </c>
      <c r="Q190">
        <f t="shared" ref="Q190" si="926">F190*P190</f>
        <v>-3177.3443777133884</v>
      </c>
      <c r="R190">
        <f t="shared" ref="R190" si="927">R191+Q190</f>
        <v>64514.91432909009</v>
      </c>
      <c r="S190">
        <f t="shared" ref="S190" si="928">R190/100000</f>
        <v>0.64514914329090089</v>
      </c>
      <c r="T190">
        <f t="shared" ref="T190" si="929">S190/1000</f>
        <v>6.4514914329090087E-4</v>
      </c>
    </row>
    <row r="191" spans="1:20" x14ac:dyDescent="0.25">
      <c r="A191" s="5">
        <v>44402</v>
      </c>
      <c r="B191">
        <v>2603.6999999999998</v>
      </c>
      <c r="C191">
        <v>2614.79</v>
      </c>
      <c r="D191">
        <v>2463.12</v>
      </c>
      <c r="E191">
        <v>2542.08</v>
      </c>
      <c r="F191">
        <v>1521.5994310000001</v>
      </c>
      <c r="G191">
        <v>2542.08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4.1207885540977103E-2</v>
      </c>
      <c r="Q191">
        <f t="shared" ref="Q191" si="931">F191*P191</f>
        <v>62.70189519186389</v>
      </c>
      <c r="R191">
        <f t="shared" ref="R191" si="932">R192+Q191</f>
        <v>67692.258706803477</v>
      </c>
      <c r="S191">
        <f t="shared" ref="S191" si="933">R191/100000</f>
        <v>0.67692258706803476</v>
      </c>
      <c r="T191">
        <f t="shared" ref="T191:T197" si="934">S191/1000</f>
        <v>6.7692258706803475E-4</v>
      </c>
    </row>
    <row r="192" spans="1:20" x14ac:dyDescent="0.25">
      <c r="A192" s="5">
        <v>44401</v>
      </c>
      <c r="B192">
        <v>2615.37</v>
      </c>
      <c r="C192">
        <v>2715.88</v>
      </c>
      <c r="D192">
        <v>2553.48</v>
      </c>
      <c r="E192">
        <v>2603.25</v>
      </c>
      <c r="F192">
        <v>2046.111832</v>
      </c>
      <c r="G192">
        <v>2603.25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-0.38706896551724196</v>
      </c>
      <c r="Q192">
        <f t="shared" ref="Q192" si="936">F192*P192</f>
        <v>-791.98639014482876</v>
      </c>
      <c r="R192">
        <f t="shared" ref="R192" si="937">R193+Q192</f>
        <v>67629.556811611619</v>
      </c>
      <c r="S192">
        <f t="shared" ref="S192" si="938">R192/100000</f>
        <v>0.67629556811611624</v>
      </c>
      <c r="T192">
        <f t="shared" si="934"/>
        <v>6.7629556811611626E-4</v>
      </c>
    </row>
    <row r="193" spans="1:20" x14ac:dyDescent="0.25">
      <c r="A193" s="5">
        <v>44400</v>
      </c>
      <c r="B193">
        <v>2554.0500000000002</v>
      </c>
      <c r="C193">
        <v>2617.58</v>
      </c>
      <c r="D193">
        <v>2480.63</v>
      </c>
      <c r="E193">
        <v>2611.65</v>
      </c>
      <c r="F193">
        <v>1778.7335639999999</v>
      </c>
      <c r="G193">
        <v>2611.65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0.91339905074845062</v>
      </c>
      <c r="Q193">
        <f t="shared" ref="Q193" si="940">F193*P193</f>
        <v>1624.6935488920083</v>
      </c>
      <c r="R193">
        <f t="shared" ref="R193" si="941">R194+Q193</f>
        <v>68421.543201756445</v>
      </c>
      <c r="S193">
        <f t="shared" ref="S193" si="942">R193/100000</f>
        <v>0.68421543201756441</v>
      </c>
      <c r="T193">
        <f t="shared" si="934"/>
        <v>6.8421543201756436E-4</v>
      </c>
    </row>
    <row r="194" spans="1:20" x14ac:dyDescent="0.25">
      <c r="A194" s="5">
        <v>44399</v>
      </c>
      <c r="B194">
        <v>2568.1799999999998</v>
      </c>
      <c r="C194">
        <v>2633.33</v>
      </c>
      <c r="D194">
        <v>2467.0100000000002</v>
      </c>
      <c r="E194">
        <v>2552.79</v>
      </c>
      <c r="F194">
        <v>2517.8347600000002</v>
      </c>
      <c r="G194">
        <v>2552.79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3.1505531505530246E-2</v>
      </c>
      <c r="Q194">
        <f t="shared" ref="Q194" si="944">F194*P194</f>
        <v>79.325722356899192</v>
      </c>
      <c r="R194">
        <f t="shared" ref="R194" si="945">R195+Q194</f>
        <v>66796.849652864432</v>
      </c>
      <c r="S194">
        <f t="shared" ref="S194" si="946">R194/100000</f>
        <v>0.66796849652864432</v>
      </c>
      <c r="T194">
        <f t="shared" si="934"/>
        <v>6.6796849652864428E-4</v>
      </c>
    </row>
    <row r="195" spans="1:20" x14ac:dyDescent="0.25">
      <c r="A195" s="5">
        <v>44398</v>
      </c>
      <c r="B195">
        <v>2322.15</v>
      </c>
      <c r="C195">
        <v>2580</v>
      </c>
      <c r="D195">
        <v>2226.04</v>
      </c>
      <c r="E195">
        <v>2569.35</v>
      </c>
      <c r="F195">
        <v>3632.8136509999999</v>
      </c>
      <c r="G195">
        <v>2569.35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0.93982370889365985</v>
      </c>
      <c r="Q195">
        <f t="shared" ref="Q195" si="948">F195*P195</f>
        <v>3414.2043992023378</v>
      </c>
      <c r="R195">
        <f t="shared" ref="R195" si="949">R196+Q195</f>
        <v>66717.523930507537</v>
      </c>
      <c r="S195">
        <f t="shared" ref="S195" si="950">R195/100000</f>
        <v>0.66717523930507538</v>
      </c>
      <c r="T195">
        <f t="shared" si="934"/>
        <v>6.6717523930507542E-4</v>
      </c>
    </row>
    <row r="196" spans="1:20" x14ac:dyDescent="0.25">
      <c r="A196" s="5">
        <v>44397</v>
      </c>
      <c r="B196">
        <v>2611.1799999999998</v>
      </c>
      <c r="C196">
        <v>2696</v>
      </c>
      <c r="D196">
        <v>2223.17</v>
      </c>
      <c r="E196">
        <v>2318.98</v>
      </c>
      <c r="F196">
        <v>5370.6913260000001</v>
      </c>
      <c r="G196">
        <v>2318.98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-0.59473806653554151</v>
      </c>
      <c r="Q196">
        <f t="shared" ref="Q196" si="952">F196*P196</f>
        <v>-3194.1545751844437</v>
      </c>
      <c r="R196">
        <f t="shared" ref="R196" si="953">R197+Q196</f>
        <v>63303.319531305206</v>
      </c>
      <c r="S196">
        <f t="shared" ref="S196" si="954">R196/100000</f>
        <v>0.63303319531305202</v>
      </c>
      <c r="T196">
        <f t="shared" si="934"/>
        <v>6.3303319531305205E-4</v>
      </c>
    </row>
    <row r="197" spans="1:20" x14ac:dyDescent="0.25">
      <c r="A197" s="5">
        <v>44396</v>
      </c>
      <c r="B197">
        <v>2460.12</v>
      </c>
      <c r="C197">
        <v>2662.92</v>
      </c>
      <c r="D197">
        <v>2409.12</v>
      </c>
      <c r="E197">
        <v>2609.79</v>
      </c>
      <c r="F197">
        <v>4630.2541869999995</v>
      </c>
      <c r="G197">
        <v>0</v>
      </c>
      <c r="L197" t="s">
        <v>8</v>
      </c>
      <c r="M197" t="s">
        <v>8</v>
      </c>
      <c r="N197" t="s">
        <v>8</v>
      </c>
      <c r="P197">
        <f t="shared" ref="P197" si="955">IF(C197=D197,0,((E197-D197)-(C197-E197))/(C197-D197))</f>
        <v>0.58132387706855737</v>
      </c>
      <c r="Q197">
        <f t="shared" ref="Q197" si="956">F197*P197</f>
        <v>2691.6773157997609</v>
      </c>
      <c r="R197">
        <f t="shared" ref="R197" si="957">R198+Q197</f>
        <v>66497.474106489652</v>
      </c>
      <c r="S197">
        <f t="shared" ref="S197" si="958">R197/100000</f>
        <v>0.66497474106489651</v>
      </c>
      <c r="T197">
        <f t="shared" si="934"/>
        <v>6.6497474106489655E-4</v>
      </c>
    </row>
    <row r="198" spans="1:20" x14ac:dyDescent="0.25">
      <c r="A198" s="5">
        <v>44395</v>
      </c>
      <c r="B198">
        <v>2439.52</v>
      </c>
      <c r="C198">
        <v>2540</v>
      </c>
      <c r="D198">
        <v>2340.0300000000002</v>
      </c>
      <c r="E198">
        <v>2461.61</v>
      </c>
      <c r="F198">
        <v>2655.8716760000002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0.21598239735960442</v>
      </c>
      <c r="Q198">
        <f t="shared" ref="Q198:Q261" si="960">F198*P198</f>
        <v>573.6215316619506</v>
      </c>
      <c r="R198">
        <f t="shared" ref="R198:R261" si="961">R199+Q198</f>
        <v>63805.796790689885</v>
      </c>
      <c r="S198">
        <f t="shared" ref="S198:S261" si="962">R198/100000</f>
        <v>0.63805796790689884</v>
      </c>
      <c r="T198">
        <f t="shared" ref="T198:T261" si="963">S198/1000</f>
        <v>6.3805796790689887E-4</v>
      </c>
    </row>
    <row r="199" spans="1:20" x14ac:dyDescent="0.25">
      <c r="A199" s="5">
        <v>44394</v>
      </c>
      <c r="B199">
        <v>2244.36</v>
      </c>
      <c r="C199">
        <v>2484.33</v>
      </c>
      <c r="D199">
        <v>2166.35</v>
      </c>
      <c r="E199">
        <v>2439.52</v>
      </c>
      <c r="F199">
        <v>2778.7562840000001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0.71815837474055011</v>
      </c>
      <c r="Q199">
        <f t="shared" si="960"/>
        <v>1995.5870967175306</v>
      </c>
      <c r="R199">
        <f t="shared" si="961"/>
        <v>63232.175259027936</v>
      </c>
      <c r="S199">
        <f t="shared" si="962"/>
        <v>0.63232175259027934</v>
      </c>
      <c r="T199">
        <f t="shared" si="963"/>
        <v>6.323217525902793E-4</v>
      </c>
    </row>
    <row r="200" spans="1:20" x14ac:dyDescent="0.25">
      <c r="A200" s="5">
        <v>44393</v>
      </c>
      <c r="B200">
        <v>2315.6</v>
      </c>
      <c r="C200">
        <v>2536.14</v>
      </c>
      <c r="D200">
        <v>2234.35</v>
      </c>
      <c r="E200">
        <v>2249.8200000000002</v>
      </c>
      <c r="F200">
        <v>4730.4488030000002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-0.89747837900526684</v>
      </c>
      <c r="Q200">
        <f t="shared" si="960"/>
        <v>-4245.4755236838446</v>
      </c>
      <c r="R200">
        <f t="shared" si="961"/>
        <v>61236.588162310407</v>
      </c>
      <c r="S200">
        <f t="shared" si="962"/>
        <v>0.61236588162310412</v>
      </c>
      <c r="T200">
        <f t="shared" si="963"/>
        <v>6.1236588162310408E-4</v>
      </c>
    </row>
    <row r="201" spans="1:20" x14ac:dyDescent="0.25">
      <c r="A201" s="5">
        <v>44392</v>
      </c>
      <c r="B201">
        <v>2270.6999999999998</v>
      </c>
      <c r="C201">
        <v>2327.56</v>
      </c>
      <c r="D201">
        <v>2169.77</v>
      </c>
      <c r="E201">
        <v>2319.4899999999998</v>
      </c>
      <c r="F201">
        <v>2295.8283139999999</v>
      </c>
      <c r="G201">
        <v>0</v>
      </c>
      <c r="L201" t="s">
        <v>7</v>
      </c>
      <c r="M201" t="s">
        <v>8</v>
      </c>
      <c r="N201" t="s">
        <v>8</v>
      </c>
      <c r="P201">
        <f t="shared" si="959"/>
        <v>0.89771214905887364</v>
      </c>
      <c r="Q201">
        <f t="shared" si="960"/>
        <v>2060.9929696311506</v>
      </c>
      <c r="R201">
        <f t="shared" si="961"/>
        <v>65482.063685994253</v>
      </c>
      <c r="S201">
        <f t="shared" si="962"/>
        <v>0.65482063685994252</v>
      </c>
      <c r="T201">
        <f t="shared" si="963"/>
        <v>6.5482063685994257E-4</v>
      </c>
    </row>
    <row r="202" spans="1:20" x14ac:dyDescent="0.25">
      <c r="A202" s="5">
        <v>44391</v>
      </c>
      <c r="B202">
        <v>2155.71</v>
      </c>
      <c r="C202">
        <v>2394.73</v>
      </c>
      <c r="D202">
        <v>2032.69</v>
      </c>
      <c r="E202">
        <v>2267.09</v>
      </c>
      <c r="F202">
        <v>4438.4500710000002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0.29488454314440454</v>
      </c>
      <c r="Q202">
        <f t="shared" si="960"/>
        <v>1308.8303214560849</v>
      </c>
      <c r="R202">
        <f t="shared" si="961"/>
        <v>63421.070716363101</v>
      </c>
      <c r="S202">
        <f t="shared" si="962"/>
        <v>0.63421070716363104</v>
      </c>
      <c r="T202">
        <f t="shared" si="963"/>
        <v>6.34210707163631E-4</v>
      </c>
    </row>
    <row r="203" spans="1:20" x14ac:dyDescent="0.25">
      <c r="A203" s="5">
        <v>44390</v>
      </c>
      <c r="B203">
        <v>2135.6</v>
      </c>
      <c r="C203">
        <v>2253.7199999999998</v>
      </c>
      <c r="D203">
        <v>2073.94</v>
      </c>
      <c r="E203">
        <v>2153.39</v>
      </c>
      <c r="F203">
        <v>1770.3409409999999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-0.11614195127377984</v>
      </c>
      <c r="Q203">
        <f t="shared" si="960"/>
        <v>-205.61085130759955</v>
      </c>
      <c r="R203">
        <f t="shared" si="961"/>
        <v>62112.240394907014</v>
      </c>
      <c r="S203">
        <f t="shared" si="962"/>
        <v>0.62112240394907015</v>
      </c>
      <c r="T203">
        <f t="shared" si="963"/>
        <v>6.2112240394907015E-4</v>
      </c>
    </row>
    <row r="204" spans="1:20" x14ac:dyDescent="0.25">
      <c r="A204" s="5">
        <v>44389</v>
      </c>
      <c r="B204">
        <v>2168.3200000000002</v>
      </c>
      <c r="C204">
        <v>2179.14</v>
      </c>
      <c r="D204">
        <v>2064.8000000000002</v>
      </c>
      <c r="E204">
        <v>2135.6</v>
      </c>
      <c r="F204">
        <v>774.65237300000001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0.23841175441665066</v>
      </c>
      <c r="Q204">
        <f t="shared" si="960"/>
        <v>184.68623130995167</v>
      </c>
      <c r="R204">
        <f t="shared" si="961"/>
        <v>62317.85124621461</v>
      </c>
      <c r="S204">
        <f t="shared" si="962"/>
        <v>0.62317851246214606</v>
      </c>
      <c r="T204">
        <f t="shared" si="963"/>
        <v>6.2317851246214602E-4</v>
      </c>
    </row>
    <row r="205" spans="1:20" x14ac:dyDescent="0.25">
      <c r="A205" s="5">
        <v>44388</v>
      </c>
      <c r="B205">
        <v>2182.66</v>
      </c>
      <c r="C205">
        <v>2214.73</v>
      </c>
      <c r="D205">
        <v>2110.19</v>
      </c>
      <c r="E205">
        <v>2167.62</v>
      </c>
      <c r="F205">
        <v>620.97210600000005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9.8718193992727313E-2</v>
      </c>
      <c r="Q205">
        <f t="shared" si="960"/>
        <v>61.301244824180436</v>
      </c>
      <c r="R205">
        <f t="shared" si="961"/>
        <v>62133.165014904662</v>
      </c>
      <c r="S205">
        <f t="shared" si="962"/>
        <v>0.62133165014904657</v>
      </c>
      <c r="T205">
        <f t="shared" si="963"/>
        <v>6.2133165014904661E-4</v>
      </c>
    </row>
    <row r="206" spans="1:20" x14ac:dyDescent="0.25">
      <c r="A206" s="5">
        <v>44387</v>
      </c>
      <c r="B206">
        <v>2194.6799999999998</v>
      </c>
      <c r="C206">
        <v>2240.4</v>
      </c>
      <c r="D206">
        <v>2112.3200000000002</v>
      </c>
      <c r="E206">
        <v>2182.66</v>
      </c>
      <c r="F206">
        <v>1156.6143059999999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9.8376014990626648E-2</v>
      </c>
      <c r="Q206">
        <f t="shared" si="960"/>
        <v>113.78310630542923</v>
      </c>
      <c r="R206">
        <f t="shared" si="961"/>
        <v>62071.863770080483</v>
      </c>
      <c r="S206">
        <f t="shared" si="962"/>
        <v>0.62071863770080482</v>
      </c>
      <c r="T206">
        <f t="shared" si="963"/>
        <v>6.2071863770080484E-4</v>
      </c>
    </row>
    <row r="207" spans="1:20" x14ac:dyDescent="0.25">
      <c r="A207" s="5">
        <v>44386</v>
      </c>
      <c r="B207">
        <v>2128.1799999999998</v>
      </c>
      <c r="C207">
        <v>2271.5</v>
      </c>
      <c r="D207">
        <v>2021</v>
      </c>
      <c r="E207">
        <v>2194.42</v>
      </c>
      <c r="F207">
        <v>2275.5240429999999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0.38459081836327402</v>
      </c>
      <c r="Q207">
        <f t="shared" si="960"/>
        <v>875.14565390267592</v>
      </c>
      <c r="R207">
        <f t="shared" si="961"/>
        <v>61958.08066377505</v>
      </c>
      <c r="S207">
        <f t="shared" si="962"/>
        <v>0.6195808066377505</v>
      </c>
      <c r="T207">
        <f t="shared" si="963"/>
        <v>6.1958080663775052E-4</v>
      </c>
    </row>
    <row r="208" spans="1:20" x14ac:dyDescent="0.25">
      <c r="A208" s="5">
        <v>44385</v>
      </c>
      <c r="B208">
        <v>2190.6999999999998</v>
      </c>
      <c r="C208">
        <v>2197.86</v>
      </c>
      <c r="D208">
        <v>2042.07</v>
      </c>
      <c r="E208">
        <v>2130.13</v>
      </c>
      <c r="F208">
        <v>1785.757308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0.13049618075614694</v>
      </c>
      <c r="Q208">
        <f t="shared" si="960"/>
        <v>233.03450845137837</v>
      </c>
      <c r="R208">
        <f t="shared" si="961"/>
        <v>61082.935009872373</v>
      </c>
      <c r="S208">
        <f t="shared" si="962"/>
        <v>0.61082935009872374</v>
      </c>
      <c r="T208">
        <f t="shared" si="963"/>
        <v>6.1082935009872379E-4</v>
      </c>
    </row>
    <row r="209" spans="1:20" x14ac:dyDescent="0.25">
      <c r="A209" s="5">
        <v>44384</v>
      </c>
      <c r="B209">
        <v>2288.62</v>
      </c>
      <c r="C209">
        <v>2323.59</v>
      </c>
      <c r="D209">
        <v>2183</v>
      </c>
      <c r="E209">
        <v>2190.6999999999998</v>
      </c>
      <c r="F209">
        <v>1653.214796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-0.89046162600469725</v>
      </c>
      <c r="Q209">
        <f t="shared" si="960"/>
        <v>-1472.1243353811838</v>
      </c>
      <c r="R209">
        <f t="shared" si="961"/>
        <v>60849.900501420998</v>
      </c>
      <c r="S209">
        <f t="shared" si="962"/>
        <v>0.60849900501420995</v>
      </c>
      <c r="T209">
        <f t="shared" si="963"/>
        <v>6.0849900501420994E-4</v>
      </c>
    </row>
    <row r="210" spans="1:20" x14ac:dyDescent="0.25">
      <c r="A210" s="5">
        <v>44383</v>
      </c>
      <c r="B210">
        <v>2258.89</v>
      </c>
      <c r="C210">
        <v>2418.52</v>
      </c>
      <c r="D210">
        <v>2247.86</v>
      </c>
      <c r="E210">
        <v>2289.0300000000002</v>
      </c>
      <c r="F210">
        <v>2853.237556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-0.51752021563342188</v>
      </c>
      <c r="Q210">
        <f t="shared" si="960"/>
        <v>-1476.6081152344977</v>
      </c>
      <c r="R210">
        <f t="shared" si="961"/>
        <v>62322.024836802178</v>
      </c>
      <c r="S210">
        <f t="shared" si="962"/>
        <v>0.62322024836802181</v>
      </c>
      <c r="T210">
        <f t="shared" si="963"/>
        <v>6.2322024836802185E-4</v>
      </c>
    </row>
    <row r="211" spans="1:20" x14ac:dyDescent="0.25">
      <c r="A211" s="5">
        <v>44382</v>
      </c>
      <c r="B211">
        <v>2186.8200000000002</v>
      </c>
      <c r="C211">
        <v>2317.13</v>
      </c>
      <c r="D211">
        <v>2112.3000000000002</v>
      </c>
      <c r="E211">
        <v>2260.3200000000002</v>
      </c>
      <c r="F211">
        <v>3752.0032999999999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0.44529609920421848</v>
      </c>
      <c r="Q211">
        <f t="shared" si="960"/>
        <v>1670.752433691355</v>
      </c>
      <c r="R211">
        <f t="shared" si="961"/>
        <v>63798.632952036678</v>
      </c>
      <c r="S211">
        <f t="shared" si="962"/>
        <v>0.63798632952036682</v>
      </c>
      <c r="T211">
        <f t="shared" si="963"/>
        <v>6.3798632952036683E-4</v>
      </c>
    </row>
    <row r="212" spans="1:20" x14ac:dyDescent="0.25">
      <c r="A212" s="5">
        <v>44381</v>
      </c>
      <c r="B212">
        <v>2006.59</v>
      </c>
      <c r="C212">
        <v>2325.0100000000002</v>
      </c>
      <c r="D212">
        <v>1935.91</v>
      </c>
      <c r="E212">
        <v>2187.34</v>
      </c>
      <c r="F212">
        <v>4732.7056910000001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0.29236700077100991</v>
      </c>
      <c r="Q212">
        <f t="shared" si="960"/>
        <v>1383.68696840956</v>
      </c>
      <c r="R212">
        <f t="shared" si="961"/>
        <v>62127.880518345322</v>
      </c>
      <c r="S212">
        <f t="shared" si="962"/>
        <v>0.62127880518345324</v>
      </c>
      <c r="T212">
        <f t="shared" si="963"/>
        <v>6.2127880518345329E-4</v>
      </c>
    </row>
    <row r="213" spans="1:20" x14ac:dyDescent="0.25">
      <c r="A213" s="5">
        <v>44380</v>
      </c>
      <c r="B213">
        <v>1920.04</v>
      </c>
      <c r="C213">
        <v>2006.74</v>
      </c>
      <c r="D213">
        <v>1867.08</v>
      </c>
      <c r="E213">
        <v>2006.6</v>
      </c>
      <c r="F213">
        <v>1312.464639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0.99799513103250603</v>
      </c>
      <c r="Q213">
        <f t="shared" si="960"/>
        <v>1309.8333193743358</v>
      </c>
      <c r="R213">
        <f t="shared" si="961"/>
        <v>60744.193549935764</v>
      </c>
      <c r="S213">
        <f t="shared" si="962"/>
        <v>0.60744193549935765</v>
      </c>
      <c r="T213">
        <f t="shared" si="963"/>
        <v>6.0744193549935768E-4</v>
      </c>
    </row>
    <row r="214" spans="1:20" x14ac:dyDescent="0.25">
      <c r="A214" s="5">
        <v>44379</v>
      </c>
      <c r="B214">
        <v>1921.14</v>
      </c>
      <c r="C214">
        <v>1946.38</v>
      </c>
      <c r="D214">
        <v>1836.11</v>
      </c>
      <c r="E214">
        <v>1920.04</v>
      </c>
      <c r="F214">
        <v>1347.59645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0.52226353495964273</v>
      </c>
      <c r="Q214">
        <f t="shared" si="960"/>
        <v>703.80048567606548</v>
      </c>
      <c r="R214">
        <f t="shared" si="961"/>
        <v>59434.360230561426</v>
      </c>
      <c r="S214">
        <f t="shared" si="962"/>
        <v>0.59434360230561423</v>
      </c>
      <c r="T214">
        <f t="shared" si="963"/>
        <v>5.9434360230561424E-4</v>
      </c>
    </row>
    <row r="215" spans="1:20" x14ac:dyDescent="0.25">
      <c r="A215" s="5">
        <v>44378</v>
      </c>
      <c r="B215">
        <v>1974.28</v>
      </c>
      <c r="C215">
        <v>2120</v>
      </c>
      <c r="D215">
        <v>1889.62</v>
      </c>
      <c r="E215">
        <v>1920.44</v>
      </c>
      <c r="F215">
        <v>3378.3971339999998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-0.73244205226147974</v>
      </c>
      <c r="Q215">
        <f t="shared" si="960"/>
        <v>-2474.4801301812613</v>
      </c>
      <c r="R215">
        <f t="shared" si="961"/>
        <v>58730.559744885359</v>
      </c>
      <c r="S215">
        <f t="shared" si="962"/>
        <v>0.58730559744885358</v>
      </c>
      <c r="T215">
        <f t="shared" si="963"/>
        <v>5.8730559744885362E-4</v>
      </c>
    </row>
    <row r="216" spans="1:20" x14ac:dyDescent="0.25">
      <c r="A216" s="5">
        <v>44377</v>
      </c>
      <c r="B216">
        <v>1903.2</v>
      </c>
      <c r="C216">
        <v>1982.55</v>
      </c>
      <c r="D216">
        <v>1824.04</v>
      </c>
      <c r="E216">
        <v>1974.28</v>
      </c>
      <c r="F216">
        <v>1779.594529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0.89565327108699788</v>
      </c>
      <c r="Q216">
        <f t="shared" si="960"/>
        <v>1593.8996611073753</v>
      </c>
      <c r="R216">
        <f t="shared" si="961"/>
        <v>61205.039875066621</v>
      </c>
      <c r="S216">
        <f t="shared" si="962"/>
        <v>0.61205039875066625</v>
      </c>
      <c r="T216">
        <f t="shared" si="963"/>
        <v>6.1205039875066622E-4</v>
      </c>
    </row>
    <row r="217" spans="1:20" x14ac:dyDescent="0.25">
      <c r="A217" s="5">
        <v>44376</v>
      </c>
      <c r="B217">
        <v>1933.08</v>
      </c>
      <c r="C217">
        <v>2000.28</v>
      </c>
      <c r="D217">
        <v>1876.34</v>
      </c>
      <c r="E217">
        <v>1902.97</v>
      </c>
      <c r="F217">
        <v>1914.2516450000001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-0.57027593997095216</v>
      </c>
      <c r="Q217">
        <f t="shared" si="960"/>
        <v>-1091.6516561933165</v>
      </c>
      <c r="R217">
        <f t="shared" si="961"/>
        <v>59611.140213959246</v>
      </c>
      <c r="S217">
        <f t="shared" si="962"/>
        <v>0.59611140213959246</v>
      </c>
      <c r="T217">
        <f t="shared" si="963"/>
        <v>5.9611140213959243E-4</v>
      </c>
    </row>
    <row r="218" spans="1:20" x14ac:dyDescent="0.25">
      <c r="A218" s="5">
        <v>44375</v>
      </c>
      <c r="B218">
        <v>1767.45</v>
      </c>
      <c r="C218">
        <v>1959.2</v>
      </c>
      <c r="D218">
        <v>1729.3</v>
      </c>
      <c r="E218">
        <v>1933.72</v>
      </c>
      <c r="F218">
        <v>2327.6172139999999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0.77833840800347975</v>
      </c>
      <c r="Q218">
        <f t="shared" si="960"/>
        <v>1811.6738767862548</v>
      </c>
      <c r="R218">
        <f t="shared" si="961"/>
        <v>60702.791870152563</v>
      </c>
      <c r="S218">
        <f t="shared" si="962"/>
        <v>0.60702791870152562</v>
      </c>
      <c r="T218">
        <f t="shared" si="963"/>
        <v>6.0702791870152566E-4</v>
      </c>
    </row>
    <row r="219" spans="1:20" x14ac:dyDescent="0.25">
      <c r="A219" s="5">
        <v>44374</v>
      </c>
      <c r="B219">
        <v>1724.79</v>
      </c>
      <c r="C219">
        <v>1766.49</v>
      </c>
      <c r="D219">
        <v>1634.41</v>
      </c>
      <c r="E219">
        <v>1764.64</v>
      </c>
      <c r="F219">
        <v>1926.9311869999999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0.9719866747425816</v>
      </c>
      <c r="Q219">
        <f t="shared" si="960"/>
        <v>1872.9514369099056</v>
      </c>
      <c r="R219">
        <f t="shared" si="961"/>
        <v>58891.117993366308</v>
      </c>
      <c r="S219">
        <f t="shared" si="962"/>
        <v>0.58891117993366304</v>
      </c>
      <c r="T219">
        <f t="shared" si="963"/>
        <v>5.8891117993366303E-4</v>
      </c>
    </row>
    <row r="220" spans="1:20" x14ac:dyDescent="0.25">
      <c r="A220" s="5">
        <v>44373</v>
      </c>
      <c r="B220">
        <v>1770.56</v>
      </c>
      <c r="C220">
        <v>1852.7</v>
      </c>
      <c r="D220">
        <v>1630.51</v>
      </c>
      <c r="E220">
        <v>1724.78</v>
      </c>
      <c r="F220">
        <v>2856.2576549999999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-0.15144695980917269</v>
      </c>
      <c r="Q220">
        <f t="shared" si="960"/>
        <v>-432.57153828142685</v>
      </c>
      <c r="R220">
        <f t="shared" si="961"/>
        <v>57018.166556456403</v>
      </c>
      <c r="S220">
        <f t="shared" si="962"/>
        <v>0.57018166556456407</v>
      </c>
      <c r="T220">
        <f t="shared" si="963"/>
        <v>5.7018166556456408E-4</v>
      </c>
    </row>
    <row r="221" spans="1:20" x14ac:dyDescent="0.25">
      <c r="A221" s="5">
        <v>44372</v>
      </c>
      <c r="B221">
        <v>1854.78</v>
      </c>
      <c r="C221">
        <v>1879.17</v>
      </c>
      <c r="D221">
        <v>1671.11</v>
      </c>
      <c r="E221">
        <v>1771.99</v>
      </c>
      <c r="F221">
        <v>1863.755799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-3.0279727001826153E-2</v>
      </c>
      <c r="Q221">
        <f t="shared" si="960"/>
        <v>-56.434016791790377</v>
      </c>
      <c r="R221">
        <f t="shared" si="961"/>
        <v>57450.738094737826</v>
      </c>
      <c r="S221">
        <f t="shared" si="962"/>
        <v>0.5745073809473783</v>
      </c>
      <c r="T221">
        <f t="shared" si="963"/>
        <v>5.7450738094737828E-4</v>
      </c>
    </row>
    <row r="222" spans="1:20" x14ac:dyDescent="0.25">
      <c r="A222" s="5">
        <v>44371</v>
      </c>
      <c r="B222">
        <v>1763.33</v>
      </c>
      <c r="C222">
        <v>1867.03</v>
      </c>
      <c r="D222">
        <v>1722</v>
      </c>
      <c r="E222">
        <v>1851.1</v>
      </c>
      <c r="F222">
        <v>2108.6092450000001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0.78032131283182693</v>
      </c>
      <c r="Q222">
        <f t="shared" si="960"/>
        <v>1645.3927343077276</v>
      </c>
      <c r="R222">
        <f t="shared" si="961"/>
        <v>57507.172111529617</v>
      </c>
      <c r="S222">
        <f t="shared" si="962"/>
        <v>0.57507172111529614</v>
      </c>
      <c r="T222">
        <f t="shared" si="963"/>
        <v>5.7507172111529619E-4</v>
      </c>
    </row>
    <row r="223" spans="1:20" x14ac:dyDescent="0.25">
      <c r="A223" s="5">
        <v>44370</v>
      </c>
      <c r="B223">
        <v>1503.18</v>
      </c>
      <c r="C223">
        <v>1780.29</v>
      </c>
      <c r="D223">
        <v>1455.59</v>
      </c>
      <c r="E223">
        <v>1763.66</v>
      </c>
      <c r="F223">
        <v>2056.6684489999998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0.89756698490914766</v>
      </c>
      <c r="Q223">
        <f t="shared" si="960"/>
        <v>1845.997698726703</v>
      </c>
      <c r="R223">
        <f t="shared" si="961"/>
        <v>55861.779377221887</v>
      </c>
      <c r="S223">
        <f t="shared" si="962"/>
        <v>0.55861779377221887</v>
      </c>
      <c r="T223">
        <f t="shared" si="963"/>
        <v>5.5861779377221882E-4</v>
      </c>
    </row>
    <row r="224" spans="1:20" x14ac:dyDescent="0.25">
      <c r="A224" s="5">
        <v>44369</v>
      </c>
      <c r="B224">
        <v>1476.54</v>
      </c>
      <c r="C224">
        <v>1568.42</v>
      </c>
      <c r="D224">
        <v>1330.1</v>
      </c>
      <c r="E224">
        <v>1504.27</v>
      </c>
      <c r="F224">
        <v>3401.6227589999999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0.46164820409533364</v>
      </c>
      <c r="Q224">
        <f t="shared" si="960"/>
        <v>1570.3530377021639</v>
      </c>
      <c r="R224">
        <f t="shared" si="961"/>
        <v>54015.781678495186</v>
      </c>
      <c r="S224">
        <f t="shared" si="962"/>
        <v>0.54015781678495189</v>
      </c>
      <c r="T224">
        <f t="shared" si="963"/>
        <v>5.4015781678495194E-4</v>
      </c>
    </row>
    <row r="225" spans="1:20" x14ac:dyDescent="0.25">
      <c r="A225" s="5">
        <v>44368</v>
      </c>
      <c r="B225">
        <v>1786.42</v>
      </c>
      <c r="C225">
        <v>1799.94</v>
      </c>
      <c r="D225">
        <v>1471.16</v>
      </c>
      <c r="E225">
        <v>1478.96</v>
      </c>
      <c r="F225">
        <v>2364.4867770000001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-0.95255185838554679</v>
      </c>
      <c r="Q225">
        <f t="shared" si="960"/>
        <v>-2252.2962735594019</v>
      </c>
      <c r="R225">
        <f t="shared" si="961"/>
        <v>52445.428640793019</v>
      </c>
      <c r="S225">
        <f t="shared" si="962"/>
        <v>0.52445428640793024</v>
      </c>
      <c r="T225">
        <f t="shared" si="963"/>
        <v>5.2445428640793019E-4</v>
      </c>
    </row>
    <row r="226" spans="1:20" x14ac:dyDescent="0.25">
      <c r="A226" s="5">
        <v>44367</v>
      </c>
      <c r="B226">
        <v>1701.89</v>
      </c>
      <c r="C226">
        <v>1800</v>
      </c>
      <c r="D226">
        <v>1647.16</v>
      </c>
      <c r="E226">
        <v>1784.85</v>
      </c>
      <c r="F226">
        <v>1489.99101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0.80175346767861688</v>
      </c>
      <c r="Q226">
        <f t="shared" si="960"/>
        <v>1194.6054590774647</v>
      </c>
      <c r="R226">
        <f t="shared" si="961"/>
        <v>54697.724914352424</v>
      </c>
      <c r="S226">
        <f t="shared" si="962"/>
        <v>0.54697724914352419</v>
      </c>
      <c r="T226">
        <f t="shared" si="963"/>
        <v>5.469772491435242E-4</v>
      </c>
    </row>
    <row r="227" spans="1:20" x14ac:dyDescent="0.25">
      <c r="A227" s="5">
        <v>44366</v>
      </c>
      <c r="B227">
        <v>1782.69</v>
      </c>
      <c r="C227">
        <v>1807.01</v>
      </c>
      <c r="D227">
        <v>1697.26</v>
      </c>
      <c r="E227">
        <v>1701.81</v>
      </c>
      <c r="F227">
        <v>1159.0869459999999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-0.91708428246013751</v>
      </c>
      <c r="Q227">
        <f t="shared" si="960"/>
        <v>-1062.980420181322</v>
      </c>
      <c r="R227">
        <f t="shared" si="961"/>
        <v>53503.119455274958</v>
      </c>
      <c r="S227">
        <f t="shared" si="962"/>
        <v>0.53503119455274961</v>
      </c>
      <c r="T227">
        <f t="shared" si="963"/>
        <v>5.3503119455274961E-4</v>
      </c>
    </row>
    <row r="228" spans="1:20" x14ac:dyDescent="0.25">
      <c r="A228" s="5">
        <v>44365</v>
      </c>
      <c r="B228">
        <v>1884.74</v>
      </c>
      <c r="C228">
        <v>1892</v>
      </c>
      <c r="D228">
        <v>1728.2</v>
      </c>
      <c r="E228">
        <v>1782.69</v>
      </c>
      <c r="F228">
        <v>2272.3035100000002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-0.33467643467643438</v>
      </c>
      <c r="Q228">
        <f t="shared" si="960"/>
        <v>-760.48643722954762</v>
      </c>
      <c r="R228">
        <f t="shared" si="961"/>
        <v>54566.099875456282</v>
      </c>
      <c r="S228">
        <f t="shared" si="962"/>
        <v>0.54566099875456286</v>
      </c>
      <c r="T228">
        <f t="shared" si="963"/>
        <v>5.4566099875456289E-4</v>
      </c>
    </row>
    <row r="229" spans="1:20" x14ac:dyDescent="0.25">
      <c r="A229" s="5">
        <v>44364</v>
      </c>
      <c r="B229">
        <v>1813.99</v>
      </c>
      <c r="C229">
        <v>1982.54</v>
      </c>
      <c r="D229">
        <v>1802.55</v>
      </c>
      <c r="E229">
        <v>1883.69</v>
      </c>
      <c r="F229">
        <v>2180.6798509999999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-9.8394355241956818E-2</v>
      </c>
      <c r="Q229">
        <f t="shared" si="960"/>
        <v>-214.56658792827145</v>
      </c>
      <c r="R229">
        <f t="shared" si="961"/>
        <v>55326.586312685831</v>
      </c>
      <c r="S229">
        <f t="shared" si="962"/>
        <v>0.55326586312685833</v>
      </c>
      <c r="T229">
        <f t="shared" si="963"/>
        <v>5.5326586312685834E-4</v>
      </c>
    </row>
    <row r="230" spans="1:20" x14ac:dyDescent="0.25">
      <c r="A230" s="5">
        <v>44363</v>
      </c>
      <c r="B230">
        <v>1797.43</v>
      </c>
      <c r="C230">
        <v>1830.91</v>
      </c>
      <c r="D230">
        <v>1738.5</v>
      </c>
      <c r="E230">
        <v>1811.42</v>
      </c>
      <c r="F230">
        <v>1382.2234350000001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0.57818417920138532</v>
      </c>
      <c r="Q230">
        <f t="shared" si="960"/>
        <v>799.17972223839445</v>
      </c>
      <c r="R230">
        <f t="shared" si="961"/>
        <v>55541.152900614099</v>
      </c>
      <c r="S230">
        <f t="shared" si="962"/>
        <v>0.55541152900614099</v>
      </c>
      <c r="T230">
        <f t="shared" si="963"/>
        <v>5.5541152900614099E-4</v>
      </c>
    </row>
    <row r="231" spans="1:20" x14ac:dyDescent="0.25">
      <c r="A231" s="5">
        <v>44362</v>
      </c>
      <c r="B231">
        <v>1827.92</v>
      </c>
      <c r="C231">
        <v>1922</v>
      </c>
      <c r="D231">
        <v>1778.37</v>
      </c>
      <c r="E231">
        <v>1800.27</v>
      </c>
      <c r="F231">
        <v>1481.994735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-0.69504978068648504</v>
      </c>
      <c r="Q231">
        <f t="shared" si="960"/>
        <v>-1030.0601155402755</v>
      </c>
      <c r="R231">
        <f t="shared" si="961"/>
        <v>54741.973178375702</v>
      </c>
      <c r="S231">
        <f t="shared" si="962"/>
        <v>0.54741973178375702</v>
      </c>
      <c r="T231">
        <f t="shared" si="963"/>
        <v>5.4741973178375702E-4</v>
      </c>
    </row>
    <row r="232" spans="1:20" x14ac:dyDescent="0.25">
      <c r="A232" s="5">
        <v>44361</v>
      </c>
      <c r="B232">
        <v>1816.61</v>
      </c>
      <c r="C232">
        <v>1850</v>
      </c>
      <c r="D232">
        <v>1759.44</v>
      </c>
      <c r="E232">
        <v>1827.93</v>
      </c>
      <c r="F232">
        <v>1613.041802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0.51258833922261593</v>
      </c>
      <c r="Q232">
        <f t="shared" si="960"/>
        <v>826.82641838383563</v>
      </c>
      <c r="R232">
        <f t="shared" si="961"/>
        <v>55772.033293915978</v>
      </c>
      <c r="S232">
        <f t="shared" si="962"/>
        <v>0.55772033293915979</v>
      </c>
      <c r="T232">
        <f t="shared" si="963"/>
        <v>5.577203329391598E-4</v>
      </c>
    </row>
    <row r="233" spans="1:20" x14ac:dyDescent="0.25">
      <c r="A233" s="5">
        <v>44360</v>
      </c>
      <c r="B233">
        <v>1655.56</v>
      </c>
      <c r="C233">
        <v>1835.86</v>
      </c>
      <c r="D233">
        <v>1610.84</v>
      </c>
      <c r="E233">
        <v>1815.38</v>
      </c>
      <c r="F233">
        <v>3442.7338770000001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0.81797173584570448</v>
      </c>
      <c r="Q233">
        <f t="shared" si="960"/>
        <v>2816.0590054245022</v>
      </c>
      <c r="R233">
        <f t="shared" si="961"/>
        <v>54945.206875532145</v>
      </c>
      <c r="S233">
        <f t="shared" si="962"/>
        <v>0.54945206875532149</v>
      </c>
      <c r="T233">
        <f t="shared" si="963"/>
        <v>5.494520687553215E-4</v>
      </c>
    </row>
    <row r="234" spans="1:20" x14ac:dyDescent="0.25">
      <c r="A234" s="5">
        <v>44359</v>
      </c>
      <c r="B234">
        <v>1633.15</v>
      </c>
      <c r="C234">
        <v>1750</v>
      </c>
      <c r="D234">
        <v>1563.43</v>
      </c>
      <c r="E234">
        <v>1655.56</v>
      </c>
      <c r="F234">
        <v>4799.9743790000002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-1.2381411802541532E-2</v>
      </c>
      <c r="Q234">
        <f t="shared" si="960"/>
        <v>-59.430459428047563</v>
      </c>
      <c r="R234">
        <f t="shared" si="961"/>
        <v>52129.147870107641</v>
      </c>
      <c r="S234">
        <f t="shared" si="962"/>
        <v>0.52129147870107639</v>
      </c>
      <c r="T234">
        <f t="shared" si="963"/>
        <v>5.212914787010764E-4</v>
      </c>
    </row>
    <row r="235" spans="1:20" x14ac:dyDescent="0.25">
      <c r="A235" s="5">
        <v>44358</v>
      </c>
      <c r="B235">
        <v>1696.26</v>
      </c>
      <c r="C235">
        <v>1709.16</v>
      </c>
      <c r="D235">
        <v>1600.02</v>
      </c>
      <c r="E235">
        <v>1633.68</v>
      </c>
      <c r="F235">
        <v>1851.6077580000001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-0.38317757009345699</v>
      </c>
      <c r="Q235">
        <f t="shared" si="960"/>
        <v>-709.49456147663375</v>
      </c>
      <c r="R235">
        <f t="shared" si="961"/>
        <v>52188.578329535689</v>
      </c>
      <c r="S235">
        <f t="shared" si="962"/>
        <v>0.52188578329535684</v>
      </c>
      <c r="T235">
        <f t="shared" si="963"/>
        <v>5.2188578329535689E-4</v>
      </c>
    </row>
    <row r="236" spans="1:20" x14ac:dyDescent="0.25">
      <c r="A236" s="5">
        <v>44357</v>
      </c>
      <c r="B236">
        <v>1763.5</v>
      </c>
      <c r="C236">
        <v>1772.91</v>
      </c>
      <c r="D236">
        <v>1652.17</v>
      </c>
      <c r="E236">
        <v>1692.8</v>
      </c>
      <c r="F236">
        <v>1538.2124470000001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-0.3269836011263893</v>
      </c>
      <c r="Q236">
        <f t="shared" si="960"/>
        <v>-502.97024521749529</v>
      </c>
      <c r="R236">
        <f t="shared" si="961"/>
        <v>52898.072891012322</v>
      </c>
      <c r="S236">
        <f t="shared" si="962"/>
        <v>0.52898072891012327</v>
      </c>
      <c r="T236">
        <f t="shared" si="963"/>
        <v>5.2898072891012331E-4</v>
      </c>
    </row>
    <row r="237" spans="1:20" x14ac:dyDescent="0.25">
      <c r="A237" s="5">
        <v>44356</v>
      </c>
      <c r="B237">
        <v>1718.09</v>
      </c>
      <c r="C237">
        <v>1794.65</v>
      </c>
      <c r="D237">
        <v>1651.15</v>
      </c>
      <c r="E237">
        <v>1761.96</v>
      </c>
      <c r="F237">
        <v>1901.6438559999999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0.54439024390243829</v>
      </c>
      <c r="Q237">
        <f t="shared" si="960"/>
        <v>1035.2363625834132</v>
      </c>
      <c r="R237">
        <f t="shared" si="961"/>
        <v>53401.043136229819</v>
      </c>
      <c r="S237">
        <f t="shared" si="962"/>
        <v>0.5340104313622982</v>
      </c>
      <c r="T237">
        <f t="shared" si="963"/>
        <v>5.3401043136229822E-4</v>
      </c>
    </row>
    <row r="238" spans="1:20" x14ac:dyDescent="0.25">
      <c r="A238" s="5">
        <v>44355</v>
      </c>
      <c r="B238">
        <v>1759.92</v>
      </c>
      <c r="C238">
        <v>1796.7</v>
      </c>
      <c r="D238">
        <v>1621.52</v>
      </c>
      <c r="E238">
        <v>1718.14</v>
      </c>
      <c r="F238">
        <v>2779.7421810000001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0.10309396049777467</v>
      </c>
      <c r="Q238">
        <f t="shared" si="960"/>
        <v>286.57463060201201</v>
      </c>
      <c r="R238">
        <f t="shared" si="961"/>
        <v>52365.806773646407</v>
      </c>
      <c r="S238">
        <f t="shared" si="962"/>
        <v>0.52365806773646406</v>
      </c>
      <c r="T238">
        <f t="shared" si="963"/>
        <v>5.236580677364641E-4</v>
      </c>
    </row>
    <row r="239" spans="1:20" x14ac:dyDescent="0.25">
      <c r="A239" s="5">
        <v>44354</v>
      </c>
      <c r="B239">
        <v>1905.51</v>
      </c>
      <c r="C239">
        <v>1930.82</v>
      </c>
      <c r="D239">
        <v>1728.2</v>
      </c>
      <c r="E239">
        <v>1761.67</v>
      </c>
      <c r="F239">
        <v>1406.95642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-0.66962787483960073</v>
      </c>
      <c r="Q239">
        <f t="shared" si="960"/>
        <v>-942.13723751653276</v>
      </c>
      <c r="R239">
        <f t="shared" si="961"/>
        <v>52079.232143044392</v>
      </c>
      <c r="S239">
        <f t="shared" si="962"/>
        <v>0.52079232143044396</v>
      </c>
      <c r="T239">
        <f t="shared" si="963"/>
        <v>5.2079232143044396E-4</v>
      </c>
    </row>
    <row r="240" spans="1:20" x14ac:dyDescent="0.25">
      <c r="A240" s="5">
        <v>44353</v>
      </c>
      <c r="B240">
        <v>1805.93</v>
      </c>
      <c r="C240">
        <v>1997.29</v>
      </c>
      <c r="D240">
        <v>1786.7</v>
      </c>
      <c r="E240">
        <v>1907.5</v>
      </c>
      <c r="F240">
        <v>4310.7371869999997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0.14725295598081581</v>
      </c>
      <c r="Q240">
        <f t="shared" si="960"/>
        <v>634.76879324217668</v>
      </c>
      <c r="R240">
        <f t="shared" si="961"/>
        <v>53021.369380560922</v>
      </c>
      <c r="S240">
        <f t="shared" si="962"/>
        <v>0.53021369380560923</v>
      </c>
      <c r="T240">
        <f t="shared" si="963"/>
        <v>5.3021369380560918E-4</v>
      </c>
    </row>
    <row r="241" spans="1:20" x14ac:dyDescent="0.25">
      <c r="A241" s="5">
        <v>44352</v>
      </c>
      <c r="B241">
        <v>1793.85</v>
      </c>
      <c r="C241">
        <v>1903.24</v>
      </c>
      <c r="D241">
        <v>1759.2</v>
      </c>
      <c r="E241">
        <v>1803.33</v>
      </c>
      <c r="F241">
        <v>1331.9521219999999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-0.38725354068314505</v>
      </c>
      <c r="Q241">
        <f t="shared" si="960"/>
        <v>-515.80317526492831</v>
      </c>
      <c r="R241">
        <f t="shared" si="961"/>
        <v>52386.600587318746</v>
      </c>
      <c r="S241">
        <f t="shared" si="962"/>
        <v>0.52386600587318743</v>
      </c>
      <c r="T241">
        <f t="shared" si="963"/>
        <v>5.2386600587318746E-4</v>
      </c>
    </row>
    <row r="242" spans="1:20" x14ac:dyDescent="0.25">
      <c r="A242" s="5">
        <v>44351</v>
      </c>
      <c r="B242">
        <v>1979.57</v>
      </c>
      <c r="C242">
        <v>1979.57</v>
      </c>
      <c r="D242">
        <v>1761.18</v>
      </c>
      <c r="E242">
        <v>1793.03</v>
      </c>
      <c r="F242">
        <v>2335.7849289999999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-0.70831997802097235</v>
      </c>
      <c r="Q242">
        <f t="shared" si="960"/>
        <v>-1654.4831295709985</v>
      </c>
      <c r="R242">
        <f t="shared" si="961"/>
        <v>52902.403762583672</v>
      </c>
      <c r="S242">
        <f t="shared" si="962"/>
        <v>0.52902403762583672</v>
      </c>
      <c r="T242">
        <f t="shared" si="963"/>
        <v>5.290240376258367E-4</v>
      </c>
    </row>
    <row r="243" spans="1:20" x14ac:dyDescent="0.25">
      <c r="A243" s="5">
        <v>44350</v>
      </c>
      <c r="B243">
        <v>1914.78</v>
      </c>
      <c r="C243">
        <v>1999.54</v>
      </c>
      <c r="D243">
        <v>1877.32</v>
      </c>
      <c r="E243">
        <v>1979.97</v>
      </c>
      <c r="F243">
        <v>1596.884366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0.67975781377843347</v>
      </c>
      <c r="Q243">
        <f t="shared" si="960"/>
        <v>1085.4946254891197</v>
      </c>
      <c r="R243">
        <f t="shared" si="961"/>
        <v>54556.886892154667</v>
      </c>
      <c r="S243">
        <f t="shared" si="962"/>
        <v>0.54556886892154666</v>
      </c>
      <c r="T243">
        <f t="shared" si="963"/>
        <v>5.4556886892154666E-4</v>
      </c>
    </row>
    <row r="244" spans="1:20" x14ac:dyDescent="0.25">
      <c r="A244" s="5">
        <v>44349</v>
      </c>
      <c r="B244">
        <v>1876.98</v>
      </c>
      <c r="C244">
        <v>1943.4</v>
      </c>
      <c r="D244">
        <v>1824.59</v>
      </c>
      <c r="E244">
        <v>1912.33</v>
      </c>
      <c r="F244">
        <v>1706.7147769999999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0.47698005218415757</v>
      </c>
      <c r="Q244">
        <f t="shared" si="960"/>
        <v>814.0689033969328</v>
      </c>
      <c r="R244">
        <f t="shared" si="961"/>
        <v>53471.392266665549</v>
      </c>
      <c r="S244">
        <f t="shared" si="962"/>
        <v>0.53471392266665552</v>
      </c>
      <c r="T244">
        <f t="shared" si="963"/>
        <v>5.3471392266665556E-4</v>
      </c>
    </row>
    <row r="245" spans="1:20" x14ac:dyDescent="0.25">
      <c r="A245" s="5">
        <v>44348</v>
      </c>
      <c r="B245">
        <v>1888.59</v>
      </c>
      <c r="C245">
        <v>1936.77</v>
      </c>
      <c r="D245">
        <v>1809.94</v>
      </c>
      <c r="E245">
        <v>1877</v>
      </c>
      <c r="F245">
        <v>2389.541702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5.7478514547031206E-2</v>
      </c>
      <c r="Q245">
        <f t="shared" si="960"/>
        <v>137.34730747914472</v>
      </c>
      <c r="R245">
        <f t="shared" si="961"/>
        <v>52657.323363268617</v>
      </c>
      <c r="S245">
        <f t="shared" si="962"/>
        <v>0.52657323363268616</v>
      </c>
      <c r="T245">
        <f t="shared" si="963"/>
        <v>5.2657323363268613E-4</v>
      </c>
    </row>
    <row r="246" spans="1:20" x14ac:dyDescent="0.25">
      <c r="A246" s="5">
        <v>44347</v>
      </c>
      <c r="B246">
        <v>1786.45</v>
      </c>
      <c r="C246">
        <v>1920</v>
      </c>
      <c r="D246">
        <v>1735.57</v>
      </c>
      <c r="E246">
        <v>1888.6</v>
      </c>
      <c r="F246">
        <v>2435.858099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0.65949140595347744</v>
      </c>
      <c r="Q246">
        <f t="shared" si="960"/>
        <v>1606.4274824126749</v>
      </c>
      <c r="R246">
        <f t="shared" si="961"/>
        <v>52519.97605578947</v>
      </c>
      <c r="S246">
        <f t="shared" si="962"/>
        <v>0.52519976055789475</v>
      </c>
      <c r="T246">
        <f t="shared" si="963"/>
        <v>5.2519976055789472E-4</v>
      </c>
    </row>
    <row r="247" spans="1:20" x14ac:dyDescent="0.25">
      <c r="A247" s="5">
        <v>44346</v>
      </c>
      <c r="B247">
        <v>1799.14</v>
      </c>
      <c r="C247">
        <v>1884.88</v>
      </c>
      <c r="D247">
        <v>1701.22</v>
      </c>
      <c r="E247">
        <v>1789.62</v>
      </c>
      <c r="F247">
        <v>3049.6414399999999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-3.7351628008278077E-2</v>
      </c>
      <c r="Q247">
        <f t="shared" si="960"/>
        <v>-113.90907262550948</v>
      </c>
      <c r="R247">
        <f t="shared" si="961"/>
        <v>50913.548573376793</v>
      </c>
      <c r="S247">
        <f t="shared" si="962"/>
        <v>0.50913548573376788</v>
      </c>
      <c r="T247">
        <f t="shared" si="963"/>
        <v>5.0913548573376785E-4</v>
      </c>
    </row>
    <row r="248" spans="1:20" x14ac:dyDescent="0.25">
      <c r="A248" s="5">
        <v>44345</v>
      </c>
      <c r="B248">
        <v>1734.21</v>
      </c>
      <c r="C248">
        <v>1835.37</v>
      </c>
      <c r="D248">
        <v>1593.99</v>
      </c>
      <c r="E248">
        <v>1799.14</v>
      </c>
      <c r="F248">
        <v>3007.7349199999999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0.69980942911591837</v>
      </c>
      <c r="Q248">
        <f t="shared" si="960"/>
        <v>2104.8412572972125</v>
      </c>
      <c r="R248">
        <f t="shared" si="961"/>
        <v>51027.457646002302</v>
      </c>
      <c r="S248">
        <f t="shared" si="962"/>
        <v>0.51027457646002305</v>
      </c>
      <c r="T248">
        <f t="shared" si="963"/>
        <v>5.1027457646002307E-4</v>
      </c>
    </row>
    <row r="249" spans="1:20" x14ac:dyDescent="0.25">
      <c r="A249" s="5">
        <v>44344</v>
      </c>
      <c r="B249">
        <v>1905.99</v>
      </c>
      <c r="C249">
        <v>1941.22</v>
      </c>
      <c r="D249">
        <v>1658.69</v>
      </c>
      <c r="E249">
        <v>1735.3</v>
      </c>
      <c r="F249">
        <v>4766.9056899999996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-0.45768590946094284</v>
      </c>
      <c r="Q249">
        <f t="shared" si="960"/>
        <v>-2181.7455660421929</v>
      </c>
      <c r="R249">
        <f t="shared" si="961"/>
        <v>48922.616388705086</v>
      </c>
      <c r="S249">
        <f t="shared" si="962"/>
        <v>0.48922616388705087</v>
      </c>
      <c r="T249">
        <f t="shared" si="963"/>
        <v>4.892261638870509E-4</v>
      </c>
    </row>
    <row r="250" spans="1:20" x14ac:dyDescent="0.25">
      <c r="A250" s="5">
        <v>44343</v>
      </c>
      <c r="B250">
        <v>2138.29</v>
      </c>
      <c r="C250">
        <v>2139.2800000000002</v>
      </c>
      <c r="D250">
        <v>1870</v>
      </c>
      <c r="E250">
        <v>1913.26</v>
      </c>
      <c r="F250">
        <v>4404.0142459999997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-0.67869875222816434</v>
      </c>
      <c r="Q250">
        <f t="shared" si="960"/>
        <v>-2988.9989735552599</v>
      </c>
      <c r="R250">
        <f t="shared" si="961"/>
        <v>51104.361954747277</v>
      </c>
      <c r="S250">
        <f t="shared" si="962"/>
        <v>0.51104361954747279</v>
      </c>
      <c r="T250">
        <f t="shared" si="963"/>
        <v>5.1104361954747277E-4</v>
      </c>
    </row>
    <row r="251" spans="1:20" x14ac:dyDescent="0.25">
      <c r="A251" s="5">
        <v>44342</v>
      </c>
      <c r="B251">
        <v>1830</v>
      </c>
      <c r="C251">
        <v>2155.11</v>
      </c>
      <c r="D251">
        <v>1790.34</v>
      </c>
      <c r="E251">
        <v>2133.9699999999998</v>
      </c>
      <c r="F251">
        <v>5859.4230200000002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0.88409134523123989</v>
      </c>
      <c r="Q251">
        <f t="shared" si="960"/>
        <v>5180.265180030694</v>
      </c>
      <c r="R251">
        <f t="shared" si="961"/>
        <v>54093.360928302536</v>
      </c>
      <c r="S251">
        <f t="shared" si="962"/>
        <v>0.54093360928302536</v>
      </c>
      <c r="T251">
        <f t="shared" si="963"/>
        <v>5.4093360928302535E-4</v>
      </c>
    </row>
    <row r="252" spans="1:20" x14ac:dyDescent="0.25">
      <c r="A252" s="5">
        <v>44341</v>
      </c>
      <c r="B252">
        <v>1893.83</v>
      </c>
      <c r="C252">
        <v>1999.87</v>
      </c>
      <c r="D252">
        <v>1645.56</v>
      </c>
      <c r="E252">
        <v>1829.98</v>
      </c>
      <c r="F252">
        <v>5805.6711939999996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4.1009285653806557E-2</v>
      </c>
      <c r="Q252">
        <f t="shared" si="960"/>
        <v>238.08642840682217</v>
      </c>
      <c r="R252">
        <f t="shared" si="961"/>
        <v>48913.095748271844</v>
      </c>
      <c r="S252">
        <f t="shared" si="962"/>
        <v>0.48913095748271845</v>
      </c>
      <c r="T252">
        <f t="shared" si="963"/>
        <v>4.8913095748271849E-4</v>
      </c>
    </row>
    <row r="253" spans="1:20" x14ac:dyDescent="0.25">
      <c r="A253" s="5">
        <v>44340</v>
      </c>
      <c r="B253">
        <v>1592.95</v>
      </c>
      <c r="C253">
        <v>1935.52</v>
      </c>
      <c r="D253">
        <v>1535.91</v>
      </c>
      <c r="E253">
        <v>1895.71</v>
      </c>
      <c r="F253">
        <v>7872.8469139999997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0.80075573684342261</v>
      </c>
      <c r="Q253">
        <f t="shared" si="960"/>
        <v>6304.2273316755354</v>
      </c>
      <c r="R253">
        <f t="shared" si="961"/>
        <v>48675.009319865021</v>
      </c>
      <c r="S253">
        <f t="shared" si="962"/>
        <v>0.4867500931986502</v>
      </c>
      <c r="T253">
        <f t="shared" si="963"/>
        <v>4.8675009319865023E-4</v>
      </c>
    </row>
    <row r="254" spans="1:20" x14ac:dyDescent="0.25">
      <c r="A254" s="5">
        <v>44339</v>
      </c>
      <c r="B254">
        <v>1801</v>
      </c>
      <c r="C254">
        <v>1864.41</v>
      </c>
      <c r="D254">
        <v>1220</v>
      </c>
      <c r="E254">
        <v>1595.44</v>
      </c>
      <c r="F254">
        <v>13733.090335999999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0.16522089973774462</v>
      </c>
      <c r="Q254">
        <f t="shared" si="960"/>
        <v>2268.9935414936454</v>
      </c>
      <c r="R254">
        <f t="shared" si="961"/>
        <v>42370.781988189483</v>
      </c>
      <c r="S254">
        <f t="shared" si="962"/>
        <v>0.42370781988189482</v>
      </c>
      <c r="T254">
        <f t="shared" si="963"/>
        <v>4.237078198818948E-4</v>
      </c>
    </row>
    <row r="255" spans="1:20" x14ac:dyDescent="0.25">
      <c r="A255" s="5">
        <v>44338</v>
      </c>
      <c r="B255">
        <v>1621.73</v>
      </c>
      <c r="C255">
        <v>1929.49</v>
      </c>
      <c r="D255">
        <v>1478.54</v>
      </c>
      <c r="E255">
        <v>1798.04</v>
      </c>
      <c r="F255">
        <v>11515.097793999999</v>
      </c>
      <c r="G255">
        <v>0</v>
      </c>
      <c r="L255" t="s">
        <v>7</v>
      </c>
      <c r="M255" t="s">
        <v>8</v>
      </c>
      <c r="N255" t="s">
        <v>8</v>
      </c>
      <c r="P255">
        <f t="shared" si="959"/>
        <v>0.417008537531877</v>
      </c>
      <c r="Q255">
        <f t="shared" si="960"/>
        <v>4801.8940906124826</v>
      </c>
      <c r="R255">
        <f t="shared" si="961"/>
        <v>40101.788446695835</v>
      </c>
      <c r="S255">
        <f t="shared" si="962"/>
        <v>0.40101788446695835</v>
      </c>
      <c r="T255">
        <f t="shared" si="963"/>
        <v>4.0101788446695837E-4</v>
      </c>
    </row>
    <row r="256" spans="1:20" x14ac:dyDescent="0.25">
      <c r="A256" s="5">
        <v>44337</v>
      </c>
      <c r="B256">
        <v>1882.44</v>
      </c>
      <c r="C256">
        <v>1971.96</v>
      </c>
      <c r="D256">
        <v>1401.14</v>
      </c>
      <c r="E256">
        <v>1624.39</v>
      </c>
      <c r="F256">
        <v>8717.5144540000001</v>
      </c>
      <c r="G256">
        <v>0</v>
      </c>
      <c r="L256" t="s">
        <v>8</v>
      </c>
      <c r="M256" t="s">
        <v>7</v>
      </c>
      <c r="N256" t="s">
        <v>8</v>
      </c>
      <c r="P256">
        <f t="shared" si="959"/>
        <v>-0.21779194842507263</v>
      </c>
      <c r="Q256">
        <f t="shared" si="960"/>
        <v>-1898.6044583603932</v>
      </c>
      <c r="R256">
        <f t="shared" si="961"/>
        <v>35299.89435608335</v>
      </c>
      <c r="S256">
        <f t="shared" si="962"/>
        <v>0.3529989435608335</v>
      </c>
      <c r="T256">
        <f t="shared" si="963"/>
        <v>3.5299894356083351E-4</v>
      </c>
    </row>
    <row r="257" spans="1:20" x14ac:dyDescent="0.25">
      <c r="A257" s="5">
        <v>44336</v>
      </c>
      <c r="B257">
        <v>1514.65</v>
      </c>
      <c r="C257">
        <v>1944.01</v>
      </c>
      <c r="D257">
        <v>1358.23</v>
      </c>
      <c r="E257">
        <v>1879.35</v>
      </c>
      <c r="F257">
        <v>11307.567897999999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0.77923452490696132</v>
      </c>
      <c r="Q257">
        <f t="shared" si="960"/>
        <v>8811.2472988512363</v>
      </c>
      <c r="R257">
        <f t="shared" si="961"/>
        <v>37198.498814443745</v>
      </c>
      <c r="S257">
        <f t="shared" si="962"/>
        <v>0.37198498814443742</v>
      </c>
      <c r="T257">
        <f t="shared" si="963"/>
        <v>3.7198498814443743E-4</v>
      </c>
    </row>
    <row r="258" spans="1:20" x14ac:dyDescent="0.25">
      <c r="A258" s="5">
        <v>44335</v>
      </c>
      <c r="B258">
        <v>2649.9</v>
      </c>
      <c r="C258">
        <v>2710</v>
      </c>
      <c r="D258">
        <v>1169.8499999999999</v>
      </c>
      <c r="E258">
        <v>1514.51</v>
      </c>
      <c r="F258">
        <v>21312.452463000001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-0.55243320455799749</v>
      </c>
      <c r="Q258">
        <f t="shared" si="960"/>
        <v>-11773.706411125077</v>
      </c>
      <c r="R258">
        <f t="shared" si="961"/>
        <v>28387.25151559251</v>
      </c>
      <c r="S258">
        <f t="shared" si="962"/>
        <v>0.2838725151559251</v>
      </c>
      <c r="T258">
        <f t="shared" si="963"/>
        <v>2.8387251515592509E-4</v>
      </c>
    </row>
    <row r="259" spans="1:20" x14ac:dyDescent="0.25">
      <c r="A259" s="5">
        <v>44334</v>
      </c>
      <c r="B259">
        <v>2502.52</v>
      </c>
      <c r="C259">
        <v>2779.58</v>
      </c>
      <c r="D259">
        <v>2457.58</v>
      </c>
      <c r="E259">
        <v>2648.69</v>
      </c>
      <c r="F259">
        <v>5371.1116549999997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0.18701863354037346</v>
      </c>
      <c r="Q259">
        <f t="shared" si="960"/>
        <v>1004.4979623108737</v>
      </c>
      <c r="R259">
        <f t="shared" si="961"/>
        <v>40160.957926717587</v>
      </c>
      <c r="S259">
        <f t="shared" si="962"/>
        <v>0.40160957926717589</v>
      </c>
      <c r="T259">
        <f t="shared" si="963"/>
        <v>4.0160957926717588E-4</v>
      </c>
    </row>
    <row r="260" spans="1:20" x14ac:dyDescent="0.25">
      <c r="A260" s="5">
        <v>44333</v>
      </c>
      <c r="B260">
        <v>2636</v>
      </c>
      <c r="C260">
        <v>2797.06</v>
      </c>
      <c r="D260">
        <v>2318.84</v>
      </c>
      <c r="E260">
        <v>2498.71</v>
      </c>
      <c r="F260">
        <v>6987.7800129999996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-0.24775208063234508</v>
      </c>
      <c r="Q260">
        <f t="shared" si="960"/>
        <v>-1731.2370372218652</v>
      </c>
      <c r="R260">
        <f t="shared" si="961"/>
        <v>39156.459964406713</v>
      </c>
      <c r="S260">
        <f t="shared" si="962"/>
        <v>0.39156459964406715</v>
      </c>
      <c r="T260">
        <f t="shared" si="963"/>
        <v>3.9156459964406716E-4</v>
      </c>
    </row>
    <row r="261" spans="1:20" x14ac:dyDescent="0.25">
      <c r="A261" s="5">
        <v>44332</v>
      </c>
      <c r="B261">
        <v>2606.34</v>
      </c>
      <c r="C261">
        <v>2812.35</v>
      </c>
      <c r="D261">
        <v>2474.44</v>
      </c>
      <c r="E261">
        <v>2639.26</v>
      </c>
      <c r="F261">
        <v>4829.6752260000003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-2.4473972359502622E-2</v>
      </c>
      <c r="Q261">
        <f t="shared" si="960"/>
        <v>-118.20133798649859</v>
      </c>
      <c r="R261">
        <f t="shared" si="961"/>
        <v>40887.697001628578</v>
      </c>
      <c r="S261">
        <f t="shared" si="962"/>
        <v>0.40887697001628576</v>
      </c>
      <c r="T261">
        <f t="shared" si="963"/>
        <v>4.0887697001628574E-4</v>
      </c>
    </row>
    <row r="262" spans="1:20" x14ac:dyDescent="0.25">
      <c r="A262" s="5">
        <v>44331</v>
      </c>
      <c r="B262">
        <v>2801.1</v>
      </c>
      <c r="C262">
        <v>2948.98</v>
      </c>
      <c r="D262">
        <v>2563.39</v>
      </c>
      <c r="E262">
        <v>2607.67</v>
      </c>
      <c r="F262">
        <v>5285.9921199999999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-0.77032599393137691</v>
      </c>
      <c r="Q262">
        <f t="shared" ref="Q262:Q325" si="965">F262*P262</f>
        <v>-4071.9371337524262</v>
      </c>
      <c r="R262">
        <f t="shared" ref="R262:R325" si="966">R263+Q262</f>
        <v>41005.89833961508</v>
      </c>
      <c r="S262">
        <f t="shared" ref="S262:S325" si="967">R262/100000</f>
        <v>0.41005898339615082</v>
      </c>
      <c r="T262">
        <f t="shared" ref="T262:T325" si="968">S262/1000</f>
        <v>4.1005898339615084E-4</v>
      </c>
    </row>
    <row r="263" spans="1:20" x14ac:dyDescent="0.25">
      <c r="A263" s="5">
        <v>44330</v>
      </c>
      <c r="B263">
        <v>2689.33</v>
      </c>
      <c r="C263">
        <v>2956.87</v>
      </c>
      <c r="D263">
        <v>2661.22</v>
      </c>
      <c r="E263">
        <v>2802.99</v>
      </c>
      <c r="F263">
        <v>5884.1942230000004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-4.0960595298495259E-2</v>
      </c>
      <c r="Q263">
        <f t="shared" si="965"/>
        <v>-241.02009822604677</v>
      </c>
      <c r="R263">
        <f t="shared" si="966"/>
        <v>45077.835473367508</v>
      </c>
      <c r="S263">
        <f t="shared" si="967"/>
        <v>0.45077835473367506</v>
      </c>
      <c r="T263">
        <f t="shared" si="968"/>
        <v>4.5077835473367504E-4</v>
      </c>
    </row>
    <row r="264" spans="1:20" x14ac:dyDescent="0.25">
      <c r="A264" s="5">
        <v>44329</v>
      </c>
      <c r="B264">
        <v>2710.92</v>
      </c>
      <c r="C264">
        <v>2894.73</v>
      </c>
      <c r="D264">
        <v>2522.59</v>
      </c>
      <c r="E264">
        <v>2688.35</v>
      </c>
      <c r="F264">
        <v>11573.389485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-0.1091524695007265</v>
      </c>
      <c r="Q264">
        <f t="shared" si="965"/>
        <v>-1263.2640427814913</v>
      </c>
      <c r="R264">
        <f t="shared" si="966"/>
        <v>45318.855571593558</v>
      </c>
      <c r="S264">
        <f t="shared" si="967"/>
        <v>0.45318855571593558</v>
      </c>
      <c r="T264">
        <f t="shared" si="968"/>
        <v>4.531885557159356E-4</v>
      </c>
    </row>
    <row r="265" spans="1:20" x14ac:dyDescent="0.25">
      <c r="A265" s="5">
        <v>44328</v>
      </c>
      <c r="B265">
        <v>3265.06</v>
      </c>
      <c r="C265">
        <v>3700</v>
      </c>
      <c r="D265">
        <v>2659.05</v>
      </c>
      <c r="E265">
        <v>2710.92</v>
      </c>
      <c r="F265">
        <v>27162.747181999999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-0.90034103463182691</v>
      </c>
      <c r="Q265">
        <f t="shared" si="965"/>
        <v>-24455.735901284621</v>
      </c>
      <c r="R265">
        <f t="shared" si="966"/>
        <v>46582.119614375049</v>
      </c>
      <c r="S265">
        <f t="shared" si="967"/>
        <v>0.4658211961437505</v>
      </c>
      <c r="T265">
        <f t="shared" si="968"/>
        <v>4.6582119614375049E-4</v>
      </c>
    </row>
    <row r="266" spans="1:20" x14ac:dyDescent="0.25">
      <c r="A266" s="5">
        <v>44327</v>
      </c>
      <c r="B266">
        <v>2913.45</v>
      </c>
      <c r="C266">
        <v>3472.88</v>
      </c>
      <c r="D266">
        <v>2870.39</v>
      </c>
      <c r="E266">
        <v>3265.05</v>
      </c>
      <c r="F266">
        <v>40571.665503999997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0.31009643313582019</v>
      </c>
      <c r="Q266">
        <f t="shared" si="965"/>
        <v>12581.128759169998</v>
      </c>
      <c r="R266">
        <f t="shared" si="966"/>
        <v>71037.85551565967</v>
      </c>
      <c r="S266">
        <f t="shared" si="967"/>
        <v>0.71037855515659676</v>
      </c>
      <c r="T266">
        <f t="shared" si="968"/>
        <v>7.1037855515659681E-4</v>
      </c>
    </row>
    <row r="267" spans="1:20" x14ac:dyDescent="0.25">
      <c r="A267" s="5">
        <v>44326</v>
      </c>
      <c r="B267">
        <v>2570.13</v>
      </c>
      <c r="C267">
        <v>2965</v>
      </c>
      <c r="D267">
        <v>2366.4699999999998</v>
      </c>
      <c r="E267">
        <v>2919.99</v>
      </c>
      <c r="F267">
        <v>9395.3333390000007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0.84959818221308803</v>
      </c>
      <c r="Q267">
        <f t="shared" si="965"/>
        <v>7982.2581261004234</v>
      </c>
      <c r="R267">
        <f t="shared" si="966"/>
        <v>58456.726756489668</v>
      </c>
      <c r="S267">
        <f t="shared" si="967"/>
        <v>0.58456726756489663</v>
      </c>
      <c r="T267">
        <f t="shared" si="968"/>
        <v>5.8456726756489659E-4</v>
      </c>
    </row>
    <row r="268" spans="1:20" x14ac:dyDescent="0.25">
      <c r="A268" s="5">
        <v>44325</v>
      </c>
      <c r="B268">
        <v>2631.9</v>
      </c>
      <c r="C268">
        <v>2710.66</v>
      </c>
      <c r="D268">
        <v>2474.61</v>
      </c>
      <c r="E268">
        <v>2568.79</v>
      </c>
      <c r="F268">
        <v>3290.437469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-0.20203346748570264</v>
      </c>
      <c r="Q268">
        <f t="shared" si="965"/>
        <v>-664.77849140694923</v>
      </c>
      <c r="R268">
        <f t="shared" si="966"/>
        <v>50474.468630389245</v>
      </c>
      <c r="S268">
        <f t="shared" si="967"/>
        <v>0.50474468630389246</v>
      </c>
      <c r="T268">
        <f t="shared" si="968"/>
        <v>5.0474468630389252E-4</v>
      </c>
    </row>
    <row r="269" spans="1:20" x14ac:dyDescent="0.25">
      <c r="A269" s="5">
        <v>44324</v>
      </c>
      <c r="B269">
        <v>2596.2199999999998</v>
      </c>
      <c r="C269">
        <v>2705</v>
      </c>
      <c r="D269">
        <v>2560</v>
      </c>
      <c r="E269">
        <v>2626.44</v>
      </c>
      <c r="F269">
        <v>2835.694892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-8.3586206896550969E-2</v>
      </c>
      <c r="Q269">
        <f t="shared" si="965"/>
        <v>-237.02497993820475</v>
      </c>
      <c r="R269">
        <f t="shared" si="966"/>
        <v>51139.247121796194</v>
      </c>
      <c r="S269">
        <f t="shared" si="967"/>
        <v>0.51139247121796194</v>
      </c>
      <c r="T269">
        <f t="shared" si="968"/>
        <v>5.1139247121796195E-4</v>
      </c>
    </row>
    <row r="270" spans="1:20" x14ac:dyDescent="0.25">
      <c r="A270" s="5">
        <v>44323</v>
      </c>
      <c r="B270">
        <v>2712.86</v>
      </c>
      <c r="C270">
        <v>2743.95</v>
      </c>
      <c r="D270">
        <v>2515.4899999999998</v>
      </c>
      <c r="E270">
        <v>2592.6999999999998</v>
      </c>
      <c r="F270">
        <v>4267.9228039999998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-0.324082990457848</v>
      </c>
      <c r="Q270">
        <f t="shared" si="965"/>
        <v>-1383.1611853635638</v>
      </c>
      <c r="R270">
        <f t="shared" si="966"/>
        <v>51376.272101734401</v>
      </c>
      <c r="S270">
        <f t="shared" si="967"/>
        <v>0.51376272101734399</v>
      </c>
      <c r="T270">
        <f t="shared" si="968"/>
        <v>5.1376272101734399E-4</v>
      </c>
    </row>
    <row r="271" spans="1:20" x14ac:dyDescent="0.25">
      <c r="A271" s="5">
        <v>44322</v>
      </c>
      <c r="B271">
        <v>2704.45</v>
      </c>
      <c r="C271">
        <v>2850</v>
      </c>
      <c r="D271">
        <v>2622.78</v>
      </c>
      <c r="E271">
        <v>2702.84</v>
      </c>
      <c r="F271">
        <v>5771.5908079999999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-0.29530851157468518</v>
      </c>
      <c r="Q271">
        <f t="shared" si="965"/>
        <v>-1704.3998909286147</v>
      </c>
      <c r="R271">
        <f t="shared" si="966"/>
        <v>52759.433287097963</v>
      </c>
      <c r="S271">
        <f t="shared" si="967"/>
        <v>0.52759433287097968</v>
      </c>
      <c r="T271">
        <f t="shared" si="968"/>
        <v>5.2759433287097963E-4</v>
      </c>
    </row>
    <row r="272" spans="1:20" x14ac:dyDescent="0.25">
      <c r="A272" s="5">
        <v>44321</v>
      </c>
      <c r="B272">
        <v>2434.73</v>
      </c>
      <c r="C272">
        <v>2752.43</v>
      </c>
      <c r="D272">
        <v>2406.96</v>
      </c>
      <c r="E272">
        <v>2701.03</v>
      </c>
      <c r="F272">
        <v>3548.3250480000002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0.7024343647784197</v>
      </c>
      <c r="Q272">
        <f t="shared" si="965"/>
        <v>2492.4654511192357</v>
      </c>
      <c r="R272">
        <f t="shared" si="966"/>
        <v>54463.83317802658</v>
      </c>
      <c r="S272">
        <f t="shared" si="967"/>
        <v>0.54463833178026577</v>
      </c>
      <c r="T272">
        <f t="shared" si="968"/>
        <v>5.4463833178026576E-4</v>
      </c>
    </row>
    <row r="273" spans="1:20" x14ac:dyDescent="0.25">
      <c r="A273" s="5">
        <v>44320</v>
      </c>
      <c r="B273">
        <v>2699.94</v>
      </c>
      <c r="C273">
        <v>2706.97</v>
      </c>
      <c r="D273">
        <v>2407.02</v>
      </c>
      <c r="E273">
        <v>2430.38</v>
      </c>
      <c r="F273">
        <v>4738.4898560000001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-0.84424070678446317</v>
      </c>
      <c r="Q273">
        <f t="shared" si="965"/>
        <v>-4000.4260251204491</v>
      </c>
      <c r="R273">
        <f t="shared" si="966"/>
        <v>51971.367726907345</v>
      </c>
      <c r="S273">
        <f t="shared" si="967"/>
        <v>0.51971367726907347</v>
      </c>
      <c r="T273">
        <f t="shared" si="968"/>
        <v>5.197136772690735E-4</v>
      </c>
    </row>
    <row r="274" spans="1:20" x14ac:dyDescent="0.25">
      <c r="A274" s="5">
        <v>44319</v>
      </c>
      <c r="B274">
        <v>2590.0700000000002</v>
      </c>
      <c r="C274">
        <v>2775.26</v>
      </c>
      <c r="D274">
        <v>2587.6799999999998</v>
      </c>
      <c r="E274">
        <v>2699.97</v>
      </c>
      <c r="F274">
        <v>3330.9402679999998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0.1972491736858912</v>
      </c>
      <c r="Q274">
        <f t="shared" si="965"/>
        <v>657.02521546006096</v>
      </c>
      <c r="R274">
        <f t="shared" si="966"/>
        <v>55971.793752027792</v>
      </c>
      <c r="S274">
        <f t="shared" si="967"/>
        <v>0.55971793752027788</v>
      </c>
      <c r="T274">
        <f t="shared" si="968"/>
        <v>5.5971793752027782E-4</v>
      </c>
    </row>
    <row r="275" spans="1:20" x14ac:dyDescent="0.25">
      <c r="A275" s="5">
        <v>44318</v>
      </c>
      <c r="B275">
        <v>2652.36</v>
      </c>
      <c r="C275">
        <v>2661.24</v>
      </c>
      <c r="D275">
        <v>2512.83</v>
      </c>
      <c r="E275">
        <v>2590.29</v>
      </c>
      <c r="F275">
        <v>1681.6088119999999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4.3864968667881039E-2</v>
      </c>
      <c r="Q275">
        <f t="shared" si="965"/>
        <v>73.763717850012654</v>
      </c>
      <c r="R275">
        <f t="shared" si="966"/>
        <v>55314.768536567732</v>
      </c>
      <c r="S275">
        <f t="shared" si="967"/>
        <v>0.55314768536567727</v>
      </c>
      <c r="T275">
        <f t="shared" si="968"/>
        <v>5.5314768536567722E-4</v>
      </c>
    </row>
    <row r="276" spans="1:20" x14ac:dyDescent="0.25">
      <c r="A276" s="5">
        <v>44317</v>
      </c>
      <c r="B276">
        <v>2606.86</v>
      </c>
      <c r="C276">
        <v>2657.56</v>
      </c>
      <c r="D276">
        <v>2520.09</v>
      </c>
      <c r="E276">
        <v>2653.42</v>
      </c>
      <c r="F276">
        <v>2180.4053629999999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0.93976867680221321</v>
      </c>
      <c r="Q276">
        <f t="shared" si="965"/>
        <v>2049.0766628789593</v>
      </c>
      <c r="R276">
        <f t="shared" si="966"/>
        <v>55241.004818717716</v>
      </c>
      <c r="S276">
        <f t="shared" si="967"/>
        <v>0.55241004818717721</v>
      </c>
      <c r="T276">
        <f t="shared" si="968"/>
        <v>5.5241004818717715E-4</v>
      </c>
    </row>
    <row r="277" spans="1:20" x14ac:dyDescent="0.25">
      <c r="A277" s="5">
        <v>44316</v>
      </c>
      <c r="B277">
        <v>2472.6799999999998</v>
      </c>
      <c r="C277">
        <v>2632.65</v>
      </c>
      <c r="D277">
        <v>2430.02</v>
      </c>
      <c r="E277">
        <v>2607.2600000000002</v>
      </c>
      <c r="F277">
        <v>2354.1571819999999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0.74939544983467543</v>
      </c>
      <c r="Q277">
        <f t="shared" si="965"/>
        <v>1764.1946803864219</v>
      </c>
      <c r="R277">
        <f t="shared" si="966"/>
        <v>53191.928155838759</v>
      </c>
      <c r="S277">
        <f t="shared" si="967"/>
        <v>0.53191928155838764</v>
      </c>
      <c r="T277">
        <f t="shared" si="968"/>
        <v>5.3191928155838766E-4</v>
      </c>
    </row>
    <row r="278" spans="1:20" x14ac:dyDescent="0.25">
      <c r="A278" s="5">
        <v>44315</v>
      </c>
      <c r="B278">
        <v>2473.75</v>
      </c>
      <c r="C278">
        <v>2538.35</v>
      </c>
      <c r="D278">
        <v>2397.15</v>
      </c>
      <c r="E278">
        <v>2471.79</v>
      </c>
      <c r="F278">
        <v>2433.2174199999999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5.7223796033993891E-2</v>
      </c>
      <c r="Q278">
        <f t="shared" si="965"/>
        <v>139.23793734844085</v>
      </c>
      <c r="R278">
        <f t="shared" si="966"/>
        <v>51427.73347545234</v>
      </c>
      <c r="S278">
        <f t="shared" si="967"/>
        <v>0.51427733475452342</v>
      </c>
      <c r="T278">
        <f t="shared" si="968"/>
        <v>5.1427733475452341E-4</v>
      </c>
    </row>
    <row r="279" spans="1:20" x14ac:dyDescent="0.25">
      <c r="A279" s="5">
        <v>44314</v>
      </c>
      <c r="B279">
        <v>2512.61</v>
      </c>
      <c r="C279">
        <v>2576.7199999999998</v>
      </c>
      <c r="D279">
        <v>2350.11</v>
      </c>
      <c r="E279">
        <v>2470.35</v>
      </c>
      <c r="F279">
        <v>2605.8025619999999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6.1206478090110372E-2</v>
      </c>
      <c r="Q279">
        <f t="shared" si="965"/>
        <v>159.49199741820647</v>
      </c>
      <c r="R279">
        <f t="shared" si="966"/>
        <v>51288.495538103896</v>
      </c>
      <c r="S279">
        <f t="shared" si="967"/>
        <v>0.51288495538103895</v>
      </c>
      <c r="T279">
        <f t="shared" si="968"/>
        <v>5.1288495538103895E-4</v>
      </c>
    </row>
    <row r="280" spans="1:20" x14ac:dyDescent="0.25">
      <c r="A280" s="5">
        <v>44313</v>
      </c>
      <c r="B280">
        <v>2417.29</v>
      </c>
      <c r="C280">
        <v>2549.85</v>
      </c>
      <c r="D280">
        <v>2372.1999999999998</v>
      </c>
      <c r="E280">
        <v>2516.87</v>
      </c>
      <c r="F280">
        <v>2902.0351300000002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0.62870813397129188</v>
      </c>
      <c r="Q280">
        <f t="shared" si="965"/>
        <v>1824.5330913014357</v>
      </c>
      <c r="R280">
        <f t="shared" si="966"/>
        <v>51129.003540685691</v>
      </c>
      <c r="S280">
        <f t="shared" si="967"/>
        <v>0.51129003540685691</v>
      </c>
      <c r="T280">
        <f t="shared" si="968"/>
        <v>5.1129003540685688E-4</v>
      </c>
    </row>
    <row r="281" spans="1:20" x14ac:dyDescent="0.25">
      <c r="A281" s="5">
        <v>44312</v>
      </c>
      <c r="B281">
        <v>2214.65</v>
      </c>
      <c r="C281">
        <v>2505.66</v>
      </c>
      <c r="D281">
        <v>2194.66</v>
      </c>
      <c r="E281">
        <v>2419.64</v>
      </c>
      <c r="F281">
        <v>3518.4924040000001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0.44681672025723485</v>
      </c>
      <c r="Q281">
        <f t="shared" si="965"/>
        <v>1572.1212362052738</v>
      </c>
      <c r="R281">
        <f t="shared" si="966"/>
        <v>49304.470449384258</v>
      </c>
      <c r="S281">
        <f t="shared" si="967"/>
        <v>0.49304470449384258</v>
      </c>
      <c r="T281">
        <f t="shared" si="968"/>
        <v>4.9304470449384259E-4</v>
      </c>
    </row>
    <row r="282" spans="1:20" x14ac:dyDescent="0.25">
      <c r="A282" s="5">
        <v>44311</v>
      </c>
      <c r="B282">
        <v>2103.13</v>
      </c>
      <c r="C282">
        <v>2275.87</v>
      </c>
      <c r="D282">
        <v>2058.91</v>
      </c>
      <c r="E282">
        <v>2212.9299999999998</v>
      </c>
      <c r="F282">
        <v>3089.3101069999998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0.4198008849557518</v>
      </c>
      <c r="Q282">
        <f t="shared" si="965"/>
        <v>1296.8951168213482</v>
      </c>
      <c r="R282">
        <f t="shared" si="966"/>
        <v>47732.349213178983</v>
      </c>
      <c r="S282">
        <f t="shared" si="967"/>
        <v>0.47732349213178982</v>
      </c>
      <c r="T282">
        <f t="shared" si="968"/>
        <v>4.7732349213178984E-4</v>
      </c>
    </row>
    <row r="283" spans="1:20" x14ac:dyDescent="0.25">
      <c r="A283" s="5">
        <v>44310</v>
      </c>
      <c r="B283">
        <v>2319.67</v>
      </c>
      <c r="C283">
        <v>2331.73</v>
      </c>
      <c r="D283">
        <v>2087.7600000000002</v>
      </c>
      <c r="E283">
        <v>2106.65</v>
      </c>
      <c r="F283">
        <v>3613.5924749999999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-0.84514489486412359</v>
      </c>
      <c r="Q283">
        <f t="shared" si="965"/>
        <v>-3054.0092323656631</v>
      </c>
      <c r="R283">
        <f t="shared" si="966"/>
        <v>46435.454096357636</v>
      </c>
      <c r="S283">
        <f t="shared" si="967"/>
        <v>0.46435454096357637</v>
      </c>
      <c r="T283">
        <f t="shared" si="968"/>
        <v>4.6435454096357639E-4</v>
      </c>
    </row>
    <row r="284" spans="1:20" x14ac:dyDescent="0.25">
      <c r="A284" s="5">
        <v>44309</v>
      </c>
      <c r="B284">
        <v>2315.21</v>
      </c>
      <c r="C284">
        <v>2386.4699999999998</v>
      </c>
      <c r="D284">
        <v>2000</v>
      </c>
      <c r="E284">
        <v>2320.6999999999998</v>
      </c>
      <c r="F284">
        <v>7203.8560969999999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0.6596372292804098</v>
      </c>
      <c r="Q284">
        <f t="shared" si="965"/>
        <v>4751.9316759598669</v>
      </c>
      <c r="R284">
        <f t="shared" si="966"/>
        <v>49489.463328723301</v>
      </c>
      <c r="S284">
        <f t="shared" si="967"/>
        <v>0.49489463328723299</v>
      </c>
      <c r="T284">
        <f t="shared" si="968"/>
        <v>4.9489463328723294E-4</v>
      </c>
    </row>
    <row r="285" spans="1:20" x14ac:dyDescent="0.25">
      <c r="A285" s="5">
        <v>44308</v>
      </c>
      <c r="B285">
        <v>2490.09</v>
      </c>
      <c r="C285">
        <v>2668.2</v>
      </c>
      <c r="D285">
        <v>2278.6</v>
      </c>
      <c r="E285">
        <v>2316.1799999999998</v>
      </c>
      <c r="F285">
        <v>5604.1801800000003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-0.80708418891170464</v>
      </c>
      <c r="Q285">
        <f t="shared" si="965"/>
        <v>-4523.0452150903511</v>
      </c>
      <c r="R285">
        <f t="shared" si="966"/>
        <v>44737.531652763435</v>
      </c>
      <c r="S285">
        <f t="shared" si="967"/>
        <v>0.44737531652763435</v>
      </c>
      <c r="T285">
        <f t="shared" si="968"/>
        <v>4.4737531652763436E-4</v>
      </c>
    </row>
    <row r="286" spans="1:20" x14ac:dyDescent="0.25">
      <c r="A286" s="5">
        <v>44307</v>
      </c>
      <c r="B286">
        <v>2617.8000000000002</v>
      </c>
      <c r="C286">
        <v>2710</v>
      </c>
      <c r="D286">
        <v>2462.4299999999998</v>
      </c>
      <c r="E286">
        <v>2488.5</v>
      </c>
      <c r="F286">
        <v>5452.9244650000001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-0.78939289897806564</v>
      </c>
      <c r="Q286">
        <f t="shared" si="965"/>
        <v>-4304.4998513347673</v>
      </c>
      <c r="R286">
        <f t="shared" si="966"/>
        <v>49260.576867853786</v>
      </c>
      <c r="S286">
        <f t="shared" si="967"/>
        <v>0.49260576867853784</v>
      </c>
      <c r="T286">
        <f t="shared" si="968"/>
        <v>4.9260576867853783E-4</v>
      </c>
    </row>
    <row r="287" spans="1:20" x14ac:dyDescent="0.25">
      <c r="A287" s="5">
        <v>44306</v>
      </c>
      <c r="B287">
        <v>2283.0700000000002</v>
      </c>
      <c r="C287">
        <v>2731.39</v>
      </c>
      <c r="D287">
        <v>2120</v>
      </c>
      <c r="E287">
        <v>2613.69</v>
      </c>
      <c r="F287">
        <v>11344.909462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0.61497571108457827</v>
      </c>
      <c r="Q287">
        <f t="shared" si="965"/>
        <v>6976.8437635836099</v>
      </c>
      <c r="R287">
        <f t="shared" si="966"/>
        <v>53565.076719188553</v>
      </c>
      <c r="S287">
        <f t="shared" si="967"/>
        <v>0.53565076719188554</v>
      </c>
      <c r="T287">
        <f t="shared" si="968"/>
        <v>5.3565076719188558E-4</v>
      </c>
    </row>
    <row r="288" spans="1:20" x14ac:dyDescent="0.25">
      <c r="A288" s="5">
        <v>44305</v>
      </c>
      <c r="B288">
        <v>2573.4899999999998</v>
      </c>
      <c r="C288">
        <v>2722.11</v>
      </c>
      <c r="D288">
        <v>2248.5700000000002</v>
      </c>
      <c r="E288">
        <v>2279.59</v>
      </c>
      <c r="F288">
        <v>9057.0650420000002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-0.86898678041981681</v>
      </c>
      <c r="Q288">
        <f t="shared" si="965"/>
        <v>-7870.4697909004526</v>
      </c>
      <c r="R288">
        <f t="shared" si="966"/>
        <v>46588.232955604944</v>
      </c>
      <c r="S288">
        <f t="shared" si="967"/>
        <v>0.46588232955604947</v>
      </c>
      <c r="T288">
        <f t="shared" si="968"/>
        <v>4.6588232955604948E-4</v>
      </c>
    </row>
    <row r="289" spans="1:20" x14ac:dyDescent="0.25">
      <c r="A289" s="5">
        <v>44304</v>
      </c>
      <c r="B289">
        <v>3027.72</v>
      </c>
      <c r="C289">
        <v>3072.05</v>
      </c>
      <c r="D289">
        <v>2000</v>
      </c>
      <c r="E289">
        <v>2578.12</v>
      </c>
      <c r="F289">
        <v>17653.510232000001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7.8531784898092052E-2</v>
      </c>
      <c r="Q289">
        <f t="shared" si="965"/>
        <v>1386.3616682356912</v>
      </c>
      <c r="R289">
        <f t="shared" si="966"/>
        <v>54458.702746505398</v>
      </c>
      <c r="S289">
        <f t="shared" si="967"/>
        <v>0.54458702746505394</v>
      </c>
      <c r="T289">
        <f t="shared" si="968"/>
        <v>5.4458702746505391E-4</v>
      </c>
    </row>
    <row r="290" spans="1:20" x14ac:dyDescent="0.25">
      <c r="A290" s="5">
        <v>44303</v>
      </c>
      <c r="B290">
        <v>3032.45</v>
      </c>
      <c r="C290">
        <v>3320</v>
      </c>
      <c r="D290">
        <v>2940.29</v>
      </c>
      <c r="E290">
        <v>3031.21</v>
      </c>
      <c r="F290">
        <v>8082.5042450000001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-0.52110821416344022</v>
      </c>
      <c r="Q290">
        <f t="shared" si="965"/>
        <v>-4211.8593530803746</v>
      </c>
      <c r="R290">
        <f t="shared" si="966"/>
        <v>53072.34107826971</v>
      </c>
      <c r="S290">
        <f t="shared" si="967"/>
        <v>0.53072341078269714</v>
      </c>
      <c r="T290">
        <f t="shared" si="968"/>
        <v>5.3072341078269712E-4</v>
      </c>
    </row>
    <row r="291" spans="1:20" x14ac:dyDescent="0.25">
      <c r="A291" s="5">
        <v>44302</v>
      </c>
      <c r="B291">
        <v>3184.66</v>
      </c>
      <c r="C291">
        <v>3218.38</v>
      </c>
      <c r="D291">
        <v>2802.05</v>
      </c>
      <c r="E291">
        <v>3035.61</v>
      </c>
      <c r="F291">
        <v>5626.2271639999999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0.12199457161386394</v>
      </c>
      <c r="Q291">
        <f t="shared" si="965"/>
        <v>686.36917267446461</v>
      </c>
      <c r="R291">
        <f t="shared" si="966"/>
        <v>57284.200431350087</v>
      </c>
      <c r="S291">
        <f t="shared" si="967"/>
        <v>0.57284200431350085</v>
      </c>
      <c r="T291">
        <f t="shared" si="968"/>
        <v>5.7284200431350089E-4</v>
      </c>
    </row>
    <row r="292" spans="1:20" x14ac:dyDescent="0.25">
      <c r="A292" s="5">
        <v>44301</v>
      </c>
      <c r="B292">
        <v>2947.75</v>
      </c>
      <c r="C292">
        <v>3251.96</v>
      </c>
      <c r="D292">
        <v>2928.57</v>
      </c>
      <c r="E292">
        <v>3184.02</v>
      </c>
      <c r="F292">
        <v>6514.167676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0.57982621602399531</v>
      </c>
      <c r="Q292">
        <f t="shared" si="965"/>
        <v>3777.0851941209035</v>
      </c>
      <c r="R292">
        <f t="shared" si="966"/>
        <v>56597.831258675622</v>
      </c>
      <c r="S292">
        <f t="shared" si="967"/>
        <v>0.56597831258675624</v>
      </c>
      <c r="T292">
        <f t="shared" si="968"/>
        <v>5.6597831258675625E-4</v>
      </c>
    </row>
    <row r="293" spans="1:20" x14ac:dyDescent="0.25">
      <c r="A293" s="5">
        <v>44300</v>
      </c>
      <c r="B293">
        <v>2892.01</v>
      </c>
      <c r="C293">
        <v>2980</v>
      </c>
      <c r="D293">
        <v>2747.71</v>
      </c>
      <c r="E293">
        <v>2946.78</v>
      </c>
      <c r="F293">
        <v>5327.0048269999998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0.71397821688406904</v>
      </c>
      <c r="Q293">
        <f t="shared" si="965"/>
        <v>3803.3654077142883</v>
      </c>
      <c r="R293">
        <f t="shared" si="966"/>
        <v>52820.746064554718</v>
      </c>
      <c r="S293">
        <f t="shared" si="967"/>
        <v>0.52820746064554713</v>
      </c>
      <c r="T293">
        <f t="shared" si="968"/>
        <v>5.2820746064554714E-4</v>
      </c>
    </row>
    <row r="294" spans="1:20" x14ac:dyDescent="0.25">
      <c r="A294" s="5">
        <v>44299</v>
      </c>
      <c r="B294">
        <v>2825.01</v>
      </c>
      <c r="C294">
        <v>2959.06</v>
      </c>
      <c r="D294">
        <v>2721.08</v>
      </c>
      <c r="E294">
        <v>2892</v>
      </c>
      <c r="F294">
        <v>3516.2307300000002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0.43642322884276041</v>
      </c>
      <c r="Q294">
        <f t="shared" si="965"/>
        <v>1534.5647685427366</v>
      </c>
      <c r="R294">
        <f t="shared" si="966"/>
        <v>49017.380656840432</v>
      </c>
      <c r="S294">
        <f t="shared" si="967"/>
        <v>0.49017380656840431</v>
      </c>
      <c r="T294">
        <f t="shared" si="968"/>
        <v>4.9017380656840429E-4</v>
      </c>
    </row>
    <row r="295" spans="1:20" x14ac:dyDescent="0.25">
      <c r="A295" s="5">
        <v>44298</v>
      </c>
      <c r="B295">
        <v>2975.47</v>
      </c>
      <c r="C295">
        <v>2994.7</v>
      </c>
      <c r="D295">
        <v>2779.91</v>
      </c>
      <c r="E295">
        <v>2825</v>
      </c>
      <c r="F295">
        <v>3463.034259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-0.58014805158526794</v>
      </c>
      <c r="Q295">
        <f t="shared" si="965"/>
        <v>-2009.0725779318821</v>
      </c>
      <c r="R295">
        <f t="shared" si="966"/>
        <v>47482.815888297693</v>
      </c>
      <c r="S295">
        <f t="shared" si="967"/>
        <v>0.47482815888297691</v>
      </c>
      <c r="T295">
        <f t="shared" si="968"/>
        <v>4.7482815888297693E-4</v>
      </c>
    </row>
    <row r="296" spans="1:20" x14ac:dyDescent="0.25">
      <c r="A296" s="5">
        <v>44297</v>
      </c>
      <c r="B296">
        <v>2995.87</v>
      </c>
      <c r="C296">
        <v>3090.43</v>
      </c>
      <c r="D296">
        <v>2938.48</v>
      </c>
      <c r="E296">
        <v>2970.37</v>
      </c>
      <c r="F296">
        <v>5089.3044239999999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-0.5802566633761117</v>
      </c>
      <c r="Q296">
        <f t="shared" si="965"/>
        <v>-2953.1028039755242</v>
      </c>
      <c r="R296">
        <f t="shared" si="966"/>
        <v>49491.888466229575</v>
      </c>
      <c r="S296">
        <f t="shared" si="967"/>
        <v>0.49491888466229578</v>
      </c>
      <c r="T296">
        <f t="shared" si="968"/>
        <v>4.9491888466229579E-4</v>
      </c>
    </row>
    <row r="297" spans="1:20" x14ac:dyDescent="0.25">
      <c r="A297" s="5">
        <v>44296</v>
      </c>
      <c r="B297">
        <v>2967.98</v>
      </c>
      <c r="C297">
        <v>3125</v>
      </c>
      <c r="D297">
        <v>2905.92</v>
      </c>
      <c r="E297">
        <v>2992.28</v>
      </c>
      <c r="F297">
        <v>3235.490851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-0.21161219645791349</v>
      </c>
      <c r="Q297">
        <f t="shared" si="965"/>
        <v>-684.66932559959366</v>
      </c>
      <c r="R297">
        <f t="shared" si="966"/>
        <v>52444.991270205101</v>
      </c>
      <c r="S297">
        <f t="shared" si="967"/>
        <v>0.52444991270205099</v>
      </c>
      <c r="T297">
        <f t="shared" si="968"/>
        <v>5.2444991270205095E-4</v>
      </c>
    </row>
    <row r="298" spans="1:20" x14ac:dyDescent="0.25">
      <c r="A298" s="5">
        <v>44295</v>
      </c>
      <c r="B298">
        <v>3083.53</v>
      </c>
      <c r="C298">
        <v>3159.28</v>
      </c>
      <c r="D298">
        <v>2940.66</v>
      </c>
      <c r="E298">
        <v>2965.93</v>
      </c>
      <c r="F298">
        <v>3456.6494469999998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-0.76882261458238088</v>
      </c>
      <c r="Q298">
        <f t="shared" si="965"/>
        <v>-2657.5502655372807</v>
      </c>
      <c r="R298">
        <f t="shared" si="966"/>
        <v>53129.660595804693</v>
      </c>
      <c r="S298">
        <f t="shared" si="967"/>
        <v>0.53129660595804695</v>
      </c>
      <c r="T298">
        <f t="shared" si="968"/>
        <v>5.3129660595804698E-4</v>
      </c>
    </row>
    <row r="299" spans="1:20" x14ac:dyDescent="0.25">
      <c r="A299" s="5">
        <v>44294</v>
      </c>
      <c r="B299">
        <v>2997.38</v>
      </c>
      <c r="C299">
        <v>3295.9</v>
      </c>
      <c r="D299">
        <v>2967.01</v>
      </c>
      <c r="E299">
        <v>3083.51</v>
      </c>
      <c r="F299">
        <v>8650.0753220000006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-0.29155644744443404</v>
      </c>
      <c r="Q299">
        <f t="shared" si="965"/>
        <v>-2521.9852310090891</v>
      </c>
      <c r="R299">
        <f t="shared" si="966"/>
        <v>55787.210861341977</v>
      </c>
      <c r="S299">
        <f t="shared" si="967"/>
        <v>0.55787210861341974</v>
      </c>
      <c r="T299">
        <f t="shared" si="968"/>
        <v>5.5787210861341975E-4</v>
      </c>
    </row>
    <row r="300" spans="1:20" x14ac:dyDescent="0.25">
      <c r="A300" s="5">
        <v>44293</v>
      </c>
      <c r="B300">
        <v>2992.23</v>
      </c>
      <c r="C300">
        <v>3064.23</v>
      </c>
      <c r="D300">
        <v>2650.07</v>
      </c>
      <c r="E300">
        <v>3002.56</v>
      </c>
      <c r="F300">
        <v>9118.7865679999995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0.70219238941471851</v>
      </c>
      <c r="Q300">
        <f t="shared" si="965"/>
        <v>6403.14252874676</v>
      </c>
      <c r="R300">
        <f t="shared" si="966"/>
        <v>58309.196092351063</v>
      </c>
      <c r="S300">
        <f t="shared" si="967"/>
        <v>0.58309196092351068</v>
      </c>
      <c r="T300">
        <f t="shared" si="968"/>
        <v>5.8309196092351068E-4</v>
      </c>
    </row>
    <row r="301" spans="1:20" x14ac:dyDescent="0.25">
      <c r="A301" s="5">
        <v>44292</v>
      </c>
      <c r="B301">
        <v>2977.75</v>
      </c>
      <c r="C301">
        <v>3297</v>
      </c>
      <c r="D301">
        <v>2840.06</v>
      </c>
      <c r="E301">
        <v>2992.46</v>
      </c>
      <c r="F301">
        <v>8333.1943260000007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-0.33295399833676165</v>
      </c>
      <c r="Q301">
        <f t="shared" si="965"/>
        <v>-2774.5703697589161</v>
      </c>
      <c r="R301">
        <f t="shared" si="966"/>
        <v>51906.053563604306</v>
      </c>
      <c r="S301">
        <f t="shared" si="967"/>
        <v>0.51906053563604304</v>
      </c>
      <c r="T301">
        <f t="shared" si="968"/>
        <v>5.1906053563604301E-4</v>
      </c>
    </row>
    <row r="302" spans="1:20" x14ac:dyDescent="0.25">
      <c r="A302" s="5">
        <v>44291</v>
      </c>
      <c r="B302">
        <v>2721.32</v>
      </c>
      <c r="C302">
        <v>3079.98</v>
      </c>
      <c r="D302">
        <v>2681.7</v>
      </c>
      <c r="E302">
        <v>2976.63</v>
      </c>
      <c r="F302">
        <v>6650.0881209999998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0.48101837902982897</v>
      </c>
      <c r="Q302">
        <f t="shared" si="965"/>
        <v>3198.8146083689412</v>
      </c>
      <c r="R302">
        <f t="shared" si="966"/>
        <v>54680.623933363226</v>
      </c>
      <c r="S302">
        <f t="shared" si="967"/>
        <v>0.54680623933363226</v>
      </c>
      <c r="T302">
        <f t="shared" si="968"/>
        <v>5.4680623933363228E-4</v>
      </c>
    </row>
    <row r="303" spans="1:20" x14ac:dyDescent="0.25">
      <c r="A303" s="5">
        <v>44290</v>
      </c>
      <c r="B303">
        <v>2546.96</v>
      </c>
      <c r="C303">
        <v>2742.72</v>
      </c>
      <c r="D303">
        <v>2511.7800000000002</v>
      </c>
      <c r="E303">
        <v>2721.47</v>
      </c>
      <c r="F303">
        <v>3472.4631290000002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0.81596951589157329</v>
      </c>
      <c r="Q303">
        <f t="shared" si="965"/>
        <v>2833.4240583214678</v>
      </c>
      <c r="R303">
        <f t="shared" si="966"/>
        <v>51481.809324994283</v>
      </c>
      <c r="S303">
        <f t="shared" si="967"/>
        <v>0.51481809324994288</v>
      </c>
      <c r="T303">
        <f t="shared" si="968"/>
        <v>5.1481809324994293E-4</v>
      </c>
    </row>
    <row r="304" spans="1:20" x14ac:dyDescent="0.25">
      <c r="A304" s="5">
        <v>44289</v>
      </c>
      <c r="B304">
        <v>2765.32</v>
      </c>
      <c r="C304">
        <v>2936.02</v>
      </c>
      <c r="D304">
        <v>2517</v>
      </c>
      <c r="E304">
        <v>2548.5100000000002</v>
      </c>
      <c r="F304">
        <v>6673.5848880000003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-0.84960145100472428</v>
      </c>
      <c r="Q304">
        <f t="shared" si="965"/>
        <v>-5669.8874042480011</v>
      </c>
      <c r="R304">
        <f t="shared" si="966"/>
        <v>48648.385266672813</v>
      </c>
      <c r="S304">
        <f t="shared" si="967"/>
        <v>0.48648385266672811</v>
      </c>
      <c r="T304">
        <f t="shared" si="968"/>
        <v>4.8648385266672809E-4</v>
      </c>
    </row>
    <row r="305" spans="1:20" x14ac:dyDescent="0.25">
      <c r="A305" s="5">
        <v>44288</v>
      </c>
      <c r="B305">
        <v>2657.46</v>
      </c>
      <c r="C305">
        <v>2870</v>
      </c>
      <c r="D305">
        <v>2600</v>
      </c>
      <c r="E305">
        <v>2762.34</v>
      </c>
      <c r="F305">
        <v>6972.9591090000004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0.2025185185185196</v>
      </c>
      <c r="Q305">
        <f t="shared" si="965"/>
        <v>1412.1533484448964</v>
      </c>
      <c r="R305">
        <f t="shared" si="966"/>
        <v>54318.272670920815</v>
      </c>
      <c r="S305">
        <f t="shared" si="967"/>
        <v>0.5431827267092082</v>
      </c>
      <c r="T305">
        <f t="shared" si="968"/>
        <v>5.4318272670920824E-4</v>
      </c>
    </row>
    <row r="306" spans="1:20" x14ac:dyDescent="0.25">
      <c r="A306" s="5">
        <v>44287</v>
      </c>
      <c r="B306">
        <v>2375.91</v>
      </c>
      <c r="C306">
        <v>2749.54</v>
      </c>
      <c r="D306">
        <v>2337.79</v>
      </c>
      <c r="E306">
        <v>2655.63</v>
      </c>
      <c r="F306">
        <v>7633.2113090000003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0.54384942319368623</v>
      </c>
      <c r="Q306">
        <f t="shared" si="965"/>
        <v>4151.3175675151724</v>
      </c>
      <c r="R306">
        <f t="shared" si="966"/>
        <v>52906.119322475919</v>
      </c>
      <c r="S306">
        <f t="shared" si="967"/>
        <v>0.5290611932247592</v>
      </c>
      <c r="T306">
        <f t="shared" si="968"/>
        <v>5.2906119322475916E-4</v>
      </c>
    </row>
    <row r="307" spans="1:20" x14ac:dyDescent="0.25">
      <c r="A307" s="5">
        <v>44286</v>
      </c>
      <c r="B307">
        <v>2388.66</v>
      </c>
      <c r="C307">
        <v>2439.58</v>
      </c>
      <c r="D307">
        <v>2226.61</v>
      </c>
      <c r="E307">
        <v>2374.52</v>
      </c>
      <c r="F307">
        <v>5572.4120940000003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0.38902192797107565</v>
      </c>
      <c r="Q307">
        <f t="shared" si="965"/>
        <v>2167.7904962572188</v>
      </c>
      <c r="R307">
        <f t="shared" si="966"/>
        <v>48754.801754960747</v>
      </c>
      <c r="S307">
        <f t="shared" si="967"/>
        <v>0.48754801754960747</v>
      </c>
      <c r="T307">
        <f t="shared" si="968"/>
        <v>4.8754801754960747E-4</v>
      </c>
    </row>
    <row r="308" spans="1:20" x14ac:dyDescent="0.25">
      <c r="A308" s="5">
        <v>44285</v>
      </c>
      <c r="B308">
        <v>2339.7399999999998</v>
      </c>
      <c r="C308">
        <v>2429.52</v>
      </c>
      <c r="D308">
        <v>2321.34</v>
      </c>
      <c r="E308">
        <v>2386.17</v>
      </c>
      <c r="F308">
        <v>3318.2223130000002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0.19855795895729386</v>
      </c>
      <c r="Q308">
        <f t="shared" si="965"/>
        <v>658.85944983583079</v>
      </c>
      <c r="R308">
        <f t="shared" si="966"/>
        <v>46587.011258703526</v>
      </c>
      <c r="S308">
        <f t="shared" si="967"/>
        <v>0.46587011258703526</v>
      </c>
      <c r="T308">
        <f t="shared" si="968"/>
        <v>4.6587011258703525E-4</v>
      </c>
    </row>
    <row r="309" spans="1:20" x14ac:dyDescent="0.25">
      <c r="A309" s="5">
        <v>44284</v>
      </c>
      <c r="B309">
        <v>2201.87</v>
      </c>
      <c r="C309">
        <v>2380</v>
      </c>
      <c r="D309">
        <v>2188</v>
      </c>
      <c r="E309">
        <v>2339.6799999999998</v>
      </c>
      <c r="F309">
        <v>3578.4516050000002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0.57999999999999829</v>
      </c>
      <c r="Q309">
        <f t="shared" si="965"/>
        <v>2075.501930899994</v>
      </c>
      <c r="R309">
        <f t="shared" si="966"/>
        <v>45928.151808867697</v>
      </c>
      <c r="S309">
        <f t="shared" si="967"/>
        <v>0.45928151808867695</v>
      </c>
      <c r="T309">
        <f t="shared" si="968"/>
        <v>4.5928151808867696E-4</v>
      </c>
    </row>
    <row r="310" spans="1:20" x14ac:dyDescent="0.25">
      <c r="A310" s="5">
        <v>44283</v>
      </c>
      <c r="B310">
        <v>2201.92</v>
      </c>
      <c r="C310">
        <v>2285.33</v>
      </c>
      <c r="D310">
        <v>2159.8000000000002</v>
      </c>
      <c r="E310">
        <v>2202.1999999999998</v>
      </c>
      <c r="F310">
        <v>3162.031238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-0.32446427148889156</v>
      </c>
      <c r="Q310">
        <f t="shared" si="965"/>
        <v>-1025.9661620627878</v>
      </c>
      <c r="R310">
        <f t="shared" si="966"/>
        <v>43852.649877967706</v>
      </c>
      <c r="S310">
        <f t="shared" si="967"/>
        <v>0.43852649877967703</v>
      </c>
      <c r="T310">
        <f t="shared" si="968"/>
        <v>4.3852649877967702E-4</v>
      </c>
    </row>
    <row r="311" spans="1:20" x14ac:dyDescent="0.25">
      <c r="A311" s="5">
        <v>44282</v>
      </c>
      <c r="B311">
        <v>2166.2399999999998</v>
      </c>
      <c r="C311">
        <v>2272.4699999999998</v>
      </c>
      <c r="D311">
        <v>2153.75</v>
      </c>
      <c r="E311">
        <v>2202.54</v>
      </c>
      <c r="F311">
        <v>3521.50198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-0.17806603773584828</v>
      </c>
      <c r="Q311">
        <f t="shared" si="965"/>
        <v>-627.05990445754446</v>
      </c>
      <c r="R311">
        <f t="shared" si="966"/>
        <v>44878.616040030494</v>
      </c>
      <c r="S311">
        <f t="shared" si="967"/>
        <v>0.44878616040030495</v>
      </c>
      <c r="T311">
        <f t="shared" si="968"/>
        <v>4.4878616040030497E-4</v>
      </c>
    </row>
    <row r="312" spans="1:20" x14ac:dyDescent="0.25">
      <c r="A312" s="5">
        <v>44281</v>
      </c>
      <c r="B312">
        <v>2035.54</v>
      </c>
      <c r="C312">
        <v>2188.8000000000002</v>
      </c>
      <c r="D312">
        <v>2031.78</v>
      </c>
      <c r="E312">
        <v>2165.7399999999998</v>
      </c>
      <c r="F312">
        <v>2235.801927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0.70627945484651167</v>
      </c>
      <c r="Q312">
        <f t="shared" si="965"/>
        <v>1579.1009661463402</v>
      </c>
      <c r="R312">
        <f t="shared" si="966"/>
        <v>45505.675944488037</v>
      </c>
      <c r="S312">
        <f t="shared" si="967"/>
        <v>0.45505675944488039</v>
      </c>
      <c r="T312">
        <f t="shared" si="968"/>
        <v>4.5505675944488037E-4</v>
      </c>
    </row>
    <row r="313" spans="1:20" x14ac:dyDescent="0.25">
      <c r="A313" s="5">
        <v>44280</v>
      </c>
      <c r="B313">
        <v>2047.95</v>
      </c>
      <c r="C313">
        <v>2135.84</v>
      </c>
      <c r="D313">
        <v>1971.5</v>
      </c>
      <c r="E313">
        <v>2035.56</v>
      </c>
      <c r="F313">
        <v>4372.3818540000002</v>
      </c>
      <c r="G313">
        <v>0</v>
      </c>
      <c r="L313" t="s">
        <v>8</v>
      </c>
      <c r="M313" t="s">
        <v>7</v>
      </c>
      <c r="N313" t="s">
        <v>8</v>
      </c>
      <c r="P313">
        <f t="shared" si="964"/>
        <v>-0.22039673846902899</v>
      </c>
      <c r="Q313">
        <f t="shared" si="965"/>
        <v>-963.65869996276615</v>
      </c>
      <c r="R313">
        <f t="shared" si="966"/>
        <v>43926.574978341698</v>
      </c>
      <c r="S313">
        <f t="shared" si="967"/>
        <v>0.43926574978341698</v>
      </c>
      <c r="T313">
        <f t="shared" si="968"/>
        <v>4.3926574978341698E-4</v>
      </c>
    </row>
    <row r="314" spans="1:20" x14ac:dyDescent="0.25">
      <c r="A314" s="5">
        <v>44279</v>
      </c>
      <c r="B314">
        <v>2236.19</v>
      </c>
      <c r="C314">
        <v>2338.48</v>
      </c>
      <c r="D314">
        <v>2000</v>
      </c>
      <c r="E314">
        <v>2053.6</v>
      </c>
      <c r="F314">
        <v>3560.5080250000001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-0.68329000236350801</v>
      </c>
      <c r="Q314">
        <f t="shared" si="965"/>
        <v>-2432.8595368175393</v>
      </c>
      <c r="R314">
        <f t="shared" si="966"/>
        <v>44890.233678304467</v>
      </c>
      <c r="S314">
        <f t="shared" si="967"/>
        <v>0.44890233678304464</v>
      </c>
      <c r="T314">
        <f t="shared" si="968"/>
        <v>4.4890233678304464E-4</v>
      </c>
    </row>
    <row r="315" spans="1:20" x14ac:dyDescent="0.25">
      <c r="A315" s="5">
        <v>44278</v>
      </c>
      <c r="B315">
        <v>2222.85</v>
      </c>
      <c r="C315">
        <v>2340</v>
      </c>
      <c r="D315">
        <v>2200</v>
      </c>
      <c r="E315">
        <v>2236.1999999999998</v>
      </c>
      <c r="F315">
        <v>2882.6314729999999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-0.48285714285714548</v>
      </c>
      <c r="Q315">
        <f t="shared" si="965"/>
        <v>-1391.8991969628646</v>
      </c>
      <c r="R315">
        <f t="shared" si="966"/>
        <v>47323.093215122004</v>
      </c>
      <c r="S315">
        <f t="shared" si="967"/>
        <v>0.47323093215122003</v>
      </c>
      <c r="T315">
        <f t="shared" si="968"/>
        <v>4.7323093215122003E-4</v>
      </c>
    </row>
    <row r="316" spans="1:20" x14ac:dyDescent="0.25">
      <c r="A316" s="5">
        <v>44277</v>
      </c>
      <c r="B316">
        <v>2316.85</v>
      </c>
      <c r="C316">
        <v>2420</v>
      </c>
      <c r="D316">
        <v>2186.02</v>
      </c>
      <c r="E316">
        <v>2221.94</v>
      </c>
      <c r="F316">
        <v>3710.2602400000001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-0.69296521070176875</v>
      </c>
      <c r="Q316">
        <f t="shared" si="965"/>
        <v>-2571.0812689699951</v>
      </c>
      <c r="R316">
        <f t="shared" si="966"/>
        <v>48714.992412084866</v>
      </c>
      <c r="S316">
        <f t="shared" si="967"/>
        <v>0.48714992412084868</v>
      </c>
      <c r="T316">
        <f t="shared" si="968"/>
        <v>4.8714992412084867E-4</v>
      </c>
    </row>
    <row r="317" spans="1:20" x14ac:dyDescent="0.25">
      <c r="A317" s="5">
        <v>44276</v>
      </c>
      <c r="B317">
        <v>2373.8000000000002</v>
      </c>
      <c r="C317">
        <v>2400.62</v>
      </c>
      <c r="D317">
        <v>2269.35</v>
      </c>
      <c r="E317">
        <v>2317.5</v>
      </c>
      <c r="F317">
        <v>2685.2871570000002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-0.26639750133312873</v>
      </c>
      <c r="Q317">
        <f t="shared" si="965"/>
        <v>-715.35378898674105</v>
      </c>
      <c r="R317">
        <f t="shared" si="966"/>
        <v>51286.073681054862</v>
      </c>
      <c r="S317">
        <f t="shared" si="967"/>
        <v>0.51286073681054867</v>
      </c>
      <c r="T317">
        <f t="shared" si="968"/>
        <v>5.1286073681054863E-4</v>
      </c>
    </row>
    <row r="318" spans="1:20" x14ac:dyDescent="0.25">
      <c r="A318" s="5">
        <v>44275</v>
      </c>
      <c r="B318">
        <v>2344.35</v>
      </c>
      <c r="C318">
        <v>2550</v>
      </c>
      <c r="D318">
        <v>2337.64</v>
      </c>
      <c r="E318">
        <v>2368.08</v>
      </c>
      <c r="F318">
        <v>5109.8039920000001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-0.71331700885289095</v>
      </c>
      <c r="Q318">
        <f t="shared" si="965"/>
        <v>-3644.9100993980014</v>
      </c>
      <c r="R318">
        <f t="shared" si="966"/>
        <v>52001.427470041606</v>
      </c>
      <c r="S318">
        <f t="shared" si="967"/>
        <v>0.52001427470041606</v>
      </c>
      <c r="T318">
        <f t="shared" si="968"/>
        <v>5.2001427470041602E-4</v>
      </c>
    </row>
    <row r="319" spans="1:20" x14ac:dyDescent="0.25">
      <c r="A319" s="5">
        <v>44274</v>
      </c>
      <c r="B319">
        <v>2321.25</v>
      </c>
      <c r="C319">
        <v>2428.58</v>
      </c>
      <c r="D319">
        <v>2232</v>
      </c>
      <c r="E319">
        <v>2348.61</v>
      </c>
      <c r="F319">
        <v>3679.2324130000002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0.18638722148743689</v>
      </c>
      <c r="Q319">
        <f t="shared" si="965"/>
        <v>685.76190666558796</v>
      </c>
      <c r="R319">
        <f t="shared" si="966"/>
        <v>55646.337569439609</v>
      </c>
      <c r="S319">
        <f t="shared" si="967"/>
        <v>0.55646337569439608</v>
      </c>
      <c r="T319">
        <f t="shared" si="968"/>
        <v>5.5646337569439605E-4</v>
      </c>
    </row>
    <row r="320" spans="1:20" x14ac:dyDescent="0.25">
      <c r="A320" s="5">
        <v>44273</v>
      </c>
      <c r="B320">
        <v>2287.65</v>
      </c>
      <c r="C320">
        <v>2432.52</v>
      </c>
      <c r="D320">
        <v>2256.2199999999998</v>
      </c>
      <c r="E320">
        <v>2319.4699999999998</v>
      </c>
      <c r="F320">
        <v>5618.3386090000004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-0.28247305728871314</v>
      </c>
      <c r="Q320">
        <f t="shared" si="965"/>
        <v>-1587.029283767446</v>
      </c>
      <c r="R320">
        <f t="shared" si="966"/>
        <v>54960.575662774019</v>
      </c>
      <c r="S320">
        <f t="shared" si="967"/>
        <v>0.54960575662774014</v>
      </c>
      <c r="T320">
        <f t="shared" si="968"/>
        <v>5.4960575662774016E-4</v>
      </c>
    </row>
    <row r="321" spans="1:20" x14ac:dyDescent="0.25">
      <c r="A321" s="5">
        <v>44272</v>
      </c>
      <c r="B321">
        <v>2249.15</v>
      </c>
      <c r="C321">
        <v>2337.52</v>
      </c>
      <c r="D321">
        <v>2172.4499999999998</v>
      </c>
      <c r="E321">
        <v>2287.63</v>
      </c>
      <c r="F321">
        <v>4278.2893640000002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0.39552916944326866</v>
      </c>
      <c r="Q321">
        <f t="shared" si="965"/>
        <v>1692.1882387808903</v>
      </c>
      <c r="R321">
        <f t="shared" si="966"/>
        <v>56547.604946541469</v>
      </c>
      <c r="S321">
        <f t="shared" si="967"/>
        <v>0.56547604946541474</v>
      </c>
      <c r="T321">
        <f t="shared" si="968"/>
        <v>5.6547604946541471E-4</v>
      </c>
    </row>
    <row r="322" spans="1:20" x14ac:dyDescent="0.25">
      <c r="A322" s="5">
        <v>44271</v>
      </c>
      <c r="B322">
        <v>2115.0300000000002</v>
      </c>
      <c r="C322">
        <v>2287.0100000000002</v>
      </c>
      <c r="D322">
        <v>2040.89</v>
      </c>
      <c r="E322">
        <v>2248</v>
      </c>
      <c r="F322">
        <v>4270.7859669999998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0.68300016252234519</v>
      </c>
      <c r="Q322">
        <f t="shared" si="965"/>
        <v>2916.9475095591511</v>
      </c>
      <c r="R322">
        <f t="shared" si="966"/>
        <v>54855.416707760582</v>
      </c>
      <c r="S322">
        <f t="shared" si="967"/>
        <v>0.54855416707760585</v>
      </c>
      <c r="T322">
        <f t="shared" si="968"/>
        <v>5.485541670776058E-4</v>
      </c>
    </row>
    <row r="323" spans="1:20" x14ac:dyDescent="0.25">
      <c r="A323" s="5">
        <v>44270</v>
      </c>
      <c r="B323">
        <v>2142.17</v>
      </c>
      <c r="C323">
        <v>2241.41</v>
      </c>
      <c r="D323">
        <v>2031.11</v>
      </c>
      <c r="E323">
        <v>2116.96</v>
      </c>
      <c r="F323">
        <v>4657.7782950000001</v>
      </c>
      <c r="G323">
        <v>0</v>
      </c>
      <c r="L323" t="s">
        <v>7</v>
      </c>
      <c r="M323" t="s">
        <v>8</v>
      </c>
      <c r="N323" t="s">
        <v>7</v>
      </c>
      <c r="P323">
        <f t="shared" si="964"/>
        <v>-0.18354731336186253</v>
      </c>
      <c r="Q323">
        <f t="shared" si="965"/>
        <v>-854.92269228244675</v>
      </c>
      <c r="R323">
        <f t="shared" si="966"/>
        <v>51938.469198201434</v>
      </c>
      <c r="S323">
        <f t="shared" si="967"/>
        <v>0.51938469198201431</v>
      </c>
      <c r="T323">
        <f t="shared" si="968"/>
        <v>5.1938469198201435E-4</v>
      </c>
    </row>
    <row r="324" spans="1:20" x14ac:dyDescent="0.25">
      <c r="A324" s="5">
        <v>44269</v>
      </c>
      <c r="B324">
        <v>2333.9899999999998</v>
      </c>
      <c r="C324">
        <v>2376.6</v>
      </c>
      <c r="D324">
        <v>2138</v>
      </c>
      <c r="E324">
        <v>2138.02</v>
      </c>
      <c r="F324">
        <v>3856.495265</v>
      </c>
      <c r="G324">
        <v>0</v>
      </c>
      <c r="L324" t="s">
        <v>7</v>
      </c>
      <c r="M324" t="s">
        <v>8</v>
      </c>
      <c r="N324" t="s">
        <v>7</v>
      </c>
      <c r="P324">
        <f t="shared" si="964"/>
        <v>-0.99983235540653825</v>
      </c>
      <c r="Q324">
        <f t="shared" si="965"/>
        <v>-3855.8487444191119</v>
      </c>
      <c r="R324">
        <f t="shared" si="966"/>
        <v>52793.391890483879</v>
      </c>
      <c r="S324">
        <f t="shared" si="967"/>
        <v>0.52793391890483876</v>
      </c>
      <c r="T324">
        <f t="shared" si="968"/>
        <v>5.2793391890483879E-4</v>
      </c>
    </row>
    <row r="325" spans="1:20" x14ac:dyDescent="0.25">
      <c r="A325" s="5">
        <v>44268</v>
      </c>
      <c r="B325">
        <v>2100.79</v>
      </c>
      <c r="C325">
        <v>2388.9899999999998</v>
      </c>
      <c r="D325">
        <v>2017.11</v>
      </c>
      <c r="E325">
        <v>2333.9899999999998</v>
      </c>
      <c r="F325">
        <v>4817.1944219999996</v>
      </c>
      <c r="G325">
        <v>0</v>
      </c>
      <c r="L325" t="s">
        <v>8</v>
      </c>
      <c r="M325" t="s">
        <v>7</v>
      </c>
      <c r="N325" t="s">
        <v>7</v>
      </c>
      <c r="P325">
        <f t="shared" si="964"/>
        <v>0.70420565773905552</v>
      </c>
      <c r="Q325">
        <f t="shared" si="965"/>
        <v>3392.2955664014189</v>
      </c>
      <c r="R325">
        <f t="shared" si="966"/>
        <v>56649.240634902992</v>
      </c>
      <c r="S325">
        <f t="shared" si="967"/>
        <v>0.56649240634902986</v>
      </c>
      <c r="T325">
        <f t="shared" si="968"/>
        <v>5.6649240634902987E-4</v>
      </c>
    </row>
    <row r="326" spans="1:20" x14ac:dyDescent="0.25">
      <c r="A326" s="5">
        <v>44267</v>
      </c>
      <c r="B326">
        <v>2223.4699999999998</v>
      </c>
      <c r="C326">
        <v>2265.73</v>
      </c>
      <c r="D326">
        <v>2033.5</v>
      </c>
      <c r="E326">
        <v>2099.84</v>
      </c>
      <c r="F326">
        <v>4768.2592500000001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-0.42866985316281153</v>
      </c>
      <c r="Q326">
        <f t="shared" ref="Q326:Q389" si="970">F326*P326</f>
        <v>-2044.0089925397178</v>
      </c>
      <c r="R326">
        <f t="shared" ref="R326:R389" si="971">R327+Q326</f>
        <v>53256.945068501576</v>
      </c>
      <c r="S326">
        <f t="shared" ref="S326:S389" si="972">R326/100000</f>
        <v>0.53256945068501571</v>
      </c>
      <c r="T326">
        <f t="shared" ref="T326:T389" si="973">S326/1000</f>
        <v>5.3256945068501566E-4</v>
      </c>
    </row>
    <row r="327" spans="1:20" x14ac:dyDescent="0.25">
      <c r="A327" s="5">
        <v>44266</v>
      </c>
      <c r="B327">
        <v>2268.73</v>
      </c>
      <c r="C327">
        <v>2282.54</v>
      </c>
      <c r="D327">
        <v>2119.4299999999998</v>
      </c>
      <c r="E327">
        <v>2222.0500000000002</v>
      </c>
      <c r="F327">
        <v>6074.6336339999998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0.25829195021764778</v>
      </c>
      <c r="Q327">
        <f t="shared" si="970"/>
        <v>1569.0289681835768</v>
      </c>
      <c r="R327">
        <f t="shared" si="971"/>
        <v>55300.954061041295</v>
      </c>
      <c r="S327">
        <f t="shared" si="972"/>
        <v>0.55300954061041296</v>
      </c>
      <c r="T327">
        <f t="shared" si="973"/>
        <v>5.5300954061041291E-4</v>
      </c>
    </row>
    <row r="328" spans="1:20" x14ac:dyDescent="0.25">
      <c r="A328" s="5">
        <v>44265</v>
      </c>
      <c r="B328">
        <v>2410.92</v>
      </c>
      <c r="C328">
        <v>2421.02</v>
      </c>
      <c r="D328">
        <v>2223.42</v>
      </c>
      <c r="E328">
        <v>2267.5100000000002</v>
      </c>
      <c r="F328">
        <v>4660.6780520000002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-0.55374493927125334</v>
      </c>
      <c r="Q328">
        <f t="shared" si="970"/>
        <v>-2580.8268848676034</v>
      </c>
      <c r="R328">
        <f t="shared" si="971"/>
        <v>53731.925092857717</v>
      </c>
      <c r="S328">
        <f t="shared" si="972"/>
        <v>0.53731925092857713</v>
      </c>
      <c r="T328">
        <f t="shared" si="973"/>
        <v>5.3731925092857715E-4</v>
      </c>
    </row>
    <row r="329" spans="1:20" x14ac:dyDescent="0.25">
      <c r="A329" s="5">
        <v>44264</v>
      </c>
      <c r="B329">
        <v>2356.37</v>
      </c>
      <c r="C329">
        <v>2450</v>
      </c>
      <c r="D329">
        <v>2271.02</v>
      </c>
      <c r="E329">
        <v>2411.4299999999998</v>
      </c>
      <c r="F329">
        <v>6453.112376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0.56900212314224874</v>
      </c>
      <c r="Q329">
        <f t="shared" si="970"/>
        <v>3671.8346428195214</v>
      </c>
      <c r="R329">
        <f t="shared" si="971"/>
        <v>56312.751977725318</v>
      </c>
      <c r="S329">
        <f t="shared" si="972"/>
        <v>0.56312751977725317</v>
      </c>
      <c r="T329">
        <f t="shared" si="973"/>
        <v>5.6312751977725321E-4</v>
      </c>
    </row>
    <row r="330" spans="1:20" x14ac:dyDescent="0.25">
      <c r="A330" s="5">
        <v>44263</v>
      </c>
      <c r="B330">
        <v>2200.42</v>
      </c>
      <c r="C330">
        <v>2365.5100000000002</v>
      </c>
      <c r="D330">
        <v>2198.94</v>
      </c>
      <c r="E330">
        <v>2356.37</v>
      </c>
      <c r="F330">
        <v>6084.0277770000002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0.89025634868223191</v>
      </c>
      <c r="Q330">
        <f t="shared" si="970"/>
        <v>5416.3443540332964</v>
      </c>
      <c r="R330">
        <f t="shared" si="971"/>
        <v>52640.917334905796</v>
      </c>
      <c r="S330">
        <f t="shared" si="972"/>
        <v>0.52640917334905801</v>
      </c>
      <c r="T330">
        <f t="shared" si="973"/>
        <v>5.2640917334905802E-4</v>
      </c>
    </row>
    <row r="331" spans="1:20" x14ac:dyDescent="0.25">
      <c r="A331" s="5">
        <v>44262</v>
      </c>
      <c r="B331">
        <v>2055</v>
      </c>
      <c r="C331">
        <v>2215.4899999999998</v>
      </c>
      <c r="D331">
        <v>2045</v>
      </c>
      <c r="E331">
        <v>2202.8200000000002</v>
      </c>
      <c r="F331">
        <v>4691.3539270000001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0.85136958179365785</v>
      </c>
      <c r="Q331">
        <f t="shared" si="970"/>
        <v>3994.0760308760246</v>
      </c>
      <c r="R331">
        <f t="shared" si="971"/>
        <v>47224.572980872501</v>
      </c>
      <c r="S331">
        <f t="shared" si="972"/>
        <v>0.47224572980872503</v>
      </c>
      <c r="T331">
        <f t="shared" si="973"/>
        <v>4.7224572980872505E-4</v>
      </c>
    </row>
    <row r="332" spans="1:20" x14ac:dyDescent="0.25">
      <c r="A332" s="5">
        <v>44261</v>
      </c>
      <c r="B332">
        <v>2028.73</v>
      </c>
      <c r="C332">
        <v>2089.13</v>
      </c>
      <c r="D332">
        <v>1980.02</v>
      </c>
      <c r="E332">
        <v>2055.15</v>
      </c>
      <c r="F332">
        <v>2729.3668299999999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0.37714233342498438</v>
      </c>
      <c r="Q332">
        <f t="shared" si="970"/>
        <v>1029.3597750389526</v>
      </c>
      <c r="R332">
        <f t="shared" si="971"/>
        <v>43230.496949996479</v>
      </c>
      <c r="S332">
        <f t="shared" si="972"/>
        <v>0.43230496949996478</v>
      </c>
      <c r="T332">
        <f t="shared" si="973"/>
        <v>4.3230496949996479E-4</v>
      </c>
    </row>
    <row r="333" spans="1:20" x14ac:dyDescent="0.25">
      <c r="A333" s="5">
        <v>44260</v>
      </c>
      <c r="B333">
        <v>2074.4499999999998</v>
      </c>
      <c r="C333">
        <v>2076.69</v>
      </c>
      <c r="D333">
        <v>1950</v>
      </c>
      <c r="E333">
        <v>2022.73</v>
      </c>
      <c r="F333">
        <v>3154.3832320000001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0.14815691846238829</v>
      </c>
      <c r="Q333">
        <f t="shared" si="970"/>
        <v>467.34369930254888</v>
      </c>
      <c r="R333">
        <f t="shared" si="971"/>
        <v>42201.137174957526</v>
      </c>
      <c r="S333">
        <f t="shared" si="972"/>
        <v>0.42201137174957526</v>
      </c>
      <c r="T333">
        <f t="shared" si="973"/>
        <v>4.2201137174957526E-4</v>
      </c>
    </row>
    <row r="334" spans="1:20" x14ac:dyDescent="0.25">
      <c r="A334" s="5">
        <v>44259</v>
      </c>
      <c r="B334">
        <v>2189.79</v>
      </c>
      <c r="C334">
        <v>2264.54</v>
      </c>
      <c r="D334">
        <v>2040.29</v>
      </c>
      <c r="E334">
        <v>2073.39</v>
      </c>
      <c r="F334">
        <v>4768.2360959999996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-0.70479375696767077</v>
      </c>
      <c r="Q334">
        <f t="shared" si="970"/>
        <v>-3360.623032208699</v>
      </c>
      <c r="R334">
        <f t="shared" si="971"/>
        <v>41733.79347565498</v>
      </c>
      <c r="S334">
        <f t="shared" si="972"/>
        <v>0.41733793475654979</v>
      </c>
      <c r="T334">
        <f t="shared" si="973"/>
        <v>4.1733793475654977E-4</v>
      </c>
    </row>
    <row r="335" spans="1:20" x14ac:dyDescent="0.25">
      <c r="A335" s="5">
        <v>44258</v>
      </c>
      <c r="B335">
        <v>2107.65</v>
      </c>
      <c r="C335">
        <v>2266</v>
      </c>
      <c r="D335">
        <v>2086.89</v>
      </c>
      <c r="E335">
        <v>2189</v>
      </c>
      <c r="F335">
        <v>5188.6280729999999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0.14019317737703149</v>
      </c>
      <c r="Q335">
        <f t="shared" si="970"/>
        <v>727.41025578153403</v>
      </c>
      <c r="R335">
        <f t="shared" si="971"/>
        <v>45094.41650786368</v>
      </c>
      <c r="S335">
        <f t="shared" si="972"/>
        <v>0.45094416507863677</v>
      </c>
      <c r="T335">
        <f t="shared" si="973"/>
        <v>4.5094416507863679E-4</v>
      </c>
    </row>
    <row r="336" spans="1:20" x14ac:dyDescent="0.25">
      <c r="A336" s="5">
        <v>44257</v>
      </c>
      <c r="B336">
        <v>2167.5100000000002</v>
      </c>
      <c r="C336">
        <v>2220</v>
      </c>
      <c r="D336">
        <v>2016.8</v>
      </c>
      <c r="E336">
        <v>2107.58</v>
      </c>
      <c r="F336">
        <v>6498.4988219999996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-0.10649606299212645</v>
      </c>
      <c r="Q336">
        <f t="shared" si="970"/>
        <v>-692.06453990197156</v>
      </c>
      <c r="R336">
        <f t="shared" si="971"/>
        <v>44367.006252082145</v>
      </c>
      <c r="S336">
        <f t="shared" si="972"/>
        <v>0.44367006252082147</v>
      </c>
      <c r="T336">
        <f t="shared" si="973"/>
        <v>4.4367006252082149E-4</v>
      </c>
    </row>
    <row r="337" spans="1:20" x14ac:dyDescent="0.25">
      <c r="A337" s="5">
        <v>44256</v>
      </c>
      <c r="B337">
        <v>1916.9</v>
      </c>
      <c r="C337">
        <v>2170.59</v>
      </c>
      <c r="D337">
        <v>1911.17</v>
      </c>
      <c r="E337">
        <v>2169.71</v>
      </c>
      <c r="F337">
        <v>16300.287609000001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0.99321563487780351</v>
      </c>
      <c r="Q337">
        <f t="shared" si="970"/>
        <v>16189.700506263729</v>
      </c>
      <c r="R337">
        <f t="shared" si="971"/>
        <v>45059.070791984115</v>
      </c>
      <c r="S337">
        <f t="shared" si="972"/>
        <v>0.45059070791984113</v>
      </c>
      <c r="T337">
        <f t="shared" si="973"/>
        <v>4.5059070791984114E-4</v>
      </c>
    </row>
    <row r="338" spans="1:20" x14ac:dyDescent="0.25">
      <c r="A338" s="5">
        <v>44255</v>
      </c>
      <c r="B338">
        <v>2049.77</v>
      </c>
      <c r="C338">
        <v>2068.46</v>
      </c>
      <c r="D338">
        <v>1803.52</v>
      </c>
      <c r="E338">
        <v>1916.01</v>
      </c>
      <c r="F338">
        <v>5108.8101779999997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-0.15082660224956604</v>
      </c>
      <c r="Q338">
        <f t="shared" si="970"/>
        <v>-770.54448068574061</v>
      </c>
      <c r="R338">
        <f t="shared" si="971"/>
        <v>28869.370285720386</v>
      </c>
      <c r="S338">
        <f t="shared" si="972"/>
        <v>0.28869370285720386</v>
      </c>
      <c r="T338">
        <f t="shared" si="973"/>
        <v>2.8869370285720388E-4</v>
      </c>
    </row>
    <row r="339" spans="1:20" x14ac:dyDescent="0.25">
      <c r="A339" s="5">
        <v>44254</v>
      </c>
      <c r="B339">
        <v>2065.85</v>
      </c>
      <c r="C339">
        <v>2207.7199999999998</v>
      </c>
      <c r="D339">
        <v>2000</v>
      </c>
      <c r="E339">
        <v>2050.16</v>
      </c>
      <c r="F339">
        <v>4212.0333410000003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-0.51704217215482473</v>
      </c>
      <c r="Q339">
        <f t="shared" si="970"/>
        <v>-2177.7988678191837</v>
      </c>
      <c r="R339">
        <f t="shared" si="971"/>
        <v>29639.914766406127</v>
      </c>
      <c r="S339">
        <f t="shared" si="972"/>
        <v>0.29639914766406128</v>
      </c>
      <c r="T339">
        <f t="shared" si="973"/>
        <v>2.963991476640613E-4</v>
      </c>
    </row>
    <row r="340" spans="1:20" x14ac:dyDescent="0.25">
      <c r="A340" s="5">
        <v>44253</v>
      </c>
      <c r="B340">
        <v>2120.4499999999998</v>
      </c>
      <c r="C340">
        <v>2202.9899999999998</v>
      </c>
      <c r="D340">
        <v>1964.33</v>
      </c>
      <c r="E340">
        <v>2064.52</v>
      </c>
      <c r="F340">
        <v>7356.8015210000003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-0.16039554177490895</v>
      </c>
      <c r="Q340">
        <f t="shared" si="970"/>
        <v>-1179.9981656912692</v>
      </c>
      <c r="R340">
        <f t="shared" si="971"/>
        <v>31817.713634225311</v>
      </c>
      <c r="S340">
        <f t="shared" si="972"/>
        <v>0.31817713634225309</v>
      </c>
      <c r="T340">
        <f t="shared" si="973"/>
        <v>3.1817713634225308E-4</v>
      </c>
    </row>
    <row r="341" spans="1:20" x14ac:dyDescent="0.25">
      <c r="A341" s="5">
        <v>44252</v>
      </c>
      <c r="B341">
        <v>2218.79</v>
      </c>
      <c r="C341">
        <v>2435</v>
      </c>
      <c r="D341">
        <v>2095.42</v>
      </c>
      <c r="E341">
        <v>2119.8200000000002</v>
      </c>
      <c r="F341">
        <v>7563.4869609999996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-0.85629306790741444</v>
      </c>
      <c r="Q341">
        <f t="shared" si="970"/>
        <v>-6476.5614539124163</v>
      </c>
      <c r="R341">
        <f t="shared" si="971"/>
        <v>32997.711799916578</v>
      </c>
      <c r="S341">
        <f t="shared" si="972"/>
        <v>0.32997711799916579</v>
      </c>
      <c r="T341">
        <f t="shared" si="973"/>
        <v>3.2997711799916579E-4</v>
      </c>
    </row>
    <row r="342" spans="1:20" x14ac:dyDescent="0.25">
      <c r="A342" s="5">
        <v>44251</v>
      </c>
      <c r="B342">
        <v>2192</v>
      </c>
      <c r="C342">
        <v>2414.15</v>
      </c>
      <c r="D342">
        <v>2079.4499999999998</v>
      </c>
      <c r="E342">
        <v>2218</v>
      </c>
      <c r="F342">
        <v>9926.4943110000004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-0.17209441290708055</v>
      </c>
      <c r="Q342">
        <f t="shared" si="970"/>
        <v>-1708.2942106770201</v>
      </c>
      <c r="R342">
        <f t="shared" si="971"/>
        <v>39474.273253828993</v>
      </c>
      <c r="S342">
        <f t="shared" si="972"/>
        <v>0.39474273253828995</v>
      </c>
      <c r="T342">
        <f t="shared" si="973"/>
        <v>3.9474273253828996E-4</v>
      </c>
    </row>
    <row r="343" spans="1:20" x14ac:dyDescent="0.25">
      <c r="A343" s="5">
        <v>44250</v>
      </c>
      <c r="B343">
        <v>2771.26</v>
      </c>
      <c r="C343">
        <v>2787.19</v>
      </c>
      <c r="D343">
        <v>1807.57</v>
      </c>
      <c r="E343">
        <v>2192</v>
      </c>
      <c r="F343">
        <v>20717.456954000001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-0.21514464792470547</v>
      </c>
      <c r="Q343">
        <f t="shared" si="970"/>
        <v>-4457.2499822635709</v>
      </c>
      <c r="R343">
        <f t="shared" si="971"/>
        <v>41182.567464506013</v>
      </c>
      <c r="S343">
        <f t="shared" si="972"/>
        <v>0.41182567464506015</v>
      </c>
      <c r="T343">
        <f t="shared" si="973"/>
        <v>4.1182567464506014E-4</v>
      </c>
    </row>
    <row r="344" spans="1:20" x14ac:dyDescent="0.25">
      <c r="A344" s="5">
        <v>44249</v>
      </c>
      <c r="B344">
        <v>3145.25</v>
      </c>
      <c r="C344">
        <v>3150</v>
      </c>
      <c r="D344">
        <v>2316.46</v>
      </c>
      <c r="E344">
        <v>2768.94</v>
      </c>
      <c r="F344">
        <v>12623.781208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8.5682750677831987E-2</v>
      </c>
      <c r="Q344">
        <f t="shared" si="970"/>
        <v>1081.6402978565648</v>
      </c>
      <c r="R344">
        <f t="shared" si="971"/>
        <v>45639.817446769586</v>
      </c>
      <c r="S344">
        <f t="shared" si="972"/>
        <v>0.45639817446769587</v>
      </c>
      <c r="T344">
        <f t="shared" si="973"/>
        <v>4.5639817446769588E-4</v>
      </c>
    </row>
    <row r="345" spans="1:20" x14ac:dyDescent="0.25">
      <c r="A345" s="5">
        <v>44248</v>
      </c>
      <c r="B345">
        <v>3163.01</v>
      </c>
      <c r="C345">
        <v>3267.51</v>
      </c>
      <c r="D345">
        <v>3042.43</v>
      </c>
      <c r="E345">
        <v>3145.07</v>
      </c>
      <c r="F345">
        <v>5831.1743500000002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-8.7968722232093899E-2</v>
      </c>
      <c r="Q345">
        <f t="shared" si="970"/>
        <v>-512.96095668206067</v>
      </c>
      <c r="R345">
        <f t="shared" si="971"/>
        <v>44558.177148913019</v>
      </c>
      <c r="S345">
        <f t="shared" si="972"/>
        <v>0.4455817714891302</v>
      </c>
      <c r="T345">
        <f t="shared" si="973"/>
        <v>4.4558177148913019E-4</v>
      </c>
    </row>
    <row r="346" spans="1:20" x14ac:dyDescent="0.25">
      <c r="A346" s="5">
        <v>44247</v>
      </c>
      <c r="B346">
        <v>3528.75</v>
      </c>
      <c r="C346">
        <v>3676</v>
      </c>
      <c r="D346">
        <v>3013.14</v>
      </c>
      <c r="E346">
        <v>3159.93</v>
      </c>
      <c r="F346">
        <v>9025.4917459999997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-0.55710104697824603</v>
      </c>
      <c r="Q346">
        <f t="shared" si="970"/>
        <v>-5028.1109011901171</v>
      </c>
      <c r="R346">
        <f t="shared" si="971"/>
        <v>45071.138105595077</v>
      </c>
      <c r="S346">
        <f t="shared" si="972"/>
        <v>0.45071138105595077</v>
      </c>
      <c r="T346">
        <f t="shared" si="973"/>
        <v>4.5071138105595075E-4</v>
      </c>
    </row>
    <row r="347" spans="1:20" x14ac:dyDescent="0.25">
      <c r="A347" s="5">
        <v>44246</v>
      </c>
      <c r="B347">
        <v>3290.83</v>
      </c>
      <c r="C347">
        <v>3682</v>
      </c>
      <c r="D347">
        <v>3086.44</v>
      </c>
      <c r="E347">
        <v>3528.72</v>
      </c>
      <c r="F347">
        <v>9511.9349459999994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0.48525757270468056</v>
      </c>
      <c r="Q347">
        <f t="shared" si="970"/>
        <v>4615.7384636207862</v>
      </c>
      <c r="R347">
        <f t="shared" si="971"/>
        <v>50099.24900678519</v>
      </c>
      <c r="S347">
        <f t="shared" si="972"/>
        <v>0.50099249006785196</v>
      </c>
      <c r="T347">
        <f t="shared" si="973"/>
        <v>5.0099249006785198E-4</v>
      </c>
    </row>
    <row r="348" spans="1:20" x14ac:dyDescent="0.25">
      <c r="A348" s="5">
        <v>44245</v>
      </c>
      <c r="B348">
        <v>3340.1</v>
      </c>
      <c r="C348">
        <v>3457.26</v>
      </c>
      <c r="D348">
        <v>3144.45</v>
      </c>
      <c r="E348">
        <v>3290.91</v>
      </c>
      <c r="F348">
        <v>6025.7485429999997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-6.3584923755635375E-2</v>
      </c>
      <c r="Q348">
        <f t="shared" si="970"/>
        <v>-383.14676167728595</v>
      </c>
      <c r="R348">
        <f t="shared" si="971"/>
        <v>45483.510543164404</v>
      </c>
      <c r="S348">
        <f t="shared" si="972"/>
        <v>0.45483510543164402</v>
      </c>
      <c r="T348">
        <f t="shared" si="973"/>
        <v>4.54835105431644E-4</v>
      </c>
    </row>
    <row r="349" spans="1:20" x14ac:dyDescent="0.25">
      <c r="A349" s="5">
        <v>44244</v>
      </c>
      <c r="B349">
        <v>3142.3</v>
      </c>
      <c r="C349">
        <v>3412.37</v>
      </c>
      <c r="D349">
        <v>2901</v>
      </c>
      <c r="E349">
        <v>3343.7</v>
      </c>
      <c r="F349">
        <v>9592.6395799999991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0.73142734223751849</v>
      </c>
      <c r="Q349">
        <f t="shared" si="970"/>
        <v>7016.3188730418251</v>
      </c>
      <c r="R349">
        <f t="shared" si="971"/>
        <v>45866.65730484169</v>
      </c>
      <c r="S349">
        <f t="shared" si="972"/>
        <v>0.4586665730484169</v>
      </c>
      <c r="T349">
        <f t="shared" si="973"/>
        <v>4.5866657304841692E-4</v>
      </c>
    </row>
    <row r="350" spans="1:20" x14ac:dyDescent="0.25">
      <c r="A350" s="5">
        <v>44243</v>
      </c>
      <c r="B350">
        <v>2883.02</v>
      </c>
      <c r="C350">
        <v>3260</v>
      </c>
      <c r="D350">
        <v>2751.08</v>
      </c>
      <c r="E350">
        <v>3147.4</v>
      </c>
      <c r="F350">
        <v>10533.558285999999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0.55749430165841429</v>
      </c>
      <c r="Q350">
        <f t="shared" si="970"/>
        <v>5872.3987206317734</v>
      </c>
      <c r="R350">
        <f t="shared" si="971"/>
        <v>38850.338431799864</v>
      </c>
      <c r="S350">
        <f t="shared" si="972"/>
        <v>0.38850338431799863</v>
      </c>
      <c r="T350">
        <f t="shared" si="973"/>
        <v>3.8850338431799865E-4</v>
      </c>
    </row>
    <row r="351" spans="1:20" x14ac:dyDescent="0.25">
      <c r="A351" s="5">
        <v>44242</v>
      </c>
      <c r="B351">
        <v>3055.14</v>
      </c>
      <c r="C351">
        <v>3136.24</v>
      </c>
      <c r="D351">
        <v>2587</v>
      </c>
      <c r="E351">
        <v>2882.49</v>
      </c>
      <c r="F351">
        <v>10719.914423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7.5995921637170991E-2</v>
      </c>
      <c r="Q351">
        <f t="shared" si="970"/>
        <v>814.66977644748704</v>
      </c>
      <c r="R351">
        <f t="shared" si="971"/>
        <v>32977.939711168088</v>
      </c>
      <c r="S351">
        <f t="shared" si="972"/>
        <v>0.32977939711168086</v>
      </c>
      <c r="T351">
        <f t="shared" si="973"/>
        <v>3.2977939711168087E-4</v>
      </c>
    </row>
    <row r="352" spans="1:20" x14ac:dyDescent="0.25">
      <c r="A352" s="5">
        <v>44241</v>
      </c>
      <c r="B352">
        <v>3335.97</v>
      </c>
      <c r="C352">
        <v>3363.95</v>
      </c>
      <c r="D352">
        <v>3010.14</v>
      </c>
      <c r="E352">
        <v>3055.52</v>
      </c>
      <c r="F352">
        <v>7380.8959860000004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-0.74347813798366291</v>
      </c>
      <c r="Q352">
        <f t="shared" si="970"/>
        <v>-5487.5348043223721</v>
      </c>
      <c r="R352">
        <f t="shared" si="971"/>
        <v>32163.2699347206</v>
      </c>
      <c r="S352">
        <f t="shared" si="972"/>
        <v>0.32163269934720601</v>
      </c>
      <c r="T352">
        <f t="shared" si="973"/>
        <v>3.2163269934720599E-4</v>
      </c>
    </row>
    <row r="353" spans="1:20" x14ac:dyDescent="0.25">
      <c r="A353" s="5">
        <v>44240</v>
      </c>
      <c r="B353">
        <v>3201.25</v>
      </c>
      <c r="C353">
        <v>3450</v>
      </c>
      <c r="D353">
        <v>2932.04</v>
      </c>
      <c r="E353">
        <v>3335.96</v>
      </c>
      <c r="F353">
        <v>9745.5305449999996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0.55965711637964344</v>
      </c>
      <c r="Q353">
        <f t="shared" si="970"/>
        <v>5454.155522404435</v>
      </c>
      <c r="R353">
        <f t="shared" si="971"/>
        <v>37650.804739042971</v>
      </c>
      <c r="S353">
        <f t="shared" si="972"/>
        <v>0.3765080473904297</v>
      </c>
      <c r="T353">
        <f t="shared" si="973"/>
        <v>3.765080473904297E-4</v>
      </c>
    </row>
    <row r="354" spans="1:20" x14ac:dyDescent="0.25">
      <c r="A354" s="5">
        <v>44239</v>
      </c>
      <c r="B354">
        <v>3042.69</v>
      </c>
      <c r="C354">
        <v>3498.96</v>
      </c>
      <c r="D354">
        <v>2981.41</v>
      </c>
      <c r="E354">
        <v>3201.17</v>
      </c>
      <c r="F354">
        <v>16130.924901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-0.1507680417350975</v>
      </c>
      <c r="Q354">
        <f t="shared" si="970"/>
        <v>-2432.0279586996917</v>
      </c>
      <c r="R354">
        <f t="shared" si="971"/>
        <v>32196.649216638536</v>
      </c>
      <c r="S354">
        <f t="shared" si="972"/>
        <v>0.32196649216638534</v>
      </c>
      <c r="T354">
        <f t="shared" si="973"/>
        <v>3.2196649216638536E-4</v>
      </c>
    </row>
    <row r="355" spans="1:20" x14ac:dyDescent="0.25">
      <c r="A355" s="5">
        <v>44238</v>
      </c>
      <c r="B355">
        <v>2417.3200000000002</v>
      </c>
      <c r="C355">
        <v>3150</v>
      </c>
      <c r="D355">
        <v>2311.9899999999998</v>
      </c>
      <c r="E355">
        <v>3041.57</v>
      </c>
      <c r="F355">
        <v>21697.000366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0.74122027183446548</v>
      </c>
      <c r="Q355">
        <f t="shared" si="970"/>
        <v>16082.256509279017</v>
      </c>
      <c r="R355">
        <f t="shared" si="971"/>
        <v>34628.677175338227</v>
      </c>
      <c r="S355">
        <f t="shared" si="972"/>
        <v>0.34628677175338229</v>
      </c>
      <c r="T355">
        <f t="shared" si="973"/>
        <v>3.4628677175338229E-4</v>
      </c>
    </row>
    <row r="356" spans="1:20" x14ac:dyDescent="0.25">
      <c r="A356" s="5">
        <v>44237</v>
      </c>
      <c r="B356">
        <v>2393.0500000000002</v>
      </c>
      <c r="C356">
        <v>2565</v>
      </c>
      <c r="D356">
        <v>2142</v>
      </c>
      <c r="E356">
        <v>2421.9899999999998</v>
      </c>
      <c r="F356">
        <v>16369.843284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0.32382978723404154</v>
      </c>
      <c r="Q356">
        <f t="shared" si="970"/>
        <v>5301.0428677123236</v>
      </c>
      <c r="R356">
        <f t="shared" si="971"/>
        <v>18546.42066605921</v>
      </c>
      <c r="S356">
        <f t="shared" si="972"/>
        <v>0.1854642066605921</v>
      </c>
      <c r="T356">
        <f t="shared" si="973"/>
        <v>1.8546420666059211E-4</v>
      </c>
    </row>
    <row r="357" spans="1:20" x14ac:dyDescent="0.25">
      <c r="A357" s="5">
        <v>44236</v>
      </c>
      <c r="B357">
        <v>2128.9899999999998</v>
      </c>
      <c r="C357">
        <v>2448.69</v>
      </c>
      <c r="D357">
        <v>2055.35</v>
      </c>
      <c r="E357">
        <v>2391.15</v>
      </c>
      <c r="F357">
        <v>13435.400387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0.70742868764936218</v>
      </c>
      <c r="Q357">
        <f t="shared" si="970"/>
        <v>9504.5876638191421</v>
      </c>
      <c r="R357">
        <f t="shared" si="971"/>
        <v>13245.377798346886</v>
      </c>
      <c r="S357">
        <f t="shared" si="972"/>
        <v>0.13245377798346886</v>
      </c>
      <c r="T357">
        <f t="shared" si="973"/>
        <v>1.3245377798346887E-4</v>
      </c>
    </row>
    <row r="358" spans="1:20" x14ac:dyDescent="0.25">
      <c r="A358" s="5">
        <v>44235</v>
      </c>
      <c r="B358">
        <v>2006.23</v>
      </c>
      <c r="C358">
        <v>2185</v>
      </c>
      <c r="D358">
        <v>1940.99</v>
      </c>
      <c r="E358">
        <v>2126.81</v>
      </c>
      <c r="F358">
        <v>8127.9621719999996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0.52305233392074046</v>
      </c>
      <c r="Q358">
        <f t="shared" si="970"/>
        <v>4251.3495840840906</v>
      </c>
      <c r="R358">
        <f t="shared" si="971"/>
        <v>3740.7901345277446</v>
      </c>
      <c r="S358">
        <f t="shared" si="972"/>
        <v>3.7407901345277446E-2</v>
      </c>
      <c r="T358">
        <f t="shared" si="973"/>
        <v>3.7407901345277444E-5</v>
      </c>
    </row>
    <row r="359" spans="1:20" x14ac:dyDescent="0.25">
      <c r="A359" s="5">
        <v>44234</v>
      </c>
      <c r="B359">
        <v>2159.34</v>
      </c>
      <c r="C359">
        <v>2204.73</v>
      </c>
      <c r="D359">
        <v>1857.9</v>
      </c>
      <c r="E359">
        <v>2007.92</v>
      </c>
      <c r="F359">
        <v>10044.628381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-0.13490759161548879</v>
      </c>
      <c r="Q359">
        <f t="shared" si="970"/>
        <v>-1355.0966235532965</v>
      </c>
      <c r="R359">
        <f t="shared" si="971"/>
        <v>-510.55944955634595</v>
      </c>
      <c r="S359">
        <f t="shared" si="972"/>
        <v>-5.1055944955634598E-3</v>
      </c>
      <c r="T359">
        <f t="shared" si="973"/>
        <v>-5.1055944955634598E-6</v>
      </c>
    </row>
    <row r="360" spans="1:20" x14ac:dyDescent="0.25">
      <c r="A360" s="5">
        <v>44233</v>
      </c>
      <c r="B360">
        <v>2337.5</v>
      </c>
      <c r="C360">
        <v>2539.85</v>
      </c>
      <c r="D360">
        <v>2075</v>
      </c>
      <c r="E360">
        <v>2157.6999999999998</v>
      </c>
      <c r="F360">
        <v>12621.201992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-0.64418629665483562</v>
      </c>
      <c r="Q360">
        <f t="shared" si="970"/>
        <v>-8130.4053705591141</v>
      </c>
      <c r="R360">
        <f t="shared" si="971"/>
        <v>844.53717399695051</v>
      </c>
      <c r="S360">
        <f t="shared" si="972"/>
        <v>8.4453717399695059E-3</v>
      </c>
      <c r="T360">
        <f t="shared" si="973"/>
        <v>8.4453717399695052E-6</v>
      </c>
    </row>
    <row r="361" spans="1:20" x14ac:dyDescent="0.25">
      <c r="A361" s="5">
        <v>44232</v>
      </c>
      <c r="B361">
        <v>1897.91</v>
      </c>
      <c r="C361">
        <v>2650.32</v>
      </c>
      <c r="D361">
        <v>1883.12</v>
      </c>
      <c r="E361">
        <v>2336.31</v>
      </c>
      <c r="F361">
        <v>20535.695712000001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0.18141293013555759</v>
      </c>
      <c r="Q361">
        <f t="shared" si="970"/>
        <v>3725.440731486126</v>
      </c>
      <c r="R361">
        <f t="shared" si="971"/>
        <v>8974.9425445560646</v>
      </c>
      <c r="S361">
        <f t="shared" si="972"/>
        <v>8.9749425445560652E-2</v>
      </c>
      <c r="T361">
        <f t="shared" si="973"/>
        <v>8.9749425445560655E-5</v>
      </c>
    </row>
    <row r="362" spans="1:20" x14ac:dyDescent="0.25">
      <c r="A362" s="5">
        <v>44231</v>
      </c>
      <c r="B362">
        <v>1926.82</v>
      </c>
      <c r="C362">
        <v>1989</v>
      </c>
      <c r="D362">
        <v>1850</v>
      </c>
      <c r="E362">
        <v>1900.98</v>
      </c>
      <c r="F362">
        <v>9684.5817050000005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-0.26647482014388463</v>
      </c>
      <c r="Q362">
        <f t="shared" si="970"/>
        <v>-2580.6971680086308</v>
      </c>
      <c r="R362">
        <f t="shared" si="971"/>
        <v>5249.5018130699391</v>
      </c>
      <c r="S362">
        <f t="shared" si="972"/>
        <v>5.2495018130699393E-2</v>
      </c>
      <c r="T362">
        <f t="shared" si="973"/>
        <v>5.2495018130699393E-5</v>
      </c>
    </row>
    <row r="363" spans="1:20" x14ac:dyDescent="0.25">
      <c r="A363" s="5">
        <v>44230</v>
      </c>
      <c r="B363">
        <v>1912.96</v>
      </c>
      <c r="C363">
        <v>1981.47</v>
      </c>
      <c r="D363">
        <v>1846.48</v>
      </c>
      <c r="E363">
        <v>1923.5</v>
      </c>
      <c r="F363">
        <v>8237.6396580000001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0.14112156456033745</v>
      </c>
      <c r="Q363">
        <f t="shared" si="970"/>
        <v>1162.5085968212431</v>
      </c>
      <c r="R363">
        <f t="shared" si="971"/>
        <v>7830.1989810785699</v>
      </c>
      <c r="S363">
        <f t="shared" si="972"/>
        <v>7.8301989810785705E-2</v>
      </c>
      <c r="T363">
        <f t="shared" si="973"/>
        <v>7.830198981078571E-5</v>
      </c>
    </row>
    <row r="364" spans="1:20" x14ac:dyDescent="0.25">
      <c r="A364" s="5">
        <v>44229</v>
      </c>
      <c r="B364">
        <v>1872.98</v>
      </c>
      <c r="C364">
        <v>1950</v>
      </c>
      <c r="D364">
        <v>1808.15</v>
      </c>
      <c r="E364">
        <v>1912</v>
      </c>
      <c r="F364">
        <v>7163.6995319999996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0.46422277053225203</v>
      </c>
      <c r="Q364">
        <f t="shared" si="970"/>
        <v>3325.552444005637</v>
      </c>
      <c r="R364">
        <f t="shared" si="971"/>
        <v>6667.6903842573265</v>
      </c>
      <c r="S364">
        <f t="shared" si="972"/>
        <v>6.6676903842573271E-2</v>
      </c>
      <c r="T364">
        <f t="shared" si="973"/>
        <v>6.6676903842573265E-5</v>
      </c>
    </row>
    <row r="365" spans="1:20" x14ac:dyDescent="0.25">
      <c r="A365" s="5">
        <v>44228</v>
      </c>
      <c r="B365">
        <v>1810.05</v>
      </c>
      <c r="C365">
        <v>1884.83</v>
      </c>
      <c r="D365">
        <v>1755</v>
      </c>
      <c r="E365">
        <v>1870.87</v>
      </c>
      <c r="F365">
        <v>4575.5883489999997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0.78494954941076722</v>
      </c>
      <c r="Q365">
        <f t="shared" si="970"/>
        <v>3591.6060128367062</v>
      </c>
      <c r="R365">
        <f t="shared" si="971"/>
        <v>3342.1379402516895</v>
      </c>
      <c r="S365">
        <f t="shared" si="972"/>
        <v>3.3421379402516896E-2</v>
      </c>
      <c r="T365">
        <f t="shared" si="973"/>
        <v>3.3421379402516895E-5</v>
      </c>
    </row>
    <row r="366" spans="1:20" x14ac:dyDescent="0.25">
      <c r="A366" s="5">
        <v>44227</v>
      </c>
      <c r="B366">
        <v>1802.42</v>
      </c>
      <c r="C366">
        <v>1996.67</v>
      </c>
      <c r="D366">
        <v>1754.4</v>
      </c>
      <c r="E366">
        <v>1810.38</v>
      </c>
      <c r="F366">
        <v>8809.6312379999999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-0.53787097040491993</v>
      </c>
      <c r="Q366">
        <f t="shared" si="970"/>
        <v>-4738.4449028925565</v>
      </c>
      <c r="R366">
        <f t="shared" si="971"/>
        <v>-249.46807258501667</v>
      </c>
      <c r="S366">
        <f t="shared" si="972"/>
        <v>-2.4946807258501669E-3</v>
      </c>
      <c r="T366">
        <f t="shared" si="973"/>
        <v>-2.4946807258501668E-6</v>
      </c>
    </row>
    <row r="367" spans="1:20" x14ac:dyDescent="0.25">
      <c r="A367" s="5">
        <v>44226</v>
      </c>
      <c r="B367">
        <v>1784.83</v>
      </c>
      <c r="C367">
        <v>1840.7</v>
      </c>
      <c r="D367">
        <v>1702.58</v>
      </c>
      <c r="E367">
        <v>1802.42</v>
      </c>
      <c r="F367">
        <v>5824.8131000000003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0.44569939183318941</v>
      </c>
      <c r="Q367">
        <f t="shared" si="970"/>
        <v>2596.115656211995</v>
      </c>
      <c r="R367">
        <f t="shared" si="971"/>
        <v>4488.9768303075398</v>
      </c>
      <c r="S367">
        <f t="shared" si="972"/>
        <v>4.4889768303075395E-2</v>
      </c>
      <c r="T367">
        <f t="shared" si="973"/>
        <v>4.4889768303075393E-5</v>
      </c>
    </row>
    <row r="368" spans="1:20" x14ac:dyDescent="0.25">
      <c r="A368" s="5">
        <v>44225</v>
      </c>
      <c r="B368">
        <v>1745.99</v>
      </c>
      <c r="C368">
        <v>1867.37</v>
      </c>
      <c r="D368">
        <v>1672.22</v>
      </c>
      <c r="E368">
        <v>1788.46</v>
      </c>
      <c r="F368">
        <v>6673.2817439999999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0.19128875224186614</v>
      </c>
      <c r="Q368">
        <f t="shared" si="970"/>
        <v>1276.5237381681843</v>
      </c>
      <c r="R368">
        <f t="shared" si="971"/>
        <v>1892.8611740955446</v>
      </c>
      <c r="S368">
        <f t="shared" si="972"/>
        <v>1.8928611740955444E-2</v>
      </c>
      <c r="T368">
        <f t="shared" si="973"/>
        <v>1.8928611740955444E-5</v>
      </c>
    </row>
    <row r="369" spans="1:20" x14ac:dyDescent="0.25">
      <c r="A369" s="5">
        <v>44224</v>
      </c>
      <c r="B369">
        <v>1651.74</v>
      </c>
      <c r="C369">
        <v>1780</v>
      </c>
      <c r="D369">
        <v>1625.37</v>
      </c>
      <c r="E369">
        <v>1745.99</v>
      </c>
      <c r="F369">
        <v>4826.5790580000003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0.56011123326650758</v>
      </c>
      <c r="Q369">
        <f t="shared" si="970"/>
        <v>2703.4211486346785</v>
      </c>
      <c r="R369">
        <f t="shared" si="971"/>
        <v>616.33743592736027</v>
      </c>
      <c r="S369">
        <f t="shared" si="972"/>
        <v>6.1633743592736032E-3</v>
      </c>
      <c r="T369">
        <f t="shared" si="973"/>
        <v>6.1633743592736035E-6</v>
      </c>
    </row>
    <row r="370" spans="1:20" x14ac:dyDescent="0.25">
      <c r="A370" s="5">
        <v>44223</v>
      </c>
      <c r="B370">
        <v>1802.21</v>
      </c>
      <c r="C370">
        <v>1803.9</v>
      </c>
      <c r="D370">
        <v>1620.57</v>
      </c>
      <c r="E370">
        <v>1653.47</v>
      </c>
      <c r="F370">
        <v>4097.1393280000002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-0.6410843833524239</v>
      </c>
      <c r="Q370">
        <f t="shared" si="970"/>
        <v>-2626.6120395998446</v>
      </c>
      <c r="R370">
        <f t="shared" si="971"/>
        <v>-2087.0837127073182</v>
      </c>
      <c r="S370">
        <f t="shared" si="972"/>
        <v>-2.0870837127073182E-2</v>
      </c>
      <c r="T370">
        <f t="shared" si="973"/>
        <v>-2.0870837127073182E-5</v>
      </c>
    </row>
    <row r="371" spans="1:20" x14ac:dyDescent="0.25">
      <c r="A371" s="5">
        <v>44222</v>
      </c>
      <c r="B371">
        <v>1786.21</v>
      </c>
      <c r="C371">
        <v>1850.38</v>
      </c>
      <c r="D371">
        <v>1691.15</v>
      </c>
      <c r="E371">
        <v>1803.89</v>
      </c>
      <c r="F371">
        <v>4523.6547979999996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0.41606481190730388</v>
      </c>
      <c r="Q371">
        <f t="shared" si="970"/>
        <v>1882.1335826634424</v>
      </c>
      <c r="R371">
        <f t="shared" si="971"/>
        <v>539.52832689252659</v>
      </c>
      <c r="S371">
        <f t="shared" si="972"/>
        <v>5.3952832689252656E-3</v>
      </c>
      <c r="T371">
        <f t="shared" si="973"/>
        <v>5.3952832689252655E-6</v>
      </c>
    </row>
    <row r="372" spans="1:20" x14ac:dyDescent="0.25">
      <c r="A372" s="5">
        <v>44221</v>
      </c>
      <c r="B372">
        <v>1862.28</v>
      </c>
      <c r="C372">
        <v>1968.51</v>
      </c>
      <c r="D372">
        <v>1773.45</v>
      </c>
      <c r="E372">
        <v>1789.79</v>
      </c>
      <c r="F372">
        <v>5485.7063170000001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-0.83246180662360381</v>
      </c>
      <c r="Q372">
        <f t="shared" si="970"/>
        <v>-4566.6409912563358</v>
      </c>
      <c r="R372">
        <f t="shared" si="971"/>
        <v>-1342.6052557709158</v>
      </c>
      <c r="S372">
        <f t="shared" si="972"/>
        <v>-1.3426052557709159E-2</v>
      </c>
      <c r="T372">
        <f t="shared" si="973"/>
        <v>-1.342605255770916E-5</v>
      </c>
    </row>
    <row r="373" spans="1:20" x14ac:dyDescent="0.25">
      <c r="A373" s="5">
        <v>44220</v>
      </c>
      <c r="B373">
        <v>1851.32</v>
      </c>
      <c r="C373">
        <v>1970</v>
      </c>
      <c r="D373">
        <v>1824.25</v>
      </c>
      <c r="E373">
        <v>1859.86</v>
      </c>
      <c r="F373">
        <v>6440.0951189999996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-0.51135506003430664</v>
      </c>
      <c r="Q373">
        <f t="shared" si="970"/>
        <v>-3293.1752262028899</v>
      </c>
      <c r="R373">
        <f t="shared" si="971"/>
        <v>3224.03573548542</v>
      </c>
      <c r="S373">
        <f t="shared" si="972"/>
        <v>3.2240357354854199E-2</v>
      </c>
      <c r="T373">
        <f t="shared" si="973"/>
        <v>3.22403573548542E-5</v>
      </c>
    </row>
    <row r="374" spans="1:20" x14ac:dyDescent="0.25">
      <c r="A374" s="5">
        <v>44219</v>
      </c>
      <c r="B374">
        <v>1826.62</v>
      </c>
      <c r="C374">
        <v>1917.42</v>
      </c>
      <c r="D374">
        <v>1778.28</v>
      </c>
      <c r="E374">
        <v>1851.35</v>
      </c>
      <c r="F374">
        <v>6323.4465829999999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5.0309041253412158E-2</v>
      </c>
      <c r="Q374">
        <f t="shared" si="970"/>
        <v>318.12653500789514</v>
      </c>
      <c r="R374">
        <f t="shared" si="971"/>
        <v>6517.2109616883099</v>
      </c>
      <c r="S374">
        <f t="shared" si="972"/>
        <v>6.5172109616883106E-2</v>
      </c>
      <c r="T374">
        <f t="shared" si="973"/>
        <v>6.5172109616883108E-5</v>
      </c>
    </row>
    <row r="375" spans="1:20" x14ac:dyDescent="0.25">
      <c r="A375" s="5">
        <v>44218</v>
      </c>
      <c r="B375">
        <v>1684.1</v>
      </c>
      <c r="C375">
        <v>1903.24</v>
      </c>
      <c r="D375">
        <v>1566.31</v>
      </c>
      <c r="E375">
        <v>1826.09</v>
      </c>
      <c r="F375">
        <v>8865.3901019999994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0.54204137357908122</v>
      </c>
      <c r="Q375">
        <f t="shared" si="970"/>
        <v>4805.408228202471</v>
      </c>
      <c r="R375">
        <f t="shared" si="971"/>
        <v>6199.0844266804152</v>
      </c>
      <c r="S375">
        <f t="shared" si="972"/>
        <v>6.1990844266804151E-2</v>
      </c>
      <c r="T375">
        <f t="shared" si="973"/>
        <v>6.1990844266804153E-5</v>
      </c>
    </row>
    <row r="376" spans="1:20" x14ac:dyDescent="0.25">
      <c r="A376" s="5">
        <v>44217</v>
      </c>
      <c r="B376">
        <v>2015.21</v>
      </c>
      <c r="C376">
        <v>2026.02</v>
      </c>
      <c r="D376">
        <v>1661</v>
      </c>
      <c r="E376">
        <v>1681.19</v>
      </c>
      <c r="F376">
        <v>8289.0469360000006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-0.88937592460687054</v>
      </c>
      <c r="Q376">
        <f t="shared" si="970"/>
        <v>-7372.0787828147477</v>
      </c>
      <c r="R376">
        <f t="shared" si="971"/>
        <v>1393.6761984779441</v>
      </c>
      <c r="S376">
        <f t="shared" si="972"/>
        <v>1.3936761984779441E-2</v>
      </c>
      <c r="T376">
        <f t="shared" si="973"/>
        <v>1.3936761984779441E-5</v>
      </c>
    </row>
    <row r="377" spans="1:20" x14ac:dyDescent="0.25">
      <c r="A377" s="5">
        <v>44216</v>
      </c>
      <c r="B377">
        <v>1989.59</v>
      </c>
      <c r="C377">
        <v>2064.9</v>
      </c>
      <c r="D377">
        <v>1821.42</v>
      </c>
      <c r="E377">
        <v>2014.71</v>
      </c>
      <c r="F377">
        <v>9025.3364880000008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0.58772794480039392</v>
      </c>
      <c r="Q377">
        <f t="shared" si="970"/>
        <v>5304.442465224246</v>
      </c>
      <c r="R377">
        <f t="shared" si="971"/>
        <v>8765.7549812926918</v>
      </c>
      <c r="S377">
        <f t="shared" si="972"/>
        <v>8.7657549812926921E-2</v>
      </c>
      <c r="T377">
        <f t="shared" si="973"/>
        <v>8.7657549812926921E-5</v>
      </c>
    </row>
    <row r="378" spans="1:20" x14ac:dyDescent="0.25">
      <c r="A378" s="5">
        <v>44215</v>
      </c>
      <c r="B378">
        <v>2252.9499999999998</v>
      </c>
      <c r="C378">
        <v>2300</v>
      </c>
      <c r="D378">
        <v>1980.5</v>
      </c>
      <c r="E378">
        <v>1989.37</v>
      </c>
      <c r="F378">
        <v>9485.974843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-0.94447574334898343</v>
      </c>
      <c r="Q378">
        <f t="shared" si="970"/>
        <v>-8959.2731412321809</v>
      </c>
      <c r="R378">
        <f t="shared" si="971"/>
        <v>3461.3125160684467</v>
      </c>
      <c r="S378">
        <f t="shared" si="972"/>
        <v>3.4613125160684467E-2</v>
      </c>
      <c r="T378">
        <f t="shared" si="973"/>
        <v>3.4613125160684465E-5</v>
      </c>
    </row>
    <row r="379" spans="1:20" x14ac:dyDescent="0.25">
      <c r="A379" s="5">
        <v>44214</v>
      </c>
      <c r="B379">
        <v>1962.24</v>
      </c>
      <c r="C379">
        <v>2459.44</v>
      </c>
      <c r="D379">
        <v>1884.01</v>
      </c>
      <c r="E379">
        <v>2252</v>
      </c>
      <c r="F379">
        <v>20287.849696000001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0.27900874128912279</v>
      </c>
      <c r="Q379">
        <f t="shared" si="970"/>
        <v>5660.4874071438726</v>
      </c>
      <c r="R379">
        <f t="shared" si="971"/>
        <v>12420.585657300628</v>
      </c>
      <c r="S379">
        <f t="shared" si="972"/>
        <v>0.12420585657300627</v>
      </c>
      <c r="T379">
        <f t="shared" si="973"/>
        <v>1.2420585657300627E-4</v>
      </c>
    </row>
    <row r="380" spans="1:20" x14ac:dyDescent="0.25">
      <c r="A380" s="5">
        <v>44213</v>
      </c>
      <c r="B380">
        <v>1859.85</v>
      </c>
      <c r="C380">
        <v>2100</v>
      </c>
      <c r="D380">
        <v>1789</v>
      </c>
      <c r="E380">
        <v>1964</v>
      </c>
      <c r="F380">
        <v>15349.468443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0.12540192926045016</v>
      </c>
      <c r="Q380">
        <f t="shared" si="970"/>
        <v>1924.8529558745979</v>
      </c>
      <c r="R380">
        <f t="shared" si="971"/>
        <v>6760.098250156756</v>
      </c>
      <c r="S380">
        <f t="shared" si="972"/>
        <v>6.7600982501567555E-2</v>
      </c>
      <c r="T380">
        <f t="shared" si="973"/>
        <v>6.7600982501567561E-5</v>
      </c>
    </row>
    <row r="381" spans="1:20" x14ac:dyDescent="0.25">
      <c r="A381" s="5">
        <v>44212</v>
      </c>
      <c r="B381">
        <v>1773.24</v>
      </c>
      <c r="C381">
        <v>1957</v>
      </c>
      <c r="D381">
        <v>1773.23</v>
      </c>
      <c r="E381">
        <v>1857.72</v>
      </c>
      <c r="F381">
        <v>11613.422114999999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-8.0481036077705639E-2</v>
      </c>
      <c r="Q381">
        <f t="shared" si="970"/>
        <v>-934.66024422293947</v>
      </c>
      <c r="R381">
        <f t="shared" si="971"/>
        <v>4835.2452942821583</v>
      </c>
      <c r="S381">
        <f t="shared" si="972"/>
        <v>4.8352452942821582E-2</v>
      </c>
      <c r="T381">
        <f t="shared" si="973"/>
        <v>4.8352452942821583E-5</v>
      </c>
    </row>
    <row r="382" spans="1:20" x14ac:dyDescent="0.25">
      <c r="A382" s="5">
        <v>44211</v>
      </c>
      <c r="B382">
        <v>1861.06</v>
      </c>
      <c r="C382">
        <v>1895.01</v>
      </c>
      <c r="D382">
        <v>1655</v>
      </c>
      <c r="E382">
        <v>1775.4</v>
      </c>
      <c r="F382">
        <v>9257.9691500000008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3.2915295196041458E-3</v>
      </c>
      <c r="Q382">
        <f t="shared" si="970"/>
        <v>30.472878748809503</v>
      </c>
      <c r="R382">
        <f t="shared" si="971"/>
        <v>5769.9055385050979</v>
      </c>
      <c r="S382">
        <f t="shared" si="972"/>
        <v>5.7699055385050976E-2</v>
      </c>
      <c r="T382">
        <f t="shared" si="973"/>
        <v>5.7699055385050974E-5</v>
      </c>
    </row>
    <row r="383" spans="1:20" x14ac:dyDescent="0.25">
      <c r="A383" s="5">
        <v>44210</v>
      </c>
      <c r="B383">
        <v>1764.56</v>
      </c>
      <c r="C383">
        <v>1866.62</v>
      </c>
      <c r="D383">
        <v>1657.65</v>
      </c>
      <c r="E383">
        <v>1860.66</v>
      </c>
      <c r="F383">
        <v>7503.0737049999998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0.94295831937598873</v>
      </c>
      <c r="Q383">
        <f t="shared" si="970"/>
        <v>7075.085771020973</v>
      </c>
      <c r="R383">
        <f t="shared" si="971"/>
        <v>5739.4326597562886</v>
      </c>
      <c r="S383">
        <f t="shared" si="972"/>
        <v>5.7394326597562884E-2</v>
      </c>
      <c r="T383">
        <f t="shared" si="973"/>
        <v>5.7394326597562884E-5</v>
      </c>
    </row>
    <row r="384" spans="1:20" x14ac:dyDescent="0.25">
      <c r="A384" s="5">
        <v>44209</v>
      </c>
      <c r="B384">
        <v>1599.08</v>
      </c>
      <c r="C384">
        <v>1772.28</v>
      </c>
      <c r="D384">
        <v>1537.61</v>
      </c>
      <c r="E384">
        <v>1766.22</v>
      </c>
      <c r="F384">
        <v>7562.1736449999999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0.94835300634934216</v>
      </c>
      <c r="Q384">
        <f t="shared" si="970"/>
        <v>7171.6101107715131</v>
      </c>
      <c r="R384">
        <f t="shared" si="971"/>
        <v>-1335.6531112646844</v>
      </c>
      <c r="S384">
        <f t="shared" si="972"/>
        <v>-1.3356531112646845E-2</v>
      </c>
      <c r="T384">
        <f t="shared" si="973"/>
        <v>-1.3356531112646845E-5</v>
      </c>
    </row>
    <row r="385" spans="1:20" x14ac:dyDescent="0.25">
      <c r="A385" s="5">
        <v>44208</v>
      </c>
      <c r="B385">
        <v>1625.76</v>
      </c>
      <c r="C385">
        <v>1710.01</v>
      </c>
      <c r="D385">
        <v>1539.17</v>
      </c>
      <c r="E385">
        <v>1599.11</v>
      </c>
      <c r="F385">
        <v>6894.7992690000001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-0.29829079840786871</v>
      </c>
      <c r="Q385">
        <f t="shared" si="970"/>
        <v>-2056.6551788119996</v>
      </c>
      <c r="R385">
        <f t="shared" si="971"/>
        <v>-8507.2632220361975</v>
      </c>
      <c r="S385">
        <f t="shared" si="972"/>
        <v>-8.5072632220361974E-2</v>
      </c>
      <c r="T385">
        <f t="shared" si="973"/>
        <v>-8.5072632220361974E-5</v>
      </c>
    </row>
    <row r="386" spans="1:20" x14ac:dyDescent="0.25">
      <c r="A386" s="5">
        <v>44207</v>
      </c>
      <c r="B386">
        <v>1877.89</v>
      </c>
      <c r="C386">
        <v>1877.89</v>
      </c>
      <c r="D386">
        <v>1444</v>
      </c>
      <c r="E386">
        <v>1625.56</v>
      </c>
      <c r="F386">
        <v>11710.559647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-0.16310585632303162</v>
      </c>
      <c r="Q386">
        <f t="shared" si="970"/>
        <v>-1910.0608592458739</v>
      </c>
      <c r="R386">
        <f t="shared" si="971"/>
        <v>-6450.6080432241979</v>
      </c>
      <c r="S386">
        <f t="shared" si="972"/>
        <v>-6.4506080432241986E-2</v>
      </c>
      <c r="T386">
        <f t="shared" si="973"/>
        <v>-6.4506080432241985E-5</v>
      </c>
    </row>
    <row r="387" spans="1:20" x14ac:dyDescent="0.25">
      <c r="A387" s="5">
        <v>44206</v>
      </c>
      <c r="B387">
        <v>1932.3</v>
      </c>
      <c r="C387">
        <v>2191.65</v>
      </c>
      <c r="D387">
        <v>1741.86</v>
      </c>
      <c r="E387">
        <v>1878.09</v>
      </c>
      <c r="F387">
        <v>13167.172125999999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-0.39425065030347511</v>
      </c>
      <c r="Q387">
        <f t="shared" si="970"/>
        <v>-5191.1661733332903</v>
      </c>
      <c r="R387">
        <f t="shared" si="971"/>
        <v>-4540.547183978324</v>
      </c>
      <c r="S387">
        <f t="shared" si="972"/>
        <v>-4.5405471839783239E-2</v>
      </c>
      <c r="T387">
        <f t="shared" si="973"/>
        <v>-4.5405471839783238E-5</v>
      </c>
    </row>
    <row r="388" spans="1:20" x14ac:dyDescent="0.25">
      <c r="A388" s="5">
        <v>44205</v>
      </c>
      <c r="B388">
        <v>1910.32</v>
      </c>
      <c r="C388">
        <v>2068</v>
      </c>
      <c r="D388">
        <v>1840.86</v>
      </c>
      <c r="E388">
        <v>1930.46</v>
      </c>
      <c r="F388">
        <v>12310.429296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-0.21105925860702565</v>
      </c>
      <c r="Q388">
        <f t="shared" si="970"/>
        <v>-2598.2300803479689</v>
      </c>
      <c r="R388">
        <f t="shared" si="971"/>
        <v>650.61898935496583</v>
      </c>
      <c r="S388">
        <f t="shared" si="972"/>
        <v>6.5061898935496586E-3</v>
      </c>
      <c r="T388">
        <f t="shared" si="973"/>
        <v>6.5061898935496585E-6</v>
      </c>
    </row>
    <row r="389" spans="1:20" x14ac:dyDescent="0.25">
      <c r="A389" s="5">
        <v>44204</v>
      </c>
      <c r="B389">
        <v>1814.74</v>
      </c>
      <c r="C389">
        <v>2021</v>
      </c>
      <c r="D389">
        <v>1616</v>
      </c>
      <c r="E389">
        <v>1909.08</v>
      </c>
      <c r="F389">
        <v>18242.206982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0.44730864197530829</v>
      </c>
      <c r="Q389">
        <f t="shared" si="970"/>
        <v>8159.896831750907</v>
      </c>
      <c r="R389">
        <f t="shared" si="971"/>
        <v>3248.8490697029347</v>
      </c>
      <c r="S389">
        <f t="shared" si="972"/>
        <v>3.2488490697029346E-2</v>
      </c>
      <c r="T389">
        <f t="shared" si="973"/>
        <v>3.2488490697029347E-5</v>
      </c>
    </row>
    <row r="390" spans="1:20" x14ac:dyDescent="0.25">
      <c r="A390" s="5">
        <v>44203</v>
      </c>
      <c r="B390">
        <v>1585.24</v>
      </c>
      <c r="C390">
        <v>2077.86</v>
      </c>
      <c r="D390">
        <v>1525</v>
      </c>
      <c r="E390">
        <v>1814.76</v>
      </c>
      <c r="F390">
        <v>30990.147867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4.822197301305909E-2</v>
      </c>
      <c r="Q390">
        <f t="shared" ref="Q390:Q453" si="975">F390*P390</f>
        <v>1494.4060741131848</v>
      </c>
      <c r="R390">
        <f t="shared" ref="R390:R453" si="976">R391+Q390</f>
        <v>-4911.0477620479724</v>
      </c>
      <c r="S390">
        <f t="shared" ref="S390:S453" si="977">R390/100000</f>
        <v>-4.9110477620479723E-2</v>
      </c>
      <c r="T390">
        <f t="shared" ref="T390:T453" si="978">S390/1000</f>
        <v>-4.9110477620479722E-5</v>
      </c>
    </row>
    <row r="391" spans="1:20" x14ac:dyDescent="0.25">
      <c r="A391" s="5">
        <v>44202</v>
      </c>
      <c r="B391">
        <v>1544.11</v>
      </c>
      <c r="C391">
        <v>1640</v>
      </c>
      <c r="D391">
        <v>1510.44</v>
      </c>
      <c r="E391">
        <v>1584.11</v>
      </c>
      <c r="F391">
        <v>7182.1092980000003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0.13723371410929108</v>
      </c>
      <c r="Q391">
        <f t="shared" si="975"/>
        <v>985.62753410341327</v>
      </c>
      <c r="R391">
        <f t="shared" si="976"/>
        <v>-6405.4538361611567</v>
      </c>
      <c r="S391">
        <f t="shared" si="977"/>
        <v>-6.4054538361611568E-2</v>
      </c>
      <c r="T391">
        <f t="shared" si="978"/>
        <v>-6.4054538361611564E-5</v>
      </c>
    </row>
    <row r="392" spans="1:20" x14ac:dyDescent="0.25">
      <c r="A392" s="5">
        <v>44201</v>
      </c>
      <c r="B392">
        <v>1564.48</v>
      </c>
      <c r="C392">
        <v>1642.8</v>
      </c>
      <c r="D392">
        <v>1455</v>
      </c>
      <c r="E392">
        <v>1540.8</v>
      </c>
      <c r="F392">
        <v>6133.9991200000004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-8.6261980830671187E-2</v>
      </c>
      <c r="Q392">
        <f t="shared" si="975"/>
        <v>-529.13091450479396</v>
      </c>
      <c r="R392">
        <f t="shared" si="976"/>
        <v>-7391.0813702645701</v>
      </c>
      <c r="S392">
        <f t="shared" si="977"/>
        <v>-7.3910813702645697E-2</v>
      </c>
      <c r="T392">
        <f t="shared" si="978"/>
        <v>-7.3910813702645698E-5</v>
      </c>
    </row>
    <row r="393" spans="1:20" x14ac:dyDescent="0.25">
      <c r="A393" s="5">
        <v>44200</v>
      </c>
      <c r="B393">
        <v>1612.26</v>
      </c>
      <c r="C393">
        <v>1727</v>
      </c>
      <c r="D393">
        <v>1468.88</v>
      </c>
      <c r="E393">
        <v>1564.48</v>
      </c>
      <c r="F393">
        <v>8804.6901039999993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-0.25925925925925963</v>
      </c>
      <c r="Q393">
        <f t="shared" si="975"/>
        <v>-2282.6974343703737</v>
      </c>
      <c r="R393">
        <f t="shared" si="976"/>
        <v>-6861.9504557597757</v>
      </c>
      <c r="S393">
        <f t="shared" si="977"/>
        <v>-6.8619504557597757E-2</v>
      </c>
      <c r="T393">
        <f t="shared" si="978"/>
        <v>-6.8619504557597757E-5</v>
      </c>
    </row>
    <row r="394" spans="1:20" x14ac:dyDescent="0.25">
      <c r="A394" s="5">
        <v>44199</v>
      </c>
      <c r="B394">
        <v>1475.24</v>
      </c>
      <c r="C394">
        <v>1660</v>
      </c>
      <c r="D394">
        <v>1450.5</v>
      </c>
      <c r="E394">
        <v>1611.29</v>
      </c>
      <c r="F394">
        <v>7419.4167710000002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0.53498806682577527</v>
      </c>
      <c r="Q394">
        <f t="shared" si="975"/>
        <v>3969.2994352920259</v>
      </c>
      <c r="R394">
        <f t="shared" si="976"/>
        <v>-4579.2530213894015</v>
      </c>
      <c r="S394">
        <f t="shared" si="977"/>
        <v>-4.5792530213894019E-2</v>
      </c>
      <c r="T394">
        <f t="shared" si="978"/>
        <v>-4.5792530213894021E-5</v>
      </c>
    </row>
    <row r="395" spans="1:20" x14ac:dyDescent="0.25">
      <c r="A395" s="5">
        <v>44198</v>
      </c>
      <c r="B395">
        <v>1580.7</v>
      </c>
      <c r="C395">
        <v>1582.35</v>
      </c>
      <c r="D395">
        <v>1450</v>
      </c>
      <c r="E395">
        <v>1475.36</v>
      </c>
      <c r="F395">
        <v>5550.37032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-0.6167737060823586</v>
      </c>
      <c r="Q395">
        <f t="shared" si="975"/>
        <v>-3423.3224723959265</v>
      </c>
      <c r="R395">
        <f t="shared" si="976"/>
        <v>-8548.5524566814274</v>
      </c>
      <c r="S395">
        <f t="shared" si="977"/>
        <v>-8.5485524566814269E-2</v>
      </c>
      <c r="T395">
        <f t="shared" si="978"/>
        <v>-8.5485524566814274E-5</v>
      </c>
    </row>
    <row r="396" spans="1:20" x14ac:dyDescent="0.25">
      <c r="A396" s="5">
        <v>44197</v>
      </c>
      <c r="B396">
        <v>1620.67</v>
      </c>
      <c r="C396">
        <v>1696.37</v>
      </c>
      <c r="D396">
        <v>1521.42</v>
      </c>
      <c r="E396">
        <v>1580.05</v>
      </c>
      <c r="F396">
        <v>6825.8449730000002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-0.32975135753072371</v>
      </c>
      <c r="Q396">
        <f t="shared" si="975"/>
        <v>-2250.8316461410163</v>
      </c>
      <c r="R396">
        <f t="shared" si="976"/>
        <v>-5125.2299842855009</v>
      </c>
      <c r="S396">
        <f t="shared" si="977"/>
        <v>-5.1252299842855009E-2</v>
      </c>
      <c r="T396">
        <f t="shared" si="978"/>
        <v>-5.1252299842855009E-5</v>
      </c>
    </row>
    <row r="397" spans="1:20" x14ac:dyDescent="0.25">
      <c r="A397" s="5">
        <v>44196</v>
      </c>
      <c r="B397">
        <v>1445.43</v>
      </c>
      <c r="C397">
        <v>1657</v>
      </c>
      <c r="D397">
        <v>1381.57</v>
      </c>
      <c r="E397">
        <v>1620.67</v>
      </c>
      <c r="F397">
        <v>9421.3951049999996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0.73619431434484317</v>
      </c>
      <c r="Q397">
        <f t="shared" si="975"/>
        <v>6935.9775094973365</v>
      </c>
      <c r="R397">
        <f t="shared" si="976"/>
        <v>-2874.3983381444841</v>
      </c>
      <c r="S397">
        <f t="shared" si="977"/>
        <v>-2.8743983381444842E-2</v>
      </c>
      <c r="T397">
        <f t="shared" si="978"/>
        <v>-2.8743983381444843E-5</v>
      </c>
    </row>
    <row r="398" spans="1:20" x14ac:dyDescent="0.25">
      <c r="A398" s="5">
        <v>44195</v>
      </c>
      <c r="B398">
        <v>1394.28</v>
      </c>
      <c r="C398">
        <v>1500</v>
      </c>
      <c r="D398">
        <v>1361.53</v>
      </c>
      <c r="E398">
        <v>1443.94</v>
      </c>
      <c r="F398">
        <v>3488.3521930000002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0.19029392648227147</v>
      </c>
      <c r="Q398">
        <f t="shared" si="975"/>
        <v>663.81223575901254</v>
      </c>
      <c r="R398">
        <f t="shared" si="976"/>
        <v>-9810.3758476418207</v>
      </c>
      <c r="S398">
        <f t="shared" si="977"/>
        <v>-9.810375847641821E-2</v>
      </c>
      <c r="T398">
        <f t="shared" si="978"/>
        <v>-9.8103758476418207E-5</v>
      </c>
    </row>
    <row r="399" spans="1:20" x14ac:dyDescent="0.25">
      <c r="A399" s="5">
        <v>44194</v>
      </c>
      <c r="B399">
        <v>1457.46</v>
      </c>
      <c r="C399">
        <v>1486.83</v>
      </c>
      <c r="D399">
        <v>1324.72</v>
      </c>
      <c r="E399">
        <v>1394.27</v>
      </c>
      <c r="F399">
        <v>4397.0060009999997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-0.14194065757818769</v>
      </c>
      <c r="Q399">
        <f t="shared" si="975"/>
        <v>-624.1139231571774</v>
      </c>
      <c r="R399">
        <f t="shared" si="976"/>
        <v>-10474.188083400833</v>
      </c>
      <c r="S399">
        <f t="shared" si="977"/>
        <v>-0.10474188083400833</v>
      </c>
      <c r="T399">
        <f t="shared" si="978"/>
        <v>-1.0474188083400833E-4</v>
      </c>
    </row>
    <row r="400" spans="1:20" x14ac:dyDescent="0.25">
      <c r="A400" s="5">
        <v>44193</v>
      </c>
      <c r="B400">
        <v>1430.99</v>
      </c>
      <c r="C400">
        <v>1515.15</v>
      </c>
      <c r="D400">
        <v>1415.34</v>
      </c>
      <c r="E400">
        <v>1457.44</v>
      </c>
      <c r="F400">
        <v>3718.3327290000002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-0.1563971545937268</v>
      </c>
      <c r="Q400">
        <f t="shared" si="975"/>
        <v>-581.53665864832715</v>
      </c>
      <c r="R400">
        <f t="shared" si="976"/>
        <v>-9850.0741602436556</v>
      </c>
      <c r="S400">
        <f t="shared" si="977"/>
        <v>-9.8500741602436562E-2</v>
      </c>
      <c r="T400">
        <f t="shared" si="978"/>
        <v>-9.850074160243656E-5</v>
      </c>
    </row>
    <row r="401" spans="1:20" x14ac:dyDescent="0.25">
      <c r="A401" s="5">
        <v>44192</v>
      </c>
      <c r="B401">
        <v>1419.15</v>
      </c>
      <c r="C401">
        <v>1574.24</v>
      </c>
      <c r="D401">
        <v>1331.46</v>
      </c>
      <c r="E401">
        <v>1428.88</v>
      </c>
      <c r="F401">
        <v>6606.4324479999996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-0.19746272345333155</v>
      </c>
      <c r="Q401">
        <f t="shared" si="975"/>
        <v>-1304.5241434925401</v>
      </c>
      <c r="R401">
        <f t="shared" si="976"/>
        <v>-9268.5375015953286</v>
      </c>
      <c r="S401">
        <f t="shared" si="977"/>
        <v>-9.2685375015953281E-2</v>
      </c>
      <c r="T401">
        <f t="shared" si="978"/>
        <v>-9.268537501595328E-5</v>
      </c>
    </row>
    <row r="402" spans="1:20" x14ac:dyDescent="0.25">
      <c r="A402" s="5">
        <v>44191</v>
      </c>
      <c r="B402">
        <v>1464.89</v>
      </c>
      <c r="C402">
        <v>1499.31</v>
      </c>
      <c r="D402">
        <v>1368</v>
      </c>
      <c r="E402">
        <v>1417.96</v>
      </c>
      <c r="F402">
        <v>3676.3878629999999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-0.23905262356256102</v>
      </c>
      <c r="Q402">
        <f t="shared" si="975"/>
        <v>-878.85016388370718</v>
      </c>
      <c r="R402">
        <f t="shared" si="976"/>
        <v>-7964.0133581027885</v>
      </c>
      <c r="S402">
        <f t="shared" si="977"/>
        <v>-7.964013358102788E-2</v>
      </c>
      <c r="T402">
        <f t="shared" si="978"/>
        <v>-7.9640133581027875E-5</v>
      </c>
    </row>
    <row r="403" spans="1:20" x14ac:dyDescent="0.25">
      <c r="A403" s="5">
        <v>44190</v>
      </c>
      <c r="B403">
        <v>1448.43</v>
      </c>
      <c r="C403">
        <v>1549</v>
      </c>
      <c r="D403">
        <v>1413.7</v>
      </c>
      <c r="E403">
        <v>1466.57</v>
      </c>
      <c r="F403">
        <v>5335.1367529999998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-0.2184774575018491</v>
      </c>
      <c r="Q403">
        <f t="shared" si="975"/>
        <v>-1165.6071132201107</v>
      </c>
      <c r="R403">
        <f t="shared" si="976"/>
        <v>-7085.1631942190816</v>
      </c>
      <c r="S403">
        <f t="shared" si="977"/>
        <v>-7.085163194219081E-2</v>
      </c>
      <c r="T403">
        <f t="shared" si="978"/>
        <v>-7.0851631942190813E-5</v>
      </c>
    </row>
    <row r="404" spans="1:20" x14ac:dyDescent="0.25">
      <c r="A404" s="5">
        <v>44189</v>
      </c>
      <c r="B404">
        <v>1343.23</v>
      </c>
      <c r="C404">
        <v>1450.01</v>
      </c>
      <c r="D404">
        <v>1280.6400000000001</v>
      </c>
      <c r="E404">
        <v>1448.43</v>
      </c>
      <c r="F404">
        <v>8005.3163850000001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0.98134262266044836</v>
      </c>
      <c r="Q404">
        <f t="shared" si="975"/>
        <v>7855.9581764825598</v>
      </c>
      <c r="R404">
        <f t="shared" si="976"/>
        <v>-5919.5560809989711</v>
      </c>
      <c r="S404">
        <f t="shared" si="977"/>
        <v>-5.9195560809989708E-2</v>
      </c>
      <c r="T404">
        <f t="shared" si="978"/>
        <v>-5.9195560809989706E-5</v>
      </c>
    </row>
    <row r="405" spans="1:20" x14ac:dyDescent="0.25">
      <c r="A405" s="5">
        <v>44188</v>
      </c>
      <c r="B405">
        <v>1597.43</v>
      </c>
      <c r="C405">
        <v>1649.41</v>
      </c>
      <c r="D405">
        <v>1157.26</v>
      </c>
      <c r="E405">
        <v>1344</v>
      </c>
      <c r="F405">
        <v>9630.7919610000008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-0.24112567306715443</v>
      </c>
      <c r="Q405">
        <f t="shared" si="975"/>
        <v>-2322.2311937658651</v>
      </c>
      <c r="R405">
        <f t="shared" si="976"/>
        <v>-13775.514257481531</v>
      </c>
      <c r="S405">
        <f t="shared" si="977"/>
        <v>-0.1377551425748153</v>
      </c>
      <c r="T405">
        <f t="shared" si="978"/>
        <v>-1.377551425748153E-4</v>
      </c>
    </row>
    <row r="406" spans="1:20" x14ac:dyDescent="0.25">
      <c r="A406" s="5">
        <v>44187</v>
      </c>
      <c r="B406">
        <v>1629.99</v>
      </c>
      <c r="C406">
        <v>1682.27</v>
      </c>
      <c r="D406">
        <v>1508.89</v>
      </c>
      <c r="E406">
        <v>1597.42</v>
      </c>
      <c r="F406">
        <v>4681.3377129999999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2.1225054792940744E-2</v>
      </c>
      <c r="Q406">
        <f t="shared" si="975"/>
        <v>99.361649462684909</v>
      </c>
      <c r="R406">
        <f t="shared" si="976"/>
        <v>-11453.283063715666</v>
      </c>
      <c r="S406">
        <f t="shared" si="977"/>
        <v>-0.11453283063715666</v>
      </c>
      <c r="T406">
        <f t="shared" si="978"/>
        <v>-1.1453283063715667E-4</v>
      </c>
    </row>
    <row r="407" spans="1:20" x14ac:dyDescent="0.25">
      <c r="A407" s="5">
        <v>44186</v>
      </c>
      <c r="B407">
        <v>1692.47</v>
      </c>
      <c r="C407">
        <v>1756</v>
      </c>
      <c r="D407">
        <v>1573.27</v>
      </c>
      <c r="E407">
        <v>1625.8</v>
      </c>
      <c r="F407">
        <v>4547.1002189999999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-0.42505335741257627</v>
      </c>
      <c r="Q407">
        <f t="shared" si="975"/>
        <v>-1932.7602145774108</v>
      </c>
      <c r="R407">
        <f t="shared" si="976"/>
        <v>-11552.64471317835</v>
      </c>
      <c r="S407">
        <f t="shared" si="977"/>
        <v>-0.11552644713178349</v>
      </c>
      <c r="T407">
        <f t="shared" si="978"/>
        <v>-1.1552644713178349E-4</v>
      </c>
    </row>
    <row r="408" spans="1:20" x14ac:dyDescent="0.25">
      <c r="A408" s="5">
        <v>44185</v>
      </c>
      <c r="B408">
        <v>1790.41</v>
      </c>
      <c r="C408">
        <v>1829.66</v>
      </c>
      <c r="D408">
        <v>1660</v>
      </c>
      <c r="E408">
        <v>1693.38</v>
      </c>
      <c r="F408">
        <v>4323.2713110000004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-0.60650713191087946</v>
      </c>
      <c r="Q408">
        <f t="shared" si="975"/>
        <v>-2622.094883307198</v>
      </c>
      <c r="R408">
        <f t="shared" si="976"/>
        <v>-9619.884498600939</v>
      </c>
      <c r="S408">
        <f t="shared" si="977"/>
        <v>-9.6198844986009391E-2</v>
      </c>
      <c r="T408">
        <f t="shared" si="978"/>
        <v>-9.6198844986009388E-5</v>
      </c>
    </row>
    <row r="409" spans="1:20" x14ac:dyDescent="0.25">
      <c r="A409" s="5">
        <v>44184</v>
      </c>
      <c r="B409">
        <v>1810.42</v>
      </c>
      <c r="C409">
        <v>1890.09</v>
      </c>
      <c r="D409">
        <v>1780.82</v>
      </c>
      <c r="E409">
        <v>1790.39</v>
      </c>
      <c r="F409">
        <v>4920.5447910000003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-0.82483755834171935</v>
      </c>
      <c r="Q409">
        <f t="shared" si="975"/>
        <v>-4058.6501511195061</v>
      </c>
      <c r="R409">
        <f t="shared" si="976"/>
        <v>-6997.7896152937419</v>
      </c>
      <c r="S409">
        <f t="shared" si="977"/>
        <v>-6.9977896152937424E-2</v>
      </c>
      <c r="T409">
        <f t="shared" si="978"/>
        <v>-6.9977896152937418E-5</v>
      </c>
    </row>
    <row r="410" spans="1:20" x14ac:dyDescent="0.25">
      <c r="A410" s="5">
        <v>44183</v>
      </c>
      <c r="B410">
        <v>1780.44</v>
      </c>
      <c r="C410">
        <v>1865</v>
      </c>
      <c r="D410">
        <v>1730</v>
      </c>
      <c r="E410">
        <v>1809.04</v>
      </c>
      <c r="F410">
        <v>3877.5941680000001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0.17096296296296243</v>
      </c>
      <c r="Q410">
        <f t="shared" si="975"/>
        <v>662.92498812918313</v>
      </c>
      <c r="R410">
        <f t="shared" si="976"/>
        <v>-2939.1394641742359</v>
      </c>
      <c r="S410">
        <f t="shared" si="977"/>
        <v>-2.9391394641742358E-2</v>
      </c>
      <c r="T410">
        <f t="shared" si="978"/>
        <v>-2.9391394641742357E-5</v>
      </c>
    </row>
    <row r="411" spans="1:20" x14ac:dyDescent="0.25">
      <c r="A411" s="5">
        <v>44182</v>
      </c>
      <c r="B411">
        <v>1852.01</v>
      </c>
      <c r="C411">
        <v>1908.21</v>
      </c>
      <c r="D411">
        <v>1751.01</v>
      </c>
      <c r="E411">
        <v>1782.23</v>
      </c>
      <c r="F411">
        <v>8988.4847160000008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-0.60279898218829497</v>
      </c>
      <c r="Q411">
        <f t="shared" si="975"/>
        <v>-5418.2494382198465</v>
      </c>
      <c r="R411">
        <f t="shared" si="976"/>
        <v>-3602.0644523034189</v>
      </c>
      <c r="S411">
        <f t="shared" si="977"/>
        <v>-3.602064452303419E-2</v>
      </c>
      <c r="T411">
        <f t="shared" si="978"/>
        <v>-3.6020644523034191E-5</v>
      </c>
    </row>
    <row r="412" spans="1:20" x14ac:dyDescent="0.25">
      <c r="A412" s="5">
        <v>44181</v>
      </c>
      <c r="B412">
        <v>1781.36</v>
      </c>
      <c r="C412">
        <v>1877.75</v>
      </c>
      <c r="D412">
        <v>1702.55</v>
      </c>
      <c r="E412">
        <v>1854.42</v>
      </c>
      <c r="F412">
        <v>6686.0410179999999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0.73367579908675884</v>
      </c>
      <c r="Q412">
        <f t="shared" si="975"/>
        <v>4905.3864866079966</v>
      </c>
      <c r="R412">
        <f t="shared" si="976"/>
        <v>1816.1849859164276</v>
      </c>
      <c r="S412">
        <f t="shared" si="977"/>
        <v>1.8161849859164275E-2</v>
      </c>
      <c r="T412">
        <f t="shared" si="978"/>
        <v>1.8161849859164275E-5</v>
      </c>
    </row>
    <row r="413" spans="1:20" x14ac:dyDescent="0.25">
      <c r="A413" s="5">
        <v>44180</v>
      </c>
      <c r="B413">
        <v>1767.74</v>
      </c>
      <c r="C413">
        <v>1828.92</v>
      </c>
      <c r="D413">
        <v>1762.4</v>
      </c>
      <c r="E413">
        <v>1782.79</v>
      </c>
      <c r="F413">
        <v>3451.4302980000002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-0.38695129284426105</v>
      </c>
      <c r="Q413">
        <f t="shared" si="975"/>
        <v>-1335.5354159729534</v>
      </c>
      <c r="R413">
        <f t="shared" si="976"/>
        <v>-3089.201500691569</v>
      </c>
      <c r="S413">
        <f t="shared" si="977"/>
        <v>-3.0892015006915689E-2</v>
      </c>
      <c r="T413">
        <f t="shared" si="978"/>
        <v>-3.0892015006915688E-5</v>
      </c>
    </row>
    <row r="414" spans="1:20" x14ac:dyDescent="0.25">
      <c r="A414" s="5">
        <v>44179</v>
      </c>
      <c r="B414">
        <v>1795.6</v>
      </c>
      <c r="C414">
        <v>1806.75</v>
      </c>
      <c r="D414">
        <v>1754.84</v>
      </c>
      <c r="E414">
        <v>1766.07</v>
      </c>
      <c r="F414">
        <v>3481.6158660000001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-0.5673280678096706</v>
      </c>
      <c r="Q414">
        <f t="shared" si="975"/>
        <v>-1975.218402113273</v>
      </c>
      <c r="R414">
        <f t="shared" si="976"/>
        <v>-1753.6660847186154</v>
      </c>
      <c r="S414">
        <f t="shared" si="977"/>
        <v>-1.7536660847186154E-2</v>
      </c>
      <c r="T414">
        <f t="shared" si="978"/>
        <v>-1.7536660847186153E-5</v>
      </c>
    </row>
    <row r="415" spans="1:20" x14ac:dyDescent="0.25">
      <c r="A415" s="5">
        <v>44178</v>
      </c>
      <c r="B415">
        <v>1748.66</v>
      </c>
      <c r="C415">
        <v>1855.52</v>
      </c>
      <c r="D415">
        <v>1733.93</v>
      </c>
      <c r="E415">
        <v>1795.26</v>
      </c>
      <c r="F415">
        <v>4871.7168320000001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8.8000657948839305E-3</v>
      </c>
      <c r="Q415">
        <f t="shared" si="975"/>
        <v>42.871428655643506</v>
      </c>
      <c r="R415">
        <f t="shared" si="976"/>
        <v>221.55231739465756</v>
      </c>
      <c r="S415">
        <f t="shared" si="977"/>
        <v>2.2155231739465755E-3</v>
      </c>
      <c r="T415">
        <f t="shared" si="978"/>
        <v>2.2155231739465757E-6</v>
      </c>
    </row>
    <row r="416" spans="1:20" x14ac:dyDescent="0.25">
      <c r="A416" s="5">
        <v>44177</v>
      </c>
      <c r="B416">
        <v>1688.91</v>
      </c>
      <c r="C416">
        <v>1818</v>
      </c>
      <c r="D416">
        <v>1688.71</v>
      </c>
      <c r="E416">
        <v>1750.4</v>
      </c>
      <c r="F416">
        <v>4216.6754719999999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-4.5711191894190241E-2</v>
      </c>
      <c r="Q416">
        <f t="shared" si="975"/>
        <v>-192.7492616561172</v>
      </c>
      <c r="R416">
        <f t="shared" si="976"/>
        <v>178.68088873901405</v>
      </c>
      <c r="S416">
        <f t="shared" si="977"/>
        <v>1.7868088873901405E-3</v>
      </c>
      <c r="T416">
        <f t="shared" si="978"/>
        <v>1.7868088873901406E-6</v>
      </c>
    </row>
    <row r="417" spans="1:20" x14ac:dyDescent="0.25">
      <c r="A417" s="5">
        <v>44176</v>
      </c>
      <c r="B417">
        <v>1803.13</v>
      </c>
      <c r="C417">
        <v>1810</v>
      </c>
      <c r="D417">
        <v>1640.16</v>
      </c>
      <c r="E417">
        <v>1690.64</v>
      </c>
      <c r="F417">
        <v>4870.5932110000003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-0.40555817239755015</v>
      </c>
      <c r="Q417">
        <f t="shared" si="975"/>
        <v>-1975.3088811450755</v>
      </c>
      <c r="R417">
        <f t="shared" si="976"/>
        <v>371.43015039513125</v>
      </c>
      <c r="S417">
        <f t="shared" si="977"/>
        <v>3.7143015039513127E-3</v>
      </c>
      <c r="T417">
        <f t="shared" si="978"/>
        <v>3.7143015039513127E-6</v>
      </c>
    </row>
    <row r="418" spans="1:20" x14ac:dyDescent="0.25">
      <c r="A418" s="5">
        <v>44175</v>
      </c>
      <c r="B418">
        <v>1823.4</v>
      </c>
      <c r="C418">
        <v>1832.52</v>
      </c>
      <c r="D418">
        <v>1761.75</v>
      </c>
      <c r="E418">
        <v>1801.97</v>
      </c>
      <c r="F418">
        <v>2999.9451920000001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0.13663981913240181</v>
      </c>
      <c r="Q418">
        <f t="shared" si="975"/>
        <v>409.91196844199845</v>
      </c>
      <c r="R418">
        <f t="shared" si="976"/>
        <v>2346.7390315402067</v>
      </c>
      <c r="S418">
        <f t="shared" si="977"/>
        <v>2.3467390315402067E-2</v>
      </c>
      <c r="T418">
        <f t="shared" si="978"/>
        <v>2.3467390315402067E-5</v>
      </c>
    </row>
    <row r="419" spans="1:20" x14ac:dyDescent="0.25">
      <c r="A419" s="5">
        <v>44174</v>
      </c>
      <c r="B419">
        <v>1809.84</v>
      </c>
      <c r="C419">
        <v>1850</v>
      </c>
      <c r="D419">
        <v>1728.43</v>
      </c>
      <c r="E419">
        <v>1825.4</v>
      </c>
      <c r="F419">
        <v>5941.9927850000004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0.59529489183186768</v>
      </c>
      <c r="Q419">
        <f t="shared" si="975"/>
        <v>3537.2379522123133</v>
      </c>
      <c r="R419">
        <f t="shared" si="976"/>
        <v>1936.8270630982083</v>
      </c>
      <c r="S419">
        <f t="shared" si="977"/>
        <v>1.9368270630982082E-2</v>
      </c>
      <c r="T419">
        <f t="shared" si="978"/>
        <v>1.9368270630982083E-5</v>
      </c>
    </row>
    <row r="420" spans="1:20" x14ac:dyDescent="0.25">
      <c r="A420" s="5">
        <v>44173</v>
      </c>
      <c r="B420">
        <v>1955</v>
      </c>
      <c r="C420">
        <v>1969.99</v>
      </c>
      <c r="D420">
        <v>1789</v>
      </c>
      <c r="E420">
        <v>1810.72</v>
      </c>
      <c r="F420">
        <v>5679.2640780000002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-0.75998673959887253</v>
      </c>
      <c r="Q420">
        <f t="shared" si="975"/>
        <v>-4316.165389960217</v>
      </c>
      <c r="R420">
        <f t="shared" si="976"/>
        <v>-1600.410889114105</v>
      </c>
      <c r="S420">
        <f t="shared" si="977"/>
        <v>-1.6004108891141049E-2</v>
      </c>
      <c r="T420">
        <f t="shared" si="978"/>
        <v>-1.600410889114105E-5</v>
      </c>
    </row>
    <row r="421" spans="1:20" x14ac:dyDescent="0.25">
      <c r="A421" s="5">
        <v>44172</v>
      </c>
      <c r="B421">
        <v>1960.43</v>
      </c>
      <c r="C421">
        <v>2047.42</v>
      </c>
      <c r="D421">
        <v>1927</v>
      </c>
      <c r="E421">
        <v>1953.91</v>
      </c>
      <c r="F421">
        <v>5422.5504229999997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-0.5530642750373681</v>
      </c>
      <c r="Q421">
        <f t="shared" si="975"/>
        <v>-2999.0189185500685</v>
      </c>
      <c r="R421">
        <f t="shared" si="976"/>
        <v>2715.754500846112</v>
      </c>
      <c r="S421">
        <f t="shared" si="977"/>
        <v>2.7157545008461119E-2</v>
      </c>
      <c r="T421">
        <f t="shared" si="978"/>
        <v>2.7157545008461119E-5</v>
      </c>
    </row>
    <row r="422" spans="1:20" x14ac:dyDescent="0.25">
      <c r="A422" s="5">
        <v>44171</v>
      </c>
      <c r="B422">
        <v>2030.01</v>
      </c>
      <c r="C422">
        <v>2081.9899999999998</v>
      </c>
      <c r="D422">
        <v>1900.52</v>
      </c>
      <c r="E422">
        <v>1959.27</v>
      </c>
      <c r="F422">
        <v>4445.9451429999999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-0.35251005675869218</v>
      </c>
      <c r="Q422">
        <f t="shared" si="975"/>
        <v>-1567.2403747049618</v>
      </c>
      <c r="R422">
        <f t="shared" si="976"/>
        <v>5714.7734193961805</v>
      </c>
      <c r="S422">
        <f t="shared" si="977"/>
        <v>5.7147734193961804E-2</v>
      </c>
      <c r="T422">
        <f t="shared" si="978"/>
        <v>5.7147734193961805E-5</v>
      </c>
    </row>
    <row r="423" spans="1:20" x14ac:dyDescent="0.25">
      <c r="A423" s="5">
        <v>44170</v>
      </c>
      <c r="B423">
        <v>1898</v>
      </c>
      <c r="C423">
        <v>2042.96</v>
      </c>
      <c r="D423">
        <v>1871.73</v>
      </c>
      <c r="E423">
        <v>2030</v>
      </c>
      <c r="F423">
        <v>6453.7587380000004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0.84862465689423539</v>
      </c>
      <c r="Q423">
        <f t="shared" si="975"/>
        <v>5476.8187947134238</v>
      </c>
      <c r="R423">
        <f t="shared" si="976"/>
        <v>7282.0137941011426</v>
      </c>
      <c r="S423">
        <f t="shared" si="977"/>
        <v>7.2820137941011429E-2</v>
      </c>
      <c r="T423">
        <f t="shared" si="978"/>
        <v>7.2820137941011435E-5</v>
      </c>
    </row>
    <row r="424" spans="1:20" x14ac:dyDescent="0.25">
      <c r="A424" s="5">
        <v>44169</v>
      </c>
      <c r="B424">
        <v>2213.19</v>
      </c>
      <c r="C424">
        <v>2306.35</v>
      </c>
      <c r="D424">
        <v>1870.1</v>
      </c>
      <c r="E424">
        <v>1900</v>
      </c>
      <c r="F424">
        <v>12671.821862999999</v>
      </c>
      <c r="G424">
        <v>0</v>
      </c>
      <c r="L424" t="s">
        <v>8</v>
      </c>
      <c r="M424" t="s">
        <v>7</v>
      </c>
      <c r="N424" t="s">
        <v>8</v>
      </c>
      <c r="P424">
        <f t="shared" si="974"/>
        <v>-0.86292263610315145</v>
      </c>
      <c r="Q424">
        <f t="shared" si="975"/>
        <v>-10934.801926249507</v>
      </c>
      <c r="R424">
        <f t="shared" si="976"/>
        <v>1805.1949993877188</v>
      </c>
      <c r="S424">
        <f t="shared" si="977"/>
        <v>1.8051949993877187E-2</v>
      </c>
      <c r="T424">
        <f t="shared" si="978"/>
        <v>1.8051949993877188E-5</v>
      </c>
    </row>
    <row r="425" spans="1:20" x14ac:dyDescent="0.25">
      <c r="A425" s="5">
        <v>44168</v>
      </c>
      <c r="B425">
        <v>2064.9</v>
      </c>
      <c r="C425">
        <v>2268</v>
      </c>
      <c r="D425">
        <v>1976.84</v>
      </c>
      <c r="E425">
        <v>2215.31</v>
      </c>
      <c r="F425">
        <v>12649.091699000001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0.63806841599120734</v>
      </c>
      <c r="Q425">
        <f t="shared" si="975"/>
        <v>8070.9859041084601</v>
      </c>
      <c r="R425">
        <f t="shared" si="976"/>
        <v>12739.996925637226</v>
      </c>
      <c r="S425">
        <f t="shared" si="977"/>
        <v>0.12739996925637226</v>
      </c>
      <c r="T425">
        <f t="shared" si="978"/>
        <v>1.2739996925637226E-4</v>
      </c>
    </row>
    <row r="426" spans="1:20" x14ac:dyDescent="0.25">
      <c r="A426" s="5">
        <v>44167</v>
      </c>
      <c r="B426">
        <v>1877.36</v>
      </c>
      <c r="C426">
        <v>2167.9899999999998</v>
      </c>
      <c r="D426">
        <v>1833</v>
      </c>
      <c r="E426">
        <v>2067.5500000000002</v>
      </c>
      <c r="F426">
        <v>16140.060272000001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0.40034030866593234</v>
      </c>
      <c r="Q426">
        <f t="shared" si="975"/>
        <v>6461.5167111792325</v>
      </c>
      <c r="R426">
        <f t="shared" si="976"/>
        <v>4669.0110215287659</v>
      </c>
      <c r="S426">
        <f t="shared" si="977"/>
        <v>4.6690110215287663E-2</v>
      </c>
      <c r="T426">
        <f t="shared" si="978"/>
        <v>4.6690110215287663E-5</v>
      </c>
    </row>
    <row r="427" spans="1:20" x14ac:dyDescent="0.25">
      <c r="A427" s="5">
        <v>44166</v>
      </c>
      <c r="B427">
        <v>2026.08</v>
      </c>
      <c r="C427">
        <v>2167.4499999999998</v>
      </c>
      <c r="D427">
        <v>1550</v>
      </c>
      <c r="E427">
        <v>1878.1</v>
      </c>
      <c r="F427">
        <v>15889.181075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6.2758118066240196E-2</v>
      </c>
      <c r="Q427">
        <f t="shared" si="975"/>
        <v>997.17510188071935</v>
      </c>
      <c r="R427">
        <f t="shared" si="976"/>
        <v>-1792.5056896504661</v>
      </c>
      <c r="S427">
        <f t="shared" si="977"/>
        <v>-1.792505689650466E-2</v>
      </c>
      <c r="T427">
        <f t="shared" si="978"/>
        <v>-1.7925056896504661E-5</v>
      </c>
    </row>
    <row r="428" spans="1:20" x14ac:dyDescent="0.25">
      <c r="A428" s="5">
        <v>44165</v>
      </c>
      <c r="B428">
        <v>1851.62</v>
      </c>
      <c r="C428">
        <v>2048.06</v>
      </c>
      <c r="D428">
        <v>1851.62</v>
      </c>
      <c r="E428">
        <v>2026.07</v>
      </c>
      <c r="F428">
        <v>12739.812803999999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0.77611484422724497</v>
      </c>
      <c r="Q428">
        <f t="shared" si="975"/>
        <v>9887.5578298607197</v>
      </c>
      <c r="R428">
        <f t="shared" si="976"/>
        <v>-2789.6807915311856</v>
      </c>
      <c r="S428">
        <f t="shared" si="977"/>
        <v>-2.7896807915311857E-2</v>
      </c>
      <c r="T428">
        <f t="shared" si="978"/>
        <v>-2.7896807915311856E-5</v>
      </c>
    </row>
    <row r="429" spans="1:20" x14ac:dyDescent="0.25">
      <c r="A429" s="5">
        <v>44164</v>
      </c>
      <c r="B429">
        <v>1815.74</v>
      </c>
      <c r="C429">
        <v>1940</v>
      </c>
      <c r="D429">
        <v>1750.04</v>
      </c>
      <c r="E429">
        <v>1847.84</v>
      </c>
      <c r="F429">
        <v>8159.6489170000004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2.9690461149715054E-2</v>
      </c>
      <c r="Q429">
        <f t="shared" si="975"/>
        <v>242.26373916550304</v>
      </c>
      <c r="R429">
        <f t="shared" si="976"/>
        <v>-12677.238621391905</v>
      </c>
      <c r="S429">
        <f t="shared" si="977"/>
        <v>-0.12677238621391906</v>
      </c>
      <c r="T429">
        <f t="shared" si="978"/>
        <v>-1.2677238621391907E-4</v>
      </c>
    </row>
    <row r="430" spans="1:20" x14ac:dyDescent="0.25">
      <c r="A430" s="5">
        <v>44163</v>
      </c>
      <c r="B430">
        <v>1767.64</v>
      </c>
      <c r="C430">
        <v>1845</v>
      </c>
      <c r="D430">
        <v>1713</v>
      </c>
      <c r="E430">
        <v>1816.82</v>
      </c>
      <c r="F430">
        <v>8026.478889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0.57303030303030211</v>
      </c>
      <c r="Q430">
        <f t="shared" si="975"/>
        <v>4599.4156300299928</v>
      </c>
      <c r="R430">
        <f t="shared" si="976"/>
        <v>-12919.502360557408</v>
      </c>
      <c r="S430">
        <f t="shared" si="977"/>
        <v>-0.12919502360557408</v>
      </c>
      <c r="T430">
        <f t="shared" si="978"/>
        <v>-1.2919502360557409E-4</v>
      </c>
    </row>
    <row r="431" spans="1:20" x14ac:dyDescent="0.25">
      <c r="A431" s="5">
        <v>44162</v>
      </c>
      <c r="B431">
        <v>1769.76</v>
      </c>
      <c r="C431">
        <v>1958.45</v>
      </c>
      <c r="D431">
        <v>1704.55</v>
      </c>
      <c r="E431">
        <v>1766.12</v>
      </c>
      <c r="F431">
        <v>19565.558653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-0.51500590783773204</v>
      </c>
      <c r="Q431">
        <f t="shared" si="975"/>
        <v>-10076.378296440658</v>
      </c>
      <c r="R431">
        <f t="shared" si="976"/>
        <v>-17518.917990587401</v>
      </c>
      <c r="S431">
        <f t="shared" si="977"/>
        <v>-0.17518917990587402</v>
      </c>
      <c r="T431">
        <f t="shared" si="978"/>
        <v>-1.7518917990587402E-4</v>
      </c>
    </row>
    <row r="432" spans="1:20" x14ac:dyDescent="0.25">
      <c r="A432" s="5">
        <v>44161</v>
      </c>
      <c r="B432">
        <v>1934.21</v>
      </c>
      <c r="C432">
        <v>1975</v>
      </c>
      <c r="D432">
        <v>1512</v>
      </c>
      <c r="E432">
        <v>1767.65</v>
      </c>
      <c r="F432">
        <v>26843.978175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0.10431965442764618</v>
      </c>
      <c r="Q432">
        <f t="shared" si="975"/>
        <v>2800.3545266792762</v>
      </c>
      <c r="R432">
        <f t="shared" si="976"/>
        <v>-7442.5396941467434</v>
      </c>
      <c r="S432">
        <f t="shared" si="977"/>
        <v>-7.4425396941467437E-2</v>
      </c>
      <c r="T432">
        <f t="shared" si="978"/>
        <v>-7.4425396941467441E-5</v>
      </c>
    </row>
    <row r="433" spans="1:20" x14ac:dyDescent="0.25">
      <c r="A433" s="5">
        <v>44160</v>
      </c>
      <c r="B433">
        <v>2208.09</v>
      </c>
      <c r="C433">
        <v>2253.7800000000002</v>
      </c>
      <c r="D433">
        <v>1877.28</v>
      </c>
      <c r="E433">
        <v>1933.64</v>
      </c>
      <c r="F433">
        <v>11760.18936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-0.70061088977423591</v>
      </c>
      <c r="Q433">
        <f t="shared" si="975"/>
        <v>-8239.3167314231014</v>
      </c>
      <c r="R433">
        <f t="shared" si="976"/>
        <v>-10242.89422082602</v>
      </c>
      <c r="S433">
        <f t="shared" si="977"/>
        <v>-0.1024289422082602</v>
      </c>
      <c r="T433">
        <f t="shared" si="978"/>
        <v>-1.024289422082602E-4</v>
      </c>
    </row>
    <row r="434" spans="1:20" x14ac:dyDescent="0.25">
      <c r="A434" s="5">
        <v>44159</v>
      </c>
      <c r="B434">
        <v>2232.5500000000002</v>
      </c>
      <c r="C434">
        <v>2353.66</v>
      </c>
      <c r="D434">
        <v>2092.3200000000002</v>
      </c>
      <c r="E434">
        <v>2210</v>
      </c>
      <c r="F434">
        <v>12660.699076999999</v>
      </c>
      <c r="G434">
        <v>0</v>
      </c>
      <c r="L434" t="s">
        <v>8</v>
      </c>
      <c r="M434" t="s">
        <v>7</v>
      </c>
      <c r="N434" t="s">
        <v>7</v>
      </c>
      <c r="P434">
        <f t="shared" si="974"/>
        <v>-9.9410729318129831E-2</v>
      </c>
      <c r="Q434">
        <f t="shared" si="975"/>
        <v>-1258.6093289219432</v>
      </c>
      <c r="R434">
        <f t="shared" si="976"/>
        <v>-2003.5774894029184</v>
      </c>
      <c r="S434">
        <f t="shared" si="977"/>
        <v>-2.0035774894029183E-2</v>
      </c>
      <c r="T434">
        <f t="shared" si="978"/>
        <v>-2.0035774894029182E-5</v>
      </c>
    </row>
    <row r="435" spans="1:20" x14ac:dyDescent="0.25">
      <c r="A435" s="5">
        <v>44158</v>
      </c>
      <c r="B435">
        <v>2203.48</v>
      </c>
      <c r="C435">
        <v>2331.64</v>
      </c>
      <c r="D435">
        <v>2110</v>
      </c>
      <c r="E435">
        <v>2230.6799999999998</v>
      </c>
      <c r="F435">
        <v>12894.531736000001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8.8973109547012319E-2</v>
      </c>
      <c r="Q435">
        <f t="shared" si="975"/>
        <v>1147.266584704555</v>
      </c>
      <c r="R435">
        <f t="shared" si="976"/>
        <v>-744.96816048097526</v>
      </c>
      <c r="S435">
        <f t="shared" si="977"/>
        <v>-7.4496816048097523E-3</v>
      </c>
      <c r="T435">
        <f t="shared" si="978"/>
        <v>-7.4496816048097523E-6</v>
      </c>
    </row>
    <row r="436" spans="1:20" x14ac:dyDescent="0.25">
      <c r="A436" s="5">
        <v>44157</v>
      </c>
      <c r="B436">
        <v>2326.8200000000002</v>
      </c>
      <c r="C436">
        <v>2390</v>
      </c>
      <c r="D436">
        <v>2037.19</v>
      </c>
      <c r="E436">
        <v>2203.48</v>
      </c>
      <c r="F436">
        <v>25200.913444999998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-5.7339644567897793E-2</v>
      </c>
      <c r="Q436">
        <f t="shared" si="975"/>
        <v>-1445.0114197226567</v>
      </c>
      <c r="R436">
        <f t="shared" si="976"/>
        <v>-1892.2347451855303</v>
      </c>
      <c r="S436">
        <f t="shared" si="977"/>
        <v>-1.8922347451855302E-2</v>
      </c>
      <c r="T436">
        <f t="shared" si="978"/>
        <v>-1.8922347451855301E-5</v>
      </c>
    </row>
    <row r="437" spans="1:20" x14ac:dyDescent="0.25">
      <c r="A437" s="5">
        <v>44156</v>
      </c>
      <c r="B437">
        <v>2520.71</v>
      </c>
      <c r="C437">
        <v>2598.86</v>
      </c>
      <c r="D437">
        <v>2228</v>
      </c>
      <c r="E437">
        <v>2326.85</v>
      </c>
      <c r="F437">
        <v>20265.0573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-0.46691473871541889</v>
      </c>
      <c r="Q437">
        <f t="shared" si="975"/>
        <v>-9462.0539342824923</v>
      </c>
      <c r="R437">
        <f t="shared" si="976"/>
        <v>-447.22332546287362</v>
      </c>
      <c r="S437">
        <f t="shared" si="977"/>
        <v>-4.4722332546287364E-3</v>
      </c>
      <c r="T437">
        <f t="shared" si="978"/>
        <v>-4.4722332546287363E-6</v>
      </c>
    </row>
    <row r="438" spans="1:20" x14ac:dyDescent="0.25">
      <c r="A438" s="5">
        <v>44155</v>
      </c>
      <c r="B438">
        <v>2339.0300000000002</v>
      </c>
      <c r="C438">
        <v>2750</v>
      </c>
      <c r="D438">
        <v>2308</v>
      </c>
      <c r="E438">
        <v>2523.81</v>
      </c>
      <c r="F438">
        <v>28162.296898000001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-2.3484162895927849E-2</v>
      </c>
      <c r="Q438">
        <f t="shared" si="975"/>
        <v>-661.36796787611559</v>
      </c>
      <c r="R438">
        <f t="shared" si="976"/>
        <v>9014.8306088196186</v>
      </c>
      <c r="S438">
        <f t="shared" si="977"/>
        <v>9.0148306088196184E-2</v>
      </c>
      <c r="T438">
        <f t="shared" si="978"/>
        <v>9.0148306088196189E-5</v>
      </c>
    </row>
    <row r="439" spans="1:20" x14ac:dyDescent="0.25">
      <c r="A439" s="5">
        <v>44154</v>
      </c>
      <c r="B439">
        <v>2072.91</v>
      </c>
      <c r="C439">
        <v>2485</v>
      </c>
      <c r="D439">
        <v>1958</v>
      </c>
      <c r="E439">
        <v>2333.4299999999998</v>
      </c>
      <c r="F439">
        <v>30304.489645000001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0.42478178368121378</v>
      </c>
      <c r="Q439">
        <f t="shared" si="975"/>
        <v>12872.795164951973</v>
      </c>
      <c r="R439">
        <f t="shared" si="976"/>
        <v>9676.198576695735</v>
      </c>
      <c r="S439">
        <f t="shared" si="977"/>
        <v>9.6761985766957354E-2</v>
      </c>
      <c r="T439">
        <f t="shared" si="978"/>
        <v>9.6761985766957351E-5</v>
      </c>
    </row>
    <row r="440" spans="1:20" x14ac:dyDescent="0.25">
      <c r="A440" s="5">
        <v>44153</v>
      </c>
      <c r="B440">
        <v>2131.29</v>
      </c>
      <c r="C440">
        <v>2167</v>
      </c>
      <c r="D440">
        <v>1789</v>
      </c>
      <c r="E440">
        <v>2069.86</v>
      </c>
      <c r="F440">
        <v>27007.721699999998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0.4860317460317467</v>
      </c>
      <c r="Q440">
        <f t="shared" si="975"/>
        <v>13126.610134190494</v>
      </c>
      <c r="R440">
        <f t="shared" si="976"/>
        <v>-3196.5965882562377</v>
      </c>
      <c r="S440">
        <f t="shared" si="977"/>
        <v>-3.1965965882562376E-2</v>
      </c>
      <c r="T440">
        <f t="shared" si="978"/>
        <v>-3.1965965882562377E-5</v>
      </c>
    </row>
    <row r="441" spans="1:20" x14ac:dyDescent="0.25">
      <c r="A441" s="5">
        <v>44152</v>
      </c>
      <c r="B441">
        <v>1776.26</v>
      </c>
      <c r="C441">
        <v>2232.58</v>
      </c>
      <c r="D441">
        <v>1766.67</v>
      </c>
      <c r="E441">
        <v>2132.9499999999998</v>
      </c>
      <c r="F441">
        <v>24484.453165999999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0.57232083449593207</v>
      </c>
      <c r="Q441">
        <f t="shared" si="975"/>
        <v>14012.962668141685</v>
      </c>
      <c r="R441">
        <f t="shared" si="976"/>
        <v>-16323.206722446732</v>
      </c>
      <c r="S441">
        <f t="shared" si="977"/>
        <v>-0.16323206722446731</v>
      </c>
      <c r="T441">
        <f t="shared" si="978"/>
        <v>-1.6323206722446731E-4</v>
      </c>
    </row>
    <row r="442" spans="1:20" x14ac:dyDescent="0.25">
      <c r="A442" s="5">
        <v>44151</v>
      </c>
      <c r="B442">
        <v>1705.3</v>
      </c>
      <c r="C442">
        <v>1841</v>
      </c>
      <c r="D442">
        <v>1654.3</v>
      </c>
      <c r="E442">
        <v>1779.17</v>
      </c>
      <c r="F442">
        <v>18377.286542000002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0.33765399035886545</v>
      </c>
      <c r="Q442">
        <f t="shared" si="975"/>
        <v>6205.1641328745764</v>
      </c>
      <c r="R442">
        <f t="shared" si="976"/>
        <v>-30336.169390588417</v>
      </c>
      <c r="S442">
        <f t="shared" si="977"/>
        <v>-0.30336169390588419</v>
      </c>
      <c r="T442">
        <f t="shared" si="978"/>
        <v>-3.0336169390588418E-4</v>
      </c>
    </row>
    <row r="443" spans="1:20" x14ac:dyDescent="0.25">
      <c r="A443" s="5">
        <v>44150</v>
      </c>
      <c r="B443">
        <v>1578.44</v>
      </c>
      <c r="C443">
        <v>1866</v>
      </c>
      <c r="D443">
        <v>1570.84</v>
      </c>
      <c r="E443">
        <v>1705</v>
      </c>
      <c r="F443">
        <v>22955.376665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-9.0933730857839512E-2</v>
      </c>
      <c r="Q443">
        <f t="shared" si="975"/>
        <v>-2087.4180433954393</v>
      </c>
      <c r="R443">
        <f t="shared" si="976"/>
        <v>-36541.333523462992</v>
      </c>
      <c r="S443">
        <f t="shared" si="977"/>
        <v>-0.36541333523462993</v>
      </c>
      <c r="T443">
        <f t="shared" si="978"/>
        <v>-3.6541333523462991E-4</v>
      </c>
    </row>
    <row r="444" spans="1:20" x14ac:dyDescent="0.25">
      <c r="A444" s="5">
        <v>44149</v>
      </c>
      <c r="B444">
        <v>1666.21</v>
      </c>
      <c r="C444">
        <v>1674.03</v>
      </c>
      <c r="D444">
        <v>1505.02</v>
      </c>
      <c r="E444">
        <v>1577.51</v>
      </c>
      <c r="F444">
        <v>11050.425497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-0.14218093603928747</v>
      </c>
      <c r="Q444">
        <f t="shared" si="975"/>
        <v>-1571.1598407958684</v>
      </c>
      <c r="R444">
        <f t="shared" si="976"/>
        <v>-34453.915480067553</v>
      </c>
      <c r="S444">
        <f t="shared" si="977"/>
        <v>-0.34453915480067554</v>
      </c>
      <c r="T444">
        <f t="shared" si="978"/>
        <v>-3.4453915480067552E-4</v>
      </c>
    </row>
    <row r="445" spans="1:20" x14ac:dyDescent="0.25">
      <c r="A445" s="5">
        <v>44148</v>
      </c>
      <c r="B445">
        <v>1454.16</v>
      </c>
      <c r="C445">
        <v>1695</v>
      </c>
      <c r="D445">
        <v>1437.6</v>
      </c>
      <c r="E445">
        <v>1667.71</v>
      </c>
      <c r="F445">
        <v>17730.375183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0.78795648795648832</v>
      </c>
      <c r="Q445">
        <f t="shared" si="975"/>
        <v>13970.764159347558</v>
      </c>
      <c r="R445">
        <f t="shared" si="976"/>
        <v>-32882.755639271687</v>
      </c>
      <c r="S445">
        <f t="shared" si="977"/>
        <v>-0.32882755639271688</v>
      </c>
      <c r="T445">
        <f t="shared" si="978"/>
        <v>-3.2882755639271685E-4</v>
      </c>
    </row>
    <row r="446" spans="1:20" x14ac:dyDescent="0.25">
      <c r="A446" s="5">
        <v>44147</v>
      </c>
      <c r="B446">
        <v>1527.52</v>
      </c>
      <c r="C446">
        <v>1574.3</v>
      </c>
      <c r="D446">
        <v>1405</v>
      </c>
      <c r="E446">
        <v>1453.44</v>
      </c>
      <c r="F446">
        <v>11466.494099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-0.42776137034849299</v>
      </c>
      <c r="Q446">
        <f t="shared" si="975"/>
        <v>-4904.9232288811481</v>
      </c>
      <c r="R446">
        <f t="shared" si="976"/>
        <v>-46853.519798619243</v>
      </c>
      <c r="S446">
        <f t="shared" si="977"/>
        <v>-0.46853519798619242</v>
      </c>
      <c r="T446">
        <f t="shared" si="978"/>
        <v>-4.6853519798619239E-4</v>
      </c>
    </row>
    <row r="447" spans="1:20" x14ac:dyDescent="0.25">
      <c r="A447" s="5">
        <v>44146</v>
      </c>
      <c r="B447">
        <v>1705</v>
      </c>
      <c r="C447">
        <v>1766</v>
      </c>
      <c r="D447">
        <v>1482</v>
      </c>
      <c r="E447">
        <v>1530</v>
      </c>
      <c r="F447">
        <v>15938.105208999999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-0.6619718309859155</v>
      </c>
      <c r="Q447">
        <f t="shared" si="975"/>
        <v>-10550.576687647887</v>
      </c>
      <c r="R447">
        <f t="shared" si="976"/>
        <v>-41948.596569738096</v>
      </c>
      <c r="S447">
        <f t="shared" si="977"/>
        <v>-0.41948596569738095</v>
      </c>
      <c r="T447">
        <f t="shared" si="978"/>
        <v>-4.1948596569738093E-4</v>
      </c>
    </row>
    <row r="448" spans="1:20" x14ac:dyDescent="0.25">
      <c r="A448" s="5">
        <v>44145</v>
      </c>
      <c r="B448">
        <v>1518.19</v>
      </c>
      <c r="C448">
        <v>1748</v>
      </c>
      <c r="D448">
        <v>1480</v>
      </c>
      <c r="E448">
        <v>1704.39</v>
      </c>
      <c r="F448">
        <v>25121.590885000001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0.67455223880597093</v>
      </c>
      <c r="Q448">
        <f t="shared" si="975"/>
        <v>16945.825373844422</v>
      </c>
      <c r="R448">
        <f t="shared" si="976"/>
        <v>-31398.019882090211</v>
      </c>
      <c r="S448">
        <f t="shared" si="977"/>
        <v>-0.31398019882090211</v>
      </c>
      <c r="T448">
        <f t="shared" si="978"/>
        <v>-3.1398019882090212E-4</v>
      </c>
    </row>
    <row r="449" spans="1:20" x14ac:dyDescent="0.25">
      <c r="A449" s="5">
        <v>44144</v>
      </c>
      <c r="B449">
        <v>1600.7</v>
      </c>
      <c r="C449">
        <v>1645</v>
      </c>
      <c r="D449">
        <v>1470.01</v>
      </c>
      <c r="E449">
        <v>1518.6</v>
      </c>
      <c r="F449">
        <v>17444.799595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-0.44465398022744251</v>
      </c>
      <c r="Q449">
        <f t="shared" si="975"/>
        <v>-7756.8995741868275</v>
      </c>
      <c r="R449">
        <f t="shared" si="976"/>
        <v>-48343.845255934633</v>
      </c>
      <c r="S449">
        <f t="shared" si="977"/>
        <v>-0.48343845255934631</v>
      </c>
      <c r="T449">
        <f t="shared" si="978"/>
        <v>-4.8343845255934632E-4</v>
      </c>
    </row>
    <row r="450" spans="1:20" x14ac:dyDescent="0.25">
      <c r="A450" s="5">
        <v>44143</v>
      </c>
      <c r="B450">
        <v>1520.23</v>
      </c>
      <c r="C450">
        <v>1697.46</v>
      </c>
      <c r="D450">
        <v>1450</v>
      </c>
      <c r="E450">
        <v>1601.45</v>
      </c>
      <c r="F450">
        <v>23661.914970000002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0.2240362078719795</v>
      </c>
      <c r="Q450">
        <f t="shared" si="975"/>
        <v>5301.1257008680241</v>
      </c>
      <c r="R450">
        <f t="shared" si="976"/>
        <v>-40586.945681747806</v>
      </c>
      <c r="S450">
        <f t="shared" si="977"/>
        <v>-0.40586945681747805</v>
      </c>
      <c r="T450">
        <f t="shared" si="978"/>
        <v>-4.0586945681747805E-4</v>
      </c>
    </row>
    <row r="451" spans="1:20" x14ac:dyDescent="0.25">
      <c r="A451" s="5">
        <v>44142</v>
      </c>
      <c r="B451">
        <v>1370.95</v>
      </c>
      <c r="C451">
        <v>1940</v>
      </c>
      <c r="D451">
        <v>1355</v>
      </c>
      <c r="E451">
        <v>1519.45</v>
      </c>
      <c r="F451">
        <v>55658.731562000001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-0.4377777777777776</v>
      </c>
      <c r="Q451">
        <f t="shared" si="975"/>
        <v>-24366.155817142211</v>
      </c>
      <c r="R451">
        <f t="shared" si="976"/>
        <v>-45888.071382615832</v>
      </c>
      <c r="S451">
        <f t="shared" si="977"/>
        <v>-0.4588807138261583</v>
      </c>
      <c r="T451">
        <f t="shared" si="978"/>
        <v>-4.5888071382615828E-4</v>
      </c>
    </row>
    <row r="452" spans="1:20" x14ac:dyDescent="0.25">
      <c r="A452" s="5">
        <v>44141</v>
      </c>
      <c r="B452">
        <v>1121.1400000000001</v>
      </c>
      <c r="C452">
        <v>1411.11</v>
      </c>
      <c r="D452">
        <v>1113.6199999999999</v>
      </c>
      <c r="E452">
        <v>1370.91</v>
      </c>
      <c r="F452">
        <v>30240.560038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0.72973881475007685</v>
      </c>
      <c r="Q452">
        <f t="shared" si="975"/>
        <v>22067.710439508657</v>
      </c>
      <c r="R452">
        <f t="shared" si="976"/>
        <v>-21521.915565473617</v>
      </c>
      <c r="S452">
        <f t="shared" si="977"/>
        <v>-0.21521915565473618</v>
      </c>
      <c r="T452">
        <f t="shared" si="978"/>
        <v>-2.1521915565473617E-4</v>
      </c>
    </row>
    <row r="453" spans="1:20" x14ac:dyDescent="0.25">
      <c r="A453" s="5">
        <v>44140</v>
      </c>
      <c r="B453">
        <v>1067.3900000000001</v>
      </c>
      <c r="C453">
        <v>1296.1199999999999</v>
      </c>
      <c r="D453">
        <v>970</v>
      </c>
      <c r="E453">
        <v>1121.92</v>
      </c>
      <c r="F453">
        <v>25489.430117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-6.8318410401078597E-2</v>
      </c>
      <c r="Q453">
        <f t="shared" si="975"/>
        <v>-1741.3973476228189</v>
      </c>
      <c r="R453">
        <f t="shared" si="976"/>
        <v>-43589.626004982274</v>
      </c>
      <c r="S453">
        <f t="shared" si="977"/>
        <v>-0.43589626004982274</v>
      </c>
      <c r="T453">
        <f t="shared" si="978"/>
        <v>-4.3589626004982273E-4</v>
      </c>
    </row>
    <row r="454" spans="1:20" x14ac:dyDescent="0.25">
      <c r="A454" s="5">
        <v>44139</v>
      </c>
      <c r="B454">
        <v>1179.77</v>
      </c>
      <c r="C454">
        <v>1246.78</v>
      </c>
      <c r="D454">
        <v>1023.19</v>
      </c>
      <c r="E454">
        <v>1067.31</v>
      </c>
      <c r="F454">
        <v>12912.018816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-0.60534907643454616</v>
      </c>
      <c r="Q454">
        <f t="shared" ref="Q454:Q517" si="980">F454*P454</f>
        <v>-7816.2786651710821</v>
      </c>
      <c r="R454">
        <f t="shared" ref="R454:R517" si="981">R455+Q454</f>
        <v>-41848.228657359454</v>
      </c>
      <c r="S454">
        <f t="shared" ref="S454:S517" si="982">R454/100000</f>
        <v>-0.41848228657359454</v>
      </c>
      <c r="T454">
        <f t="shared" ref="T454:T517" si="983">S454/1000</f>
        <v>-4.1848228657359452E-4</v>
      </c>
    </row>
    <row r="455" spans="1:20" x14ac:dyDescent="0.25">
      <c r="A455" s="5">
        <v>44138</v>
      </c>
      <c r="B455">
        <v>1229.24</v>
      </c>
      <c r="C455">
        <v>1245.8699999999999</v>
      </c>
      <c r="D455">
        <v>1150.3499999999999</v>
      </c>
      <c r="E455">
        <v>1178.55</v>
      </c>
      <c r="F455">
        <v>7396.0449879999996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-0.40954773869346628</v>
      </c>
      <c r="Q455">
        <f t="shared" si="980"/>
        <v>-3029.033500110545</v>
      </c>
      <c r="R455">
        <f t="shared" si="981"/>
        <v>-34031.949992188369</v>
      </c>
      <c r="S455">
        <f t="shared" si="982"/>
        <v>-0.34031949992188371</v>
      </c>
      <c r="T455">
        <f t="shared" si="983"/>
        <v>-3.4031949992188368E-4</v>
      </c>
    </row>
    <row r="456" spans="1:20" x14ac:dyDescent="0.25">
      <c r="A456" s="5">
        <v>44137</v>
      </c>
      <c r="B456">
        <v>1305.1400000000001</v>
      </c>
      <c r="C456">
        <v>1382.27</v>
      </c>
      <c r="D456">
        <v>1215.96</v>
      </c>
      <c r="E456">
        <v>1229.08</v>
      </c>
      <c r="F456">
        <v>8684.3100680000007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-0.84222235584150207</v>
      </c>
      <c r="Q456">
        <f t="shared" si="980"/>
        <v>-7314.1200843290353</v>
      </c>
      <c r="R456">
        <f t="shared" si="981"/>
        <v>-31002.91649207782</v>
      </c>
      <c r="S456">
        <f t="shared" si="982"/>
        <v>-0.3100291649207782</v>
      </c>
      <c r="T456">
        <f t="shared" si="983"/>
        <v>-3.1002916492077817E-4</v>
      </c>
    </row>
    <row r="457" spans="1:20" x14ac:dyDescent="0.25">
      <c r="A457" s="5">
        <v>44136</v>
      </c>
      <c r="B457">
        <v>1278.82</v>
      </c>
      <c r="C457">
        <v>1335</v>
      </c>
      <c r="D457">
        <v>1262.71</v>
      </c>
      <c r="E457">
        <v>1302.8699999999999</v>
      </c>
      <c r="F457">
        <v>8405.1270480000003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0.1110803707290047</v>
      </c>
      <c r="Q457">
        <f t="shared" si="980"/>
        <v>933.64462851622488</v>
      </c>
      <c r="R457">
        <f t="shared" si="981"/>
        <v>-23688.796407748785</v>
      </c>
      <c r="S457">
        <f t="shared" si="982"/>
        <v>-0.23688796407748786</v>
      </c>
      <c r="T457">
        <f t="shared" si="983"/>
        <v>-2.3688796407748787E-4</v>
      </c>
    </row>
    <row r="458" spans="1:20" x14ac:dyDescent="0.25">
      <c r="A458" s="5">
        <v>44135</v>
      </c>
      <c r="B458">
        <v>1371.21</v>
      </c>
      <c r="C458">
        <v>1460</v>
      </c>
      <c r="D458">
        <v>1245.8399999999999</v>
      </c>
      <c r="E458">
        <v>1280.67</v>
      </c>
      <c r="F458">
        <v>14346.129258999999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-0.67472917444900882</v>
      </c>
      <c r="Q458">
        <f t="shared" si="980"/>
        <v>-9679.7519514638407</v>
      </c>
      <c r="R458">
        <f t="shared" si="981"/>
        <v>-24622.441036265009</v>
      </c>
      <c r="S458">
        <f t="shared" si="982"/>
        <v>-0.24622441036265008</v>
      </c>
      <c r="T458">
        <f t="shared" si="983"/>
        <v>-2.4622441036265008E-4</v>
      </c>
    </row>
    <row r="459" spans="1:20" x14ac:dyDescent="0.25">
      <c r="A459" s="5">
        <v>44134</v>
      </c>
      <c r="B459">
        <v>1265.93</v>
      </c>
      <c r="C459">
        <v>1539.98</v>
      </c>
      <c r="D459">
        <v>1135</v>
      </c>
      <c r="E459">
        <v>1370.62</v>
      </c>
      <c r="F459">
        <v>26862.008804000001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0.1636130179268106</v>
      </c>
      <c r="Q459">
        <f t="shared" si="980"/>
        <v>4394.9743279989962</v>
      </c>
      <c r="R459">
        <f t="shared" si="981"/>
        <v>-14942.689084801168</v>
      </c>
      <c r="S459">
        <f t="shared" si="982"/>
        <v>-0.14942689084801167</v>
      </c>
      <c r="T459">
        <f t="shared" si="983"/>
        <v>-1.4942689084801168E-4</v>
      </c>
    </row>
    <row r="460" spans="1:20" x14ac:dyDescent="0.25">
      <c r="A460" s="5">
        <v>44133</v>
      </c>
      <c r="B460">
        <v>1395.71</v>
      </c>
      <c r="C460">
        <v>1425.75</v>
      </c>
      <c r="D460">
        <v>1242.04</v>
      </c>
      <c r="E460">
        <v>1266.77</v>
      </c>
      <c r="F460">
        <v>12258.413536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-0.73077132436993075</v>
      </c>
      <c r="Q460">
        <f t="shared" si="980"/>
        <v>-8958.0970943770062</v>
      </c>
      <c r="R460">
        <f t="shared" si="981"/>
        <v>-19337.663412800164</v>
      </c>
      <c r="S460">
        <f t="shared" si="982"/>
        <v>-0.19337663412800163</v>
      </c>
      <c r="T460">
        <f t="shared" si="983"/>
        <v>-1.9337663412800164E-4</v>
      </c>
    </row>
    <row r="461" spans="1:20" x14ac:dyDescent="0.25">
      <c r="A461" s="5">
        <v>44132</v>
      </c>
      <c r="B461">
        <v>1569.94</v>
      </c>
      <c r="C461">
        <v>1593.81</v>
      </c>
      <c r="D461">
        <v>1330</v>
      </c>
      <c r="E461">
        <v>1395</v>
      </c>
      <c r="F461">
        <v>12192.775093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-0.50722110609908633</v>
      </c>
      <c r="Q461">
        <f t="shared" si="980"/>
        <v>-6184.4328690888506</v>
      </c>
      <c r="R461">
        <f t="shared" si="981"/>
        <v>-10379.566318423158</v>
      </c>
      <c r="S461">
        <f t="shared" si="982"/>
        <v>-0.10379566318423158</v>
      </c>
      <c r="T461">
        <f t="shared" si="983"/>
        <v>-1.0379566318423159E-4</v>
      </c>
    </row>
    <row r="462" spans="1:20" x14ac:dyDescent="0.25">
      <c r="A462" s="5">
        <v>44131</v>
      </c>
      <c r="B462">
        <v>1577.25</v>
      </c>
      <c r="C462">
        <v>1664.89</v>
      </c>
      <c r="D462">
        <v>1520</v>
      </c>
      <c r="E462">
        <v>1570.68</v>
      </c>
      <c r="F462">
        <v>8646.096947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-0.30043481261646726</v>
      </c>
      <c r="Q462">
        <f t="shared" si="980"/>
        <v>-2597.5885161357546</v>
      </c>
      <c r="R462">
        <f t="shared" si="981"/>
        <v>-4195.1334493343074</v>
      </c>
      <c r="S462">
        <f t="shared" si="982"/>
        <v>-4.1951334493343075E-2</v>
      </c>
      <c r="T462">
        <f t="shared" si="983"/>
        <v>-4.1951334493343077E-5</v>
      </c>
    </row>
    <row r="463" spans="1:20" x14ac:dyDescent="0.25">
      <c r="A463" s="5">
        <v>44130</v>
      </c>
      <c r="B463">
        <v>1738.1</v>
      </c>
      <c r="C463">
        <v>1812</v>
      </c>
      <c r="D463">
        <v>1482.11</v>
      </c>
      <c r="E463">
        <v>1577.25</v>
      </c>
      <c r="F463">
        <v>9335.5417899999993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-0.423201673285034</v>
      </c>
      <c r="Q463">
        <f t="shared" si="980"/>
        <v>-3950.8169065503612</v>
      </c>
      <c r="R463">
        <f t="shared" si="981"/>
        <v>-1597.5449331985524</v>
      </c>
      <c r="S463">
        <f t="shared" si="982"/>
        <v>-1.5975449331985525E-2</v>
      </c>
      <c r="T463">
        <f t="shared" si="983"/>
        <v>-1.5975449331985524E-5</v>
      </c>
    </row>
    <row r="464" spans="1:20" x14ac:dyDescent="0.25">
      <c r="A464" s="5">
        <v>44129</v>
      </c>
      <c r="B464">
        <v>1864.7</v>
      </c>
      <c r="C464">
        <v>1874.45</v>
      </c>
      <c r="D464">
        <v>1716</v>
      </c>
      <c r="E464">
        <v>1736.13</v>
      </c>
      <c r="F464">
        <v>5700.6276230000003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-0.74591353739349819</v>
      </c>
      <c r="Q464">
        <f t="shared" si="980"/>
        <v>-4252.1753156350196</v>
      </c>
      <c r="R464">
        <f t="shared" si="981"/>
        <v>2353.2719733518088</v>
      </c>
      <c r="S464">
        <f t="shared" si="982"/>
        <v>2.3532719733518087E-2</v>
      </c>
      <c r="T464">
        <f t="shared" si="983"/>
        <v>2.3532719733518086E-5</v>
      </c>
    </row>
    <row r="465" spans="1:20" x14ac:dyDescent="0.25">
      <c r="A465" s="5">
        <v>44128</v>
      </c>
      <c r="B465">
        <v>1894.59</v>
      </c>
      <c r="C465">
        <v>1945.31</v>
      </c>
      <c r="D465">
        <v>1831</v>
      </c>
      <c r="E465">
        <v>1864.9</v>
      </c>
      <c r="F465">
        <v>4937.3086549999998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-0.40687603884174428</v>
      </c>
      <c r="Q465">
        <f t="shared" si="980"/>
        <v>-2008.8725880854602</v>
      </c>
      <c r="R465">
        <f t="shared" si="981"/>
        <v>6605.4472889868284</v>
      </c>
      <c r="S465">
        <f t="shared" si="982"/>
        <v>6.6054472889868279E-2</v>
      </c>
      <c r="T465">
        <f t="shared" si="983"/>
        <v>6.6054472889868284E-5</v>
      </c>
    </row>
    <row r="466" spans="1:20" x14ac:dyDescent="0.25">
      <c r="A466" s="5">
        <v>44127</v>
      </c>
      <c r="B466">
        <v>1845.92</v>
      </c>
      <c r="C466">
        <v>1957.94</v>
      </c>
      <c r="D466">
        <v>1825.01</v>
      </c>
      <c r="E466">
        <v>1897.11</v>
      </c>
      <c r="F466">
        <v>8108.3117389999998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8.478146392838147E-2</v>
      </c>
      <c r="Q466">
        <f t="shared" si="980"/>
        <v>687.43453922010053</v>
      </c>
      <c r="R466">
        <f t="shared" si="981"/>
        <v>8614.3198770722884</v>
      </c>
      <c r="S466">
        <f t="shared" si="982"/>
        <v>8.6143198770722879E-2</v>
      </c>
      <c r="T466">
        <f t="shared" si="983"/>
        <v>8.6143198770722882E-5</v>
      </c>
    </row>
    <row r="467" spans="1:20" x14ac:dyDescent="0.25">
      <c r="A467" s="5">
        <v>44126</v>
      </c>
      <c r="B467">
        <v>1838</v>
      </c>
      <c r="C467">
        <v>1946.98</v>
      </c>
      <c r="D467">
        <v>1801</v>
      </c>
      <c r="E467">
        <v>1845.92</v>
      </c>
      <c r="F467">
        <v>7516.380478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-0.38457322920947984</v>
      </c>
      <c r="Q467">
        <f t="shared" si="980"/>
        <v>-2890.5987123915538</v>
      </c>
      <c r="R467">
        <f t="shared" si="981"/>
        <v>7926.8853378521881</v>
      </c>
      <c r="S467">
        <f t="shared" si="982"/>
        <v>7.9268853378521881E-2</v>
      </c>
      <c r="T467">
        <f t="shared" si="983"/>
        <v>7.9268853378521874E-5</v>
      </c>
    </row>
    <row r="468" spans="1:20" x14ac:dyDescent="0.25">
      <c r="A468" s="5">
        <v>44125</v>
      </c>
      <c r="B468">
        <v>1775.85</v>
      </c>
      <c r="C468">
        <v>1970</v>
      </c>
      <c r="D468">
        <v>1760.46</v>
      </c>
      <c r="E468">
        <v>1839.71</v>
      </c>
      <c r="F468">
        <v>12653.772987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-0.24358117781807756</v>
      </c>
      <c r="Q468">
        <f t="shared" si="980"/>
        <v>-3082.2209280160337</v>
      </c>
      <c r="R468">
        <f t="shared" si="981"/>
        <v>10817.484050243742</v>
      </c>
      <c r="S468">
        <f t="shared" si="982"/>
        <v>0.10817484050243742</v>
      </c>
      <c r="T468">
        <f t="shared" si="983"/>
        <v>1.0817484050243742E-4</v>
      </c>
    </row>
    <row r="469" spans="1:20" x14ac:dyDescent="0.25">
      <c r="A469" s="5">
        <v>44124</v>
      </c>
      <c r="B469">
        <v>1895.4</v>
      </c>
      <c r="C469">
        <v>1949.1</v>
      </c>
      <c r="D469">
        <v>1701.21</v>
      </c>
      <c r="E469">
        <v>1777.07</v>
      </c>
      <c r="F469">
        <v>11241.917345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-0.3879543345838885</v>
      </c>
      <c r="Q469">
        <f t="shared" si="980"/>
        <v>-4361.350563026549</v>
      </c>
      <c r="R469">
        <f t="shared" si="981"/>
        <v>13899.704978259775</v>
      </c>
      <c r="S469">
        <f t="shared" si="982"/>
        <v>0.13899704978259775</v>
      </c>
      <c r="T469">
        <f t="shared" si="983"/>
        <v>1.3899704978259775E-4</v>
      </c>
    </row>
    <row r="470" spans="1:20" x14ac:dyDescent="0.25">
      <c r="A470" s="5">
        <v>44123</v>
      </c>
      <c r="B470">
        <v>2082.7800000000002</v>
      </c>
      <c r="C470">
        <v>2096.58</v>
      </c>
      <c r="D470">
        <v>1856</v>
      </c>
      <c r="E470">
        <v>1895.27</v>
      </c>
      <c r="F470">
        <v>9277.8622770000002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-0.67353894754343679</v>
      </c>
      <c r="Q470">
        <f t="shared" si="980"/>
        <v>-6249.0015935035344</v>
      </c>
      <c r="R470">
        <f t="shared" si="981"/>
        <v>18261.055541286325</v>
      </c>
      <c r="S470">
        <f t="shared" si="982"/>
        <v>0.18261055541286325</v>
      </c>
      <c r="T470">
        <f t="shared" si="983"/>
        <v>1.8261055541286326E-4</v>
      </c>
    </row>
    <row r="471" spans="1:20" x14ac:dyDescent="0.25">
      <c r="A471" s="5">
        <v>44122</v>
      </c>
      <c r="B471">
        <v>1909.01</v>
      </c>
      <c r="C471">
        <v>2098.9899999999998</v>
      </c>
      <c r="D471">
        <v>1876.01</v>
      </c>
      <c r="E471">
        <v>2080.79</v>
      </c>
      <c r="F471">
        <v>11066.618938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0.83675665979011715</v>
      </c>
      <c r="Q471">
        <f t="shared" si="980"/>
        <v>9260.0670977309328</v>
      </c>
      <c r="R471">
        <f t="shared" si="981"/>
        <v>24510.057134789859</v>
      </c>
      <c r="S471">
        <f t="shared" si="982"/>
        <v>0.24510057134789859</v>
      </c>
      <c r="T471">
        <f t="shared" si="983"/>
        <v>2.4510057134789857E-4</v>
      </c>
    </row>
    <row r="472" spans="1:20" x14ac:dyDescent="0.25">
      <c r="A472" s="5">
        <v>44121</v>
      </c>
      <c r="B472">
        <v>1883.57</v>
      </c>
      <c r="C472">
        <v>1959.7</v>
      </c>
      <c r="D472">
        <v>1792.13</v>
      </c>
      <c r="E472">
        <v>1909.15</v>
      </c>
      <c r="F472">
        <v>9728.7245120000007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0.39667004833800829</v>
      </c>
      <c r="Q472">
        <f t="shared" si="980"/>
        <v>3859.0936224422062</v>
      </c>
      <c r="R472">
        <f t="shared" si="981"/>
        <v>15249.990037058928</v>
      </c>
      <c r="S472">
        <f t="shared" si="982"/>
        <v>0.15249990037058928</v>
      </c>
      <c r="T472">
        <f t="shared" si="983"/>
        <v>1.5249990037058929E-4</v>
      </c>
    </row>
    <row r="473" spans="1:20" x14ac:dyDescent="0.25">
      <c r="A473" s="5">
        <v>44120</v>
      </c>
      <c r="B473">
        <v>2153.9699999999998</v>
      </c>
      <c r="C473">
        <v>2153.9699999999998</v>
      </c>
      <c r="D473">
        <v>1820.92</v>
      </c>
      <c r="E473">
        <v>1883.58</v>
      </c>
      <c r="F473">
        <v>12660.486424000001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-0.62372016213781767</v>
      </c>
      <c r="Q473">
        <f t="shared" si="980"/>
        <v>-7896.6006451209196</v>
      </c>
      <c r="R473">
        <f t="shared" si="981"/>
        <v>11390.896414616722</v>
      </c>
      <c r="S473">
        <f t="shared" si="982"/>
        <v>0.11390896414616722</v>
      </c>
      <c r="T473">
        <f t="shared" si="983"/>
        <v>1.1390896414616722E-4</v>
      </c>
    </row>
    <row r="474" spans="1:20" x14ac:dyDescent="0.25">
      <c r="A474" s="5">
        <v>44119</v>
      </c>
      <c r="B474">
        <v>2151.2399999999998</v>
      </c>
      <c r="C474">
        <v>2256</v>
      </c>
      <c r="D474">
        <v>2000</v>
      </c>
      <c r="E474">
        <v>2153.9899999999998</v>
      </c>
      <c r="F474">
        <v>14626.12645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0.20304687499999829</v>
      </c>
      <c r="Q474">
        <f t="shared" si="980"/>
        <v>2969.7892690273188</v>
      </c>
      <c r="R474">
        <f t="shared" si="981"/>
        <v>19287.497059737641</v>
      </c>
      <c r="S474">
        <f t="shared" si="982"/>
        <v>0.19287497059737641</v>
      </c>
      <c r="T474">
        <f t="shared" si="983"/>
        <v>1.9287497059737639E-4</v>
      </c>
    </row>
    <row r="475" spans="1:20" x14ac:dyDescent="0.25">
      <c r="A475" s="5">
        <v>44118</v>
      </c>
      <c r="B475">
        <v>2294.7600000000002</v>
      </c>
      <c r="C475">
        <v>2367.39</v>
      </c>
      <c r="D475">
        <v>1995</v>
      </c>
      <c r="E475">
        <v>2150.12</v>
      </c>
      <c r="F475">
        <v>14513.783391000001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-0.16689492199038672</v>
      </c>
      <c r="Q475">
        <f t="shared" si="980"/>
        <v>-2422.2767468263155</v>
      </c>
      <c r="R475">
        <f t="shared" si="981"/>
        <v>16317.707790710323</v>
      </c>
      <c r="S475">
        <f t="shared" si="982"/>
        <v>0.16317707790710323</v>
      </c>
      <c r="T475">
        <f t="shared" si="983"/>
        <v>1.6317707790710324E-4</v>
      </c>
    </row>
    <row r="476" spans="1:20" x14ac:dyDescent="0.25">
      <c r="A476" s="5">
        <v>44117</v>
      </c>
      <c r="B476">
        <v>2356.79</v>
      </c>
      <c r="C476">
        <v>2480</v>
      </c>
      <c r="D476">
        <v>2200</v>
      </c>
      <c r="E476">
        <v>2294.17</v>
      </c>
      <c r="F476">
        <v>17320.239826000001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-0.32735714285714235</v>
      </c>
      <c r="Q476">
        <f t="shared" si="980"/>
        <v>-5669.9042230398481</v>
      </c>
      <c r="R476">
        <f t="shared" si="981"/>
        <v>18739.984537536639</v>
      </c>
      <c r="S476">
        <f t="shared" si="982"/>
        <v>0.18739984537536639</v>
      </c>
      <c r="T476">
        <f t="shared" si="983"/>
        <v>1.8739984537536637E-4</v>
      </c>
    </row>
    <row r="477" spans="1:20" x14ac:dyDescent="0.25">
      <c r="A477" s="5">
        <v>44116</v>
      </c>
      <c r="B477">
        <v>2190.6999999999998</v>
      </c>
      <c r="C477">
        <v>2548.41</v>
      </c>
      <c r="D477">
        <v>2103.41</v>
      </c>
      <c r="E477">
        <v>2359.9</v>
      </c>
      <c r="F477">
        <v>23348.900367999999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0.15276404494382129</v>
      </c>
      <c r="Q477">
        <f t="shared" si="980"/>
        <v>3566.8724652059573</v>
      </c>
      <c r="R477">
        <f t="shared" si="981"/>
        <v>24409.888760576487</v>
      </c>
      <c r="S477">
        <f t="shared" si="982"/>
        <v>0.24409888760576487</v>
      </c>
      <c r="T477">
        <f t="shared" si="983"/>
        <v>2.4409888760576487E-4</v>
      </c>
    </row>
    <row r="478" spans="1:20" x14ac:dyDescent="0.25">
      <c r="A478" s="5">
        <v>44115</v>
      </c>
      <c r="B478">
        <v>2010.98</v>
      </c>
      <c r="C478">
        <v>2335</v>
      </c>
      <c r="D478">
        <v>1915</v>
      </c>
      <c r="E478">
        <v>2192.94</v>
      </c>
      <c r="F478">
        <v>26002.240292999999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0.32352380952380977</v>
      </c>
      <c r="Q478">
        <f t="shared" si="980"/>
        <v>8412.3438357448631</v>
      </c>
      <c r="R478">
        <f t="shared" si="981"/>
        <v>20843.016295370529</v>
      </c>
      <c r="S478">
        <f t="shared" si="982"/>
        <v>0.20843016295370528</v>
      </c>
      <c r="T478">
        <f t="shared" si="983"/>
        <v>2.0843016295370528E-4</v>
      </c>
    </row>
    <row r="479" spans="1:20" x14ac:dyDescent="0.25">
      <c r="A479" s="5">
        <v>44114</v>
      </c>
      <c r="B479">
        <v>2395.4699999999998</v>
      </c>
      <c r="C479">
        <v>2550</v>
      </c>
      <c r="D479">
        <v>1940</v>
      </c>
      <c r="E479">
        <v>2010</v>
      </c>
      <c r="F479">
        <v>27684.838047000001</v>
      </c>
      <c r="G479">
        <v>0</v>
      </c>
      <c r="L479" t="s">
        <v>7</v>
      </c>
      <c r="M479" t="s">
        <v>7</v>
      </c>
      <c r="N479" t="s">
        <v>8</v>
      </c>
      <c r="P479">
        <f t="shared" si="979"/>
        <v>-0.77049180327868849</v>
      </c>
      <c r="Q479">
        <f t="shared" si="980"/>
        <v>-21330.940790311477</v>
      </c>
      <c r="R479">
        <f t="shared" si="981"/>
        <v>12430.672459625668</v>
      </c>
      <c r="S479">
        <f t="shared" si="982"/>
        <v>0.12430672459625668</v>
      </c>
      <c r="T479">
        <f t="shared" si="983"/>
        <v>1.2430672459625667E-4</v>
      </c>
    </row>
    <row r="480" spans="1:20" x14ac:dyDescent="0.25">
      <c r="A480" s="5">
        <v>44113</v>
      </c>
      <c r="B480">
        <v>1900.5</v>
      </c>
      <c r="C480">
        <v>2585</v>
      </c>
      <c r="D480">
        <v>1716.08</v>
      </c>
      <c r="E480">
        <v>2395.0100000000002</v>
      </c>
      <c r="F480">
        <v>45620.025629000003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0.56269852230354978</v>
      </c>
      <c r="Q480">
        <f t="shared" si="980"/>
        <v>25670.321008888372</v>
      </c>
      <c r="R480">
        <f t="shared" si="981"/>
        <v>33761.613249937145</v>
      </c>
      <c r="S480">
        <f t="shared" si="982"/>
        <v>0.33761613249937145</v>
      </c>
      <c r="T480">
        <f t="shared" si="983"/>
        <v>3.3761613249937145E-4</v>
      </c>
    </row>
    <row r="481" spans="1:20" x14ac:dyDescent="0.25">
      <c r="A481" s="5">
        <v>44112</v>
      </c>
      <c r="B481">
        <v>1415</v>
      </c>
      <c r="C481">
        <v>2050</v>
      </c>
      <c r="D481">
        <v>1217</v>
      </c>
      <c r="E481">
        <v>1904</v>
      </c>
      <c r="F481">
        <v>30590.747921999999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0.6494597839135654</v>
      </c>
      <c r="Q481">
        <f t="shared" si="980"/>
        <v>19867.460535176469</v>
      </c>
      <c r="R481">
        <f t="shared" si="981"/>
        <v>8091.2922410487699</v>
      </c>
      <c r="S481">
        <f t="shared" si="982"/>
        <v>8.0912922410487698E-2</v>
      </c>
      <c r="T481">
        <f t="shared" si="983"/>
        <v>8.09129224104877E-5</v>
      </c>
    </row>
    <row r="482" spans="1:20" x14ac:dyDescent="0.25">
      <c r="A482" s="5">
        <v>44111</v>
      </c>
      <c r="B482">
        <v>1558.55</v>
      </c>
      <c r="C482">
        <v>1559.64</v>
      </c>
      <c r="D482">
        <v>1169.33</v>
      </c>
      <c r="E482">
        <v>1415</v>
      </c>
      <c r="F482">
        <v>21623.294558000001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0.25884553303784152</v>
      </c>
      <c r="Q482">
        <f t="shared" si="980"/>
        <v>5597.0932058997678</v>
      </c>
      <c r="R482">
        <f t="shared" si="981"/>
        <v>-11776.168294127699</v>
      </c>
      <c r="S482">
        <f t="shared" si="982"/>
        <v>-0.11776168294127699</v>
      </c>
      <c r="T482">
        <f t="shared" si="983"/>
        <v>-1.1776168294127699E-4</v>
      </c>
    </row>
    <row r="483" spans="1:20" x14ac:dyDescent="0.25">
      <c r="A483" s="5">
        <v>44110</v>
      </c>
      <c r="B483">
        <v>1947.36</v>
      </c>
      <c r="C483">
        <v>1986</v>
      </c>
      <c r="D483">
        <v>1500.1</v>
      </c>
      <c r="E483">
        <v>1559.94</v>
      </c>
      <c r="F483">
        <v>11969.030376999999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-0.75369417575632791</v>
      </c>
      <c r="Q483">
        <f t="shared" si="980"/>
        <v>-9020.9884845954657</v>
      </c>
      <c r="R483">
        <f t="shared" si="981"/>
        <v>-17373.261500027467</v>
      </c>
      <c r="S483">
        <f t="shared" si="982"/>
        <v>-0.17373261500027468</v>
      </c>
      <c r="T483">
        <f t="shared" si="983"/>
        <v>-1.7373261500027467E-4</v>
      </c>
    </row>
    <row r="484" spans="1:20" x14ac:dyDescent="0.25">
      <c r="A484" s="5">
        <v>44109</v>
      </c>
      <c r="B484">
        <v>2135.7600000000002</v>
      </c>
      <c r="C484">
        <v>2159.98</v>
      </c>
      <c r="D484">
        <v>1866</v>
      </c>
      <c r="E484">
        <v>1945.67</v>
      </c>
      <c r="F484">
        <v>9757.7084709999999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-0.45799033947887563</v>
      </c>
      <c r="Q484">
        <f t="shared" si="980"/>
        <v>-4468.9362151691903</v>
      </c>
      <c r="R484">
        <f t="shared" si="981"/>
        <v>-8352.2730154319997</v>
      </c>
      <c r="S484">
        <f t="shared" si="982"/>
        <v>-8.3522730154319991E-2</v>
      </c>
      <c r="T484">
        <f t="shared" si="983"/>
        <v>-8.3522730154319985E-5</v>
      </c>
    </row>
    <row r="485" spans="1:20" x14ac:dyDescent="0.25">
      <c r="A485" s="5">
        <v>44108</v>
      </c>
      <c r="B485">
        <v>2200.92</v>
      </c>
      <c r="C485">
        <v>2274.4</v>
      </c>
      <c r="D485">
        <v>1863.95</v>
      </c>
      <c r="E485">
        <v>2135.77</v>
      </c>
      <c r="F485">
        <v>12135.200328000001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0.32449750274089367</v>
      </c>
      <c r="Q485">
        <f t="shared" si="980"/>
        <v>3937.8422016964741</v>
      </c>
      <c r="R485">
        <f t="shared" si="981"/>
        <v>-3883.3368002628094</v>
      </c>
      <c r="S485">
        <f t="shared" si="982"/>
        <v>-3.8833368002628092E-2</v>
      </c>
      <c r="T485">
        <f t="shared" si="983"/>
        <v>-3.8833368002628092E-5</v>
      </c>
    </row>
    <row r="486" spans="1:20" x14ac:dyDescent="0.25">
      <c r="A486" s="5">
        <v>44107</v>
      </c>
      <c r="B486">
        <v>2612.98</v>
      </c>
      <c r="C486">
        <v>2655</v>
      </c>
      <c r="D486">
        <v>2172.94</v>
      </c>
      <c r="E486">
        <v>2198.4899999999998</v>
      </c>
      <c r="F486">
        <v>5625.2037570000002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-0.89399659793386832</v>
      </c>
      <c r="Q486">
        <f t="shared" si="980"/>
        <v>-5028.9130214428151</v>
      </c>
      <c r="R486">
        <f t="shared" si="981"/>
        <v>-7821.1790019592836</v>
      </c>
      <c r="S486">
        <f t="shared" si="982"/>
        <v>-7.8211790019592831E-2</v>
      </c>
      <c r="T486">
        <f t="shared" si="983"/>
        <v>-7.8211790019592836E-5</v>
      </c>
    </row>
    <row r="487" spans="1:20" x14ac:dyDescent="0.25">
      <c r="A487" s="5">
        <v>44106</v>
      </c>
      <c r="B487">
        <v>3043</v>
      </c>
      <c r="C487">
        <v>3055.66</v>
      </c>
      <c r="D487">
        <v>2444</v>
      </c>
      <c r="E487">
        <v>2612.65</v>
      </c>
      <c r="F487">
        <v>8218.5794100000003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-0.44854984795474567</v>
      </c>
      <c r="Q487">
        <f t="shared" si="980"/>
        <v>-3686.4425447595036</v>
      </c>
      <c r="R487">
        <f t="shared" si="981"/>
        <v>-2792.2659805164685</v>
      </c>
      <c r="S487">
        <f t="shared" si="982"/>
        <v>-2.7922659805164684E-2</v>
      </c>
      <c r="T487">
        <f t="shared" si="983"/>
        <v>-2.7922659805164685E-5</v>
      </c>
    </row>
    <row r="488" spans="1:20" x14ac:dyDescent="0.25">
      <c r="A488" s="5">
        <v>44105</v>
      </c>
      <c r="B488">
        <v>3093.28</v>
      </c>
      <c r="C488">
        <v>3260</v>
      </c>
      <c r="D488">
        <v>2820</v>
      </c>
      <c r="E488">
        <v>3041.1</v>
      </c>
      <c r="F488">
        <v>6216.6011870000002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4.9999999999995864E-3</v>
      </c>
      <c r="Q488">
        <f t="shared" si="980"/>
        <v>31.083005934997431</v>
      </c>
      <c r="R488">
        <f t="shared" si="981"/>
        <v>894.17656424303527</v>
      </c>
      <c r="S488">
        <f t="shared" si="982"/>
        <v>8.9417656424303528E-3</v>
      </c>
      <c r="T488">
        <f t="shared" si="983"/>
        <v>8.9417656424303522E-6</v>
      </c>
    </row>
    <row r="489" spans="1:20" x14ac:dyDescent="0.25">
      <c r="A489" s="5">
        <v>44104</v>
      </c>
      <c r="B489">
        <v>3146.58</v>
      </c>
      <c r="C489">
        <v>3151</v>
      </c>
      <c r="D489">
        <v>2995.5</v>
      </c>
      <c r="E489">
        <v>3087.19</v>
      </c>
      <c r="F489">
        <v>4439.3578900000002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0.17929260450160842</v>
      </c>
      <c r="Q489">
        <f t="shared" si="980"/>
        <v>795.94403841286487</v>
      </c>
      <c r="R489">
        <f t="shared" si="981"/>
        <v>863.09355830803781</v>
      </c>
      <c r="S489">
        <f t="shared" si="982"/>
        <v>8.6309355830803784E-3</v>
      </c>
      <c r="T489">
        <f t="shared" si="983"/>
        <v>8.630935583080379E-6</v>
      </c>
    </row>
    <row r="490" spans="1:20" x14ac:dyDescent="0.25">
      <c r="A490" s="5">
        <v>44103</v>
      </c>
      <c r="B490">
        <v>3245.61</v>
      </c>
      <c r="C490">
        <v>3317.01</v>
      </c>
      <c r="D490">
        <v>3000</v>
      </c>
      <c r="E490">
        <v>3142.09</v>
      </c>
      <c r="F490">
        <v>6070.9607930000002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-0.10356140184852183</v>
      </c>
      <c r="Q490">
        <f t="shared" si="980"/>
        <v>-628.71721029049377</v>
      </c>
      <c r="R490">
        <f t="shared" si="981"/>
        <v>67.149519895172944</v>
      </c>
      <c r="S490">
        <f t="shared" si="982"/>
        <v>6.7149519895172947E-4</v>
      </c>
      <c r="T490">
        <f t="shared" si="983"/>
        <v>6.714951989517295E-7</v>
      </c>
    </row>
    <row r="491" spans="1:20" x14ac:dyDescent="0.25">
      <c r="A491" s="5">
        <v>44102</v>
      </c>
      <c r="B491">
        <v>3550</v>
      </c>
      <c r="C491">
        <v>3676.79</v>
      </c>
      <c r="D491">
        <v>3205</v>
      </c>
      <c r="E491">
        <v>3243.22</v>
      </c>
      <c r="F491">
        <v>7285.2840749999996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-0.83797876173721442</v>
      </c>
      <c r="Q491">
        <f t="shared" si="980"/>
        <v>-6104.9133280723472</v>
      </c>
      <c r="R491">
        <f t="shared" si="981"/>
        <v>695.86673018566671</v>
      </c>
      <c r="S491">
        <f t="shared" si="982"/>
        <v>6.9586673018566672E-3</v>
      </c>
      <c r="T491">
        <f t="shared" si="983"/>
        <v>6.9586673018566669E-6</v>
      </c>
    </row>
    <row r="492" spans="1:20" x14ac:dyDescent="0.25">
      <c r="A492" s="5">
        <v>44101</v>
      </c>
      <c r="B492">
        <v>3801.74</v>
      </c>
      <c r="C492">
        <v>4090</v>
      </c>
      <c r="D492">
        <v>3350</v>
      </c>
      <c r="E492">
        <v>3536.78</v>
      </c>
      <c r="F492">
        <v>12615.658960000001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-0.49518918918918864</v>
      </c>
      <c r="Q492">
        <f t="shared" si="980"/>
        <v>-6247.1379314897231</v>
      </c>
      <c r="R492">
        <f t="shared" si="981"/>
        <v>6800.7800582580139</v>
      </c>
      <c r="S492">
        <f t="shared" si="982"/>
        <v>6.8007800582580144E-2</v>
      </c>
      <c r="T492">
        <f t="shared" si="983"/>
        <v>6.8007800582580143E-5</v>
      </c>
    </row>
    <row r="493" spans="1:20" x14ac:dyDescent="0.25">
      <c r="A493" s="5">
        <v>44100</v>
      </c>
      <c r="B493">
        <v>3347.14</v>
      </c>
      <c r="C493">
        <v>3899</v>
      </c>
      <c r="D493">
        <v>3224.81</v>
      </c>
      <c r="E493">
        <v>3800.56</v>
      </c>
      <c r="F493">
        <v>11717.061718000001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0.70797549652175185</v>
      </c>
      <c r="Q493">
        <f t="shared" si="980"/>
        <v>8295.3925875770619</v>
      </c>
      <c r="R493">
        <f t="shared" si="981"/>
        <v>13047.917989747737</v>
      </c>
      <c r="S493">
        <f t="shared" si="982"/>
        <v>0.13047917989747737</v>
      </c>
      <c r="T493">
        <f t="shared" si="983"/>
        <v>1.3047917989747736E-4</v>
      </c>
    </row>
    <row r="494" spans="1:20" x14ac:dyDescent="0.25">
      <c r="A494" s="5">
        <v>44099</v>
      </c>
      <c r="B494">
        <v>3247.62</v>
      </c>
      <c r="C494">
        <v>3486.03</v>
      </c>
      <c r="D494">
        <v>3000</v>
      </c>
      <c r="E494">
        <v>3344.88</v>
      </c>
      <c r="F494">
        <v>8204.5540610000007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0.4191716560706128</v>
      </c>
      <c r="Q494">
        <f t="shared" si="980"/>
        <v>3439.116513070242</v>
      </c>
      <c r="R494">
        <f t="shared" si="981"/>
        <v>4752.5254021706751</v>
      </c>
      <c r="S494">
        <f t="shared" si="982"/>
        <v>4.752525402170675E-2</v>
      </c>
      <c r="T494">
        <f t="shared" si="983"/>
        <v>4.7525254021706749E-5</v>
      </c>
    </row>
    <row r="495" spans="1:20" x14ac:dyDescent="0.25">
      <c r="A495" s="5">
        <v>44098</v>
      </c>
      <c r="B495">
        <v>2893</v>
      </c>
      <c r="C495">
        <v>3247.92</v>
      </c>
      <c r="D495">
        <v>2820</v>
      </c>
      <c r="E495">
        <v>3245</v>
      </c>
      <c r="F495">
        <v>7469.6939519999996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0.98635258926902192</v>
      </c>
      <c r="Q495">
        <f t="shared" si="980"/>
        <v>7367.7519706023531</v>
      </c>
      <c r="R495">
        <f t="shared" si="981"/>
        <v>1313.408889100433</v>
      </c>
      <c r="S495">
        <f t="shared" si="982"/>
        <v>1.313408889100433E-2</v>
      </c>
      <c r="T495">
        <f t="shared" si="983"/>
        <v>1.3134088891004329E-5</v>
      </c>
    </row>
    <row r="496" spans="1:20" x14ac:dyDescent="0.25">
      <c r="A496" s="5">
        <v>44097</v>
      </c>
      <c r="B496">
        <v>3168.45</v>
      </c>
      <c r="C496">
        <v>3330</v>
      </c>
      <c r="D496">
        <v>2881.22</v>
      </c>
      <c r="E496">
        <v>2893</v>
      </c>
      <c r="F496">
        <v>9277.9501959999998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-0.9475021168501262</v>
      </c>
      <c r="Q496">
        <f t="shared" si="980"/>
        <v>-8790.8774507400431</v>
      </c>
      <c r="R496">
        <f t="shared" si="981"/>
        <v>-6054.3430815019201</v>
      </c>
      <c r="S496">
        <f t="shared" si="982"/>
        <v>-6.05434308150192E-2</v>
      </c>
      <c r="T496">
        <f t="shared" si="983"/>
        <v>-6.0543430815019197E-5</v>
      </c>
    </row>
    <row r="497" spans="1:20" x14ac:dyDescent="0.25">
      <c r="A497" s="5">
        <v>44096</v>
      </c>
      <c r="B497">
        <v>3062.63</v>
      </c>
      <c r="C497">
        <v>3350</v>
      </c>
      <c r="D497">
        <v>2960.45</v>
      </c>
      <c r="E497">
        <v>3166</v>
      </c>
      <c r="F497">
        <v>7768.1175160000003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5.5320241304069241E-2</v>
      </c>
      <c r="Q497">
        <f t="shared" si="980"/>
        <v>429.73413546348695</v>
      </c>
      <c r="R497">
        <f t="shared" si="981"/>
        <v>2736.5343692381225</v>
      </c>
      <c r="S497">
        <f t="shared" si="982"/>
        <v>2.7365343692381226E-2</v>
      </c>
      <c r="T497">
        <f t="shared" si="983"/>
        <v>2.7365343692381226E-5</v>
      </c>
    </row>
    <row r="498" spans="1:20" x14ac:dyDescent="0.25">
      <c r="A498" s="5">
        <v>44095</v>
      </c>
      <c r="B498">
        <v>3540.27</v>
      </c>
      <c r="C498">
        <v>3624.58</v>
      </c>
      <c r="D498">
        <v>2863</v>
      </c>
      <c r="E498">
        <v>3066.43</v>
      </c>
      <c r="F498">
        <v>12726.045071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-0.46576853383754863</v>
      </c>
      <c r="Q498">
        <f t="shared" si="980"/>
        <v>-5927.391354270233</v>
      </c>
      <c r="R498">
        <f t="shared" si="981"/>
        <v>2306.8002337746357</v>
      </c>
      <c r="S498">
        <f t="shared" si="982"/>
        <v>2.3068002337746356E-2</v>
      </c>
      <c r="T498">
        <f t="shared" si="983"/>
        <v>2.3068002337746357E-5</v>
      </c>
    </row>
    <row r="499" spans="1:20" x14ac:dyDescent="0.25">
      <c r="A499" s="5">
        <v>44094</v>
      </c>
      <c r="B499">
        <v>3911.67</v>
      </c>
      <c r="C499">
        <v>4287.68</v>
      </c>
      <c r="D499">
        <v>3271.8</v>
      </c>
      <c r="E499">
        <v>3538.79</v>
      </c>
      <c r="F499">
        <v>12198.872464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-0.47436705122652328</v>
      </c>
      <c r="Q499">
        <f t="shared" si="980"/>
        <v>-5786.743159036112</v>
      </c>
      <c r="R499">
        <f t="shared" si="981"/>
        <v>8234.1915880448687</v>
      </c>
      <c r="S499">
        <f t="shared" si="982"/>
        <v>8.2341915880448688E-2</v>
      </c>
      <c r="T499">
        <f t="shared" si="983"/>
        <v>8.2341915880448688E-5</v>
      </c>
    </row>
    <row r="500" spans="1:20" x14ac:dyDescent="0.25">
      <c r="A500" s="5">
        <v>44093</v>
      </c>
      <c r="B500">
        <v>4107.12</v>
      </c>
      <c r="C500">
        <v>4110.67</v>
      </c>
      <c r="D500">
        <v>3700</v>
      </c>
      <c r="E500">
        <v>3911.68</v>
      </c>
      <c r="F500">
        <v>8387.1960870000003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3.0900723208414537E-2</v>
      </c>
      <c r="Q500">
        <f t="shared" si="980"/>
        <v>259.1704247790845</v>
      </c>
      <c r="R500">
        <f t="shared" si="981"/>
        <v>14020.934747080981</v>
      </c>
      <c r="S500">
        <f t="shared" si="982"/>
        <v>0.14020934747080982</v>
      </c>
      <c r="T500">
        <f t="shared" si="983"/>
        <v>1.4020934747080983E-4</v>
      </c>
    </row>
    <row r="501" spans="1:20" x14ac:dyDescent="0.25">
      <c r="A501" s="5">
        <v>44092</v>
      </c>
      <c r="B501">
        <v>4345.4399999999996</v>
      </c>
      <c r="C501">
        <v>4655.17</v>
      </c>
      <c r="D501">
        <v>3826.4</v>
      </c>
      <c r="E501">
        <v>4110.4399999999996</v>
      </c>
      <c r="F501">
        <v>12062.820322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-0.31455047841982814</v>
      </c>
      <c r="Q501">
        <f t="shared" si="980"/>
        <v>-3794.3659033775252</v>
      </c>
      <c r="R501">
        <f t="shared" si="981"/>
        <v>13761.764322301897</v>
      </c>
      <c r="S501">
        <f t="shared" si="982"/>
        <v>0.13761764322301898</v>
      </c>
      <c r="T501">
        <f t="shared" si="983"/>
        <v>1.3761764322301896E-4</v>
      </c>
    </row>
    <row r="502" spans="1:20" x14ac:dyDescent="0.25">
      <c r="A502" s="5">
        <v>44091</v>
      </c>
      <c r="B502">
        <v>4648.55</v>
      </c>
      <c r="C502">
        <v>5187.3100000000004</v>
      </c>
      <c r="D502">
        <v>4062</v>
      </c>
      <c r="E502">
        <v>4345.6400000000003</v>
      </c>
      <c r="F502">
        <v>12250.815920999999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-0.49589002141632044</v>
      </c>
      <c r="Q502">
        <f t="shared" si="980"/>
        <v>-6075.0573694320892</v>
      </c>
      <c r="R502">
        <f t="shared" si="981"/>
        <v>17556.130225679422</v>
      </c>
      <c r="S502">
        <f t="shared" si="982"/>
        <v>0.17556130225679423</v>
      </c>
      <c r="T502">
        <f t="shared" si="983"/>
        <v>1.7556130225679421E-4</v>
      </c>
    </row>
    <row r="503" spans="1:20" x14ac:dyDescent="0.25">
      <c r="A503" s="5">
        <v>44090</v>
      </c>
      <c r="B503">
        <v>4921.5600000000004</v>
      </c>
      <c r="C503">
        <v>5225.26</v>
      </c>
      <c r="D503">
        <v>4280.01</v>
      </c>
      <c r="E503">
        <v>4659.16</v>
      </c>
      <c r="F503">
        <v>16516.678548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-0.19777836551177014</v>
      </c>
      <c r="Q503">
        <f t="shared" si="980"/>
        <v>-3266.6416869067571</v>
      </c>
      <c r="R503">
        <f t="shared" si="981"/>
        <v>23631.187595111511</v>
      </c>
      <c r="S503">
        <f t="shared" si="982"/>
        <v>0.23631187595111511</v>
      </c>
      <c r="T503">
        <f t="shared" si="983"/>
        <v>2.3631187595111512E-4</v>
      </c>
    </row>
    <row r="504" spans="1:20" x14ac:dyDescent="0.25">
      <c r="A504" s="5">
        <v>44089</v>
      </c>
      <c r="B504">
        <v>5771.81</v>
      </c>
      <c r="C504">
        <v>6123</v>
      </c>
      <c r="D504">
        <v>4832</v>
      </c>
      <c r="E504">
        <v>4914.75</v>
      </c>
      <c r="F504">
        <v>17076.192126000002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-0.87180480247869874</v>
      </c>
      <c r="Q504">
        <f t="shared" si="980"/>
        <v>-14887.106303495742</v>
      </c>
      <c r="R504">
        <f t="shared" si="981"/>
        <v>26897.829282018269</v>
      </c>
      <c r="S504">
        <f t="shared" si="982"/>
        <v>0.26897829282018271</v>
      </c>
      <c r="T504">
        <f t="shared" si="983"/>
        <v>2.6897829282018272E-4</v>
      </c>
    </row>
    <row r="505" spans="1:20" x14ac:dyDescent="0.25">
      <c r="A505" s="5">
        <v>44088</v>
      </c>
      <c r="B505">
        <v>5539.55</v>
      </c>
      <c r="C505">
        <v>6550</v>
      </c>
      <c r="D505">
        <v>5028</v>
      </c>
      <c r="E505">
        <v>5769.46</v>
      </c>
      <c r="F505">
        <v>27140.065639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-2.5676741130091937E-2</v>
      </c>
      <c r="Q505">
        <f t="shared" si="980"/>
        <v>-696.86843966630624</v>
      </c>
      <c r="R505">
        <f t="shared" si="981"/>
        <v>41784.935585514009</v>
      </c>
      <c r="S505">
        <f t="shared" si="982"/>
        <v>0.4178493558551401</v>
      </c>
      <c r="T505">
        <f t="shared" si="983"/>
        <v>4.1784935585514009E-4</v>
      </c>
    </row>
    <row r="506" spans="1:20" x14ac:dyDescent="0.25">
      <c r="A506" s="5">
        <v>44087</v>
      </c>
      <c r="B506">
        <v>6471.58</v>
      </c>
      <c r="C506">
        <v>6512.51</v>
      </c>
      <c r="D506">
        <v>4900</v>
      </c>
      <c r="E506">
        <v>5539.56</v>
      </c>
      <c r="F506">
        <v>25317.336598000002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-0.20675220618786821</v>
      </c>
      <c r="Q506">
        <f t="shared" si="980"/>
        <v>-5234.4151964373586</v>
      </c>
      <c r="R506">
        <f t="shared" si="981"/>
        <v>42481.804025180318</v>
      </c>
      <c r="S506">
        <f t="shared" si="982"/>
        <v>0.4248180402518032</v>
      </c>
      <c r="T506">
        <f t="shared" si="983"/>
        <v>4.2481804025180318E-4</v>
      </c>
    </row>
    <row r="507" spans="1:20" x14ac:dyDescent="0.25">
      <c r="A507" s="5">
        <v>44086</v>
      </c>
      <c r="B507">
        <v>4925</v>
      </c>
      <c r="C507">
        <v>6930</v>
      </c>
      <c r="D507">
        <v>4555.01</v>
      </c>
      <c r="E507">
        <v>6471.59</v>
      </c>
      <c r="F507">
        <v>41210.537926999998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0.61396890092168821</v>
      </c>
      <c r="Q507">
        <f t="shared" si="980"/>
        <v>25301.988677431735</v>
      </c>
      <c r="R507">
        <f t="shared" si="981"/>
        <v>47716.219221617677</v>
      </c>
      <c r="S507">
        <f t="shared" si="982"/>
        <v>0.47716219221617678</v>
      </c>
      <c r="T507">
        <f t="shared" si="983"/>
        <v>4.7716219221617678E-4</v>
      </c>
    </row>
    <row r="508" spans="1:20" x14ac:dyDescent="0.25">
      <c r="A508" s="5">
        <v>44085</v>
      </c>
      <c r="B508">
        <v>3952.31</v>
      </c>
      <c r="C508">
        <v>4949</v>
      </c>
      <c r="D508">
        <v>3655.3</v>
      </c>
      <c r="E508">
        <v>4925</v>
      </c>
      <c r="F508">
        <v>16803.921566000001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0.96289711679678436</v>
      </c>
      <c r="Q508">
        <f t="shared" si="980"/>
        <v>16180.447626780706</v>
      </c>
      <c r="R508">
        <f t="shared" si="981"/>
        <v>22414.230544185946</v>
      </c>
      <c r="S508">
        <f t="shared" si="982"/>
        <v>0.22414230544185945</v>
      </c>
      <c r="T508">
        <f t="shared" si="983"/>
        <v>2.2414230544185945E-4</v>
      </c>
    </row>
    <row r="509" spans="1:20" x14ac:dyDescent="0.25">
      <c r="A509" s="5">
        <v>44084</v>
      </c>
      <c r="B509">
        <v>3565.92</v>
      </c>
      <c r="C509">
        <v>4241.3599999999997</v>
      </c>
      <c r="D509">
        <v>3500</v>
      </c>
      <c r="E509">
        <v>3959.22</v>
      </c>
      <c r="F509">
        <v>14983.674821000001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0.23885831444912053</v>
      </c>
      <c r="Q509">
        <f t="shared" si="980"/>
        <v>3578.9753119977881</v>
      </c>
      <c r="R509">
        <f t="shared" si="981"/>
        <v>6233.7829174052404</v>
      </c>
      <c r="S509">
        <f t="shared" si="982"/>
        <v>6.2337829174052402E-2</v>
      </c>
      <c r="T509">
        <f t="shared" si="983"/>
        <v>6.23378291740524E-5</v>
      </c>
    </row>
    <row r="510" spans="1:20" x14ac:dyDescent="0.25">
      <c r="A510" s="5">
        <v>44083</v>
      </c>
      <c r="B510">
        <v>3214.87</v>
      </c>
      <c r="C510">
        <v>3746.27</v>
      </c>
      <c r="D510">
        <v>2855.01</v>
      </c>
      <c r="E510">
        <v>3563.55</v>
      </c>
      <c r="F510">
        <v>12206.877329999999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0.58997374503511912</v>
      </c>
      <c r="Q510">
        <f t="shared" si="980"/>
        <v>7201.7371335643957</v>
      </c>
      <c r="R510">
        <f t="shared" si="981"/>
        <v>2654.8076054074527</v>
      </c>
      <c r="S510">
        <f t="shared" si="982"/>
        <v>2.6548076054074526E-2</v>
      </c>
      <c r="T510">
        <f t="shared" si="983"/>
        <v>2.6548076054074528E-5</v>
      </c>
    </row>
    <row r="511" spans="1:20" x14ac:dyDescent="0.25">
      <c r="A511" s="5">
        <v>44082</v>
      </c>
      <c r="B511">
        <v>3705.17</v>
      </c>
      <c r="C511">
        <v>3749</v>
      </c>
      <c r="D511">
        <v>3111.27</v>
      </c>
      <c r="E511">
        <v>3214</v>
      </c>
      <c r="F511">
        <v>6515.2920489999997</v>
      </c>
      <c r="G511">
        <v>0</v>
      </c>
      <c r="L511" t="s">
        <v>7</v>
      </c>
      <c r="M511" t="s">
        <v>7</v>
      </c>
      <c r="N511" t="s">
        <v>8</v>
      </c>
      <c r="P511">
        <f t="shared" si="979"/>
        <v>-0.67782603923290419</v>
      </c>
      <c r="Q511">
        <f t="shared" si="980"/>
        <v>-4416.2346040193024</v>
      </c>
      <c r="R511">
        <f t="shared" si="981"/>
        <v>-4546.929528156943</v>
      </c>
      <c r="S511">
        <f t="shared" si="982"/>
        <v>-4.5469295281569427E-2</v>
      </c>
      <c r="T511">
        <f t="shared" si="983"/>
        <v>-4.5469295281569427E-5</v>
      </c>
    </row>
    <row r="512" spans="1:20" x14ac:dyDescent="0.25">
      <c r="A512" s="5">
        <v>44081</v>
      </c>
      <c r="B512">
        <v>3871.57</v>
      </c>
      <c r="C512">
        <v>4050</v>
      </c>
      <c r="D512">
        <v>3111</v>
      </c>
      <c r="E512">
        <v>3703</v>
      </c>
      <c r="F512">
        <v>10417.076489999999</v>
      </c>
      <c r="G512">
        <v>0</v>
      </c>
      <c r="L512" t="s">
        <v>8</v>
      </c>
      <c r="M512" t="s">
        <v>8</v>
      </c>
      <c r="N512" t="s">
        <v>8</v>
      </c>
      <c r="P512">
        <f t="shared" si="979"/>
        <v>0.26091586794462196</v>
      </c>
      <c r="Q512">
        <f t="shared" si="980"/>
        <v>2717.980553833866</v>
      </c>
      <c r="R512">
        <f t="shared" si="981"/>
        <v>-130.69492413764056</v>
      </c>
      <c r="S512">
        <f t="shared" si="982"/>
        <v>-1.3069492413764056E-3</v>
      </c>
      <c r="T512">
        <f t="shared" si="983"/>
        <v>-1.3069492413764055E-6</v>
      </c>
    </row>
    <row r="513" spans="1:20" x14ac:dyDescent="0.25">
      <c r="A513" s="5">
        <v>44080</v>
      </c>
      <c r="B513">
        <v>3756.35</v>
      </c>
      <c r="C513">
        <v>4241.37</v>
      </c>
      <c r="D513">
        <v>2811.01</v>
      </c>
      <c r="E513">
        <v>3871.57</v>
      </c>
      <c r="F513">
        <v>18439.270490999999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0.48292737492659216</v>
      </c>
      <c r="Q513">
        <f t="shared" si="980"/>
        <v>8904.8284937800036</v>
      </c>
      <c r="R513">
        <f t="shared" si="981"/>
        <v>-2848.6754779715066</v>
      </c>
      <c r="S513">
        <f t="shared" si="982"/>
        <v>-2.8486754779715066E-2</v>
      </c>
      <c r="T513">
        <f t="shared" si="983"/>
        <v>-2.8486754779715065E-5</v>
      </c>
    </row>
    <row r="514" spans="1:20" x14ac:dyDescent="0.25">
      <c r="A514" s="5">
        <v>44079</v>
      </c>
      <c r="B514">
        <v>4296.58</v>
      </c>
      <c r="C514">
        <v>5590</v>
      </c>
      <c r="D514">
        <v>3270</v>
      </c>
      <c r="E514">
        <v>3765</v>
      </c>
      <c r="F514">
        <v>23181.067102000001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-0.57327586206896552</v>
      </c>
      <c r="Q514">
        <f t="shared" si="980"/>
        <v>-13289.146226577586</v>
      </c>
      <c r="R514">
        <f t="shared" si="981"/>
        <v>-11753.50397175151</v>
      </c>
      <c r="S514">
        <f t="shared" si="982"/>
        <v>-0.1175350397175151</v>
      </c>
      <c r="T514">
        <f t="shared" si="983"/>
        <v>-1.175350397175151E-4</v>
      </c>
    </row>
    <row r="515" spans="1:20" x14ac:dyDescent="0.25">
      <c r="A515" s="5">
        <v>44078</v>
      </c>
      <c r="B515">
        <v>4861.96</v>
      </c>
      <c r="C515">
        <v>5482.75</v>
      </c>
      <c r="D515">
        <v>3816.38</v>
      </c>
      <c r="E515">
        <v>4296.7</v>
      </c>
      <c r="F515">
        <v>15808.154439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-0.42351338538259842</v>
      </c>
      <c r="Q515">
        <f t="shared" si="980"/>
        <v>-6694.9650031118408</v>
      </c>
      <c r="R515">
        <f t="shared" si="981"/>
        <v>1535.6422548260753</v>
      </c>
      <c r="S515">
        <f t="shared" si="982"/>
        <v>1.5356422548260753E-2</v>
      </c>
      <c r="T515">
        <f t="shared" si="983"/>
        <v>1.5356422548260752E-5</v>
      </c>
    </row>
    <row r="516" spans="1:20" x14ac:dyDescent="0.25">
      <c r="A516" s="5">
        <v>44077</v>
      </c>
      <c r="B516">
        <v>7339.34</v>
      </c>
      <c r="C516">
        <v>7377.52</v>
      </c>
      <c r="D516">
        <v>4416.37</v>
      </c>
      <c r="E516">
        <v>4888</v>
      </c>
      <c r="F516">
        <v>16346.072066999999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-0.68145484018033531</v>
      </c>
      <c r="Q516">
        <f t="shared" si="980"/>
        <v>-11139.109927993728</v>
      </c>
      <c r="R516">
        <f t="shared" si="981"/>
        <v>8230.6072579379161</v>
      </c>
      <c r="S516">
        <f t="shared" si="982"/>
        <v>8.2306072579379164E-2</v>
      </c>
      <c r="T516">
        <f t="shared" si="983"/>
        <v>8.230607257937916E-5</v>
      </c>
    </row>
    <row r="517" spans="1:20" x14ac:dyDescent="0.25">
      <c r="A517" s="5">
        <v>44076</v>
      </c>
      <c r="B517">
        <v>8549</v>
      </c>
      <c r="C517">
        <v>8550</v>
      </c>
      <c r="D517">
        <v>6215.55</v>
      </c>
      <c r="E517">
        <v>7325</v>
      </c>
      <c r="F517">
        <v>22200.048933999999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-4.9497740367110105E-2</v>
      </c>
      <c r="Q517">
        <f t="shared" si="980"/>
        <v>-1098.8522582722715</v>
      </c>
      <c r="R517">
        <f t="shared" si="981"/>
        <v>19369.717185931644</v>
      </c>
      <c r="S517">
        <f t="shared" si="982"/>
        <v>0.19369717185931645</v>
      </c>
      <c r="T517">
        <f t="shared" si="983"/>
        <v>1.9369717185931646E-4</v>
      </c>
    </row>
    <row r="518" spans="1:20" x14ac:dyDescent="0.25">
      <c r="A518" s="5">
        <v>44075</v>
      </c>
      <c r="B518">
        <v>3088</v>
      </c>
      <c r="C518">
        <v>9865</v>
      </c>
      <c r="D518">
        <v>3088</v>
      </c>
      <c r="E518">
        <v>8549.64</v>
      </c>
      <c r="F518">
        <v>33455.409457000002</v>
      </c>
      <c r="G518">
        <v>0</v>
      </c>
      <c r="P518">
        <f t="shared" ref="P518:P581" si="984">IF(C518=D518,0,((E518-D518)-(C518-E518))/(C518-D518))</f>
        <v>0.611816437951896</v>
      </c>
      <c r="Q518">
        <f t="shared" ref="Q518:Q581" si="985">F518*P518</f>
        <v>20468.569444203917</v>
      </c>
      <c r="R518">
        <f t="shared" ref="R518:R581" si="986">R519+Q518</f>
        <v>20468.569444203917</v>
      </c>
      <c r="S518">
        <f t="shared" ref="S518:S581" si="987">R518/100000</f>
        <v>0.20468569444203916</v>
      </c>
      <c r="T518">
        <f t="shared" ref="T518:T581" si="988">S518/1000</f>
        <v>2.0468569444203916E-4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P199" sqref="IP19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$A$198</v>
      </c>
      <c r="D111" s="1" t="str">
        <f>ADDRESS(C121-1,D121,1,1)</f>
        <v>$IP$198</v>
      </c>
      <c r="E111"/>
    </row>
    <row r="112" spans="1:5" x14ac:dyDescent="0.25">
      <c r="A112" s="7">
        <v>12164.144957890772</v>
      </c>
      <c r="C112" s="1" t="str">
        <f>ADDRESS(C121,1,1,1)</f>
        <v>$A$199</v>
      </c>
      <c r="D112" s="1" t="str">
        <f>ADDRESS(C121,D121-1,1,1)</f>
        <v>$IO$199</v>
      </c>
      <c r="E112"/>
    </row>
    <row r="113" spans="1:5" x14ac:dyDescent="0.25">
      <c r="A113" s="7">
        <v>11925.63231165762</v>
      </c>
      <c r="C113" s="1" t="str">
        <f>ADDRESS(C121+1,1,1,1)</f>
        <v>$A$200</v>
      </c>
      <c r="D113" s="1" t="str">
        <f>ADDRESS(C121-1,D121+1,1,1)</f>
        <v>$IQ$198</v>
      </c>
    </row>
    <row r="114" spans="1:5" x14ac:dyDescent="0.25">
      <c r="A114" s="7">
        <v>11691.796383978059</v>
      </c>
      <c r="C114" s="1" t="str">
        <f>ADDRESS(C121,D121,1,1)</f>
        <v>$IP$199</v>
      </c>
      <c r="D114" s="1" t="str">
        <f>ADDRESS(C121+1,D121+1,1,1)</f>
        <v>$IQ$200</v>
      </c>
    </row>
    <row r="115" spans="1:5" x14ac:dyDescent="0.25">
      <c r="A115" s="7">
        <v>11462.545474488292</v>
      </c>
      <c r="C115" s="1" t="str">
        <f>ADDRESS(C121+1,D121,1,1)</f>
        <v>$IP$200</v>
      </c>
    </row>
    <row r="116" spans="1:5" x14ac:dyDescent="0.25">
      <c r="A116" s="7">
        <v>11237.789680870874</v>
      </c>
      <c r="C116" s="1">
        <f>C117-1</f>
        <v>198</v>
      </c>
    </row>
    <row r="117" spans="1:5" x14ac:dyDescent="0.25">
      <c r="A117" s="7">
        <v>11017.440863598895</v>
      </c>
      <c r="C117" s="1">
        <f>C121</f>
        <v>199</v>
      </c>
      <c r="D117" s="1">
        <f>D121</f>
        <v>250</v>
      </c>
    </row>
    <row r="118" spans="1:5" x14ac:dyDescent="0.25">
      <c r="A118" s="7">
        <v>10801.412611371465</v>
      </c>
      <c r="C118" s="1">
        <f>C117+1</f>
        <v>200</v>
      </c>
      <c r="D118" s="1">
        <f>D117+1</f>
        <v>251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199</v>
      </c>
      <c r="D121" s="19">
        <v>250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R199</v>
      </c>
      <c r="D123" s="1" t="str">
        <f>"C"&amp;D121</f>
        <v>C250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2172.034122092437</v>
      </c>
      <c r="D127"/>
    </row>
    <row r="128" spans="1:5" x14ac:dyDescent="0.25">
      <c r="A128" s="7">
        <v>8860.920471988642</v>
      </c>
    </row>
    <row r="129" spans="1:194" x14ac:dyDescent="0.25">
      <c r="A129" s="7">
        <v>8687.1769333221982</v>
      </c>
      <c r="C129" s="1" t="s">
        <v>11</v>
      </c>
      <c r="D129" s="1" t="s">
        <v>12</v>
      </c>
      <c r="E129"/>
    </row>
    <row r="130" spans="1:194" x14ac:dyDescent="0.25">
      <c r="A130" s="7">
        <v>8516.8401307080367</v>
      </c>
      <c r="C130" s="6"/>
      <c r="D130" s="6"/>
      <c r="E130" t="s">
        <v>8</v>
      </c>
    </row>
    <row r="131" spans="1:194" x14ac:dyDescent="0.25">
      <c r="A131" s="7">
        <v>8349.8432654000353</v>
      </c>
      <c r="E131" t="s">
        <v>8</v>
      </c>
      <c r="F131" s="27" t="s">
        <v>7</v>
      </c>
    </row>
    <row r="132" spans="1:194" x14ac:dyDescent="0.25">
      <c r="A132" s="7">
        <v>8186.1208484314075</v>
      </c>
      <c r="C132" s="1" t="s">
        <v>13</v>
      </c>
      <c r="E132" t="s">
        <v>8</v>
      </c>
      <c r="F132" s="27" t="s">
        <v>7</v>
      </c>
    </row>
    <row r="133" spans="1:194" x14ac:dyDescent="0.25">
      <c r="A133" s="7">
        <v>8025.6086749327524</v>
      </c>
      <c r="C133" s="1" t="str">
        <f>C122</f>
        <v>O</v>
      </c>
      <c r="E133" t="s">
        <v>8</v>
      </c>
      <c r="F133" s="27" t="s">
        <v>7</v>
      </c>
    </row>
    <row r="134" spans="1:194" x14ac:dyDescent="0.25">
      <c r="A134" s="7">
        <v>7868.2437989536784</v>
      </c>
      <c r="E134" t="s">
        <v>8</v>
      </c>
      <c r="F134" s="27" t="s">
        <v>7</v>
      </c>
      <c r="GK134" s="27" t="s">
        <v>8</v>
      </c>
    </row>
    <row r="135" spans="1:194" x14ac:dyDescent="0.25">
      <c r="A135" s="7">
        <v>7713.9645087781155</v>
      </c>
      <c r="C135" s="1" t="s">
        <v>14</v>
      </c>
      <c r="E135" t="s">
        <v>8</v>
      </c>
      <c r="F135" s="27" t="s">
        <v>7</v>
      </c>
      <c r="GK135" s="27" t="s">
        <v>8</v>
      </c>
      <c r="GL135" s="27" t="s">
        <v>7</v>
      </c>
    </row>
    <row r="136" spans="1:194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 t="s">
        <v>8</v>
      </c>
      <c r="F136" s="27" t="s">
        <v>7</v>
      </c>
      <c r="GK136" s="27" t="s">
        <v>8</v>
      </c>
      <c r="GL136" s="27" t="s">
        <v>7</v>
      </c>
    </row>
    <row r="137" spans="1:194" x14ac:dyDescent="0.25">
      <c r="A137" s="7">
        <v>7414.4218654153356</v>
      </c>
      <c r="E137" t="s">
        <v>8</v>
      </c>
      <c r="F137" s="27" t="s">
        <v>7</v>
      </c>
      <c r="GK137" s="27" t="s">
        <v>8</v>
      </c>
      <c r="GL137" s="27" t="s">
        <v>7</v>
      </c>
    </row>
    <row r="138" spans="1:194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 t="s">
        <v>8</v>
      </c>
      <c r="F138" s="27" t="s">
        <v>7</v>
      </c>
      <c r="GK138" s="27" t="s">
        <v>8</v>
      </c>
      <c r="GL138" s="27" t="s">
        <v>7</v>
      </c>
    </row>
    <row r="139" spans="1:194" x14ac:dyDescent="0.25">
      <c r="A139" s="7">
        <v>7126.5108279655287</v>
      </c>
      <c r="E139" t="s">
        <v>8</v>
      </c>
      <c r="F139" s="27" t="s">
        <v>7</v>
      </c>
      <c r="GK139" s="27" t="s">
        <v>8</v>
      </c>
      <c r="GL139" s="27" t="s">
        <v>7</v>
      </c>
    </row>
    <row r="140" spans="1:194" x14ac:dyDescent="0.25">
      <c r="A140" s="7">
        <v>6986.7753215348321</v>
      </c>
      <c r="C140" s="1">
        <v>0</v>
      </c>
      <c r="E140" t="s">
        <v>8</v>
      </c>
      <c r="F140" s="27" t="s">
        <v>7</v>
      </c>
      <c r="GK140" s="27" t="s">
        <v>8</v>
      </c>
      <c r="GL140" s="27" t="s">
        <v>7</v>
      </c>
    </row>
    <row r="141" spans="1:194" x14ac:dyDescent="0.25">
      <c r="A141" s="7">
        <v>6849.7797269949333</v>
      </c>
      <c r="C141" s="1">
        <v>1</v>
      </c>
      <c r="E141" t="s">
        <v>8</v>
      </c>
      <c r="F141" s="27" t="s">
        <v>7</v>
      </c>
      <c r="I141" s="27" t="s">
        <v>8</v>
      </c>
      <c r="GK141" s="27" t="s">
        <v>8</v>
      </c>
      <c r="GL141" s="27" t="s">
        <v>7</v>
      </c>
    </row>
    <row r="142" spans="1:194" x14ac:dyDescent="0.25">
      <c r="A142" s="7">
        <v>6715.4703205832675</v>
      </c>
      <c r="C142" s="1">
        <v>2</v>
      </c>
      <c r="E142" t="s">
        <v>8</v>
      </c>
      <c r="F142" s="27" t="s">
        <v>7</v>
      </c>
      <c r="I142" s="27" t="s">
        <v>8</v>
      </c>
      <c r="J142" s="27" t="s">
        <v>7</v>
      </c>
      <c r="GK142" s="27" t="s">
        <v>8</v>
      </c>
      <c r="GL142" s="27" t="s">
        <v>7</v>
      </c>
    </row>
    <row r="143" spans="1:194" x14ac:dyDescent="0.25">
      <c r="A143" s="7">
        <v>6583.7944319443795</v>
      </c>
      <c r="C143" s="1">
        <v>3</v>
      </c>
      <c r="E143" t="s">
        <v>8</v>
      </c>
      <c r="F143" s="27" t="s">
        <v>7</v>
      </c>
      <c r="I143" s="27" t="s">
        <v>8</v>
      </c>
      <c r="J143" s="27" t="s">
        <v>7</v>
      </c>
      <c r="GK143" s="27" t="s">
        <v>8</v>
      </c>
      <c r="GL143" s="27" t="s">
        <v>7</v>
      </c>
    </row>
    <row r="144" spans="1:194" x14ac:dyDescent="0.25">
      <c r="A144" s="7">
        <v>6454.700423474882</v>
      </c>
      <c r="C144" s="1">
        <v>4</v>
      </c>
      <c r="E144" t="s">
        <v>8</v>
      </c>
      <c r="F144" s="27" t="s">
        <v>7</v>
      </c>
      <c r="I144" s="27" t="s">
        <v>8</v>
      </c>
      <c r="J144" s="27" t="s">
        <v>7</v>
      </c>
      <c r="K144" s="27" t="s">
        <v>8</v>
      </c>
      <c r="GK144" s="27" t="s">
        <v>8</v>
      </c>
      <c r="GL144" s="27" t="s">
        <v>7</v>
      </c>
    </row>
    <row r="145" spans="1:204" x14ac:dyDescent="0.25">
      <c r="A145" s="7">
        <v>6328.1376700734136</v>
      </c>
      <c r="E145" t="s">
        <v>8</v>
      </c>
      <c r="F145" s="27" t="s">
        <v>7</v>
      </c>
      <c r="I145" s="27" t="s">
        <v>8</v>
      </c>
      <c r="J145" s="27" t="s">
        <v>7</v>
      </c>
      <c r="K145" s="27" t="s">
        <v>8</v>
      </c>
      <c r="L145" s="27" t="s">
        <v>7</v>
      </c>
      <c r="GK145" s="27" t="s">
        <v>8</v>
      </c>
      <c r="GL145" s="27" t="s">
        <v>7</v>
      </c>
    </row>
    <row r="146" spans="1:204" x14ac:dyDescent="0.25">
      <c r="A146" s="7">
        <v>6204.0565392876606</v>
      </c>
      <c r="E146" t="s">
        <v>8</v>
      </c>
      <c r="F146" s="27" t="s">
        <v>7</v>
      </c>
      <c r="I146" s="27" t="s">
        <v>8</v>
      </c>
      <c r="J146" s="27" t="s">
        <v>7</v>
      </c>
      <c r="K146" s="27" t="s">
        <v>8</v>
      </c>
      <c r="L146" s="27" t="s">
        <v>7</v>
      </c>
      <c r="GK146" s="27" t="s">
        <v>8</v>
      </c>
      <c r="GL146" s="27" t="s">
        <v>7</v>
      </c>
    </row>
    <row r="147" spans="1:204" x14ac:dyDescent="0.25">
      <c r="A147" s="7">
        <v>6082.4083718506472</v>
      </c>
      <c r="E147" t="s">
        <v>8</v>
      </c>
      <c r="F147" s="27" t="s">
        <v>7</v>
      </c>
      <c r="I147" s="27" t="s">
        <v>8</v>
      </c>
      <c r="J147" s="27" t="s">
        <v>7</v>
      </c>
      <c r="K147" s="27" t="s">
        <v>8</v>
      </c>
      <c r="L147" s="27" t="s">
        <v>7</v>
      </c>
      <c r="GK147" s="27" t="s">
        <v>8</v>
      </c>
      <c r="GL147" s="27" t="s">
        <v>7</v>
      </c>
    </row>
    <row r="148" spans="1:204" x14ac:dyDescent="0.25">
      <c r="A148" s="7">
        <v>5963.1454625986735</v>
      </c>
      <c r="E148" t="s">
        <v>8</v>
      </c>
      <c r="F148" s="27" t="s">
        <v>7</v>
      </c>
      <c r="I148" s="27" t="s">
        <v>8</v>
      </c>
      <c r="J148" s="27" t="s">
        <v>7</v>
      </c>
      <c r="K148" s="27" t="s">
        <v>8</v>
      </c>
      <c r="L148" s="27" t="s">
        <v>7</v>
      </c>
      <c r="GK148" s="27" t="s">
        <v>8</v>
      </c>
      <c r="GL148" s="27" t="s">
        <v>7</v>
      </c>
    </row>
    <row r="149" spans="1:204" x14ac:dyDescent="0.25">
      <c r="A149" s="7">
        <v>5846.2210417634051</v>
      </c>
      <c r="E149" t="s">
        <v>8</v>
      </c>
      <c r="F149" s="27" t="s">
        <v>7</v>
      </c>
      <c r="I149" s="27" t="s">
        <v>8</v>
      </c>
      <c r="J149" s="27" t="s">
        <v>7</v>
      </c>
      <c r="K149" s="27" t="s">
        <v>8</v>
      </c>
      <c r="L149" s="27" t="s">
        <v>7</v>
      </c>
      <c r="GK149" s="27" t="s">
        <v>8</v>
      </c>
      <c r="GL149" s="27" t="s">
        <v>7</v>
      </c>
      <c r="GM149" s="27" t="s">
        <v>8</v>
      </c>
    </row>
    <row r="150" spans="1:204" x14ac:dyDescent="0.25">
      <c r="A150" s="7">
        <v>5731.5892566307894</v>
      </c>
      <c r="E150" t="s">
        <v>8</v>
      </c>
      <c r="F150" s="27" t="s">
        <v>7</v>
      </c>
      <c r="I150" s="27" t="s">
        <v>8</v>
      </c>
      <c r="J150" s="27" t="s">
        <v>7</v>
      </c>
      <c r="K150" s="27" t="s">
        <v>8</v>
      </c>
      <c r="L150" s="27" t="s">
        <v>7</v>
      </c>
      <c r="GK150" s="27" t="s">
        <v>8</v>
      </c>
      <c r="GL150" s="27" t="s">
        <v>7</v>
      </c>
      <c r="GM150" s="27" t="s">
        <v>8</v>
      </c>
      <c r="GN150" s="27" t="s">
        <v>7</v>
      </c>
    </row>
    <row r="151" spans="1:204" x14ac:dyDescent="0.25">
      <c r="A151" s="7">
        <v>5619.2051535595974</v>
      </c>
      <c r="E151" t="s">
        <v>8</v>
      </c>
      <c r="F151" s="27" t="s">
        <v>7</v>
      </c>
      <c r="I151" s="27" t="s">
        <v>8</v>
      </c>
      <c r="J151" s="27" t="s">
        <v>7</v>
      </c>
      <c r="K151" s="27" t="s">
        <v>8</v>
      </c>
      <c r="L151" s="27" t="s">
        <v>7</v>
      </c>
      <c r="GK151" s="27" t="s">
        <v>8</v>
      </c>
      <c r="GL151" s="27" t="s">
        <v>7</v>
      </c>
      <c r="GM151" s="27" t="s">
        <v>8</v>
      </c>
      <c r="GN151" s="27" t="s">
        <v>7</v>
      </c>
    </row>
    <row r="152" spans="1:204" x14ac:dyDescent="0.25">
      <c r="A152" s="7">
        <v>5509.0246603525466</v>
      </c>
      <c r="E152" t="s">
        <v>8</v>
      </c>
      <c r="F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GK152" s="27" t="s">
        <v>8</v>
      </c>
      <c r="GL152" s="27" t="s">
        <v>7</v>
      </c>
      <c r="GN152" s="27" t="s">
        <v>7</v>
      </c>
    </row>
    <row r="153" spans="1:204" x14ac:dyDescent="0.25">
      <c r="A153" s="7">
        <v>5401.004568973085</v>
      </c>
      <c r="E153" t="s">
        <v>8</v>
      </c>
      <c r="F153" s="27" t="s">
        <v>7</v>
      </c>
      <c r="I153" s="27" t="s">
        <v>8</v>
      </c>
      <c r="J153" s="27" t="s">
        <v>7</v>
      </c>
      <c r="K153" s="27" t="s">
        <v>8</v>
      </c>
      <c r="L153" s="27" t="s">
        <v>7</v>
      </c>
      <c r="GK153" s="27" t="s">
        <v>8</v>
      </c>
      <c r="GN153" s="27" t="s">
        <v>7</v>
      </c>
    </row>
    <row r="154" spans="1:204" x14ac:dyDescent="0.25">
      <c r="A154" s="7">
        <v>5295.1025186010638</v>
      </c>
      <c r="C154" s="1" t="s">
        <v>15</v>
      </c>
      <c r="E154" t="s">
        <v>8</v>
      </c>
      <c r="F154" s="27" t="s">
        <v>7</v>
      </c>
      <c r="I154" s="27" t="s">
        <v>8</v>
      </c>
      <c r="J154" s="27" t="s">
        <v>7</v>
      </c>
      <c r="K154" s="27" t="s">
        <v>8</v>
      </c>
      <c r="L154" s="27" t="s">
        <v>7</v>
      </c>
      <c r="GK154" s="27" t="s">
        <v>8</v>
      </c>
      <c r="GN154" s="27" t="s">
        <v>7</v>
      </c>
    </row>
    <row r="155" spans="1:204" x14ac:dyDescent="0.25">
      <c r="A155" s="7">
        <v>5191.2769790206503</v>
      </c>
      <c r="C155" s="7">
        <v>3.2521478785124451E-2</v>
      </c>
      <c r="D155"/>
      <c r="E155" t="s">
        <v>8</v>
      </c>
      <c r="F155" s="27" t="s">
        <v>7</v>
      </c>
      <c r="I155" s="27" t="s">
        <v>8</v>
      </c>
      <c r="J155" s="27" t="s">
        <v>7</v>
      </c>
      <c r="K155" s="27" t="s">
        <v>8</v>
      </c>
      <c r="L155" s="27" t="s">
        <v>7</v>
      </c>
      <c r="GK155" s="27" t="s">
        <v>8</v>
      </c>
      <c r="GN155" s="27" t="s">
        <v>7</v>
      </c>
      <c r="GU155" s="27" t="s">
        <v>8</v>
      </c>
    </row>
    <row r="156" spans="1:204" x14ac:dyDescent="0.25">
      <c r="A156" s="7">
        <v>5089.4872343339712</v>
      </c>
      <c r="E156" t="s">
        <v>8</v>
      </c>
      <c r="F156" s="27" t="s">
        <v>7</v>
      </c>
      <c r="I156" s="27" t="s">
        <v>8</v>
      </c>
      <c r="J156" s="27" t="s">
        <v>7</v>
      </c>
      <c r="K156" s="27" t="s">
        <v>8</v>
      </c>
      <c r="L156" s="27" t="s">
        <v>7</v>
      </c>
      <c r="GK156" s="27" t="s">
        <v>8</v>
      </c>
      <c r="GN156" s="27" t="s">
        <v>7</v>
      </c>
      <c r="GO156" s="27" t="s">
        <v>8</v>
      </c>
      <c r="GU156" s="27" t="s">
        <v>8</v>
      </c>
      <c r="GV156" s="27" t="s">
        <v>7</v>
      </c>
    </row>
    <row r="157" spans="1:204" x14ac:dyDescent="0.25">
      <c r="A157" s="7">
        <v>4989.693366994089</v>
      </c>
      <c r="C157" s="1" t="s">
        <v>11</v>
      </c>
      <c r="D157" s="1" t="s">
        <v>12</v>
      </c>
      <c r="E157" t="s">
        <v>8</v>
      </c>
      <c r="F157" s="27" t="s">
        <v>7</v>
      </c>
      <c r="I157" s="27" t="s">
        <v>8</v>
      </c>
      <c r="J157" s="27" t="s">
        <v>7</v>
      </c>
      <c r="L157" s="27" t="s">
        <v>7</v>
      </c>
      <c r="GK157" s="27" t="s">
        <v>8</v>
      </c>
      <c r="GN157" s="27" t="s">
        <v>7</v>
      </c>
      <c r="GO157" s="27" t="s">
        <v>8</v>
      </c>
      <c r="GP157" s="27" t="s">
        <v>7</v>
      </c>
      <c r="GU157" s="27" t="s">
        <v>8</v>
      </c>
      <c r="GV157" s="27" t="s">
        <v>7</v>
      </c>
    </row>
    <row r="158" spans="1:204" x14ac:dyDescent="0.25">
      <c r="A158" s="7">
        <v>4891.8562421510678</v>
      </c>
      <c r="C158">
        <v>3.6999999999999998E-2</v>
      </c>
      <c r="D158">
        <v>3.3000000000000002E-2</v>
      </c>
      <c r="E158" t="s">
        <v>8</v>
      </c>
      <c r="F158" s="27" t="s">
        <v>7</v>
      </c>
      <c r="I158" s="27" t="s">
        <v>8</v>
      </c>
      <c r="L158" s="27" t="s">
        <v>7</v>
      </c>
      <c r="GI158" s="27" t="s">
        <v>8</v>
      </c>
      <c r="GK158" s="27" t="s">
        <v>8</v>
      </c>
      <c r="GN158" s="27" t="s">
        <v>7</v>
      </c>
      <c r="GO158" s="27" t="s">
        <v>8</v>
      </c>
      <c r="GP158" s="27" t="s">
        <v>7</v>
      </c>
      <c r="GS158" s="27" t="s">
        <v>8</v>
      </c>
      <c r="GU158" s="27" t="s">
        <v>8</v>
      </c>
      <c r="GV158" s="27" t="s">
        <v>7</v>
      </c>
    </row>
    <row r="159" spans="1:204" x14ac:dyDescent="0.25">
      <c r="A159" s="7">
        <v>4795.9374923049681</v>
      </c>
      <c r="E159" t="s">
        <v>8</v>
      </c>
      <c r="F159" s="27" t="s">
        <v>7</v>
      </c>
      <c r="I159" s="27" t="s">
        <v>8</v>
      </c>
      <c r="L159" s="27" t="s">
        <v>7</v>
      </c>
      <c r="GI159" s="27" t="s">
        <v>8</v>
      </c>
      <c r="GJ159" s="27" t="s">
        <v>7</v>
      </c>
      <c r="GK159" s="27" t="s">
        <v>8</v>
      </c>
      <c r="GN159" s="27" t="s">
        <v>7</v>
      </c>
      <c r="GO159" s="27" t="s">
        <v>8</v>
      </c>
      <c r="GP159" s="27" t="s">
        <v>7</v>
      </c>
      <c r="GS159" s="27" t="s">
        <v>8</v>
      </c>
      <c r="GT159" s="27" t="s">
        <v>7</v>
      </c>
      <c r="GU159" s="27" t="s">
        <v>8</v>
      </c>
      <c r="GV159" s="27" t="s">
        <v>7</v>
      </c>
    </row>
    <row r="160" spans="1:204" x14ac:dyDescent="0.25">
      <c r="A160" s="7">
        <v>4701.8995022597728</v>
      </c>
      <c r="C160" s="1" t="s">
        <v>13</v>
      </c>
      <c r="E160" t="s">
        <v>8</v>
      </c>
      <c r="F160" s="27" t="s">
        <v>7</v>
      </c>
      <c r="I160" s="27" t="s">
        <v>8</v>
      </c>
      <c r="L160" s="27" t="s">
        <v>7</v>
      </c>
      <c r="FW160" s="27" t="s">
        <v>8</v>
      </c>
      <c r="GI160" s="27" t="s">
        <v>8</v>
      </c>
      <c r="GJ160" s="27" t="s">
        <v>7</v>
      </c>
      <c r="GK160" s="27" t="s">
        <v>8</v>
      </c>
      <c r="GN160" s="27" t="s">
        <v>7</v>
      </c>
      <c r="GO160" s="27" t="s">
        <v>8</v>
      </c>
      <c r="GP160" s="27" t="s">
        <v>7</v>
      </c>
      <c r="GQ160" s="27" t="s">
        <v>8</v>
      </c>
      <c r="GS160" s="27" t="s">
        <v>8</v>
      </c>
      <c r="GT160" s="27" t="s">
        <v>7</v>
      </c>
      <c r="GU160" s="27" t="s">
        <v>8</v>
      </c>
      <c r="GV160" s="27" t="s">
        <v>7</v>
      </c>
    </row>
    <row r="161" spans="1:236" x14ac:dyDescent="0.25">
      <c r="A161" s="7">
        <v>4609.7053943723258</v>
      </c>
      <c r="C161" s="1" t="s">
        <v>8</v>
      </c>
      <c r="E161" t="s">
        <v>8</v>
      </c>
      <c r="F161" s="27" t="s">
        <v>7</v>
      </c>
      <c r="I161" s="27" t="s">
        <v>8</v>
      </c>
      <c r="L161" s="27" t="s">
        <v>7</v>
      </c>
      <c r="FW161" s="27" t="s">
        <v>8</v>
      </c>
      <c r="FX161" s="27" t="s">
        <v>7</v>
      </c>
      <c r="GI161" s="27" t="s">
        <v>8</v>
      </c>
      <c r="GJ161" s="27" t="s">
        <v>7</v>
      </c>
      <c r="GK161" s="27" t="s">
        <v>8</v>
      </c>
      <c r="GN161" s="27" t="s">
        <v>7</v>
      </c>
      <c r="GO161" s="27" t="s">
        <v>8</v>
      </c>
      <c r="GP161" s="27" t="s">
        <v>7</v>
      </c>
      <c r="GQ161" s="27" t="s">
        <v>8</v>
      </c>
      <c r="GR161" s="27" t="s">
        <v>7</v>
      </c>
      <c r="GS161" s="27" t="s">
        <v>8</v>
      </c>
      <c r="GT161" s="27" t="s">
        <v>7</v>
      </c>
      <c r="GU161" s="27" t="s">
        <v>8</v>
      </c>
      <c r="GV161" s="27" t="s">
        <v>7</v>
      </c>
    </row>
    <row r="162" spans="1:236" x14ac:dyDescent="0.25">
      <c r="A162" s="7">
        <v>4519.3190140905153</v>
      </c>
      <c r="E162" t="s">
        <v>8</v>
      </c>
      <c r="F162" s="27" t="s">
        <v>7</v>
      </c>
      <c r="I162" s="27" t="s">
        <v>8</v>
      </c>
      <c r="L162" s="27" t="s">
        <v>7</v>
      </c>
      <c r="FW162" s="27" t="s">
        <v>8</v>
      </c>
      <c r="FX162" s="27" t="s">
        <v>7</v>
      </c>
      <c r="GA162" s="27" t="s">
        <v>8</v>
      </c>
      <c r="GI162" s="27" t="s">
        <v>8</v>
      </c>
      <c r="GJ162" s="27" t="s">
        <v>7</v>
      </c>
      <c r="GK162" s="27" t="s">
        <v>8</v>
      </c>
      <c r="GN162" s="27" t="s">
        <v>7</v>
      </c>
      <c r="GO162" s="27" t="s">
        <v>8</v>
      </c>
      <c r="GP162" s="27" t="s">
        <v>7</v>
      </c>
      <c r="GQ162" s="27" t="s">
        <v>8</v>
      </c>
      <c r="GR162" s="27" t="s">
        <v>7</v>
      </c>
      <c r="GS162" s="27" t="s">
        <v>8</v>
      </c>
      <c r="GT162" s="27" t="s">
        <v>7</v>
      </c>
      <c r="GU162" s="27" t="s">
        <v>8</v>
      </c>
      <c r="GV162" s="27" t="s">
        <v>7</v>
      </c>
      <c r="HC162" s="27" t="s">
        <v>8</v>
      </c>
      <c r="HI162" s="27" t="s">
        <v>8</v>
      </c>
    </row>
    <row r="163" spans="1:236" x14ac:dyDescent="0.25">
      <c r="A163" s="7">
        <v>4430.7049157750153</v>
      </c>
      <c r="C163" s="1" t="s">
        <v>14</v>
      </c>
      <c r="E163" t="s">
        <v>8</v>
      </c>
      <c r="F163" s="27" t="s">
        <v>7</v>
      </c>
      <c r="I163" s="27" t="s">
        <v>8</v>
      </c>
      <c r="L163" s="27" t="s">
        <v>7</v>
      </c>
      <c r="FW163" s="27" t="s">
        <v>8</v>
      </c>
      <c r="FX163" s="27" t="s">
        <v>7</v>
      </c>
      <c r="FY163" s="27" t="s">
        <v>8</v>
      </c>
      <c r="GA163" s="27" t="s">
        <v>8</v>
      </c>
      <c r="GB163" s="27" t="s">
        <v>7</v>
      </c>
      <c r="GE163" s="27" t="s">
        <v>8</v>
      </c>
      <c r="GI163" s="27" t="s">
        <v>8</v>
      </c>
      <c r="GJ163" s="27" t="s">
        <v>7</v>
      </c>
      <c r="GK163" s="27" t="s">
        <v>8</v>
      </c>
      <c r="GN163" s="27" t="s">
        <v>7</v>
      </c>
      <c r="GO163" s="27" t="s">
        <v>8</v>
      </c>
      <c r="GP163" s="27" t="s">
        <v>7</v>
      </c>
      <c r="GQ163" s="27" t="s">
        <v>8</v>
      </c>
      <c r="GR163" s="27" t="s">
        <v>7</v>
      </c>
      <c r="GS163" s="27" t="s">
        <v>8</v>
      </c>
      <c r="GT163" s="27" t="s">
        <v>7</v>
      </c>
      <c r="GU163" s="27" t="s">
        <v>8</v>
      </c>
      <c r="GV163" s="27" t="s">
        <v>7</v>
      </c>
      <c r="GW163" s="27" t="s">
        <v>8</v>
      </c>
      <c r="HC163" s="27" t="s">
        <v>8</v>
      </c>
      <c r="HD163" s="27" t="s">
        <v>7</v>
      </c>
      <c r="HI163" s="27" t="s">
        <v>8</v>
      </c>
      <c r="HJ163" s="27" t="s">
        <v>7</v>
      </c>
      <c r="HM163" s="27" t="s">
        <v>8</v>
      </c>
    </row>
    <row r="164" spans="1:236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 t="s">
        <v>8</v>
      </c>
      <c r="F164" s="27" t="s">
        <v>7</v>
      </c>
      <c r="I164" s="27" t="s">
        <v>8</v>
      </c>
      <c r="L164" s="27" t="s">
        <v>7</v>
      </c>
      <c r="FW164" s="27" t="s">
        <v>8</v>
      </c>
      <c r="FX164" s="27" t="s">
        <v>7</v>
      </c>
      <c r="FY164" s="27" t="s">
        <v>8</v>
      </c>
      <c r="FZ164" s="27" t="s">
        <v>7</v>
      </c>
      <c r="GA164" s="27" t="s">
        <v>8</v>
      </c>
      <c r="GB164" s="27" t="s">
        <v>7</v>
      </c>
      <c r="GE164" s="27" t="s">
        <v>8</v>
      </c>
      <c r="GF164" s="27" t="s">
        <v>7</v>
      </c>
      <c r="GG164" s="27" t="s">
        <v>8</v>
      </c>
      <c r="GI164" s="27" t="s">
        <v>8</v>
      </c>
      <c r="GJ164" s="27" t="s">
        <v>7</v>
      </c>
      <c r="GK164" s="27" t="s">
        <v>8</v>
      </c>
      <c r="GN164" s="27" t="s">
        <v>7</v>
      </c>
      <c r="GO164" s="27" t="s">
        <v>8</v>
      </c>
      <c r="GP164" s="27" t="s">
        <v>7</v>
      </c>
      <c r="GR164" s="27" t="s">
        <v>7</v>
      </c>
      <c r="GS164" s="27" t="s">
        <v>8</v>
      </c>
      <c r="GT164" s="27" t="s">
        <v>7</v>
      </c>
      <c r="GV164" s="27" t="s">
        <v>7</v>
      </c>
      <c r="GW164" s="27" t="s">
        <v>8</v>
      </c>
      <c r="GX164" s="27" t="s">
        <v>7</v>
      </c>
      <c r="HC164" s="27" t="s">
        <v>8</v>
      </c>
      <c r="HD164" s="27" t="s">
        <v>7</v>
      </c>
      <c r="HE164" s="27" t="s">
        <v>8</v>
      </c>
      <c r="HI164" s="27" t="s">
        <v>8</v>
      </c>
      <c r="HJ164" s="27" t="s">
        <v>7</v>
      </c>
      <c r="HM164" s="27" t="s">
        <v>8</v>
      </c>
      <c r="HN164" s="27" t="s">
        <v>7</v>
      </c>
    </row>
    <row r="165" spans="1:236" x14ac:dyDescent="0.25">
      <c r="A165" s="7">
        <v>4258.6552439206225</v>
      </c>
      <c r="E165" t="s">
        <v>8</v>
      </c>
      <c r="F165" s="27" t="s">
        <v>7</v>
      </c>
      <c r="I165" s="27" t="s">
        <v>8</v>
      </c>
      <c r="L165" s="27" t="s">
        <v>7</v>
      </c>
      <c r="FW165" s="27" t="s">
        <v>8</v>
      </c>
      <c r="FX165" s="27" t="s">
        <v>7</v>
      </c>
      <c r="FY165" s="27" t="s">
        <v>8</v>
      </c>
      <c r="FZ165" s="27" t="s">
        <v>7</v>
      </c>
      <c r="GA165" s="27" t="s">
        <v>8</v>
      </c>
      <c r="GB165" s="27" t="s">
        <v>7</v>
      </c>
      <c r="GC165" s="27" t="s">
        <v>8</v>
      </c>
      <c r="GE165" s="27" t="s">
        <v>8</v>
      </c>
      <c r="GF165" s="27" t="s">
        <v>7</v>
      </c>
      <c r="GG165" s="27" t="s">
        <v>8</v>
      </c>
      <c r="GH165" s="27" t="s">
        <v>7</v>
      </c>
      <c r="GI165" s="27" t="s">
        <v>8</v>
      </c>
      <c r="GJ165" s="27" t="s">
        <v>7</v>
      </c>
      <c r="GK165" s="27" t="s">
        <v>8</v>
      </c>
      <c r="GN165" s="27" t="s">
        <v>7</v>
      </c>
      <c r="GO165" s="27" t="s">
        <v>8</v>
      </c>
      <c r="GR165" s="27" t="s">
        <v>7</v>
      </c>
      <c r="GS165" s="27" t="s">
        <v>8</v>
      </c>
      <c r="GV165" s="27" t="s">
        <v>7</v>
      </c>
      <c r="GW165" s="27" t="s">
        <v>8</v>
      </c>
      <c r="GX165" s="27" t="s">
        <v>7</v>
      </c>
      <c r="HC165" s="27" t="s">
        <v>8</v>
      </c>
      <c r="HD165" s="27" t="s">
        <v>7</v>
      </c>
      <c r="HE165" s="27" t="s">
        <v>8</v>
      </c>
      <c r="HF165" s="27" t="s">
        <v>7</v>
      </c>
      <c r="HI165" s="27" t="s">
        <v>8</v>
      </c>
      <c r="HJ165" s="27" t="s">
        <v>7</v>
      </c>
      <c r="HM165" s="27" t="s">
        <v>8</v>
      </c>
      <c r="HN165" s="27" t="s">
        <v>7</v>
      </c>
      <c r="HO165" s="27" t="s">
        <v>8</v>
      </c>
      <c r="HQ165" s="27" t="s">
        <v>8</v>
      </c>
    </row>
    <row r="166" spans="1:236" x14ac:dyDescent="0.25">
      <c r="A166" s="7">
        <v>4175.1521999221786</v>
      </c>
      <c r="E166" t="s">
        <v>8</v>
      </c>
      <c r="F166" s="27" t="s">
        <v>7</v>
      </c>
      <c r="I166" s="27" t="s">
        <v>8</v>
      </c>
      <c r="L166" s="27" t="s">
        <v>7</v>
      </c>
      <c r="FW166" s="27" t="s">
        <v>8</v>
      </c>
      <c r="FX166" s="27" t="s">
        <v>7</v>
      </c>
      <c r="FZ166" s="27" t="s">
        <v>7</v>
      </c>
      <c r="GA166" s="27" t="s">
        <v>8</v>
      </c>
      <c r="GB166" s="27" t="s">
        <v>7</v>
      </c>
      <c r="GC166" s="27" t="s">
        <v>8</v>
      </c>
      <c r="GD166" s="27" t="s">
        <v>7</v>
      </c>
      <c r="GE166" s="27" t="s">
        <v>8</v>
      </c>
      <c r="GF166" s="27" t="s">
        <v>7</v>
      </c>
      <c r="GG166" s="27" t="s">
        <v>8</v>
      </c>
      <c r="GH166" s="27" t="s">
        <v>7</v>
      </c>
      <c r="GI166" s="27" t="s">
        <v>8</v>
      </c>
      <c r="GJ166" s="27" t="s">
        <v>7</v>
      </c>
      <c r="GK166" s="27" t="s">
        <v>8</v>
      </c>
      <c r="GN166" s="27" t="s">
        <v>7</v>
      </c>
      <c r="GO166" s="27" t="s">
        <v>8</v>
      </c>
      <c r="GR166" s="27" t="s">
        <v>7</v>
      </c>
      <c r="GS166" s="27" t="s">
        <v>8</v>
      </c>
      <c r="GV166" s="27" t="s">
        <v>7</v>
      </c>
      <c r="GW166" s="27" t="s">
        <v>8</v>
      </c>
      <c r="GX166" s="27" t="s">
        <v>7</v>
      </c>
      <c r="HA166" s="27" t="s">
        <v>8</v>
      </c>
      <c r="HC166" s="27" t="s">
        <v>8</v>
      </c>
      <c r="HD166" s="27" t="s">
        <v>7</v>
      </c>
      <c r="HE166" s="27" t="s">
        <v>8</v>
      </c>
      <c r="HF166" s="27" t="s">
        <v>7</v>
      </c>
      <c r="HG166" s="27" t="s">
        <v>8</v>
      </c>
      <c r="HI166" s="27" t="s">
        <v>8</v>
      </c>
      <c r="HJ166" s="27" t="s">
        <v>7</v>
      </c>
      <c r="HM166" s="27" t="s">
        <v>8</v>
      </c>
      <c r="HN166" s="27" t="s">
        <v>7</v>
      </c>
      <c r="HO166" s="27" t="s">
        <v>8</v>
      </c>
      <c r="HP166" s="27" t="s">
        <v>7</v>
      </c>
      <c r="HQ166" s="27" t="s">
        <v>8</v>
      </c>
      <c r="HR166" s="27" t="s">
        <v>7</v>
      </c>
    </row>
    <row r="167" spans="1:236" x14ac:dyDescent="0.25">
      <c r="A167" s="7">
        <v>4093.2864705119396</v>
      </c>
      <c r="E167" t="s">
        <v>8</v>
      </c>
      <c r="F167" s="27" t="s">
        <v>7</v>
      </c>
      <c r="I167" s="27" t="s">
        <v>8</v>
      </c>
      <c r="L167" s="27" t="s">
        <v>7</v>
      </c>
      <c r="FW167" s="27" t="s">
        <v>8</v>
      </c>
      <c r="FZ167" s="27" t="s">
        <v>7</v>
      </c>
      <c r="GA167" s="27" t="s">
        <v>8</v>
      </c>
      <c r="GB167" s="27" t="s">
        <v>7</v>
      </c>
      <c r="GC167" s="27" t="s">
        <v>8</v>
      </c>
      <c r="GD167" s="27" t="s">
        <v>7</v>
      </c>
      <c r="GE167" s="27" t="s">
        <v>8</v>
      </c>
      <c r="GF167" s="27" t="s">
        <v>7</v>
      </c>
      <c r="GG167" s="27" t="s">
        <v>8</v>
      </c>
      <c r="GH167" s="27" t="s">
        <v>7</v>
      </c>
      <c r="GJ167" s="27" t="s">
        <v>7</v>
      </c>
      <c r="GK167" s="27" t="s">
        <v>8</v>
      </c>
      <c r="GN167" s="27" t="s">
        <v>7</v>
      </c>
      <c r="GO167" s="27" t="s">
        <v>8</v>
      </c>
      <c r="GR167" s="27" t="s">
        <v>7</v>
      </c>
      <c r="GV167" s="27" t="s">
        <v>7</v>
      </c>
      <c r="GW167" s="27" t="s">
        <v>8</v>
      </c>
      <c r="GX167" s="27" t="s">
        <v>7</v>
      </c>
      <c r="HA167" s="27" t="s">
        <v>8</v>
      </c>
      <c r="HB167" s="27" t="s">
        <v>7</v>
      </c>
      <c r="HC167" s="27" t="s">
        <v>8</v>
      </c>
      <c r="HD167" s="27" t="s">
        <v>7</v>
      </c>
      <c r="HE167" s="27" t="s">
        <v>8</v>
      </c>
      <c r="HF167" s="27" t="s">
        <v>7</v>
      </c>
      <c r="HG167" s="27" t="s">
        <v>8</v>
      </c>
      <c r="HH167" s="27" t="s">
        <v>7</v>
      </c>
      <c r="HI167" s="27" t="s">
        <v>8</v>
      </c>
      <c r="HJ167" s="27" t="s">
        <v>7</v>
      </c>
      <c r="HK167" s="27" t="s">
        <v>8</v>
      </c>
      <c r="HM167" s="27" t="s">
        <v>8</v>
      </c>
      <c r="HN167" s="27" t="s">
        <v>7</v>
      </c>
      <c r="HO167" s="27" t="s">
        <v>8</v>
      </c>
      <c r="HP167" s="27" t="s">
        <v>7</v>
      </c>
      <c r="HQ167" s="27" t="s">
        <v>8</v>
      </c>
      <c r="HR167" s="27" t="s">
        <v>7</v>
      </c>
    </row>
    <row r="168" spans="1:236" x14ac:dyDescent="0.25">
      <c r="A168" s="7">
        <v>4013.0259514822937</v>
      </c>
      <c r="E168" t="s">
        <v>8</v>
      </c>
      <c r="F168" s="27" t="s">
        <v>7</v>
      </c>
      <c r="G168" s="27" t="s">
        <v>8</v>
      </c>
      <c r="I168" s="27" t="s">
        <v>8</v>
      </c>
      <c r="L168" s="27" t="s">
        <v>7</v>
      </c>
      <c r="O168" s="27" t="s">
        <v>8</v>
      </c>
      <c r="FW168" s="27" t="s">
        <v>8</v>
      </c>
      <c r="FZ168" s="27" t="s">
        <v>7</v>
      </c>
      <c r="GA168" s="27" t="s">
        <v>8</v>
      </c>
      <c r="GB168" s="27" t="s">
        <v>7</v>
      </c>
      <c r="GC168" s="27" t="s">
        <v>8</v>
      </c>
      <c r="GD168" s="27" t="s">
        <v>7</v>
      </c>
      <c r="GF168" s="27" t="s">
        <v>7</v>
      </c>
      <c r="GG168" s="27" t="s">
        <v>8</v>
      </c>
      <c r="GJ168" s="27" t="s">
        <v>7</v>
      </c>
      <c r="GK168" s="27" t="s">
        <v>8</v>
      </c>
      <c r="GN168" s="27" t="s">
        <v>7</v>
      </c>
      <c r="GO168" s="27" t="s">
        <v>8</v>
      </c>
      <c r="GV168" s="27" t="s">
        <v>7</v>
      </c>
      <c r="GW168" s="27" t="s">
        <v>8</v>
      </c>
      <c r="GX168" s="27" t="s">
        <v>7</v>
      </c>
      <c r="GY168" s="27" t="s">
        <v>8</v>
      </c>
      <c r="HA168" s="27" t="s">
        <v>8</v>
      </c>
      <c r="HB168" s="27" t="s">
        <v>7</v>
      </c>
      <c r="HC168" s="27" t="s">
        <v>8</v>
      </c>
      <c r="HD168" s="27" t="s">
        <v>7</v>
      </c>
      <c r="HF168" s="27" t="s">
        <v>7</v>
      </c>
      <c r="HG168" s="27" t="s">
        <v>8</v>
      </c>
      <c r="HH168" s="27" t="s">
        <v>7</v>
      </c>
      <c r="HI168" s="27" t="s">
        <v>8</v>
      </c>
      <c r="HJ168" s="27" t="s">
        <v>7</v>
      </c>
      <c r="HK168" s="27" t="s">
        <v>8</v>
      </c>
      <c r="HL168" s="27" t="s">
        <v>7</v>
      </c>
      <c r="HM168" s="27" t="s">
        <v>8</v>
      </c>
      <c r="HN168" s="27" t="s">
        <v>7</v>
      </c>
      <c r="HO168" s="27" t="s">
        <v>8</v>
      </c>
      <c r="HP168" s="27" t="s">
        <v>7</v>
      </c>
      <c r="HQ168" s="27" t="s">
        <v>8</v>
      </c>
      <c r="HR168" s="27" t="s">
        <v>7</v>
      </c>
    </row>
    <row r="169" spans="1:236" x14ac:dyDescent="0.25">
      <c r="A169" s="7">
        <v>3934.3391681198959</v>
      </c>
      <c r="E169" t="s">
        <v>8</v>
      </c>
      <c r="F169" s="27" t="s">
        <v>7</v>
      </c>
      <c r="G169" s="27" t="s">
        <v>8</v>
      </c>
      <c r="H169" s="27" t="s">
        <v>7</v>
      </c>
      <c r="I169" s="27" t="s">
        <v>8</v>
      </c>
      <c r="L169" s="27" t="s">
        <v>7</v>
      </c>
      <c r="O169" s="27" t="s">
        <v>8</v>
      </c>
      <c r="P169" s="27" t="s">
        <v>7</v>
      </c>
      <c r="FW169" s="27" t="s">
        <v>8</v>
      </c>
      <c r="FZ169" s="27" t="s">
        <v>7</v>
      </c>
      <c r="GB169" s="27" t="s">
        <v>7</v>
      </c>
      <c r="GF169" s="27" t="s">
        <v>7</v>
      </c>
      <c r="GG169" s="27" t="s">
        <v>8</v>
      </c>
      <c r="GJ169" s="27" t="s">
        <v>7</v>
      </c>
      <c r="GN169" s="27" t="s">
        <v>7</v>
      </c>
      <c r="GO169" s="27" t="s">
        <v>8</v>
      </c>
      <c r="GV169" s="27" t="s">
        <v>7</v>
      </c>
      <c r="GW169" s="27" t="s">
        <v>8</v>
      </c>
      <c r="GX169" s="27" t="s">
        <v>7</v>
      </c>
      <c r="GY169" s="27" t="s">
        <v>8</v>
      </c>
      <c r="GZ169" s="27" t="s">
        <v>7</v>
      </c>
      <c r="HA169" s="27" t="s">
        <v>8</v>
      </c>
      <c r="HB169" s="27" t="s">
        <v>7</v>
      </c>
      <c r="HC169" s="27" t="s">
        <v>8</v>
      </c>
      <c r="HF169" s="27" t="s">
        <v>7</v>
      </c>
      <c r="HG169" s="27" t="s">
        <v>8</v>
      </c>
      <c r="HH169" s="27" t="s">
        <v>7</v>
      </c>
      <c r="HI169" s="27" t="s">
        <v>8</v>
      </c>
      <c r="HJ169" s="27" t="s">
        <v>7</v>
      </c>
      <c r="HK169" s="27" t="s">
        <v>8</v>
      </c>
      <c r="HL169" s="27" t="s">
        <v>7</v>
      </c>
      <c r="HM169" s="27" t="s">
        <v>8</v>
      </c>
      <c r="HN169" s="27" t="s">
        <v>7</v>
      </c>
      <c r="HO169" s="27" t="s">
        <v>8</v>
      </c>
      <c r="HP169" s="27" t="s">
        <v>7</v>
      </c>
      <c r="HQ169" s="27" t="s">
        <v>8</v>
      </c>
      <c r="HR169" s="27" t="s">
        <v>7</v>
      </c>
      <c r="HS169" s="27" t="s">
        <v>8</v>
      </c>
      <c r="IA169" s="27" t="s">
        <v>8</v>
      </c>
    </row>
    <row r="170" spans="1:236" x14ac:dyDescent="0.25">
      <c r="A170" s="7">
        <v>3857.1952628626432</v>
      </c>
      <c r="E170" t="s">
        <v>8</v>
      </c>
      <c r="F170" s="27" t="s">
        <v>7</v>
      </c>
      <c r="G170" s="27" t="s">
        <v>8</v>
      </c>
      <c r="H170" s="27" t="s">
        <v>7</v>
      </c>
      <c r="I170" s="27" t="s">
        <v>8</v>
      </c>
      <c r="L170" s="27" t="s">
        <v>7</v>
      </c>
      <c r="O170" s="27" t="s">
        <v>8</v>
      </c>
      <c r="P170" s="27" t="s">
        <v>7</v>
      </c>
      <c r="FW170" s="27" t="s">
        <v>8</v>
      </c>
      <c r="GF170" s="27" t="s">
        <v>7</v>
      </c>
      <c r="GG170" s="27" t="s">
        <v>8</v>
      </c>
      <c r="GN170" s="27" t="s">
        <v>7</v>
      </c>
      <c r="GO170" s="27" t="s">
        <v>8</v>
      </c>
      <c r="GV170" s="27" t="s">
        <v>7</v>
      </c>
      <c r="GW170" s="27" t="s">
        <v>8</v>
      </c>
      <c r="GX170" s="27" t="s">
        <v>7</v>
      </c>
      <c r="GY170" s="27" t="s">
        <v>8</v>
      </c>
      <c r="GZ170" s="27" t="s">
        <v>7</v>
      </c>
      <c r="HA170" s="27" t="s">
        <v>8</v>
      </c>
      <c r="HB170" s="27" t="s">
        <v>7</v>
      </c>
      <c r="HF170" s="27" t="s">
        <v>7</v>
      </c>
      <c r="HG170" s="27" t="s">
        <v>8</v>
      </c>
      <c r="HH170" s="27" t="s">
        <v>7</v>
      </c>
      <c r="HJ170" s="27" t="s">
        <v>7</v>
      </c>
      <c r="HK170" s="27" t="s">
        <v>8</v>
      </c>
      <c r="HL170" s="27" t="s">
        <v>7</v>
      </c>
      <c r="HM170" s="27" t="s">
        <v>8</v>
      </c>
      <c r="HN170" s="27" t="s">
        <v>7</v>
      </c>
      <c r="HO170" s="27" t="s">
        <v>8</v>
      </c>
      <c r="HP170" s="27" t="s">
        <v>7</v>
      </c>
      <c r="HQ170" s="27" t="s">
        <v>8</v>
      </c>
      <c r="HR170" s="27" t="s">
        <v>7</v>
      </c>
      <c r="HS170" s="27" t="s">
        <v>8</v>
      </c>
      <c r="HT170" s="27" t="s">
        <v>7</v>
      </c>
      <c r="IA170" s="27" t="s">
        <v>8</v>
      </c>
      <c r="IB170" s="27" t="s">
        <v>7</v>
      </c>
    </row>
    <row r="171" spans="1:236" x14ac:dyDescent="0.25">
      <c r="A171" s="7">
        <v>3781.5639831986696</v>
      </c>
      <c r="E171" t="s">
        <v>8</v>
      </c>
      <c r="F171" s="27" t="s">
        <v>7</v>
      </c>
      <c r="G171" s="27" t="s">
        <v>8</v>
      </c>
      <c r="H171" s="27" t="s">
        <v>7</v>
      </c>
      <c r="I171" s="27" t="s">
        <v>8</v>
      </c>
      <c r="L171" s="27" t="s">
        <v>7</v>
      </c>
      <c r="O171" s="27" t="s">
        <v>8</v>
      </c>
      <c r="P171" s="27" t="s">
        <v>7</v>
      </c>
      <c r="FW171" s="27" t="s">
        <v>8</v>
      </c>
      <c r="GF171" s="27" t="s">
        <v>7</v>
      </c>
      <c r="GG171" s="27" t="s">
        <v>8</v>
      </c>
      <c r="GN171" s="27" t="s">
        <v>7</v>
      </c>
      <c r="GV171" s="27" t="s">
        <v>7</v>
      </c>
      <c r="GX171" s="27" t="s">
        <v>7</v>
      </c>
      <c r="GY171" s="27" t="s">
        <v>8</v>
      </c>
      <c r="GZ171" s="27" t="s">
        <v>7</v>
      </c>
      <c r="HA171" s="27" t="s">
        <v>8</v>
      </c>
      <c r="HF171" s="27" t="s">
        <v>7</v>
      </c>
      <c r="HG171" s="27" t="s">
        <v>8</v>
      </c>
      <c r="HJ171" s="27" t="s">
        <v>7</v>
      </c>
      <c r="HK171" s="27" t="s">
        <v>8</v>
      </c>
      <c r="HL171" s="27" t="s">
        <v>7</v>
      </c>
      <c r="HN171" s="27" t="s">
        <v>7</v>
      </c>
      <c r="HO171" s="27" t="s">
        <v>8</v>
      </c>
      <c r="HP171" s="27" t="s">
        <v>7</v>
      </c>
      <c r="HQ171" s="27" t="s">
        <v>8</v>
      </c>
      <c r="HR171" s="27" t="s">
        <v>7</v>
      </c>
      <c r="HS171" s="27" t="s">
        <v>8</v>
      </c>
      <c r="HT171" s="27" t="s">
        <v>7</v>
      </c>
      <c r="IA171" s="27" t="s">
        <v>8</v>
      </c>
      <c r="IB171" s="27" t="s">
        <v>7</v>
      </c>
    </row>
    <row r="172" spans="1:236" x14ac:dyDescent="0.25">
      <c r="A172" s="7">
        <v>3707.4156698026172</v>
      </c>
      <c r="E172" t="s">
        <v>8</v>
      </c>
      <c r="F172" s="27" t="s">
        <v>7</v>
      </c>
      <c r="G172" s="27" t="s">
        <v>8</v>
      </c>
      <c r="H172" s="27" t="s">
        <v>7</v>
      </c>
      <c r="I172" s="27" t="s">
        <v>8</v>
      </c>
      <c r="L172" s="27" t="s">
        <v>7</v>
      </c>
      <c r="O172" s="27" t="s">
        <v>8</v>
      </c>
      <c r="P172" s="27" t="s">
        <v>7</v>
      </c>
      <c r="FW172" s="27" t="s">
        <v>8</v>
      </c>
      <c r="GF172" s="27" t="s">
        <v>7</v>
      </c>
      <c r="GX172" s="27" t="s">
        <v>7</v>
      </c>
      <c r="GZ172" s="27" t="s">
        <v>7</v>
      </c>
      <c r="HF172" s="27" t="s">
        <v>7</v>
      </c>
      <c r="HJ172" s="27" t="s">
        <v>7</v>
      </c>
      <c r="HN172" s="27" t="s">
        <v>7</v>
      </c>
      <c r="HO172" s="27" t="s">
        <v>8</v>
      </c>
      <c r="HP172" s="27" t="s">
        <v>7</v>
      </c>
      <c r="HR172" s="27" t="s">
        <v>7</v>
      </c>
      <c r="HT172" s="27" t="s">
        <v>7</v>
      </c>
      <c r="IA172" s="27" t="s">
        <v>8</v>
      </c>
      <c r="IB172" s="27" t="s">
        <v>7</v>
      </c>
    </row>
    <row r="173" spans="1:236" x14ac:dyDescent="0.25">
      <c r="A173" s="7">
        <v>3634.7212449045264</v>
      </c>
      <c r="E173" t="s">
        <v>8</v>
      </c>
      <c r="F173" s="27" t="s">
        <v>7</v>
      </c>
      <c r="G173" s="27" t="s">
        <v>8</v>
      </c>
      <c r="H173" s="27" t="s">
        <v>7</v>
      </c>
      <c r="I173" s="27" t="s">
        <v>8</v>
      </c>
      <c r="L173" s="27" t="s">
        <v>7</v>
      </c>
      <c r="O173" s="27" t="s">
        <v>8</v>
      </c>
      <c r="P173" s="27" t="s">
        <v>7</v>
      </c>
      <c r="CM173" s="27" t="s">
        <v>8</v>
      </c>
      <c r="EE173" s="27" t="s">
        <v>8</v>
      </c>
      <c r="FW173" s="27" t="s">
        <v>8</v>
      </c>
      <c r="HN173" s="27" t="s">
        <v>7</v>
      </c>
      <c r="HO173" s="27" t="s">
        <v>8</v>
      </c>
      <c r="HT173" s="27" t="s">
        <v>7</v>
      </c>
      <c r="IA173" s="27" t="s">
        <v>8</v>
      </c>
      <c r="IB173" s="27" t="s">
        <v>7</v>
      </c>
    </row>
    <row r="174" spans="1:236" x14ac:dyDescent="0.25">
      <c r="A174" s="7">
        <v>3563.4522008867907</v>
      </c>
      <c r="E174" t="s">
        <v>8</v>
      </c>
      <c r="F174" s="27" t="s">
        <v>7</v>
      </c>
      <c r="G174" s="27" t="s">
        <v>8</v>
      </c>
      <c r="H174" s="27" t="s">
        <v>7</v>
      </c>
      <c r="I174" s="27" t="s">
        <v>8</v>
      </c>
      <c r="L174" s="27" t="s">
        <v>7</v>
      </c>
      <c r="O174" s="27" t="s">
        <v>8</v>
      </c>
      <c r="P174" s="27" t="s">
        <v>7</v>
      </c>
      <c r="CM174" s="27" t="s">
        <v>8</v>
      </c>
      <c r="CN174" s="27" t="s">
        <v>7</v>
      </c>
      <c r="EE174" s="27" t="s">
        <v>8</v>
      </c>
      <c r="EF174" s="27" t="s">
        <v>7</v>
      </c>
      <c r="FW174" s="27" t="s">
        <v>8</v>
      </c>
      <c r="HN174" s="27" t="s">
        <v>7</v>
      </c>
      <c r="HT174" s="27" t="s">
        <v>7</v>
      </c>
      <c r="IA174" s="27" t="s">
        <v>8</v>
      </c>
      <c r="IB174" s="27" t="s">
        <v>7</v>
      </c>
    </row>
    <row r="175" spans="1:236" x14ac:dyDescent="0.25">
      <c r="A175" s="7">
        <v>3493.5805891046966</v>
      </c>
      <c r="E175" t="s">
        <v>8</v>
      </c>
      <c r="F175" s="27" t="s">
        <v>7</v>
      </c>
      <c r="G175" s="27" t="s">
        <v>8</v>
      </c>
      <c r="H175" s="27" t="s">
        <v>7</v>
      </c>
      <c r="I175" s="27" t="s">
        <v>8</v>
      </c>
      <c r="L175" s="27" t="s">
        <v>7</v>
      </c>
      <c r="O175" s="27" t="s">
        <v>8</v>
      </c>
      <c r="P175" s="27" t="s">
        <v>7</v>
      </c>
      <c r="CI175" s="27" t="s">
        <v>8</v>
      </c>
      <c r="CM175" s="27" t="s">
        <v>8</v>
      </c>
      <c r="CN175" s="27" t="s">
        <v>7</v>
      </c>
      <c r="EE175" s="27" t="s">
        <v>8</v>
      </c>
      <c r="EF175" s="27" t="s">
        <v>7</v>
      </c>
      <c r="FW175" s="27" t="s">
        <v>8</v>
      </c>
      <c r="HT175" s="27" t="s">
        <v>7</v>
      </c>
      <c r="IA175" s="27" t="s">
        <v>8</v>
      </c>
      <c r="IB175" s="27" t="s">
        <v>7</v>
      </c>
    </row>
    <row r="176" spans="1:236" x14ac:dyDescent="0.25">
      <c r="A176" s="7">
        <v>3425.0790089261732</v>
      </c>
      <c r="E176" t="s">
        <v>8</v>
      </c>
      <c r="F176" s="27" t="s">
        <v>7</v>
      </c>
      <c r="G176" s="27" t="s">
        <v>8</v>
      </c>
      <c r="H176" s="27" t="s">
        <v>7</v>
      </c>
      <c r="I176" s="27" t="s">
        <v>8</v>
      </c>
      <c r="L176" s="27" t="s">
        <v>7</v>
      </c>
      <c r="O176" s="27" t="s">
        <v>8</v>
      </c>
      <c r="P176" s="27" t="s">
        <v>7</v>
      </c>
      <c r="CI176" s="27" t="s">
        <v>8</v>
      </c>
      <c r="CJ176" s="27" t="s">
        <v>7</v>
      </c>
      <c r="CM176" s="27" t="s">
        <v>8</v>
      </c>
      <c r="CN176" s="27" t="s">
        <v>7</v>
      </c>
      <c r="EE176" s="27" t="s">
        <v>8</v>
      </c>
      <c r="EF176" s="27" t="s">
        <v>7</v>
      </c>
      <c r="FW176" s="27" t="s">
        <v>8</v>
      </c>
      <c r="HT176" s="27" t="s">
        <v>7</v>
      </c>
      <c r="IA176" s="27" t="s">
        <v>8</v>
      </c>
      <c r="IB176" s="27" t="s">
        <v>7</v>
      </c>
    </row>
    <row r="177" spans="1:246" x14ac:dyDescent="0.25">
      <c r="A177" s="7">
        <v>3357.9205969864443</v>
      </c>
      <c r="B177"/>
      <c r="C177"/>
      <c r="D177"/>
      <c r="E177" t="s">
        <v>8</v>
      </c>
      <c r="F177" s="27" t="s">
        <v>7</v>
      </c>
      <c r="G177" s="27" t="s">
        <v>8</v>
      </c>
      <c r="H177" s="27" t="s">
        <v>7</v>
      </c>
      <c r="I177" s="27" t="s">
        <v>8</v>
      </c>
      <c r="L177" s="27" t="s">
        <v>7</v>
      </c>
      <c r="O177" s="27" t="s">
        <v>8</v>
      </c>
      <c r="P177" s="27" t="s">
        <v>7</v>
      </c>
      <c r="CI177" s="27" t="s">
        <v>8</v>
      </c>
      <c r="CJ177" s="27" t="s">
        <v>7</v>
      </c>
      <c r="CK177" s="27" t="s">
        <v>8</v>
      </c>
      <c r="CM177" s="27" t="s">
        <v>8</v>
      </c>
      <c r="CN177" s="27" t="s">
        <v>7</v>
      </c>
      <c r="EE177" s="27" t="s">
        <v>8</v>
      </c>
      <c r="EF177" s="27" t="s">
        <v>7</v>
      </c>
      <c r="FW177" s="27" t="s">
        <v>8</v>
      </c>
      <c r="HT177" s="27" t="s">
        <v>7</v>
      </c>
      <c r="IA177" s="27" t="s">
        <v>8</v>
      </c>
      <c r="IB177" s="27" t="s">
        <v>7</v>
      </c>
    </row>
    <row r="178" spans="1:246" x14ac:dyDescent="0.25">
      <c r="A178" s="7">
        <v>3292.0790166533766</v>
      </c>
      <c r="B178"/>
      <c r="C178"/>
      <c r="D178"/>
      <c r="E178" t="s">
        <v>8</v>
      </c>
      <c r="F178" s="27" t="s">
        <v>7</v>
      </c>
      <c r="G178" s="27" t="s">
        <v>8</v>
      </c>
      <c r="H178" s="27" t="s">
        <v>7</v>
      </c>
      <c r="I178" s="27" t="s">
        <v>8</v>
      </c>
      <c r="L178" s="27" t="s">
        <v>7</v>
      </c>
      <c r="M178" s="27" t="s">
        <v>8</v>
      </c>
      <c r="O178" s="27" t="s">
        <v>8</v>
      </c>
      <c r="P178" s="27" t="s">
        <v>7</v>
      </c>
      <c r="CI178" s="27" t="s">
        <v>8</v>
      </c>
      <c r="CJ178" s="27" t="s">
        <v>7</v>
      </c>
      <c r="CK178" s="27" t="s">
        <v>8</v>
      </c>
      <c r="CL178" s="27" t="s">
        <v>7</v>
      </c>
      <c r="CM178" s="27" t="s">
        <v>8</v>
      </c>
      <c r="CN178" s="27" t="s">
        <v>7</v>
      </c>
      <c r="DI178" s="27" t="s">
        <v>8</v>
      </c>
      <c r="DK178" s="27" t="s">
        <v>8</v>
      </c>
      <c r="DO178" s="27" t="s">
        <v>8</v>
      </c>
      <c r="EE178" s="27" t="s">
        <v>8</v>
      </c>
      <c r="EF178" s="27" t="s">
        <v>7</v>
      </c>
      <c r="FW178" s="27" t="s">
        <v>8</v>
      </c>
      <c r="HT178" s="27" t="s">
        <v>7</v>
      </c>
      <c r="IA178" s="27" t="s">
        <v>8</v>
      </c>
      <c r="IB178" s="27" t="s">
        <v>7</v>
      </c>
    </row>
    <row r="179" spans="1:246" x14ac:dyDescent="0.25">
      <c r="A179" s="7">
        <v>3227.5284476993888</v>
      </c>
      <c r="B179"/>
      <c r="C179"/>
      <c r="D179"/>
      <c r="E179" t="s">
        <v>8</v>
      </c>
      <c r="F179" s="27" t="s">
        <v>7</v>
      </c>
      <c r="G179" s="27" t="s">
        <v>8</v>
      </c>
      <c r="H179" s="27" t="s">
        <v>7</v>
      </c>
      <c r="I179" s="27" t="s">
        <v>8</v>
      </c>
      <c r="L179" s="27" t="s">
        <v>7</v>
      </c>
      <c r="M179" s="27" t="s">
        <v>8</v>
      </c>
      <c r="N179" s="27" t="s">
        <v>7</v>
      </c>
      <c r="O179" s="27" t="s">
        <v>8</v>
      </c>
      <c r="P179" s="27" t="s">
        <v>7</v>
      </c>
      <c r="CI179" s="27" t="s">
        <v>8</v>
      </c>
      <c r="CJ179" s="27" t="s">
        <v>7</v>
      </c>
      <c r="CK179" s="27" t="s">
        <v>8</v>
      </c>
      <c r="CL179" s="27" t="s">
        <v>7</v>
      </c>
      <c r="CM179" s="27" t="s">
        <v>8</v>
      </c>
      <c r="CN179" s="27" t="s">
        <v>7</v>
      </c>
      <c r="CO179" s="27" t="s">
        <v>8</v>
      </c>
      <c r="DI179" s="27" t="s">
        <v>8</v>
      </c>
      <c r="DJ179" s="27" t="s">
        <v>7</v>
      </c>
      <c r="DK179" s="27" t="s">
        <v>8</v>
      </c>
      <c r="DL179" s="27" t="s">
        <v>7</v>
      </c>
      <c r="DM179" s="27" t="s">
        <v>8</v>
      </c>
      <c r="DO179" s="27" t="s">
        <v>8</v>
      </c>
      <c r="DP179" s="27" t="s">
        <v>7</v>
      </c>
      <c r="EE179" s="27" t="s">
        <v>8</v>
      </c>
      <c r="EF179" s="27" t="s">
        <v>7</v>
      </c>
      <c r="FW179" s="27" t="s">
        <v>8</v>
      </c>
      <c r="HT179" s="27" t="s">
        <v>7</v>
      </c>
      <c r="IA179" s="27" t="s">
        <v>8</v>
      </c>
      <c r="IB179" s="27" t="s">
        <v>7</v>
      </c>
    </row>
    <row r="180" spans="1:246" x14ac:dyDescent="0.25">
      <c r="A180" s="7">
        <v>3164.2435761758716</v>
      </c>
      <c r="B180"/>
      <c r="C180"/>
      <c r="D180"/>
      <c r="E180" t="s">
        <v>8</v>
      </c>
      <c r="F180" s="27" t="s">
        <v>7</v>
      </c>
      <c r="G180" s="27" t="s">
        <v>8</v>
      </c>
      <c r="H180" s="27" t="s">
        <v>7</v>
      </c>
      <c r="I180" s="27" t="s">
        <v>8</v>
      </c>
      <c r="L180" s="27" t="s">
        <v>7</v>
      </c>
      <c r="M180" s="27" t="s">
        <v>8</v>
      </c>
      <c r="N180" s="27" t="s">
        <v>7</v>
      </c>
      <c r="O180" s="27" t="s">
        <v>8</v>
      </c>
      <c r="P180" s="27" t="s">
        <v>7</v>
      </c>
      <c r="CI180" s="27" t="s">
        <v>8</v>
      </c>
      <c r="CJ180" s="27" t="s">
        <v>7</v>
      </c>
      <c r="CK180" s="27" t="s">
        <v>8</v>
      </c>
      <c r="CL180" s="27" t="s">
        <v>7</v>
      </c>
      <c r="CM180" s="27" t="s">
        <v>8</v>
      </c>
      <c r="CN180" s="27" t="s">
        <v>7</v>
      </c>
      <c r="CO180" s="27" t="s">
        <v>8</v>
      </c>
      <c r="CP180" s="27" t="s">
        <v>7</v>
      </c>
      <c r="DI180" s="27" t="s">
        <v>8</v>
      </c>
      <c r="DJ180" s="27" t="s">
        <v>7</v>
      </c>
      <c r="DK180" s="27" t="s">
        <v>8</v>
      </c>
      <c r="DL180" s="27" t="s">
        <v>7</v>
      </c>
      <c r="DM180" s="27" t="s">
        <v>8</v>
      </c>
      <c r="DN180" s="27" t="s">
        <v>7</v>
      </c>
      <c r="DO180" s="27" t="s">
        <v>8</v>
      </c>
      <c r="DP180" s="27" t="s">
        <v>7</v>
      </c>
      <c r="EE180" s="27" t="s">
        <v>8</v>
      </c>
      <c r="EF180" s="27" t="s">
        <v>7</v>
      </c>
      <c r="FW180" s="27" t="s">
        <v>8</v>
      </c>
      <c r="HT180" s="27" t="s">
        <v>7</v>
      </c>
      <c r="IA180" s="27" t="s">
        <v>8</v>
      </c>
      <c r="IB180" s="27" t="s">
        <v>7</v>
      </c>
      <c r="IG180" s="27" t="s">
        <v>8</v>
      </c>
    </row>
    <row r="181" spans="1:246" x14ac:dyDescent="0.25">
      <c r="A181" s="7">
        <v>3102.1995844861485</v>
      </c>
      <c r="B181"/>
      <c r="C181"/>
      <c r="D181"/>
      <c r="E181" t="s">
        <v>8</v>
      </c>
      <c r="F181" s="27" t="s">
        <v>7</v>
      </c>
      <c r="G181" s="27" t="s">
        <v>8</v>
      </c>
      <c r="H181" s="27" t="s">
        <v>7</v>
      </c>
      <c r="I181" s="27" t="s">
        <v>8</v>
      </c>
      <c r="L181" s="27" t="s">
        <v>7</v>
      </c>
      <c r="M181" s="27" t="s">
        <v>8</v>
      </c>
      <c r="N181" s="27" t="s">
        <v>7</v>
      </c>
      <c r="O181" s="27" t="s">
        <v>8</v>
      </c>
      <c r="P181" s="27" t="s">
        <v>7</v>
      </c>
      <c r="CI181" s="27" t="s">
        <v>8</v>
      </c>
      <c r="CJ181" s="27" t="s">
        <v>7</v>
      </c>
      <c r="CK181" s="27" t="s">
        <v>8</v>
      </c>
      <c r="CL181" s="27" t="s">
        <v>7</v>
      </c>
      <c r="CM181" s="27" t="s">
        <v>8</v>
      </c>
      <c r="CN181" s="27" t="s">
        <v>7</v>
      </c>
      <c r="CO181" s="27" t="s">
        <v>8</v>
      </c>
      <c r="CP181" s="27" t="s">
        <v>7</v>
      </c>
      <c r="DI181" s="27" t="s">
        <v>8</v>
      </c>
      <c r="DJ181" s="27" t="s">
        <v>7</v>
      </c>
      <c r="DK181" s="27" t="s">
        <v>8</v>
      </c>
      <c r="DL181" s="27" t="s">
        <v>7</v>
      </c>
      <c r="DM181" s="27" t="s">
        <v>8</v>
      </c>
      <c r="DN181" s="27" t="s">
        <v>7</v>
      </c>
      <c r="DO181" s="27" t="s">
        <v>8</v>
      </c>
      <c r="DP181" s="27" t="s">
        <v>7</v>
      </c>
      <c r="EE181" s="27" t="s">
        <v>8</v>
      </c>
      <c r="EF181" s="27" t="s">
        <v>7</v>
      </c>
      <c r="FW181" s="27" t="s">
        <v>8</v>
      </c>
      <c r="HT181" s="27" t="s">
        <v>7</v>
      </c>
      <c r="IA181" s="27" t="s">
        <v>8</v>
      </c>
      <c r="IB181" s="27" t="s">
        <v>7</v>
      </c>
      <c r="IG181" s="27" t="s">
        <v>8</v>
      </c>
      <c r="IH181" s="27" t="s">
        <v>7</v>
      </c>
    </row>
    <row r="182" spans="1:246" x14ac:dyDescent="0.25">
      <c r="A182" s="7">
        <v>3041.3721416530866</v>
      </c>
      <c r="B182"/>
      <c r="C182"/>
      <c r="D182"/>
      <c r="E182" t="s">
        <v>8</v>
      </c>
      <c r="F182" s="27" t="s">
        <v>7</v>
      </c>
      <c r="G182" s="27" t="s">
        <v>8</v>
      </c>
      <c r="H182" s="27" t="s">
        <v>7</v>
      </c>
      <c r="I182" s="27" t="s">
        <v>8</v>
      </c>
      <c r="L182" s="27" t="s">
        <v>7</v>
      </c>
      <c r="M182" s="27" t="s">
        <v>8</v>
      </c>
      <c r="N182" s="27" t="s">
        <v>7</v>
      </c>
      <c r="O182" s="27" t="s">
        <v>8</v>
      </c>
      <c r="P182" s="27" t="s">
        <v>7</v>
      </c>
      <c r="CI182" s="27" t="s">
        <v>8</v>
      </c>
      <c r="CJ182" s="27" t="s">
        <v>7</v>
      </c>
      <c r="CK182" s="27" t="s">
        <v>8</v>
      </c>
      <c r="CL182" s="27" t="s">
        <v>7</v>
      </c>
      <c r="CM182" s="27" t="s">
        <v>8</v>
      </c>
      <c r="CN182" s="27" t="s">
        <v>7</v>
      </c>
      <c r="CP182" s="27" t="s">
        <v>7</v>
      </c>
      <c r="DI182" s="27" t="s">
        <v>8</v>
      </c>
      <c r="DJ182" s="27" t="s">
        <v>7</v>
      </c>
      <c r="DK182" s="27" t="s">
        <v>8</v>
      </c>
      <c r="DL182" s="27" t="s">
        <v>7</v>
      </c>
      <c r="DM182" s="27" t="s">
        <v>8</v>
      </c>
      <c r="DN182" s="27" t="s">
        <v>7</v>
      </c>
      <c r="DO182" s="27" t="s">
        <v>8</v>
      </c>
      <c r="DP182" s="27" t="s">
        <v>7</v>
      </c>
      <c r="EE182" s="27" t="s">
        <v>8</v>
      </c>
      <c r="EF182" s="27" t="s">
        <v>7</v>
      </c>
      <c r="FW182" s="27" t="s">
        <v>8</v>
      </c>
      <c r="HT182" s="27" t="s">
        <v>7</v>
      </c>
      <c r="IA182" s="27" t="s">
        <v>8</v>
      </c>
      <c r="IB182" s="27" t="s">
        <v>7</v>
      </c>
      <c r="IC182" s="27" t="s">
        <v>8</v>
      </c>
      <c r="IG182" s="27" t="s">
        <v>8</v>
      </c>
      <c r="IH182" s="27" t="s">
        <v>7</v>
      </c>
    </row>
    <row r="183" spans="1:246" x14ac:dyDescent="0.25">
      <c r="A183" s="7">
        <v>2981.737393777536</v>
      </c>
      <c r="B183"/>
      <c r="C183"/>
      <c r="D183"/>
      <c r="E183" t="s">
        <v>8</v>
      </c>
      <c r="F183" s="27" t="s">
        <v>7</v>
      </c>
      <c r="G183" s="27" t="s">
        <v>8</v>
      </c>
      <c r="H183" s="27" t="s">
        <v>7</v>
      </c>
      <c r="I183" s="27" t="s">
        <v>8</v>
      </c>
      <c r="L183" s="27" t="s">
        <v>7</v>
      </c>
      <c r="M183" s="27" t="s">
        <v>8</v>
      </c>
      <c r="N183" s="27" t="s">
        <v>7</v>
      </c>
      <c r="O183" s="27" t="s">
        <v>8</v>
      </c>
      <c r="P183" s="27" t="s">
        <v>7</v>
      </c>
      <c r="CI183" s="27" t="s">
        <v>8</v>
      </c>
      <c r="CJ183" s="27" t="s">
        <v>7</v>
      </c>
      <c r="CL183" s="27" t="s">
        <v>7</v>
      </c>
      <c r="CM183" s="27" t="s">
        <v>8</v>
      </c>
      <c r="CP183" s="27" t="s">
        <v>7</v>
      </c>
      <c r="DI183" s="27" t="s">
        <v>8</v>
      </c>
      <c r="DJ183" s="27" t="s">
        <v>7</v>
      </c>
      <c r="DK183" s="27" t="s">
        <v>8</v>
      </c>
      <c r="DL183" s="27" t="s">
        <v>7</v>
      </c>
      <c r="DM183" s="27" t="s">
        <v>8</v>
      </c>
      <c r="DN183" s="27" t="s">
        <v>7</v>
      </c>
      <c r="DO183" s="27" t="s">
        <v>8</v>
      </c>
      <c r="DP183" s="27" t="s">
        <v>7</v>
      </c>
      <c r="EE183" s="27" t="s">
        <v>8</v>
      </c>
      <c r="EF183" s="27" t="s">
        <v>7</v>
      </c>
      <c r="FW183" s="27" t="s">
        <v>8</v>
      </c>
      <c r="HT183" s="27" t="s">
        <v>7</v>
      </c>
      <c r="IA183" s="27" t="s">
        <v>8</v>
      </c>
      <c r="IB183" s="27" t="s">
        <v>7</v>
      </c>
      <c r="IC183" s="27" t="s">
        <v>8</v>
      </c>
      <c r="ID183" s="27" t="s">
        <v>7</v>
      </c>
      <c r="IG183" s="27" t="s">
        <v>8</v>
      </c>
      <c r="IH183" s="27" t="s">
        <v>7</v>
      </c>
    </row>
    <row r="184" spans="1:246" x14ac:dyDescent="0.25">
      <c r="A184" s="7">
        <v>2923.2719546838589</v>
      </c>
      <c r="B184"/>
      <c r="C184"/>
      <c r="D184"/>
      <c r="E184" t="s">
        <v>8</v>
      </c>
      <c r="F184" s="27" t="s">
        <v>7</v>
      </c>
      <c r="G184" s="27" t="s">
        <v>8</v>
      </c>
      <c r="H184" s="27" t="s">
        <v>7</v>
      </c>
      <c r="I184" s="27" t="s">
        <v>8</v>
      </c>
      <c r="L184" s="27" t="s">
        <v>7</v>
      </c>
      <c r="M184" s="27" t="s">
        <v>8</v>
      </c>
      <c r="N184" s="27" t="s">
        <v>7</v>
      </c>
      <c r="O184" s="27" t="s">
        <v>8</v>
      </c>
      <c r="P184" s="27" t="s">
        <v>7</v>
      </c>
      <c r="CI184" s="27" t="s">
        <v>8</v>
      </c>
      <c r="CL184" s="27" t="s">
        <v>7</v>
      </c>
      <c r="CM184" s="27" t="s">
        <v>8</v>
      </c>
      <c r="CP184" s="27" t="s">
        <v>7</v>
      </c>
      <c r="DG184" s="27" t="s">
        <v>8</v>
      </c>
      <c r="DI184" s="27" t="s">
        <v>8</v>
      </c>
      <c r="DJ184" s="27" t="s">
        <v>7</v>
      </c>
      <c r="DK184" s="27" t="s">
        <v>8</v>
      </c>
      <c r="DL184" s="27" t="s">
        <v>7</v>
      </c>
      <c r="DM184" s="27" t="s">
        <v>8</v>
      </c>
      <c r="DN184" s="27" t="s">
        <v>7</v>
      </c>
      <c r="DO184" s="27" t="s">
        <v>8</v>
      </c>
      <c r="DP184" s="27" t="s">
        <v>7</v>
      </c>
      <c r="EE184" s="27" t="s">
        <v>8</v>
      </c>
      <c r="EF184" s="27" t="s">
        <v>7</v>
      </c>
      <c r="EG184" s="27" t="s">
        <v>8</v>
      </c>
      <c r="FW184" s="27" t="s">
        <v>8</v>
      </c>
      <c r="HT184" s="27" t="s">
        <v>7</v>
      </c>
      <c r="HW184" s="27" t="s">
        <v>8</v>
      </c>
      <c r="IA184" s="27" t="s">
        <v>8</v>
      </c>
      <c r="IB184" s="27" t="s">
        <v>7</v>
      </c>
      <c r="IC184" s="27" t="s">
        <v>8</v>
      </c>
      <c r="ID184" s="27" t="s">
        <v>7</v>
      </c>
      <c r="IG184" s="27" t="s">
        <v>8</v>
      </c>
      <c r="IH184" s="27" t="s">
        <v>7</v>
      </c>
    </row>
    <row r="185" spans="1:246" x14ac:dyDescent="0.25">
      <c r="A185" s="7">
        <v>2865.9528967488814</v>
      </c>
      <c r="B185"/>
      <c r="C185"/>
      <c r="D185"/>
      <c r="E185" t="s">
        <v>8</v>
      </c>
      <c r="F185" s="27" t="s">
        <v>7</v>
      </c>
      <c r="H185" s="27" t="s">
        <v>7</v>
      </c>
      <c r="L185" s="27" t="s">
        <v>7</v>
      </c>
      <c r="N185" s="27" t="s">
        <v>7</v>
      </c>
      <c r="P185" s="27" t="s">
        <v>7</v>
      </c>
      <c r="CI185" s="27" t="s">
        <v>8</v>
      </c>
      <c r="CL185" s="27" t="s">
        <v>7</v>
      </c>
      <c r="CM185" s="27" t="s">
        <v>8</v>
      </c>
      <c r="CP185" s="27" t="s">
        <v>7</v>
      </c>
      <c r="DG185" s="27" t="s">
        <v>8</v>
      </c>
      <c r="DH185" s="27" t="s">
        <v>7</v>
      </c>
      <c r="DI185" s="27" t="s">
        <v>8</v>
      </c>
      <c r="DJ185" s="27" t="s">
        <v>7</v>
      </c>
      <c r="DK185" s="27" t="s">
        <v>8</v>
      </c>
      <c r="DL185" s="27" t="s">
        <v>7</v>
      </c>
      <c r="DM185" s="27" t="s">
        <v>8</v>
      </c>
      <c r="DN185" s="27" t="s">
        <v>7</v>
      </c>
      <c r="DO185" s="27" t="s">
        <v>8</v>
      </c>
      <c r="DP185" s="27" t="s">
        <v>7</v>
      </c>
      <c r="EE185" s="27" t="s">
        <v>8</v>
      </c>
      <c r="EF185" s="27" t="s">
        <v>7</v>
      </c>
      <c r="EG185" s="27" t="s">
        <v>8</v>
      </c>
      <c r="EH185" s="27" t="s">
        <v>7</v>
      </c>
      <c r="FW185" s="27" t="s">
        <v>8</v>
      </c>
      <c r="HT185" s="27" t="s">
        <v>7</v>
      </c>
      <c r="HU185" s="27" t="s">
        <v>8</v>
      </c>
      <c r="HW185" s="27" t="s">
        <v>8</v>
      </c>
      <c r="HX185" s="27" t="s">
        <v>7</v>
      </c>
      <c r="HY185" s="27" t="s">
        <v>8</v>
      </c>
      <c r="IA185" s="27" t="s">
        <v>8</v>
      </c>
      <c r="IB185" s="27" t="s">
        <v>7</v>
      </c>
      <c r="ID185" s="27" t="s">
        <v>7</v>
      </c>
      <c r="IG185" s="27" t="s">
        <v>8</v>
      </c>
      <c r="IH185" s="27" t="s">
        <v>7</v>
      </c>
    </row>
    <row r="186" spans="1:246" x14ac:dyDescent="0.25">
      <c r="A186" s="7">
        <v>2809.7577419106678</v>
      </c>
      <c r="B186"/>
      <c r="C186"/>
      <c r="D186"/>
      <c r="E186" t="s">
        <v>8</v>
      </c>
      <c r="P186" s="27" t="s">
        <v>7</v>
      </c>
      <c r="CI186" s="27" t="s">
        <v>8</v>
      </c>
      <c r="CL186" s="27" t="s">
        <v>7</v>
      </c>
      <c r="CM186" s="27" t="s">
        <v>8</v>
      </c>
      <c r="CP186" s="27" t="s">
        <v>7</v>
      </c>
      <c r="DG186" s="27" t="s">
        <v>8</v>
      </c>
      <c r="DH186" s="27" t="s">
        <v>7</v>
      </c>
      <c r="DI186" s="27" t="s">
        <v>8</v>
      </c>
      <c r="DJ186" s="27" t="s">
        <v>7</v>
      </c>
      <c r="DK186" s="27" t="s">
        <v>8</v>
      </c>
      <c r="DL186" s="27" t="s">
        <v>7</v>
      </c>
      <c r="DM186" s="27" t="s">
        <v>8</v>
      </c>
      <c r="DN186" s="27" t="s">
        <v>7</v>
      </c>
      <c r="DP186" s="27" t="s">
        <v>7</v>
      </c>
      <c r="EA186" s="27" t="s">
        <v>8</v>
      </c>
      <c r="EE186" s="27" t="s">
        <v>8</v>
      </c>
      <c r="EF186" s="27" t="s">
        <v>7</v>
      </c>
      <c r="EG186" s="27" t="s">
        <v>8</v>
      </c>
      <c r="EH186" s="27" t="s">
        <v>7</v>
      </c>
      <c r="FW186" s="27" t="s">
        <v>8</v>
      </c>
      <c r="HT186" s="27" t="s">
        <v>7</v>
      </c>
      <c r="HU186" s="27" t="s">
        <v>8</v>
      </c>
      <c r="HV186" s="27" t="s">
        <v>7</v>
      </c>
      <c r="HW186" s="27" t="s">
        <v>8</v>
      </c>
      <c r="HX186" s="27" t="s">
        <v>7</v>
      </c>
      <c r="HY186" s="27" t="s">
        <v>8</v>
      </c>
      <c r="HZ186" s="27" t="s">
        <v>7</v>
      </c>
      <c r="IA186" s="27" t="s">
        <v>8</v>
      </c>
      <c r="ID186" s="27" t="s">
        <v>7</v>
      </c>
      <c r="IE186" s="27" t="s">
        <v>8</v>
      </c>
      <c r="IG186" s="27" t="s">
        <v>8</v>
      </c>
      <c r="IH186" s="27" t="s">
        <v>7</v>
      </c>
      <c r="IK186" s="27" t="s">
        <v>8</v>
      </c>
    </row>
    <row r="187" spans="1:246" x14ac:dyDescent="0.25">
      <c r="A187" s="7">
        <v>2754.6644528535958</v>
      </c>
      <c r="B187"/>
      <c r="C187"/>
      <c r="D187"/>
      <c r="E187" t="s">
        <v>8</v>
      </c>
      <c r="P187" s="27" t="s">
        <v>7</v>
      </c>
      <c r="CI187" s="27" t="s">
        <v>8</v>
      </c>
      <c r="CL187" s="27" t="s">
        <v>7</v>
      </c>
      <c r="CM187" s="27" t="s">
        <v>8</v>
      </c>
      <c r="CP187" s="27" t="s">
        <v>7</v>
      </c>
      <c r="DG187" s="27" t="s">
        <v>8</v>
      </c>
      <c r="DH187" s="27" t="s">
        <v>7</v>
      </c>
      <c r="DI187" s="27" t="s">
        <v>8</v>
      </c>
      <c r="DJ187" s="27" t="s">
        <v>7</v>
      </c>
      <c r="DK187" s="27" t="s">
        <v>8</v>
      </c>
      <c r="DL187" s="27" t="s">
        <v>7</v>
      </c>
      <c r="DP187" s="27" t="s">
        <v>7</v>
      </c>
      <c r="DY187" s="27" t="s">
        <v>8</v>
      </c>
      <c r="EA187" s="27" t="s">
        <v>8</v>
      </c>
      <c r="EB187" s="27" t="s">
        <v>7</v>
      </c>
      <c r="EE187" s="27" t="s">
        <v>8</v>
      </c>
      <c r="EF187" s="27" t="s">
        <v>7</v>
      </c>
      <c r="EG187" s="27" t="s">
        <v>8</v>
      </c>
      <c r="EH187" s="27" t="s">
        <v>7</v>
      </c>
      <c r="EI187" s="27" t="s">
        <v>8</v>
      </c>
      <c r="FW187" s="27" t="s">
        <v>8</v>
      </c>
      <c r="HT187" s="27" t="s">
        <v>7</v>
      </c>
      <c r="HU187" s="27" t="s">
        <v>8</v>
      </c>
      <c r="HV187" s="27" t="s">
        <v>7</v>
      </c>
      <c r="HW187" s="27" t="s">
        <v>8</v>
      </c>
      <c r="HX187" s="27" t="s">
        <v>7</v>
      </c>
      <c r="HY187" s="27" t="s">
        <v>8</v>
      </c>
      <c r="HZ187" s="27" t="s">
        <v>7</v>
      </c>
      <c r="IA187" s="27" t="s">
        <v>8</v>
      </c>
      <c r="ID187" s="27" t="s">
        <v>7</v>
      </c>
      <c r="IE187" s="27" t="s">
        <v>8</v>
      </c>
      <c r="IF187" s="27" t="s">
        <v>7</v>
      </c>
      <c r="IG187" s="27" t="s">
        <v>8</v>
      </c>
      <c r="IH187" s="27" t="s">
        <v>7</v>
      </c>
      <c r="IK187" s="27" t="s">
        <v>8</v>
      </c>
      <c r="IL187" s="27" t="s">
        <v>7</v>
      </c>
    </row>
    <row r="188" spans="1:246" x14ac:dyDescent="0.25">
      <c r="A188" s="7">
        <v>2700.6514243662705</v>
      </c>
      <c r="B188"/>
      <c r="C188"/>
      <c r="D188"/>
      <c r="E188" t="s">
        <v>8</v>
      </c>
      <c r="P188" s="27" t="s">
        <v>7</v>
      </c>
      <c r="AS188" s="27" t="s">
        <v>8</v>
      </c>
      <c r="CI188" s="27" t="s">
        <v>8</v>
      </c>
      <c r="CL188" s="27" t="s">
        <v>7</v>
      </c>
      <c r="CM188" s="27" t="s">
        <v>8</v>
      </c>
      <c r="CP188" s="27" t="s">
        <v>7</v>
      </c>
      <c r="DG188" s="27" t="s">
        <v>8</v>
      </c>
      <c r="DH188" s="27" t="s">
        <v>7</v>
      </c>
      <c r="DI188" s="27" t="s">
        <v>8</v>
      </c>
      <c r="DJ188" s="27" t="s">
        <v>7</v>
      </c>
      <c r="DP188" s="27" t="s">
        <v>7</v>
      </c>
      <c r="DQ188" s="27" t="s">
        <v>8</v>
      </c>
      <c r="DS188" s="27" t="s">
        <v>8</v>
      </c>
      <c r="DY188" s="27" t="s">
        <v>8</v>
      </c>
      <c r="DZ188" s="27" t="s">
        <v>7</v>
      </c>
      <c r="EA188" s="27" t="s">
        <v>8</v>
      </c>
      <c r="EB188" s="27" t="s">
        <v>7</v>
      </c>
      <c r="EC188" s="27" t="s">
        <v>8</v>
      </c>
      <c r="EE188" s="27" t="s">
        <v>8</v>
      </c>
      <c r="EF188" s="27" t="s">
        <v>7</v>
      </c>
      <c r="EG188" s="27" t="s">
        <v>8</v>
      </c>
      <c r="EH188" s="27" t="s">
        <v>7</v>
      </c>
      <c r="EI188" s="27" t="s">
        <v>8</v>
      </c>
      <c r="EJ188" s="27" t="s">
        <v>7</v>
      </c>
      <c r="FQ188" s="27" t="s">
        <v>8</v>
      </c>
      <c r="FS188" s="27" t="s">
        <v>8</v>
      </c>
      <c r="FW188" s="27" t="s">
        <v>8</v>
      </c>
      <c r="HT188" s="27" t="s">
        <v>7</v>
      </c>
      <c r="HU188" s="27" t="s">
        <v>8</v>
      </c>
      <c r="HV188" s="27" t="s">
        <v>7</v>
      </c>
      <c r="HW188" s="27" t="s">
        <v>8</v>
      </c>
      <c r="HX188" s="27" t="s">
        <v>7</v>
      </c>
      <c r="HY188" s="27" t="s">
        <v>8</v>
      </c>
      <c r="HZ188" s="27" t="s">
        <v>7</v>
      </c>
      <c r="IA188" s="27" t="s">
        <v>8</v>
      </c>
      <c r="ID188" s="27" t="s">
        <v>7</v>
      </c>
      <c r="IE188" s="27" t="s">
        <v>8</v>
      </c>
      <c r="IF188" s="27" t="s">
        <v>7</v>
      </c>
      <c r="IG188" s="27" t="s">
        <v>8</v>
      </c>
      <c r="IH188" s="27" t="s">
        <v>7</v>
      </c>
      <c r="IK188" s="27" t="s">
        <v>8</v>
      </c>
      <c r="IL188" s="27" t="s">
        <v>7</v>
      </c>
    </row>
    <row r="189" spans="1:246" x14ac:dyDescent="0.25">
      <c r="A189" s="7">
        <v>2647.6974748688926</v>
      </c>
      <c r="B189"/>
      <c r="C189"/>
      <c r="D189"/>
      <c r="E189" t="s">
        <v>8</v>
      </c>
      <c r="P189" s="27" t="s">
        <v>7</v>
      </c>
      <c r="AS189" s="27" t="s">
        <v>8</v>
      </c>
      <c r="AT189" s="27" t="s">
        <v>7</v>
      </c>
      <c r="CG189" s="27" t="s">
        <v>8</v>
      </c>
      <c r="CI189" s="27" t="s">
        <v>8</v>
      </c>
      <c r="CL189" s="27" t="s">
        <v>7</v>
      </c>
      <c r="CM189" s="27" t="s">
        <v>8</v>
      </c>
      <c r="CP189" s="27" t="s">
        <v>7</v>
      </c>
      <c r="DG189" s="27" t="s">
        <v>8</v>
      </c>
      <c r="DH189" s="27" t="s">
        <v>7</v>
      </c>
      <c r="DI189" s="27" t="s">
        <v>8</v>
      </c>
      <c r="DP189" s="27" t="s">
        <v>7</v>
      </c>
      <c r="DQ189" s="27" t="s">
        <v>8</v>
      </c>
      <c r="DR189" s="27" t="s">
        <v>7</v>
      </c>
      <c r="DS189" s="27" t="s">
        <v>8</v>
      </c>
      <c r="DT189" s="27" t="s">
        <v>7</v>
      </c>
      <c r="DY189" s="27" t="s">
        <v>8</v>
      </c>
      <c r="DZ189" s="27" t="s">
        <v>7</v>
      </c>
      <c r="EA189" s="27" t="s">
        <v>8</v>
      </c>
      <c r="EB189" s="27" t="s">
        <v>7</v>
      </c>
      <c r="EC189" s="27" t="s">
        <v>8</v>
      </c>
      <c r="ED189" s="27" t="s">
        <v>7</v>
      </c>
      <c r="EE189" s="27" t="s">
        <v>8</v>
      </c>
      <c r="EF189" s="27" t="s">
        <v>7</v>
      </c>
      <c r="EG189" s="27" t="s">
        <v>8</v>
      </c>
      <c r="EH189" s="27" t="s">
        <v>7</v>
      </c>
      <c r="EI189" s="27" t="s">
        <v>8</v>
      </c>
      <c r="EJ189" s="27" t="s">
        <v>7</v>
      </c>
      <c r="FO189" s="18" t="s">
        <v>8</v>
      </c>
      <c r="FQ189" s="27" t="s">
        <v>8</v>
      </c>
      <c r="FR189" s="27" t="s">
        <v>7</v>
      </c>
      <c r="FS189" s="27" t="s">
        <v>8</v>
      </c>
      <c r="FT189" s="27" t="s">
        <v>7</v>
      </c>
      <c r="FU189" s="27" t="s">
        <v>8</v>
      </c>
      <c r="FW189" s="27" t="s">
        <v>8</v>
      </c>
      <c r="HT189" s="27" t="s">
        <v>7</v>
      </c>
      <c r="HU189" s="27" t="s">
        <v>8</v>
      </c>
      <c r="HV189" s="27" t="s">
        <v>7</v>
      </c>
      <c r="HW189" s="27" t="s">
        <v>8</v>
      </c>
      <c r="HX189" s="27" t="s">
        <v>7</v>
      </c>
      <c r="HY189" s="27" t="s">
        <v>8</v>
      </c>
      <c r="HZ189" s="27" t="s">
        <v>7</v>
      </c>
      <c r="IA189" s="27" t="s">
        <v>8</v>
      </c>
      <c r="ID189" s="27" t="s">
        <v>7</v>
      </c>
      <c r="IF189" s="27" t="s">
        <v>7</v>
      </c>
      <c r="IH189" s="27" t="s">
        <v>7</v>
      </c>
      <c r="II189" s="27" t="s">
        <v>8</v>
      </c>
      <c r="IK189" s="27" t="s">
        <v>8</v>
      </c>
      <c r="IL189" s="27" t="s">
        <v>7</v>
      </c>
    </row>
    <row r="190" spans="1:246" x14ac:dyDescent="0.25">
      <c r="A190" s="7">
        <v>2595.7818381067573</v>
      </c>
      <c r="B190"/>
      <c r="C190"/>
      <c r="D190"/>
      <c r="E190" t="s">
        <v>8</v>
      </c>
      <c r="P190" s="27" t="s">
        <v>7</v>
      </c>
      <c r="AS190" s="27" t="s">
        <v>8</v>
      </c>
      <c r="AT190" s="27" t="s">
        <v>7</v>
      </c>
      <c r="CG190" s="27" t="s">
        <v>8</v>
      </c>
      <c r="CH190" s="27" t="s">
        <v>7</v>
      </c>
      <c r="CI190" s="27" t="s">
        <v>8</v>
      </c>
      <c r="CL190" s="27" t="s">
        <v>7</v>
      </c>
      <c r="CP190" s="27" t="s">
        <v>7</v>
      </c>
      <c r="DG190" s="27" t="s">
        <v>8</v>
      </c>
      <c r="DH190" s="27" t="s">
        <v>7</v>
      </c>
      <c r="DI190" s="27" t="s">
        <v>8</v>
      </c>
      <c r="DP190" s="27" t="s">
        <v>7</v>
      </c>
      <c r="DQ190" s="27" t="s">
        <v>8</v>
      </c>
      <c r="DR190" s="27" t="s">
        <v>7</v>
      </c>
      <c r="DS190" s="27" t="s">
        <v>8</v>
      </c>
      <c r="DT190" s="27" t="s">
        <v>7</v>
      </c>
      <c r="DY190" s="27" t="s">
        <v>8</v>
      </c>
      <c r="DZ190" s="27" t="s">
        <v>7</v>
      </c>
      <c r="EA190" s="27" t="s">
        <v>8</v>
      </c>
      <c r="EB190" s="27" t="s">
        <v>7</v>
      </c>
      <c r="EC190" s="27" t="s">
        <v>8</v>
      </c>
      <c r="ED190" s="27" t="s">
        <v>7</v>
      </c>
      <c r="EE190" s="27" t="s">
        <v>8</v>
      </c>
      <c r="EF190" s="27" t="s">
        <v>7</v>
      </c>
      <c r="EG190" s="27" t="s">
        <v>8</v>
      </c>
      <c r="EH190" s="27" t="s">
        <v>7</v>
      </c>
      <c r="EI190" s="27" t="s">
        <v>8</v>
      </c>
      <c r="EJ190" s="27" t="s">
        <v>7</v>
      </c>
      <c r="FO190" s="27" t="s">
        <v>8</v>
      </c>
      <c r="FP190" s="27" t="s">
        <v>7</v>
      </c>
      <c r="FQ190" s="27" t="s">
        <v>8</v>
      </c>
      <c r="FR190" s="27" t="s">
        <v>7</v>
      </c>
      <c r="FS190" s="27" t="s">
        <v>8</v>
      </c>
      <c r="FT190" s="27" t="s">
        <v>7</v>
      </c>
      <c r="FU190" s="27" t="s">
        <v>8</v>
      </c>
      <c r="FV190" s="27" t="s">
        <v>7</v>
      </c>
      <c r="FW190" s="27" t="s">
        <v>8</v>
      </c>
      <c r="HT190" s="27" t="s">
        <v>7</v>
      </c>
      <c r="HU190" s="27" t="s">
        <v>8</v>
      </c>
      <c r="HV190" s="27" t="s">
        <v>7</v>
      </c>
      <c r="HW190" s="27" t="s">
        <v>8</v>
      </c>
      <c r="HX190" s="27" t="s">
        <v>7</v>
      </c>
      <c r="HY190" s="27" t="s">
        <v>8</v>
      </c>
      <c r="HZ190" s="27" t="s">
        <v>7</v>
      </c>
      <c r="IA190" s="27" t="s">
        <v>8</v>
      </c>
      <c r="IH190" s="27" t="s">
        <v>7</v>
      </c>
      <c r="II190" s="27" t="s">
        <v>8</v>
      </c>
      <c r="IJ190" s="27" t="s">
        <v>7</v>
      </c>
      <c r="IK190" s="27" t="s">
        <v>8</v>
      </c>
      <c r="IL190" s="27" t="s">
        <v>7</v>
      </c>
    </row>
    <row r="191" spans="1:246" x14ac:dyDescent="0.25">
      <c r="A191" s="7">
        <v>2544.884155006625</v>
      </c>
      <c r="B191"/>
      <c r="C191"/>
      <c r="D191"/>
      <c r="E191" t="s">
        <v>8</v>
      </c>
      <c r="P191" s="27" t="s">
        <v>7</v>
      </c>
      <c r="S191" s="27" t="s">
        <v>8</v>
      </c>
      <c r="U191" s="27" t="s">
        <v>8</v>
      </c>
      <c r="AS191" s="27" t="s">
        <v>8</v>
      </c>
      <c r="AT191" s="27" t="s">
        <v>7</v>
      </c>
      <c r="CG191" s="27" t="s">
        <v>8</v>
      </c>
      <c r="CH191" s="27" t="s">
        <v>7</v>
      </c>
      <c r="CI191" s="27" t="s">
        <v>8</v>
      </c>
      <c r="CP191" s="27" t="s">
        <v>7</v>
      </c>
      <c r="DC191" s="27" t="s">
        <v>8</v>
      </c>
      <c r="DG191" s="27" t="s">
        <v>8</v>
      </c>
      <c r="DH191" s="27" t="s">
        <v>7</v>
      </c>
      <c r="DP191" s="27" t="s">
        <v>7</v>
      </c>
      <c r="DQ191" s="27" t="s">
        <v>8</v>
      </c>
      <c r="DR191" s="27" t="s">
        <v>7</v>
      </c>
      <c r="DS191" s="27" t="s">
        <v>8</v>
      </c>
      <c r="DT191" s="27" t="s">
        <v>7</v>
      </c>
      <c r="DW191" s="27" t="s">
        <v>8</v>
      </c>
      <c r="DY191" s="27" t="s">
        <v>8</v>
      </c>
      <c r="DZ191" s="27" t="s">
        <v>7</v>
      </c>
      <c r="EA191" s="27" t="s">
        <v>8</v>
      </c>
      <c r="EB191" s="27" t="s">
        <v>7</v>
      </c>
      <c r="ED191" s="27" t="s">
        <v>7</v>
      </c>
      <c r="EE191" s="27" t="s">
        <v>8</v>
      </c>
      <c r="EF191" s="27" t="s">
        <v>7</v>
      </c>
      <c r="EH191" s="27" t="s">
        <v>7</v>
      </c>
      <c r="EI191" s="27" t="s">
        <v>8</v>
      </c>
      <c r="EJ191" s="27" t="s">
        <v>7</v>
      </c>
      <c r="FO191" s="27" t="s">
        <v>8</v>
      </c>
      <c r="FP191" s="27" t="s">
        <v>7</v>
      </c>
      <c r="FQ191" s="27" t="s">
        <v>8</v>
      </c>
      <c r="FR191" s="27" t="s">
        <v>7</v>
      </c>
      <c r="FS191" s="27" t="s">
        <v>8</v>
      </c>
      <c r="FT191" s="27" t="s">
        <v>7</v>
      </c>
      <c r="FU191" s="27" t="s">
        <v>8</v>
      </c>
      <c r="FV191" s="27" t="s">
        <v>7</v>
      </c>
      <c r="FW191" s="27" t="s">
        <v>8</v>
      </c>
      <c r="HT191" s="27" t="s">
        <v>7</v>
      </c>
      <c r="HU191" s="27" t="s">
        <v>8</v>
      </c>
      <c r="HV191" s="27" t="s">
        <v>7</v>
      </c>
      <c r="HW191" s="27" t="s">
        <v>8</v>
      </c>
      <c r="HX191" s="27" t="s">
        <v>7</v>
      </c>
      <c r="HY191" s="27" t="s">
        <v>8</v>
      </c>
      <c r="HZ191" s="27" t="s">
        <v>7</v>
      </c>
      <c r="IA191" s="27" t="s">
        <v>8</v>
      </c>
      <c r="IH191" s="27" t="s">
        <v>7</v>
      </c>
      <c r="II191" s="27" t="s">
        <v>8</v>
      </c>
      <c r="IJ191" s="27" t="s">
        <v>7</v>
      </c>
      <c r="IK191" s="27" t="s">
        <v>8</v>
      </c>
      <c r="IL191" s="27" t="s">
        <v>7</v>
      </c>
    </row>
    <row r="192" spans="1:246" x14ac:dyDescent="0.25">
      <c r="A192" s="7">
        <v>2494.9844656927694</v>
      </c>
      <c r="B192"/>
      <c r="C192"/>
      <c r="D192"/>
      <c r="E192" t="s">
        <v>8</v>
      </c>
      <c r="P192" s="27" t="s">
        <v>7</v>
      </c>
      <c r="S192" s="27" t="s">
        <v>8</v>
      </c>
      <c r="T192" s="27" t="s">
        <v>7</v>
      </c>
      <c r="U192" s="27" t="s">
        <v>8</v>
      </c>
      <c r="V192" s="27" t="s">
        <v>7</v>
      </c>
      <c r="AS192" s="27" t="s">
        <v>8</v>
      </c>
      <c r="AT192" s="27" t="s">
        <v>7</v>
      </c>
      <c r="CG192" s="27" t="s">
        <v>8</v>
      </c>
      <c r="CH192" s="27" t="s">
        <v>7</v>
      </c>
      <c r="CI192" s="27" t="s">
        <v>8</v>
      </c>
      <c r="CP192" s="27" t="s">
        <v>7</v>
      </c>
      <c r="DC192" s="27" t="s">
        <v>8</v>
      </c>
      <c r="DD192" s="27" t="s">
        <v>7</v>
      </c>
      <c r="DG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DW192" s="27" t="s">
        <v>8</v>
      </c>
      <c r="DX192" s="27" t="s">
        <v>7</v>
      </c>
      <c r="DY192" s="27" t="s">
        <v>8</v>
      </c>
      <c r="DZ192" s="27" t="s">
        <v>7</v>
      </c>
      <c r="EA192" s="27" t="s">
        <v>8</v>
      </c>
      <c r="ED192" s="27" t="s">
        <v>7</v>
      </c>
      <c r="EE192" s="27" t="s">
        <v>8</v>
      </c>
      <c r="EH192" s="27" t="s">
        <v>7</v>
      </c>
      <c r="EI192" s="27" t="s">
        <v>8</v>
      </c>
      <c r="EJ192" s="27" t="s">
        <v>7</v>
      </c>
      <c r="FM192" s="27" t="s">
        <v>8</v>
      </c>
      <c r="FO192" s="27" t="s">
        <v>8</v>
      </c>
      <c r="FP192" s="27" t="s">
        <v>7</v>
      </c>
      <c r="FQ192" s="27" t="s">
        <v>8</v>
      </c>
      <c r="FR192" s="27" t="s">
        <v>7</v>
      </c>
      <c r="FT192" s="27" t="s">
        <v>7</v>
      </c>
      <c r="FU192" s="27" t="s">
        <v>8</v>
      </c>
      <c r="FV192" s="27" t="s">
        <v>7</v>
      </c>
      <c r="FW192" s="27" t="s">
        <v>8</v>
      </c>
      <c r="HT192" s="27" t="s">
        <v>7</v>
      </c>
      <c r="HU192" s="27" t="s">
        <v>8</v>
      </c>
      <c r="HV192" s="27" t="s">
        <v>7</v>
      </c>
      <c r="HW192" s="27" t="s">
        <v>8</v>
      </c>
      <c r="HX192" s="27" t="s">
        <v>7</v>
      </c>
      <c r="HZ192" s="27" t="s">
        <v>7</v>
      </c>
      <c r="IA192" s="27" t="s">
        <v>8</v>
      </c>
      <c r="IH192" s="27" t="s">
        <v>7</v>
      </c>
      <c r="IJ192" s="27" t="s">
        <v>7</v>
      </c>
      <c r="IK192" s="27" t="s">
        <v>8</v>
      </c>
      <c r="IL192" s="27" t="s">
        <v>7</v>
      </c>
    </row>
    <row r="193" spans="1:250" x14ac:dyDescent="0.25">
      <c r="A193" s="7">
        <v>2446.0632016595778</v>
      </c>
      <c r="B193"/>
      <c r="C193"/>
      <c r="D193"/>
      <c r="E193" t="s">
        <v>8</v>
      </c>
      <c r="P193" s="27" t="s">
        <v>7</v>
      </c>
      <c r="S193" s="27" t="s">
        <v>8</v>
      </c>
      <c r="T193" s="27" t="s">
        <v>7</v>
      </c>
      <c r="U193" s="27" t="s">
        <v>8</v>
      </c>
      <c r="V193" s="27" t="s">
        <v>7</v>
      </c>
      <c r="AS193" s="27" t="s">
        <v>8</v>
      </c>
      <c r="AT193" s="27" t="s">
        <v>7</v>
      </c>
      <c r="BW193" s="27" t="s">
        <v>8</v>
      </c>
      <c r="CG193" s="27" t="s">
        <v>8</v>
      </c>
      <c r="CH193" s="27" t="s">
        <v>7</v>
      </c>
      <c r="CI193" s="27" t="s">
        <v>8</v>
      </c>
      <c r="CP193" s="27" t="s">
        <v>7</v>
      </c>
      <c r="CW193" s="27" t="s">
        <v>8</v>
      </c>
      <c r="DC193" s="27" t="s">
        <v>8</v>
      </c>
      <c r="DD193" s="27" t="s">
        <v>7</v>
      </c>
      <c r="DG193" s="27" t="s">
        <v>8</v>
      </c>
      <c r="DP193" s="27" t="s">
        <v>7</v>
      </c>
      <c r="DQ193" s="27" t="s">
        <v>8</v>
      </c>
      <c r="DR193" s="27" t="s">
        <v>7</v>
      </c>
      <c r="DS193" s="27" t="s">
        <v>8</v>
      </c>
      <c r="DT193" s="27" t="s">
        <v>7</v>
      </c>
      <c r="DW193" s="27" t="s">
        <v>8</v>
      </c>
      <c r="DX193" s="27" t="s">
        <v>7</v>
      </c>
      <c r="DY193" s="27" t="s">
        <v>8</v>
      </c>
      <c r="DZ193" s="27" t="s">
        <v>7</v>
      </c>
      <c r="ED193" s="27" t="s">
        <v>7</v>
      </c>
      <c r="EE193" s="27" t="s">
        <v>8</v>
      </c>
      <c r="EH193" s="27" t="s">
        <v>7</v>
      </c>
      <c r="EI193" s="27" t="s">
        <v>8</v>
      </c>
      <c r="EJ193" s="27" t="s">
        <v>7</v>
      </c>
      <c r="FM193" s="27" t="s">
        <v>8</v>
      </c>
      <c r="FN193" s="27" t="s">
        <v>7</v>
      </c>
      <c r="FO193" s="27" t="s">
        <v>8</v>
      </c>
      <c r="FP193" s="27" t="s">
        <v>7</v>
      </c>
      <c r="FQ193" s="27" t="s">
        <v>8</v>
      </c>
      <c r="FT193" s="27" t="s">
        <v>7</v>
      </c>
      <c r="FV193" s="27" t="s">
        <v>7</v>
      </c>
      <c r="HT193" s="27" t="s">
        <v>7</v>
      </c>
      <c r="HU193" s="27" t="s">
        <v>8</v>
      </c>
      <c r="HV193" s="27" t="s">
        <v>7</v>
      </c>
      <c r="HZ193" s="27" t="s">
        <v>7</v>
      </c>
      <c r="IJ193" s="27" t="s">
        <v>7</v>
      </c>
      <c r="IK193" s="27" t="s">
        <v>8</v>
      </c>
      <c r="IL193" s="27" t="s">
        <v>7</v>
      </c>
    </row>
    <row r="194" spans="1:250" x14ac:dyDescent="0.25">
      <c r="A194" s="7">
        <v>2398.1011780976251</v>
      </c>
      <c r="B194"/>
      <c r="C194"/>
      <c r="D194"/>
      <c r="E194" t="s">
        <v>8</v>
      </c>
      <c r="P194" s="27" t="s">
        <v>7</v>
      </c>
      <c r="S194" s="27" t="s">
        <v>8</v>
      </c>
      <c r="T194" s="27" t="s">
        <v>7</v>
      </c>
      <c r="U194" s="27" t="s">
        <v>8</v>
      </c>
      <c r="V194" s="27" t="s">
        <v>7</v>
      </c>
      <c r="AS194" s="27" t="s">
        <v>8</v>
      </c>
      <c r="AT194" s="27" t="s">
        <v>7</v>
      </c>
      <c r="BW194" s="27" t="s">
        <v>8</v>
      </c>
      <c r="BX194" s="27" t="s">
        <v>7</v>
      </c>
      <c r="CG194" s="27" t="s">
        <v>8</v>
      </c>
      <c r="CH194" s="27" t="s">
        <v>7</v>
      </c>
      <c r="CI194" s="27" t="s">
        <v>8</v>
      </c>
      <c r="CP194" s="27" t="s">
        <v>7</v>
      </c>
      <c r="CQ194" s="27" t="s">
        <v>8</v>
      </c>
      <c r="CW194" s="27" t="s">
        <v>8</v>
      </c>
      <c r="CX194" s="27" t="s">
        <v>7</v>
      </c>
      <c r="DA194" s="27" t="s">
        <v>8</v>
      </c>
      <c r="DC194" s="27" t="s">
        <v>8</v>
      </c>
      <c r="DD194" s="27" t="s">
        <v>7</v>
      </c>
      <c r="DE194" s="27" t="s">
        <v>8</v>
      </c>
      <c r="DG194" s="27" t="s">
        <v>8</v>
      </c>
      <c r="DP194" s="27" t="s">
        <v>7</v>
      </c>
      <c r="DQ194" s="27" t="s">
        <v>8</v>
      </c>
      <c r="DR194" s="27" t="s">
        <v>7</v>
      </c>
      <c r="DS194" s="27" t="s">
        <v>8</v>
      </c>
      <c r="DT194" s="27" t="s">
        <v>7</v>
      </c>
      <c r="DW194" s="27" t="s">
        <v>8</v>
      </c>
      <c r="DX194" s="27" t="s">
        <v>7</v>
      </c>
      <c r="DY194" s="27" t="s">
        <v>8</v>
      </c>
      <c r="ED194" s="27" t="s">
        <v>7</v>
      </c>
      <c r="EH194" s="27" t="s">
        <v>7</v>
      </c>
      <c r="EI194" s="27" t="s">
        <v>8</v>
      </c>
      <c r="EJ194" s="27" t="s">
        <v>7</v>
      </c>
      <c r="FG194" s="27" t="s">
        <v>8</v>
      </c>
      <c r="FM194" s="27" t="s">
        <v>8</v>
      </c>
      <c r="FN194" s="27" t="s">
        <v>7</v>
      </c>
      <c r="FO194" s="27" t="s">
        <v>8</v>
      </c>
      <c r="FP194" s="27" t="s">
        <v>7</v>
      </c>
      <c r="FQ194" s="27" t="s">
        <v>8</v>
      </c>
      <c r="HT194" s="27" t="s">
        <v>7</v>
      </c>
      <c r="HU194" s="27" t="s">
        <v>8</v>
      </c>
      <c r="IJ194" s="27" t="s">
        <v>7</v>
      </c>
      <c r="IK194" s="27" t="s">
        <v>8</v>
      </c>
      <c r="IL194" s="27" t="s">
        <v>7</v>
      </c>
    </row>
    <row r="195" spans="1:250" x14ac:dyDescent="0.25">
      <c r="A195" s="7">
        <v>2351.0795863702206</v>
      </c>
      <c r="B195"/>
      <c r="C195"/>
      <c r="D195"/>
      <c r="E195" t="s">
        <v>8</v>
      </c>
      <c r="P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  <c r="AS195" s="27" t="s">
        <v>8</v>
      </c>
      <c r="AT195" s="27" t="s">
        <v>7</v>
      </c>
      <c r="AU195" s="27" t="s">
        <v>8</v>
      </c>
      <c r="BW195" s="27" t="s">
        <v>8</v>
      </c>
      <c r="BX195" s="27" t="s">
        <v>7</v>
      </c>
      <c r="CG195" s="27" t="s">
        <v>8</v>
      </c>
      <c r="CH195" s="27" t="s">
        <v>7</v>
      </c>
      <c r="CI195" s="27" t="s">
        <v>8</v>
      </c>
      <c r="CP195" s="27" t="s">
        <v>7</v>
      </c>
      <c r="CQ195" s="27" t="s">
        <v>8</v>
      </c>
      <c r="CR195" s="27" t="s">
        <v>7</v>
      </c>
      <c r="CW195" s="27" t="s">
        <v>8</v>
      </c>
      <c r="CX195" s="27" t="s">
        <v>7</v>
      </c>
      <c r="CY195" s="27" t="s">
        <v>8</v>
      </c>
      <c r="DA195" s="27" t="s">
        <v>8</v>
      </c>
      <c r="DB195" s="27" t="s">
        <v>7</v>
      </c>
      <c r="DC195" s="27" t="s">
        <v>8</v>
      </c>
      <c r="DD195" s="27" t="s">
        <v>7</v>
      </c>
      <c r="DE195" s="27" t="s">
        <v>8</v>
      </c>
      <c r="DF195" s="27" t="s">
        <v>7</v>
      </c>
      <c r="DG195" s="27" t="s">
        <v>8</v>
      </c>
      <c r="DP195" s="27" t="s">
        <v>7</v>
      </c>
      <c r="DQ195" s="27" t="s">
        <v>8</v>
      </c>
      <c r="DR195" s="27" t="s">
        <v>7</v>
      </c>
      <c r="DS195" s="27" t="s">
        <v>8</v>
      </c>
      <c r="DT195" s="27" t="s">
        <v>7</v>
      </c>
      <c r="DW195" s="27" t="s">
        <v>8</v>
      </c>
      <c r="DX195" s="27" t="s">
        <v>7</v>
      </c>
      <c r="EH195" s="27" t="s">
        <v>7</v>
      </c>
      <c r="EJ195" s="27" t="s">
        <v>7</v>
      </c>
      <c r="FG195" s="27" t="s">
        <v>8</v>
      </c>
      <c r="FH195" s="27" t="s">
        <v>7</v>
      </c>
      <c r="FK195" s="27" t="s">
        <v>8</v>
      </c>
      <c r="FM195" s="27" t="s">
        <v>8</v>
      </c>
      <c r="FN195" s="27" t="s">
        <v>7</v>
      </c>
      <c r="FO195" s="27" t="s">
        <v>8</v>
      </c>
      <c r="FP195" s="27" t="s">
        <v>7</v>
      </c>
      <c r="FQ195" s="27" t="s">
        <v>8</v>
      </c>
      <c r="HT195" s="27" t="s">
        <v>7</v>
      </c>
      <c r="HU195" s="27" t="s">
        <v>8</v>
      </c>
      <c r="IJ195" s="27" t="s">
        <v>7</v>
      </c>
      <c r="IL195" s="27" t="s">
        <v>7</v>
      </c>
    </row>
    <row r="196" spans="1:250" x14ac:dyDescent="0.25">
      <c r="A196" s="7">
        <v>2304.979986637471</v>
      </c>
      <c r="B196"/>
      <c r="C196"/>
      <c r="D196"/>
      <c r="E196" t="s">
        <v>8</v>
      </c>
      <c r="P196" s="27" t="s">
        <v>7</v>
      </c>
      <c r="S196" s="27" t="s">
        <v>8</v>
      </c>
      <c r="T196" s="27" t="s">
        <v>7</v>
      </c>
      <c r="U196" s="27" t="s">
        <v>8</v>
      </c>
      <c r="V196" s="27" t="s">
        <v>7</v>
      </c>
      <c r="AS196" s="27" t="s">
        <v>8</v>
      </c>
      <c r="AT196" s="27" t="s">
        <v>7</v>
      </c>
      <c r="AU196" s="27" t="s">
        <v>8</v>
      </c>
      <c r="AV196" s="27" t="s">
        <v>7</v>
      </c>
      <c r="BA196" s="27" t="s">
        <v>8</v>
      </c>
      <c r="BW196" s="27" t="s">
        <v>8</v>
      </c>
      <c r="BX196" s="27" t="s">
        <v>7</v>
      </c>
      <c r="CG196" s="27" t="s">
        <v>8</v>
      </c>
      <c r="CH196" s="27" t="s">
        <v>7</v>
      </c>
      <c r="CI196" s="27" t="s">
        <v>8</v>
      </c>
      <c r="CP196" s="27" t="s">
        <v>7</v>
      </c>
      <c r="CQ196" s="27" t="s">
        <v>8</v>
      </c>
      <c r="CR196" s="27" t="s">
        <v>7</v>
      </c>
      <c r="CW196" s="27" t="s">
        <v>8</v>
      </c>
      <c r="CX196" s="27" t="s">
        <v>7</v>
      </c>
      <c r="CY196" s="27" t="s">
        <v>8</v>
      </c>
      <c r="CZ196" s="27" t="s">
        <v>7</v>
      </c>
      <c r="DA196" s="27" t="s">
        <v>8</v>
      </c>
      <c r="DB196" s="27" t="s">
        <v>7</v>
      </c>
      <c r="DC196" s="27" t="s">
        <v>8</v>
      </c>
      <c r="DD196" s="27" t="s">
        <v>7</v>
      </c>
      <c r="DE196" s="27" t="s">
        <v>8</v>
      </c>
      <c r="DF196" s="27" t="s">
        <v>7</v>
      </c>
      <c r="DG196" s="27" t="s">
        <v>8</v>
      </c>
      <c r="DP196" s="27" t="s">
        <v>7</v>
      </c>
      <c r="DQ196" s="27" t="s">
        <v>8</v>
      </c>
      <c r="DR196" s="27" t="s">
        <v>7</v>
      </c>
      <c r="DS196" s="27" t="s">
        <v>8</v>
      </c>
      <c r="DT196" s="27" t="s">
        <v>7</v>
      </c>
      <c r="DU196" s="27" t="s">
        <v>8</v>
      </c>
      <c r="DW196" s="27" t="s">
        <v>8</v>
      </c>
      <c r="EJ196" s="27" t="s">
        <v>7</v>
      </c>
      <c r="FE196" s="27" t="s">
        <v>8</v>
      </c>
      <c r="FG196" s="27" t="s">
        <v>8</v>
      </c>
      <c r="FH196" s="27" t="s">
        <v>7</v>
      </c>
      <c r="FK196" s="27" t="s">
        <v>8</v>
      </c>
      <c r="FL196" s="27" t="s">
        <v>7</v>
      </c>
      <c r="FM196" s="27" t="s">
        <v>8</v>
      </c>
      <c r="FN196" s="27" t="s">
        <v>7</v>
      </c>
      <c r="FO196" s="27" t="s">
        <v>8</v>
      </c>
      <c r="FP196" s="27" t="s">
        <v>7</v>
      </c>
      <c r="FQ196" s="27" t="s">
        <v>8</v>
      </c>
      <c r="HT196" s="27" t="s">
        <v>7</v>
      </c>
      <c r="HU196" s="27" t="s">
        <v>8</v>
      </c>
      <c r="IL196" s="27" t="s">
        <v>7</v>
      </c>
      <c r="IO196" s="27" t="s">
        <v>8</v>
      </c>
    </row>
    <row r="197" spans="1:250" x14ac:dyDescent="0.25">
      <c r="A197" s="7">
        <v>2259.7843006249714</v>
      </c>
      <c r="B197"/>
      <c r="C197"/>
      <c r="D197"/>
      <c r="E197" t="s">
        <v>8</v>
      </c>
      <c r="P197" s="27" t="s">
        <v>7</v>
      </c>
      <c r="S197" s="27" t="s">
        <v>8</v>
      </c>
      <c r="T197" s="27" t="s">
        <v>7</v>
      </c>
      <c r="U197" s="27" t="s">
        <v>8</v>
      </c>
      <c r="V197" s="27" t="s">
        <v>7</v>
      </c>
      <c r="AS197" s="27" t="s">
        <v>8</v>
      </c>
      <c r="AT197" s="27" t="s">
        <v>7</v>
      </c>
      <c r="AU197" s="27" t="s">
        <v>8</v>
      </c>
      <c r="AV197" s="27" t="s">
        <v>7</v>
      </c>
      <c r="BA197" s="27" t="s">
        <v>8</v>
      </c>
      <c r="BB197" s="27" t="s">
        <v>7</v>
      </c>
      <c r="BW197" s="27" t="s">
        <v>8</v>
      </c>
      <c r="BX197" s="27" t="s">
        <v>7</v>
      </c>
      <c r="CG197" s="27" t="s">
        <v>8</v>
      </c>
      <c r="CH197" s="27" t="s">
        <v>7</v>
      </c>
      <c r="CI197" s="27" t="s">
        <v>8</v>
      </c>
      <c r="CP197" s="27" t="s">
        <v>7</v>
      </c>
      <c r="CQ197" s="27" t="s">
        <v>8</v>
      </c>
      <c r="CR197" s="27" t="s">
        <v>7</v>
      </c>
      <c r="CU197" s="27" t="s">
        <v>8</v>
      </c>
      <c r="CW197" s="27" t="s">
        <v>8</v>
      </c>
      <c r="CX197" s="27" t="s">
        <v>7</v>
      </c>
      <c r="CY197" s="27" t="s">
        <v>8</v>
      </c>
      <c r="CZ197" s="27" t="s">
        <v>7</v>
      </c>
      <c r="DA197" s="27" t="s">
        <v>8</v>
      </c>
      <c r="DB197" s="27" t="s">
        <v>7</v>
      </c>
      <c r="DD197" s="27" t="s">
        <v>7</v>
      </c>
      <c r="DE197" s="27" t="s">
        <v>8</v>
      </c>
      <c r="DF197" s="27" t="s">
        <v>7</v>
      </c>
      <c r="DP197" s="27" t="s">
        <v>7</v>
      </c>
      <c r="DQ197" s="27" t="s">
        <v>8</v>
      </c>
      <c r="DR197" s="27" t="s">
        <v>7</v>
      </c>
      <c r="DS197" s="27" t="s">
        <v>8</v>
      </c>
      <c r="DT197" s="27" t="s">
        <v>7</v>
      </c>
      <c r="DU197" s="27" t="s">
        <v>8</v>
      </c>
      <c r="DV197" s="27" t="s">
        <v>7</v>
      </c>
      <c r="DW197" s="27" t="s">
        <v>8</v>
      </c>
      <c r="EJ197" s="27" t="s">
        <v>7</v>
      </c>
      <c r="FE197" s="27" t="s">
        <v>8</v>
      </c>
      <c r="FF197" s="27" t="s">
        <v>7</v>
      </c>
      <c r="FG197" s="27" t="s">
        <v>8</v>
      </c>
      <c r="FH197" s="27" t="s">
        <v>7</v>
      </c>
      <c r="FI197" s="27" t="s">
        <v>8</v>
      </c>
      <c r="FK197" s="27" t="s">
        <v>8</v>
      </c>
      <c r="FL197" s="27" t="s">
        <v>7</v>
      </c>
      <c r="FM197" s="27" t="s">
        <v>8</v>
      </c>
      <c r="FN197" s="27" t="s">
        <v>7</v>
      </c>
      <c r="FO197" s="27" t="s">
        <v>8</v>
      </c>
      <c r="FP197" s="27" t="s">
        <v>7</v>
      </c>
      <c r="HT197" s="27" t="s">
        <v>7</v>
      </c>
      <c r="HU197" s="27" t="s">
        <v>8</v>
      </c>
      <c r="IL197" s="27" t="s">
        <v>7</v>
      </c>
      <c r="IO197" s="27" t="s">
        <v>8</v>
      </c>
      <c r="IP197" s="27" t="s">
        <v>7</v>
      </c>
    </row>
    <row r="198" spans="1:250" x14ac:dyDescent="0.25">
      <c r="A198" s="7">
        <v>2215.4748045342858</v>
      </c>
      <c r="B198"/>
      <c r="C198"/>
      <c r="D198"/>
      <c r="E198" t="s">
        <v>8</v>
      </c>
      <c r="P198" s="27" t="s">
        <v>7</v>
      </c>
      <c r="S198" s="27" t="s">
        <v>8</v>
      </c>
      <c r="T198" s="27" t="s">
        <v>7</v>
      </c>
      <c r="U198" s="27" t="s">
        <v>8</v>
      </c>
      <c r="V198" s="27" t="s">
        <v>7</v>
      </c>
      <c r="W198" s="27" t="s">
        <v>8</v>
      </c>
      <c r="AQ198" s="27" t="s">
        <v>8</v>
      </c>
      <c r="AS198" s="27" t="s">
        <v>8</v>
      </c>
      <c r="AT198" s="27" t="s">
        <v>7</v>
      </c>
      <c r="AU198" s="27" t="s">
        <v>8</v>
      </c>
      <c r="AV198" s="27" t="s">
        <v>7</v>
      </c>
      <c r="BA198" s="27" t="s">
        <v>8</v>
      </c>
      <c r="BB198" s="27" t="s">
        <v>7</v>
      </c>
      <c r="BW198" s="27" t="s">
        <v>8</v>
      </c>
      <c r="BX198" s="27" t="s">
        <v>7</v>
      </c>
      <c r="CG198" s="27" t="s">
        <v>8</v>
      </c>
      <c r="CH198" s="27" t="s">
        <v>7</v>
      </c>
      <c r="CI198" s="27" t="s">
        <v>8</v>
      </c>
      <c r="CP198" s="27" t="s">
        <v>7</v>
      </c>
      <c r="CQ198" s="27" t="s">
        <v>8</v>
      </c>
      <c r="CR198" s="27" t="s">
        <v>7</v>
      </c>
      <c r="CU198" s="27" t="s">
        <v>8</v>
      </c>
      <c r="CV198" s="27" t="s">
        <v>7</v>
      </c>
      <c r="CW198" s="27" t="s">
        <v>8</v>
      </c>
      <c r="CX198" s="27" t="s">
        <v>7</v>
      </c>
      <c r="CY198" s="27" t="s">
        <v>8</v>
      </c>
      <c r="CZ198" s="27" t="s">
        <v>7</v>
      </c>
      <c r="DA198" s="27" t="s">
        <v>8</v>
      </c>
      <c r="DD198" s="27" t="s">
        <v>7</v>
      </c>
      <c r="DE198" s="27" t="s">
        <v>8</v>
      </c>
      <c r="DP198" s="27" t="s">
        <v>7</v>
      </c>
      <c r="DQ198" s="27" t="s">
        <v>8</v>
      </c>
      <c r="DR198" s="27" t="s">
        <v>7</v>
      </c>
      <c r="DS198" s="27" t="s">
        <v>8</v>
      </c>
      <c r="DT198" s="27" t="s">
        <v>7</v>
      </c>
      <c r="DU198" s="27" t="s">
        <v>8</v>
      </c>
      <c r="DV198" s="27" t="s">
        <v>7</v>
      </c>
      <c r="DW198" s="27" t="s">
        <v>8</v>
      </c>
      <c r="EJ198" s="27" t="s">
        <v>7</v>
      </c>
      <c r="FE198" s="27" t="s">
        <v>8</v>
      </c>
      <c r="FF198" s="27" t="s">
        <v>7</v>
      </c>
      <c r="FG198" s="27" t="s">
        <v>8</v>
      </c>
      <c r="FH198" s="27" t="s">
        <v>7</v>
      </c>
      <c r="FI198" s="27" t="s">
        <v>8</v>
      </c>
      <c r="FJ198" s="27" t="s">
        <v>7</v>
      </c>
      <c r="FK198" s="27" t="s">
        <v>8</v>
      </c>
      <c r="FL198" s="27" t="s">
        <v>7</v>
      </c>
      <c r="FM198" s="27" t="s">
        <v>8</v>
      </c>
      <c r="FN198" s="27" t="s">
        <v>7</v>
      </c>
      <c r="FO198" s="27" t="s">
        <v>8</v>
      </c>
      <c r="HT198" s="27" t="s">
        <v>7</v>
      </c>
      <c r="IL198" s="27" t="s">
        <v>7</v>
      </c>
      <c r="IO198" s="27" t="s">
        <v>8</v>
      </c>
      <c r="IP198" s="27" t="s">
        <v>7</v>
      </c>
    </row>
    <row r="199" spans="1:250" x14ac:dyDescent="0.25">
      <c r="A199" s="7">
        <v>2172.034122092437</v>
      </c>
      <c r="B199"/>
      <c r="C199"/>
      <c r="D199"/>
      <c r="E199" t="s">
        <v>8</v>
      </c>
      <c r="P199" s="27" t="s">
        <v>7</v>
      </c>
      <c r="S199" s="27" t="s">
        <v>8</v>
      </c>
      <c r="T199" s="27" t="s">
        <v>7</v>
      </c>
      <c r="U199" s="27" t="s">
        <v>8</v>
      </c>
      <c r="V199" s="27" t="s">
        <v>7</v>
      </c>
      <c r="W199" s="27" t="s">
        <v>8</v>
      </c>
      <c r="X199" s="27" t="s">
        <v>7</v>
      </c>
      <c r="AQ199" s="27" t="s">
        <v>8</v>
      </c>
      <c r="AR199" s="27" t="s">
        <v>7</v>
      </c>
      <c r="AS199" s="27" t="s">
        <v>8</v>
      </c>
      <c r="AT199" s="27" t="s">
        <v>7</v>
      </c>
      <c r="AU199" s="27" t="s">
        <v>8</v>
      </c>
      <c r="AV199" s="27" t="s">
        <v>7</v>
      </c>
      <c r="BA199" s="27" t="s">
        <v>8</v>
      </c>
      <c r="BB199" s="27" t="s">
        <v>7</v>
      </c>
      <c r="BU199" s="27" t="s">
        <v>8</v>
      </c>
      <c r="BW199" s="27" t="s">
        <v>8</v>
      </c>
      <c r="BX199" s="27" t="s">
        <v>7</v>
      </c>
      <c r="CG199" s="27" t="s">
        <v>8</v>
      </c>
      <c r="CH199" s="27" t="s">
        <v>7</v>
      </c>
      <c r="CI199" s="27" t="s">
        <v>8</v>
      </c>
      <c r="CP199" s="27" t="s">
        <v>7</v>
      </c>
      <c r="CQ199" s="27" t="s">
        <v>8</v>
      </c>
      <c r="CR199" s="27" t="s">
        <v>7</v>
      </c>
      <c r="CS199" s="27" t="s">
        <v>8</v>
      </c>
      <c r="CU199" s="27" t="s">
        <v>8</v>
      </c>
      <c r="CV199" s="27" t="s">
        <v>7</v>
      </c>
      <c r="CW199" s="27" t="s">
        <v>8</v>
      </c>
      <c r="CX199" s="27" t="s">
        <v>7</v>
      </c>
      <c r="CY199" s="27" t="s">
        <v>8</v>
      </c>
      <c r="CZ199" s="27" t="s">
        <v>7</v>
      </c>
      <c r="DA199" s="27" t="s">
        <v>8</v>
      </c>
      <c r="DD199" s="27" t="s">
        <v>7</v>
      </c>
      <c r="DE199" s="27" t="s">
        <v>8</v>
      </c>
      <c r="DP199" s="27" t="s">
        <v>7</v>
      </c>
      <c r="DQ199" s="27" t="s">
        <v>8</v>
      </c>
      <c r="DR199" s="27" t="s">
        <v>7</v>
      </c>
      <c r="DS199" s="27" t="s">
        <v>8</v>
      </c>
      <c r="DT199" s="27" t="s">
        <v>7</v>
      </c>
      <c r="DU199" s="27" t="s">
        <v>8</v>
      </c>
      <c r="DV199" s="27" t="s">
        <v>7</v>
      </c>
      <c r="DW199" s="27" t="s">
        <v>8</v>
      </c>
      <c r="EJ199" s="27" t="s">
        <v>7</v>
      </c>
      <c r="FE199" s="27" t="s">
        <v>8</v>
      </c>
      <c r="FF199" s="27" t="s">
        <v>7</v>
      </c>
      <c r="FG199" s="27" t="s">
        <v>8</v>
      </c>
      <c r="FH199" s="27" t="s">
        <v>7</v>
      </c>
      <c r="FI199" s="27" t="s">
        <v>8</v>
      </c>
      <c r="FJ199" s="27" t="s">
        <v>7</v>
      </c>
      <c r="FK199" s="27" t="s">
        <v>8</v>
      </c>
      <c r="FL199" s="27" t="s">
        <v>7</v>
      </c>
      <c r="FN199" s="27" t="s">
        <v>7</v>
      </c>
      <c r="IL199" s="27" t="s">
        <v>7</v>
      </c>
      <c r="IO199" s="27" t="s">
        <v>8</v>
      </c>
      <c r="IP199" s="27" t="s">
        <v>7</v>
      </c>
    </row>
    <row r="200" spans="1:250" x14ac:dyDescent="0.25">
      <c r="A200" s="7">
        <v>2129.4452177376834</v>
      </c>
      <c r="B200"/>
      <c r="C200"/>
      <c r="D200"/>
      <c r="E200" t="s">
        <v>8</v>
      </c>
      <c r="P200" s="27" t="s">
        <v>7</v>
      </c>
      <c r="Q200" s="27" t="s">
        <v>8</v>
      </c>
      <c r="S200" s="27" t="s">
        <v>8</v>
      </c>
      <c r="T200" s="27" t="s">
        <v>7</v>
      </c>
      <c r="U200" s="27" t="s">
        <v>8</v>
      </c>
      <c r="V200" s="27" t="s">
        <v>7</v>
      </c>
      <c r="W200" s="27" t="s">
        <v>8</v>
      </c>
      <c r="X200" s="27" t="s">
        <v>7</v>
      </c>
      <c r="AQ200" s="27" t="s">
        <v>8</v>
      </c>
      <c r="AR200" s="27" t="s">
        <v>7</v>
      </c>
      <c r="AS200" s="27" t="s">
        <v>8</v>
      </c>
      <c r="AT200" s="27" t="s">
        <v>7</v>
      </c>
      <c r="AU200" s="27" t="s">
        <v>8</v>
      </c>
      <c r="AV200" s="27" t="s">
        <v>7</v>
      </c>
      <c r="AY200" s="27" t="s">
        <v>8</v>
      </c>
      <c r="BA200" s="27" t="s">
        <v>8</v>
      </c>
      <c r="BB200" s="27" t="s">
        <v>7</v>
      </c>
      <c r="BU200" s="27" t="s">
        <v>8</v>
      </c>
      <c r="BV200" s="27" t="s">
        <v>7</v>
      </c>
      <c r="BW200" s="27" t="s">
        <v>8</v>
      </c>
      <c r="BX200" s="27" t="s">
        <v>7</v>
      </c>
      <c r="CG200" s="27" t="s">
        <v>8</v>
      </c>
      <c r="CH200" s="27" t="s">
        <v>7</v>
      </c>
      <c r="CI200" s="27" t="s">
        <v>8</v>
      </c>
      <c r="CP200" s="27" t="s">
        <v>7</v>
      </c>
      <c r="CQ200" s="27" t="s">
        <v>8</v>
      </c>
      <c r="CR200" s="27" t="s">
        <v>7</v>
      </c>
      <c r="CS200" s="27" t="s">
        <v>8</v>
      </c>
      <c r="CT200" s="27" t="s">
        <v>7</v>
      </c>
      <c r="CU200" s="27" t="s">
        <v>8</v>
      </c>
      <c r="CV200" s="27" t="s">
        <v>7</v>
      </c>
      <c r="CW200" s="27" t="s">
        <v>8</v>
      </c>
      <c r="CX200" s="27" t="s">
        <v>7</v>
      </c>
      <c r="CY200" s="27" t="s">
        <v>8</v>
      </c>
      <c r="CZ200" s="27" t="s">
        <v>7</v>
      </c>
      <c r="DA200" s="27" t="s">
        <v>8</v>
      </c>
      <c r="DD200" s="27" t="s">
        <v>7</v>
      </c>
      <c r="DE200" s="27" t="s">
        <v>8</v>
      </c>
      <c r="DP200" s="27" t="s">
        <v>7</v>
      </c>
      <c r="DQ200" s="27" t="s">
        <v>8</v>
      </c>
      <c r="DR200" s="27" t="s">
        <v>7</v>
      </c>
      <c r="DT200" s="27" t="s">
        <v>7</v>
      </c>
      <c r="DU200" s="27" t="s">
        <v>8</v>
      </c>
      <c r="DV200" s="27" t="s">
        <v>7</v>
      </c>
      <c r="DW200" s="27" t="s">
        <v>8</v>
      </c>
      <c r="EJ200" s="27" t="s">
        <v>7</v>
      </c>
      <c r="EM200" s="27" t="s">
        <v>8</v>
      </c>
      <c r="FE200" s="27" t="s">
        <v>8</v>
      </c>
      <c r="FF200" s="27" t="s">
        <v>7</v>
      </c>
      <c r="FH200" s="27" t="s">
        <v>7</v>
      </c>
      <c r="FI200" s="27" t="s">
        <v>8</v>
      </c>
      <c r="FJ200" s="27" t="s">
        <v>7</v>
      </c>
      <c r="FK200" s="27" t="s">
        <v>8</v>
      </c>
      <c r="IL200" s="27" t="s">
        <v>7</v>
      </c>
      <c r="IM200" s="27" t="s">
        <v>8</v>
      </c>
      <c r="IO200" s="27" t="s">
        <v>8</v>
      </c>
    </row>
    <row r="201" spans="1:250" x14ac:dyDescent="0.25">
      <c r="A201" s="7">
        <v>2087.6913899389051</v>
      </c>
      <c r="B201"/>
      <c r="C201"/>
      <c r="D201"/>
      <c r="E201" t="s">
        <v>8</v>
      </c>
      <c r="P201" s="27" t="s">
        <v>7</v>
      </c>
      <c r="Q201" s="27" t="s">
        <v>8</v>
      </c>
      <c r="R201" s="27" t="s">
        <v>7</v>
      </c>
      <c r="S201" s="27" t="s">
        <v>8</v>
      </c>
      <c r="T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AQ201" s="27" t="s">
        <v>8</v>
      </c>
      <c r="AR201" s="27" t="s">
        <v>7</v>
      </c>
      <c r="AS201" s="27" t="s">
        <v>8</v>
      </c>
      <c r="AT201" s="27" t="s">
        <v>7</v>
      </c>
      <c r="AU201" s="27" t="s">
        <v>8</v>
      </c>
      <c r="AV201" s="27" t="s">
        <v>7</v>
      </c>
      <c r="AY201" s="27" t="s">
        <v>8</v>
      </c>
      <c r="AZ201" s="27" t="s">
        <v>7</v>
      </c>
      <c r="BA201" s="27" t="s">
        <v>8</v>
      </c>
      <c r="BB201" s="27" t="s">
        <v>7</v>
      </c>
      <c r="BU201" s="27" t="s">
        <v>8</v>
      </c>
      <c r="BV201" s="27" t="s">
        <v>7</v>
      </c>
      <c r="BW201" s="27" t="s">
        <v>8</v>
      </c>
      <c r="BX201" s="27" t="s">
        <v>7</v>
      </c>
      <c r="CG201" s="27" t="s">
        <v>8</v>
      </c>
      <c r="CH201" s="27" t="s">
        <v>7</v>
      </c>
      <c r="CI201" s="27" t="s">
        <v>8</v>
      </c>
      <c r="CP201" s="27" t="s">
        <v>7</v>
      </c>
      <c r="CQ201" s="27" t="s">
        <v>8</v>
      </c>
      <c r="CR201" s="27" t="s">
        <v>7</v>
      </c>
      <c r="CS201" s="27" t="s">
        <v>8</v>
      </c>
      <c r="CT201" s="27" t="s">
        <v>7</v>
      </c>
      <c r="CU201" s="27" t="s">
        <v>8</v>
      </c>
      <c r="CV201" s="27" t="s">
        <v>7</v>
      </c>
      <c r="CW201" s="27" t="s">
        <v>8</v>
      </c>
      <c r="CX201" s="27" t="s">
        <v>7</v>
      </c>
      <c r="CY201" s="27" t="s">
        <v>8</v>
      </c>
      <c r="CZ201" s="27" t="s">
        <v>7</v>
      </c>
      <c r="DA201" s="27" t="s">
        <v>8</v>
      </c>
      <c r="DD201" s="27" t="s">
        <v>7</v>
      </c>
      <c r="DE201" s="27" t="s">
        <v>8</v>
      </c>
      <c r="DP201" s="27" t="s">
        <v>7</v>
      </c>
      <c r="DQ201" s="27" t="s">
        <v>8</v>
      </c>
      <c r="DT201" s="27" t="s">
        <v>7</v>
      </c>
      <c r="DU201" s="27" t="s">
        <v>8</v>
      </c>
      <c r="DV201" s="27" t="s">
        <v>7</v>
      </c>
      <c r="EJ201" s="27" t="s">
        <v>7</v>
      </c>
      <c r="EM201" s="27" t="s">
        <v>8</v>
      </c>
      <c r="EN201" s="27" t="s">
        <v>7</v>
      </c>
      <c r="FC201" s="27" t="s">
        <v>8</v>
      </c>
      <c r="FE201" s="27" t="s">
        <v>8</v>
      </c>
      <c r="FH201" s="27" t="s">
        <v>7</v>
      </c>
      <c r="FI201" s="27" t="s">
        <v>8</v>
      </c>
      <c r="FJ201" s="27" t="s">
        <v>7</v>
      </c>
      <c r="IL201" s="27" t="s">
        <v>7</v>
      </c>
      <c r="IM201" s="27" t="s">
        <v>8</v>
      </c>
      <c r="IN201" s="27" t="s">
        <v>7</v>
      </c>
      <c r="IO201" s="27" t="s">
        <v>8</v>
      </c>
    </row>
    <row r="202" spans="1:250" x14ac:dyDescent="0.25">
      <c r="A202" s="7">
        <v>2046.7562646459853</v>
      </c>
      <c r="B202"/>
      <c r="C202"/>
      <c r="D202"/>
      <c r="E202" t="s">
        <v>8</v>
      </c>
      <c r="P202" s="27" t="s">
        <v>7</v>
      </c>
      <c r="Q202" s="27" t="s">
        <v>8</v>
      </c>
      <c r="R202" s="27" t="s">
        <v>7</v>
      </c>
      <c r="S202" s="27" t="s">
        <v>8</v>
      </c>
      <c r="T202" s="27" t="s">
        <v>7</v>
      </c>
      <c r="U202" s="27" t="s">
        <v>8</v>
      </c>
      <c r="V202" s="27" t="s">
        <v>7</v>
      </c>
      <c r="W202" s="27" t="s">
        <v>8</v>
      </c>
      <c r="X202" s="27" t="s">
        <v>7</v>
      </c>
      <c r="Y202" s="27" t="s">
        <v>8</v>
      </c>
      <c r="Z202" s="27" t="s">
        <v>7</v>
      </c>
      <c r="AQ202" s="27" t="s">
        <v>8</v>
      </c>
      <c r="AR202" s="27" t="s">
        <v>7</v>
      </c>
      <c r="AS202" s="27" t="s">
        <v>8</v>
      </c>
      <c r="AT202" s="27" t="s">
        <v>7</v>
      </c>
      <c r="AV202" s="27" t="s">
        <v>7</v>
      </c>
      <c r="AY202" s="27" t="s">
        <v>8</v>
      </c>
      <c r="AZ202" s="27" t="s">
        <v>7</v>
      </c>
      <c r="BA202" s="27" t="s">
        <v>8</v>
      </c>
      <c r="BB202" s="27" t="s">
        <v>7</v>
      </c>
      <c r="BC202" s="27" t="s">
        <v>8</v>
      </c>
      <c r="BS202" s="27" t="s">
        <v>8</v>
      </c>
      <c r="BU202" s="27" t="s">
        <v>8</v>
      </c>
      <c r="BV202" s="27" t="s">
        <v>7</v>
      </c>
      <c r="BW202" s="27" t="s">
        <v>8</v>
      </c>
      <c r="BX202" s="27" t="s">
        <v>7</v>
      </c>
      <c r="CG202" s="27" t="s">
        <v>8</v>
      </c>
      <c r="CH202" s="27" t="s">
        <v>7</v>
      </c>
      <c r="CI202" s="27" t="s">
        <v>8</v>
      </c>
      <c r="CP202" s="27" t="s">
        <v>7</v>
      </c>
      <c r="CQ202" s="27" t="s">
        <v>8</v>
      </c>
      <c r="CR202" s="27" t="s">
        <v>7</v>
      </c>
      <c r="CS202" s="27" t="s">
        <v>8</v>
      </c>
      <c r="CT202" s="27" t="s">
        <v>7</v>
      </c>
      <c r="CU202" s="27" t="s">
        <v>8</v>
      </c>
      <c r="CV202" s="27" t="s">
        <v>7</v>
      </c>
      <c r="CW202" s="27" t="s">
        <v>8</v>
      </c>
      <c r="CX202" s="27" t="s">
        <v>7</v>
      </c>
      <c r="CZ202" s="27" t="s">
        <v>7</v>
      </c>
      <c r="DD202" s="27" t="s">
        <v>7</v>
      </c>
      <c r="DE202" s="27" t="s">
        <v>8</v>
      </c>
      <c r="DP202" s="27" t="s">
        <v>7</v>
      </c>
      <c r="DQ202" s="27" t="s">
        <v>8</v>
      </c>
      <c r="DT202" s="27" t="s">
        <v>7</v>
      </c>
      <c r="DU202" s="27" t="s">
        <v>8</v>
      </c>
      <c r="EJ202" s="27" t="s">
        <v>7</v>
      </c>
      <c r="EM202" s="27" t="s">
        <v>8</v>
      </c>
      <c r="EN202" s="27" t="s">
        <v>7</v>
      </c>
      <c r="FC202" s="27" t="s">
        <v>8</v>
      </c>
      <c r="FD202" s="27" t="s">
        <v>7</v>
      </c>
      <c r="FE202" s="27" t="s">
        <v>8</v>
      </c>
      <c r="FH202" s="27" t="s">
        <v>7</v>
      </c>
      <c r="IL202" s="27" t="s">
        <v>7</v>
      </c>
      <c r="IM202" s="27" t="s">
        <v>8</v>
      </c>
      <c r="IN202" s="27" t="s">
        <v>7</v>
      </c>
      <c r="IO202" s="27" t="s">
        <v>8</v>
      </c>
    </row>
    <row r="203" spans="1:250" x14ac:dyDescent="0.25">
      <c r="A203" s="7">
        <v>2006.623788868613</v>
      </c>
      <c r="B203"/>
      <c r="C203"/>
      <c r="D203"/>
      <c r="E203" t="s">
        <v>8</v>
      </c>
      <c r="P203" s="27" t="s">
        <v>7</v>
      </c>
      <c r="Q203" s="27" t="s">
        <v>8</v>
      </c>
      <c r="R203" s="27" t="s">
        <v>7</v>
      </c>
      <c r="S203" s="27" t="s">
        <v>8</v>
      </c>
      <c r="T203" s="27" t="s">
        <v>7</v>
      </c>
      <c r="U203" s="27" t="s">
        <v>8</v>
      </c>
      <c r="V203" s="27" t="s">
        <v>7</v>
      </c>
      <c r="X203" s="27" t="s">
        <v>7</v>
      </c>
      <c r="Y203" s="27" t="s">
        <v>8</v>
      </c>
      <c r="Z203" s="27" t="s">
        <v>7</v>
      </c>
      <c r="AQ203" s="27" t="s">
        <v>8</v>
      </c>
      <c r="AR203" s="27" t="s">
        <v>7</v>
      </c>
      <c r="AS203" s="27" t="s">
        <v>8</v>
      </c>
      <c r="AV203" s="27" t="s">
        <v>7</v>
      </c>
      <c r="AY203" s="27" t="s">
        <v>8</v>
      </c>
      <c r="AZ203" s="27" t="s">
        <v>7</v>
      </c>
      <c r="BA203" s="27" t="s">
        <v>8</v>
      </c>
      <c r="BB203" s="27" t="s">
        <v>7</v>
      </c>
      <c r="BC203" s="27" t="s">
        <v>8</v>
      </c>
      <c r="BD203" s="27" t="s">
        <v>7</v>
      </c>
      <c r="BS203" s="27" t="s">
        <v>8</v>
      </c>
      <c r="BT203" s="27" t="s">
        <v>7</v>
      </c>
      <c r="BU203" s="27" t="s">
        <v>8</v>
      </c>
      <c r="BV203" s="27" t="s">
        <v>7</v>
      </c>
      <c r="BW203" s="27" t="s">
        <v>8</v>
      </c>
      <c r="BX203" s="27" t="s">
        <v>7</v>
      </c>
      <c r="CG203" s="27" t="s">
        <v>8</v>
      </c>
      <c r="CH203" s="27" t="s">
        <v>7</v>
      </c>
      <c r="CI203" s="27" t="s">
        <v>8</v>
      </c>
      <c r="CP203" s="27" t="s">
        <v>7</v>
      </c>
      <c r="CQ203" s="27" t="s">
        <v>8</v>
      </c>
      <c r="CR203" s="27" t="s">
        <v>7</v>
      </c>
      <c r="CS203" s="27" t="s">
        <v>8</v>
      </c>
      <c r="CT203" s="27" t="s">
        <v>7</v>
      </c>
      <c r="CU203" s="27" t="s">
        <v>8</v>
      </c>
      <c r="CV203" s="27" t="s">
        <v>7</v>
      </c>
      <c r="CW203" s="27" t="s">
        <v>8</v>
      </c>
      <c r="DD203" s="27" t="s">
        <v>7</v>
      </c>
      <c r="DP203" s="27" t="s">
        <v>7</v>
      </c>
      <c r="DT203" s="27" t="s">
        <v>7</v>
      </c>
      <c r="EJ203" s="27" t="s">
        <v>7</v>
      </c>
      <c r="EM203" s="27" t="s">
        <v>8</v>
      </c>
      <c r="EN203" s="27" t="s">
        <v>7</v>
      </c>
      <c r="FC203" s="27" t="s">
        <v>8</v>
      </c>
      <c r="FD203" s="27" t="s">
        <v>7</v>
      </c>
      <c r="FE203" s="27" t="s">
        <v>8</v>
      </c>
      <c r="IL203" s="27" t="s">
        <v>7</v>
      </c>
      <c r="IM203" s="27" t="s">
        <v>8</v>
      </c>
      <c r="IN203" s="27" t="s">
        <v>7</v>
      </c>
      <c r="IO203" s="27" t="s">
        <v>8</v>
      </c>
    </row>
    <row r="204" spans="1:250" x14ac:dyDescent="0.25">
      <c r="A204" s="7">
        <v>1967.2782243809932</v>
      </c>
      <c r="B204"/>
      <c r="C204"/>
      <c r="D204"/>
      <c r="E204" t="s">
        <v>8</v>
      </c>
      <c r="P204" s="27" t="s">
        <v>7</v>
      </c>
      <c r="Q204" s="27" t="s">
        <v>8</v>
      </c>
      <c r="R204" s="27" t="s">
        <v>7</v>
      </c>
      <c r="S204" s="27" t="s">
        <v>8</v>
      </c>
      <c r="T204" s="27" t="s">
        <v>7</v>
      </c>
      <c r="U204" s="27" t="s">
        <v>8</v>
      </c>
      <c r="X204" s="27" t="s">
        <v>7</v>
      </c>
      <c r="Y204" s="27" t="s">
        <v>8</v>
      </c>
      <c r="Z204" s="27" t="s">
        <v>7</v>
      </c>
      <c r="AA204" s="27" t="s">
        <v>8</v>
      </c>
      <c r="AQ204" s="27" t="s">
        <v>8</v>
      </c>
      <c r="AR204" s="27" t="s">
        <v>7</v>
      </c>
      <c r="AS204" s="27" t="s">
        <v>8</v>
      </c>
      <c r="AV204" s="27" t="s">
        <v>7</v>
      </c>
      <c r="AY204" s="27" t="s">
        <v>8</v>
      </c>
      <c r="AZ204" s="27" t="s">
        <v>7</v>
      </c>
      <c r="BA204" s="27" t="s">
        <v>8</v>
      </c>
      <c r="BB204" s="27" t="s">
        <v>7</v>
      </c>
      <c r="BC204" s="27" t="s">
        <v>8</v>
      </c>
      <c r="BD204" s="27" t="s">
        <v>7</v>
      </c>
      <c r="BS204" s="27" t="s">
        <v>8</v>
      </c>
      <c r="BT204" s="27" t="s">
        <v>7</v>
      </c>
      <c r="BU204" s="27" t="s">
        <v>8</v>
      </c>
      <c r="BV204" s="27" t="s">
        <v>7</v>
      </c>
      <c r="BW204" s="27" t="s">
        <v>8</v>
      </c>
      <c r="BX204" s="27" t="s">
        <v>7</v>
      </c>
      <c r="BY204" s="27" t="s">
        <v>8</v>
      </c>
      <c r="CC204" s="27" t="s">
        <v>8</v>
      </c>
      <c r="CE204" s="27" t="s">
        <v>8</v>
      </c>
      <c r="CG204" s="27" t="s">
        <v>8</v>
      </c>
      <c r="CH204" s="27" t="s">
        <v>7</v>
      </c>
      <c r="CI204" s="27" t="s">
        <v>8</v>
      </c>
      <c r="CP204" s="27" t="s">
        <v>7</v>
      </c>
      <c r="CQ204" s="27" t="s">
        <v>8</v>
      </c>
      <c r="CR204" s="27" t="s">
        <v>7</v>
      </c>
      <c r="CT204" s="27" t="s">
        <v>7</v>
      </c>
      <c r="CU204" s="27" t="s">
        <v>8</v>
      </c>
      <c r="CV204" s="27" t="s">
        <v>7</v>
      </c>
      <c r="EJ204" s="27" t="s">
        <v>7</v>
      </c>
      <c r="EK204" s="27" t="s">
        <v>8</v>
      </c>
      <c r="EM204" s="27" t="s">
        <v>8</v>
      </c>
      <c r="EN204" s="27" t="s">
        <v>7</v>
      </c>
      <c r="EO204" s="27" t="s">
        <v>8</v>
      </c>
      <c r="EQ204" s="27" t="s">
        <v>8</v>
      </c>
      <c r="EW204" s="27" t="s">
        <v>8</v>
      </c>
      <c r="FA204" s="27" t="s">
        <v>8</v>
      </c>
      <c r="FC204" s="27" t="s">
        <v>8</v>
      </c>
      <c r="FD204" s="27" t="s">
        <v>7</v>
      </c>
      <c r="FE204" s="27" t="s">
        <v>8</v>
      </c>
      <c r="IL204" s="27" t="s">
        <v>7</v>
      </c>
      <c r="IM204" s="27" t="s">
        <v>8</v>
      </c>
      <c r="IN204" s="27" t="s">
        <v>7</v>
      </c>
      <c r="IO204" s="27" t="s">
        <v>8</v>
      </c>
    </row>
    <row r="205" spans="1:250" x14ac:dyDescent="0.25">
      <c r="A205" s="7">
        <v>1928.7041415499932</v>
      </c>
      <c r="B205"/>
      <c r="C205"/>
      <c r="D205"/>
      <c r="E205" t="s">
        <v>8</v>
      </c>
      <c r="P205" s="27" t="s">
        <v>7</v>
      </c>
      <c r="Q205" s="27" t="s">
        <v>8</v>
      </c>
      <c r="R205" s="27" t="s">
        <v>7</v>
      </c>
      <c r="S205" s="27" t="s">
        <v>8</v>
      </c>
      <c r="T205" s="27" t="s">
        <v>7</v>
      </c>
      <c r="X205" s="27" t="s">
        <v>7</v>
      </c>
      <c r="Y205" s="27" t="s">
        <v>8</v>
      </c>
      <c r="Z205" s="27" t="s">
        <v>7</v>
      </c>
      <c r="AA205" s="27" t="s">
        <v>8</v>
      </c>
      <c r="AB205" s="27" t="s">
        <v>7</v>
      </c>
      <c r="AC205" s="27" t="s">
        <v>8</v>
      </c>
      <c r="AI205" s="27" t="s">
        <v>8</v>
      </c>
      <c r="AQ205" s="27" t="s">
        <v>8</v>
      </c>
      <c r="AR205" s="27" t="s">
        <v>7</v>
      </c>
      <c r="AS205" s="27" t="s">
        <v>8</v>
      </c>
      <c r="AV205" s="27" t="s">
        <v>7</v>
      </c>
      <c r="AW205" s="27" t="s">
        <v>8</v>
      </c>
      <c r="AY205" s="27" t="s">
        <v>8</v>
      </c>
      <c r="AZ205" s="27" t="s">
        <v>7</v>
      </c>
      <c r="BA205" s="27" t="s">
        <v>8</v>
      </c>
      <c r="BB205" s="27" t="s">
        <v>7</v>
      </c>
      <c r="BC205" s="27" t="s">
        <v>8</v>
      </c>
      <c r="BD205" s="27" t="s">
        <v>7</v>
      </c>
      <c r="BS205" s="27" t="s">
        <v>8</v>
      </c>
      <c r="BT205" s="27" t="s">
        <v>7</v>
      </c>
      <c r="BU205" s="27" t="s">
        <v>8</v>
      </c>
      <c r="BV205" s="27" t="s">
        <v>7</v>
      </c>
      <c r="BW205" s="27" t="s">
        <v>8</v>
      </c>
      <c r="BX205" s="27" t="s">
        <v>7</v>
      </c>
      <c r="BY205" s="27" t="s">
        <v>8</v>
      </c>
      <c r="BZ205" s="27" t="s">
        <v>7</v>
      </c>
      <c r="CC205" s="27" t="s">
        <v>8</v>
      </c>
      <c r="CD205" s="27" t="s">
        <v>7</v>
      </c>
      <c r="CE205" s="27" t="s">
        <v>8</v>
      </c>
      <c r="CF205" s="27" t="s">
        <v>7</v>
      </c>
      <c r="CG205" s="27" t="s">
        <v>8</v>
      </c>
      <c r="CH205" s="27" t="s">
        <v>7</v>
      </c>
      <c r="CI205" s="27" t="s">
        <v>8</v>
      </c>
      <c r="CP205" s="27" t="s">
        <v>7</v>
      </c>
      <c r="CQ205" s="27" t="s">
        <v>8</v>
      </c>
      <c r="CT205" s="27" t="s">
        <v>7</v>
      </c>
      <c r="CU205" s="27" t="s">
        <v>8</v>
      </c>
      <c r="EJ205" s="27" t="s">
        <v>7</v>
      </c>
      <c r="EK205" s="27" t="s">
        <v>8</v>
      </c>
      <c r="EL205" s="27" t="s">
        <v>7</v>
      </c>
      <c r="EM205" s="27" t="s">
        <v>8</v>
      </c>
      <c r="EN205" s="27" t="s">
        <v>7</v>
      </c>
      <c r="EO205" s="27" t="s">
        <v>8</v>
      </c>
      <c r="EP205" s="27" t="s">
        <v>7</v>
      </c>
      <c r="EQ205" s="27" t="s">
        <v>8</v>
      </c>
      <c r="ER205" s="27" t="s">
        <v>7</v>
      </c>
      <c r="EW205" s="27" t="s">
        <v>8</v>
      </c>
      <c r="EX205" s="27" t="s">
        <v>7</v>
      </c>
      <c r="FA205" s="27" t="s">
        <v>8</v>
      </c>
      <c r="FB205" s="27" t="s">
        <v>7</v>
      </c>
      <c r="FC205" s="27" t="s">
        <v>8</v>
      </c>
      <c r="FD205" s="27" t="s">
        <v>7</v>
      </c>
      <c r="FE205" s="27" t="s">
        <v>8</v>
      </c>
      <c r="IL205" s="27" t="s">
        <v>7</v>
      </c>
      <c r="IM205" s="27" t="s">
        <v>8</v>
      </c>
      <c r="IN205" s="27" t="s">
        <v>7</v>
      </c>
      <c r="IO205" s="27" t="s">
        <v>8</v>
      </c>
    </row>
    <row r="206" spans="1:250" x14ac:dyDescent="0.25">
      <c r="A206" s="7">
        <v>1890.8864132843071</v>
      </c>
      <c r="B206"/>
      <c r="C206"/>
      <c r="D206"/>
      <c r="E206" t="s">
        <v>8</v>
      </c>
      <c r="P206" s="27" t="s">
        <v>7</v>
      </c>
      <c r="R206" s="27" t="s">
        <v>7</v>
      </c>
      <c r="S206" s="27" t="s">
        <v>8</v>
      </c>
      <c r="X206" s="27" t="s">
        <v>7</v>
      </c>
      <c r="Y206" s="27" t="s">
        <v>8</v>
      </c>
      <c r="Z206" s="27" t="s">
        <v>7</v>
      </c>
      <c r="AA206" s="27" t="s">
        <v>8</v>
      </c>
      <c r="AB206" s="27" t="s">
        <v>7</v>
      </c>
      <c r="AC206" s="27" t="s">
        <v>8</v>
      </c>
      <c r="AD206" s="27" t="s">
        <v>7</v>
      </c>
      <c r="AI206" s="27" t="s">
        <v>8</v>
      </c>
      <c r="AJ206" s="27" t="s">
        <v>7</v>
      </c>
      <c r="AQ206" s="27" t="s">
        <v>8</v>
      </c>
      <c r="AR206" s="27" t="s">
        <v>7</v>
      </c>
      <c r="AS206" s="27" t="s">
        <v>8</v>
      </c>
      <c r="AV206" s="27" t="s">
        <v>7</v>
      </c>
      <c r="AW206" s="27" t="s">
        <v>8</v>
      </c>
      <c r="AX206" s="27" t="s">
        <v>7</v>
      </c>
      <c r="AY206" s="27" t="s">
        <v>8</v>
      </c>
      <c r="AZ206" s="27" t="s">
        <v>7</v>
      </c>
      <c r="BA206" s="27" t="s">
        <v>8</v>
      </c>
      <c r="BB206" s="27" t="s">
        <v>7</v>
      </c>
      <c r="BD206" s="27" t="s">
        <v>7</v>
      </c>
      <c r="BG206" s="27" t="s">
        <v>8</v>
      </c>
      <c r="BS206" s="27" t="s">
        <v>8</v>
      </c>
      <c r="BT206" s="27" t="s">
        <v>7</v>
      </c>
      <c r="BU206" s="27" t="s">
        <v>8</v>
      </c>
      <c r="BV206" s="27" t="s">
        <v>7</v>
      </c>
      <c r="BW206" s="27" t="s">
        <v>8</v>
      </c>
      <c r="BX206" s="27" t="s">
        <v>7</v>
      </c>
      <c r="BY206" s="27" t="s">
        <v>8</v>
      </c>
      <c r="BZ206" s="27" t="s">
        <v>7</v>
      </c>
      <c r="CC206" s="27" t="s">
        <v>8</v>
      </c>
      <c r="CD206" s="27" t="s">
        <v>7</v>
      </c>
      <c r="CE206" s="27" t="s">
        <v>8</v>
      </c>
      <c r="CF206" s="27" t="s">
        <v>7</v>
      </c>
      <c r="CG206" s="27" t="s">
        <v>8</v>
      </c>
      <c r="CH206" s="27" t="s">
        <v>7</v>
      </c>
      <c r="CP206" s="27" t="s">
        <v>7</v>
      </c>
      <c r="CQ206" s="27" t="s">
        <v>8</v>
      </c>
      <c r="CT206" s="27" t="s">
        <v>7</v>
      </c>
      <c r="CU206" s="27" t="s">
        <v>8</v>
      </c>
      <c r="EJ206" s="27" t="s">
        <v>7</v>
      </c>
      <c r="EK206" s="27" t="s">
        <v>8</v>
      </c>
      <c r="EL206" s="27" t="s">
        <v>7</v>
      </c>
      <c r="EM206" s="27" t="s">
        <v>8</v>
      </c>
      <c r="EN206" s="27" t="s">
        <v>7</v>
      </c>
      <c r="EO206" s="27" t="s">
        <v>8</v>
      </c>
      <c r="EP206" s="27" t="s">
        <v>7</v>
      </c>
      <c r="EQ206" s="27" t="s">
        <v>8</v>
      </c>
      <c r="ER206" s="27" t="s">
        <v>7</v>
      </c>
      <c r="EU206" s="27" t="s">
        <v>8</v>
      </c>
      <c r="EW206" s="27" t="s">
        <v>8</v>
      </c>
      <c r="EX206" s="27" t="s">
        <v>7</v>
      </c>
      <c r="FA206" s="27" t="s">
        <v>8</v>
      </c>
      <c r="FB206" s="27" t="s">
        <v>7</v>
      </c>
      <c r="FC206" s="27" t="s">
        <v>8</v>
      </c>
      <c r="FD206" s="27" t="s">
        <v>7</v>
      </c>
      <c r="FE206" s="27" t="s">
        <v>8</v>
      </c>
      <c r="IL206" s="27" t="s">
        <v>7</v>
      </c>
      <c r="IM206" s="27" t="s">
        <v>8</v>
      </c>
      <c r="IN206" s="27" t="s">
        <v>7</v>
      </c>
      <c r="IO206" s="27" t="s">
        <v>8</v>
      </c>
    </row>
    <row r="207" spans="1:250" x14ac:dyDescent="0.25">
      <c r="A207" s="7">
        <v>1853.8102091022618</v>
      </c>
      <c r="B207"/>
      <c r="C207"/>
      <c r="D207"/>
      <c r="E207" t="s">
        <v>8</v>
      </c>
      <c r="R207" s="27" t="s">
        <v>7</v>
      </c>
      <c r="S207" s="27" t="s">
        <v>8</v>
      </c>
      <c r="X207" s="27" t="s">
        <v>7</v>
      </c>
      <c r="Y207" s="27" t="s">
        <v>8</v>
      </c>
      <c r="Z207" s="27" t="s">
        <v>7</v>
      </c>
      <c r="AA207" s="27" t="s">
        <v>8</v>
      </c>
      <c r="AB207" s="27" t="s">
        <v>7</v>
      </c>
      <c r="AC207" s="27" t="s">
        <v>8</v>
      </c>
      <c r="AD207" s="27" t="s">
        <v>7</v>
      </c>
      <c r="AI207" s="27" t="s">
        <v>8</v>
      </c>
      <c r="AJ207" s="27" t="s">
        <v>7</v>
      </c>
      <c r="AO207" s="27" t="s">
        <v>8</v>
      </c>
      <c r="AQ207" s="27" t="s">
        <v>8</v>
      </c>
      <c r="AR207" s="27" t="s">
        <v>7</v>
      </c>
      <c r="AS207" s="27" t="s">
        <v>8</v>
      </c>
      <c r="AV207" s="27" t="s">
        <v>7</v>
      </c>
      <c r="AW207" s="27" t="s">
        <v>8</v>
      </c>
      <c r="AX207" s="27" t="s">
        <v>7</v>
      </c>
      <c r="AY207" s="27" t="s">
        <v>8</v>
      </c>
      <c r="AZ207" s="27" t="s">
        <v>7</v>
      </c>
      <c r="BD207" s="27" t="s">
        <v>7</v>
      </c>
      <c r="BE207" s="27" t="s">
        <v>8</v>
      </c>
      <c r="BG207" s="27" t="s">
        <v>8</v>
      </c>
      <c r="BH207" s="27" t="s">
        <v>7</v>
      </c>
      <c r="BI207" s="27" t="s">
        <v>8</v>
      </c>
      <c r="BS207" s="27" t="s">
        <v>8</v>
      </c>
      <c r="BT207" s="27" t="s">
        <v>7</v>
      </c>
      <c r="BU207" s="27" t="s">
        <v>8</v>
      </c>
      <c r="BV207" s="27" t="s">
        <v>7</v>
      </c>
      <c r="BW207" s="27" t="s">
        <v>8</v>
      </c>
      <c r="BX207" s="27" t="s">
        <v>7</v>
      </c>
      <c r="BY207" s="27" t="s">
        <v>8</v>
      </c>
      <c r="BZ207" s="27" t="s">
        <v>7</v>
      </c>
      <c r="CA207" s="27" t="s">
        <v>8</v>
      </c>
      <c r="CC207" s="27" t="s">
        <v>8</v>
      </c>
      <c r="CD207" s="27" t="s">
        <v>7</v>
      </c>
      <c r="CE207" s="27" t="s">
        <v>8</v>
      </c>
      <c r="CF207" s="27" t="s">
        <v>7</v>
      </c>
      <c r="CP207" s="27" t="s">
        <v>7</v>
      </c>
      <c r="CQ207" s="27" t="s">
        <v>8</v>
      </c>
      <c r="CT207" s="27" t="s">
        <v>7</v>
      </c>
      <c r="CU207" s="27" t="s">
        <v>8</v>
      </c>
      <c r="EJ207" s="27" t="s">
        <v>7</v>
      </c>
      <c r="EK207" s="27" t="s">
        <v>8</v>
      </c>
      <c r="EL207" s="27" t="s">
        <v>7</v>
      </c>
      <c r="EM207" s="27" t="s">
        <v>8</v>
      </c>
      <c r="EN207" s="27" t="s">
        <v>7</v>
      </c>
      <c r="EO207" s="27" t="s">
        <v>8</v>
      </c>
      <c r="EP207" s="27" t="s">
        <v>7</v>
      </c>
      <c r="EQ207" s="27" t="s">
        <v>8</v>
      </c>
      <c r="ER207" s="27" t="s">
        <v>7</v>
      </c>
      <c r="EU207" s="27" t="s">
        <v>8</v>
      </c>
      <c r="EV207" s="27" t="s">
        <v>7</v>
      </c>
      <c r="EW207" s="27" t="s">
        <v>8</v>
      </c>
      <c r="EX207" s="27" t="s">
        <v>7</v>
      </c>
      <c r="EY207" s="27" t="s">
        <v>8</v>
      </c>
      <c r="FA207" s="27" t="s">
        <v>8</v>
      </c>
      <c r="FB207" s="27" t="s">
        <v>7</v>
      </c>
      <c r="FD207" s="27" t="s">
        <v>7</v>
      </c>
      <c r="IL207" s="27" t="s">
        <v>7</v>
      </c>
      <c r="IM207" s="27" t="s">
        <v>8</v>
      </c>
      <c r="IN207" s="27" t="s">
        <v>7</v>
      </c>
      <c r="IO207" s="27" t="s">
        <v>8</v>
      </c>
    </row>
    <row r="208" spans="1:250" x14ac:dyDescent="0.25">
      <c r="A208" s="7">
        <v>1817.4609893159429</v>
      </c>
      <c r="B208"/>
      <c r="C208"/>
      <c r="D208"/>
      <c r="E208" t="s">
        <v>8</v>
      </c>
      <c r="R208" s="27" t="s">
        <v>7</v>
      </c>
      <c r="S208" s="27" t="s">
        <v>8</v>
      </c>
      <c r="X208" s="27" t="s">
        <v>7</v>
      </c>
      <c r="Z208" s="27" t="s">
        <v>7</v>
      </c>
      <c r="AA208" s="27" t="s">
        <v>8</v>
      </c>
      <c r="AB208" s="27" t="s">
        <v>7</v>
      </c>
      <c r="AD208" s="27" t="s">
        <v>7</v>
      </c>
      <c r="AI208" s="27" t="s">
        <v>8</v>
      </c>
      <c r="AJ208" s="27" t="s">
        <v>7</v>
      </c>
      <c r="AO208" s="27" t="s">
        <v>8</v>
      </c>
      <c r="AP208" s="27" t="s">
        <v>7</v>
      </c>
      <c r="AQ208" s="27" t="s">
        <v>8</v>
      </c>
      <c r="AR208" s="27" t="s">
        <v>7</v>
      </c>
      <c r="AV208" s="27" t="s">
        <v>7</v>
      </c>
      <c r="AW208" s="27" t="s">
        <v>8</v>
      </c>
      <c r="AX208" s="27" t="s">
        <v>7</v>
      </c>
      <c r="AY208" s="27" t="s">
        <v>8</v>
      </c>
      <c r="BD208" s="27" t="s">
        <v>7</v>
      </c>
      <c r="BE208" s="27" t="s">
        <v>8</v>
      </c>
      <c r="BF208" s="27" t="s">
        <v>7</v>
      </c>
      <c r="BG208" s="27" t="s">
        <v>8</v>
      </c>
      <c r="BH208" s="27" t="s">
        <v>7</v>
      </c>
      <c r="BI208" s="27" t="s">
        <v>8</v>
      </c>
      <c r="BJ208" s="27" t="s">
        <v>7</v>
      </c>
      <c r="BS208" s="27" t="s">
        <v>8</v>
      </c>
      <c r="BT208" s="27" t="s">
        <v>7</v>
      </c>
      <c r="BU208" s="27" t="s">
        <v>8</v>
      </c>
      <c r="BV208" s="27" t="s">
        <v>7</v>
      </c>
      <c r="BW208" s="27" t="s">
        <v>8</v>
      </c>
      <c r="BX208" s="27" t="s">
        <v>7</v>
      </c>
      <c r="BY208" s="27" t="s">
        <v>8</v>
      </c>
      <c r="BZ208" s="27" t="s">
        <v>7</v>
      </c>
      <c r="CA208" s="27" t="s">
        <v>8</v>
      </c>
      <c r="CB208" s="27" t="s">
        <v>7</v>
      </c>
      <c r="CC208" s="27" t="s">
        <v>8</v>
      </c>
      <c r="CD208" s="27" t="s">
        <v>7</v>
      </c>
      <c r="CE208" s="27" t="s">
        <v>8</v>
      </c>
      <c r="CP208" s="27" t="s">
        <v>7</v>
      </c>
      <c r="CT208" s="27" t="s">
        <v>7</v>
      </c>
      <c r="EJ208" s="27" t="s">
        <v>7</v>
      </c>
      <c r="EK208" s="27" t="s">
        <v>8</v>
      </c>
      <c r="EL208" s="27" t="s">
        <v>7</v>
      </c>
      <c r="EM208" s="27" t="s">
        <v>8</v>
      </c>
      <c r="EN208" s="27" t="s">
        <v>7</v>
      </c>
      <c r="EO208" s="27" t="s">
        <v>8</v>
      </c>
      <c r="EP208" s="27" t="s">
        <v>7</v>
      </c>
      <c r="EQ208" s="27" t="s">
        <v>8</v>
      </c>
      <c r="ER208" s="27" t="s">
        <v>7</v>
      </c>
      <c r="EU208" s="27" t="s">
        <v>8</v>
      </c>
      <c r="EV208" s="27" t="s">
        <v>7</v>
      </c>
      <c r="EW208" s="27" t="s">
        <v>8</v>
      </c>
      <c r="EX208" s="27" t="s">
        <v>7</v>
      </c>
      <c r="EY208" s="27" t="s">
        <v>8</v>
      </c>
      <c r="EZ208" s="27" t="s">
        <v>7</v>
      </c>
      <c r="FA208" s="27" t="s">
        <v>8</v>
      </c>
      <c r="IL208" s="27" t="s">
        <v>7</v>
      </c>
      <c r="IM208" s="27" t="s">
        <v>8</v>
      </c>
      <c r="IN208" s="27" t="s">
        <v>7</v>
      </c>
    </row>
    <row r="209" spans="1:246" x14ac:dyDescent="0.25">
      <c r="A209" s="7">
        <v>1781.8244993293558</v>
      </c>
      <c r="B209"/>
      <c r="C209"/>
      <c r="D209"/>
      <c r="E209" t="s">
        <v>8</v>
      </c>
      <c r="R209" s="27" t="s">
        <v>7</v>
      </c>
      <c r="S209" s="27" t="s">
        <v>8</v>
      </c>
      <c r="Z209" s="27" t="s">
        <v>7</v>
      </c>
      <c r="AA209" s="27" t="s">
        <v>8</v>
      </c>
      <c r="AD209" s="27" t="s">
        <v>7</v>
      </c>
      <c r="AI209" s="27" t="s">
        <v>8</v>
      </c>
      <c r="AJ209" s="27" t="s">
        <v>7</v>
      </c>
      <c r="AO209" s="27" t="s">
        <v>8</v>
      </c>
      <c r="AP209" s="27" t="s">
        <v>7</v>
      </c>
      <c r="AQ209" s="27" t="s">
        <v>8</v>
      </c>
      <c r="AV209" s="27" t="s">
        <v>7</v>
      </c>
      <c r="AW209" s="27" t="s">
        <v>8</v>
      </c>
      <c r="AX209" s="27" t="s">
        <v>7</v>
      </c>
      <c r="AY209" s="27" t="s">
        <v>8</v>
      </c>
      <c r="BD209" s="27" t="s">
        <v>7</v>
      </c>
      <c r="BE209" s="27" t="s">
        <v>8</v>
      </c>
      <c r="BF209" s="27" t="s">
        <v>7</v>
      </c>
      <c r="BG209" s="27" t="s">
        <v>8</v>
      </c>
      <c r="BH209" s="27" t="s">
        <v>7</v>
      </c>
      <c r="BI209" s="27" t="s">
        <v>8</v>
      </c>
      <c r="BJ209" s="27" t="s">
        <v>7</v>
      </c>
      <c r="BS209" s="27" t="s">
        <v>8</v>
      </c>
      <c r="BT209" s="27" t="s">
        <v>7</v>
      </c>
      <c r="BU209" s="27" t="s">
        <v>8</v>
      </c>
      <c r="BV209" s="27" t="s">
        <v>7</v>
      </c>
      <c r="BW209" s="27" t="s">
        <v>8</v>
      </c>
      <c r="BX209" s="27" t="s">
        <v>7</v>
      </c>
      <c r="BY209" s="27" t="s">
        <v>8</v>
      </c>
      <c r="BZ209" s="27" t="s">
        <v>7</v>
      </c>
      <c r="CA209" s="27" t="s">
        <v>8</v>
      </c>
      <c r="CB209" s="27" t="s">
        <v>7</v>
      </c>
      <c r="CC209" s="27" t="s">
        <v>8</v>
      </c>
      <c r="CD209" s="27" t="s">
        <v>7</v>
      </c>
      <c r="EJ209" s="27" t="s">
        <v>7</v>
      </c>
      <c r="EK209" s="27" t="s">
        <v>8</v>
      </c>
      <c r="EL209" s="27" t="s">
        <v>7</v>
      </c>
      <c r="EM209" s="27" t="s">
        <v>8</v>
      </c>
      <c r="EN209" s="27" t="s">
        <v>7</v>
      </c>
      <c r="EO209" s="27" t="s">
        <v>8</v>
      </c>
      <c r="EP209" s="27" t="s">
        <v>7</v>
      </c>
      <c r="ER209" s="27" t="s">
        <v>7</v>
      </c>
      <c r="ES209" s="27" t="s">
        <v>8</v>
      </c>
      <c r="EU209" s="27" t="s">
        <v>8</v>
      </c>
      <c r="EV209" s="27" t="s">
        <v>7</v>
      </c>
      <c r="EW209" s="27" t="s">
        <v>8</v>
      </c>
      <c r="EX209" s="27" t="s">
        <v>7</v>
      </c>
      <c r="EY209" s="27" t="s">
        <v>8</v>
      </c>
      <c r="EZ209" s="27" t="s">
        <v>7</v>
      </c>
      <c r="FA209" s="27" t="s">
        <v>8</v>
      </c>
      <c r="IL209" s="27" t="s">
        <v>7</v>
      </c>
    </row>
    <row r="210" spans="1:246" x14ac:dyDescent="0.25">
      <c r="A210" s="7">
        <v>1746.8867640483879</v>
      </c>
      <c r="B210"/>
      <c r="C210"/>
      <c r="D210"/>
      <c r="E210" t="s">
        <v>8</v>
      </c>
      <c r="R210" s="27" t="s">
        <v>7</v>
      </c>
      <c r="S210" s="27" t="s">
        <v>8</v>
      </c>
      <c r="Z210" s="27" t="s">
        <v>7</v>
      </c>
      <c r="AA210" s="27" t="s">
        <v>8</v>
      </c>
      <c r="AD210" s="27" t="s">
        <v>7</v>
      </c>
      <c r="AI210" s="27" t="s">
        <v>8</v>
      </c>
      <c r="AJ210" s="27" t="s">
        <v>7</v>
      </c>
      <c r="AK210" s="27" t="s">
        <v>8</v>
      </c>
      <c r="AO210" s="27" t="s">
        <v>8</v>
      </c>
      <c r="AP210" s="27" t="s">
        <v>7</v>
      </c>
      <c r="AQ210" s="27" t="s">
        <v>8</v>
      </c>
      <c r="AV210" s="27" t="s">
        <v>7</v>
      </c>
      <c r="AW210" s="27" t="s">
        <v>8</v>
      </c>
      <c r="AX210" s="27" t="s">
        <v>7</v>
      </c>
      <c r="BD210" s="27" t="s">
        <v>7</v>
      </c>
      <c r="BE210" s="27" t="s">
        <v>8</v>
      </c>
      <c r="BF210" s="27" t="s">
        <v>7</v>
      </c>
      <c r="BG210" s="27" t="s">
        <v>8</v>
      </c>
      <c r="BH210" s="27" t="s">
        <v>7</v>
      </c>
      <c r="BJ210" s="27" t="s">
        <v>7</v>
      </c>
      <c r="BS210" s="27" t="s">
        <v>8</v>
      </c>
      <c r="BT210" s="27" t="s">
        <v>7</v>
      </c>
      <c r="BU210" s="27" t="s">
        <v>8</v>
      </c>
      <c r="BV210" s="27" t="s">
        <v>7</v>
      </c>
      <c r="BW210" s="27" t="s">
        <v>8</v>
      </c>
      <c r="BX210" s="27" t="s">
        <v>7</v>
      </c>
      <c r="BY210" s="27" t="s">
        <v>8</v>
      </c>
      <c r="BZ210" s="27" t="s">
        <v>7</v>
      </c>
      <c r="CA210" s="27" t="s">
        <v>8</v>
      </c>
      <c r="CB210" s="27" t="s">
        <v>7</v>
      </c>
      <c r="CC210" s="27" t="s">
        <v>8</v>
      </c>
      <c r="EJ210" s="27" t="s">
        <v>7</v>
      </c>
      <c r="EK210" s="27" t="s">
        <v>8</v>
      </c>
      <c r="EL210" s="27" t="s">
        <v>7</v>
      </c>
      <c r="EM210" s="27" t="s">
        <v>8</v>
      </c>
      <c r="EN210" s="27" t="s">
        <v>7</v>
      </c>
      <c r="EO210" s="27" t="s">
        <v>8</v>
      </c>
      <c r="ER210" s="27" t="s">
        <v>7</v>
      </c>
      <c r="ES210" s="27" t="s">
        <v>8</v>
      </c>
      <c r="ET210" s="27" t="s">
        <v>7</v>
      </c>
      <c r="EU210" s="27" t="s">
        <v>8</v>
      </c>
      <c r="EV210" s="27" t="s">
        <v>7</v>
      </c>
      <c r="EX210" s="27" t="s">
        <v>7</v>
      </c>
      <c r="EY210" s="27" t="s">
        <v>8</v>
      </c>
      <c r="EZ210" s="27" t="s">
        <v>7</v>
      </c>
      <c r="FA210" s="27" t="s">
        <v>8</v>
      </c>
    </row>
    <row r="211" spans="1:246" x14ac:dyDescent="0.25">
      <c r="A211" s="7">
        <v>1712.6340824003803</v>
      </c>
      <c r="B211"/>
      <c r="C211"/>
      <c r="D211"/>
      <c r="E211" t="s">
        <v>8</v>
      </c>
      <c r="R211" s="27" t="s">
        <v>7</v>
      </c>
      <c r="S211" s="27" t="s">
        <v>8</v>
      </c>
      <c r="Z211" s="27" t="s">
        <v>7</v>
      </c>
      <c r="AD211" s="27" t="s">
        <v>7</v>
      </c>
      <c r="AI211" s="27" t="s">
        <v>8</v>
      </c>
      <c r="AJ211" s="27" t="s">
        <v>7</v>
      </c>
      <c r="AK211" s="27" t="s">
        <v>8</v>
      </c>
      <c r="AL211" s="27" t="s">
        <v>7</v>
      </c>
      <c r="AO211" s="27" t="s">
        <v>8</v>
      </c>
      <c r="AP211" s="27" t="s">
        <v>7</v>
      </c>
      <c r="AQ211" s="27" t="s">
        <v>8</v>
      </c>
      <c r="AV211" s="27" t="s">
        <v>7</v>
      </c>
      <c r="AW211" s="27" t="s">
        <v>8</v>
      </c>
      <c r="BD211" s="27" t="s">
        <v>7</v>
      </c>
      <c r="BE211" s="27" t="s">
        <v>8</v>
      </c>
      <c r="BF211" s="27" t="s">
        <v>7</v>
      </c>
      <c r="BJ211" s="27" t="s">
        <v>7</v>
      </c>
      <c r="BQ211" s="27" t="s">
        <v>8</v>
      </c>
      <c r="BS211" s="27" t="s">
        <v>8</v>
      </c>
      <c r="BT211" s="27" t="s">
        <v>7</v>
      </c>
      <c r="BU211" s="27" t="s">
        <v>8</v>
      </c>
      <c r="BV211" s="27" t="s">
        <v>7</v>
      </c>
      <c r="BW211" s="27" t="s">
        <v>8</v>
      </c>
      <c r="BX211" s="27" t="s">
        <v>7</v>
      </c>
      <c r="BY211" s="27" t="s">
        <v>8</v>
      </c>
      <c r="BZ211" s="27" t="s">
        <v>7</v>
      </c>
      <c r="CA211" s="27" t="s">
        <v>8</v>
      </c>
      <c r="CB211" s="27" t="s">
        <v>7</v>
      </c>
      <c r="EJ211" s="27" t="s">
        <v>7</v>
      </c>
      <c r="EK211" s="27" t="s">
        <v>8</v>
      </c>
      <c r="EL211" s="27" t="s">
        <v>7</v>
      </c>
      <c r="EM211" s="27" t="s">
        <v>8</v>
      </c>
      <c r="EN211" s="27" t="s">
        <v>7</v>
      </c>
      <c r="EO211" s="27" t="s">
        <v>8</v>
      </c>
      <c r="ER211" s="27" t="s">
        <v>7</v>
      </c>
      <c r="ES211" s="27" t="s">
        <v>8</v>
      </c>
      <c r="ET211" s="27" t="s">
        <v>7</v>
      </c>
      <c r="EU211" s="27" t="s">
        <v>8</v>
      </c>
      <c r="EX211" s="27" t="s">
        <v>7</v>
      </c>
      <c r="EY211" s="27" t="s">
        <v>8</v>
      </c>
      <c r="EZ211" s="27" t="s">
        <v>7</v>
      </c>
      <c r="FA211" s="27" t="s">
        <v>8</v>
      </c>
    </row>
    <row r="212" spans="1:246" x14ac:dyDescent="0.25">
      <c r="A212" s="7">
        <v>1679.0530219611571</v>
      </c>
      <c r="B212"/>
      <c r="C212"/>
      <c r="D212"/>
      <c r="E212" t="s">
        <v>8</v>
      </c>
      <c r="R212" s="27" t="s">
        <v>7</v>
      </c>
      <c r="S212" s="27" t="s">
        <v>8</v>
      </c>
      <c r="AD212" s="27" t="s">
        <v>7</v>
      </c>
      <c r="AI212" s="27" t="s">
        <v>8</v>
      </c>
      <c r="AJ212" s="27" t="s">
        <v>7</v>
      </c>
      <c r="AK212" s="27" t="s">
        <v>8</v>
      </c>
      <c r="AL212" s="27" t="s">
        <v>7</v>
      </c>
      <c r="AM212" s="27" t="s">
        <v>8</v>
      </c>
      <c r="AO212" s="27" t="s">
        <v>8</v>
      </c>
      <c r="AP212" s="27" t="s">
        <v>7</v>
      </c>
      <c r="AV212" s="27" t="s">
        <v>7</v>
      </c>
      <c r="AW212" s="27" t="s">
        <v>8</v>
      </c>
      <c r="BD212" s="27" t="s">
        <v>7</v>
      </c>
      <c r="BE212" s="27" t="s">
        <v>8</v>
      </c>
      <c r="BJ212" s="27" t="s">
        <v>7</v>
      </c>
      <c r="BO212" s="27" t="s">
        <v>8</v>
      </c>
      <c r="BQ212" s="27" t="s">
        <v>8</v>
      </c>
      <c r="BR212" s="27" t="s">
        <v>7</v>
      </c>
      <c r="BS212" s="27" t="s">
        <v>8</v>
      </c>
      <c r="BT212" s="27" t="s">
        <v>7</v>
      </c>
      <c r="BU212" s="27" t="s">
        <v>8</v>
      </c>
      <c r="BV212" s="27" t="s">
        <v>7</v>
      </c>
      <c r="BW212" s="27" t="s">
        <v>8</v>
      </c>
      <c r="BX212" s="27" t="s">
        <v>7</v>
      </c>
      <c r="BY212" s="27" t="s">
        <v>8</v>
      </c>
      <c r="BZ212" s="27" t="s">
        <v>7</v>
      </c>
      <c r="CA212" s="27" t="s">
        <v>8</v>
      </c>
      <c r="EJ212" s="27" t="s">
        <v>7</v>
      </c>
      <c r="EK212" s="27" t="s">
        <v>8</v>
      </c>
      <c r="EL212" s="27" t="s">
        <v>7</v>
      </c>
      <c r="EM212" s="27" t="s">
        <v>8</v>
      </c>
      <c r="EN212" s="27" t="s">
        <v>7</v>
      </c>
      <c r="EO212" s="27" t="s">
        <v>8</v>
      </c>
      <c r="ER212" s="27" t="s">
        <v>7</v>
      </c>
      <c r="ES212" s="27" t="s">
        <v>8</v>
      </c>
      <c r="ET212" s="27" t="s">
        <v>7</v>
      </c>
      <c r="EU212" s="27" t="s">
        <v>8</v>
      </c>
      <c r="EX212" s="27" t="s">
        <v>7</v>
      </c>
      <c r="EY212" s="27" t="s">
        <v>8</v>
      </c>
      <c r="EZ212" s="27" t="s">
        <v>7</v>
      </c>
      <c r="FA212" s="27" t="s">
        <v>8</v>
      </c>
    </row>
    <row r="213" spans="1:246" x14ac:dyDescent="0.25">
      <c r="A213" s="7">
        <v>1646.1304136874089</v>
      </c>
      <c r="B213"/>
      <c r="C213"/>
      <c r="D213"/>
      <c r="E213" t="s">
        <v>8</v>
      </c>
      <c r="R213" s="27" t="s">
        <v>7</v>
      </c>
      <c r="S213" s="27" t="s">
        <v>8</v>
      </c>
      <c r="AD213" s="27" t="s">
        <v>7</v>
      </c>
      <c r="AE213" s="27" t="s">
        <v>8</v>
      </c>
      <c r="AI213" s="27" t="s">
        <v>8</v>
      </c>
      <c r="AJ213" s="27" t="s">
        <v>7</v>
      </c>
      <c r="AK213" s="27" t="s">
        <v>8</v>
      </c>
      <c r="AL213" s="27" t="s">
        <v>7</v>
      </c>
      <c r="AM213" s="27" t="s">
        <v>8</v>
      </c>
      <c r="AN213" s="27" t="s">
        <v>7</v>
      </c>
      <c r="AO213" s="27" t="s">
        <v>8</v>
      </c>
      <c r="AV213" s="27" t="s">
        <v>7</v>
      </c>
      <c r="AW213" s="27" t="s">
        <v>8</v>
      </c>
      <c r="BD213" s="27" t="s">
        <v>7</v>
      </c>
      <c r="BJ213" s="27" t="s">
        <v>7</v>
      </c>
      <c r="BO213" s="27" t="s">
        <v>8</v>
      </c>
      <c r="BP213" s="27" t="s">
        <v>7</v>
      </c>
      <c r="BQ213" s="27" t="s">
        <v>8</v>
      </c>
      <c r="BR213" s="27" t="s">
        <v>7</v>
      </c>
      <c r="BS213" s="27" t="s">
        <v>8</v>
      </c>
      <c r="BT213" s="27" t="s">
        <v>7</v>
      </c>
      <c r="BV213" s="27" t="s">
        <v>7</v>
      </c>
      <c r="BW213" s="27" t="s">
        <v>8</v>
      </c>
      <c r="BX213" s="27" t="s">
        <v>7</v>
      </c>
      <c r="BY213" s="27" t="s">
        <v>8</v>
      </c>
      <c r="BZ213" s="27" t="s">
        <v>7</v>
      </c>
      <c r="EJ213" s="27" t="s">
        <v>7</v>
      </c>
      <c r="EK213" s="27" t="s">
        <v>8</v>
      </c>
      <c r="EL213" s="27" t="s">
        <v>7</v>
      </c>
      <c r="EM213" s="27" t="s">
        <v>8</v>
      </c>
      <c r="EN213" s="27" t="s">
        <v>7</v>
      </c>
      <c r="EO213" s="27" t="s">
        <v>8</v>
      </c>
      <c r="ER213" s="27" t="s">
        <v>7</v>
      </c>
      <c r="ET213" s="27" t="s">
        <v>7</v>
      </c>
      <c r="EU213" s="27" t="s">
        <v>8</v>
      </c>
      <c r="EX213" s="27" t="s">
        <v>7</v>
      </c>
      <c r="EY213" s="27" t="s">
        <v>8</v>
      </c>
      <c r="EZ213" s="27" t="s">
        <v>7</v>
      </c>
    </row>
    <row r="214" spans="1:246" x14ac:dyDescent="0.25">
      <c r="A214" s="7">
        <v>1613.8533467523616</v>
      </c>
      <c r="B214"/>
      <c r="C214"/>
      <c r="D214"/>
      <c r="E214" t="s">
        <v>8</v>
      </c>
      <c r="R214" s="27" t="s">
        <v>7</v>
      </c>
      <c r="S214" s="27" t="s">
        <v>8</v>
      </c>
      <c r="AD214" s="27" t="s">
        <v>7</v>
      </c>
      <c r="AE214" s="27" t="s">
        <v>8</v>
      </c>
      <c r="AF214" s="27" t="s">
        <v>7</v>
      </c>
      <c r="AI214" s="27" t="s">
        <v>8</v>
      </c>
      <c r="AJ214" s="27" t="s">
        <v>7</v>
      </c>
      <c r="AK214" s="27" t="s">
        <v>8</v>
      </c>
      <c r="AL214" s="27" t="s">
        <v>7</v>
      </c>
      <c r="AM214" s="27" t="s">
        <v>8</v>
      </c>
      <c r="AN214" s="27" t="s">
        <v>7</v>
      </c>
      <c r="AO214" s="27" t="s">
        <v>8</v>
      </c>
      <c r="AV214" s="27" t="s">
        <v>7</v>
      </c>
      <c r="AW214" s="27" t="s">
        <v>8</v>
      </c>
      <c r="BJ214" s="27" t="s">
        <v>7</v>
      </c>
      <c r="BO214" s="27" t="s">
        <v>8</v>
      </c>
      <c r="BP214" s="27" t="s">
        <v>7</v>
      </c>
      <c r="BQ214" s="27" t="s">
        <v>8</v>
      </c>
      <c r="BR214" s="27" t="s">
        <v>7</v>
      </c>
      <c r="BS214" s="27" t="s">
        <v>8</v>
      </c>
      <c r="BV214" s="27" t="s">
        <v>7</v>
      </c>
      <c r="BW214" s="27" t="s">
        <v>8</v>
      </c>
      <c r="BX214" s="27" t="s">
        <v>7</v>
      </c>
      <c r="BY214" s="27" t="s">
        <v>8</v>
      </c>
      <c r="EJ214" s="27" t="s">
        <v>7</v>
      </c>
      <c r="EK214" s="27" t="s">
        <v>8</v>
      </c>
      <c r="EL214" s="27" t="s">
        <v>7</v>
      </c>
      <c r="EM214" s="27" t="s">
        <v>8</v>
      </c>
      <c r="EN214" s="27" t="s">
        <v>7</v>
      </c>
      <c r="ET214" s="27" t="s">
        <v>7</v>
      </c>
      <c r="EU214" s="27" t="s">
        <v>8</v>
      </c>
      <c r="EX214" s="27" t="s">
        <v>7</v>
      </c>
      <c r="EY214" s="27" t="s">
        <v>8</v>
      </c>
    </row>
    <row r="215" spans="1:246" x14ac:dyDescent="0.25">
      <c r="A215" s="7">
        <v>1582.2091634827075</v>
      </c>
      <c r="B215"/>
      <c r="C215"/>
      <c r="D215"/>
      <c r="E215" t="s">
        <v>8</v>
      </c>
      <c r="R215" s="27" t="s">
        <v>7</v>
      </c>
      <c r="S215" s="27" t="s">
        <v>8</v>
      </c>
      <c r="AD215" s="27" t="s">
        <v>7</v>
      </c>
      <c r="AE215" s="27" t="s">
        <v>8</v>
      </c>
      <c r="AF215" s="27" t="s">
        <v>7</v>
      </c>
      <c r="AI215" s="27" t="s">
        <v>8</v>
      </c>
      <c r="AJ215" s="27" t="s">
        <v>7</v>
      </c>
      <c r="AK215" s="27" t="s">
        <v>8</v>
      </c>
      <c r="AL215" s="27" t="s">
        <v>7</v>
      </c>
      <c r="AM215" s="27" t="s">
        <v>8</v>
      </c>
      <c r="AN215" s="27" t="s">
        <v>7</v>
      </c>
      <c r="AO215" s="27" t="s">
        <v>8</v>
      </c>
      <c r="AV215" s="27" t="s">
        <v>7</v>
      </c>
      <c r="AW215" s="27" t="s">
        <v>8</v>
      </c>
      <c r="BJ215" s="27" t="s">
        <v>7</v>
      </c>
      <c r="BO215" s="27" t="s">
        <v>8</v>
      </c>
      <c r="BP215" s="27" t="s">
        <v>7</v>
      </c>
      <c r="BQ215" s="27" t="s">
        <v>8</v>
      </c>
      <c r="BR215" s="27" t="s">
        <v>7</v>
      </c>
      <c r="BS215" s="27" t="s">
        <v>8</v>
      </c>
      <c r="BV215" s="27" t="s">
        <v>7</v>
      </c>
      <c r="BW215" s="27" t="s">
        <v>8</v>
      </c>
      <c r="BX215" s="27" t="s">
        <v>7</v>
      </c>
      <c r="EJ215" s="27" t="s">
        <v>7</v>
      </c>
      <c r="EK215" s="27" t="s">
        <v>8</v>
      </c>
      <c r="EL215" s="27" t="s">
        <v>7</v>
      </c>
      <c r="EM215" s="27" t="s">
        <v>8</v>
      </c>
      <c r="ET215" s="27" t="s">
        <v>7</v>
      </c>
      <c r="EX215" s="27" t="s">
        <v>7</v>
      </c>
      <c r="EY215" s="27" t="s">
        <v>8</v>
      </c>
    </row>
    <row r="216" spans="1:246" x14ac:dyDescent="0.25">
      <c r="A216" s="7">
        <v>1551.1854543948111</v>
      </c>
      <c r="B216"/>
      <c r="C216"/>
      <c r="D216"/>
      <c r="E216" t="s">
        <v>8</v>
      </c>
      <c r="R216" s="27" t="s">
        <v>7</v>
      </c>
      <c r="S216" s="27" t="s">
        <v>8</v>
      </c>
      <c r="AD216" s="27" t="s">
        <v>7</v>
      </c>
      <c r="AE216" s="27" t="s">
        <v>8</v>
      </c>
      <c r="AF216" s="27" t="s">
        <v>7</v>
      </c>
      <c r="AI216" s="27" t="s">
        <v>8</v>
      </c>
      <c r="AJ216" s="27" t="s">
        <v>7</v>
      </c>
      <c r="AK216" s="27" t="s">
        <v>8</v>
      </c>
      <c r="AL216" s="27" t="s">
        <v>7</v>
      </c>
      <c r="AM216" s="27" t="s">
        <v>8</v>
      </c>
      <c r="AN216" s="27" t="s">
        <v>7</v>
      </c>
      <c r="AO216" s="27" t="s">
        <v>8</v>
      </c>
      <c r="AV216" s="27" t="s">
        <v>7</v>
      </c>
      <c r="AW216" s="27" t="s">
        <v>8</v>
      </c>
      <c r="BJ216" s="27" t="s">
        <v>7</v>
      </c>
      <c r="BO216" s="27" t="s">
        <v>8</v>
      </c>
      <c r="BP216" s="27" t="s">
        <v>7</v>
      </c>
      <c r="BQ216" s="27" t="s">
        <v>8</v>
      </c>
      <c r="BR216" s="27" t="s">
        <v>7</v>
      </c>
      <c r="BS216" s="27" t="s">
        <v>8</v>
      </c>
      <c r="BV216" s="27" t="s">
        <v>7</v>
      </c>
      <c r="BW216" s="27" t="s">
        <v>8</v>
      </c>
      <c r="EJ216" s="27" t="s">
        <v>7</v>
      </c>
      <c r="EK216" s="27" t="s">
        <v>8</v>
      </c>
      <c r="EL216" s="27" t="s">
        <v>7</v>
      </c>
      <c r="EM216" s="27" t="s">
        <v>8</v>
      </c>
      <c r="EX216" s="27" t="s">
        <v>7</v>
      </c>
      <c r="EY216" s="27" t="s">
        <v>8</v>
      </c>
    </row>
    <row r="217" spans="1:246" x14ac:dyDescent="0.25">
      <c r="A217" s="7">
        <v>1520.7700533282461</v>
      </c>
      <c r="B217"/>
      <c r="C217"/>
      <c r="D217"/>
      <c r="E217" t="s">
        <v>8</v>
      </c>
      <c r="R217" s="27" t="s">
        <v>7</v>
      </c>
      <c r="S217" s="27" t="s">
        <v>8</v>
      </c>
      <c r="AD217" s="27" t="s">
        <v>7</v>
      </c>
      <c r="AE217" s="27" t="s">
        <v>8</v>
      </c>
      <c r="AF217" s="27" t="s">
        <v>7</v>
      </c>
      <c r="AI217" s="27" t="s">
        <v>8</v>
      </c>
      <c r="AJ217" s="27" t="s">
        <v>7</v>
      </c>
      <c r="AK217" s="27" t="s">
        <v>8</v>
      </c>
      <c r="AL217" s="27" t="s">
        <v>7</v>
      </c>
      <c r="AM217" s="27" t="s">
        <v>8</v>
      </c>
      <c r="AN217" s="27" t="s">
        <v>7</v>
      </c>
      <c r="AV217" s="27" t="s">
        <v>7</v>
      </c>
      <c r="BJ217" s="27" t="s">
        <v>7</v>
      </c>
      <c r="BK217" s="27" t="s">
        <v>8</v>
      </c>
      <c r="BO217" s="27" t="s">
        <v>8</v>
      </c>
      <c r="BP217" s="27" t="s">
        <v>7</v>
      </c>
      <c r="BQ217" s="27" t="s">
        <v>8</v>
      </c>
      <c r="BR217" s="27" t="s">
        <v>7</v>
      </c>
      <c r="BS217" s="27" t="s">
        <v>8</v>
      </c>
      <c r="BV217" s="27" t="s">
        <v>7</v>
      </c>
      <c r="BW217" s="27" t="s">
        <v>8</v>
      </c>
      <c r="EJ217" s="27" t="s">
        <v>7</v>
      </c>
      <c r="EK217" s="27" t="s">
        <v>8</v>
      </c>
      <c r="EL217" s="27" t="s">
        <v>7</v>
      </c>
      <c r="EM217" s="27" t="s">
        <v>8</v>
      </c>
      <c r="EX217" s="27" t="s">
        <v>7</v>
      </c>
      <c r="EY217" s="27" t="s">
        <v>8</v>
      </c>
    </row>
    <row r="218" spans="1:246" x14ac:dyDescent="0.25">
      <c r="A218" s="7">
        <v>1490.9510326747511</v>
      </c>
      <c r="B218"/>
      <c r="C218"/>
      <c r="D218"/>
      <c r="E218" t="s">
        <v>8</v>
      </c>
      <c r="R218" s="27" t="s">
        <v>7</v>
      </c>
      <c r="S218" s="27" t="s">
        <v>8</v>
      </c>
      <c r="AD218" s="27" t="s">
        <v>7</v>
      </c>
      <c r="AF218" s="27" t="s">
        <v>7</v>
      </c>
      <c r="AI218" s="27" t="s">
        <v>8</v>
      </c>
      <c r="AJ218" s="27" t="s">
        <v>7</v>
      </c>
      <c r="AK218" s="27" t="s">
        <v>8</v>
      </c>
      <c r="AL218" s="27" t="s">
        <v>7</v>
      </c>
      <c r="AM218" s="27" t="s">
        <v>8</v>
      </c>
      <c r="BJ218" s="27" t="s">
        <v>7</v>
      </c>
      <c r="BK218" s="27" t="s">
        <v>8</v>
      </c>
      <c r="BL218" s="27" t="s">
        <v>7</v>
      </c>
      <c r="BM218" s="27" t="s">
        <v>8</v>
      </c>
      <c r="BO218" s="27" t="s">
        <v>8</v>
      </c>
      <c r="BP218" s="27" t="s">
        <v>7</v>
      </c>
      <c r="BQ218" s="27" t="s">
        <v>8</v>
      </c>
      <c r="BR218" s="27" t="s">
        <v>7</v>
      </c>
      <c r="BS218" s="27" t="s">
        <v>8</v>
      </c>
      <c r="BV218" s="27" t="s">
        <v>7</v>
      </c>
      <c r="BW218" s="27" t="s">
        <v>8</v>
      </c>
      <c r="EJ218" s="27" t="s">
        <v>7</v>
      </c>
      <c r="EK218" s="27" t="s">
        <v>8</v>
      </c>
      <c r="EL218" s="27" t="s">
        <v>7</v>
      </c>
      <c r="EM218" s="27" t="s">
        <v>8</v>
      </c>
      <c r="EX218" s="27" t="s">
        <v>7</v>
      </c>
      <c r="EY218" s="27" t="s">
        <v>8</v>
      </c>
    </row>
    <row r="219" spans="1:246" x14ac:dyDescent="0.25">
      <c r="A219" s="7">
        <v>1461.7166987007363</v>
      </c>
      <c r="B219"/>
      <c r="C219"/>
      <c r="D219"/>
      <c r="E219" t="s">
        <v>8</v>
      </c>
      <c r="R219" s="27" t="s">
        <v>7</v>
      </c>
      <c r="S219" s="27" t="s">
        <v>8</v>
      </c>
      <c r="AF219" s="27" t="s">
        <v>7</v>
      </c>
      <c r="AI219" s="27" t="s">
        <v>8</v>
      </c>
      <c r="AJ219" s="27" t="s">
        <v>7</v>
      </c>
      <c r="AL219" s="27" t="s">
        <v>7</v>
      </c>
      <c r="AM219" s="27" t="s">
        <v>8</v>
      </c>
      <c r="BJ219" s="27" t="s">
        <v>7</v>
      </c>
      <c r="BK219" s="27" t="s">
        <v>8</v>
      </c>
      <c r="BL219" s="27" t="s">
        <v>7</v>
      </c>
      <c r="BM219" s="27" t="s">
        <v>8</v>
      </c>
      <c r="BN219" s="27" t="s">
        <v>7</v>
      </c>
      <c r="BO219" s="27" t="s">
        <v>8</v>
      </c>
      <c r="BP219" s="27" t="s">
        <v>7</v>
      </c>
      <c r="BR219" s="27" t="s">
        <v>7</v>
      </c>
      <c r="BV219" s="27" t="s">
        <v>7</v>
      </c>
      <c r="EJ219" s="27" t="s">
        <v>7</v>
      </c>
      <c r="EK219" s="27" t="s">
        <v>8</v>
      </c>
      <c r="EL219" s="27" t="s">
        <v>7</v>
      </c>
      <c r="EM219" s="27" t="s">
        <v>8</v>
      </c>
      <c r="EX219" s="27" t="s">
        <v>7</v>
      </c>
      <c r="EY219" s="27" t="s">
        <v>8</v>
      </c>
    </row>
    <row r="220" spans="1:246" x14ac:dyDescent="0.25">
      <c r="A220" s="7">
        <v>1433.0555869615062</v>
      </c>
      <c r="B220"/>
      <c r="C220"/>
      <c r="D220"/>
      <c r="E220" t="s">
        <v>8</v>
      </c>
      <c r="R220" s="27" t="s">
        <v>7</v>
      </c>
      <c r="S220" s="27" t="s">
        <v>8</v>
      </c>
      <c r="AF220" s="27" t="s">
        <v>7</v>
      </c>
      <c r="AG220" s="27" t="s">
        <v>8</v>
      </c>
      <c r="AI220" s="27" t="s">
        <v>8</v>
      </c>
      <c r="AL220" s="27" t="s">
        <v>7</v>
      </c>
      <c r="BJ220" s="27" t="s">
        <v>7</v>
      </c>
      <c r="BK220" s="27" t="s">
        <v>8</v>
      </c>
      <c r="BL220" s="27" t="s">
        <v>7</v>
      </c>
      <c r="BM220" s="27" t="s">
        <v>8</v>
      </c>
      <c r="BN220" s="27" t="s">
        <v>7</v>
      </c>
      <c r="BO220" s="27" t="s">
        <v>8</v>
      </c>
      <c r="EJ220" s="27" t="s">
        <v>7</v>
      </c>
      <c r="EK220" s="27" t="s">
        <v>8</v>
      </c>
      <c r="EL220" s="27" t="s">
        <v>7</v>
      </c>
      <c r="EM220" s="27" t="s">
        <v>8</v>
      </c>
      <c r="EX220" s="27" t="s">
        <v>7</v>
      </c>
      <c r="EY220" s="27" t="s">
        <v>8</v>
      </c>
    </row>
    <row r="221" spans="1:246" x14ac:dyDescent="0.25">
      <c r="A221" s="7">
        <v>1404.9564578053983</v>
      </c>
      <c r="B221"/>
      <c r="C221"/>
      <c r="D221"/>
      <c r="E221" t="s">
        <v>8</v>
      </c>
      <c r="R221" s="27" t="s">
        <v>7</v>
      </c>
      <c r="S221" s="27" t="s">
        <v>8</v>
      </c>
      <c r="AF221" s="27" t="s">
        <v>7</v>
      </c>
      <c r="AG221" s="27" t="s">
        <v>8</v>
      </c>
      <c r="AH221" s="27" t="s">
        <v>7</v>
      </c>
      <c r="AI221" s="27" t="s">
        <v>8</v>
      </c>
      <c r="BJ221" s="27" t="s">
        <v>7</v>
      </c>
      <c r="BK221" s="27" t="s">
        <v>8</v>
      </c>
      <c r="BL221" s="27" t="s">
        <v>7</v>
      </c>
      <c r="BM221" s="27" t="s">
        <v>8</v>
      </c>
      <c r="BN221" s="27" t="s">
        <v>7</v>
      </c>
      <c r="BO221" s="27" t="s">
        <v>8</v>
      </c>
      <c r="EJ221" s="27" t="s">
        <v>7</v>
      </c>
      <c r="EK221" s="27" t="s">
        <v>8</v>
      </c>
      <c r="EL221" s="27" t="s">
        <v>7</v>
      </c>
      <c r="EM221" s="27" t="s">
        <v>8</v>
      </c>
      <c r="EX221" s="27" t="s">
        <v>7</v>
      </c>
      <c r="EY221" s="27" t="s">
        <v>8</v>
      </c>
    </row>
    <row r="222" spans="1:246" x14ac:dyDescent="0.25">
      <c r="A222" s="7">
        <v>1377.4082919660766</v>
      </c>
      <c r="B222"/>
      <c r="C222"/>
      <c r="D222"/>
      <c r="E222" t="s">
        <v>8</v>
      </c>
      <c r="R222" s="27" t="s">
        <v>7</v>
      </c>
      <c r="S222" s="27" t="s">
        <v>8</v>
      </c>
      <c r="AF222" s="27" t="s">
        <v>7</v>
      </c>
      <c r="AG222" s="27" t="s">
        <v>8</v>
      </c>
      <c r="AH222" s="27" t="s">
        <v>7</v>
      </c>
      <c r="AI222" s="27" t="s">
        <v>8</v>
      </c>
      <c r="BJ222" s="27" t="s">
        <v>7</v>
      </c>
      <c r="BK222" s="27" t="s">
        <v>8</v>
      </c>
      <c r="BL222" s="27" t="s">
        <v>7</v>
      </c>
      <c r="BM222" s="27" t="s">
        <v>8</v>
      </c>
      <c r="BN222" s="27" t="s">
        <v>7</v>
      </c>
      <c r="BO222" s="27" t="s">
        <v>8</v>
      </c>
      <c r="EJ222" s="27" t="s">
        <v>7</v>
      </c>
      <c r="EK222" s="27" t="s">
        <v>8</v>
      </c>
      <c r="EL222" s="27" t="s">
        <v>7</v>
      </c>
      <c r="EM222" s="27" t="s">
        <v>8</v>
      </c>
      <c r="EX222" s="27" t="s">
        <v>7</v>
      </c>
      <c r="EY222" s="27" t="s">
        <v>8</v>
      </c>
    </row>
    <row r="223" spans="1:246" x14ac:dyDescent="0.25">
      <c r="A223" s="7">
        <v>1350.4002862412515</v>
      </c>
      <c r="B223"/>
      <c r="C223"/>
      <c r="D223"/>
      <c r="E223" t="s">
        <v>8</v>
      </c>
      <c r="R223" s="27" t="s">
        <v>7</v>
      </c>
      <c r="S223" s="27" t="s">
        <v>8</v>
      </c>
      <c r="AF223" s="27" t="s">
        <v>7</v>
      </c>
      <c r="AG223" s="27" t="s">
        <v>8</v>
      </c>
      <c r="AH223" s="27" t="s">
        <v>7</v>
      </c>
      <c r="AI223" s="27" t="s">
        <v>8</v>
      </c>
      <c r="BJ223" s="27" t="s">
        <v>7</v>
      </c>
      <c r="BK223" s="27" t="s">
        <v>8</v>
      </c>
      <c r="BL223" s="27" t="s">
        <v>7</v>
      </c>
      <c r="BN223" s="27" t="s">
        <v>7</v>
      </c>
      <c r="EJ223" s="27" t="s">
        <v>7</v>
      </c>
      <c r="EK223" s="27" t="s">
        <v>8</v>
      </c>
      <c r="EL223" s="27" t="s">
        <v>7</v>
      </c>
      <c r="EM223" s="27" t="s">
        <v>8</v>
      </c>
      <c r="EX223" s="27" t="s">
        <v>7</v>
      </c>
    </row>
    <row r="224" spans="1:246" x14ac:dyDescent="0.25">
      <c r="A224" s="7">
        <v>1323.9218492561288</v>
      </c>
      <c r="B224"/>
      <c r="C224"/>
      <c r="D224"/>
      <c r="E224" t="s">
        <v>8</v>
      </c>
      <c r="R224" s="27" t="s">
        <v>7</v>
      </c>
      <c r="S224" s="27" t="s">
        <v>8</v>
      </c>
      <c r="AF224" s="27" t="s">
        <v>7</v>
      </c>
      <c r="AG224" s="27" t="s">
        <v>8</v>
      </c>
      <c r="AH224" s="27" t="s">
        <v>7</v>
      </c>
      <c r="AI224" s="27" t="s">
        <v>8</v>
      </c>
      <c r="BJ224" s="27" t="s">
        <v>7</v>
      </c>
      <c r="BK224" s="27" t="s">
        <v>8</v>
      </c>
      <c r="EJ224" s="27" t="s">
        <v>7</v>
      </c>
      <c r="EK224" s="27" t="s">
        <v>8</v>
      </c>
      <c r="EL224" s="27" t="s">
        <v>7</v>
      </c>
      <c r="EM224" s="27" t="s">
        <v>8</v>
      </c>
    </row>
    <row r="225" spans="1:143" x14ac:dyDescent="0.25">
      <c r="A225" s="7">
        <v>1297.9625973099301</v>
      </c>
      <c r="B225"/>
      <c r="C225"/>
      <c r="D225"/>
      <c r="E225" t="s">
        <v>8</v>
      </c>
      <c r="R225" s="27" t="s">
        <v>7</v>
      </c>
      <c r="S225" s="27" t="s">
        <v>8</v>
      </c>
      <c r="AF225" s="27" t="s">
        <v>7</v>
      </c>
      <c r="AG225" s="27" t="s">
        <v>8</v>
      </c>
      <c r="AH225" s="27" t="s">
        <v>7</v>
      </c>
      <c r="AI225" s="27" t="s">
        <v>8</v>
      </c>
      <c r="BJ225" s="27" t="s">
        <v>7</v>
      </c>
      <c r="BK225" s="27" t="s">
        <v>8</v>
      </c>
      <c r="EJ225" s="27" t="s">
        <v>7</v>
      </c>
      <c r="EK225" s="27" t="s">
        <v>8</v>
      </c>
      <c r="EL225" s="27" t="s">
        <v>7</v>
      </c>
      <c r="EM225" s="27" t="s">
        <v>8</v>
      </c>
    </row>
    <row r="226" spans="1:143" x14ac:dyDescent="0.25">
      <c r="A226" s="7">
        <v>1272.5123503038531</v>
      </c>
      <c r="B226"/>
      <c r="C226"/>
      <c r="D226"/>
      <c r="E226" t="s">
        <v>8</v>
      </c>
      <c r="R226" s="27" t="s">
        <v>7</v>
      </c>
      <c r="S226" s="27" t="s">
        <v>8</v>
      </c>
      <c r="AF226" s="27" t="s">
        <v>7</v>
      </c>
      <c r="AG226" s="27" t="s">
        <v>8</v>
      </c>
      <c r="AH226" s="27" t="s">
        <v>7</v>
      </c>
      <c r="AI226" s="27" t="s">
        <v>8</v>
      </c>
      <c r="BJ226" s="27" t="s">
        <v>7</v>
      </c>
      <c r="BK226" s="27" t="s">
        <v>8</v>
      </c>
      <c r="EJ226" s="27" t="s">
        <v>7</v>
      </c>
      <c r="EK226" s="27" t="s">
        <v>8</v>
      </c>
      <c r="EL226" s="27" t="s">
        <v>7</v>
      </c>
      <c r="EM226" s="27" t="s">
        <v>8</v>
      </c>
    </row>
    <row r="227" spans="1:143" x14ac:dyDescent="0.25">
      <c r="A227" s="7">
        <v>1247.5611277488756</v>
      </c>
      <c r="B227"/>
      <c r="C227"/>
      <c r="D227"/>
      <c r="E227" t="s">
        <v>8</v>
      </c>
      <c r="R227" s="27" t="s">
        <v>7</v>
      </c>
      <c r="S227" s="27" t="s">
        <v>8</v>
      </c>
      <c r="AF227" s="27" t="s">
        <v>7</v>
      </c>
      <c r="AG227" s="27" t="s">
        <v>8</v>
      </c>
      <c r="AH227" s="27" t="s">
        <v>7</v>
      </c>
      <c r="AI227" s="27" t="s">
        <v>8</v>
      </c>
      <c r="BJ227" s="27" t="s">
        <v>7</v>
      </c>
      <c r="BK227" s="27" t="s">
        <v>8</v>
      </c>
      <c r="EJ227" s="27" t="s">
        <v>7</v>
      </c>
      <c r="EK227" s="27" t="s">
        <v>8</v>
      </c>
      <c r="EL227" s="27" t="s">
        <v>7</v>
      </c>
      <c r="EM227" s="27" t="s">
        <v>8</v>
      </c>
    </row>
    <row r="228" spans="1:143" x14ac:dyDescent="0.25">
      <c r="A228" s="7">
        <v>1223.0991448518389</v>
      </c>
      <c r="B228"/>
      <c r="C228"/>
      <c r="D228"/>
      <c r="E228" t="s">
        <v>8</v>
      </c>
      <c r="R228" s="27" t="s">
        <v>7</v>
      </c>
      <c r="S228" s="27" t="s">
        <v>8</v>
      </c>
      <c r="AF228" s="27" t="s">
        <v>7</v>
      </c>
      <c r="AG228" s="27" t="s">
        <v>8</v>
      </c>
      <c r="AH228" s="27" t="s">
        <v>7</v>
      </c>
      <c r="AI228" s="27" t="s">
        <v>8</v>
      </c>
      <c r="BJ228" s="27" t="s">
        <v>7</v>
      </c>
      <c r="BK228" s="27" t="s">
        <v>8</v>
      </c>
      <c r="EJ228" s="27" t="s">
        <v>7</v>
      </c>
      <c r="EK228" s="27" t="s">
        <v>8</v>
      </c>
      <c r="EL228" s="27" t="s">
        <v>7</v>
      </c>
    </row>
    <row r="229" spans="1:143" x14ac:dyDescent="0.25">
      <c r="A229" s="7">
        <v>1199.1168086782734</v>
      </c>
      <c r="B229"/>
      <c r="C229"/>
      <c r="D229"/>
      <c r="E229" t="s">
        <v>8</v>
      </c>
      <c r="R229" s="27" t="s">
        <v>7</v>
      </c>
      <c r="S229" s="27" t="s">
        <v>8</v>
      </c>
      <c r="AF229" s="27" t="s">
        <v>7</v>
      </c>
      <c r="AG229" s="27" t="s">
        <v>8</v>
      </c>
      <c r="AH229" s="27" t="s">
        <v>7</v>
      </c>
      <c r="AI229" s="27" t="s">
        <v>8</v>
      </c>
      <c r="BJ229" s="27" t="s">
        <v>7</v>
      </c>
      <c r="BK229" s="27" t="s">
        <v>8</v>
      </c>
      <c r="EJ229" s="27" t="s">
        <v>7</v>
      </c>
      <c r="EK229" s="27" t="s">
        <v>8</v>
      </c>
    </row>
    <row r="230" spans="1:143" x14ac:dyDescent="0.25">
      <c r="A230" s="7">
        <v>1175.6047143904641</v>
      </c>
      <c r="B230"/>
      <c r="C230"/>
      <c r="D230"/>
      <c r="E230" t="s">
        <v>8</v>
      </c>
      <c r="R230" s="27" t="s">
        <v>7</v>
      </c>
      <c r="AF230" s="27" t="s">
        <v>7</v>
      </c>
      <c r="AG230" s="27" t="s">
        <v>8</v>
      </c>
      <c r="AH230" s="27" t="s">
        <v>7</v>
      </c>
      <c r="AI230" s="27" t="s">
        <v>8</v>
      </c>
      <c r="BJ230" s="27" t="s">
        <v>7</v>
      </c>
      <c r="EJ230" s="27" t="s">
        <v>7</v>
      </c>
    </row>
    <row r="231" spans="1:143" x14ac:dyDescent="0.25">
      <c r="A231" s="7">
        <v>1152.5536415592785</v>
      </c>
      <c r="B231"/>
      <c r="C231"/>
      <c r="D231"/>
      <c r="E231" t="s">
        <v>8</v>
      </c>
      <c r="AF231" s="27" t="s">
        <v>7</v>
      </c>
      <c r="AH231" s="27" t="s">
        <v>7</v>
      </c>
      <c r="AI231" s="27" t="s">
        <v>8</v>
      </c>
    </row>
    <row r="232" spans="1:143" x14ac:dyDescent="0.25">
      <c r="A232" s="7">
        <v>1129.9545505483122</v>
      </c>
      <c r="B232"/>
      <c r="C232"/>
      <c r="D232"/>
      <c r="E232" t="s">
        <v>8</v>
      </c>
      <c r="AH232" s="27" t="s">
        <v>7</v>
      </c>
      <c r="AI232" s="27" t="s">
        <v>8</v>
      </c>
    </row>
    <row r="233" spans="1:143" x14ac:dyDescent="0.25">
      <c r="A233" s="7">
        <v>1107.7985789689335</v>
      </c>
      <c r="B233"/>
      <c r="C233"/>
      <c r="D233"/>
      <c r="E233" t="s">
        <v>8</v>
      </c>
      <c r="AH233" s="27" t="s">
        <v>7</v>
      </c>
      <c r="AI233" s="27" t="s">
        <v>8</v>
      </c>
    </row>
    <row r="234" spans="1:143" x14ac:dyDescent="0.25">
      <c r="A234" s="7">
        <v>1086.0770382048368</v>
      </c>
      <c r="B234"/>
      <c r="C234"/>
      <c r="D234"/>
      <c r="E234" t="s">
        <v>8</v>
      </c>
      <c r="AH234" s="27" t="s">
        <v>7</v>
      </c>
      <c r="AI234" s="27" t="s">
        <v>8</v>
      </c>
    </row>
    <row r="235" spans="1:143" x14ac:dyDescent="0.25">
      <c r="A235" s="7">
        <v>1064.7814100047419</v>
      </c>
      <c r="B235"/>
      <c r="C235"/>
      <c r="D235"/>
      <c r="E235" t="s">
        <v>8</v>
      </c>
      <c r="AH235" s="27" t="s">
        <v>7</v>
      </c>
      <c r="AI235" s="27" t="s">
        <v>8</v>
      </c>
    </row>
    <row r="236" spans="1:143" x14ac:dyDescent="0.25">
      <c r="A236" s="7">
        <v>1043.9033431419039</v>
      </c>
      <c r="B236"/>
      <c r="C236"/>
      <c r="D236"/>
      <c r="E236" t="s">
        <v>8</v>
      </c>
      <c r="AH236" s="27" t="s">
        <v>7</v>
      </c>
      <c r="AI236" s="27" t="s">
        <v>8</v>
      </c>
    </row>
    <row r="237" spans="1:143" x14ac:dyDescent="0.25">
      <c r="A237" s="7">
        <v>1023.4346501391215</v>
      </c>
      <c r="B237"/>
      <c r="C237"/>
      <c r="D237"/>
      <c r="E237" t="s">
        <v>8</v>
      </c>
      <c r="AH237" s="27" t="s">
        <v>7</v>
      </c>
      <c r="AI237" s="27" t="s">
        <v>8</v>
      </c>
    </row>
    <row r="238" spans="1:143" x14ac:dyDescent="0.25">
      <c r="A238" s="7">
        <v>1003.3673040579622</v>
      </c>
      <c r="B238"/>
      <c r="C238"/>
      <c r="D238"/>
      <c r="E238" t="s">
        <v>8</v>
      </c>
      <c r="AH238" s="27" t="s">
        <v>7</v>
      </c>
      <c r="AI238" s="27" t="s">
        <v>8</v>
      </c>
    </row>
    <row r="239" spans="1:143" x14ac:dyDescent="0.25">
      <c r="A239" s="7">
        <v>983.69343535094333</v>
      </c>
      <c r="B239"/>
      <c r="C239"/>
      <c r="D239"/>
      <c r="E239" t="s">
        <v>8</v>
      </c>
      <c r="AH239" s="27" t="s">
        <v>7</v>
      </c>
    </row>
    <row r="240" spans="1:143" x14ac:dyDescent="0.25">
      <c r="A240" s="7">
        <v>964.40532877543467</v>
      </c>
      <c r="B240"/>
      <c r="C240"/>
      <c r="D240"/>
      <c r="E240" t="s">
        <v>8</v>
      </c>
    </row>
    <row r="241" spans="1:5" x14ac:dyDescent="0.25">
      <c r="A241" s="7">
        <v>945.49542036807316</v>
      </c>
      <c r="B241"/>
      <c r="C241"/>
      <c r="D241"/>
      <c r="E241" t="s">
        <v>8</v>
      </c>
    </row>
    <row r="242" spans="1:5" x14ac:dyDescent="0.25">
      <c r="A242" s="7">
        <v>926.95629447850308</v>
      </c>
      <c r="B242"/>
      <c r="C242"/>
      <c r="D242"/>
      <c r="E242" t="s">
        <v>8</v>
      </c>
    </row>
    <row r="243" spans="1:5" x14ac:dyDescent="0.25">
      <c r="A243" s="7">
        <v>908.78068086127746</v>
      </c>
      <c r="B243"/>
      <c r="C243"/>
      <c r="D243"/>
      <c r="E243" t="s">
        <v>8</v>
      </c>
    </row>
    <row r="244" spans="1:5" x14ac:dyDescent="0.25">
      <c r="A244" s="7">
        <v>890.96145182478176</v>
      </c>
      <c r="B244"/>
      <c r="C244"/>
      <c r="D244"/>
      <c r="E244" t="s">
        <v>8</v>
      </c>
    </row>
    <row r="245" spans="1:5" x14ac:dyDescent="0.25">
      <c r="A245" s="7">
        <v>873.49161943606055</v>
      </c>
      <c r="B245"/>
      <c r="C245"/>
      <c r="D245"/>
      <c r="E245" t="s">
        <v>8</v>
      </c>
    </row>
    <row r="246" spans="1:5" x14ac:dyDescent="0.25">
      <c r="A246" s="7">
        <v>856.36433278045149</v>
      </c>
      <c r="B246"/>
      <c r="C246"/>
      <c r="D246"/>
      <c r="E246" t="s">
        <v>8</v>
      </c>
    </row>
    <row r="247" spans="1:5" x14ac:dyDescent="0.25">
      <c r="A247" s="7">
        <v>839.57287527495248</v>
      </c>
      <c r="B247"/>
      <c r="C247"/>
      <c r="D247"/>
      <c r="E247" t="s">
        <v>8</v>
      </c>
    </row>
    <row r="248" spans="1:5" x14ac:dyDescent="0.25">
      <c r="A248" s="7">
        <v>823.11066203426708</v>
      </c>
      <c r="B248"/>
      <c r="C248"/>
      <c r="D248"/>
      <c r="E248" t="s">
        <v>8</v>
      </c>
    </row>
    <row r="249" spans="1:5" x14ac:dyDescent="0.25">
      <c r="A249" s="7">
        <v>806.97123728849715</v>
      </c>
      <c r="B249"/>
      <c r="C249"/>
      <c r="D249"/>
      <c r="E249" t="s">
        <v>8</v>
      </c>
    </row>
    <row r="250" spans="1:5" x14ac:dyDescent="0.25">
      <c r="A250" s="7">
        <v>791.14827185146783</v>
      </c>
      <c r="B250"/>
      <c r="C250"/>
      <c r="D250"/>
      <c r="E250" t="s">
        <v>8</v>
      </c>
    </row>
    <row r="251" spans="1:5" x14ac:dyDescent="0.25">
      <c r="A251" s="7">
        <v>775.63556063869396</v>
      </c>
      <c r="B251"/>
      <c r="C251"/>
      <c r="D251"/>
      <c r="E251" t="s">
        <v>8</v>
      </c>
    </row>
    <row r="252" spans="1:5" x14ac:dyDescent="0.25">
      <c r="A252" s="7">
        <v>760.42702023401364</v>
      </c>
      <c r="B252"/>
      <c r="C252"/>
      <c r="D252"/>
      <c r="E252" t="s">
        <v>8</v>
      </c>
    </row>
    <row r="253" spans="1:5" x14ac:dyDescent="0.25">
      <c r="A253" s="7">
        <v>745.51668650393492</v>
      </c>
      <c r="B253"/>
      <c r="C253"/>
      <c r="D253"/>
      <c r="E253" t="s">
        <v>8</v>
      </c>
    </row>
    <row r="254" spans="1:5" x14ac:dyDescent="0.25">
      <c r="A254" s="7">
        <v>730.8987122587597</v>
      </c>
      <c r="B254"/>
      <c r="C254"/>
      <c r="D254"/>
      <c r="E254" t="s">
        <v>8</v>
      </c>
    </row>
    <row r="255" spans="1:5" x14ac:dyDescent="0.25">
      <c r="A255" s="7">
        <v>716.56736495956829</v>
      </c>
      <c r="B255"/>
      <c r="C255"/>
      <c r="D255"/>
      <c r="E255" t="s">
        <v>8</v>
      </c>
    </row>
    <row r="256" spans="1:5" x14ac:dyDescent="0.25">
      <c r="A256" s="7">
        <v>702.51702447016498</v>
      </c>
      <c r="B256"/>
      <c r="C256"/>
      <c r="D256"/>
      <c r="E256" t="s">
        <v>8</v>
      </c>
    </row>
    <row r="257" spans="1:5" x14ac:dyDescent="0.25">
      <c r="A257" s="7">
        <v>688.74218085310292</v>
      </c>
      <c r="B257"/>
      <c r="C257"/>
      <c r="D257"/>
      <c r="E257" t="s">
        <v>8</v>
      </c>
    </row>
    <row r="258" spans="1:5" x14ac:dyDescent="0.25">
      <c r="A258" s="7">
        <v>675.23743220892447</v>
      </c>
      <c r="B258"/>
      <c r="C258"/>
      <c r="D258"/>
      <c r="E258" t="s">
        <v>8</v>
      </c>
    </row>
    <row r="259" spans="1:5" x14ac:dyDescent="0.25">
      <c r="A259" s="7">
        <v>661.9974825577691</v>
      </c>
      <c r="B259"/>
      <c r="C259"/>
      <c r="D259"/>
      <c r="E259" t="s">
        <v>8</v>
      </c>
    </row>
    <row r="260" spans="1:5" x14ac:dyDescent="0.25">
      <c r="A260" s="7">
        <v>649.0171397625187</v>
      </c>
      <c r="B260"/>
      <c r="C260"/>
      <c r="D260"/>
      <c r="E260" t="s">
        <v>8</v>
      </c>
    </row>
    <row r="261" spans="1:5" x14ac:dyDescent="0.25">
      <c r="A261" s="7">
        <v>636.29131349266538</v>
      </c>
      <c r="B261"/>
      <c r="C261"/>
      <c r="D261"/>
      <c r="E261" t="s">
        <v>8</v>
      </c>
    </row>
    <row r="262" spans="1:5" x14ac:dyDescent="0.25">
      <c r="A262" s="7">
        <v>623.81501322810334</v>
      </c>
      <c r="B262"/>
      <c r="C262"/>
      <c r="D262"/>
      <c r="E262" t="s">
        <v>8</v>
      </c>
    </row>
    <row r="263" spans="1:5" x14ac:dyDescent="0.25">
      <c r="A263" s="7">
        <v>611.58334630206207</v>
      </c>
      <c r="B263"/>
      <c r="C263"/>
      <c r="D263"/>
      <c r="E263" t="s">
        <v>8</v>
      </c>
    </row>
    <row r="264" spans="1:5" x14ac:dyDescent="0.25">
      <c r="A264" s="7">
        <v>599.59151598241374</v>
      </c>
      <c r="B264"/>
      <c r="C264"/>
      <c r="D264"/>
      <c r="E264" t="s">
        <v>8</v>
      </c>
    </row>
    <row r="265" spans="1:5" x14ac:dyDescent="0.25">
      <c r="A265" s="7">
        <v>587.83481959060168</v>
      </c>
      <c r="B265"/>
      <c r="C265"/>
      <c r="D265"/>
      <c r="E265" t="s">
        <v>8</v>
      </c>
    </row>
    <row r="266" spans="1:5" x14ac:dyDescent="0.25">
      <c r="A266" s="7">
        <v>576.30864665745264</v>
      </c>
      <c r="B266"/>
      <c r="C266"/>
      <c r="D266"/>
      <c r="E266" t="s">
        <v>8</v>
      </c>
    </row>
    <row r="267" spans="1:5" x14ac:dyDescent="0.25">
      <c r="A267" s="7">
        <v>565.00847711514962</v>
      </c>
      <c r="B267"/>
      <c r="C267"/>
      <c r="D267"/>
      <c r="E267" t="s">
        <v>8</v>
      </c>
    </row>
    <row r="268" spans="1:5" x14ac:dyDescent="0.25">
      <c r="A268" s="7">
        <v>553.92987952465649</v>
      </c>
      <c r="B268"/>
      <c r="C268"/>
      <c r="D268"/>
      <c r="E268" t="s">
        <v>8</v>
      </c>
    </row>
    <row r="269" spans="1:5" x14ac:dyDescent="0.25">
      <c r="A269" s="7">
        <v>543.06850933789849</v>
      </c>
      <c r="B269"/>
      <c r="C269"/>
      <c r="D269"/>
      <c r="E269" t="s">
        <v>8</v>
      </c>
    </row>
    <row r="270" spans="1:5" x14ac:dyDescent="0.25">
      <c r="A270" s="7">
        <v>532.4201071940181</v>
      </c>
      <c r="B270"/>
      <c r="C270"/>
      <c r="D270"/>
      <c r="E270" t="s">
        <v>8</v>
      </c>
    </row>
    <row r="271" spans="1:5" x14ac:dyDescent="0.25">
      <c r="A271" s="7">
        <v>521.9804972490374</v>
      </c>
      <c r="B271"/>
      <c r="C271"/>
      <c r="D271"/>
      <c r="E271" t="s">
        <v>8</v>
      </c>
    </row>
    <row r="272" spans="1:5" x14ac:dyDescent="0.25">
      <c r="A272" s="7">
        <v>511.74558553827194</v>
      </c>
      <c r="B272"/>
      <c r="C272"/>
      <c r="D272"/>
      <c r="E272" t="s">
        <v>8</v>
      </c>
    </row>
    <row r="273" spans="1:5" x14ac:dyDescent="0.25">
      <c r="A273" s="7">
        <v>501.71135837085484</v>
      </c>
      <c r="B273"/>
      <c r="C273"/>
      <c r="D273"/>
      <c r="E273" t="s">
        <v>8</v>
      </c>
    </row>
    <row r="274" spans="1:5" x14ac:dyDescent="0.25">
      <c r="A274" s="7">
        <v>491.87388075574</v>
      </c>
      <c r="B274"/>
      <c r="C274"/>
      <c r="D274"/>
      <c r="E274" t="s">
        <v>8</v>
      </c>
    </row>
    <row r="275" spans="1:5" x14ac:dyDescent="0.25">
      <c r="A275" s="7">
        <v>482.22929485856861</v>
      </c>
      <c r="B275"/>
      <c r="C275"/>
      <c r="D275"/>
      <c r="E275" t="s">
        <v>8</v>
      </c>
    </row>
    <row r="276" spans="1:5" x14ac:dyDescent="0.25">
      <c r="A276" s="7">
        <v>472.77381848879276</v>
      </c>
      <c r="B276"/>
      <c r="C276"/>
      <c r="D276"/>
      <c r="E276" t="s">
        <v>8</v>
      </c>
    </row>
    <row r="277" spans="1:5" x14ac:dyDescent="0.25">
      <c r="A277" s="7">
        <v>463.50374361646345</v>
      </c>
      <c r="B277"/>
      <c r="C277"/>
      <c r="D277"/>
      <c r="E277" t="s">
        <v>8</v>
      </c>
    </row>
    <row r="278" spans="1:5" x14ac:dyDescent="0.25">
      <c r="A278" s="7">
        <v>454.41543491810143</v>
      </c>
      <c r="B278"/>
      <c r="C278"/>
      <c r="D278"/>
      <c r="E278" t="s">
        <v>8</v>
      </c>
    </row>
    <row r="279" spans="1:5" x14ac:dyDescent="0.25">
      <c r="A279" s="7">
        <v>445.50532835107981</v>
      </c>
      <c r="B279"/>
      <c r="C279"/>
      <c r="D279"/>
      <c r="E279" t="s">
        <v>8</v>
      </c>
    </row>
    <row r="280" spans="1:5" x14ac:dyDescent="0.25">
      <c r="A280" s="7">
        <v>436.76992975596062</v>
      </c>
      <c r="B280"/>
      <c r="C280"/>
      <c r="D280"/>
      <c r="E280" t="s">
        <v>8</v>
      </c>
    </row>
    <row r="281" spans="1:5" x14ac:dyDescent="0.25">
      <c r="A281" s="7">
        <v>428.20581348623591</v>
      </c>
      <c r="B281"/>
      <c r="C281"/>
      <c r="D281"/>
      <c r="E281" t="s">
        <v>8</v>
      </c>
    </row>
    <row r="282" spans="1:5" x14ac:dyDescent="0.25">
      <c r="A282" s="7">
        <v>419.80962106493718</v>
      </c>
      <c r="B282"/>
      <c r="C282"/>
      <c r="D282"/>
      <c r="E282" t="s">
        <v>8</v>
      </c>
    </row>
    <row r="283" spans="1:5" x14ac:dyDescent="0.25">
      <c r="A283" s="7">
        <v>411.57805986758547</v>
      </c>
      <c r="B283"/>
      <c r="C283"/>
      <c r="D283"/>
      <c r="E283" t="s">
        <v>8</v>
      </c>
    </row>
    <row r="284" spans="1:5" x14ac:dyDescent="0.25">
      <c r="A284" s="7">
        <v>403.50790183096615</v>
      </c>
      <c r="B284"/>
      <c r="C284"/>
      <c r="D284"/>
      <c r="E284" t="s">
        <v>8</v>
      </c>
    </row>
    <row r="285" spans="1:5" x14ac:dyDescent="0.25">
      <c r="A285" s="7">
        <v>395.59598218722169</v>
      </c>
      <c r="B285"/>
      <c r="C285"/>
      <c r="D285"/>
      <c r="E285" t="s">
        <v>8</v>
      </c>
    </row>
    <row r="286" spans="1:5" x14ac:dyDescent="0.25">
      <c r="A286" s="7">
        <v>387.83919822276636</v>
      </c>
      <c r="B286"/>
      <c r="C286"/>
      <c r="D286"/>
      <c r="E286" t="s">
        <v>8</v>
      </c>
    </row>
    <row r="287" spans="1:5" x14ac:dyDescent="0.25">
      <c r="A287" s="7">
        <v>380.23450806153562</v>
      </c>
      <c r="B287"/>
      <c r="C287"/>
      <c r="D287"/>
      <c r="E287" t="s">
        <v>8</v>
      </c>
    </row>
    <row r="288" spans="1:5" x14ac:dyDescent="0.25">
      <c r="A288" s="7">
        <v>372.77892947209375</v>
      </c>
      <c r="B288"/>
      <c r="C288"/>
      <c r="D288"/>
      <c r="E288" t="s">
        <v>8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9" operator="equal">
      <formula>$U$1</formula>
    </cfRule>
    <cfRule type="cellIs" dxfId="89" priority="920" operator="equal">
      <formula>$S$1</formula>
    </cfRule>
  </conditionalFormatting>
  <conditionalFormatting sqref="D27">
    <cfRule type="cellIs" dxfId="88" priority="917" operator="equal">
      <formula>$S$1</formula>
    </cfRule>
    <cfRule type="cellIs" dxfId="87" priority="918" operator="equal">
      <formula>$U$1</formula>
    </cfRule>
  </conditionalFormatting>
  <conditionalFormatting sqref="C164">
    <cfRule type="cellIs" dxfId="86" priority="915" operator="equal">
      <formula>$U$1</formula>
    </cfRule>
    <cfRule type="cellIs" dxfId="85" priority="916" operator="equal">
      <formula>$S$1</formula>
    </cfRule>
  </conditionalFormatting>
  <conditionalFormatting sqref="D164">
    <cfRule type="cellIs" dxfId="84" priority="913" operator="equal">
      <formula>$S$1</formula>
    </cfRule>
    <cfRule type="cellIs" dxfId="83" priority="914" operator="equal">
      <formula>$U$1</formula>
    </cfRule>
  </conditionalFormatting>
  <conditionalFormatting sqref="C55">
    <cfRule type="cellIs" dxfId="82" priority="911" operator="equal">
      <formula>$U$1</formula>
    </cfRule>
    <cfRule type="cellIs" dxfId="81" priority="912" operator="equal">
      <formula>$S$1</formula>
    </cfRule>
  </conditionalFormatting>
  <conditionalFormatting sqref="D55">
    <cfRule type="cellIs" dxfId="80" priority="909" operator="equal">
      <formula>$S$1</formula>
    </cfRule>
    <cfRule type="cellIs" dxfId="79" priority="910" operator="equal">
      <formula>$U$1</formula>
    </cfRule>
  </conditionalFormatting>
  <conditionalFormatting sqref="C89">
    <cfRule type="cellIs" dxfId="78" priority="907" operator="equal">
      <formula>$U$1</formula>
    </cfRule>
    <cfRule type="cellIs" dxfId="77" priority="908" operator="equal">
      <formula>$S$1</formula>
    </cfRule>
  </conditionalFormatting>
  <conditionalFormatting sqref="D89">
    <cfRule type="cellIs" dxfId="76" priority="905" operator="equal">
      <formula>$S$1</formula>
    </cfRule>
    <cfRule type="cellIs" dxfId="75" priority="906" operator="equal">
      <formula>$U$1</formula>
    </cfRule>
  </conditionalFormatting>
  <conditionalFormatting sqref="C136">
    <cfRule type="cellIs" dxfId="74" priority="903" operator="equal">
      <formula>$U$1</formula>
    </cfRule>
    <cfRule type="cellIs" dxfId="73" priority="904" operator="equal">
      <formula>$S$1</formula>
    </cfRule>
  </conditionalFormatting>
  <conditionalFormatting sqref="D136">
    <cfRule type="cellIs" dxfId="72" priority="901" operator="equal">
      <formula>$S$1</formula>
    </cfRule>
    <cfRule type="cellIs" dxfId="71" priority="902" operator="equal">
      <formula>$U$1</formula>
    </cfRule>
  </conditionalFormatting>
  <conditionalFormatting sqref="C1">
    <cfRule type="cellIs" dxfId="70" priority="90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131" zoomScale="90" zoomScaleNormal="90" workbookViewId="0">
      <pane xSplit="4" topLeftCell="AZ1" activePane="topRight" state="frozen"/>
      <selection activeCell="A109" sqref="A109"/>
      <selection pane="topRight" activeCell="DI150" sqref="DI150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$A$149</v>
      </c>
      <c r="D111" s="1" t="str">
        <f>ADDRESS(C121-1,D121,1,1)</f>
        <v>$DI$149</v>
      </c>
      <c r="E111"/>
    </row>
    <row r="112" spans="1:5" x14ac:dyDescent="0.25">
      <c r="A112" s="30">
        <v>14226.649032170862</v>
      </c>
      <c r="C112" s="1" t="str">
        <f>ADDRESS(C121,1,1,1)</f>
        <v>$A$150</v>
      </c>
      <c r="D112" s="1" t="str">
        <f>ADDRESS(C121,D121-1,1,1)</f>
        <v>$DH$150</v>
      </c>
      <c r="E112"/>
    </row>
    <row r="113" spans="1:86" x14ac:dyDescent="0.25">
      <c r="A113" s="30">
        <v>13549.18955444844</v>
      </c>
      <c r="C113" s="1" t="str">
        <f>ADDRESS(C121+1,1,1,1)</f>
        <v>$A$151</v>
      </c>
      <c r="D113" s="1" t="str">
        <f>ADDRESS(C121-1,D121+1,1,1)</f>
        <v>$DJ$149</v>
      </c>
    </row>
    <row r="114" spans="1:86" x14ac:dyDescent="0.25">
      <c r="A114" s="30">
        <v>12903.990051855657</v>
      </c>
      <c r="C114" s="1" t="str">
        <f>ADDRESS(C121,D121,1,1)</f>
        <v>$DI$150</v>
      </c>
      <c r="D114" s="1" t="str">
        <f>ADDRESS(C121+1,D121+1,1,1)</f>
        <v>$DJ$151</v>
      </c>
    </row>
    <row r="115" spans="1:86" x14ac:dyDescent="0.25">
      <c r="A115" s="30">
        <v>12289.514335100625</v>
      </c>
      <c r="C115" s="1" t="str">
        <f>ADDRESS(C121+1,D121,1,1)</f>
        <v>$DI$151</v>
      </c>
    </row>
    <row r="116" spans="1:86" x14ac:dyDescent="0.25">
      <c r="A116" s="30">
        <v>11704.2993667625</v>
      </c>
      <c r="C116" s="1">
        <f>C117-1</f>
        <v>149</v>
      </c>
    </row>
    <row r="117" spans="1:86" x14ac:dyDescent="0.25">
      <c r="A117" s="30">
        <v>11146.951777869046</v>
      </c>
      <c r="C117" s="1">
        <f>C121</f>
        <v>150</v>
      </c>
      <c r="D117" s="1">
        <f>D121</f>
        <v>113</v>
      </c>
    </row>
    <row r="118" spans="1:86" x14ac:dyDescent="0.25">
      <c r="A118" s="30">
        <v>10616.144550351471</v>
      </c>
      <c r="C118" s="1">
        <f>C117+1</f>
        <v>151</v>
      </c>
      <c r="D118" s="1">
        <f>D117+1</f>
        <v>114</v>
      </c>
    </row>
    <row r="119" spans="1:86" x14ac:dyDescent="0.25">
      <c r="A119" s="30">
        <v>10110.613857477592</v>
      </c>
    </row>
    <row r="120" spans="1:86" x14ac:dyDescent="0.25">
      <c r="A120" s="30">
        <v>9629.1560547405643</v>
      </c>
      <c r="C120" s="1" t="s">
        <v>9</v>
      </c>
    </row>
    <row r="121" spans="1:86" x14ac:dyDescent="0.25">
      <c r="A121" s="30">
        <v>9170.6248140386324</v>
      </c>
      <c r="C121" s="18">
        <v>150</v>
      </c>
      <c r="D121" s="19">
        <v>113</v>
      </c>
      <c r="E121" s="19"/>
    </row>
    <row r="122" spans="1:86" x14ac:dyDescent="0.25">
      <c r="A122" s="30">
        <v>8733.9283943225073</v>
      </c>
      <c r="C122" s="1" t="str">
        <f>INDEX(1:1048576,C117,D117)</f>
        <v>X</v>
      </c>
    </row>
    <row r="123" spans="1:86" x14ac:dyDescent="0.25">
      <c r="A123" s="30">
        <v>8318.027042211912</v>
      </c>
      <c r="C123" s="1" t="str">
        <f>"R"&amp;C121</f>
        <v>R150</v>
      </c>
      <c r="D123" s="1" t="str">
        <f>"C"&amp;D121</f>
        <v>C113</v>
      </c>
      <c r="E123" s="1" t="s">
        <v>8</v>
      </c>
    </row>
    <row r="124" spans="1:86" x14ac:dyDescent="0.25">
      <c r="A124" s="30">
        <v>7921.9305163922963</v>
      </c>
      <c r="C124" s="1">
        <f>SUM(C130:D130)</f>
        <v>0</v>
      </c>
      <c r="D124" s="1">
        <f>IF(C124=0,0,1)</f>
        <v>0</v>
      </c>
      <c r="E124" s="1" t="s">
        <v>8</v>
      </c>
      <c r="F124" s="27" t="s">
        <v>7</v>
      </c>
    </row>
    <row r="125" spans="1:86" x14ac:dyDescent="0.25">
      <c r="A125" s="30">
        <v>7544.6957298974248</v>
      </c>
      <c r="E125" s="1" t="s">
        <v>8</v>
      </c>
      <c r="F125" s="27" t="s">
        <v>7</v>
      </c>
      <c r="CG125" s="27" t="s">
        <v>8</v>
      </c>
    </row>
    <row r="126" spans="1:86" x14ac:dyDescent="0.25">
      <c r="A126" s="30">
        <v>7185.4245046642136</v>
      </c>
      <c r="C126" s="1" t="s">
        <v>10</v>
      </c>
      <c r="E126" s="1" t="s">
        <v>8</v>
      </c>
      <c r="F126" s="27" t="s">
        <v>7</v>
      </c>
      <c r="CG126" s="27" t="s">
        <v>8</v>
      </c>
      <c r="CH126" s="27" t="s">
        <v>7</v>
      </c>
    </row>
    <row r="127" spans="1:86" x14ac:dyDescent="0.25">
      <c r="A127" s="30">
        <v>6843.2614330135366</v>
      </c>
      <c r="C127" s="30">
        <v>2227.9695606549776</v>
      </c>
      <c r="D127"/>
      <c r="E127" s="1" t="s">
        <v>8</v>
      </c>
      <c r="F127" s="27" t="s">
        <v>7</v>
      </c>
      <c r="I127" s="27" t="s">
        <v>8</v>
      </c>
      <c r="CG127" s="27" t="s">
        <v>8</v>
      </c>
      <c r="CH127" s="27" t="s">
        <v>7</v>
      </c>
    </row>
    <row r="128" spans="1:86" x14ac:dyDescent="0.25">
      <c r="A128" s="30">
        <v>6517.3918409652724</v>
      </c>
      <c r="E128" s="1" t="s">
        <v>8</v>
      </c>
      <c r="F128" s="27" t="s">
        <v>7</v>
      </c>
      <c r="I128" s="27" t="s">
        <v>8</v>
      </c>
      <c r="J128" s="27" t="s">
        <v>7</v>
      </c>
      <c r="K128" s="27" t="s">
        <v>8</v>
      </c>
      <c r="CG128" s="27" t="s">
        <v>8</v>
      </c>
      <c r="CH128" s="27" t="s">
        <v>7</v>
      </c>
    </row>
    <row r="129" spans="1:108" x14ac:dyDescent="0.25">
      <c r="A129" s="30">
        <v>6207.0398485383548</v>
      </c>
      <c r="C129" s="1" t="s">
        <v>11</v>
      </c>
      <c r="D129" s="1" t="s">
        <v>12</v>
      </c>
      <c r="E129" t="s">
        <v>8</v>
      </c>
      <c r="F129" s="27" t="s">
        <v>7</v>
      </c>
      <c r="I129" s="27" t="s">
        <v>8</v>
      </c>
      <c r="J129" s="27" t="s">
        <v>7</v>
      </c>
      <c r="K129" s="27" t="s">
        <v>8</v>
      </c>
      <c r="L129" s="27" t="s">
        <v>7</v>
      </c>
      <c r="CG129" s="27" t="s">
        <v>8</v>
      </c>
      <c r="CH129" s="27" t="s">
        <v>7</v>
      </c>
    </row>
    <row r="130" spans="1:108" x14ac:dyDescent="0.25">
      <c r="A130" s="30">
        <v>5911.4665224174805</v>
      </c>
      <c r="C130" s="6"/>
      <c r="D130" s="6"/>
      <c r="E130" t="s">
        <v>8</v>
      </c>
      <c r="F130" s="27" t="s">
        <v>7</v>
      </c>
      <c r="I130" s="27" t="s">
        <v>8</v>
      </c>
      <c r="J130" s="27" t="s">
        <v>7</v>
      </c>
      <c r="K130" s="27" t="s">
        <v>8</v>
      </c>
      <c r="L130" s="27" t="s">
        <v>7</v>
      </c>
      <c r="CG130" s="27" t="s">
        <v>8</v>
      </c>
      <c r="CH130" s="27" t="s">
        <v>7</v>
      </c>
    </row>
    <row r="131" spans="1:108" x14ac:dyDescent="0.25">
      <c r="A131" s="30">
        <v>5629.9681165880766</v>
      </c>
      <c r="E131" t="s">
        <v>8</v>
      </c>
      <c r="F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CG131" s="27" t="s">
        <v>8</v>
      </c>
      <c r="CH131" s="27" t="s">
        <v>7</v>
      </c>
    </row>
    <row r="132" spans="1:108" x14ac:dyDescent="0.25">
      <c r="A132" s="30">
        <v>5361.8743967505488</v>
      </c>
      <c r="C132" s="1" t="s">
        <v>13</v>
      </c>
      <c r="E132" t="s">
        <v>8</v>
      </c>
      <c r="F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CG132" s="27" t="s">
        <v>8</v>
      </c>
      <c r="CH132" s="27" t="s">
        <v>7</v>
      </c>
    </row>
    <row r="133" spans="1:108" x14ac:dyDescent="0.25">
      <c r="A133" s="30">
        <v>5106.5470445243318</v>
      </c>
      <c r="C133" s="1" t="str">
        <f>C122</f>
        <v>X</v>
      </c>
      <c r="E133" t="s">
        <v>8</v>
      </c>
      <c r="F133" s="27" t="s">
        <v>7</v>
      </c>
      <c r="I133" s="27" t="s">
        <v>8</v>
      </c>
      <c r="J133" s="27" t="s">
        <v>7</v>
      </c>
      <c r="L133" s="27" t="s">
        <v>7</v>
      </c>
      <c r="CG133" s="27" t="s">
        <v>8</v>
      </c>
      <c r="CH133" s="27" t="s">
        <v>7</v>
      </c>
      <c r="CI133" s="27" t="s">
        <v>8</v>
      </c>
      <c r="CK133" s="27" t="s">
        <v>8</v>
      </c>
    </row>
    <row r="134" spans="1:108" x14ac:dyDescent="0.25">
      <c r="A134" s="30">
        <v>4863.3781376422203</v>
      </c>
      <c r="C134"/>
      <c r="E134" t="s">
        <v>8</v>
      </c>
      <c r="F134" s="27" t="s">
        <v>7</v>
      </c>
      <c r="I134" s="27" t="s">
        <v>8</v>
      </c>
      <c r="L134" s="27" t="s">
        <v>7</v>
      </c>
      <c r="CE134" s="27" t="s">
        <v>8</v>
      </c>
      <c r="CG134" s="27" t="s">
        <v>8</v>
      </c>
      <c r="CH134" s="27" t="s">
        <v>7</v>
      </c>
      <c r="CI134" s="27" t="s">
        <v>8</v>
      </c>
      <c r="CJ134" s="27" t="s">
        <v>7</v>
      </c>
      <c r="CK134" s="27" t="s">
        <v>8</v>
      </c>
      <c r="CL134" s="27" t="s">
        <v>7</v>
      </c>
    </row>
    <row r="135" spans="1:108" x14ac:dyDescent="0.25">
      <c r="A135" s="30">
        <v>4631.7887025164</v>
      </c>
      <c r="C135" s="1" t="s">
        <v>14</v>
      </c>
      <c r="E135" t="s">
        <v>8</v>
      </c>
      <c r="F135" s="27" t="s">
        <v>7</v>
      </c>
      <c r="I135" s="27" t="s">
        <v>8</v>
      </c>
      <c r="L135" s="27" t="s">
        <v>7</v>
      </c>
      <c r="CC135" s="27" t="s">
        <v>8</v>
      </c>
      <c r="CE135" s="27" t="s">
        <v>8</v>
      </c>
      <c r="CF135" s="27" t="s">
        <v>7</v>
      </c>
      <c r="CG135" s="27" t="s">
        <v>8</v>
      </c>
      <c r="CH135" s="27" t="s">
        <v>7</v>
      </c>
      <c r="CI135" s="27" t="s">
        <v>8</v>
      </c>
      <c r="CJ135" s="27" t="s">
        <v>7</v>
      </c>
      <c r="CK135" s="27" t="s">
        <v>8</v>
      </c>
      <c r="CL135" s="27" t="s">
        <v>7</v>
      </c>
    </row>
    <row r="136" spans="1:108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F136" s="27" t="s">
        <v>7</v>
      </c>
      <c r="I136" s="27" t="s">
        <v>8</v>
      </c>
      <c r="L136" s="27" t="s">
        <v>7</v>
      </c>
      <c r="CC136" s="27" t="s">
        <v>8</v>
      </c>
      <c r="CD136" s="27" t="s">
        <v>7</v>
      </c>
      <c r="CE136" s="27" t="s">
        <v>8</v>
      </c>
      <c r="CF136" s="27" t="s">
        <v>7</v>
      </c>
      <c r="CG136" s="27" t="s">
        <v>8</v>
      </c>
      <c r="CH136" s="27" t="s">
        <v>7</v>
      </c>
      <c r="CI136" s="27" t="s">
        <v>8</v>
      </c>
      <c r="CJ136" s="27" t="s">
        <v>7</v>
      </c>
      <c r="CK136" s="27" t="s">
        <v>8</v>
      </c>
      <c r="CL136" s="27" t="s">
        <v>7</v>
      </c>
      <c r="CM136" s="27" t="s">
        <v>8</v>
      </c>
      <c r="CO136" s="27" t="s">
        <v>8</v>
      </c>
      <c r="CQ136" s="27" t="s">
        <v>8</v>
      </c>
    </row>
    <row r="137" spans="1:108" x14ac:dyDescent="0.25">
      <c r="A137" s="30">
        <v>4201.1688911713372</v>
      </c>
      <c r="E137" t="s">
        <v>8</v>
      </c>
      <c r="F137" s="27" t="s">
        <v>7</v>
      </c>
      <c r="I137" s="27" t="s">
        <v>8</v>
      </c>
      <c r="L137" s="27" t="s">
        <v>7</v>
      </c>
      <c r="CC137" s="27" t="s">
        <v>8</v>
      </c>
      <c r="CD137" s="27" t="s">
        <v>7</v>
      </c>
      <c r="CE137" s="27" t="s">
        <v>8</v>
      </c>
      <c r="CF137" s="27" t="s">
        <v>7</v>
      </c>
      <c r="CG137" s="27" t="s">
        <v>8</v>
      </c>
      <c r="CH137" s="27" t="s">
        <v>7</v>
      </c>
      <c r="CI137" s="27" t="s">
        <v>8</v>
      </c>
      <c r="CJ137" s="27" t="s">
        <v>7</v>
      </c>
      <c r="CL137" s="27" t="s">
        <v>7</v>
      </c>
      <c r="CM137" s="27" t="s">
        <v>8</v>
      </c>
      <c r="CN137" s="27" t="s">
        <v>7</v>
      </c>
      <c r="CO137" s="27" t="s">
        <v>8</v>
      </c>
      <c r="CP137" s="27" t="s">
        <v>7</v>
      </c>
      <c r="CQ137" s="27" t="s">
        <v>8</v>
      </c>
      <c r="CR137" s="27" t="s">
        <v>7</v>
      </c>
      <c r="CS137" s="27" t="s">
        <v>8</v>
      </c>
    </row>
    <row r="138" spans="1:108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 t="s">
        <v>8</v>
      </c>
      <c r="F138" s="27" t="s">
        <v>7</v>
      </c>
      <c r="G138" s="27" t="s">
        <v>8</v>
      </c>
      <c r="I138" s="27" t="s">
        <v>8</v>
      </c>
      <c r="L138" s="27" t="s">
        <v>7</v>
      </c>
      <c r="M138" s="27" t="s">
        <v>8</v>
      </c>
      <c r="CC138" s="27" t="s">
        <v>8</v>
      </c>
      <c r="CD138" s="27" t="s">
        <v>7</v>
      </c>
      <c r="CE138" s="27" t="s">
        <v>8</v>
      </c>
      <c r="CF138" s="27" t="s">
        <v>7</v>
      </c>
      <c r="CH138" s="27" t="s">
        <v>7</v>
      </c>
      <c r="CI138" s="27" t="s">
        <v>8</v>
      </c>
      <c r="CL138" s="27" t="s">
        <v>7</v>
      </c>
      <c r="CM138" s="27" t="s">
        <v>8</v>
      </c>
      <c r="CN138" s="27" t="s">
        <v>7</v>
      </c>
      <c r="CO138" s="27" t="s">
        <v>8</v>
      </c>
      <c r="CP138" s="27" t="s">
        <v>7</v>
      </c>
      <c r="CQ138" s="27" t="s">
        <v>8</v>
      </c>
      <c r="CR138" s="27" t="s">
        <v>7</v>
      </c>
      <c r="CS138" s="27" t="s">
        <v>8</v>
      </c>
      <c r="CT138" s="27" t="s">
        <v>7</v>
      </c>
    </row>
    <row r="139" spans="1:108" x14ac:dyDescent="0.25">
      <c r="A139" s="30">
        <v>3810.5840282733216</v>
      </c>
      <c r="E139" t="s">
        <v>8</v>
      </c>
      <c r="F139" s="27" t="s">
        <v>7</v>
      </c>
      <c r="G139" s="27" t="s">
        <v>8</v>
      </c>
      <c r="H139" s="27" t="s">
        <v>7</v>
      </c>
      <c r="I139" s="27" t="s">
        <v>8</v>
      </c>
      <c r="L139" s="27" t="s">
        <v>7</v>
      </c>
      <c r="M139" s="27" t="s">
        <v>8</v>
      </c>
      <c r="N139" s="27" t="s">
        <v>7</v>
      </c>
      <c r="CC139" s="27" t="s">
        <v>8</v>
      </c>
      <c r="CD139" s="27" t="s">
        <v>7</v>
      </c>
      <c r="CH139" s="27" t="s">
        <v>7</v>
      </c>
      <c r="CL139" s="27" t="s">
        <v>7</v>
      </c>
      <c r="CN139" s="27" t="s">
        <v>7</v>
      </c>
      <c r="CP139" s="27" t="s">
        <v>7</v>
      </c>
      <c r="CQ139" s="27" t="s">
        <v>8</v>
      </c>
      <c r="CR139" s="27" t="s">
        <v>7</v>
      </c>
      <c r="CS139" s="27" t="s">
        <v>8</v>
      </c>
      <c r="CT139" s="27" t="s">
        <v>7</v>
      </c>
      <c r="DA139" s="27" t="s">
        <v>8</v>
      </c>
    </row>
    <row r="140" spans="1:108" x14ac:dyDescent="0.25">
      <c r="A140" s="30">
        <v>3629.1276459745918</v>
      </c>
      <c r="C140" s="1">
        <v>0</v>
      </c>
      <c r="E140" t="s">
        <v>8</v>
      </c>
      <c r="F140" s="27" t="s">
        <v>7</v>
      </c>
      <c r="G140" s="27" t="s">
        <v>8</v>
      </c>
      <c r="H140" s="27" t="s">
        <v>7</v>
      </c>
      <c r="I140" s="27" t="s">
        <v>8</v>
      </c>
      <c r="L140" s="27" t="s">
        <v>7</v>
      </c>
      <c r="M140" s="27" t="s">
        <v>8</v>
      </c>
      <c r="N140" s="27" t="s">
        <v>7</v>
      </c>
      <c r="AQ140" s="27" t="s">
        <v>8</v>
      </c>
      <c r="BK140" s="32" t="s">
        <v>8</v>
      </c>
      <c r="CC140" s="27" t="s">
        <v>8</v>
      </c>
      <c r="CP140" s="27" t="s">
        <v>7</v>
      </c>
      <c r="CR140" s="27" t="s">
        <v>7</v>
      </c>
      <c r="CT140" s="27" t="s">
        <v>7</v>
      </c>
      <c r="DA140" s="27" t="s">
        <v>8</v>
      </c>
      <c r="DB140" s="27" t="s">
        <v>7</v>
      </c>
    </row>
    <row r="141" spans="1:108" x14ac:dyDescent="0.25">
      <c r="A141" s="30">
        <v>3456.3120437853254</v>
      </c>
      <c r="C141" s="1">
        <v>1</v>
      </c>
      <c r="E141" t="s">
        <v>8</v>
      </c>
      <c r="F141" s="27" t="s">
        <v>7</v>
      </c>
      <c r="G141" s="27" t="s">
        <v>8</v>
      </c>
      <c r="H141" s="27" t="s">
        <v>7</v>
      </c>
      <c r="I141" s="27" t="s">
        <v>8</v>
      </c>
      <c r="L141" s="27" t="s">
        <v>7</v>
      </c>
      <c r="M141" s="27" t="s">
        <v>8</v>
      </c>
      <c r="N141" s="27" t="s">
        <v>7</v>
      </c>
      <c r="AO141" s="27" t="s">
        <v>8</v>
      </c>
      <c r="AQ141" s="27" t="s">
        <v>8</v>
      </c>
      <c r="AR141" s="27" t="s">
        <v>7</v>
      </c>
      <c r="BK141" s="27" t="s">
        <v>8</v>
      </c>
      <c r="BL141" s="32" t="s">
        <v>7</v>
      </c>
      <c r="CC141" s="27" t="s">
        <v>8</v>
      </c>
      <c r="CT141" s="27" t="s">
        <v>7</v>
      </c>
      <c r="DA141" s="27" t="s">
        <v>8</v>
      </c>
      <c r="DB141" s="27" t="s">
        <v>7</v>
      </c>
    </row>
    <row r="142" spans="1:108" x14ac:dyDescent="0.25">
      <c r="A142" s="30">
        <v>3291.7257559860241</v>
      </c>
      <c r="C142" s="1">
        <v>2</v>
      </c>
      <c r="E142" t="s">
        <v>8</v>
      </c>
      <c r="F142" s="27" t="s">
        <v>7</v>
      </c>
      <c r="G142" s="27" t="s">
        <v>8</v>
      </c>
      <c r="H142" s="27" t="s">
        <v>7</v>
      </c>
      <c r="I142" s="27" t="s">
        <v>8</v>
      </c>
      <c r="L142" s="27" t="s">
        <v>7</v>
      </c>
      <c r="M142" s="27" t="s">
        <v>8</v>
      </c>
      <c r="N142" s="27" t="s">
        <v>7</v>
      </c>
      <c r="AO142" s="27" t="s">
        <v>8</v>
      </c>
      <c r="AP142" s="27" t="s">
        <v>7</v>
      </c>
      <c r="AQ142" s="27" t="s">
        <v>8</v>
      </c>
      <c r="AR142" s="27" t="s">
        <v>7</v>
      </c>
      <c r="AY142" s="34" t="s">
        <v>8</v>
      </c>
      <c r="BA142" s="34" t="s">
        <v>8</v>
      </c>
      <c r="BC142" s="34" t="s">
        <v>8</v>
      </c>
      <c r="BK142" s="27" t="s">
        <v>8</v>
      </c>
      <c r="BL142" s="27" t="s">
        <v>7</v>
      </c>
      <c r="BM142" s="32"/>
      <c r="CC142" s="27" t="s">
        <v>8</v>
      </c>
      <c r="CT142" s="27" t="s">
        <v>7</v>
      </c>
      <c r="DA142" s="27" t="s">
        <v>8</v>
      </c>
      <c r="DB142" s="27" t="s">
        <v>7</v>
      </c>
    </row>
    <row r="143" spans="1:108" x14ac:dyDescent="0.25">
      <c r="A143" s="30">
        <v>3134.9769104628799</v>
      </c>
      <c r="C143" s="1">
        <v>3</v>
      </c>
      <c r="E143" t="s">
        <v>8</v>
      </c>
      <c r="F143" s="27" t="s">
        <v>7</v>
      </c>
      <c r="G143" s="27" t="s">
        <v>8</v>
      </c>
      <c r="H143" s="27" t="s">
        <v>7</v>
      </c>
      <c r="I143" s="27" t="s">
        <v>8</v>
      </c>
      <c r="L143" s="27" t="s">
        <v>7</v>
      </c>
      <c r="M143" s="27" t="s">
        <v>8</v>
      </c>
      <c r="N143" s="27" t="s">
        <v>7</v>
      </c>
      <c r="AO143" s="27" t="s">
        <v>8</v>
      </c>
      <c r="AP143" s="27" t="s">
        <v>7</v>
      </c>
      <c r="AQ143" s="27" t="s">
        <v>8</v>
      </c>
      <c r="AR143" s="27" t="s">
        <v>7</v>
      </c>
      <c r="AY143" s="27" t="s">
        <v>8</v>
      </c>
      <c r="AZ143" s="27" t="s">
        <v>7</v>
      </c>
      <c r="BA143" s="27" t="s">
        <v>8</v>
      </c>
      <c r="BB143" s="27" t="s">
        <v>7</v>
      </c>
      <c r="BC143" s="27" t="s">
        <v>8</v>
      </c>
      <c r="BD143" s="27" t="s">
        <v>7</v>
      </c>
      <c r="BK143" s="27" t="s">
        <v>8</v>
      </c>
      <c r="BL143" s="27" t="s">
        <v>7</v>
      </c>
      <c r="BN143" s="32"/>
      <c r="CC143" s="27" t="s">
        <v>8</v>
      </c>
      <c r="CT143" s="27" t="s">
        <v>7</v>
      </c>
      <c r="DA143" s="27" t="s">
        <v>8</v>
      </c>
      <c r="DB143" s="27" t="s">
        <v>7</v>
      </c>
      <c r="DC143" s="27" t="s">
        <v>8</v>
      </c>
    </row>
    <row r="144" spans="1:108" x14ac:dyDescent="0.25">
      <c r="A144" s="30">
        <v>2985.6922956789331</v>
      </c>
      <c r="C144" s="1">
        <v>4</v>
      </c>
      <c r="E144" t="s">
        <v>8</v>
      </c>
      <c r="F144" s="27" t="s">
        <v>7</v>
      </c>
      <c r="G144" s="27" t="s">
        <v>8</v>
      </c>
      <c r="H144" s="27" t="s">
        <v>7</v>
      </c>
      <c r="L144" s="27" t="s">
        <v>7</v>
      </c>
      <c r="M144" s="27" t="s">
        <v>8</v>
      </c>
      <c r="N144" s="27" t="s">
        <v>7</v>
      </c>
      <c r="AO144" s="27" t="s">
        <v>8</v>
      </c>
      <c r="AP144" s="27" t="s">
        <v>7</v>
      </c>
      <c r="AQ144" s="27" t="s">
        <v>8</v>
      </c>
      <c r="AR144" s="27" t="s">
        <v>7</v>
      </c>
      <c r="AY144" s="27" t="s">
        <v>8</v>
      </c>
      <c r="AZ144" s="27" t="s">
        <v>7</v>
      </c>
      <c r="BA144" s="27" t="s">
        <v>8</v>
      </c>
      <c r="BB144" s="27" t="s">
        <v>7</v>
      </c>
      <c r="BC144" s="27" t="s">
        <v>8</v>
      </c>
      <c r="BD144" s="27" t="s">
        <v>7</v>
      </c>
      <c r="BK144" s="27" t="s">
        <v>8</v>
      </c>
      <c r="BL144" s="27" t="s">
        <v>7</v>
      </c>
      <c r="BO144" s="32"/>
      <c r="CC144" s="27" t="s">
        <v>8</v>
      </c>
      <c r="CT144" s="27" t="s">
        <v>7</v>
      </c>
      <c r="DA144" s="27" t="s">
        <v>8</v>
      </c>
      <c r="DB144" s="27" t="s">
        <v>7</v>
      </c>
      <c r="DC144" s="27" t="s">
        <v>8</v>
      </c>
      <c r="DD144" s="27" t="s">
        <v>7</v>
      </c>
    </row>
    <row r="145" spans="1:113" x14ac:dyDescent="0.25">
      <c r="A145" s="30">
        <v>2843.5164720751741</v>
      </c>
      <c r="E145" t="s">
        <v>8</v>
      </c>
      <c r="F145" s="27" t="s">
        <v>7</v>
      </c>
      <c r="L145" s="27" t="s">
        <v>7</v>
      </c>
      <c r="N145" s="27" t="s">
        <v>7</v>
      </c>
      <c r="AO145" s="27" t="s">
        <v>8</v>
      </c>
      <c r="AP145" s="27" t="s">
        <v>7</v>
      </c>
      <c r="AQ145" s="27" t="s">
        <v>8</v>
      </c>
      <c r="AR145" s="27" t="s">
        <v>7</v>
      </c>
      <c r="AY145" s="27" t="s">
        <v>8</v>
      </c>
      <c r="AZ145" s="27" t="s">
        <v>7</v>
      </c>
      <c r="BA145" s="27" t="s">
        <v>8</v>
      </c>
      <c r="BB145" s="27" t="s">
        <v>7</v>
      </c>
      <c r="BD145" s="27" t="s">
        <v>7</v>
      </c>
      <c r="BI145" s="27" t="s">
        <v>8</v>
      </c>
      <c r="BK145" s="27" t="s">
        <v>8</v>
      </c>
      <c r="BL145" s="27" t="s">
        <v>7</v>
      </c>
      <c r="BP145" s="32"/>
      <c r="CC145" s="27" t="s">
        <v>8</v>
      </c>
      <c r="CT145" s="27" t="s">
        <v>7</v>
      </c>
      <c r="CU145" s="27" t="s">
        <v>8</v>
      </c>
      <c r="CW145" s="27" t="s">
        <v>8</v>
      </c>
      <c r="CY145" s="27" t="s">
        <v>8</v>
      </c>
      <c r="DA145" s="27" t="s">
        <v>8</v>
      </c>
      <c r="DB145" s="27" t="s">
        <v>7</v>
      </c>
      <c r="DC145" s="27" t="s">
        <v>8</v>
      </c>
      <c r="DD145" s="27" t="s">
        <v>7</v>
      </c>
    </row>
    <row r="146" spans="1:113" x14ac:dyDescent="0.25">
      <c r="A146" s="30">
        <v>2708.1109257858798</v>
      </c>
      <c r="E146" t="s">
        <v>8</v>
      </c>
      <c r="N146" s="27" t="s">
        <v>7</v>
      </c>
      <c r="AA146" s="27" t="s">
        <v>8</v>
      </c>
      <c r="AO146" s="27" t="s">
        <v>8</v>
      </c>
      <c r="AP146" s="27" t="s">
        <v>7</v>
      </c>
      <c r="AR146" s="27" t="s">
        <v>7</v>
      </c>
      <c r="AY146" s="27" t="s">
        <v>8</v>
      </c>
      <c r="AZ146" s="27" t="s">
        <v>7</v>
      </c>
      <c r="BD146" s="27" t="s">
        <v>7</v>
      </c>
      <c r="BE146" s="34" t="s">
        <v>8</v>
      </c>
      <c r="BG146" s="34" t="s">
        <v>8</v>
      </c>
      <c r="BI146" s="27" t="s">
        <v>8</v>
      </c>
      <c r="BJ146" s="27" t="s">
        <v>7</v>
      </c>
      <c r="BK146" s="27" t="s">
        <v>8</v>
      </c>
      <c r="BL146" s="27" t="s">
        <v>7</v>
      </c>
      <c r="BM146" s="27" t="s">
        <v>8</v>
      </c>
      <c r="BQ146" s="32"/>
      <c r="CC146" s="27" t="s">
        <v>8</v>
      </c>
      <c r="CT146" s="27" t="s">
        <v>7</v>
      </c>
      <c r="CU146" s="27" t="s">
        <v>8</v>
      </c>
      <c r="CV146" s="27" t="s">
        <v>7</v>
      </c>
      <c r="CW146" s="27" t="s">
        <v>8</v>
      </c>
      <c r="CX146" s="27" t="s">
        <v>7</v>
      </c>
      <c r="CY146" s="27" t="s">
        <v>8</v>
      </c>
      <c r="CZ146" s="27" t="s">
        <v>7</v>
      </c>
      <c r="DA146" s="27" t="s">
        <v>8</v>
      </c>
      <c r="DB146" s="27" t="s">
        <v>7</v>
      </c>
      <c r="DD146" s="27" t="s">
        <v>7</v>
      </c>
      <c r="DE146" s="27" t="s">
        <v>8</v>
      </c>
    </row>
    <row r="147" spans="1:113" x14ac:dyDescent="0.25">
      <c r="A147" s="30">
        <v>2579.1532626532189</v>
      </c>
      <c r="E147" t="s">
        <v>8</v>
      </c>
      <c r="N147" s="27" t="s">
        <v>7</v>
      </c>
      <c r="O147" s="27" t="s">
        <v>8</v>
      </c>
      <c r="AA147" s="27" t="s">
        <v>8</v>
      </c>
      <c r="AB147" s="27" t="s">
        <v>7</v>
      </c>
      <c r="AM147" s="27" t="s">
        <v>8</v>
      </c>
      <c r="AO147" s="27" t="s">
        <v>8</v>
      </c>
      <c r="AR147" s="27" t="s">
        <v>7</v>
      </c>
      <c r="AY147" s="27" t="s">
        <v>8</v>
      </c>
      <c r="BD147" s="27" t="s">
        <v>7</v>
      </c>
      <c r="BE147" s="27" t="s">
        <v>8</v>
      </c>
      <c r="BF147" s="27" t="s">
        <v>7</v>
      </c>
      <c r="BG147" s="27" t="s">
        <v>8</v>
      </c>
      <c r="BH147" s="27" t="s">
        <v>7</v>
      </c>
      <c r="BI147" s="27" t="s">
        <v>8</v>
      </c>
      <c r="BJ147" s="27" t="s">
        <v>7</v>
      </c>
      <c r="BK147" s="27" t="s">
        <v>8</v>
      </c>
      <c r="BL147" s="27" t="s">
        <v>7</v>
      </c>
      <c r="BM147" s="27" t="s">
        <v>8</v>
      </c>
      <c r="BN147" s="27" t="s">
        <v>7</v>
      </c>
      <c r="BR147" s="32"/>
      <c r="CA147" s="18" t="s">
        <v>8</v>
      </c>
      <c r="CC147" s="27" t="s">
        <v>8</v>
      </c>
      <c r="CT147" s="27" t="s">
        <v>7</v>
      </c>
      <c r="CU147" s="27" t="s">
        <v>8</v>
      </c>
      <c r="CV147" s="27" t="s">
        <v>7</v>
      </c>
      <c r="CW147" s="27" t="s">
        <v>8</v>
      </c>
      <c r="CX147" s="27" t="s">
        <v>7</v>
      </c>
      <c r="CY147" s="27" t="s">
        <v>8</v>
      </c>
      <c r="CZ147" s="27" t="s">
        <v>7</v>
      </c>
      <c r="DA147" s="27" t="s">
        <v>8</v>
      </c>
      <c r="DD147" s="27" t="s">
        <v>7</v>
      </c>
      <c r="DE147" s="27" t="s">
        <v>8</v>
      </c>
      <c r="DF147" s="27" t="s">
        <v>7</v>
      </c>
    </row>
    <row r="148" spans="1:113" x14ac:dyDescent="0.25">
      <c r="A148" s="30">
        <v>2456.3364406221131</v>
      </c>
      <c r="E148" t="s">
        <v>8</v>
      </c>
      <c r="N148" s="27" t="s">
        <v>7</v>
      </c>
      <c r="O148" s="27" t="s">
        <v>8</v>
      </c>
      <c r="P148" s="27" t="s">
        <v>7</v>
      </c>
      <c r="Q148" s="27" t="s">
        <v>8</v>
      </c>
      <c r="AA148" s="27" t="s">
        <v>8</v>
      </c>
      <c r="AB148" s="27" t="s">
        <v>7</v>
      </c>
      <c r="AI148" s="27" t="s">
        <v>8</v>
      </c>
      <c r="AM148" s="27" t="s">
        <v>8</v>
      </c>
      <c r="AN148" s="27" t="s">
        <v>7</v>
      </c>
      <c r="AO148" s="27" t="s">
        <v>8</v>
      </c>
      <c r="AR148" s="27" t="s">
        <v>7</v>
      </c>
      <c r="AW148" s="27" t="s">
        <v>8</v>
      </c>
      <c r="AY148" s="27" t="s">
        <v>8</v>
      </c>
      <c r="BD148" s="27" t="s">
        <v>7</v>
      </c>
      <c r="BE148" s="27" t="s">
        <v>8</v>
      </c>
      <c r="BF148" s="27" t="s">
        <v>7</v>
      </c>
      <c r="BG148" s="27" t="s">
        <v>8</v>
      </c>
      <c r="BH148" s="27" t="s">
        <v>7</v>
      </c>
      <c r="BI148" s="27" t="s">
        <v>8</v>
      </c>
      <c r="BJ148" s="27" t="s">
        <v>7</v>
      </c>
      <c r="BL148" s="27" t="s">
        <v>7</v>
      </c>
      <c r="BM148" s="27" t="s">
        <v>8</v>
      </c>
      <c r="BN148" s="27" t="s">
        <v>7</v>
      </c>
      <c r="BS148" s="32"/>
      <c r="CA148" s="27" t="s">
        <v>8</v>
      </c>
      <c r="CB148" s="27" t="s">
        <v>7</v>
      </c>
      <c r="CC148" s="27" t="s">
        <v>8</v>
      </c>
      <c r="CT148" s="27" t="s">
        <v>7</v>
      </c>
      <c r="CU148" s="27" t="s">
        <v>8</v>
      </c>
      <c r="CV148" s="27" t="s">
        <v>7</v>
      </c>
      <c r="CX148" s="27" t="s">
        <v>7</v>
      </c>
      <c r="CZ148" s="27" t="s">
        <v>7</v>
      </c>
      <c r="DA148" s="27" t="s">
        <v>8</v>
      </c>
      <c r="DD148" s="27" t="s">
        <v>7</v>
      </c>
      <c r="DE148" s="27" t="s">
        <v>8</v>
      </c>
      <c r="DF148" s="27" t="s">
        <v>7</v>
      </c>
    </row>
    <row r="149" spans="1:113" x14ac:dyDescent="0.25">
      <c r="A149" s="30">
        <v>2339.3680386877268</v>
      </c>
      <c r="E149" t="s">
        <v>8</v>
      </c>
      <c r="N149" s="27" t="s">
        <v>7</v>
      </c>
      <c r="O149" s="27" t="s">
        <v>8</v>
      </c>
      <c r="P149" s="27" t="s">
        <v>7</v>
      </c>
      <c r="Q149" s="27" t="s">
        <v>8</v>
      </c>
      <c r="R149" s="27" t="s">
        <v>7</v>
      </c>
      <c r="AA149" s="27" t="s">
        <v>8</v>
      </c>
      <c r="AB149" s="27" t="s">
        <v>7</v>
      </c>
      <c r="AI149" s="27" t="s">
        <v>8</v>
      </c>
      <c r="AJ149" s="27" t="s">
        <v>7</v>
      </c>
      <c r="AM149" s="27" t="s">
        <v>8</v>
      </c>
      <c r="AN149" s="27" t="s">
        <v>7</v>
      </c>
      <c r="AO149" s="27" t="s">
        <v>8</v>
      </c>
      <c r="AR149" s="27" t="s">
        <v>7</v>
      </c>
      <c r="AS149" s="34" t="s">
        <v>8</v>
      </c>
      <c r="AU149" s="34" t="s">
        <v>8</v>
      </c>
      <c r="AW149" s="27" t="s">
        <v>8</v>
      </c>
      <c r="AX149" s="27" t="s">
        <v>7</v>
      </c>
      <c r="AY149" s="27" t="s">
        <v>8</v>
      </c>
      <c r="BD149" s="27" t="s">
        <v>7</v>
      </c>
      <c r="BE149" s="27" t="s">
        <v>8</v>
      </c>
      <c r="BF149" s="27" t="s">
        <v>7</v>
      </c>
      <c r="BG149" s="27" t="s">
        <v>8</v>
      </c>
      <c r="BH149" s="27" t="s">
        <v>7</v>
      </c>
      <c r="BI149" s="27" t="s">
        <v>8</v>
      </c>
      <c r="BL149" s="33" t="s">
        <v>7</v>
      </c>
      <c r="BN149" s="27" t="s">
        <v>7</v>
      </c>
      <c r="BT149" s="32"/>
      <c r="CA149" s="27" t="s">
        <v>8</v>
      </c>
      <c r="CB149" s="27" t="s">
        <v>7</v>
      </c>
      <c r="CC149" s="27" t="s">
        <v>8</v>
      </c>
      <c r="CT149" s="27" t="s">
        <v>7</v>
      </c>
      <c r="CU149" s="27" t="s">
        <v>8</v>
      </c>
      <c r="CZ149" s="27" t="s">
        <v>7</v>
      </c>
      <c r="DD149" s="27" t="s">
        <v>7</v>
      </c>
      <c r="DF149" s="27" t="s">
        <v>7</v>
      </c>
    </row>
    <row r="150" spans="1:113" x14ac:dyDescent="0.25">
      <c r="A150" s="30">
        <v>2227.9695606549776</v>
      </c>
      <c r="E150" t="s">
        <v>8</v>
      </c>
      <c r="N150" s="27" t="s">
        <v>7</v>
      </c>
      <c r="O150" s="27" t="s">
        <v>8</v>
      </c>
      <c r="P150" s="27" t="s">
        <v>7</v>
      </c>
      <c r="Q150" s="27" t="s">
        <v>8</v>
      </c>
      <c r="R150" s="27" t="s">
        <v>7</v>
      </c>
      <c r="Y150" s="27" t="s">
        <v>8</v>
      </c>
      <c r="AA150" s="27" t="s">
        <v>8</v>
      </c>
      <c r="AB150" s="27" t="s">
        <v>7</v>
      </c>
      <c r="AC150" s="27" t="s">
        <v>8</v>
      </c>
      <c r="AI150" s="27" t="s">
        <v>8</v>
      </c>
      <c r="AJ150" s="27" t="s">
        <v>7</v>
      </c>
      <c r="AM150" s="27" t="s">
        <v>8</v>
      </c>
      <c r="AN150" s="27" t="s">
        <v>7</v>
      </c>
      <c r="AO150" s="27" t="s">
        <v>8</v>
      </c>
      <c r="AR150" s="27" t="s">
        <v>7</v>
      </c>
      <c r="AS150" s="27" t="s">
        <v>8</v>
      </c>
      <c r="AT150" s="27" t="s">
        <v>7</v>
      </c>
      <c r="AU150" s="27" t="s">
        <v>8</v>
      </c>
      <c r="AV150" s="27" t="s">
        <v>7</v>
      </c>
      <c r="AW150" s="27" t="s">
        <v>8</v>
      </c>
      <c r="AX150" s="27" t="s">
        <v>7</v>
      </c>
      <c r="AY150" s="27" t="s">
        <v>8</v>
      </c>
      <c r="BD150" s="27" t="s">
        <v>7</v>
      </c>
      <c r="BE150" s="27" t="s">
        <v>8</v>
      </c>
      <c r="BF150" s="27" t="s">
        <v>7</v>
      </c>
      <c r="BG150" s="27" t="s">
        <v>8</v>
      </c>
      <c r="BH150" s="27" t="s">
        <v>7</v>
      </c>
      <c r="BI150" s="27" t="s">
        <v>8</v>
      </c>
      <c r="BN150" s="27" t="s">
        <v>7</v>
      </c>
      <c r="BU150" s="32"/>
      <c r="CA150" s="27" t="s">
        <v>8</v>
      </c>
      <c r="CB150" s="27" t="s">
        <v>7</v>
      </c>
      <c r="CT150" s="27" t="s">
        <v>7</v>
      </c>
      <c r="DF150" s="27" t="s">
        <v>7</v>
      </c>
      <c r="DI150" s="27" t="s">
        <v>8</v>
      </c>
    </row>
    <row r="151" spans="1:113" x14ac:dyDescent="0.25">
      <c r="A151" s="30">
        <v>2121.8757720523595</v>
      </c>
      <c r="E151" t="s">
        <v>8</v>
      </c>
      <c r="N151" s="27" t="s">
        <v>7</v>
      </c>
      <c r="O151" s="27" t="s">
        <v>8</v>
      </c>
      <c r="P151" s="27" t="s">
        <v>7</v>
      </c>
      <c r="Q151" s="27" t="s">
        <v>8</v>
      </c>
      <c r="R151" s="27" t="s">
        <v>7</v>
      </c>
      <c r="Y151" s="27" t="s">
        <v>8</v>
      </c>
      <c r="Z151" s="27" t="s">
        <v>7</v>
      </c>
      <c r="AA151" s="27" t="s">
        <v>8</v>
      </c>
      <c r="AB151" s="27" t="s">
        <v>7</v>
      </c>
      <c r="AC151" s="27" t="s">
        <v>8</v>
      </c>
      <c r="AD151" s="27" t="s">
        <v>7</v>
      </c>
      <c r="AG151" s="27" t="s">
        <v>8</v>
      </c>
      <c r="AI151" s="27" t="s">
        <v>8</v>
      </c>
      <c r="AJ151" s="27" t="s">
        <v>7</v>
      </c>
      <c r="AM151" s="27" t="s">
        <v>8</v>
      </c>
      <c r="AN151" s="27" t="s">
        <v>7</v>
      </c>
      <c r="AO151" s="27" t="s">
        <v>8</v>
      </c>
      <c r="AR151" s="27" t="s">
        <v>7</v>
      </c>
      <c r="AS151" s="27" t="s">
        <v>8</v>
      </c>
      <c r="AT151" s="27" t="s">
        <v>7</v>
      </c>
      <c r="AU151" s="27" t="s">
        <v>8</v>
      </c>
      <c r="AV151" s="27" t="s">
        <v>7</v>
      </c>
      <c r="AW151" s="27" t="s">
        <v>8</v>
      </c>
      <c r="AX151" s="27" t="s">
        <v>7</v>
      </c>
      <c r="AY151" s="27" t="s">
        <v>8</v>
      </c>
      <c r="BD151" s="27" t="s">
        <v>7</v>
      </c>
      <c r="BE151" s="27" t="s">
        <v>8</v>
      </c>
      <c r="BF151" s="27" t="s">
        <v>7</v>
      </c>
      <c r="BH151" s="27" t="s">
        <v>7</v>
      </c>
      <c r="BI151" s="27" t="s">
        <v>8</v>
      </c>
      <c r="BN151" s="27" t="s">
        <v>7</v>
      </c>
      <c r="BU151" s="27" t="s">
        <v>8</v>
      </c>
      <c r="BV151" s="32"/>
      <c r="CA151" s="27" t="s">
        <v>8</v>
      </c>
      <c r="CI151" s="32"/>
      <c r="DF151" s="27" t="s">
        <v>7</v>
      </c>
      <c r="DG151" s="27" t="s">
        <v>8</v>
      </c>
      <c r="DI151" s="27" t="s">
        <v>8</v>
      </c>
    </row>
    <row r="152" spans="1:113" x14ac:dyDescent="0.25">
      <c r="A152" s="30">
        <v>2020.8340686212948</v>
      </c>
      <c r="E152" t="s">
        <v>8</v>
      </c>
      <c r="N152" s="27" t="s">
        <v>7</v>
      </c>
      <c r="O152" s="27" t="s">
        <v>8</v>
      </c>
      <c r="P152" s="27" t="s">
        <v>7</v>
      </c>
      <c r="Q152" s="27" t="s">
        <v>8</v>
      </c>
      <c r="R152" s="27" t="s">
        <v>7</v>
      </c>
      <c r="Y152" s="27" t="s">
        <v>8</v>
      </c>
      <c r="Z152" s="27" t="s">
        <v>7</v>
      </c>
      <c r="AA152" s="27" t="s">
        <v>8</v>
      </c>
      <c r="AB152" s="27" t="s">
        <v>7</v>
      </c>
      <c r="AC152" s="27" t="s">
        <v>8</v>
      </c>
      <c r="AD152" s="27" t="s">
        <v>7</v>
      </c>
      <c r="AE152" s="27" t="s">
        <v>8</v>
      </c>
      <c r="AG152" s="27" t="s">
        <v>8</v>
      </c>
      <c r="AH152" s="27" t="s">
        <v>7</v>
      </c>
      <c r="AI152" s="27" t="s">
        <v>8</v>
      </c>
      <c r="AJ152" s="27" t="s">
        <v>7</v>
      </c>
      <c r="AM152" s="27" t="s">
        <v>8</v>
      </c>
      <c r="AN152" s="27" t="s">
        <v>7</v>
      </c>
      <c r="AO152" s="27" t="s">
        <v>8</v>
      </c>
      <c r="AR152" s="27" t="s">
        <v>7</v>
      </c>
      <c r="AS152" s="27" t="s">
        <v>8</v>
      </c>
      <c r="AT152" s="27" t="s">
        <v>7</v>
      </c>
      <c r="AU152" s="27" t="s">
        <v>8</v>
      </c>
      <c r="AV152" s="27" t="s">
        <v>7</v>
      </c>
      <c r="AX152" s="27" t="s">
        <v>7</v>
      </c>
      <c r="BD152" s="27" t="s">
        <v>7</v>
      </c>
      <c r="BH152" s="27" t="s">
        <v>7</v>
      </c>
      <c r="BN152" s="27" t="s">
        <v>7</v>
      </c>
      <c r="BU152" s="35" t="s">
        <v>8</v>
      </c>
      <c r="BV152" s="27" t="s">
        <v>7</v>
      </c>
      <c r="BW152" s="32"/>
      <c r="CA152" s="35" t="s">
        <v>8</v>
      </c>
      <c r="CH152" s="32"/>
      <c r="DF152" s="27" t="s">
        <v>7</v>
      </c>
      <c r="DG152" s="27" t="s">
        <v>8</v>
      </c>
      <c r="DH152" s="27" t="s">
        <v>7</v>
      </c>
      <c r="DI152" s="27" t="s">
        <v>8</v>
      </c>
    </row>
    <row r="153" spans="1:113" x14ac:dyDescent="0.25">
      <c r="A153" s="30">
        <v>1924.6038748774236</v>
      </c>
      <c r="C153" s="7"/>
      <c r="D153"/>
      <c r="E153" t="s">
        <v>8</v>
      </c>
      <c r="N153" s="27" t="s">
        <v>7</v>
      </c>
      <c r="O153" s="27" t="s">
        <v>8</v>
      </c>
      <c r="P153" s="27" t="s">
        <v>7</v>
      </c>
      <c r="R153" s="27" t="s">
        <v>7</v>
      </c>
      <c r="U153" s="27" t="s">
        <v>8</v>
      </c>
      <c r="Y153" s="27" t="s">
        <v>8</v>
      </c>
      <c r="Z153" s="27" t="s">
        <v>7</v>
      </c>
      <c r="AA153" s="27" t="s">
        <v>8</v>
      </c>
      <c r="AB153" s="27" t="s">
        <v>7</v>
      </c>
      <c r="AC153" s="27" t="s">
        <v>8</v>
      </c>
      <c r="AD153" s="27" t="s">
        <v>7</v>
      </c>
      <c r="AE153" s="27" t="s">
        <v>8</v>
      </c>
      <c r="AF153" s="27" t="s">
        <v>7</v>
      </c>
      <c r="AG153" s="27" t="s">
        <v>8</v>
      </c>
      <c r="AH153" s="27" t="s">
        <v>7</v>
      </c>
      <c r="AI153" s="27" t="s">
        <v>8</v>
      </c>
      <c r="AJ153" s="27" t="s">
        <v>7</v>
      </c>
      <c r="AK153" s="27" t="s">
        <v>8</v>
      </c>
      <c r="AM153" s="27" t="s">
        <v>8</v>
      </c>
      <c r="AN153" s="27" t="s">
        <v>7</v>
      </c>
      <c r="AR153" s="27" t="s">
        <v>7</v>
      </c>
      <c r="AS153" s="27" t="s">
        <v>8</v>
      </c>
      <c r="AT153" s="27" t="s">
        <v>7</v>
      </c>
      <c r="AU153" s="27" t="s">
        <v>8</v>
      </c>
      <c r="BN153" s="27" t="s">
        <v>7</v>
      </c>
      <c r="BO153" s="34" t="s">
        <v>8</v>
      </c>
      <c r="BQ153" s="34" t="s">
        <v>8</v>
      </c>
      <c r="BS153" s="34" t="s">
        <v>8</v>
      </c>
      <c r="BU153" s="27" t="s">
        <v>8</v>
      </c>
      <c r="BV153" s="27" t="s">
        <v>7</v>
      </c>
      <c r="BW153" s="34" t="s">
        <v>8</v>
      </c>
      <c r="BX153" s="32"/>
      <c r="BY153" s="34" t="s">
        <v>8</v>
      </c>
      <c r="CA153" s="27" t="s">
        <v>8</v>
      </c>
      <c r="CG153" s="32"/>
      <c r="DF153" s="27" t="s">
        <v>7</v>
      </c>
      <c r="DG153" s="27" t="s">
        <v>8</v>
      </c>
      <c r="DH153" s="27" t="s">
        <v>7</v>
      </c>
      <c r="DI153" s="27" t="s">
        <v>8</v>
      </c>
    </row>
    <row r="154" spans="1:113" x14ac:dyDescent="0.25">
      <c r="A154" s="30">
        <v>1832.9560713118319</v>
      </c>
      <c r="E154" t="s">
        <v>8</v>
      </c>
      <c r="N154" s="27" t="s">
        <v>7</v>
      </c>
      <c r="O154" s="27" t="s">
        <v>8</v>
      </c>
      <c r="R154" s="27" t="s">
        <v>7</v>
      </c>
      <c r="U154" s="27" t="s">
        <v>8</v>
      </c>
      <c r="V154" s="27" t="s">
        <v>7</v>
      </c>
      <c r="Y154" s="27" t="s">
        <v>8</v>
      </c>
      <c r="Z154" s="27" t="s">
        <v>7</v>
      </c>
      <c r="AB154" s="27" t="s">
        <v>7</v>
      </c>
      <c r="AC154" s="27" t="s">
        <v>8</v>
      </c>
      <c r="AD154" s="27" t="s">
        <v>7</v>
      </c>
      <c r="AE154" s="27" t="s">
        <v>8</v>
      </c>
      <c r="AF154" s="27" t="s">
        <v>7</v>
      </c>
      <c r="AG154" s="27" t="s">
        <v>8</v>
      </c>
      <c r="AH154" s="27" t="s">
        <v>7</v>
      </c>
      <c r="AI154" s="27" t="s">
        <v>8</v>
      </c>
      <c r="AJ154" s="27" t="s">
        <v>7</v>
      </c>
      <c r="AK154" s="27" t="s">
        <v>8</v>
      </c>
      <c r="AL154" s="27" t="s">
        <v>7</v>
      </c>
      <c r="AM154" s="27" t="s">
        <v>8</v>
      </c>
      <c r="AR154" s="34" t="s">
        <v>7</v>
      </c>
      <c r="AT154" s="34" t="s">
        <v>7</v>
      </c>
      <c r="BN154" s="27" t="s">
        <v>7</v>
      </c>
      <c r="BO154" s="27" t="s">
        <v>8</v>
      </c>
      <c r="BP154" s="27" t="s">
        <v>7</v>
      </c>
      <c r="BQ154" s="27" t="s">
        <v>8</v>
      </c>
      <c r="BR154" s="27" t="s">
        <v>7</v>
      </c>
      <c r="BS154" s="27" t="s">
        <v>8</v>
      </c>
      <c r="BT154" s="27" t="s">
        <v>7</v>
      </c>
      <c r="BU154" s="27" t="s">
        <v>8</v>
      </c>
      <c r="BV154" s="27" t="s">
        <v>7</v>
      </c>
      <c r="BW154" s="27" t="s">
        <v>8</v>
      </c>
      <c r="BX154" s="27" t="s">
        <v>7</v>
      </c>
      <c r="BY154" s="32" t="s">
        <v>8</v>
      </c>
      <c r="BZ154" s="27" t="s">
        <v>7</v>
      </c>
      <c r="CA154" s="27" t="s">
        <v>8</v>
      </c>
      <c r="CF154" s="32"/>
      <c r="DF154" s="27" t="s">
        <v>7</v>
      </c>
      <c r="DH154" s="27" t="s">
        <v>7</v>
      </c>
    </row>
    <row r="155" spans="1:113" x14ac:dyDescent="0.25">
      <c r="A155" s="30">
        <v>1745.6724488684113</v>
      </c>
      <c r="E155" t="s">
        <v>8</v>
      </c>
      <c r="N155" s="27" t="s">
        <v>7</v>
      </c>
      <c r="O155" s="27" t="s">
        <v>8</v>
      </c>
      <c r="R155" s="27" t="s">
        <v>7</v>
      </c>
      <c r="U155" s="27" t="s">
        <v>8</v>
      </c>
      <c r="V155" s="27" t="s">
        <v>7</v>
      </c>
      <c r="W155" s="27" t="s">
        <v>8</v>
      </c>
      <c r="Y155" s="27" t="s">
        <v>8</v>
      </c>
      <c r="AB155" s="27" t="s">
        <v>7</v>
      </c>
      <c r="AC155" s="27" t="s">
        <v>8</v>
      </c>
      <c r="AD155" s="27" t="s">
        <v>7</v>
      </c>
      <c r="AE155" s="27" t="s">
        <v>8</v>
      </c>
      <c r="AF155" s="27" t="s">
        <v>7</v>
      </c>
      <c r="AG155" s="27" t="s">
        <v>8</v>
      </c>
      <c r="AH155" s="27" t="s">
        <v>7</v>
      </c>
      <c r="AI155" s="27" t="s">
        <v>8</v>
      </c>
      <c r="AJ155" s="27" t="s">
        <v>7</v>
      </c>
      <c r="AK155" s="27" t="s">
        <v>8</v>
      </c>
      <c r="AL155" s="27" t="s">
        <v>7</v>
      </c>
      <c r="AM155" s="27" t="s">
        <v>8</v>
      </c>
      <c r="BN155" s="27" t="s">
        <v>7</v>
      </c>
      <c r="BO155" s="27" t="s">
        <v>8</v>
      </c>
      <c r="BP155" s="27" t="s">
        <v>7</v>
      </c>
      <c r="BQ155" s="27" t="s">
        <v>8</v>
      </c>
      <c r="BR155" s="27" t="s">
        <v>7</v>
      </c>
      <c r="BS155" s="27" t="s">
        <v>8</v>
      </c>
      <c r="BT155" s="27" t="s">
        <v>7</v>
      </c>
      <c r="BU155" s="27" t="s">
        <v>8</v>
      </c>
      <c r="BV155" s="27" t="s">
        <v>7</v>
      </c>
      <c r="BW155" s="27" t="s">
        <v>8</v>
      </c>
      <c r="BX155" s="27" t="s">
        <v>7</v>
      </c>
      <c r="BY155" s="27" t="s">
        <v>8</v>
      </c>
      <c r="BZ155" s="27" t="s">
        <v>7</v>
      </c>
      <c r="CA155" s="27" t="s">
        <v>8</v>
      </c>
      <c r="CE155" s="32"/>
    </row>
    <row r="156" spans="1:113" x14ac:dyDescent="0.25">
      <c r="A156" s="30">
        <v>1662.5451893984869</v>
      </c>
      <c r="C156"/>
      <c r="D156"/>
      <c r="E156" t="s">
        <v>8</v>
      </c>
      <c r="N156" s="27" t="s">
        <v>7</v>
      </c>
      <c r="O156" s="27" t="s">
        <v>8</v>
      </c>
      <c r="R156" s="27" t="s">
        <v>7</v>
      </c>
      <c r="U156" s="27" t="s">
        <v>8</v>
      </c>
      <c r="V156" s="27" t="s">
        <v>7</v>
      </c>
      <c r="W156" s="27" t="s">
        <v>8</v>
      </c>
      <c r="X156" s="27" t="s">
        <v>7</v>
      </c>
      <c r="Y156" s="27" t="s">
        <v>8</v>
      </c>
      <c r="AB156" s="27" t="s">
        <v>7</v>
      </c>
      <c r="AC156" s="27" t="s">
        <v>8</v>
      </c>
      <c r="AD156" s="27" t="s">
        <v>7</v>
      </c>
      <c r="AE156" s="27" t="s">
        <v>8</v>
      </c>
      <c r="AF156" s="27" t="s">
        <v>7</v>
      </c>
      <c r="AH156" s="27" t="s">
        <v>7</v>
      </c>
      <c r="AI156" s="27" t="s">
        <v>8</v>
      </c>
      <c r="AJ156" s="27" t="s">
        <v>7</v>
      </c>
      <c r="AK156" s="27" t="s">
        <v>8</v>
      </c>
      <c r="AL156" s="27" t="s">
        <v>7</v>
      </c>
      <c r="BN156" s="27" t="s">
        <v>7</v>
      </c>
      <c r="BO156" s="27" t="s">
        <v>8</v>
      </c>
      <c r="BP156" s="27" t="s">
        <v>7</v>
      </c>
      <c r="BQ156" s="27" t="s">
        <v>8</v>
      </c>
      <c r="BR156" s="27" t="s">
        <v>7</v>
      </c>
      <c r="BS156" s="27" t="s">
        <v>8</v>
      </c>
      <c r="BT156" s="34" t="s">
        <v>7</v>
      </c>
      <c r="BV156" s="34" t="s">
        <v>7</v>
      </c>
      <c r="BX156" s="32" t="s">
        <v>7</v>
      </c>
      <c r="BY156" s="27" t="s">
        <v>8</v>
      </c>
      <c r="BZ156" s="27" t="s">
        <v>7</v>
      </c>
      <c r="CA156" s="27" t="s">
        <v>8</v>
      </c>
      <c r="CD156" s="32"/>
    </row>
    <row r="157" spans="1:113" x14ac:dyDescent="0.25">
      <c r="A157" s="30">
        <v>1583.3763708557017</v>
      </c>
      <c r="E157" t="s">
        <v>8</v>
      </c>
      <c r="N157" s="27" t="s">
        <v>7</v>
      </c>
      <c r="O157" s="27" t="s">
        <v>8</v>
      </c>
      <c r="R157" s="27" t="s">
        <v>7</v>
      </c>
      <c r="U157" s="27" t="s">
        <v>8</v>
      </c>
      <c r="V157" s="27" t="s">
        <v>7</v>
      </c>
      <c r="W157" s="27" t="s">
        <v>8</v>
      </c>
      <c r="X157" s="27" t="s">
        <v>7</v>
      </c>
      <c r="Y157" s="27" t="s">
        <v>8</v>
      </c>
      <c r="AB157" s="27" t="s">
        <v>7</v>
      </c>
      <c r="AD157" s="27" t="s">
        <v>7</v>
      </c>
      <c r="AE157" s="27" t="s">
        <v>8</v>
      </c>
      <c r="AH157" s="27" t="s">
        <v>7</v>
      </c>
      <c r="AI157" s="27" t="s">
        <v>8</v>
      </c>
      <c r="AJ157" s="27" t="s">
        <v>7</v>
      </c>
      <c r="BN157" s="27" t="s">
        <v>7</v>
      </c>
      <c r="BO157" s="27" t="s">
        <v>8</v>
      </c>
      <c r="BP157" s="27" t="s">
        <v>7</v>
      </c>
      <c r="BQ157" s="27" t="s">
        <v>8</v>
      </c>
      <c r="BR157" s="27" t="s">
        <v>7</v>
      </c>
      <c r="BS157" s="27" t="s">
        <v>8</v>
      </c>
      <c r="BW157" s="32"/>
      <c r="BX157" s="33" t="s">
        <v>7</v>
      </c>
      <c r="BZ157" s="27" t="s">
        <v>7</v>
      </c>
      <c r="CA157" s="27" t="s">
        <v>8</v>
      </c>
      <c r="CC157" s="32"/>
    </row>
    <row r="158" spans="1:113" x14ac:dyDescent="0.25">
      <c r="A158" s="30">
        <v>1507.9774960530492</v>
      </c>
      <c r="E158" t="s">
        <v>8</v>
      </c>
      <c r="N158" s="27" t="s">
        <v>7</v>
      </c>
      <c r="O158" s="27" t="s">
        <v>8</v>
      </c>
      <c r="R158" s="27" t="s">
        <v>7</v>
      </c>
      <c r="U158" s="27" t="s">
        <v>8</v>
      </c>
      <c r="V158" s="27" t="s">
        <v>7</v>
      </c>
      <c r="X158" s="27" t="s">
        <v>7</v>
      </c>
      <c r="Y158" s="27" t="s">
        <v>8</v>
      </c>
      <c r="AD158" s="27" t="s">
        <v>7</v>
      </c>
      <c r="AE158" s="27" t="s">
        <v>8</v>
      </c>
      <c r="AH158" s="27" t="s">
        <v>7</v>
      </c>
      <c r="BN158" s="27" t="s">
        <v>7</v>
      </c>
      <c r="BO158" s="27" t="s">
        <v>8</v>
      </c>
      <c r="BP158" s="27" t="s">
        <v>7</v>
      </c>
      <c r="BQ158" s="27" t="s">
        <v>8</v>
      </c>
      <c r="BR158" s="27" t="s">
        <v>7</v>
      </c>
      <c r="BS158" s="27" t="s">
        <v>8</v>
      </c>
      <c r="BV158" s="32"/>
      <c r="BZ158" s="27" t="s">
        <v>7</v>
      </c>
      <c r="CA158" s="27" t="s">
        <v>8</v>
      </c>
      <c r="CB158" s="32"/>
    </row>
    <row r="159" spans="1:113" x14ac:dyDescent="0.25">
      <c r="A159" s="30">
        <v>1436.1690438600467</v>
      </c>
      <c r="E159" t="s">
        <v>8</v>
      </c>
      <c r="N159" s="27" t="s">
        <v>7</v>
      </c>
      <c r="O159" s="27" t="s">
        <v>8</v>
      </c>
      <c r="R159" s="27" t="s">
        <v>7</v>
      </c>
      <c r="S159" s="27" t="s">
        <v>8</v>
      </c>
      <c r="U159" s="27" t="s">
        <v>8</v>
      </c>
      <c r="X159" s="27" t="s">
        <v>7</v>
      </c>
      <c r="AD159" s="27" t="s">
        <v>7</v>
      </c>
      <c r="AE159" s="27" t="s">
        <v>8</v>
      </c>
      <c r="BN159" s="27" t="s">
        <v>7</v>
      </c>
      <c r="BO159" s="27" t="s">
        <v>8</v>
      </c>
      <c r="BP159" s="27" t="s">
        <v>7</v>
      </c>
      <c r="BR159" s="27" t="s">
        <v>7</v>
      </c>
      <c r="BS159" s="27" t="s">
        <v>8</v>
      </c>
      <c r="BU159" s="32"/>
      <c r="BZ159" s="27" t="s">
        <v>7</v>
      </c>
      <c r="CA159" s="32" t="s">
        <v>8</v>
      </c>
    </row>
    <row r="160" spans="1:113" x14ac:dyDescent="0.25">
      <c r="A160" s="30">
        <v>1367.780041771473</v>
      </c>
      <c r="C160"/>
      <c r="E160" t="s">
        <v>8</v>
      </c>
      <c r="N160" s="27" t="s">
        <v>7</v>
      </c>
      <c r="O160" s="27" t="s">
        <v>8</v>
      </c>
      <c r="R160" s="27" t="s">
        <v>7</v>
      </c>
      <c r="S160" s="27" t="s">
        <v>8</v>
      </c>
      <c r="T160" s="27" t="s">
        <v>7</v>
      </c>
      <c r="U160" s="27" t="s">
        <v>8</v>
      </c>
      <c r="AD160" s="27" t="s">
        <v>7</v>
      </c>
      <c r="AE160" s="27" t="s">
        <v>8</v>
      </c>
      <c r="BN160" s="27" t="s">
        <v>7</v>
      </c>
      <c r="BO160" s="27" t="s">
        <v>8</v>
      </c>
      <c r="BR160" s="27" t="s">
        <v>7</v>
      </c>
      <c r="BS160" s="27" t="s">
        <v>8</v>
      </c>
      <c r="BT160" s="32"/>
      <c r="BZ160" s="32" t="s">
        <v>7</v>
      </c>
    </row>
    <row r="161" spans="1:71" x14ac:dyDescent="0.25">
      <c r="A161" s="30">
        <v>1302.6476588299743</v>
      </c>
      <c r="E161" t="s">
        <v>8</v>
      </c>
      <c r="N161" s="27" t="s">
        <v>7</v>
      </c>
      <c r="O161" s="27" t="s">
        <v>8</v>
      </c>
      <c r="R161" s="27" t="s">
        <v>7</v>
      </c>
      <c r="S161" s="27" t="s">
        <v>8</v>
      </c>
      <c r="T161" s="27" t="s">
        <v>7</v>
      </c>
      <c r="U161" s="27" t="s">
        <v>8</v>
      </c>
      <c r="AD161" s="27" t="s">
        <v>7</v>
      </c>
      <c r="AE161" s="27" t="s">
        <v>8</v>
      </c>
      <c r="BN161" s="27" t="s">
        <v>7</v>
      </c>
      <c r="BO161" s="27" t="s">
        <v>8</v>
      </c>
      <c r="BR161" s="27" t="s">
        <v>7</v>
      </c>
      <c r="BS161" s="32" t="s">
        <v>8</v>
      </c>
    </row>
    <row r="162" spans="1:71" x14ac:dyDescent="0.25">
      <c r="A162" s="30">
        <v>1240.6168179333088</v>
      </c>
      <c r="E162" t="s">
        <v>8</v>
      </c>
      <c r="N162" s="27" t="s">
        <v>7</v>
      </c>
      <c r="O162" s="27" t="s">
        <v>8</v>
      </c>
      <c r="R162" s="27" t="s">
        <v>7</v>
      </c>
      <c r="S162" s="27" t="s">
        <v>8</v>
      </c>
      <c r="T162" s="27" t="s">
        <v>7</v>
      </c>
      <c r="U162" s="27" t="s">
        <v>8</v>
      </c>
      <c r="AD162" s="27" t="s">
        <v>7</v>
      </c>
      <c r="AE162" s="27" t="s">
        <v>8</v>
      </c>
      <c r="BN162" s="27" t="s">
        <v>7</v>
      </c>
      <c r="BO162" s="27" t="s">
        <v>8</v>
      </c>
      <c r="BR162" s="32" t="s">
        <v>7</v>
      </c>
    </row>
    <row r="163" spans="1:71" x14ac:dyDescent="0.25">
      <c r="A163" s="30">
        <v>1181.5398266031511</v>
      </c>
      <c r="E163" t="s">
        <v>8</v>
      </c>
      <c r="N163" s="27" t="s">
        <v>7</v>
      </c>
      <c r="R163" s="27" t="s">
        <v>7</v>
      </c>
      <c r="T163" s="27" t="s">
        <v>7</v>
      </c>
      <c r="U163" s="27" t="s">
        <v>8</v>
      </c>
      <c r="AD163" s="27" t="s">
        <v>7</v>
      </c>
      <c r="BN163" s="27" t="s">
        <v>7</v>
      </c>
    </row>
    <row r="164" spans="1:71" x14ac:dyDescent="0.25">
      <c r="A164" s="30">
        <v>1125.2760253363344</v>
      </c>
      <c r="E164" t="s">
        <v>8</v>
      </c>
      <c r="T164" s="27" t="s">
        <v>7</v>
      </c>
      <c r="U164" s="27" t="s">
        <v>8</v>
      </c>
    </row>
    <row r="165" spans="1:71" x14ac:dyDescent="0.25">
      <c r="A165" s="30">
        <v>1071.6914527012709</v>
      </c>
      <c r="E165" t="s">
        <v>8</v>
      </c>
      <c r="T165" s="27" t="s">
        <v>7</v>
      </c>
      <c r="U165" s="27" t="s">
        <v>8</v>
      </c>
    </row>
    <row r="166" spans="1:71" x14ac:dyDescent="0.25">
      <c r="A166" s="30">
        <v>1020.6585263821628</v>
      </c>
      <c r="E166" t="s">
        <v>8</v>
      </c>
      <c r="T166" s="27" t="s">
        <v>7</v>
      </c>
      <c r="U166" s="27" t="s">
        <v>8</v>
      </c>
    </row>
    <row r="167" spans="1:71" x14ac:dyDescent="0.25">
      <c r="A167" s="30">
        <v>972.05573941158355</v>
      </c>
      <c r="E167" t="s">
        <v>8</v>
      </c>
      <c r="T167" s="27" t="s">
        <v>7</v>
      </c>
    </row>
    <row r="168" spans="1:71" x14ac:dyDescent="0.25">
      <c r="A168" s="30">
        <v>925.76737086817479</v>
      </c>
      <c r="E168" t="s">
        <v>8</v>
      </c>
    </row>
    <row r="169" spans="1:71" x14ac:dyDescent="0.25">
      <c r="A169" s="30">
        <v>881.68321035064264</v>
      </c>
      <c r="E169" t="s">
        <v>8</v>
      </c>
    </row>
    <row r="170" spans="1:71" x14ac:dyDescent="0.25">
      <c r="A170" s="30">
        <v>839.69829557204059</v>
      </c>
      <c r="E170" t="s">
        <v>8</v>
      </c>
    </row>
    <row r="171" spans="1:71" x14ac:dyDescent="0.25">
      <c r="A171" s="30">
        <v>799.71266244956246</v>
      </c>
      <c r="E171" t="s">
        <v>8</v>
      </c>
    </row>
    <row r="172" spans="1:71" x14ac:dyDescent="0.25">
      <c r="A172" s="30">
        <v>761.63110709482135</v>
      </c>
      <c r="E172" t="s">
        <v>8</v>
      </c>
    </row>
    <row r="173" spans="1:71" x14ac:dyDescent="0.25">
      <c r="A173" s="30">
        <v>725.36295913792503</v>
      </c>
      <c r="E173" t="s">
        <v>8</v>
      </c>
    </row>
    <row r="174" spans="1:71" x14ac:dyDescent="0.25">
      <c r="A174" s="30">
        <v>690.82186584564283</v>
      </c>
      <c r="E174" t="s">
        <v>8</v>
      </c>
    </row>
    <row r="175" spans="1:71" x14ac:dyDescent="0.25">
      <c r="A175" s="30">
        <v>657.92558651965976</v>
      </c>
      <c r="E175" t="s">
        <v>8</v>
      </c>
    </row>
    <row r="176" spans="1:71" x14ac:dyDescent="0.25">
      <c r="A176" s="30">
        <v>626.59579668539027</v>
      </c>
      <c r="E176" t="s">
        <v>8</v>
      </c>
    </row>
    <row r="177" spans="1:5" x14ac:dyDescent="0.25">
      <c r="A177" s="30">
        <v>596.75790160513361</v>
      </c>
      <c r="E177" t="s">
        <v>8</v>
      </c>
    </row>
    <row r="178" spans="1:5" x14ac:dyDescent="0.25">
      <c r="A178" s="30">
        <v>568.34085867155579</v>
      </c>
      <c r="C178" s="7"/>
      <c r="D178"/>
      <c r="E178" t="s">
        <v>8</v>
      </c>
    </row>
    <row r="179" spans="1:5" x14ac:dyDescent="0.25">
      <c r="A179" s="30">
        <v>541.27700825862451</v>
      </c>
      <c r="E179" t="s">
        <v>8</v>
      </c>
    </row>
    <row r="180" spans="1:5" x14ac:dyDescent="0.25">
      <c r="A180" s="30">
        <v>515.50191262726139</v>
      </c>
      <c r="E180" t="s">
        <v>8</v>
      </c>
    </row>
    <row r="181" spans="1:5" x14ac:dyDescent="0.25">
      <c r="A181" s="30">
        <v>490.95420250215363</v>
      </c>
      <c r="C181"/>
      <c r="D181"/>
      <c r="E181" t="s">
        <v>8</v>
      </c>
    </row>
    <row r="182" spans="1:5" x14ac:dyDescent="0.25">
      <c r="A182" s="30">
        <v>467.57543095443202</v>
      </c>
      <c r="E182" t="s">
        <v>8</v>
      </c>
    </row>
    <row r="183" spans="1:5" x14ac:dyDescent="0.25">
      <c r="A183" s="30">
        <v>445.30993424231622</v>
      </c>
      <c r="E183" t="s">
        <v>8</v>
      </c>
    </row>
    <row r="184" spans="1:5" x14ac:dyDescent="0.25">
      <c r="A184" s="30">
        <v>424.10469927839637</v>
      </c>
      <c r="E184" t="s">
        <v>8</v>
      </c>
    </row>
    <row r="185" spans="1:5" x14ac:dyDescent="0.25">
      <c r="A185" s="30">
        <v>403.9092374079965</v>
      </c>
      <c r="C185"/>
      <c r="E185" t="s">
        <v>8</v>
      </c>
    </row>
    <row r="186" spans="1:5" x14ac:dyDescent="0.25">
      <c r="A186" s="30">
        <v>384.6754641980919</v>
      </c>
      <c r="E186" t="s">
        <v>8</v>
      </c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348.91198566720351</v>
      </c>
      <c r="E188" t="s">
        <v>8</v>
      </c>
    </row>
    <row r="189" spans="1:5" x14ac:dyDescent="0.25">
      <c r="A189" s="30">
        <v>332.29712920686046</v>
      </c>
      <c r="E189" t="s">
        <v>8</v>
      </c>
    </row>
    <row r="190" spans="1:5" x14ac:dyDescent="0.25">
      <c r="A190" s="30">
        <v>316.47345638748612</v>
      </c>
      <c r="E190" t="s">
        <v>8</v>
      </c>
    </row>
    <row r="191" spans="1:5" x14ac:dyDescent="0.25">
      <c r="A191" s="30">
        <v>301.40329179760585</v>
      </c>
      <c r="E191" t="s">
        <v>8</v>
      </c>
    </row>
    <row r="192" spans="1:5" x14ac:dyDescent="0.25">
      <c r="A192" s="30">
        <v>287.05075409295796</v>
      </c>
      <c r="E192" t="s">
        <v>8</v>
      </c>
    </row>
    <row r="193" spans="1:5" x14ac:dyDescent="0.25">
      <c r="A193" s="30">
        <v>273.38167056472184</v>
      </c>
      <c r="E193" t="s">
        <v>8</v>
      </c>
    </row>
    <row r="194" spans="1:5" x14ac:dyDescent="0.25">
      <c r="A194" s="30">
        <v>260.36349577592557</v>
      </c>
      <c r="E194" t="s">
        <v>8</v>
      </c>
    </row>
    <row r="195" spans="1:5" x14ac:dyDescent="0.25">
      <c r="A195" s="30">
        <v>247.96523407231004</v>
      </c>
      <c r="E195" t="s">
        <v>8</v>
      </c>
    </row>
    <row r="196" spans="1:5" x14ac:dyDescent="0.25">
      <c r="A196" s="30">
        <v>236.15736578315241</v>
      </c>
      <c r="E196" t="s">
        <v>8</v>
      </c>
    </row>
    <row r="197" spans="1:5" x14ac:dyDescent="0.25">
      <c r="A197" s="30">
        <v>224.91177693633563</v>
      </c>
      <c r="E197" t="s">
        <v>8</v>
      </c>
    </row>
    <row r="198" spans="1:5" x14ac:dyDescent="0.25">
      <c r="A198" s="30">
        <v>214.20169232031964</v>
      </c>
      <c r="E198" t="s">
        <v>8</v>
      </c>
    </row>
    <row r="199" spans="1:5" x14ac:dyDescent="0.25">
      <c r="A199" s="30">
        <v>204.00161173363773</v>
      </c>
      <c r="E199" t="s">
        <v>8</v>
      </c>
    </row>
    <row r="200" spans="1:5" x14ac:dyDescent="0.25">
      <c r="A200" s="30">
        <v>194.28724927013116</v>
      </c>
      <c r="E200" t="s">
        <v>8</v>
      </c>
    </row>
    <row r="201" spans="1:5" x14ac:dyDescent="0.25">
      <c r="A201" s="30">
        <v>185.03547549536299</v>
      </c>
      <c r="E201" t="s">
        <v>8</v>
      </c>
    </row>
    <row r="202" spans="1:5" x14ac:dyDescent="0.25">
      <c r="A202" s="30">
        <v>176.22426237653616</v>
      </c>
      <c r="E202" t="s">
        <v>8</v>
      </c>
    </row>
    <row r="203" spans="1:5" x14ac:dyDescent="0.25">
      <c r="A203" s="30">
        <v>167.83263083479633</v>
      </c>
      <c r="C203" s="7"/>
      <c r="D203"/>
      <c r="E203" t="s">
        <v>8</v>
      </c>
    </row>
    <row r="204" spans="1:5" x14ac:dyDescent="0.25">
      <c r="A204" s="30">
        <v>159.84060079504411</v>
      </c>
      <c r="E204" t="s">
        <v>8</v>
      </c>
    </row>
    <row r="205" spans="1:5" x14ac:dyDescent="0.25">
      <c r="A205" s="30">
        <v>152.22914361432771</v>
      </c>
      <c r="E205" t="s">
        <v>8</v>
      </c>
    </row>
    <row r="206" spans="1:5" x14ac:dyDescent="0.25">
      <c r="A206" s="30">
        <v>144.98013677555019</v>
      </c>
      <c r="C206"/>
      <c r="D206"/>
      <c r="E206" t="s">
        <v>8</v>
      </c>
    </row>
    <row r="207" spans="1:5" x14ac:dyDescent="0.25">
      <c r="A207" s="30">
        <v>138.07632073861922</v>
      </c>
      <c r="E207" t="s">
        <v>8</v>
      </c>
    </row>
    <row r="208" spans="1:5" x14ac:dyDescent="0.25">
      <c r="A208" s="30">
        <v>131.50125784630401</v>
      </c>
      <c r="E208" t="s">
        <v>8</v>
      </c>
    </row>
    <row r="209" spans="1:5" x14ac:dyDescent="0.25">
      <c r="A209" s="30">
        <v>125.23929318695619</v>
      </c>
      <c r="E209" t="s">
        <v>8</v>
      </c>
    </row>
    <row r="210" spans="1:5" x14ac:dyDescent="0.25">
      <c r="A210" s="30">
        <v>119.27551732091065</v>
      </c>
      <c r="C210"/>
      <c r="E210" t="s">
        <v>8</v>
      </c>
    </row>
    <row r="211" spans="1:5" x14ac:dyDescent="0.25">
      <c r="A211" s="30">
        <v>113.59573078181967</v>
      </c>
      <c r="E211" t="s">
        <v>8</v>
      </c>
    </row>
    <row r="212" spans="1:5" x14ac:dyDescent="0.25">
      <c r="A212" s="30">
        <v>108.18641026839968</v>
      </c>
      <c r="E212" t="s">
        <v>8</v>
      </c>
    </row>
    <row r="213" spans="1:5" x14ac:dyDescent="0.25">
      <c r="A213" s="30">
        <v>103.03467644609493</v>
      </c>
      <c r="E213" t="s">
        <v>8</v>
      </c>
    </row>
    <row r="214" spans="1:5" x14ac:dyDescent="0.25">
      <c r="A214" s="30">
        <v>98.128263281995174</v>
      </c>
      <c r="E214" t="s">
        <v>8</v>
      </c>
    </row>
    <row r="215" spans="1:5" x14ac:dyDescent="0.25">
      <c r="A215" s="30">
        <v>93.455488839995397</v>
      </c>
      <c r="E215" t="s">
        <v>8</v>
      </c>
    </row>
    <row r="216" spans="1:5" x14ac:dyDescent="0.25">
      <c r="A216" s="30">
        <v>89.005227466662276</v>
      </c>
      <c r="E216" t="s">
        <v>8</v>
      </c>
    </row>
    <row r="217" spans="1:5" x14ac:dyDescent="0.25">
      <c r="A217" s="30">
        <v>84.766883301583121</v>
      </c>
      <c r="E217" t="s">
        <v>8</v>
      </c>
    </row>
    <row r="218" spans="1:5" x14ac:dyDescent="0.25">
      <c r="A218" s="30">
        <v>80.730365049126775</v>
      </c>
      <c r="E218" t="s">
        <v>8</v>
      </c>
    </row>
    <row r="219" spans="1:5" x14ac:dyDescent="0.25">
      <c r="A219" s="30">
        <v>76.886061951549308</v>
      </c>
      <c r="E219" t="s">
        <v>8</v>
      </c>
    </row>
    <row r="220" spans="1:5" x14ac:dyDescent="0.25">
      <c r="A220" s="30">
        <v>73.22482090623744</v>
      </c>
      <c r="E220" t="s">
        <v>8</v>
      </c>
    </row>
    <row r="221" spans="1:5" x14ac:dyDescent="0.25">
      <c r="A221" s="30">
        <v>69.737924672607079</v>
      </c>
      <c r="E221" t="s">
        <v>8</v>
      </c>
    </row>
    <row r="222" spans="1:5" x14ac:dyDescent="0.25">
      <c r="A222" s="30">
        <v>66.417071116768639</v>
      </c>
      <c r="E222" t="s">
        <v>8</v>
      </c>
    </row>
    <row r="223" spans="1:5" x14ac:dyDescent="0.25">
      <c r="A223" s="30">
        <v>63.254353444541557</v>
      </c>
      <c r="E223" t="s">
        <v>8</v>
      </c>
    </row>
    <row r="224" spans="1:5" x14ac:dyDescent="0.25">
      <c r="A224" s="30">
        <v>60.242241375753864</v>
      </c>
      <c r="E224" t="s">
        <v>8</v>
      </c>
    </row>
    <row r="225" spans="1:5" x14ac:dyDescent="0.25">
      <c r="A225" s="30">
        <v>57.373563215003678</v>
      </c>
      <c r="E225" t="s">
        <v>8</v>
      </c>
    </row>
    <row r="226" spans="1:5" x14ac:dyDescent="0.25">
      <c r="A226" s="30">
        <v>54.641488776193974</v>
      </c>
      <c r="E226" t="s">
        <v>8</v>
      </c>
    </row>
    <row r="227" spans="1:5" x14ac:dyDescent="0.25">
      <c r="A227" s="30">
        <v>52.039513120184736</v>
      </c>
      <c r="E227" t="s">
        <v>8</v>
      </c>
    </row>
    <row r="228" spans="1:5" x14ac:dyDescent="0.25">
      <c r="A228" s="30">
        <v>49.561441066842605</v>
      </c>
      <c r="C228" s="7"/>
      <c r="D228"/>
      <c r="E228" t="s">
        <v>8</v>
      </c>
    </row>
    <row r="229" spans="1:5" x14ac:dyDescent="0.25">
      <c r="A229" s="30">
        <v>47.201372444612005</v>
      </c>
      <c r="E229" t="s">
        <v>8</v>
      </c>
    </row>
    <row r="230" spans="1:5" x14ac:dyDescent="0.25">
      <c r="A230" s="30">
        <v>44.95368804248762</v>
      </c>
      <c r="E230" t="s">
        <v>8</v>
      </c>
    </row>
    <row r="231" spans="1:5" x14ac:dyDescent="0.25">
      <c r="A231" s="30">
        <v>42.81303623094059</v>
      </c>
      <c r="C231"/>
      <c r="D231"/>
      <c r="E231" t="s">
        <v>8</v>
      </c>
    </row>
    <row r="232" spans="1:5" x14ac:dyDescent="0.25">
      <c r="A232" s="30">
        <v>40.774320219943419</v>
      </c>
      <c r="E232" t="s">
        <v>8</v>
      </c>
    </row>
    <row r="233" spans="1:5" x14ac:dyDescent="0.25">
      <c r="A233" s="30">
        <v>38.832685923755633</v>
      </c>
      <c r="E233" t="s">
        <v>8</v>
      </c>
    </row>
    <row r="234" spans="1:5" x14ac:dyDescent="0.25">
      <c r="A234" s="30">
        <v>36.983510403576794</v>
      </c>
      <c r="E234" t="s">
        <v>8</v>
      </c>
    </row>
    <row r="235" spans="1:5" x14ac:dyDescent="0.25">
      <c r="A235" s="30">
        <v>35.222390860549325</v>
      </c>
      <c r="C235"/>
      <c r="E235" t="s">
        <v>8</v>
      </c>
    </row>
    <row r="236" spans="1:5" x14ac:dyDescent="0.25">
      <c r="A236" s="30">
        <v>33.545134152904119</v>
      </c>
      <c r="E236" t="s">
        <v>8</v>
      </c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30.426425535513939</v>
      </c>
      <c r="E238" t="s">
        <v>8</v>
      </c>
    </row>
    <row r="239" spans="1:5" x14ac:dyDescent="0.25">
      <c r="A239" s="30">
        <v>28.977548129060892</v>
      </c>
      <c r="E239" t="s">
        <v>8</v>
      </c>
    </row>
    <row r="240" spans="1:5" x14ac:dyDescent="0.25">
      <c r="A240" s="30">
        <v>27.597664884819896</v>
      </c>
      <c r="E240" s="29" t="s">
        <v>8</v>
      </c>
    </row>
    <row r="241" spans="1:5" x14ac:dyDescent="0.25">
      <c r="A241" s="30">
        <v>26.283490366495137</v>
      </c>
      <c r="B241"/>
      <c r="C241"/>
      <c r="D241"/>
      <c r="E241" t="s">
        <v>8</v>
      </c>
    </row>
    <row r="242" spans="1:5" x14ac:dyDescent="0.25">
      <c r="A242" s="30">
        <v>25.031895587138223</v>
      </c>
      <c r="B242"/>
      <c r="C242"/>
      <c r="D242"/>
      <c r="E242" t="s">
        <v>8</v>
      </c>
    </row>
    <row r="243" spans="1:5" x14ac:dyDescent="0.25">
      <c r="A243" s="30">
        <v>23.839900559179259</v>
      </c>
      <c r="B243"/>
      <c r="C243"/>
      <c r="D243"/>
      <c r="E243" t="s">
        <v>8</v>
      </c>
    </row>
    <row r="244" spans="1:5" x14ac:dyDescent="0.25">
      <c r="A244" s="30">
        <v>22.704667199218342</v>
      </c>
      <c r="B244"/>
      <c r="C244"/>
      <c r="D244"/>
      <c r="E244" t="s">
        <v>8</v>
      </c>
    </row>
    <row r="245" spans="1:5" x14ac:dyDescent="0.25">
      <c r="A245" s="30">
        <v>21.623492570684135</v>
      </c>
      <c r="B245"/>
      <c r="C245"/>
      <c r="D245"/>
      <c r="E245" t="s">
        <v>8</v>
      </c>
    </row>
    <row r="246" spans="1:5" x14ac:dyDescent="0.25">
      <c r="A246" s="30">
        <v>20.593802448270605</v>
      </c>
      <c r="B246"/>
      <c r="C246"/>
      <c r="D246"/>
      <c r="E246" t="s">
        <v>8</v>
      </c>
    </row>
    <row r="247" spans="1:5" x14ac:dyDescent="0.25">
      <c r="A247" s="30">
        <v>19.613145188829147</v>
      </c>
      <c r="B247"/>
      <c r="C247"/>
      <c r="D247"/>
      <c r="E247" t="s">
        <v>8</v>
      </c>
    </row>
    <row r="248" spans="1:5" x14ac:dyDescent="0.25">
      <c r="A248" s="30">
        <v>18.679185894122998</v>
      </c>
      <c r="B248"/>
      <c r="C248"/>
      <c r="D248"/>
      <c r="E248" t="s">
        <v>8</v>
      </c>
    </row>
    <row r="249" spans="1:5" x14ac:dyDescent="0.25">
      <c r="A249" s="30">
        <v>17.78970085154571</v>
      </c>
      <c r="B249"/>
      <c r="C249"/>
      <c r="D249"/>
      <c r="E249" t="s">
        <v>8</v>
      </c>
    </row>
    <row r="250" spans="1:5" x14ac:dyDescent="0.25">
      <c r="A250" s="30">
        <v>16.942572239567344</v>
      </c>
      <c r="B250"/>
      <c r="C250"/>
      <c r="D250"/>
      <c r="E250" t="s">
        <v>8</v>
      </c>
    </row>
    <row r="251" spans="1:5" x14ac:dyDescent="0.25">
      <c r="A251" s="30">
        <v>16.135783085302233</v>
      </c>
      <c r="B251"/>
      <c r="C251"/>
      <c r="D251"/>
      <c r="E251" t="s">
        <v>8</v>
      </c>
    </row>
    <row r="252" spans="1:5" x14ac:dyDescent="0.25">
      <c r="A252" s="30">
        <v>15.367412462192602</v>
      </c>
      <c r="B252"/>
      <c r="C252"/>
      <c r="D252"/>
      <c r="E252" t="s">
        <v>8</v>
      </c>
    </row>
    <row r="253" spans="1:5" x14ac:dyDescent="0.25">
      <c r="A253" s="30">
        <v>14.635630916373906</v>
      </c>
      <c r="B253"/>
      <c r="C253"/>
      <c r="D253"/>
      <c r="E253" t="s">
        <v>8</v>
      </c>
    </row>
    <row r="254" spans="1:5" x14ac:dyDescent="0.25">
      <c r="A254" s="30">
        <v>13.938696110832291</v>
      </c>
      <c r="B254"/>
      <c r="C254"/>
      <c r="D254"/>
      <c r="E254" t="s">
        <v>8</v>
      </c>
    </row>
    <row r="255" spans="1:5" x14ac:dyDescent="0.25">
      <c r="A255" s="30">
        <v>13.274948676983135</v>
      </c>
      <c r="E255" t="s">
        <v>8</v>
      </c>
    </row>
    <row r="256" spans="1:5" x14ac:dyDescent="0.25">
      <c r="A256" s="30">
        <v>12.64280826379346</v>
      </c>
      <c r="E256" t="s">
        <v>8</v>
      </c>
    </row>
    <row r="257" spans="1:5" x14ac:dyDescent="0.25">
      <c r="A257" s="30">
        <v>12.04076977504139</v>
      </c>
      <c r="B257"/>
      <c r="C257"/>
      <c r="D257"/>
      <c r="E257" t="s">
        <v>8</v>
      </c>
    </row>
    <row r="258" spans="1:5" x14ac:dyDescent="0.25">
      <c r="A258" s="30">
        <v>11.467399785753704</v>
      </c>
      <c r="B258"/>
      <c r="C258"/>
      <c r="D258"/>
      <c r="E258" t="s">
        <v>8</v>
      </c>
    </row>
    <row r="259" spans="1:5" x14ac:dyDescent="0.25">
      <c r="A259" s="30">
        <v>10.921333129289241</v>
      </c>
      <c r="B259"/>
      <c r="C259"/>
      <c r="D259"/>
      <c r="E259" t="s">
        <v>8</v>
      </c>
    </row>
    <row r="260" spans="1:5" x14ac:dyDescent="0.25">
      <c r="A260" s="30">
        <v>10.401269646942135</v>
      </c>
      <c r="B260"/>
      <c r="C260"/>
      <c r="D260"/>
      <c r="E260" t="s">
        <v>8</v>
      </c>
    </row>
    <row r="261" spans="1:5" x14ac:dyDescent="0.25">
      <c r="A261" s="30">
        <v>9.9059710923258422</v>
      </c>
      <c r="B261"/>
      <c r="C261"/>
      <c r="D261"/>
      <c r="E261" t="s">
        <v>8</v>
      </c>
    </row>
    <row r="262" spans="1:5" x14ac:dyDescent="0.25">
      <c r="A262" s="30">
        <v>9.4342581831674686</v>
      </c>
      <c r="B262"/>
      <c r="C262"/>
      <c r="D262"/>
      <c r="E262" t="s">
        <v>8</v>
      </c>
    </row>
    <row r="263" spans="1:5" x14ac:dyDescent="0.25">
      <c r="A263" s="30">
        <v>8.9850077934928265</v>
      </c>
      <c r="B263"/>
      <c r="C263"/>
      <c r="D263"/>
      <c r="E263" t="s">
        <v>8</v>
      </c>
    </row>
    <row r="264" spans="1:5" x14ac:dyDescent="0.25">
      <c r="A264" s="30">
        <v>8.5571502795169767</v>
      </c>
      <c r="B264"/>
      <c r="C264"/>
      <c r="D264"/>
      <c r="E264" t="s">
        <v>8</v>
      </c>
    </row>
    <row r="265" spans="1:5" x14ac:dyDescent="0.25">
      <c r="A265" s="30">
        <v>8.1496669328733109</v>
      </c>
      <c r="B265"/>
      <c r="C265"/>
      <c r="D265"/>
      <c r="E265" t="s">
        <v>8</v>
      </c>
    </row>
    <row r="266" spans="1:5" x14ac:dyDescent="0.25">
      <c r="A266" s="30">
        <v>7.7615875551174378</v>
      </c>
      <c r="B266"/>
      <c r="C266"/>
      <c r="D266"/>
      <c r="E266" t="s">
        <v>8</v>
      </c>
    </row>
    <row r="267" spans="1:5" x14ac:dyDescent="0.25">
      <c r="A267" s="30">
        <v>7.3919881477308929</v>
      </c>
      <c r="B267"/>
      <c r="C267"/>
      <c r="D267"/>
      <c r="E267" t="s">
        <v>8</v>
      </c>
    </row>
    <row r="268" spans="1:5" x14ac:dyDescent="0.25">
      <c r="A268" s="30">
        <v>7.0399887121246598</v>
      </c>
      <c r="B268"/>
      <c r="C268"/>
      <c r="D268"/>
      <c r="E268" t="s">
        <v>8</v>
      </c>
    </row>
    <row r="269" spans="1:5" x14ac:dyDescent="0.25">
      <c r="A269" s="30">
        <v>6.7047511544044376</v>
      </c>
      <c r="B269"/>
      <c r="C269"/>
      <c r="D269"/>
      <c r="E269" t="s">
        <v>8</v>
      </c>
    </row>
    <row r="270" spans="1:5" x14ac:dyDescent="0.25">
      <c r="A270" s="30">
        <v>6.3854772899089882</v>
      </c>
      <c r="B270"/>
      <c r="C270"/>
      <c r="D270"/>
      <c r="E270" t="s">
        <v>8</v>
      </c>
    </row>
    <row r="271" spans="1:5" x14ac:dyDescent="0.25">
      <c r="A271" s="30">
        <v>6.0814069427704647</v>
      </c>
      <c r="B271"/>
      <c r="C271"/>
      <c r="D271"/>
      <c r="E271" t="s">
        <v>8</v>
      </c>
    </row>
    <row r="272" spans="1:5" x14ac:dyDescent="0.25">
      <c r="A272" s="30">
        <v>5.7918161359718709</v>
      </c>
      <c r="B272"/>
      <c r="C272"/>
      <c r="D272"/>
      <c r="E272" t="s">
        <v>8</v>
      </c>
    </row>
    <row r="273" spans="1:5" x14ac:dyDescent="0.25">
      <c r="A273" s="30">
        <v>5.5160153675922574</v>
      </c>
      <c r="B273"/>
      <c r="C273"/>
      <c r="D273"/>
      <c r="E273" t="s">
        <v>8</v>
      </c>
    </row>
    <row r="274" spans="1:5" x14ac:dyDescent="0.25">
      <c r="A274" s="30">
        <v>5.2533479691354827</v>
      </c>
      <c r="B274"/>
      <c r="C274"/>
      <c r="D274"/>
      <c r="E274" t="s">
        <v>8</v>
      </c>
    </row>
    <row r="275" spans="1:5" x14ac:dyDescent="0.25">
      <c r="A275" s="30">
        <v>5.0031885420337927</v>
      </c>
      <c r="B275"/>
      <c r="C275"/>
      <c r="D275"/>
      <c r="E275" t="s">
        <v>8</v>
      </c>
    </row>
    <row r="276" spans="1:5" x14ac:dyDescent="0.25">
      <c r="A276" s="30">
        <v>4.7649414686036122</v>
      </c>
      <c r="B276"/>
      <c r="C276"/>
      <c r="D276"/>
      <c r="E276" t="s">
        <v>8</v>
      </c>
    </row>
    <row r="277" spans="1:5" x14ac:dyDescent="0.25">
      <c r="A277" s="30">
        <v>4.5380394939082018</v>
      </c>
      <c r="B277"/>
      <c r="C277"/>
      <c r="D277"/>
      <c r="E277" t="s">
        <v>8</v>
      </c>
    </row>
    <row r="278" spans="1:5" x14ac:dyDescent="0.25">
      <c r="A278" s="30">
        <v>4.3219423751506678</v>
      </c>
      <c r="B278"/>
      <c r="C278"/>
      <c r="D278"/>
      <c r="E278" t="s">
        <v>8</v>
      </c>
    </row>
    <row r="279" spans="1:5" x14ac:dyDescent="0.25">
      <c r="A279" s="30">
        <v>4.1161355953815884</v>
      </c>
      <c r="B279"/>
      <c r="C279"/>
      <c r="D279"/>
      <c r="E279" t="s">
        <v>8</v>
      </c>
    </row>
    <row r="280" spans="1:5" x14ac:dyDescent="0.25">
      <c r="A280" s="30">
        <v>3.9201291384586554</v>
      </c>
      <c r="B280"/>
      <c r="C280"/>
      <c r="D280"/>
      <c r="E280" t="s">
        <v>8</v>
      </c>
    </row>
    <row r="281" spans="1:5" x14ac:dyDescent="0.25">
      <c r="A281" s="30">
        <v>3.7334563223415764</v>
      </c>
      <c r="B281"/>
      <c r="C281"/>
      <c r="D281"/>
      <c r="E281" t="s">
        <v>8</v>
      </c>
    </row>
    <row r="282" spans="1:5" x14ac:dyDescent="0.25">
      <c r="A282" s="30">
        <v>3.5556726879443583</v>
      </c>
      <c r="B282"/>
      <c r="C282"/>
      <c r="D282"/>
      <c r="E282" t="s">
        <v>8</v>
      </c>
    </row>
    <row r="283" spans="1:5" x14ac:dyDescent="0.25">
      <c r="A283" s="30">
        <v>3.3863549408993889</v>
      </c>
      <c r="B283"/>
      <c r="C283"/>
      <c r="D283"/>
      <c r="E283" t="s">
        <v>8</v>
      </c>
    </row>
    <row r="284" spans="1:5" x14ac:dyDescent="0.25">
      <c r="A284" s="30">
        <v>3.2250999437137038</v>
      </c>
      <c r="B284"/>
      <c r="C284"/>
      <c r="D284"/>
      <c r="E284" t="s">
        <v>8</v>
      </c>
    </row>
    <row r="285" spans="1:5" x14ac:dyDescent="0.25">
      <c r="A285" s="30">
        <v>3.0715237559178128</v>
      </c>
      <c r="B285"/>
      <c r="C285"/>
      <c r="D285"/>
      <c r="E285" t="s">
        <v>8</v>
      </c>
    </row>
    <row r="286" spans="1:5" x14ac:dyDescent="0.25">
      <c r="A286" s="30">
        <v>2.9252607199217264</v>
      </c>
      <c r="B286"/>
      <c r="C286"/>
      <c r="D286"/>
      <c r="E286" t="s">
        <v>8</v>
      </c>
    </row>
    <row r="287" spans="1:5" x14ac:dyDescent="0.25">
      <c r="A287" s="30">
        <v>2.7859625904016441</v>
      </c>
      <c r="B287"/>
      <c r="C287"/>
      <c r="D287"/>
      <c r="E287" t="s">
        <v>8</v>
      </c>
    </row>
    <row r="288" spans="1:5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934" operator="equal">
      <formula>$U$1</formula>
    </cfRule>
    <cfRule type="cellIs" dxfId="67" priority="935" operator="equal">
      <formula>$S$1</formula>
    </cfRule>
  </conditionalFormatting>
  <conditionalFormatting sqref="D136">
    <cfRule type="cellIs" dxfId="66" priority="932" operator="equal">
      <formula>$S$1</formula>
    </cfRule>
    <cfRule type="cellIs" dxfId="65" priority="933" operator="equal">
      <formula>$U$1</formula>
    </cfRule>
  </conditionalFormatting>
  <conditionalFormatting sqref="C162">
    <cfRule type="cellIs" dxfId="64" priority="930" operator="equal">
      <formula>$U$1</formula>
    </cfRule>
    <cfRule type="cellIs" dxfId="63" priority="931" operator="equal">
      <formula>$S$1</formula>
    </cfRule>
  </conditionalFormatting>
  <conditionalFormatting sqref="D162">
    <cfRule type="cellIs" dxfId="62" priority="928" operator="equal">
      <formula>$S$1</formula>
    </cfRule>
    <cfRule type="cellIs" dxfId="61" priority="929" operator="equal">
      <formula>$U$1</formula>
    </cfRule>
  </conditionalFormatting>
  <conditionalFormatting sqref="C187">
    <cfRule type="cellIs" dxfId="60" priority="926" operator="equal">
      <formula>$U$1</formula>
    </cfRule>
    <cfRule type="cellIs" dxfId="59" priority="927" operator="equal">
      <formula>$S$1</formula>
    </cfRule>
  </conditionalFormatting>
  <conditionalFormatting sqref="D187">
    <cfRule type="cellIs" dxfId="58" priority="924" operator="equal">
      <formula>$S$1</formula>
    </cfRule>
    <cfRule type="cellIs" dxfId="57" priority="925" operator="equal">
      <formula>$U$1</formula>
    </cfRule>
  </conditionalFormatting>
  <conditionalFormatting sqref="C212">
    <cfRule type="cellIs" dxfId="56" priority="922" operator="equal">
      <formula>$U$1</formula>
    </cfRule>
    <cfRule type="cellIs" dxfId="55" priority="923" operator="equal">
      <formula>$S$1</formula>
    </cfRule>
  </conditionalFormatting>
  <conditionalFormatting sqref="D212">
    <cfRule type="cellIs" dxfId="54" priority="920" operator="equal">
      <formula>$S$1</formula>
    </cfRule>
    <cfRule type="cellIs" dxfId="53" priority="921" operator="equal">
      <formula>$U$1</formula>
    </cfRule>
  </conditionalFormatting>
  <conditionalFormatting sqref="C237">
    <cfRule type="cellIs" dxfId="52" priority="918" operator="equal">
      <formula>$U$1</formula>
    </cfRule>
    <cfRule type="cellIs" dxfId="51" priority="919" operator="equal">
      <formula>$S$1</formula>
    </cfRule>
  </conditionalFormatting>
  <conditionalFormatting sqref="D237">
    <cfRule type="cellIs" dxfId="50" priority="916" operator="equal">
      <formula>$S$1</formula>
    </cfRule>
    <cfRule type="cellIs" dxfId="49" priority="917" operator="equal">
      <formula>$U$1</formula>
    </cfRule>
  </conditionalFormatting>
  <conditionalFormatting sqref="C106">
    <cfRule type="cellIs" dxfId="48" priority="914" operator="equal">
      <formula>$U$1</formula>
    </cfRule>
    <cfRule type="cellIs" dxfId="47" priority="915" operator="equal">
      <formula>$S$1</formula>
    </cfRule>
  </conditionalFormatting>
  <conditionalFormatting sqref="D106">
    <cfRule type="cellIs" dxfId="46" priority="912" operator="equal">
      <formula>$S$1</formula>
    </cfRule>
    <cfRule type="cellIs" dxfId="45" priority="913" operator="equal">
      <formula>$U$1</formula>
    </cfRule>
  </conditionalFormatting>
  <conditionalFormatting sqref="C81">
    <cfRule type="cellIs" dxfId="44" priority="910" operator="equal">
      <formula>$U$1</formula>
    </cfRule>
    <cfRule type="cellIs" dxfId="43" priority="911" operator="equal">
      <formula>$S$1</formula>
    </cfRule>
  </conditionalFormatting>
  <conditionalFormatting sqref="D81">
    <cfRule type="cellIs" dxfId="42" priority="908" operator="equal">
      <formula>$S$1</formula>
    </cfRule>
    <cfRule type="cellIs" dxfId="41" priority="909" operator="equal">
      <formula>$U$1</formula>
    </cfRule>
  </conditionalFormatting>
  <conditionalFormatting sqref="C56">
    <cfRule type="cellIs" dxfId="40" priority="906" operator="equal">
      <formula>$U$1</formula>
    </cfRule>
    <cfRule type="cellIs" dxfId="39" priority="907" operator="equal">
      <formula>$S$1</formula>
    </cfRule>
  </conditionalFormatting>
  <conditionalFormatting sqref="D56">
    <cfRule type="cellIs" dxfId="38" priority="904" operator="equal">
      <formula>$S$1</formula>
    </cfRule>
    <cfRule type="cellIs" dxfId="37" priority="905" operator="equal">
      <formula>$U$1</formula>
    </cfRule>
  </conditionalFormatting>
  <conditionalFormatting sqref="C31">
    <cfRule type="cellIs" dxfId="36" priority="902" operator="equal">
      <formula>$U$1</formula>
    </cfRule>
    <cfRule type="cellIs" dxfId="35" priority="903" operator="equal">
      <formula>$S$1</formula>
    </cfRule>
  </conditionalFormatting>
  <conditionalFormatting sqref="D31">
    <cfRule type="cellIs" dxfId="34" priority="900" operator="equal">
      <formula>$S$1</formula>
    </cfRule>
    <cfRule type="cellIs" dxfId="33" priority="90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AN79" sqref="AN79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37" x14ac:dyDescent="0.25">
      <c r="A49" s="30">
        <v>32493.963047250312</v>
      </c>
      <c r="C49" s="1">
        <f>C38</f>
        <v>0</v>
      </c>
      <c r="E49"/>
    </row>
    <row r="50" spans="1:37" x14ac:dyDescent="0.25">
      <c r="A50" s="30">
        <v>29539.966406591189</v>
      </c>
      <c r="C50"/>
      <c r="D50"/>
      <c r="E50"/>
    </row>
    <row r="51" spans="1:37" x14ac:dyDescent="0.25">
      <c r="A51" s="30">
        <v>26854.514915082898</v>
      </c>
      <c r="C51" s="1" t="s">
        <v>14</v>
      </c>
      <c r="E51"/>
    </row>
    <row r="52" spans="1:37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37" x14ac:dyDescent="0.25">
      <c r="A53" s="30">
        <v>22193.81397940735</v>
      </c>
      <c r="E53"/>
    </row>
    <row r="54" spans="1:37" x14ac:dyDescent="0.25">
      <c r="A54" s="30">
        <v>20176.194526733954</v>
      </c>
      <c r="E54"/>
    </row>
    <row r="55" spans="1:37" x14ac:dyDescent="0.25">
      <c r="A55" s="30">
        <v>18341.995024303593</v>
      </c>
      <c r="E55"/>
    </row>
    <row r="56" spans="1:37" x14ac:dyDescent="0.25">
      <c r="A56" s="30">
        <v>16674.540931185082</v>
      </c>
      <c r="E56"/>
    </row>
    <row r="57" spans="1:37" x14ac:dyDescent="0.25">
      <c r="A57" s="30">
        <v>15158.673573804617</v>
      </c>
      <c r="E57"/>
    </row>
    <row r="58" spans="1:37" x14ac:dyDescent="0.25">
      <c r="A58" s="30">
        <v>13780.612339822379</v>
      </c>
      <c r="E58"/>
    </row>
    <row r="59" spans="1:37" x14ac:dyDescent="0.25">
      <c r="A59" s="30">
        <v>12527.829399838525</v>
      </c>
      <c r="E59"/>
    </row>
    <row r="60" spans="1:37" x14ac:dyDescent="0.25">
      <c r="A60" s="30">
        <v>11388.935818035023</v>
      </c>
      <c r="E60"/>
    </row>
    <row r="61" spans="1:37" x14ac:dyDescent="0.25">
      <c r="A61" s="30">
        <v>10353.578016395475</v>
      </c>
      <c r="E61"/>
    </row>
    <row r="62" spans="1:37" x14ac:dyDescent="0.25">
      <c r="A62" s="30">
        <v>9412.343651268613</v>
      </c>
      <c r="E62"/>
    </row>
    <row r="63" spans="1:37" x14ac:dyDescent="0.25">
      <c r="A63" s="30">
        <v>8556.6760466078285</v>
      </c>
      <c r="E63"/>
    </row>
    <row r="64" spans="1:37" x14ac:dyDescent="0.25">
      <c r="A64" s="30">
        <v>7778.7964060071163</v>
      </c>
      <c r="E64" t="s">
        <v>8</v>
      </c>
      <c r="AK64" s="27" t="s">
        <v>8</v>
      </c>
    </row>
    <row r="65" spans="1:40" x14ac:dyDescent="0.25">
      <c r="A65" s="30">
        <v>7071.6330963701048</v>
      </c>
      <c r="E65" t="s">
        <v>8</v>
      </c>
      <c r="F65" s="27" t="s">
        <v>7</v>
      </c>
      <c r="AK65" s="27" t="s">
        <v>8</v>
      </c>
      <c r="AL65" s="27" t="s">
        <v>7</v>
      </c>
    </row>
    <row r="66" spans="1:40" x14ac:dyDescent="0.25">
      <c r="A66" s="30">
        <v>6428.7573603364581</v>
      </c>
      <c r="E66" t="s">
        <v>8</v>
      </c>
      <c r="F66" s="27" t="s">
        <v>7</v>
      </c>
      <c r="I66" s="27" t="s">
        <v>8</v>
      </c>
      <c r="AK66" s="27" t="s">
        <v>8</v>
      </c>
      <c r="AL66" s="27" t="s">
        <v>7</v>
      </c>
    </row>
    <row r="67" spans="1:40" x14ac:dyDescent="0.25">
      <c r="A67" s="30">
        <v>5844.3248730331434</v>
      </c>
      <c r="C67" s="1" t="s">
        <v>15</v>
      </c>
      <c r="E67" t="s">
        <v>8</v>
      </c>
      <c r="F67" s="27" t="s">
        <v>7</v>
      </c>
      <c r="I67" s="27" t="s">
        <v>8</v>
      </c>
      <c r="J67" s="27" t="s">
        <v>7</v>
      </c>
      <c r="AK67" s="27" t="s">
        <v>8</v>
      </c>
      <c r="AL67" s="27" t="s">
        <v>7</v>
      </c>
    </row>
    <row r="68" spans="1:40" x14ac:dyDescent="0.25">
      <c r="A68" s="30">
        <v>5313.0226118483115</v>
      </c>
      <c r="C68" s="7">
        <v>0.11167815779424731</v>
      </c>
      <c r="D68"/>
      <c r="E68" t="s">
        <v>8</v>
      </c>
      <c r="F68" s="27" t="s">
        <v>7</v>
      </c>
      <c r="I68" s="27" t="s">
        <v>8</v>
      </c>
      <c r="J68" s="27" t="s">
        <v>7</v>
      </c>
      <c r="AK68" s="27" t="s">
        <v>8</v>
      </c>
      <c r="AL68" s="27" t="s">
        <v>7</v>
      </c>
    </row>
    <row r="69" spans="1:40" x14ac:dyDescent="0.25">
      <c r="A69" s="30">
        <v>4830.020556225737</v>
      </c>
      <c r="E69" t="s">
        <v>8</v>
      </c>
      <c r="F69" s="27" t="s">
        <v>7</v>
      </c>
      <c r="I69" s="27" t="s">
        <v>8</v>
      </c>
      <c r="J69" s="27" t="s">
        <v>7</v>
      </c>
      <c r="AK69" s="27" t="s">
        <v>8</v>
      </c>
      <c r="AL69" s="27" t="s">
        <v>7</v>
      </c>
    </row>
    <row r="70" spans="1:40" x14ac:dyDescent="0.25">
      <c r="A70" s="30">
        <v>4390.927778387033</v>
      </c>
      <c r="C70" s="1" t="s">
        <v>11</v>
      </c>
      <c r="D70" s="1" t="s">
        <v>12</v>
      </c>
      <c r="E70" t="s">
        <v>8</v>
      </c>
      <c r="F70" s="27" t="s">
        <v>7</v>
      </c>
      <c r="I70" s="27" t="s">
        <v>8</v>
      </c>
      <c r="J70" s="27" t="s">
        <v>7</v>
      </c>
      <c r="AK70" s="27" t="s">
        <v>8</v>
      </c>
      <c r="AL70" s="27" t="s">
        <v>7</v>
      </c>
    </row>
    <row r="71" spans="1:40" x14ac:dyDescent="0.25">
      <c r="A71" s="30">
        <v>3991.7525258063934</v>
      </c>
      <c r="C71"/>
      <c r="D71"/>
      <c r="E71" t="s">
        <v>8</v>
      </c>
      <c r="F71" s="27" t="s">
        <v>7</v>
      </c>
      <c r="G71" s="27" t="s">
        <v>8</v>
      </c>
      <c r="I71" s="27" t="s">
        <v>8</v>
      </c>
      <c r="J71" s="27" t="s">
        <v>7</v>
      </c>
      <c r="K71" s="27" t="s">
        <v>8</v>
      </c>
      <c r="AK71" s="27" t="s">
        <v>8</v>
      </c>
      <c r="AL71" s="27" t="s">
        <v>7</v>
      </c>
    </row>
    <row r="72" spans="1:40" x14ac:dyDescent="0.25">
      <c r="A72" s="30">
        <v>3628.8659325512663</v>
      </c>
      <c r="E72" t="s">
        <v>8</v>
      </c>
      <c r="F72" s="27" t="s">
        <v>7</v>
      </c>
      <c r="G72" s="27" t="s">
        <v>8</v>
      </c>
      <c r="H72" s="27" t="s">
        <v>7</v>
      </c>
      <c r="I72" s="27" t="s">
        <v>8</v>
      </c>
      <c r="J72" s="27" t="s">
        <v>7</v>
      </c>
      <c r="K72" s="27" t="s">
        <v>8</v>
      </c>
      <c r="L72" s="27" t="s">
        <v>7</v>
      </c>
      <c r="Y72" s="27" t="s">
        <v>8</v>
      </c>
      <c r="AE72" s="27" t="s">
        <v>8</v>
      </c>
      <c r="AK72" s="27" t="s">
        <v>8</v>
      </c>
      <c r="AL72" s="27" t="s">
        <v>7</v>
      </c>
      <c r="AM72" s="27" t="s">
        <v>8</v>
      </c>
    </row>
    <row r="73" spans="1:40" x14ac:dyDescent="0.25">
      <c r="A73" s="30">
        <v>3298.96902959206</v>
      </c>
      <c r="C73" s="1" t="s">
        <v>13</v>
      </c>
      <c r="E73" t="s">
        <v>8</v>
      </c>
      <c r="F73" s="27" t="s">
        <v>7</v>
      </c>
      <c r="G73" s="27" t="s">
        <v>8</v>
      </c>
      <c r="H73" s="27" t="s">
        <v>7</v>
      </c>
      <c r="I73" s="27" t="s">
        <v>8</v>
      </c>
      <c r="J73" s="27" t="s">
        <v>7</v>
      </c>
      <c r="K73" s="27" t="s">
        <v>8</v>
      </c>
      <c r="L73" s="27" t="s">
        <v>7</v>
      </c>
      <c r="Y73" s="27" t="s">
        <v>8</v>
      </c>
      <c r="Z73" s="27" t="s">
        <v>7</v>
      </c>
      <c r="AA73" s="27" t="s">
        <v>8</v>
      </c>
      <c r="AE73" s="27" t="s">
        <v>8</v>
      </c>
      <c r="AF73" s="27" t="s">
        <v>7</v>
      </c>
      <c r="AK73" s="27" t="s">
        <v>8</v>
      </c>
      <c r="AL73" s="27" t="s">
        <v>7</v>
      </c>
      <c r="AM73" s="27" t="s">
        <v>8</v>
      </c>
      <c r="AN73" s="27" t="s">
        <v>7</v>
      </c>
    </row>
    <row r="74" spans="1:40" x14ac:dyDescent="0.25">
      <c r="A74" s="30">
        <v>2999.0627541745998</v>
      </c>
      <c r="C74" s="1">
        <f>C63</f>
        <v>0</v>
      </c>
      <c r="E74" t="s">
        <v>8</v>
      </c>
      <c r="F74" s="27" t="s">
        <v>7</v>
      </c>
      <c r="H74" s="27" t="s">
        <v>7</v>
      </c>
      <c r="J74" s="27" t="s">
        <v>7</v>
      </c>
      <c r="L74" s="27" t="s">
        <v>7</v>
      </c>
      <c r="Y74" s="27" t="s">
        <v>8</v>
      </c>
      <c r="Z74" s="27" t="s">
        <v>7</v>
      </c>
      <c r="AA74" s="27" t="s">
        <v>8</v>
      </c>
      <c r="AB74" s="27" t="s">
        <v>7</v>
      </c>
      <c r="AE74" s="27" t="s">
        <v>8</v>
      </c>
      <c r="AF74" s="27" t="s">
        <v>7</v>
      </c>
      <c r="AK74" s="27" t="s">
        <v>8</v>
      </c>
      <c r="AL74" s="27" t="s">
        <v>7</v>
      </c>
      <c r="AM74" s="27" t="s">
        <v>8</v>
      </c>
      <c r="AN74" s="27" t="s">
        <v>7</v>
      </c>
    </row>
    <row r="75" spans="1:40" x14ac:dyDescent="0.25">
      <c r="A75" s="30">
        <v>2726.4206856132723</v>
      </c>
      <c r="C75"/>
      <c r="D75"/>
      <c r="E75" t="s">
        <v>8</v>
      </c>
      <c r="L75" s="27" t="s">
        <v>7</v>
      </c>
      <c r="O75" s="27" t="s">
        <v>8</v>
      </c>
      <c r="Y75" s="27" t="s">
        <v>8</v>
      </c>
      <c r="Z75" s="27" t="s">
        <v>7</v>
      </c>
      <c r="AA75" s="27" t="s">
        <v>8</v>
      </c>
      <c r="AB75" s="27" t="s">
        <v>7</v>
      </c>
      <c r="AC75" s="27" t="s">
        <v>8</v>
      </c>
      <c r="AE75" s="27" t="s">
        <v>8</v>
      </c>
      <c r="AF75" s="27" t="s">
        <v>7</v>
      </c>
      <c r="AK75" s="27" t="s">
        <v>8</v>
      </c>
      <c r="AL75" s="27" t="s">
        <v>7</v>
      </c>
      <c r="AM75" s="27" t="s">
        <v>8</v>
      </c>
      <c r="AN75" s="27" t="s">
        <v>7</v>
      </c>
    </row>
    <row r="76" spans="1:40" x14ac:dyDescent="0.25">
      <c r="A76" s="30">
        <v>2478.564259648429</v>
      </c>
      <c r="C76" s="1" t="s">
        <v>14</v>
      </c>
      <c r="E76" t="s">
        <v>8</v>
      </c>
      <c r="L76" s="27" t="s">
        <v>7</v>
      </c>
      <c r="M76" s="27" t="s">
        <v>8</v>
      </c>
      <c r="O76" s="27" t="s">
        <v>8</v>
      </c>
      <c r="P76" s="27" t="s">
        <v>7</v>
      </c>
      <c r="W76" s="27" t="s">
        <v>8</v>
      </c>
      <c r="Y76" s="27" t="s">
        <v>8</v>
      </c>
      <c r="Z76" s="27" t="s">
        <v>7</v>
      </c>
      <c r="AA76" s="27" t="s">
        <v>8</v>
      </c>
      <c r="AB76" s="27" t="s">
        <v>7</v>
      </c>
      <c r="AC76" s="27" t="s">
        <v>8</v>
      </c>
      <c r="AD76" s="27" t="s">
        <v>7</v>
      </c>
      <c r="AE76" s="27" t="s">
        <v>8</v>
      </c>
      <c r="AF76" s="27" t="s">
        <v>7</v>
      </c>
      <c r="AK76" s="18" t="s">
        <v>8</v>
      </c>
      <c r="AL76" s="27" t="s">
        <v>7</v>
      </c>
      <c r="AM76" s="27" t="s">
        <v>8</v>
      </c>
      <c r="AN76" s="27" t="s">
        <v>7</v>
      </c>
    </row>
    <row r="77" spans="1:40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L77" s="27" t="s">
        <v>7</v>
      </c>
      <c r="M77" s="27" t="s">
        <v>8</v>
      </c>
      <c r="N77" s="27" t="s">
        <v>7</v>
      </c>
      <c r="O77" s="27" t="s">
        <v>8</v>
      </c>
      <c r="P77" s="27" t="s">
        <v>7</v>
      </c>
      <c r="Q77" s="27" t="s">
        <v>8</v>
      </c>
      <c r="U77" s="27" t="s">
        <v>8</v>
      </c>
      <c r="W77" s="27" t="s">
        <v>8</v>
      </c>
      <c r="X77" s="27" t="s">
        <v>7</v>
      </c>
      <c r="Y77" s="27" t="s">
        <v>8</v>
      </c>
      <c r="Z77" s="27" t="s">
        <v>7</v>
      </c>
      <c r="AA77" s="27" t="s">
        <v>8</v>
      </c>
      <c r="AB77" s="27" t="s">
        <v>7</v>
      </c>
      <c r="AC77" s="27" t="s">
        <v>8</v>
      </c>
      <c r="AD77" s="27" t="s">
        <v>7</v>
      </c>
      <c r="AE77" s="27" t="s">
        <v>8</v>
      </c>
      <c r="AF77" s="27" t="s">
        <v>7</v>
      </c>
      <c r="AK77" s="27" t="s">
        <v>8</v>
      </c>
      <c r="AL77" s="27" t="s">
        <v>7</v>
      </c>
      <c r="AN77" s="27" t="s">
        <v>7</v>
      </c>
    </row>
    <row r="78" spans="1:40" x14ac:dyDescent="0.25">
      <c r="A78" s="30">
        <v>2048.4002145854779</v>
      </c>
      <c r="E78" t="s">
        <v>8</v>
      </c>
      <c r="L78" s="27" t="s">
        <v>7</v>
      </c>
      <c r="M78" s="27" t="s">
        <v>8</v>
      </c>
      <c r="N78" s="27" t="s">
        <v>7</v>
      </c>
      <c r="O78" s="27" t="s">
        <v>8</v>
      </c>
      <c r="P78" s="27" t="s">
        <v>7</v>
      </c>
      <c r="Q78" s="27" t="s">
        <v>8</v>
      </c>
      <c r="R78" s="27" t="s">
        <v>7</v>
      </c>
      <c r="S78" s="27" t="s">
        <v>8</v>
      </c>
      <c r="U78" s="27" t="s">
        <v>8</v>
      </c>
      <c r="V78" s="27" t="s">
        <v>7</v>
      </c>
      <c r="W78" s="27" t="s">
        <v>8</v>
      </c>
      <c r="X78" s="27" t="s">
        <v>7</v>
      </c>
      <c r="Y78" s="27" t="s">
        <v>8</v>
      </c>
      <c r="Z78" s="27" t="s">
        <v>7</v>
      </c>
      <c r="AA78" s="27" t="s">
        <v>8</v>
      </c>
      <c r="AB78" s="27" t="s">
        <v>7</v>
      </c>
      <c r="AD78" s="27" t="s">
        <v>7</v>
      </c>
      <c r="AF78" s="27" t="s">
        <v>7</v>
      </c>
      <c r="AI78" s="27" t="s">
        <v>8</v>
      </c>
      <c r="AK78" s="27" t="s">
        <v>8</v>
      </c>
      <c r="AN78" s="27" t="s">
        <v>7</v>
      </c>
    </row>
    <row r="79" spans="1:40" x14ac:dyDescent="0.25">
      <c r="A79" s="30">
        <v>1862.1820132595253</v>
      </c>
      <c r="E79" t="s">
        <v>8</v>
      </c>
      <c r="L79" s="27" t="s">
        <v>7</v>
      </c>
      <c r="M79" s="27" t="s">
        <v>8</v>
      </c>
      <c r="N79" s="27" t="s">
        <v>7</v>
      </c>
      <c r="O79" s="27" t="s">
        <v>8</v>
      </c>
      <c r="P79" s="27" t="s">
        <v>7</v>
      </c>
      <c r="Q79" s="27" t="s">
        <v>8</v>
      </c>
      <c r="R79" s="27" t="s">
        <v>7</v>
      </c>
      <c r="S79" s="27" t="s">
        <v>8</v>
      </c>
      <c r="T79" s="27" t="s">
        <v>7</v>
      </c>
      <c r="U79" s="27" t="s">
        <v>8</v>
      </c>
      <c r="V79" s="27" t="s">
        <v>7</v>
      </c>
      <c r="W79" s="27" t="s">
        <v>8</v>
      </c>
      <c r="X79" s="27" t="s">
        <v>7</v>
      </c>
      <c r="Z79" s="27" t="s">
        <v>7</v>
      </c>
      <c r="AF79" s="27" t="s">
        <v>7</v>
      </c>
      <c r="AG79" s="27" t="s">
        <v>8</v>
      </c>
      <c r="AI79" s="27" t="s">
        <v>8</v>
      </c>
      <c r="AJ79" s="27" t="s">
        <v>7</v>
      </c>
      <c r="AK79" s="27" t="s">
        <v>8</v>
      </c>
      <c r="AN79" s="27" t="s">
        <v>7</v>
      </c>
    </row>
    <row r="80" spans="1:40" x14ac:dyDescent="0.25">
      <c r="A80" s="30">
        <v>1692.8927393268411</v>
      </c>
      <c r="E80" t="s">
        <v>8</v>
      </c>
      <c r="L80" s="27" t="s">
        <v>7</v>
      </c>
      <c r="M80" s="27" t="s">
        <v>8</v>
      </c>
      <c r="N80" s="27" t="s">
        <v>7</v>
      </c>
      <c r="O80" s="27" t="s">
        <v>8</v>
      </c>
      <c r="P80" s="27" t="s">
        <v>7</v>
      </c>
      <c r="Q80" s="27" t="s">
        <v>8</v>
      </c>
      <c r="R80" s="27" t="s">
        <v>7</v>
      </c>
      <c r="S80" s="27" t="s">
        <v>8</v>
      </c>
      <c r="T80" s="27" t="s">
        <v>7</v>
      </c>
      <c r="U80" s="27" t="s">
        <v>8</v>
      </c>
      <c r="V80" s="27" t="s">
        <v>7</v>
      </c>
      <c r="AF80" s="27" t="s">
        <v>7</v>
      </c>
      <c r="AG80" s="27" t="s">
        <v>8</v>
      </c>
      <c r="AH80" s="27" t="s">
        <v>7</v>
      </c>
      <c r="AI80" s="27" t="s">
        <v>8</v>
      </c>
      <c r="AJ80" s="27" t="s">
        <v>7</v>
      </c>
      <c r="AK80" s="27" t="s">
        <v>8</v>
      </c>
    </row>
    <row r="81" spans="1:37" x14ac:dyDescent="0.25">
      <c r="A81" s="30">
        <v>1538.9933993880372</v>
      </c>
      <c r="E81" t="s">
        <v>8</v>
      </c>
      <c r="L81" s="27" t="s">
        <v>7</v>
      </c>
      <c r="M81" s="27" t="s">
        <v>8</v>
      </c>
      <c r="N81" s="27" t="s">
        <v>7</v>
      </c>
      <c r="O81" s="27" t="s">
        <v>8</v>
      </c>
      <c r="P81" s="27" t="s">
        <v>7</v>
      </c>
      <c r="R81" s="27" t="s">
        <v>7</v>
      </c>
      <c r="S81" s="27" t="s">
        <v>8</v>
      </c>
      <c r="T81" s="27" t="s">
        <v>7</v>
      </c>
      <c r="AF81" s="27" t="s">
        <v>7</v>
      </c>
      <c r="AG81" s="27" t="s">
        <v>8</v>
      </c>
      <c r="AH81" s="27" t="s">
        <v>7</v>
      </c>
      <c r="AI81" s="27" t="s">
        <v>8</v>
      </c>
      <c r="AJ81" s="27" t="s">
        <v>7</v>
      </c>
      <c r="AK81" s="27" t="s">
        <v>8</v>
      </c>
    </row>
    <row r="82" spans="1:37" x14ac:dyDescent="0.25">
      <c r="A82" s="30">
        <v>1399.0849085345792</v>
      </c>
      <c r="E82" t="s">
        <v>8</v>
      </c>
      <c r="L82" s="27" t="s">
        <v>7</v>
      </c>
      <c r="M82" s="27" t="s">
        <v>8</v>
      </c>
      <c r="N82" s="27" t="s">
        <v>7</v>
      </c>
      <c r="O82" s="27" t="s">
        <v>8</v>
      </c>
      <c r="R82" s="27" t="s">
        <v>7</v>
      </c>
      <c r="S82" s="27" t="s">
        <v>8</v>
      </c>
      <c r="AF82" s="27" t="s">
        <v>7</v>
      </c>
      <c r="AG82" s="27" t="s">
        <v>8</v>
      </c>
      <c r="AH82" s="27" t="s">
        <v>7</v>
      </c>
      <c r="AI82" s="27" t="s">
        <v>8</v>
      </c>
      <c r="AJ82" s="27" t="s">
        <v>7</v>
      </c>
    </row>
    <row r="83" spans="1:37" x14ac:dyDescent="0.25">
      <c r="A83" s="30">
        <v>1271.8953713950718</v>
      </c>
      <c r="E83" t="s">
        <v>8</v>
      </c>
      <c r="L83" s="27" t="s">
        <v>7</v>
      </c>
      <c r="N83" s="27" t="s">
        <v>7</v>
      </c>
      <c r="O83" s="27" t="s">
        <v>8</v>
      </c>
      <c r="R83" s="27" t="s">
        <v>7</v>
      </c>
      <c r="AF83" s="27" t="s">
        <v>7</v>
      </c>
      <c r="AH83" s="27" t="s">
        <v>7</v>
      </c>
    </row>
    <row r="84" spans="1:37" x14ac:dyDescent="0.25">
      <c r="A84" s="30">
        <v>1156.2685194500652</v>
      </c>
      <c r="E84" t="s">
        <v>8</v>
      </c>
      <c r="N84" s="27" t="s">
        <v>7</v>
      </c>
      <c r="O84" s="27" t="s">
        <v>8</v>
      </c>
    </row>
    <row r="85" spans="1:37" x14ac:dyDescent="0.25">
      <c r="A85" s="30">
        <v>1051.1531995000591</v>
      </c>
      <c r="E85" t="s">
        <v>8</v>
      </c>
      <c r="N85" s="27" t="s">
        <v>7</v>
      </c>
    </row>
    <row r="86" spans="1:37" x14ac:dyDescent="0.25">
      <c r="A86" s="30">
        <v>955.59381772732638</v>
      </c>
      <c r="E86" t="s">
        <v>8</v>
      </c>
    </row>
    <row r="87" spans="1:37" x14ac:dyDescent="0.25">
      <c r="A87" s="30">
        <v>868.72165247938756</v>
      </c>
      <c r="E87" t="s">
        <v>8</v>
      </c>
    </row>
    <row r="88" spans="1:37" x14ac:dyDescent="0.25">
      <c r="A88" s="30">
        <v>789.74695679944318</v>
      </c>
      <c r="E88" t="s">
        <v>8</v>
      </c>
    </row>
    <row r="89" spans="1:37" x14ac:dyDescent="0.25">
      <c r="A89" s="30">
        <v>717.95177890858463</v>
      </c>
      <c r="E89" t="s">
        <v>8</v>
      </c>
    </row>
    <row r="90" spans="1:37" x14ac:dyDescent="0.25">
      <c r="A90" s="30">
        <v>652.68343537144051</v>
      </c>
      <c r="E90" t="s">
        <v>8</v>
      </c>
    </row>
    <row r="91" spans="1:37" x14ac:dyDescent="0.25">
      <c r="A91" s="30">
        <v>593.34857761040041</v>
      </c>
      <c r="E91" t="s">
        <v>8</v>
      </c>
    </row>
    <row r="92" spans="1:37" x14ac:dyDescent="0.25">
      <c r="A92" s="30">
        <v>539.40779782763673</v>
      </c>
      <c r="C92" s="1" t="s">
        <v>15</v>
      </c>
      <c r="E92" t="s">
        <v>8</v>
      </c>
    </row>
    <row r="93" spans="1:37" x14ac:dyDescent="0.25">
      <c r="A93" s="30">
        <v>490.37072529785149</v>
      </c>
      <c r="C93" s="7">
        <v>0.11167815779424731</v>
      </c>
      <c r="D93"/>
      <c r="E93" t="s">
        <v>8</v>
      </c>
    </row>
    <row r="94" spans="1:37" x14ac:dyDescent="0.25">
      <c r="A94" s="30">
        <v>445.79156845259223</v>
      </c>
      <c r="E94" t="s">
        <v>8</v>
      </c>
    </row>
    <row r="95" spans="1:37" x14ac:dyDescent="0.25">
      <c r="A95" s="30">
        <v>405.26506222962928</v>
      </c>
      <c r="C95" s="1" t="s">
        <v>11</v>
      </c>
      <c r="D95" s="1" t="s">
        <v>12</v>
      </c>
      <c r="E95" t="s">
        <v>8</v>
      </c>
    </row>
    <row r="96" spans="1:37" x14ac:dyDescent="0.25">
      <c r="A96" s="30">
        <v>368.42278384511752</v>
      </c>
      <c r="C96"/>
      <c r="D96"/>
      <c r="E96" t="s">
        <v>8</v>
      </c>
    </row>
    <row r="97" spans="1:5" x14ac:dyDescent="0.25">
      <c r="A97" s="30">
        <v>334.92980349556137</v>
      </c>
      <c r="E97" t="s">
        <v>8</v>
      </c>
    </row>
    <row r="98" spans="1:5" x14ac:dyDescent="0.25">
      <c r="A98" s="30">
        <v>304.48163954141938</v>
      </c>
      <c r="C98" s="1" t="s">
        <v>13</v>
      </c>
      <c r="E98" t="s">
        <v>8</v>
      </c>
    </row>
    <row r="99" spans="1:5" x14ac:dyDescent="0.25">
      <c r="A99" s="30">
        <v>276.80149049219943</v>
      </c>
      <c r="C99" s="1">
        <f>C88</f>
        <v>0</v>
      </c>
      <c r="E99" t="s">
        <v>8</v>
      </c>
    </row>
    <row r="100" spans="1:5" x14ac:dyDescent="0.25">
      <c r="A100" s="30">
        <v>251.63771862927217</v>
      </c>
      <c r="C100"/>
      <c r="D100"/>
      <c r="E100" t="s">
        <v>8</v>
      </c>
    </row>
    <row r="101" spans="1:5" x14ac:dyDescent="0.25">
      <c r="A101" s="30">
        <v>228.76156239024741</v>
      </c>
      <c r="C101" s="1" t="s">
        <v>14</v>
      </c>
      <c r="E101" t="s">
        <v>8</v>
      </c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189.05914247127882</v>
      </c>
      <c r="E103" t="s">
        <v>8</v>
      </c>
    </row>
    <row r="104" spans="1:5" x14ac:dyDescent="0.25">
      <c r="A104" s="30">
        <v>171.87194770116255</v>
      </c>
      <c r="E104" t="s">
        <v>8</v>
      </c>
    </row>
    <row r="105" spans="1:5" x14ac:dyDescent="0.25">
      <c r="A105" s="30">
        <v>156.24722518287504</v>
      </c>
      <c r="E105" t="s">
        <v>8</v>
      </c>
    </row>
    <row r="106" spans="1:5" x14ac:dyDescent="0.25">
      <c r="A106" s="30">
        <v>142.04293198443185</v>
      </c>
      <c r="E106" t="s">
        <v>8</v>
      </c>
    </row>
    <row r="107" spans="1:5" x14ac:dyDescent="0.25">
      <c r="A107" s="30">
        <v>129.1299381676653</v>
      </c>
      <c r="E107" t="s">
        <v>8</v>
      </c>
    </row>
    <row r="108" spans="1:5" x14ac:dyDescent="0.25">
      <c r="A108" s="30">
        <v>117.39085287969573</v>
      </c>
      <c r="E108" t="s">
        <v>8</v>
      </c>
    </row>
    <row r="109" spans="1:5" x14ac:dyDescent="0.25">
      <c r="A109" s="30">
        <v>106.71895716335975</v>
      </c>
      <c r="E109" t="s">
        <v>8</v>
      </c>
    </row>
    <row r="110" spans="1:5" x14ac:dyDescent="0.25">
      <c r="A110" s="30">
        <v>97.017233784872488</v>
      </c>
      <c r="E110" t="s">
        <v>8</v>
      </c>
    </row>
    <row r="111" spans="1:5" x14ac:dyDescent="0.25">
      <c r="A111" s="30">
        <v>88.197485258974979</v>
      </c>
      <c r="C111" s="1" t="str">
        <f>ADDRESS(C121-1,1,1,1)</f>
        <v>$A$78</v>
      </c>
      <c r="D111" s="1" t="str">
        <f>ADDRESS(C121-1,D121,1,1)</f>
        <v>$AN$78</v>
      </c>
      <c r="E111" t="s">
        <v>8</v>
      </c>
    </row>
    <row r="112" spans="1:5" x14ac:dyDescent="0.25">
      <c r="A112" s="30">
        <v>80.179532053613613</v>
      </c>
      <c r="C112" s="1" t="str">
        <f>ADDRESS(C121,1,1,1)</f>
        <v>$A$79</v>
      </c>
      <c r="D112" s="1" t="str">
        <f>ADDRESS(C121,D121-1,1,1)</f>
        <v>$AM$79</v>
      </c>
      <c r="E112" t="s">
        <v>8</v>
      </c>
    </row>
    <row r="113" spans="1:5" x14ac:dyDescent="0.25">
      <c r="A113" s="30">
        <v>72.890483685103277</v>
      </c>
      <c r="C113" s="1" t="str">
        <f>ADDRESS(C121+1,1,1,1)</f>
        <v>$A$80</v>
      </c>
      <c r="D113" s="1" t="str">
        <f>ADDRESS(C121-1,D121+1,1,1)</f>
        <v>$AO$78</v>
      </c>
      <c r="E113" s="1" t="s">
        <v>8</v>
      </c>
    </row>
    <row r="114" spans="1:5" x14ac:dyDescent="0.25">
      <c r="A114" s="30">
        <v>66.26407607736661</v>
      </c>
      <c r="C114" s="1" t="str">
        <f>ADDRESS(C121,D121,1,1)</f>
        <v>$AN$79</v>
      </c>
      <c r="D114" s="1" t="str">
        <f>ADDRESS(C121+1,D121+1,1,1)</f>
        <v>$AO$80</v>
      </c>
      <c r="E114" s="1" t="s">
        <v>8</v>
      </c>
    </row>
    <row r="115" spans="1:5" x14ac:dyDescent="0.25">
      <c r="A115" s="30">
        <v>60.240069161242367</v>
      </c>
      <c r="C115" s="1" t="str">
        <f>ADDRESS(C121+1,D121,1,1)</f>
        <v>$AN$80</v>
      </c>
      <c r="E115" s="1" t="s">
        <v>8</v>
      </c>
    </row>
    <row r="116" spans="1:5" x14ac:dyDescent="0.25">
      <c r="A116" s="30">
        <v>54.763699237493057</v>
      </c>
      <c r="C116" s="1">
        <f>C117-1</f>
        <v>78</v>
      </c>
      <c r="E116" s="1" t="s">
        <v>8</v>
      </c>
    </row>
    <row r="117" spans="1:5" x14ac:dyDescent="0.25">
      <c r="A117" s="30">
        <v>49.785181124993684</v>
      </c>
      <c r="C117" s="1">
        <f>C121</f>
        <v>79</v>
      </c>
      <c r="D117" s="1">
        <f>D121</f>
        <v>40</v>
      </c>
      <c r="E117" s="1" t="s">
        <v>8</v>
      </c>
    </row>
    <row r="118" spans="1:5" x14ac:dyDescent="0.25">
      <c r="A118" s="30">
        <v>45.259255568176073</v>
      </c>
      <c r="C118" s="1">
        <f>C117+1</f>
        <v>80</v>
      </c>
      <c r="D118" s="1">
        <f>D117+1</f>
        <v>41</v>
      </c>
      <c r="E118" s="1" t="s">
        <v>8</v>
      </c>
    </row>
    <row r="119" spans="1:5" x14ac:dyDescent="0.25">
      <c r="A119" s="30">
        <v>41.144777789250973</v>
      </c>
      <c r="E119" s="1" t="s">
        <v>8</v>
      </c>
    </row>
    <row r="120" spans="1:5" x14ac:dyDescent="0.25">
      <c r="A120" s="30">
        <v>37.404343444773609</v>
      </c>
      <c r="C120" s="1" t="s">
        <v>9</v>
      </c>
      <c r="E120" s="1" t="s">
        <v>8</v>
      </c>
    </row>
    <row r="121" spans="1:5" x14ac:dyDescent="0.25">
      <c r="A121" s="30">
        <v>34.003948586157826</v>
      </c>
      <c r="C121" s="18">
        <v>79</v>
      </c>
      <c r="D121" s="19">
        <v>40</v>
      </c>
      <c r="E121" s="18" t="s">
        <v>8</v>
      </c>
    </row>
    <row r="122" spans="1:5" x14ac:dyDescent="0.25">
      <c r="A122" s="30">
        <v>30.912680532870748</v>
      </c>
      <c r="C122" s="1" t="str">
        <f>INDEX(1:1048576,C117,D117)</f>
        <v>O</v>
      </c>
      <c r="E122" s="1" t="s">
        <v>8</v>
      </c>
    </row>
    <row r="123" spans="1:5" x14ac:dyDescent="0.25">
      <c r="A123" s="30">
        <v>28.102436848064315</v>
      </c>
      <c r="C123" s="1" t="str">
        <f>"R"&amp;C121</f>
        <v>R79</v>
      </c>
      <c r="D123" s="1" t="str">
        <f>"C"&amp;D121</f>
        <v>C40</v>
      </c>
      <c r="E123" s="1" t="s">
        <v>8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23.225154419887861</v>
      </c>
      <c r="E125" s="1" t="s">
        <v>8</v>
      </c>
    </row>
    <row r="126" spans="1:5" x14ac:dyDescent="0.25">
      <c r="A126" s="30">
        <v>21.113776745352599</v>
      </c>
      <c r="C126" s="1" t="s">
        <v>10</v>
      </c>
      <c r="E126" s="1" t="s">
        <v>8</v>
      </c>
    </row>
    <row r="127" spans="1:5" x14ac:dyDescent="0.25">
      <c r="A127" s="30">
        <v>19.194342495775089</v>
      </c>
      <c r="C127" s="30">
        <v>1862.1820132595253</v>
      </c>
      <c r="D127"/>
      <c r="E127" s="1" t="s">
        <v>8</v>
      </c>
    </row>
    <row r="128" spans="1:5" x14ac:dyDescent="0.25">
      <c r="A128" s="30">
        <v>17.449402268886445</v>
      </c>
      <c r="E128" s="1" t="s">
        <v>8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14.420993610649951</v>
      </c>
      <c r="C130" s="6"/>
      <c r="D130" s="6"/>
      <c r="E130" t="s">
        <v>8</v>
      </c>
    </row>
    <row r="131" spans="1:5" x14ac:dyDescent="0.25">
      <c r="A131" s="30">
        <v>13.109994191499954</v>
      </c>
      <c r="E131" t="s">
        <v>8</v>
      </c>
    </row>
    <row r="132" spans="1:5" x14ac:dyDescent="0.25">
      <c r="A132" s="30">
        <v>11.918176537727231</v>
      </c>
      <c r="C132" s="1" t="s">
        <v>13</v>
      </c>
      <c r="E132" t="s">
        <v>8</v>
      </c>
    </row>
    <row r="133" spans="1:5" x14ac:dyDescent="0.25">
      <c r="A133" s="30">
        <v>10.834705943388391</v>
      </c>
      <c r="C133" s="1" t="str">
        <f>C122</f>
        <v>O</v>
      </c>
      <c r="E133" t="s">
        <v>8</v>
      </c>
    </row>
    <row r="134" spans="1:5" x14ac:dyDescent="0.25">
      <c r="A134" s="30">
        <v>9.849732675807628</v>
      </c>
      <c r="C134"/>
      <c r="D134"/>
      <c r="E134" t="s">
        <v>8</v>
      </c>
    </row>
    <row r="135" spans="1:5" x14ac:dyDescent="0.25">
      <c r="A135" s="30">
        <v>8.9543024325523888</v>
      </c>
      <c r="C135" s="1" t="s">
        <v>14</v>
      </c>
      <c r="E135" t="s">
        <v>8</v>
      </c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</row>
    <row r="137" spans="1:5" x14ac:dyDescent="0.25">
      <c r="A137" s="30">
        <v>7.4002499442581717</v>
      </c>
      <c r="E137" t="s">
        <v>8</v>
      </c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6.1159090448414632</v>
      </c>
      <c r="E139" t="s">
        <v>8</v>
      </c>
    </row>
    <row r="140" spans="1:5" x14ac:dyDescent="0.25">
      <c r="A140" s="30">
        <v>5.5599173134922388</v>
      </c>
      <c r="C140" s="1">
        <v>0</v>
      </c>
      <c r="E140" t="s">
        <v>8</v>
      </c>
    </row>
    <row r="141" spans="1:5" x14ac:dyDescent="0.25">
      <c r="A141" s="30">
        <v>5.0544702849929442</v>
      </c>
      <c r="C141" s="1">
        <v>1</v>
      </c>
      <c r="E141" t="s">
        <v>8</v>
      </c>
    </row>
    <row r="142" spans="1:5" x14ac:dyDescent="0.25">
      <c r="A142" s="30">
        <v>4.594972986357222</v>
      </c>
      <c r="C142" s="1">
        <v>2</v>
      </c>
      <c r="E142" t="s">
        <v>8</v>
      </c>
    </row>
    <row r="143" spans="1:5" x14ac:dyDescent="0.25">
      <c r="A143" s="30">
        <v>4.1772481694156562</v>
      </c>
      <c r="C143" s="1">
        <v>3</v>
      </c>
      <c r="E143" t="s">
        <v>8</v>
      </c>
    </row>
    <row r="144" spans="1:5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918" operator="equal">
      <formula>$U$1</formula>
    </cfRule>
    <cfRule type="cellIs" dxfId="30" priority="919" operator="equal">
      <formula>$S$1</formula>
    </cfRule>
  </conditionalFormatting>
  <conditionalFormatting sqref="D136">
    <cfRule type="cellIs" dxfId="29" priority="916" operator="equal">
      <formula>$S$1</formula>
    </cfRule>
    <cfRule type="cellIs" dxfId="28" priority="917" operator="equal">
      <formula>$U$1</formula>
    </cfRule>
  </conditionalFormatting>
  <conditionalFormatting sqref="C102">
    <cfRule type="cellIs" dxfId="27" priority="914" operator="equal">
      <formula>$U$1</formula>
    </cfRule>
    <cfRule type="cellIs" dxfId="26" priority="915" operator="equal">
      <formula>$S$1</formula>
    </cfRule>
  </conditionalFormatting>
  <conditionalFormatting sqref="D102">
    <cfRule type="cellIs" dxfId="25" priority="912" operator="equal">
      <formula>$S$1</formula>
    </cfRule>
    <cfRule type="cellIs" dxfId="24" priority="913" operator="equal">
      <formula>$U$1</formula>
    </cfRule>
  </conditionalFormatting>
  <conditionalFormatting sqref="C77">
    <cfRule type="cellIs" dxfId="23" priority="910" operator="equal">
      <formula>$U$1</formula>
    </cfRule>
    <cfRule type="cellIs" dxfId="22" priority="911" operator="equal">
      <formula>$S$1</formula>
    </cfRule>
  </conditionalFormatting>
  <conditionalFormatting sqref="D77">
    <cfRule type="cellIs" dxfId="21" priority="908" operator="equal">
      <formula>$S$1</formula>
    </cfRule>
    <cfRule type="cellIs" dxfId="20" priority="909" operator="equal">
      <formula>$U$1</formula>
    </cfRule>
  </conditionalFormatting>
  <conditionalFormatting sqref="C52">
    <cfRule type="cellIs" dxfId="19" priority="906" operator="equal">
      <formula>$U$1</formula>
    </cfRule>
    <cfRule type="cellIs" dxfId="18" priority="907" operator="equal">
      <formula>$S$1</formula>
    </cfRule>
  </conditionalFormatting>
  <conditionalFormatting sqref="D52">
    <cfRule type="cellIs" dxfId="17" priority="904" operator="equal">
      <formula>$S$1</formula>
    </cfRule>
    <cfRule type="cellIs" dxfId="16" priority="905" operator="equal">
      <formula>$U$1</formula>
    </cfRule>
  </conditionalFormatting>
  <conditionalFormatting sqref="C26">
    <cfRule type="cellIs" dxfId="15" priority="902" operator="equal">
      <formula>$U$1</formula>
    </cfRule>
    <cfRule type="cellIs" dxfId="14" priority="903" operator="equal">
      <formula>$S$1</formula>
    </cfRule>
  </conditionalFormatting>
  <conditionalFormatting sqref="D26">
    <cfRule type="cellIs" dxfId="13" priority="900" operator="equal">
      <formula>$S$1</formula>
    </cfRule>
    <cfRule type="cellIs" dxfId="12" priority="90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D36" sqref="D36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4" width="8.7109375" style="1" customWidth="1"/>
    <col min="5" max="5" width="11.5703125" style="1" customWidth="1"/>
    <col min="6" max="6" width="14.42578125" style="1" customWidth="1"/>
    <col min="7" max="7" width="13.85546875" style="1" customWidth="1"/>
    <col min="8" max="8" width="10.140625" style="1" customWidth="1"/>
    <col min="9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1367.780041771473</v>
      </c>
      <c r="F3" s="30">
        <v>1436.1690438600467</v>
      </c>
      <c r="G3" s="30">
        <v>2579.1532626532189</v>
      </c>
      <c r="H3" s="25">
        <f>IF(G3="","",(3*(G3-F3))+E3)</f>
        <v>4796.7326981509896</v>
      </c>
      <c r="I3" s="7"/>
      <c r="J3" s="7">
        <f>(E3+G3)/2</f>
        <v>1973.4666522123459</v>
      </c>
      <c r="K3" s="7">
        <f>H3/2</f>
        <v>2398.3663490754948</v>
      </c>
      <c r="M3" s="26">
        <f>IF(OR(J3="",H3=""),"",H3/J3)</f>
        <v>2.4306124923740837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2022-01-28T01:23:30Z</dcterms:modified>
</cp:coreProperties>
</file>