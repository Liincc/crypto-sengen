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5D84DF2-F8A2-4177-AF3D-46B043FC26A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Chart1" sheetId="8" r:id="rId7"/>
    <sheet name="TEMP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C136" i="4" s="1"/>
  <c r="C122" i="3"/>
  <c r="C133" i="3" s="1"/>
  <c r="D136" i="3" s="1"/>
  <c r="C116" i="4"/>
  <c r="C118" i="3"/>
  <c r="C116" i="3"/>
  <c r="R765" i="1"/>
  <c r="D136" i="5" l="1"/>
  <c r="C138" i="5" s="1"/>
  <c r="D136" i="4"/>
  <c r="C138" i="4" s="1"/>
  <c r="C136" i="3"/>
  <c r="C138" i="3" s="1"/>
  <c r="R764" i="1"/>
  <c r="S765" i="1"/>
  <c r="T765" i="1" s="1"/>
  <c r="S764" i="1" l="1"/>
  <c r="T764" i="1" s="1"/>
  <c r="R763" i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S756" i="1" l="1"/>
  <c r="T756" i="1" s="1"/>
  <c r="R755" i="1"/>
  <c r="S755" i="1" l="1"/>
  <c r="T755" i="1" s="1"/>
  <c r="R754" i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S740" i="1" l="1"/>
  <c r="T740" i="1" s="1"/>
  <c r="R739" i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S612" i="1" l="1"/>
  <c r="T612" i="1" s="1"/>
  <c r="R611" i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S420" i="1" l="1"/>
  <c r="T420" i="1" s="1"/>
  <c r="R419" i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S237" i="1" l="1"/>
  <c r="T237" i="1" s="1"/>
  <c r="R236" i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<sst xmlns="http://schemas.openxmlformats.org/spreadsheetml/2006/main" count="5792" uniqueCount="34">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</sst>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0.95699999999999996</c:v>
                </c:pt>
                <c:pt idx="1">
                  <c:v>0.98799999999999999</c:v>
                </c:pt>
                <c:pt idx="2">
                  <c:v>1.054</c:v>
                </c:pt>
                <c:pt idx="3">
                  <c:v>1.1419999999999999</c:v>
                </c:pt>
                <c:pt idx="4">
                  <c:v>0.88500000000000001</c:v>
                </c:pt>
                <c:pt idx="5">
                  <c:v>0.86699999999999999</c:v>
                </c:pt>
                <c:pt idx="6">
                  <c:v>0.95299999999999996</c:v>
                </c:pt>
                <c:pt idx="7">
                  <c:v>1.1220000000000001</c:v>
                </c:pt>
                <c:pt idx="8">
                  <c:v>1.1459999999999999</c:v>
                </c:pt>
                <c:pt idx="9">
                  <c:v>1.202</c:v>
                </c:pt>
                <c:pt idx="10">
                  <c:v>1.2490000000000001</c:v>
                </c:pt>
                <c:pt idx="11">
                  <c:v>1.2170000000000001</c:v>
                </c:pt>
                <c:pt idx="12">
                  <c:v>1.2390000000000001</c:v>
                </c:pt>
                <c:pt idx="13">
                  <c:v>1.198</c:v>
                </c:pt>
                <c:pt idx="14">
                  <c:v>1.1559999999999999</c:v>
                </c:pt>
                <c:pt idx="15">
                  <c:v>1.232</c:v>
                </c:pt>
                <c:pt idx="16">
                  <c:v>1.167</c:v>
                </c:pt>
                <c:pt idx="17">
                  <c:v>1.1120000000000001</c:v>
                </c:pt>
                <c:pt idx="18">
                  <c:v>1.1459999999999999</c:v>
                </c:pt>
                <c:pt idx="19">
                  <c:v>1.08</c:v>
                </c:pt>
                <c:pt idx="20">
                  <c:v>1.1180000000000001</c:v>
                </c:pt>
                <c:pt idx="21">
                  <c:v>1.228</c:v>
                </c:pt>
                <c:pt idx="22">
                  <c:v>1.258</c:v>
                </c:pt>
                <c:pt idx="23">
                  <c:v>1.27</c:v>
                </c:pt>
                <c:pt idx="24">
                  <c:v>1.288</c:v>
                </c:pt>
                <c:pt idx="25">
                  <c:v>1.3120000000000001</c:v>
                </c:pt>
                <c:pt idx="26">
                  <c:v>1.343</c:v>
                </c:pt>
                <c:pt idx="27">
                  <c:v>1.3029999999999999</c:v>
                </c:pt>
                <c:pt idx="28">
                  <c:v>1.3480000000000001</c:v>
                </c:pt>
                <c:pt idx="29">
                  <c:v>1.25</c:v>
                </c:pt>
                <c:pt idx="30">
                  <c:v>1.284</c:v>
                </c:pt>
                <c:pt idx="31">
                  <c:v>1.4079999999999999</c:v>
                </c:pt>
                <c:pt idx="32">
                  <c:v>1.4179999999999999</c:v>
                </c:pt>
                <c:pt idx="33">
                  <c:v>1.389</c:v>
                </c:pt>
                <c:pt idx="34">
                  <c:v>1.3959999999999999</c:v>
                </c:pt>
                <c:pt idx="35">
                  <c:v>1.369</c:v>
                </c:pt>
                <c:pt idx="36">
                  <c:v>1.331</c:v>
                </c:pt>
                <c:pt idx="37">
                  <c:v>1.2629999999999999</c:v>
                </c:pt>
                <c:pt idx="38">
                  <c:v>1.214</c:v>
                </c:pt>
                <c:pt idx="39">
                  <c:v>1.208</c:v>
                </c:pt>
                <c:pt idx="40">
                  <c:v>1.258</c:v>
                </c:pt>
                <c:pt idx="41">
                  <c:v>1.202</c:v>
                </c:pt>
                <c:pt idx="42">
                  <c:v>1.2629999999999999</c:v>
                </c:pt>
                <c:pt idx="43">
                  <c:v>1.274</c:v>
                </c:pt>
                <c:pt idx="44">
                  <c:v>1.242</c:v>
                </c:pt>
                <c:pt idx="45">
                  <c:v>1.179</c:v>
                </c:pt>
                <c:pt idx="46">
                  <c:v>1.369</c:v>
                </c:pt>
                <c:pt idx="47">
                  <c:v>1.347</c:v>
                </c:pt>
                <c:pt idx="48">
                  <c:v>1.3440000000000001</c:v>
                </c:pt>
                <c:pt idx="49">
                  <c:v>1.3779999999999999</c:v>
                </c:pt>
                <c:pt idx="50">
                  <c:v>1.512</c:v>
                </c:pt>
                <c:pt idx="51">
                  <c:v>1.4450000000000001</c:v>
                </c:pt>
                <c:pt idx="52">
                  <c:v>1.506</c:v>
                </c:pt>
                <c:pt idx="53">
                  <c:v>1.466</c:v>
                </c:pt>
                <c:pt idx="54">
                  <c:v>1.619</c:v>
                </c:pt>
                <c:pt idx="55">
                  <c:v>1.9730000000000001</c:v>
                </c:pt>
                <c:pt idx="56">
                  <c:v>1.8560000000000001</c:v>
                </c:pt>
                <c:pt idx="57">
                  <c:v>1.8360000000000001</c:v>
                </c:pt>
                <c:pt idx="58">
                  <c:v>1.8280000000000001</c:v>
                </c:pt>
                <c:pt idx="59">
                  <c:v>1.885</c:v>
                </c:pt>
                <c:pt idx="60">
                  <c:v>1.911</c:v>
                </c:pt>
                <c:pt idx="61">
                  <c:v>2.012</c:v>
                </c:pt>
                <c:pt idx="62">
                  <c:v>1.8129999999999999</c:v>
                </c:pt>
                <c:pt idx="63">
                  <c:v>1.907</c:v>
                </c:pt>
                <c:pt idx="64">
                  <c:v>1.855</c:v>
                </c:pt>
                <c:pt idx="65">
                  <c:v>1.9</c:v>
                </c:pt>
                <c:pt idx="66">
                  <c:v>1.81</c:v>
                </c:pt>
                <c:pt idx="67">
                  <c:v>1.86</c:v>
                </c:pt>
                <c:pt idx="68">
                  <c:v>1.865</c:v>
                </c:pt>
                <c:pt idx="69">
                  <c:v>1.7709999999999999</c:v>
                </c:pt>
                <c:pt idx="70">
                  <c:v>1.6859999999999999</c:v>
                </c:pt>
                <c:pt idx="71">
                  <c:v>1.8360000000000001</c:v>
                </c:pt>
                <c:pt idx="72">
                  <c:v>1.8029999999999999</c:v>
                </c:pt>
                <c:pt idx="73">
                  <c:v>1.8460000000000001</c:v>
                </c:pt>
                <c:pt idx="74">
                  <c:v>1.915</c:v>
                </c:pt>
                <c:pt idx="75">
                  <c:v>2</c:v>
                </c:pt>
                <c:pt idx="76">
                  <c:v>2.0329999999999999</c:v>
                </c:pt>
                <c:pt idx="77">
                  <c:v>2.0950000000000002</c:v>
                </c:pt>
                <c:pt idx="78">
                  <c:v>1.8640000000000001</c:v>
                </c:pt>
                <c:pt idx="79">
                  <c:v>1.925</c:v>
                </c:pt>
                <c:pt idx="80">
                  <c:v>1.84</c:v>
                </c:pt>
                <c:pt idx="81">
                  <c:v>1.839</c:v>
                </c:pt>
                <c:pt idx="82">
                  <c:v>1.8169999999999999</c:v>
                </c:pt>
                <c:pt idx="83">
                  <c:v>1.804</c:v>
                </c:pt>
                <c:pt idx="84">
                  <c:v>1.8620000000000001</c:v>
                </c:pt>
                <c:pt idx="85">
                  <c:v>1.929</c:v>
                </c:pt>
                <c:pt idx="86">
                  <c:v>1.917</c:v>
                </c:pt>
                <c:pt idx="87">
                  <c:v>1.81</c:v>
                </c:pt>
                <c:pt idx="88">
                  <c:v>1.827</c:v>
                </c:pt>
                <c:pt idx="89">
                  <c:v>1.796</c:v>
                </c:pt>
                <c:pt idx="90">
                  <c:v>1.7649999999999999</c:v>
                </c:pt>
                <c:pt idx="91">
                  <c:v>1.669</c:v>
                </c:pt>
                <c:pt idx="92">
                  <c:v>1.599</c:v>
                </c:pt>
                <c:pt idx="93">
                  <c:v>1.8080000000000001</c:v>
                </c:pt>
                <c:pt idx="94">
                  <c:v>1.8180000000000001</c:v>
                </c:pt>
                <c:pt idx="95">
                  <c:v>1.774</c:v>
                </c:pt>
                <c:pt idx="96">
                  <c:v>1.8520000000000001</c:v>
                </c:pt>
                <c:pt idx="97">
                  <c:v>1.857</c:v>
                </c:pt>
                <c:pt idx="98">
                  <c:v>1.802</c:v>
                </c:pt>
                <c:pt idx="99">
                  <c:v>1.857</c:v>
                </c:pt>
                <c:pt idx="100">
                  <c:v>1.744</c:v>
                </c:pt>
                <c:pt idx="101">
                  <c:v>1.732</c:v>
                </c:pt>
                <c:pt idx="102">
                  <c:v>1.7689999999999999</c:v>
                </c:pt>
                <c:pt idx="103">
                  <c:v>1.8320000000000001</c:v>
                </c:pt>
                <c:pt idx="104">
                  <c:v>1.768</c:v>
                </c:pt>
                <c:pt idx="105">
                  <c:v>1.78</c:v>
                </c:pt>
                <c:pt idx="106">
                  <c:v>1.732</c:v>
                </c:pt>
                <c:pt idx="107">
                  <c:v>1.71</c:v>
                </c:pt>
                <c:pt idx="108">
                  <c:v>1.784</c:v>
                </c:pt>
                <c:pt idx="109">
                  <c:v>1.9790000000000001</c:v>
                </c:pt>
                <c:pt idx="110">
                  <c:v>1.839</c:v>
                </c:pt>
                <c:pt idx="111">
                  <c:v>1.78</c:v>
                </c:pt>
                <c:pt idx="112">
                  <c:v>1.7809999999999999</c:v>
                </c:pt>
                <c:pt idx="113">
                  <c:v>1.758</c:v>
                </c:pt>
                <c:pt idx="114">
                  <c:v>1.7450000000000001</c:v>
                </c:pt>
                <c:pt idx="115">
                  <c:v>1.6579999999999999</c:v>
                </c:pt>
                <c:pt idx="116">
                  <c:v>1.6859999999999999</c:v>
                </c:pt>
                <c:pt idx="117">
                  <c:v>1.7010000000000001</c:v>
                </c:pt>
                <c:pt idx="118">
                  <c:v>1.667</c:v>
                </c:pt>
                <c:pt idx="119">
                  <c:v>1.5169999999999999</c:v>
                </c:pt>
                <c:pt idx="120">
                  <c:v>1.4510000000000001</c:v>
                </c:pt>
                <c:pt idx="121">
                  <c:v>1.4119999999999999</c:v>
                </c:pt>
                <c:pt idx="122">
                  <c:v>1.5069999999999999</c:v>
                </c:pt>
                <c:pt idx="123">
                  <c:v>1.5820000000000001</c:v>
                </c:pt>
                <c:pt idx="124">
                  <c:v>1.58</c:v>
                </c:pt>
                <c:pt idx="125">
                  <c:v>1.607</c:v>
                </c:pt>
                <c:pt idx="126">
                  <c:v>1.7849999999999999</c:v>
                </c:pt>
                <c:pt idx="127">
                  <c:v>1.617</c:v>
                </c:pt>
                <c:pt idx="128">
                  <c:v>1.4339999999999999</c:v>
                </c:pt>
                <c:pt idx="129">
                  <c:v>1.6719999999999999</c:v>
                </c:pt>
                <c:pt idx="130">
                  <c:v>1.8129999999999999</c:v>
                </c:pt>
                <c:pt idx="131">
                  <c:v>1.897</c:v>
                </c:pt>
                <c:pt idx="132">
                  <c:v>1.887</c:v>
                </c:pt>
                <c:pt idx="133">
                  <c:v>1.915</c:v>
                </c:pt>
                <c:pt idx="134">
                  <c:v>1.9890000000000001</c:v>
                </c:pt>
                <c:pt idx="135">
                  <c:v>1.996</c:v>
                </c:pt>
                <c:pt idx="136">
                  <c:v>1.956</c:v>
                </c:pt>
                <c:pt idx="137">
                  <c:v>2.11</c:v>
                </c:pt>
                <c:pt idx="138">
                  <c:v>2.1920000000000002</c:v>
                </c:pt>
                <c:pt idx="139">
                  <c:v>1.744</c:v>
                </c:pt>
                <c:pt idx="140">
                  <c:v>1.8340000000000001</c:v>
                </c:pt>
                <c:pt idx="141">
                  <c:v>1.786</c:v>
                </c:pt>
                <c:pt idx="142">
                  <c:v>1.8160000000000001</c:v>
                </c:pt>
                <c:pt idx="143">
                  <c:v>2.331</c:v>
                </c:pt>
                <c:pt idx="144">
                  <c:v>2.2530000000000001</c:v>
                </c:pt>
                <c:pt idx="145">
                  <c:v>2.214</c:v>
                </c:pt>
                <c:pt idx="146">
                  <c:v>2.2320000000000002</c:v>
                </c:pt>
                <c:pt idx="147">
                  <c:v>2.2269999999999999</c:v>
                </c:pt>
                <c:pt idx="148">
                  <c:v>2.1549999999999998</c:v>
                </c:pt>
                <c:pt idx="149">
                  <c:v>2.0289999999999999</c:v>
                </c:pt>
                <c:pt idx="150">
                  <c:v>2.032</c:v>
                </c:pt>
                <c:pt idx="151">
                  <c:v>2.0059999999999998</c:v>
                </c:pt>
                <c:pt idx="152">
                  <c:v>2.0310000000000001</c:v>
                </c:pt>
                <c:pt idx="153">
                  <c:v>2.0270000000000001</c:v>
                </c:pt>
                <c:pt idx="154">
                  <c:v>1.93</c:v>
                </c:pt>
                <c:pt idx="155">
                  <c:v>2.0870000000000002</c:v>
                </c:pt>
                <c:pt idx="156">
                  <c:v>1.9930000000000001</c:v>
                </c:pt>
                <c:pt idx="157">
                  <c:v>2.1779999999999999</c:v>
                </c:pt>
                <c:pt idx="158">
                  <c:v>2.1419999999999999</c:v>
                </c:pt>
                <c:pt idx="159">
                  <c:v>2.0699999999999998</c:v>
                </c:pt>
                <c:pt idx="160">
                  <c:v>2.0910000000000002</c:v>
                </c:pt>
                <c:pt idx="161">
                  <c:v>1.972</c:v>
                </c:pt>
                <c:pt idx="162">
                  <c:v>1.881</c:v>
                </c:pt>
                <c:pt idx="163">
                  <c:v>1.923</c:v>
                </c:pt>
                <c:pt idx="164">
                  <c:v>1.925</c:v>
                </c:pt>
                <c:pt idx="165">
                  <c:v>2.0219999999999998</c:v>
                </c:pt>
                <c:pt idx="166">
                  <c:v>1.917</c:v>
                </c:pt>
                <c:pt idx="167">
                  <c:v>1.9359999999999999</c:v>
                </c:pt>
                <c:pt idx="168">
                  <c:v>1.88</c:v>
                </c:pt>
                <c:pt idx="169">
                  <c:v>1.746</c:v>
                </c:pt>
                <c:pt idx="170">
                  <c:v>1.673</c:v>
                </c:pt>
                <c:pt idx="171">
                  <c:v>1.62</c:v>
                </c:pt>
                <c:pt idx="172">
                  <c:v>1.516</c:v>
                </c:pt>
                <c:pt idx="173">
                  <c:v>1.583</c:v>
                </c:pt>
                <c:pt idx="174">
                  <c:v>1.5649999999999999</c:v>
                </c:pt>
                <c:pt idx="175">
                  <c:v>1.5109999999999999</c:v>
                </c:pt>
                <c:pt idx="176">
                  <c:v>1.403</c:v>
                </c:pt>
                <c:pt idx="177">
                  <c:v>1.3640000000000001</c:v>
                </c:pt>
                <c:pt idx="178">
                  <c:v>1.41</c:v>
                </c:pt>
                <c:pt idx="179">
                  <c:v>1.4550000000000001</c:v>
                </c:pt>
                <c:pt idx="180">
                  <c:v>1.38</c:v>
                </c:pt>
                <c:pt idx="181">
                  <c:v>1.387</c:v>
                </c:pt>
                <c:pt idx="182">
                  <c:v>1.3560000000000001</c:v>
                </c:pt>
                <c:pt idx="183">
                  <c:v>1.327</c:v>
                </c:pt>
                <c:pt idx="184">
                  <c:v>1.3080000000000001</c:v>
                </c:pt>
                <c:pt idx="185">
                  <c:v>1.2969999999999999</c:v>
                </c:pt>
                <c:pt idx="186">
                  <c:v>1.244</c:v>
                </c:pt>
                <c:pt idx="187">
                  <c:v>1.226</c:v>
                </c:pt>
                <c:pt idx="188">
                  <c:v>1.169</c:v>
                </c:pt>
                <c:pt idx="189">
                  <c:v>1.1279999999999999</c:v>
                </c:pt>
                <c:pt idx="190">
                  <c:v>1.1120000000000001</c:v>
                </c:pt>
                <c:pt idx="191">
                  <c:v>1.0269999999999999</c:v>
                </c:pt>
                <c:pt idx="192">
                  <c:v>1.123</c:v>
                </c:pt>
                <c:pt idx="193">
                  <c:v>1.19</c:v>
                </c:pt>
                <c:pt idx="194">
                  <c:v>1.1950000000000001</c:v>
                </c:pt>
                <c:pt idx="195">
                  <c:v>1.1659999999999999</c:v>
                </c:pt>
                <c:pt idx="196">
                  <c:v>1.361</c:v>
                </c:pt>
                <c:pt idx="197">
                  <c:v>1.377</c:v>
                </c:pt>
                <c:pt idx="198">
                  <c:v>1.401</c:v>
                </c:pt>
                <c:pt idx="199">
                  <c:v>1.446</c:v>
                </c:pt>
                <c:pt idx="200">
                  <c:v>1.395</c:v>
                </c:pt>
                <c:pt idx="201">
                  <c:v>1.28</c:v>
                </c:pt>
                <c:pt idx="202">
                  <c:v>1.3009999999999999</c:v>
                </c:pt>
                <c:pt idx="203">
                  <c:v>1.234</c:v>
                </c:pt>
                <c:pt idx="204">
                  <c:v>1.292</c:v>
                </c:pt>
                <c:pt idx="205">
                  <c:v>1.2370000000000001</c:v>
                </c:pt>
                <c:pt idx="206">
                  <c:v>1.1339999999999999</c:v>
                </c:pt>
                <c:pt idx="207">
                  <c:v>1.1859999999999999</c:v>
                </c:pt>
                <c:pt idx="208">
                  <c:v>1.177</c:v>
                </c:pt>
                <c:pt idx="209">
                  <c:v>1.163</c:v>
                </c:pt>
                <c:pt idx="210">
                  <c:v>1.1439999999999999</c:v>
                </c:pt>
                <c:pt idx="211">
                  <c:v>1.2110000000000001</c:v>
                </c:pt>
                <c:pt idx="212">
                  <c:v>1.208</c:v>
                </c:pt>
                <c:pt idx="213">
                  <c:v>1.1519999999999999</c:v>
                </c:pt>
                <c:pt idx="214">
                  <c:v>1.1439999999999999</c:v>
                </c:pt>
                <c:pt idx="215">
                  <c:v>1.1080000000000001</c:v>
                </c:pt>
                <c:pt idx="216">
                  <c:v>1.097</c:v>
                </c:pt>
                <c:pt idx="217">
                  <c:v>1.2070000000000001</c:v>
                </c:pt>
                <c:pt idx="218">
                  <c:v>1.1339999999999999</c:v>
                </c:pt>
                <c:pt idx="219">
                  <c:v>1.042</c:v>
                </c:pt>
                <c:pt idx="220">
                  <c:v>1.1120000000000001</c:v>
                </c:pt>
                <c:pt idx="221">
                  <c:v>1.413</c:v>
                </c:pt>
                <c:pt idx="222">
                  <c:v>1.4179999999999999</c:v>
                </c:pt>
                <c:pt idx="223">
                  <c:v>1.4379999999999999</c:v>
                </c:pt>
                <c:pt idx="224">
                  <c:v>1.54</c:v>
                </c:pt>
                <c:pt idx="225">
                  <c:v>1.633</c:v>
                </c:pt>
                <c:pt idx="226">
                  <c:v>1.6279999999999999</c:v>
                </c:pt>
                <c:pt idx="227">
                  <c:v>1.655</c:v>
                </c:pt>
                <c:pt idx="228">
                  <c:v>1.5469999999999999</c:v>
                </c:pt>
                <c:pt idx="229">
                  <c:v>1.423</c:v>
                </c:pt>
                <c:pt idx="230">
                  <c:v>1.48</c:v>
                </c:pt>
                <c:pt idx="231">
                  <c:v>1.61</c:v>
                </c:pt>
                <c:pt idx="232">
                  <c:v>1.75</c:v>
                </c:pt>
                <c:pt idx="233">
                  <c:v>1.6819999999999999</c:v>
                </c:pt>
                <c:pt idx="234">
                  <c:v>1.7150000000000001</c:v>
                </c:pt>
                <c:pt idx="235">
                  <c:v>1.847</c:v>
                </c:pt>
                <c:pt idx="236">
                  <c:v>1.7749999999999999</c:v>
                </c:pt>
                <c:pt idx="237">
                  <c:v>1.8660000000000001</c:v>
                </c:pt>
                <c:pt idx="238">
                  <c:v>2.129</c:v>
                </c:pt>
                <c:pt idx="239">
                  <c:v>2.0030000000000001</c:v>
                </c:pt>
                <c:pt idx="240">
                  <c:v>1.93</c:v>
                </c:pt>
                <c:pt idx="241">
                  <c:v>2.012</c:v>
                </c:pt>
                <c:pt idx="242">
                  <c:v>1.855</c:v>
                </c:pt>
                <c:pt idx="243">
                  <c:v>1.7</c:v>
                </c:pt>
                <c:pt idx="244">
                  <c:v>1.8180000000000001</c:v>
                </c:pt>
                <c:pt idx="245">
                  <c:v>2.1160000000000001</c:v>
                </c:pt>
                <c:pt idx="246">
                  <c:v>2.27</c:v>
                </c:pt>
                <c:pt idx="247">
                  <c:v>1.9339999999999999</c:v>
                </c:pt>
                <c:pt idx="248">
                  <c:v>1.97</c:v>
                </c:pt>
                <c:pt idx="249">
                  <c:v>1.589</c:v>
                </c:pt>
                <c:pt idx="250">
                  <c:v>1.69</c:v>
                </c:pt>
                <c:pt idx="251">
                  <c:v>1.9810000000000001</c:v>
                </c:pt>
                <c:pt idx="252">
                  <c:v>2.4430000000000001</c:v>
                </c:pt>
                <c:pt idx="253">
                  <c:v>2.2040000000000002</c:v>
                </c:pt>
                <c:pt idx="254">
                  <c:v>3.6989999999999998</c:v>
                </c:pt>
                <c:pt idx="255">
                  <c:v>3.4260000000000002</c:v>
                </c:pt>
                <c:pt idx="256">
                  <c:v>3.847</c:v>
                </c:pt>
                <c:pt idx="257">
                  <c:v>3.8180000000000001</c:v>
                </c:pt>
                <c:pt idx="258">
                  <c:v>4.2080000000000002</c:v>
                </c:pt>
                <c:pt idx="259">
                  <c:v>4.3780000000000001</c:v>
                </c:pt>
                <c:pt idx="260">
                  <c:v>3.7349999999999999</c:v>
                </c:pt>
                <c:pt idx="261">
                  <c:v>4.4189999999999996</c:v>
                </c:pt>
                <c:pt idx="262">
                  <c:v>4.2030000000000003</c:v>
                </c:pt>
                <c:pt idx="263">
                  <c:v>4.8390000000000004</c:v>
                </c:pt>
                <c:pt idx="264">
                  <c:v>4.4059999999999997</c:v>
                </c:pt>
                <c:pt idx="265">
                  <c:v>4.5830000000000002</c:v>
                </c:pt>
                <c:pt idx="266">
                  <c:v>4.7460000000000004</c:v>
                </c:pt>
                <c:pt idx="267">
                  <c:v>5.0609999999999999</c:v>
                </c:pt>
                <c:pt idx="268">
                  <c:v>4.9829999999999997</c:v>
                </c:pt>
                <c:pt idx="269">
                  <c:v>4.8390000000000004</c:v>
                </c:pt>
                <c:pt idx="270">
                  <c:v>4.43</c:v>
                </c:pt>
                <c:pt idx="271">
                  <c:v>4.2779999999999996</c:v>
                </c:pt>
                <c:pt idx="272">
                  <c:v>4.3869999999999996</c:v>
                </c:pt>
                <c:pt idx="273">
                  <c:v>4.0430000000000001</c:v>
                </c:pt>
                <c:pt idx="274">
                  <c:v>3.7589999999999999</c:v>
                </c:pt>
                <c:pt idx="275">
                  <c:v>4.0570000000000004</c:v>
                </c:pt>
                <c:pt idx="276">
                  <c:v>3.8039999999999998</c:v>
                </c:pt>
                <c:pt idx="277">
                  <c:v>3.024</c:v>
                </c:pt>
                <c:pt idx="278">
                  <c:v>2.9769999999999999</c:v>
                </c:pt>
                <c:pt idx="279">
                  <c:v>3.331</c:v>
                </c:pt>
                <c:pt idx="280">
                  <c:v>3.5630000000000002</c:v>
                </c:pt>
                <c:pt idx="281">
                  <c:v>3.665</c:v>
                </c:pt>
                <c:pt idx="282">
                  <c:v>3.863</c:v>
                </c:pt>
                <c:pt idx="283">
                  <c:v>3.5649999999999999</c:v>
                </c:pt>
                <c:pt idx="284">
                  <c:v>3.9929999999999999</c:v>
                </c:pt>
                <c:pt idx="285">
                  <c:v>4.71</c:v>
                </c:pt>
                <c:pt idx="286">
                  <c:v>4.7779999999999996</c:v>
                </c:pt>
                <c:pt idx="287">
                  <c:v>4.8280000000000003</c:v>
                </c:pt>
                <c:pt idx="288">
                  <c:v>4.6319999999999997</c:v>
                </c:pt>
                <c:pt idx="289">
                  <c:v>4.54</c:v>
                </c:pt>
                <c:pt idx="290">
                  <c:v>4.3810000000000002</c:v>
                </c:pt>
                <c:pt idx="291">
                  <c:v>4.6749999999999998</c:v>
                </c:pt>
                <c:pt idx="292">
                  <c:v>4.57</c:v>
                </c:pt>
                <c:pt idx="293">
                  <c:v>4.5599999999999996</c:v>
                </c:pt>
                <c:pt idx="294">
                  <c:v>4.6909999999999998</c:v>
                </c:pt>
                <c:pt idx="295">
                  <c:v>4.53</c:v>
                </c:pt>
                <c:pt idx="296">
                  <c:v>4.5460000000000003</c:v>
                </c:pt>
                <c:pt idx="297">
                  <c:v>4.8730000000000002</c:v>
                </c:pt>
                <c:pt idx="298">
                  <c:v>5.0810000000000004</c:v>
                </c:pt>
                <c:pt idx="299">
                  <c:v>4.3899999999999997</c:v>
                </c:pt>
                <c:pt idx="300">
                  <c:v>4.25</c:v>
                </c:pt>
                <c:pt idx="301">
                  <c:v>4.4180000000000001</c:v>
                </c:pt>
                <c:pt idx="302">
                  <c:v>4.117</c:v>
                </c:pt>
                <c:pt idx="303">
                  <c:v>3.9060000000000001</c:v>
                </c:pt>
                <c:pt idx="304">
                  <c:v>3.754</c:v>
                </c:pt>
                <c:pt idx="305">
                  <c:v>3.5939999999999999</c:v>
                </c:pt>
                <c:pt idx="306">
                  <c:v>3.83</c:v>
                </c:pt>
                <c:pt idx="307">
                  <c:v>3.0579999999999998</c:v>
                </c:pt>
                <c:pt idx="308">
                  <c:v>2.798</c:v>
                </c:pt>
                <c:pt idx="309">
                  <c:v>2.8980000000000001</c:v>
                </c:pt>
                <c:pt idx="310">
                  <c:v>3.1070000000000002</c:v>
                </c:pt>
                <c:pt idx="311">
                  <c:v>3.19</c:v>
                </c:pt>
                <c:pt idx="312">
                  <c:v>3.3820000000000001</c:v>
                </c:pt>
                <c:pt idx="313">
                  <c:v>3.254</c:v>
                </c:pt>
                <c:pt idx="314">
                  <c:v>3.5169999999999999</c:v>
                </c:pt>
                <c:pt idx="315">
                  <c:v>3.7669999999999999</c:v>
                </c:pt>
                <c:pt idx="316">
                  <c:v>3.8180000000000001</c:v>
                </c:pt>
                <c:pt idx="317">
                  <c:v>3.5150000000000001</c:v>
                </c:pt>
                <c:pt idx="318">
                  <c:v>3.34</c:v>
                </c:pt>
                <c:pt idx="319">
                  <c:v>2.7869999999999999</c:v>
                </c:pt>
                <c:pt idx="320">
                  <c:v>2.923</c:v>
                </c:pt>
                <c:pt idx="321">
                  <c:v>2.4279999999999999</c:v>
                </c:pt>
                <c:pt idx="322">
                  <c:v>2.4260000000000002</c:v>
                </c:pt>
                <c:pt idx="323">
                  <c:v>2.4590000000000001</c:v>
                </c:pt>
                <c:pt idx="324">
                  <c:v>2.7559999999999998</c:v>
                </c:pt>
                <c:pt idx="325">
                  <c:v>2.5510000000000002</c:v>
                </c:pt>
                <c:pt idx="326">
                  <c:v>2.4289999999999998</c:v>
                </c:pt>
                <c:pt idx="327">
                  <c:v>2.3330000000000002</c:v>
                </c:pt>
                <c:pt idx="328">
                  <c:v>2.464</c:v>
                </c:pt>
                <c:pt idx="329">
                  <c:v>2.2570000000000001</c:v>
                </c:pt>
                <c:pt idx="330">
                  <c:v>2.2149999999999999</c:v>
                </c:pt>
                <c:pt idx="331">
                  <c:v>2.1920000000000002</c:v>
                </c:pt>
                <c:pt idx="332">
                  <c:v>2.2189999999999999</c:v>
                </c:pt>
                <c:pt idx="333">
                  <c:v>2.06</c:v>
                </c:pt>
                <c:pt idx="334">
                  <c:v>2.2160000000000002</c:v>
                </c:pt>
                <c:pt idx="335">
                  <c:v>2.1030000000000002</c:v>
                </c:pt>
                <c:pt idx="336">
                  <c:v>2.06</c:v>
                </c:pt>
                <c:pt idx="337">
                  <c:v>2.2160000000000002</c:v>
                </c:pt>
                <c:pt idx="338">
                  <c:v>2.133</c:v>
                </c:pt>
                <c:pt idx="339">
                  <c:v>2.6219999999999999</c:v>
                </c:pt>
                <c:pt idx="340">
                  <c:v>2.944</c:v>
                </c:pt>
                <c:pt idx="341">
                  <c:v>2.95</c:v>
                </c:pt>
                <c:pt idx="342">
                  <c:v>3.133</c:v>
                </c:pt>
                <c:pt idx="343">
                  <c:v>3.222</c:v>
                </c:pt>
                <c:pt idx="344">
                  <c:v>3.012</c:v>
                </c:pt>
                <c:pt idx="345">
                  <c:v>3.0409999999999999</c:v>
                </c:pt>
                <c:pt idx="346">
                  <c:v>2.9380000000000002</c:v>
                </c:pt>
                <c:pt idx="347">
                  <c:v>2.7610000000000001</c:v>
                </c:pt>
                <c:pt idx="348">
                  <c:v>3.069</c:v>
                </c:pt>
                <c:pt idx="349">
                  <c:v>3.1509999999999998</c:v>
                </c:pt>
                <c:pt idx="350">
                  <c:v>2.8140000000000001</c:v>
                </c:pt>
                <c:pt idx="351">
                  <c:v>2.74</c:v>
                </c:pt>
                <c:pt idx="352">
                  <c:v>2.6440000000000001</c:v>
                </c:pt>
                <c:pt idx="353">
                  <c:v>2.1739999999999999</c:v>
                </c:pt>
                <c:pt idx="354">
                  <c:v>2.0379999999999998</c:v>
                </c:pt>
                <c:pt idx="355">
                  <c:v>2.0910000000000002</c:v>
                </c:pt>
                <c:pt idx="356">
                  <c:v>2.3130000000000002</c:v>
                </c:pt>
                <c:pt idx="357">
                  <c:v>2.21</c:v>
                </c:pt>
                <c:pt idx="358">
                  <c:v>2.1080000000000001</c:v>
                </c:pt>
                <c:pt idx="359">
                  <c:v>1.9239999999999999</c:v>
                </c:pt>
                <c:pt idx="360">
                  <c:v>1.9419999999999999</c:v>
                </c:pt>
                <c:pt idx="361">
                  <c:v>1.843</c:v>
                </c:pt>
                <c:pt idx="362">
                  <c:v>1.8740000000000001</c:v>
                </c:pt>
                <c:pt idx="363">
                  <c:v>1.758</c:v>
                </c:pt>
                <c:pt idx="364">
                  <c:v>1.8049999999999999</c:v>
                </c:pt>
                <c:pt idx="365">
                  <c:v>1.7849999999999999</c:v>
                </c:pt>
                <c:pt idx="366">
                  <c:v>2.052</c:v>
                </c:pt>
                <c:pt idx="367">
                  <c:v>1.917</c:v>
                </c:pt>
                <c:pt idx="368">
                  <c:v>2.0990000000000002</c:v>
                </c:pt>
                <c:pt idx="369">
                  <c:v>2.1</c:v>
                </c:pt>
                <c:pt idx="370">
                  <c:v>1.69</c:v>
                </c:pt>
                <c:pt idx="371">
                  <c:v>1.5740000000000001</c:v>
                </c:pt>
                <c:pt idx="372">
                  <c:v>1.944</c:v>
                </c:pt>
                <c:pt idx="373">
                  <c:v>1.6990000000000001</c:v>
                </c:pt>
                <c:pt idx="374">
                  <c:v>1.7549999999999999</c:v>
                </c:pt>
                <c:pt idx="375">
                  <c:v>1.7849999999999999</c:v>
                </c:pt>
                <c:pt idx="376">
                  <c:v>1.5089999999999999</c:v>
                </c:pt>
                <c:pt idx="377">
                  <c:v>1.532</c:v>
                </c:pt>
                <c:pt idx="378">
                  <c:v>1.341</c:v>
                </c:pt>
                <c:pt idx="379">
                  <c:v>1.3089999999999999</c:v>
                </c:pt>
                <c:pt idx="380">
                  <c:v>1.2310000000000001</c:v>
                </c:pt>
                <c:pt idx="381">
                  <c:v>1.2969999999999999</c:v>
                </c:pt>
                <c:pt idx="382">
                  <c:v>1.4650000000000001</c:v>
                </c:pt>
                <c:pt idx="383">
                  <c:v>1.571</c:v>
                </c:pt>
                <c:pt idx="384">
                  <c:v>1.4239999999999999</c:v>
                </c:pt>
                <c:pt idx="385">
                  <c:v>1.46</c:v>
                </c:pt>
                <c:pt idx="386">
                  <c:v>1.55</c:v>
                </c:pt>
                <c:pt idx="387">
                  <c:v>1.411</c:v>
                </c:pt>
                <c:pt idx="388">
                  <c:v>1.4410000000000001</c:v>
                </c:pt>
                <c:pt idx="389">
                  <c:v>1.3109999999999999</c:v>
                </c:pt>
                <c:pt idx="390">
                  <c:v>1.169</c:v>
                </c:pt>
                <c:pt idx="391">
                  <c:v>1.2150000000000001</c:v>
                </c:pt>
                <c:pt idx="392">
                  <c:v>1.161</c:v>
                </c:pt>
                <c:pt idx="393">
                  <c:v>1.1459999999999999</c:v>
                </c:pt>
                <c:pt idx="394">
                  <c:v>1.216</c:v>
                </c:pt>
                <c:pt idx="395">
                  <c:v>1.296</c:v>
                </c:pt>
                <c:pt idx="396">
                  <c:v>1.1890000000000001</c:v>
                </c:pt>
                <c:pt idx="397">
                  <c:v>1.143</c:v>
                </c:pt>
                <c:pt idx="398">
                  <c:v>1.206</c:v>
                </c:pt>
                <c:pt idx="399">
                  <c:v>1.2330000000000001</c:v>
                </c:pt>
                <c:pt idx="400">
                  <c:v>1.1559999999999999</c:v>
                </c:pt>
                <c:pt idx="401">
                  <c:v>1.325</c:v>
                </c:pt>
                <c:pt idx="402">
                  <c:v>1.323</c:v>
                </c:pt>
                <c:pt idx="403">
                  <c:v>1.407</c:v>
                </c:pt>
                <c:pt idx="404">
                  <c:v>1.4810000000000001</c:v>
                </c:pt>
                <c:pt idx="405">
                  <c:v>1.486</c:v>
                </c:pt>
                <c:pt idx="406">
                  <c:v>1.4610000000000001</c:v>
                </c:pt>
                <c:pt idx="407">
                  <c:v>1.536</c:v>
                </c:pt>
                <c:pt idx="408">
                  <c:v>1.4259999999999999</c:v>
                </c:pt>
                <c:pt idx="409">
                  <c:v>1.405</c:v>
                </c:pt>
                <c:pt idx="410">
                  <c:v>1.4590000000000001</c:v>
                </c:pt>
                <c:pt idx="411">
                  <c:v>1.39</c:v>
                </c:pt>
                <c:pt idx="412">
                  <c:v>1.327</c:v>
                </c:pt>
                <c:pt idx="413">
                  <c:v>1.4279999999999999</c:v>
                </c:pt>
                <c:pt idx="414">
                  <c:v>1.5680000000000001</c:v>
                </c:pt>
                <c:pt idx="415">
                  <c:v>1.5449999999999999</c:v>
                </c:pt>
                <c:pt idx="416">
                  <c:v>1.7989999999999999</c:v>
                </c:pt>
                <c:pt idx="417">
                  <c:v>1.6279999999999999</c:v>
                </c:pt>
                <c:pt idx="418">
                  <c:v>1.694</c:v>
                </c:pt>
                <c:pt idx="419">
                  <c:v>1.5880000000000001</c:v>
                </c:pt>
                <c:pt idx="420">
                  <c:v>1.8340000000000001</c:v>
                </c:pt>
                <c:pt idx="421">
                  <c:v>1.655</c:v>
                </c:pt>
                <c:pt idx="422">
                  <c:v>1.55</c:v>
                </c:pt>
                <c:pt idx="423">
                  <c:v>1.589</c:v>
                </c:pt>
                <c:pt idx="424">
                  <c:v>1.5720000000000001</c:v>
                </c:pt>
                <c:pt idx="425">
                  <c:v>1.63</c:v>
                </c:pt>
                <c:pt idx="426">
                  <c:v>1.5640000000000001</c:v>
                </c:pt>
                <c:pt idx="427">
                  <c:v>1.476</c:v>
                </c:pt>
                <c:pt idx="428">
                  <c:v>1.631</c:v>
                </c:pt>
                <c:pt idx="429">
                  <c:v>1.6220000000000001</c:v>
                </c:pt>
                <c:pt idx="430">
                  <c:v>1.7529999999999999</c:v>
                </c:pt>
                <c:pt idx="431">
                  <c:v>1.677</c:v>
                </c:pt>
                <c:pt idx="432">
                  <c:v>1.6339999999999999</c:v>
                </c:pt>
                <c:pt idx="433">
                  <c:v>1.2470000000000001</c:v>
                </c:pt>
                <c:pt idx="434">
                  <c:v>1.1599999999999999</c:v>
                </c:pt>
                <c:pt idx="435">
                  <c:v>1.196</c:v>
                </c:pt>
                <c:pt idx="436">
                  <c:v>1.274</c:v>
                </c:pt>
                <c:pt idx="437">
                  <c:v>1.339</c:v>
                </c:pt>
                <c:pt idx="438">
                  <c:v>1.264</c:v>
                </c:pt>
                <c:pt idx="439">
                  <c:v>1.151</c:v>
                </c:pt>
                <c:pt idx="440">
                  <c:v>1.159</c:v>
                </c:pt>
                <c:pt idx="441">
                  <c:v>1.087</c:v>
                </c:pt>
                <c:pt idx="442">
                  <c:v>1.1479999999999999</c:v>
                </c:pt>
                <c:pt idx="443">
                  <c:v>1.226</c:v>
                </c:pt>
                <c:pt idx="444">
                  <c:v>1.081</c:v>
                </c:pt>
                <c:pt idx="445">
                  <c:v>1.1180000000000001</c:v>
                </c:pt>
                <c:pt idx="446">
                  <c:v>1.1000000000000001</c:v>
                </c:pt>
                <c:pt idx="447">
                  <c:v>1.1990000000000001</c:v>
                </c:pt>
                <c:pt idx="448">
                  <c:v>1.032</c:v>
                </c:pt>
                <c:pt idx="449">
                  <c:v>1.022</c:v>
                </c:pt>
                <c:pt idx="450">
                  <c:v>0.97299999999999998</c:v>
                </c:pt>
                <c:pt idx="451">
                  <c:v>1.0900000000000001</c:v>
                </c:pt>
                <c:pt idx="452">
                  <c:v>1.133</c:v>
                </c:pt>
                <c:pt idx="453">
                  <c:v>1.0900000000000001</c:v>
                </c:pt>
                <c:pt idx="454">
                  <c:v>1.1339999999999999</c:v>
                </c:pt>
                <c:pt idx="455">
                  <c:v>1.157</c:v>
                </c:pt>
                <c:pt idx="456">
                  <c:v>1.1739999999999999</c:v>
                </c:pt>
                <c:pt idx="457">
                  <c:v>1.2669999999999999</c:v>
                </c:pt>
                <c:pt idx="458">
                  <c:v>1.335</c:v>
                </c:pt>
                <c:pt idx="459">
                  <c:v>1.4690000000000001</c:v>
                </c:pt>
                <c:pt idx="460">
                  <c:v>1.4</c:v>
                </c:pt>
                <c:pt idx="461">
                  <c:v>1.244</c:v>
                </c:pt>
                <c:pt idx="462">
                  <c:v>1.278</c:v>
                </c:pt>
                <c:pt idx="463">
                  <c:v>1.19</c:v>
                </c:pt>
                <c:pt idx="464">
                  <c:v>1.141</c:v>
                </c:pt>
                <c:pt idx="465">
                  <c:v>1.2809999999999999</c:v>
                </c:pt>
                <c:pt idx="466">
                  <c:v>1.3440000000000001</c:v>
                </c:pt>
                <c:pt idx="467">
                  <c:v>1.2849999999999999</c:v>
                </c:pt>
                <c:pt idx="468">
                  <c:v>1.216</c:v>
                </c:pt>
                <c:pt idx="469">
                  <c:v>1.35</c:v>
                </c:pt>
                <c:pt idx="470">
                  <c:v>1.42</c:v>
                </c:pt>
                <c:pt idx="471">
                  <c:v>1.52</c:v>
                </c:pt>
                <c:pt idx="472">
                  <c:v>1.518</c:v>
                </c:pt>
                <c:pt idx="473">
                  <c:v>1.4830000000000001</c:v>
                </c:pt>
                <c:pt idx="474">
                  <c:v>1.3009999999999999</c:v>
                </c:pt>
                <c:pt idx="475">
                  <c:v>1.264</c:v>
                </c:pt>
                <c:pt idx="476">
                  <c:v>1.2230000000000001</c:v>
                </c:pt>
                <c:pt idx="477">
                  <c:v>1.0609999999999999</c:v>
                </c:pt>
                <c:pt idx="478">
                  <c:v>1.0289999999999999</c:v>
                </c:pt>
                <c:pt idx="479">
                  <c:v>1.1970000000000001</c:v>
                </c:pt>
                <c:pt idx="480">
                  <c:v>1.2529999999999999</c:v>
                </c:pt>
                <c:pt idx="481">
                  <c:v>1.254</c:v>
                </c:pt>
                <c:pt idx="482">
                  <c:v>1.3</c:v>
                </c:pt>
                <c:pt idx="483">
                  <c:v>1.4</c:v>
                </c:pt>
                <c:pt idx="484">
                  <c:v>1.4379999999999999</c:v>
                </c:pt>
                <c:pt idx="485">
                  <c:v>1.208</c:v>
                </c:pt>
                <c:pt idx="486">
                  <c:v>1.357</c:v>
                </c:pt>
                <c:pt idx="487">
                  <c:v>1.431</c:v>
                </c:pt>
                <c:pt idx="488">
                  <c:v>1.522</c:v>
                </c:pt>
                <c:pt idx="489">
                  <c:v>1.6040000000000001</c:v>
                </c:pt>
                <c:pt idx="490">
                  <c:v>1.5069999999999999</c:v>
                </c:pt>
                <c:pt idx="491">
                  <c:v>1.2</c:v>
                </c:pt>
                <c:pt idx="492">
                  <c:v>1.472</c:v>
                </c:pt>
                <c:pt idx="493">
                  <c:v>1.476</c:v>
                </c:pt>
                <c:pt idx="494">
                  <c:v>1.8779999999999999</c:v>
                </c:pt>
                <c:pt idx="495">
                  <c:v>2.13</c:v>
                </c:pt>
                <c:pt idx="496">
                  <c:v>1.907</c:v>
                </c:pt>
                <c:pt idx="497">
                  <c:v>2.028</c:v>
                </c:pt>
                <c:pt idx="498">
                  <c:v>2.1640000000000001</c:v>
                </c:pt>
                <c:pt idx="499">
                  <c:v>2.4009999999999998</c:v>
                </c:pt>
                <c:pt idx="500">
                  <c:v>2.7010000000000001</c:v>
                </c:pt>
                <c:pt idx="501">
                  <c:v>2.3759999999999999</c:v>
                </c:pt>
                <c:pt idx="502">
                  <c:v>2.754</c:v>
                </c:pt>
                <c:pt idx="503">
                  <c:v>2.1819999999999999</c:v>
                </c:pt>
                <c:pt idx="504">
                  <c:v>2.1930000000000001</c:v>
                </c:pt>
                <c:pt idx="505">
                  <c:v>2.1459999999999999</c:v>
                </c:pt>
                <c:pt idx="506">
                  <c:v>1.9950000000000001</c:v>
                </c:pt>
                <c:pt idx="507">
                  <c:v>2.1890000000000001</c:v>
                </c:pt>
                <c:pt idx="508">
                  <c:v>2.3159999999999998</c:v>
                </c:pt>
                <c:pt idx="509">
                  <c:v>2.1429999999999998</c:v>
                </c:pt>
                <c:pt idx="510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67-4909-AAAD-517EE5F9F8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-1.1877774101388505</c:v>
                </c:pt>
                <c:pt idx="1">
                  <c:v>-1.1864285074902019</c:v>
                </c:pt>
                <c:pt idx="2">
                  <c:v>-1.1540622990196137</c:v>
                </c:pt>
                <c:pt idx="3">
                  <c:v>-0.99471048944818519</c:v>
                </c:pt>
                <c:pt idx="4">
                  <c:v>-1.0722483320551417</c:v>
                </c:pt>
                <c:pt idx="5">
                  <c:v>-1.0683810855480995</c:v>
                </c:pt>
                <c:pt idx="6">
                  <c:v>-1.0618200863493896</c:v>
                </c:pt>
                <c:pt idx="7">
                  <c:v>-1.0429282077348525</c:v>
                </c:pt>
                <c:pt idx="8">
                  <c:v>-1.0345332727126304</c:v>
                </c:pt>
                <c:pt idx="9">
                  <c:v>-1.0304347757126302</c:v>
                </c:pt>
                <c:pt idx="10">
                  <c:v>-1.0189254782012667</c:v>
                </c:pt>
                <c:pt idx="11">
                  <c:v>-1.0229184078646332</c:v>
                </c:pt>
                <c:pt idx="12">
                  <c:v>-1.0172221727341983</c:v>
                </c:pt>
                <c:pt idx="13">
                  <c:v>-1.0164117556572752</c:v>
                </c:pt>
                <c:pt idx="14">
                  <c:v>-1.0151716434951128</c:v>
                </c:pt>
                <c:pt idx="15">
                  <c:v>-1.007579259745113</c:v>
                </c:pt>
                <c:pt idx="16">
                  <c:v>-1.0175744624364709</c:v>
                </c:pt>
                <c:pt idx="17">
                  <c:v>-1.0230650938467274</c:v>
                </c:pt>
                <c:pt idx="18">
                  <c:v>-1.0202947328234717</c:v>
                </c:pt>
                <c:pt idx="19">
                  <c:v>-1.0222842572165751</c:v>
                </c:pt>
                <c:pt idx="20">
                  <c:v>-1.0178888325699085</c:v>
                </c:pt>
                <c:pt idx="21">
                  <c:v>-1.006831958656865</c:v>
                </c:pt>
                <c:pt idx="22">
                  <c:v>-0.99665313298597902</c:v>
                </c:pt>
                <c:pt idx="23">
                  <c:v>-0.97721251154658517</c:v>
                </c:pt>
                <c:pt idx="24">
                  <c:v>-0.97037659125028886</c:v>
                </c:pt>
                <c:pt idx="25">
                  <c:v>-0.9697966713227526</c:v>
                </c:pt>
                <c:pt idx="26">
                  <c:v>-0.96858680934093433</c:v>
                </c:pt>
                <c:pt idx="27">
                  <c:v>-0.97425572991785736</c:v>
                </c:pt>
                <c:pt idx="28">
                  <c:v>-0.96190778665979282</c:v>
                </c:pt>
                <c:pt idx="29">
                  <c:v>-0.961036834218848</c:v>
                </c:pt>
                <c:pt idx="30">
                  <c:v>-0.95419496995884789</c:v>
                </c:pt>
                <c:pt idx="31">
                  <c:v>-0.9430822258755146</c:v>
                </c:pt>
                <c:pt idx="32">
                  <c:v>-0.92788969682500955</c:v>
                </c:pt>
                <c:pt idx="33">
                  <c:v>-0.93435943216983719</c:v>
                </c:pt>
                <c:pt idx="34">
                  <c:v>-0.93528087876477384</c:v>
                </c:pt>
                <c:pt idx="35">
                  <c:v>-0.94450585269580822</c:v>
                </c:pt>
                <c:pt idx="36">
                  <c:v>-0.95507530259411344</c:v>
                </c:pt>
                <c:pt idx="37">
                  <c:v>-0.95410445498805263</c:v>
                </c:pt>
                <c:pt idx="38">
                  <c:v>-0.96041396273805268</c:v>
                </c:pt>
                <c:pt idx="39">
                  <c:v>-0.9685443026114704</c:v>
                </c:pt>
                <c:pt idx="40">
                  <c:v>-0.96215790698289905</c:v>
                </c:pt>
                <c:pt idx="41">
                  <c:v>-0.96637935136999575</c:v>
                </c:pt>
                <c:pt idx="42">
                  <c:v>-0.95901572108073974</c:v>
                </c:pt>
                <c:pt idx="43">
                  <c:v>-0.93700681997961599</c:v>
                </c:pt>
                <c:pt idx="44">
                  <c:v>-0.95177144197961605</c:v>
                </c:pt>
                <c:pt idx="45">
                  <c:v>-0.95657874547494304</c:v>
                </c:pt>
                <c:pt idx="46">
                  <c:v>-0.94191903230110741</c:v>
                </c:pt>
                <c:pt idx="47">
                  <c:v>-0.94681663482858003</c:v>
                </c:pt>
                <c:pt idx="48">
                  <c:v>-0.9477441896142943</c:v>
                </c:pt>
                <c:pt idx="49">
                  <c:v>-0.93656893461429436</c:v>
                </c:pt>
                <c:pt idx="50">
                  <c:v>-0.92560006272857998</c:v>
                </c:pt>
                <c:pt idx="51">
                  <c:v>-0.93289673720444199</c:v>
                </c:pt>
                <c:pt idx="52">
                  <c:v>-0.92060652547773392</c:v>
                </c:pt>
                <c:pt idx="53">
                  <c:v>-0.93737086007267056</c:v>
                </c:pt>
                <c:pt idx="54">
                  <c:v>-0.91152904407267066</c:v>
                </c:pt>
                <c:pt idx="55">
                  <c:v>-0.90036503904340237</c:v>
                </c:pt>
                <c:pt idx="56">
                  <c:v>-0.87965161154654714</c:v>
                </c:pt>
                <c:pt idx="57">
                  <c:v>-0.8864371525465472</c:v>
                </c:pt>
                <c:pt idx="58">
                  <c:v>-0.87978376805054725</c:v>
                </c:pt>
                <c:pt idx="59">
                  <c:v>-0.86465232005054726</c:v>
                </c:pt>
                <c:pt idx="60">
                  <c:v>-0.86031861085756489</c:v>
                </c:pt>
                <c:pt idx="61">
                  <c:v>-0.86527939064017356</c:v>
                </c:pt>
                <c:pt idx="62">
                  <c:v>-0.82569090764017361</c:v>
                </c:pt>
                <c:pt idx="63">
                  <c:v>-0.81787585073757618</c:v>
                </c:pt>
                <c:pt idx="64">
                  <c:v>-0.8337778904737726</c:v>
                </c:pt>
                <c:pt idx="65">
                  <c:v>-0.83000984908246833</c:v>
                </c:pt>
                <c:pt idx="66">
                  <c:v>-0.83692542751870991</c:v>
                </c:pt>
                <c:pt idx="67">
                  <c:v>-0.83328094351870996</c:v>
                </c:pt>
                <c:pt idx="68">
                  <c:v>-0.82072753775224294</c:v>
                </c:pt>
                <c:pt idx="69">
                  <c:v>-0.8318432112771299</c:v>
                </c:pt>
                <c:pt idx="70">
                  <c:v>-0.84093713843399254</c:v>
                </c:pt>
                <c:pt idx="71">
                  <c:v>-0.82350630815106574</c:v>
                </c:pt>
                <c:pt idx="72">
                  <c:v>-0.82206394580515385</c:v>
                </c:pt>
                <c:pt idx="73">
                  <c:v>-0.83373191745732766</c:v>
                </c:pt>
                <c:pt idx="74">
                  <c:v>-0.81769366565732771</c:v>
                </c:pt>
                <c:pt idx="75">
                  <c:v>-0.80613362656641874</c:v>
                </c:pt>
                <c:pt idx="76">
                  <c:v>-0.80628369821758161</c:v>
                </c:pt>
                <c:pt idx="77">
                  <c:v>-0.78198362300390634</c:v>
                </c:pt>
                <c:pt idx="78">
                  <c:v>-0.81841889944835078</c:v>
                </c:pt>
                <c:pt idx="79">
                  <c:v>-0.81177787854549377</c:v>
                </c:pt>
                <c:pt idx="80">
                  <c:v>-0.79627165294055557</c:v>
                </c:pt>
                <c:pt idx="81">
                  <c:v>-0.78859394074877465</c:v>
                </c:pt>
                <c:pt idx="82">
                  <c:v>-0.79724486395930094</c:v>
                </c:pt>
                <c:pt idx="83">
                  <c:v>-0.80133346549263429</c:v>
                </c:pt>
                <c:pt idx="84">
                  <c:v>-0.7880718669741158</c:v>
                </c:pt>
                <c:pt idx="85">
                  <c:v>-0.77899211576686211</c:v>
                </c:pt>
                <c:pt idx="86">
                  <c:v>-0.76911977976168067</c:v>
                </c:pt>
                <c:pt idx="87">
                  <c:v>-0.77300575976670571</c:v>
                </c:pt>
                <c:pt idx="88">
                  <c:v>-0.7650227476749627</c:v>
                </c:pt>
                <c:pt idx="89">
                  <c:v>-0.74733313029012316</c:v>
                </c:pt>
                <c:pt idx="90">
                  <c:v>-0.75388312347530828</c:v>
                </c:pt>
                <c:pt idx="91">
                  <c:v>-0.76085620884217209</c:v>
                </c:pt>
                <c:pt idx="92">
                  <c:v>-0.76230206430645797</c:v>
                </c:pt>
                <c:pt idx="93">
                  <c:v>-0.74546477911143727</c:v>
                </c:pt>
                <c:pt idx="94">
                  <c:v>-0.74023189993365945</c:v>
                </c:pt>
                <c:pt idx="95">
                  <c:v>-0.74316717463954185</c:v>
                </c:pt>
                <c:pt idx="96">
                  <c:v>-0.73542013661041561</c:v>
                </c:pt>
                <c:pt idx="97">
                  <c:v>-0.7303664793112703</c:v>
                </c:pt>
                <c:pt idx="98">
                  <c:v>-0.7268361980985043</c:v>
                </c:pt>
                <c:pt idx="99">
                  <c:v>-0.71784374106544646</c:v>
                </c:pt>
                <c:pt idx="100">
                  <c:v>-0.69590796934255494</c:v>
                </c:pt>
                <c:pt idx="101">
                  <c:v>-0.70420445466020187</c:v>
                </c:pt>
                <c:pt idx="102">
                  <c:v>-0.70385650360402208</c:v>
                </c:pt>
                <c:pt idx="103">
                  <c:v>-0.69839128727844069</c:v>
                </c:pt>
                <c:pt idx="104">
                  <c:v>-0.69584594096265118</c:v>
                </c:pt>
                <c:pt idx="105">
                  <c:v>-0.69230508496265131</c:v>
                </c:pt>
                <c:pt idx="106">
                  <c:v>-0.69811537091001974</c:v>
                </c:pt>
                <c:pt idx="107">
                  <c:v>-0.7005037896912697</c:v>
                </c:pt>
                <c:pt idx="108">
                  <c:v>-0.69991755936023514</c:v>
                </c:pt>
                <c:pt idx="109">
                  <c:v>-0.67586524451408136</c:v>
                </c:pt>
                <c:pt idx="110">
                  <c:v>-0.67536795739185917</c:v>
                </c:pt>
                <c:pt idx="111">
                  <c:v>-0.68113455052229388</c:v>
                </c:pt>
                <c:pt idx="112">
                  <c:v>-0.66940582420650441</c:v>
                </c:pt>
                <c:pt idx="113">
                  <c:v>-0.66617770243231089</c:v>
                </c:pt>
                <c:pt idx="114">
                  <c:v>-0.66165646300888747</c:v>
                </c:pt>
                <c:pt idx="115">
                  <c:v>-0.66679300295254951</c:v>
                </c:pt>
                <c:pt idx="116">
                  <c:v>-0.66728300846366051</c:v>
                </c:pt>
                <c:pt idx="117">
                  <c:v>-0.6582082241533157</c:v>
                </c:pt>
                <c:pt idx="118">
                  <c:v>-0.64818114306771257</c:v>
                </c:pt>
                <c:pt idx="119">
                  <c:v>-0.66981799432045974</c:v>
                </c:pt>
                <c:pt idx="120">
                  <c:v>-0.67476314038361773</c:v>
                </c:pt>
                <c:pt idx="121">
                  <c:v>-0.66357598870361778</c:v>
                </c:pt>
                <c:pt idx="122">
                  <c:v>-0.64425319151314153</c:v>
                </c:pt>
                <c:pt idx="123">
                  <c:v>-0.6155794270660826</c:v>
                </c:pt>
                <c:pt idx="124">
                  <c:v>-0.61606077984386043</c:v>
                </c:pt>
                <c:pt idx="125">
                  <c:v>-0.61384108237447277</c:v>
                </c:pt>
                <c:pt idx="126">
                  <c:v>-0.60620969689783721</c:v>
                </c:pt>
                <c:pt idx="127">
                  <c:v>-0.62377496329718207</c:v>
                </c:pt>
                <c:pt idx="128">
                  <c:v>-0.65099615270280464</c:v>
                </c:pt>
                <c:pt idx="129">
                  <c:v>-0.64138062771377413</c:v>
                </c:pt>
                <c:pt idx="130">
                  <c:v>-0.63214255838745825</c:v>
                </c:pt>
                <c:pt idx="131">
                  <c:v>-0.62358152061718808</c:v>
                </c:pt>
                <c:pt idx="132">
                  <c:v>-0.61984858400102649</c:v>
                </c:pt>
                <c:pt idx="133">
                  <c:v>-0.62468882252620628</c:v>
                </c:pt>
                <c:pt idx="134">
                  <c:v>-0.60086975692620637</c:v>
                </c:pt>
                <c:pt idx="135">
                  <c:v>-0.58896147331174864</c:v>
                </c:pt>
                <c:pt idx="136">
                  <c:v>-0.576636612245082</c:v>
                </c:pt>
                <c:pt idx="137">
                  <c:v>-0.54824349521282389</c:v>
                </c:pt>
                <c:pt idx="138">
                  <c:v>-0.44173195164139528</c:v>
                </c:pt>
                <c:pt idx="139">
                  <c:v>-0.47163762447860474</c:v>
                </c:pt>
                <c:pt idx="140">
                  <c:v>-0.45507295832475858</c:v>
                </c:pt>
                <c:pt idx="141">
                  <c:v>-0.45342587913283938</c:v>
                </c:pt>
                <c:pt idx="142">
                  <c:v>-0.46336581801904758</c:v>
                </c:pt>
                <c:pt idx="143">
                  <c:v>-0.41008922292457806</c:v>
                </c:pt>
                <c:pt idx="144">
                  <c:v>-0.39845818120252391</c:v>
                </c:pt>
                <c:pt idx="145">
                  <c:v>-0.40876501521947306</c:v>
                </c:pt>
                <c:pt idx="146">
                  <c:v>-0.40076928530194722</c:v>
                </c:pt>
                <c:pt idx="147">
                  <c:v>-0.37895706696459802</c:v>
                </c:pt>
                <c:pt idx="148">
                  <c:v>-0.32407398232372925</c:v>
                </c:pt>
                <c:pt idx="149">
                  <c:v>-0.34448426588993919</c:v>
                </c:pt>
                <c:pt idx="150">
                  <c:v>-0.32696832072864884</c:v>
                </c:pt>
                <c:pt idx="151">
                  <c:v>-0.31349502571074184</c:v>
                </c:pt>
                <c:pt idx="152">
                  <c:v>-0.31047447227740843</c:v>
                </c:pt>
                <c:pt idx="153">
                  <c:v>-0.31207108291740848</c:v>
                </c:pt>
                <c:pt idx="154">
                  <c:v>-0.32240804617340851</c:v>
                </c:pt>
                <c:pt idx="155">
                  <c:v>-0.31254390076762339</c:v>
                </c:pt>
                <c:pt idx="156">
                  <c:v>-0.33345383196012346</c:v>
                </c:pt>
                <c:pt idx="157">
                  <c:v>-0.30537720074394292</c:v>
                </c:pt>
                <c:pt idx="158">
                  <c:v>-0.30205429490425678</c:v>
                </c:pt>
                <c:pt idx="159">
                  <c:v>-0.30384614734687365</c:v>
                </c:pt>
                <c:pt idx="160">
                  <c:v>-0.29591098974637003</c:v>
                </c:pt>
                <c:pt idx="161">
                  <c:v>-0.3201549725247701</c:v>
                </c:pt>
                <c:pt idx="162">
                  <c:v>-0.3406799192822525</c:v>
                </c:pt>
                <c:pt idx="163">
                  <c:v>-0.327694372541183</c:v>
                </c:pt>
                <c:pt idx="164">
                  <c:v>-0.29053625154457285</c:v>
                </c:pt>
                <c:pt idx="165">
                  <c:v>-0.27031975242244016</c:v>
                </c:pt>
                <c:pt idx="166">
                  <c:v>-0.29056642794154458</c:v>
                </c:pt>
                <c:pt idx="167">
                  <c:v>-0.2981184100515446</c:v>
                </c:pt>
                <c:pt idx="168">
                  <c:v>-0.29168779737524392</c:v>
                </c:pt>
                <c:pt idx="169">
                  <c:v>-0.32914703588565275</c:v>
                </c:pt>
                <c:pt idx="170">
                  <c:v>-0.32534074028871401</c:v>
                </c:pt>
                <c:pt idx="171">
                  <c:v>-0.33907356346871403</c:v>
                </c:pt>
                <c:pt idx="172">
                  <c:v>-0.3521650140823504</c:v>
                </c:pt>
                <c:pt idx="173">
                  <c:v>-0.14746816823778397</c:v>
                </c:pt>
                <c:pt idx="174">
                  <c:v>-0.15515605939528399</c:v>
                </c:pt>
                <c:pt idx="175">
                  <c:v>-0.160564773089791</c:v>
                </c:pt>
                <c:pt idx="176">
                  <c:v>-0.18515673511193378</c:v>
                </c:pt>
                <c:pt idx="177">
                  <c:v>-0.18764921608823007</c:v>
                </c:pt>
                <c:pt idx="178">
                  <c:v>-0.18274920927981886</c:v>
                </c:pt>
                <c:pt idx="179">
                  <c:v>-0.16714634675925283</c:v>
                </c:pt>
                <c:pt idx="180">
                  <c:v>-0.16832991317118834</c:v>
                </c:pt>
                <c:pt idx="181">
                  <c:v>-0.16444745646949019</c:v>
                </c:pt>
                <c:pt idx="182">
                  <c:v>-0.18091138353845571</c:v>
                </c:pt>
                <c:pt idx="183">
                  <c:v>-0.17884886849303205</c:v>
                </c:pt>
                <c:pt idx="184">
                  <c:v>-0.18126109663604173</c:v>
                </c:pt>
                <c:pt idx="185">
                  <c:v>-0.18695427727829983</c:v>
                </c:pt>
                <c:pt idx="186">
                  <c:v>-0.15828753958952335</c:v>
                </c:pt>
                <c:pt idx="187">
                  <c:v>-0.16653046291271925</c:v>
                </c:pt>
                <c:pt idx="188">
                  <c:v>-0.17577970082202962</c:v>
                </c:pt>
                <c:pt idx="189">
                  <c:v>-0.18671823587518752</c:v>
                </c:pt>
                <c:pt idx="190">
                  <c:v>-0.18898464886038746</c:v>
                </c:pt>
                <c:pt idx="191">
                  <c:v>-0.19746119640816528</c:v>
                </c:pt>
                <c:pt idx="192">
                  <c:v>-0.18341644660976525</c:v>
                </c:pt>
                <c:pt idx="193">
                  <c:v>-0.18060545699620592</c:v>
                </c:pt>
                <c:pt idx="194">
                  <c:v>-0.17679632864271755</c:v>
                </c:pt>
                <c:pt idx="195">
                  <c:v>-0.17951595176414617</c:v>
                </c:pt>
                <c:pt idx="196">
                  <c:v>-0.14688928128798293</c:v>
                </c:pt>
                <c:pt idx="197">
                  <c:v>-0.12952903214450925</c:v>
                </c:pt>
                <c:pt idx="198">
                  <c:v>-0.12409543920211485</c:v>
                </c:pt>
                <c:pt idx="199">
                  <c:v>-6.2829663742799816E-2</c:v>
                </c:pt>
                <c:pt idx="200">
                  <c:v>-7.7218060407421032E-2</c:v>
                </c:pt>
                <c:pt idx="201">
                  <c:v>-8.8266603747421055E-2</c:v>
                </c:pt>
                <c:pt idx="202">
                  <c:v>-8.3233285910439922E-2</c:v>
                </c:pt>
                <c:pt idx="203">
                  <c:v>-9.9517256709920399E-2</c:v>
                </c:pt>
                <c:pt idx="204">
                  <c:v>-9.6147261142744814E-2</c:v>
                </c:pt>
                <c:pt idx="205">
                  <c:v>-8.8382663782744841E-2</c:v>
                </c:pt>
                <c:pt idx="206">
                  <c:v>-0.1025524321171605</c:v>
                </c:pt>
                <c:pt idx="207">
                  <c:v>-9.6457297574406825E-2</c:v>
                </c:pt>
                <c:pt idx="208">
                  <c:v>-9.8148372738277784E-2</c:v>
                </c:pt>
                <c:pt idx="209">
                  <c:v>-9.958855100605557E-2</c:v>
                </c:pt>
                <c:pt idx="210">
                  <c:v>-9.958855100605557E-2</c:v>
                </c:pt>
                <c:pt idx="211">
                  <c:v>-9.6674484858624343E-2</c:v>
                </c:pt>
                <c:pt idx="212">
                  <c:v>-0.10606740204276228</c:v>
                </c:pt>
                <c:pt idx="213">
                  <c:v>-0.10476915305877857</c:v>
                </c:pt>
                <c:pt idx="214">
                  <c:v>-0.10232050510077849</c:v>
                </c:pt>
                <c:pt idx="215">
                  <c:v>-0.11031510139022803</c:v>
                </c:pt>
                <c:pt idx="216">
                  <c:v>-0.12881308535232483</c:v>
                </c:pt>
                <c:pt idx="217">
                  <c:v>-0.12125917172165816</c:v>
                </c:pt>
                <c:pt idx="218">
                  <c:v>-0.1326947332505847</c:v>
                </c:pt>
                <c:pt idx="219">
                  <c:v>-0.13804088581973364</c:v>
                </c:pt>
                <c:pt idx="220">
                  <c:v>-0.13339113815910203</c:v>
                </c:pt>
                <c:pt idx="221">
                  <c:v>-0.10415991009341515</c:v>
                </c:pt>
                <c:pt idx="222">
                  <c:v>-0.11435718865938832</c:v>
                </c:pt>
                <c:pt idx="223">
                  <c:v>-0.11109139241351873</c:v>
                </c:pt>
                <c:pt idx="224">
                  <c:v>-0.10529358096587828</c:v>
                </c:pt>
                <c:pt idx="225">
                  <c:v>-9.0875639609940786E-2</c:v>
                </c:pt>
                <c:pt idx="226">
                  <c:v>-9.589701778773739E-2</c:v>
                </c:pt>
                <c:pt idx="227">
                  <c:v>-8.9001419967737347E-2</c:v>
                </c:pt>
                <c:pt idx="228">
                  <c:v>-9.6226944027788128E-2</c:v>
                </c:pt>
                <c:pt idx="229">
                  <c:v>-0.12472908449709838</c:v>
                </c:pt>
                <c:pt idx="230">
                  <c:v>-0.11900277822936503</c:v>
                </c:pt>
                <c:pt idx="231">
                  <c:v>-0.10725986288720288</c:v>
                </c:pt>
                <c:pt idx="232">
                  <c:v>-9.753931329269587E-2</c:v>
                </c:pt>
                <c:pt idx="233">
                  <c:v>-0.11212733643210761</c:v>
                </c:pt>
                <c:pt idx="234">
                  <c:v>-0.1281156722094989</c:v>
                </c:pt>
                <c:pt idx="235">
                  <c:v>-9.0014295681120543E-2</c:v>
                </c:pt>
                <c:pt idx="236">
                  <c:v>-9.2311617733213572E-2</c:v>
                </c:pt>
                <c:pt idx="237">
                  <c:v>-8.0987877456103738E-2</c:v>
                </c:pt>
                <c:pt idx="238">
                  <c:v>-6.5630017022737422E-2</c:v>
                </c:pt>
                <c:pt idx="239">
                  <c:v>-7.3657513214226755E-2</c:v>
                </c:pt>
                <c:pt idx="240">
                  <c:v>-8.2865087850190103E-2</c:v>
                </c:pt>
                <c:pt idx="241">
                  <c:v>-7.8719988713523439E-2</c:v>
                </c:pt>
                <c:pt idx="242">
                  <c:v>-0.10268659424149644</c:v>
                </c:pt>
                <c:pt idx="243">
                  <c:v>-0.11251370384849643</c:v>
                </c:pt>
                <c:pt idx="244">
                  <c:v>-9.6953610258521977E-2</c:v>
                </c:pt>
                <c:pt idx="245">
                  <c:v>-7.974530676806045E-2</c:v>
                </c:pt>
                <c:pt idx="246">
                  <c:v>-6.9532216698670532E-2</c:v>
                </c:pt>
                <c:pt idx="247">
                  <c:v>-8.9001211403670538E-2</c:v>
                </c:pt>
                <c:pt idx="248">
                  <c:v>-9.0786122300141117E-2</c:v>
                </c:pt>
                <c:pt idx="249">
                  <c:v>-0.13398162210863995</c:v>
                </c:pt>
                <c:pt idx="250">
                  <c:v>-0.15128314225863998</c:v>
                </c:pt>
                <c:pt idx="251">
                  <c:v>-0.11938853223446415</c:v>
                </c:pt>
                <c:pt idx="252">
                  <c:v>-0.10525262100375463</c:v>
                </c:pt>
                <c:pt idx="253">
                  <c:v>-0.11736109239871143</c:v>
                </c:pt>
                <c:pt idx="254">
                  <c:v>-9.6522432451593934E-2</c:v>
                </c:pt>
                <c:pt idx="255">
                  <c:v>-0.10678706444087961</c:v>
                </c:pt>
                <c:pt idx="256">
                  <c:v>-9.5054173757518831E-2</c:v>
                </c:pt>
                <c:pt idx="257">
                  <c:v>-9.7971511807518827E-2</c:v>
                </c:pt>
                <c:pt idx="258">
                  <c:v>-7.9821570713861242E-2</c:v>
                </c:pt>
                <c:pt idx="259">
                  <c:v>-6.4958210377247694E-2</c:v>
                </c:pt>
                <c:pt idx="260">
                  <c:v>-9.570366283297152E-2</c:v>
                </c:pt>
                <c:pt idx="261">
                  <c:v>-4.8701134242304156E-2</c:v>
                </c:pt>
                <c:pt idx="262">
                  <c:v>-7.6349583742304161E-2</c:v>
                </c:pt>
                <c:pt idx="263">
                  <c:v>-5.143802399230419E-2</c:v>
                </c:pt>
                <c:pt idx="264">
                  <c:v>-8.223479583148334E-2</c:v>
                </c:pt>
                <c:pt idx="265">
                  <c:v>-6.2673335389779233E-2</c:v>
                </c:pt>
                <c:pt idx="266">
                  <c:v>-5.5855803760839845E-2</c:v>
                </c:pt>
                <c:pt idx="267">
                  <c:v>-2.0634753736989947E-2</c:v>
                </c:pt>
                <c:pt idx="268">
                  <c:v>4.9232142492200488E-2</c:v>
                </c:pt>
                <c:pt idx="269">
                  <c:v>1.86358605719446E-2</c:v>
                </c:pt>
                <c:pt idx="270">
                  <c:v>-6.5085833588771087E-3</c:v>
                </c:pt>
                <c:pt idx="271">
                  <c:v>-1.9406082787105115E-2</c:v>
                </c:pt>
                <c:pt idx="272">
                  <c:v>-2.2392920152262262E-2</c:v>
                </c:pt>
                <c:pt idx="273">
                  <c:v>-4.3494668927864306E-2</c:v>
                </c:pt>
                <c:pt idx="274">
                  <c:v>-4.7477769178046143E-2</c:v>
                </c:pt>
                <c:pt idx="275">
                  <c:v>-4.1784425373638343E-2</c:v>
                </c:pt>
                <c:pt idx="276">
                  <c:v>-6.4181631728264521E-2</c:v>
                </c:pt>
                <c:pt idx="277">
                  <c:v>-9.4736553182068875E-2</c:v>
                </c:pt>
                <c:pt idx="278">
                  <c:v>-9.216235125886757E-2</c:v>
                </c:pt>
                <c:pt idx="279">
                  <c:v>-7.0847534498305484E-2</c:v>
                </c:pt>
                <c:pt idx="280">
                  <c:v>-7.5352406632982871E-2</c:v>
                </c:pt>
                <c:pt idx="281">
                  <c:v>-5.3610951288589934E-2</c:v>
                </c:pt>
                <c:pt idx="282">
                  <c:v>-1.5254583051515547E-2</c:v>
                </c:pt>
                <c:pt idx="283">
                  <c:v>-3.7436992639237082E-2</c:v>
                </c:pt>
                <c:pt idx="284">
                  <c:v>-9.5852399975365557E-3</c:v>
                </c:pt>
                <c:pt idx="285">
                  <c:v>-3.9093334101195917E-4</c:v>
                </c:pt>
                <c:pt idx="286">
                  <c:v>2.1634362261726596E-2</c:v>
                </c:pt>
                <c:pt idx="287">
                  <c:v>8.4636045003252287E-3</c:v>
                </c:pt>
                <c:pt idx="288">
                  <c:v>1.0255995656640978E-2</c:v>
                </c:pt>
                <c:pt idx="289">
                  <c:v>-4.2997366670653866E-3</c:v>
                </c:pt>
                <c:pt idx="290">
                  <c:v>-1.2212729183965997E-2</c:v>
                </c:pt>
                <c:pt idx="291">
                  <c:v>-3.9600565496601865E-4</c:v>
                </c:pt>
                <c:pt idx="292">
                  <c:v>-1.475331757744858E-2</c:v>
                </c:pt>
                <c:pt idx="293">
                  <c:v>-1.1854889888217857E-2</c:v>
                </c:pt>
                <c:pt idx="294">
                  <c:v>1.1242583962236018E-3</c:v>
                </c:pt>
                <c:pt idx="295">
                  <c:v>1.690206638022362E-2</c:v>
                </c:pt>
                <c:pt idx="296">
                  <c:v>9.9721169017581383E-3</c:v>
                </c:pt>
                <c:pt idx="297">
                  <c:v>2.791145261130815E-2</c:v>
                </c:pt>
                <c:pt idx="298">
                  <c:v>5.1778815569582505E-2</c:v>
                </c:pt>
                <c:pt idx="299">
                  <c:v>8.9562540674975547E-3</c:v>
                </c:pt>
                <c:pt idx="300">
                  <c:v>2.7119197296085817E-2</c:v>
                </c:pt>
                <c:pt idx="301">
                  <c:v>3.2940350278670094E-2</c:v>
                </c:pt>
                <c:pt idx="302">
                  <c:v>3.3310347438845915E-2</c:v>
                </c:pt>
                <c:pt idx="303">
                  <c:v>-6.980345876898383E-5</c:v>
                </c:pt>
                <c:pt idx="304">
                  <c:v>-1.7830718058930835E-2</c:v>
                </c:pt>
                <c:pt idx="305">
                  <c:v>-3.2733231888689165E-2</c:v>
                </c:pt>
                <c:pt idx="306">
                  <c:v>-2.0828701578026805E-2</c:v>
                </c:pt>
                <c:pt idx="307">
                  <c:v>-6.6669098300661894E-2</c:v>
                </c:pt>
                <c:pt idx="308">
                  <c:v>-8.1225986181517149E-2</c:v>
                </c:pt>
                <c:pt idx="309">
                  <c:v>-8.103960742575958E-2</c:v>
                </c:pt>
                <c:pt idx="310">
                  <c:v>-5.6035710231060958E-2</c:v>
                </c:pt>
                <c:pt idx="311">
                  <c:v>-3.9087957471398073E-2</c:v>
                </c:pt>
                <c:pt idx="312">
                  <c:v>-1.7935863352620835E-3</c:v>
                </c:pt>
                <c:pt idx="313">
                  <c:v>-2.4619070568478906E-2</c:v>
                </c:pt>
                <c:pt idx="314">
                  <c:v>1.808972541841767E-2</c:v>
                </c:pt>
                <c:pt idx="315">
                  <c:v>4.3894051512815571E-2</c:v>
                </c:pt>
                <c:pt idx="316">
                  <c:v>5.352477320569117E-2</c:v>
                </c:pt>
                <c:pt idx="317">
                  <c:v>4.2041990408641532E-2</c:v>
                </c:pt>
                <c:pt idx="318">
                  <c:v>8.2990753149243701E-2</c:v>
                </c:pt>
                <c:pt idx="319">
                  <c:v>2.972404711999848E-2</c:v>
                </c:pt>
                <c:pt idx="320">
                  <c:v>4.7810362977530323E-2</c:v>
                </c:pt>
                <c:pt idx="321">
                  <c:v>7.0753277985947252E-3</c:v>
                </c:pt>
                <c:pt idx="322">
                  <c:v>3.3808780880533268E-2</c:v>
                </c:pt>
                <c:pt idx="323">
                  <c:v>4.9426449158512367E-2</c:v>
                </c:pt>
                <c:pt idx="324">
                  <c:v>7.7394882866319542E-2</c:v>
                </c:pt>
                <c:pt idx="325">
                  <c:v>5.5541675728739553E-2</c:v>
                </c:pt>
                <c:pt idx="326">
                  <c:v>3.1768307823595444E-2</c:v>
                </c:pt>
                <c:pt idx="327">
                  <c:v>3.108459437124762E-2</c:v>
                </c:pt>
                <c:pt idx="328">
                  <c:v>5.549727589148739E-2</c:v>
                </c:pt>
                <c:pt idx="329">
                  <c:v>2.0548365403402321E-2</c:v>
                </c:pt>
                <c:pt idx="330">
                  <c:v>1.8170267665068948E-2</c:v>
                </c:pt>
                <c:pt idx="331">
                  <c:v>2.993324321538644E-2</c:v>
                </c:pt>
                <c:pt idx="332">
                  <c:v>2.7946259367628831E-2</c:v>
                </c:pt>
                <c:pt idx="333">
                  <c:v>1.0096467338841808E-3</c:v>
                </c:pt>
                <c:pt idx="334">
                  <c:v>2.9216624717886721E-3</c:v>
                </c:pt>
                <c:pt idx="335">
                  <c:v>6.7965803993980797E-3</c:v>
                </c:pt>
                <c:pt idx="336">
                  <c:v>5.7993542005771023E-3</c:v>
                </c:pt>
                <c:pt idx="337">
                  <c:v>2.8471933199395043E-2</c:v>
                </c:pt>
                <c:pt idx="338">
                  <c:v>2.9057137537702706E-2</c:v>
                </c:pt>
                <c:pt idx="339">
                  <c:v>4.7604742358913411E-2</c:v>
                </c:pt>
                <c:pt idx="340">
                  <c:v>4.8892317857634864E-2</c:v>
                </c:pt>
                <c:pt idx="341">
                  <c:v>6.6829603686815217E-2</c:v>
                </c:pt>
                <c:pt idx="342">
                  <c:v>0.10295307296761523</c:v>
                </c:pt>
                <c:pt idx="343">
                  <c:v>8.5262880212594455E-2</c:v>
                </c:pt>
                <c:pt idx="344">
                  <c:v>8.7933388392426398E-2</c:v>
                </c:pt>
                <c:pt idx="345">
                  <c:v>8.8171928461349483E-2</c:v>
                </c:pt>
                <c:pt idx="346">
                  <c:v>0.13188984113926394</c:v>
                </c:pt>
                <c:pt idx="347">
                  <c:v>0.10951294939595609</c:v>
                </c:pt>
                <c:pt idx="348">
                  <c:v>0.12613089360595606</c:v>
                </c:pt>
                <c:pt idx="349">
                  <c:v>0.13604315543858439</c:v>
                </c:pt>
                <c:pt idx="350">
                  <c:v>0.1205990467740661</c:v>
                </c:pt>
                <c:pt idx="351">
                  <c:v>0.1048068125150185</c:v>
                </c:pt>
                <c:pt idx="352">
                  <c:v>6.6604461559201453E-2</c:v>
                </c:pt>
                <c:pt idx="353">
                  <c:v>2.0431281175962039E-2</c:v>
                </c:pt>
                <c:pt idx="354">
                  <c:v>1.0403384689084957E-2</c:v>
                </c:pt>
                <c:pt idx="355">
                  <c:v>6.1336662045627047E-3</c:v>
                </c:pt>
                <c:pt idx="356">
                  <c:v>3.0070816113880822E-2</c:v>
                </c:pt>
                <c:pt idx="357">
                  <c:v>2.8108241667945282E-2</c:v>
                </c:pt>
                <c:pt idx="358">
                  <c:v>8.3141450016802447E-3</c:v>
                </c:pt>
                <c:pt idx="359">
                  <c:v>-1.42029413330137E-2</c:v>
                </c:pt>
                <c:pt idx="360">
                  <c:v>1.2675807035419158E-2</c:v>
                </c:pt>
                <c:pt idx="361">
                  <c:v>-8.2381486650844309E-3</c:v>
                </c:pt>
                <c:pt idx="362">
                  <c:v>-1.4391152716697324E-2</c:v>
                </c:pt>
                <c:pt idx="363">
                  <c:v>-4.9018112011327948E-2</c:v>
                </c:pt>
                <c:pt idx="364">
                  <c:v>-3.9464246164185104E-2</c:v>
                </c:pt>
                <c:pt idx="365">
                  <c:v>-2.5436887379185091E-2</c:v>
                </c:pt>
                <c:pt idx="366">
                  <c:v>-6.2690852229229481E-3</c:v>
                </c:pt>
                <c:pt idx="367">
                  <c:v>-1.7602848657504604E-2</c:v>
                </c:pt>
                <c:pt idx="368">
                  <c:v>3.1018252644585955E-3</c:v>
                </c:pt>
                <c:pt idx="369">
                  <c:v>1.7153624246870579E-2</c:v>
                </c:pt>
                <c:pt idx="370">
                  <c:v>-2.8952245005796132E-2</c:v>
                </c:pt>
                <c:pt idx="371">
                  <c:v>-3.7119808276606929E-2</c:v>
                </c:pt>
                <c:pt idx="372">
                  <c:v>-9.1427146368502684E-3</c:v>
                </c:pt>
                <c:pt idx="373">
                  <c:v>-2.603951051255118E-2</c:v>
                </c:pt>
                <c:pt idx="374">
                  <c:v>-8.0868485583779921E-3</c:v>
                </c:pt>
                <c:pt idx="375">
                  <c:v>-9.4312383520062729E-3</c:v>
                </c:pt>
                <c:pt idx="376">
                  <c:v>-3.2361691934631752E-2</c:v>
                </c:pt>
                <c:pt idx="377">
                  <c:v>-3.1269470196213595E-2</c:v>
                </c:pt>
                <c:pt idx="378">
                  <c:v>-6.9486179936482956E-2</c:v>
                </c:pt>
                <c:pt idx="379">
                  <c:v>-7.1051247422183883E-2</c:v>
                </c:pt>
                <c:pt idx="380">
                  <c:v>-7.3816804407383876E-2</c:v>
                </c:pt>
                <c:pt idx="381">
                  <c:v>-6.2461498656437138E-2</c:v>
                </c:pt>
                <c:pt idx="382">
                  <c:v>-6.04948343883807E-2</c:v>
                </c:pt>
                <c:pt idx="383">
                  <c:v>-5.2166802478666417E-2</c:v>
                </c:pt>
                <c:pt idx="384">
                  <c:v>-4.905415959455426E-2</c:v>
                </c:pt>
                <c:pt idx="385">
                  <c:v>-5.6594492043400384E-2</c:v>
                </c:pt>
                <c:pt idx="386">
                  <c:v>-4.8061577690326457E-2</c:v>
                </c:pt>
                <c:pt idx="387">
                  <c:v>-5.1971229450207421E-2</c:v>
                </c:pt>
                <c:pt idx="388">
                  <c:v>-5.7690551248828117E-2</c:v>
                </c:pt>
                <c:pt idx="389">
                  <c:v>-8.02120758127427E-2</c:v>
                </c:pt>
                <c:pt idx="390">
                  <c:v>-9.0698668930076026E-2</c:v>
                </c:pt>
                <c:pt idx="391">
                  <c:v>-8.5301407022892947E-2</c:v>
                </c:pt>
                <c:pt idx="392">
                  <c:v>-8.4575544747400005E-2</c:v>
                </c:pt>
                <c:pt idx="393">
                  <c:v>-8.5387001860066647E-2</c:v>
                </c:pt>
                <c:pt idx="394">
                  <c:v>-7.8223741434828534E-2</c:v>
                </c:pt>
                <c:pt idx="395">
                  <c:v>-7.4013053594828543E-2</c:v>
                </c:pt>
                <c:pt idx="396">
                  <c:v>-8.004703768482857E-2</c:v>
                </c:pt>
                <c:pt idx="397">
                  <c:v>-8.1254127021292671E-2</c:v>
                </c:pt>
                <c:pt idx="398">
                  <c:v>-7.289246686744652E-2</c:v>
                </c:pt>
                <c:pt idx="399">
                  <c:v>-6.6596526773148979E-2</c:v>
                </c:pt>
                <c:pt idx="400">
                  <c:v>-7.1774303986524776E-2</c:v>
                </c:pt>
                <c:pt idx="401">
                  <c:v>-6.7981276874643226E-2</c:v>
                </c:pt>
                <c:pt idx="402">
                  <c:v>-6.6622975278556276E-2</c:v>
                </c:pt>
                <c:pt idx="403">
                  <c:v>-6.1078004633190422E-2</c:v>
                </c:pt>
                <c:pt idx="404">
                  <c:v>-5.5374076086230427E-2</c:v>
                </c:pt>
                <c:pt idx="405">
                  <c:v>-4.428505683310003E-2</c:v>
                </c:pt>
                <c:pt idx="406">
                  <c:v>-4.9818469681862938E-2</c:v>
                </c:pt>
                <c:pt idx="407">
                  <c:v>-3.6405053905015146E-2</c:v>
                </c:pt>
                <c:pt idx="408">
                  <c:v>-5.1315501668256241E-2</c:v>
                </c:pt>
                <c:pt idx="409">
                  <c:v>-5.176452683899696E-2</c:v>
                </c:pt>
                <c:pt idx="410">
                  <c:v>-4.9581449004906054E-2</c:v>
                </c:pt>
                <c:pt idx="411">
                  <c:v>-5.3606108732313459E-2</c:v>
                </c:pt>
                <c:pt idx="412">
                  <c:v>-5.415324945396699E-2</c:v>
                </c:pt>
                <c:pt idx="413">
                  <c:v>-4.3628325339184364E-2</c:v>
                </c:pt>
                <c:pt idx="414">
                  <c:v>-3.2651815186429851E-2</c:v>
                </c:pt>
                <c:pt idx="415">
                  <c:v>-5.0405489456429857E-2</c:v>
                </c:pt>
                <c:pt idx="416">
                  <c:v>-2.8397287777263178E-2</c:v>
                </c:pt>
                <c:pt idx="417">
                  <c:v>-4.0588004297043387E-2</c:v>
                </c:pt>
                <c:pt idx="418">
                  <c:v>-3.6291749250126071E-2</c:v>
                </c:pt>
                <c:pt idx="419">
                  <c:v>-4.6470788145996693E-2</c:v>
                </c:pt>
                <c:pt idx="420">
                  <c:v>-1.9945143890488674E-2</c:v>
                </c:pt>
                <c:pt idx="421">
                  <c:v>-2.4685217983726783E-2</c:v>
                </c:pt>
                <c:pt idx="422">
                  <c:v>-3.6751285253520595E-2</c:v>
                </c:pt>
                <c:pt idx="423">
                  <c:v>-1.3048349636924847E-2</c:v>
                </c:pt>
                <c:pt idx="424">
                  <c:v>-7.2374476250604489E-3</c:v>
                </c:pt>
                <c:pt idx="425">
                  <c:v>1.0320310116708862E-4</c:v>
                </c:pt>
                <c:pt idx="426">
                  <c:v>-5.5446445472835931E-3</c:v>
                </c:pt>
                <c:pt idx="427">
                  <c:v>-2.2909449586429514E-2</c:v>
                </c:pt>
                <c:pt idx="428">
                  <c:v>-1.8583966496307266E-2</c:v>
                </c:pt>
                <c:pt idx="429">
                  <c:v>-9.055850537928881E-3</c:v>
                </c:pt>
                <c:pt idx="430">
                  <c:v>1.0764824483224424E-4</c:v>
                </c:pt>
                <c:pt idx="431">
                  <c:v>9.7198164958650132E-3</c:v>
                </c:pt>
                <c:pt idx="432">
                  <c:v>-2.9597478245053533E-3</c:v>
                </c:pt>
                <c:pt idx="433">
                  <c:v>-5.1562085454244483E-2</c:v>
                </c:pt>
                <c:pt idx="434">
                  <c:v>-5.6446598681083218E-2</c:v>
                </c:pt>
                <c:pt idx="435">
                  <c:v>-4.7244580329749881E-2</c:v>
                </c:pt>
                <c:pt idx="436">
                  <c:v>-3.7053426124430716E-2</c:v>
                </c:pt>
                <c:pt idx="437">
                  <c:v>-3.2909349488716433E-2</c:v>
                </c:pt>
                <c:pt idx="438">
                  <c:v>-3.3629423139000761E-2</c:v>
                </c:pt>
                <c:pt idx="439">
                  <c:v>-6.2501554559544287E-2</c:v>
                </c:pt>
                <c:pt idx="440">
                  <c:v>-7.2148392433582759E-2</c:v>
                </c:pt>
                <c:pt idx="441">
                  <c:v>-7.9727518248967358E-2</c:v>
                </c:pt>
                <c:pt idx="442">
                  <c:v>-7.4587120509843285E-2</c:v>
                </c:pt>
                <c:pt idx="443">
                  <c:v>-5.7427339507384274E-2</c:v>
                </c:pt>
                <c:pt idx="444">
                  <c:v>-7.7201904286353332E-2</c:v>
                </c:pt>
                <c:pt idx="445">
                  <c:v>-6.9844356083019962E-2</c:v>
                </c:pt>
                <c:pt idx="446">
                  <c:v>-7.1227237506322733E-2</c:v>
                </c:pt>
                <c:pt idx="447">
                  <c:v>-6.0495061218095336E-2</c:v>
                </c:pt>
                <c:pt idx="448">
                  <c:v>-7.6132069933421961E-2</c:v>
                </c:pt>
                <c:pt idx="449">
                  <c:v>-7.2902350279421962E-2</c:v>
                </c:pt>
                <c:pt idx="450">
                  <c:v>-7.584944491416773E-2</c:v>
                </c:pt>
                <c:pt idx="451">
                  <c:v>-6.6474252791033403E-2</c:v>
                </c:pt>
                <c:pt idx="452">
                  <c:v>-6.4007994170856439E-2</c:v>
                </c:pt>
                <c:pt idx="453">
                  <c:v>-7.0594055594679989E-2</c:v>
                </c:pt>
                <c:pt idx="454">
                  <c:v>-6.5050316276455716E-2</c:v>
                </c:pt>
                <c:pt idx="455">
                  <c:v>-7.0649302001646541E-2</c:v>
                </c:pt>
                <c:pt idx="456">
                  <c:v>-6.0500229531204097E-2</c:v>
                </c:pt>
                <c:pt idx="457">
                  <c:v>-5.1968981542981872E-2</c:v>
                </c:pt>
                <c:pt idx="458">
                  <c:v>-4.702254948086064E-2</c:v>
                </c:pt>
                <c:pt idx="459">
                  <c:v>-4.115202178582518E-2</c:v>
                </c:pt>
                <c:pt idx="460">
                  <c:v>-5.5059839978848439E-2</c:v>
                </c:pt>
                <c:pt idx="461">
                  <c:v>-6.4163850418848423E-2</c:v>
                </c:pt>
                <c:pt idx="462">
                  <c:v>-5.9231124561101953E-2</c:v>
                </c:pt>
                <c:pt idx="463">
                  <c:v>-6.5330424445630267E-2</c:v>
                </c:pt>
                <c:pt idx="464">
                  <c:v>-6.4115466602692406E-2</c:v>
                </c:pt>
                <c:pt idx="465">
                  <c:v>-5.5282696598003132E-2</c:v>
                </c:pt>
                <c:pt idx="466">
                  <c:v>-4.6197404317885458E-2</c:v>
                </c:pt>
                <c:pt idx="467">
                  <c:v>-4.2518171899518127E-2</c:v>
                </c:pt>
                <c:pt idx="468">
                  <c:v>-4.6315136250822467E-2</c:v>
                </c:pt>
                <c:pt idx="469">
                  <c:v>-3.9035904160611951E-2</c:v>
                </c:pt>
                <c:pt idx="470">
                  <c:v>-4.2386779349449184E-2</c:v>
                </c:pt>
                <c:pt idx="471">
                  <c:v>-3.3200629985756215E-2</c:v>
                </c:pt>
                <c:pt idx="472">
                  <c:v>-3.5715815848007863E-2</c:v>
                </c:pt>
                <c:pt idx="473">
                  <c:v>-4.4030313009709991E-2</c:v>
                </c:pt>
                <c:pt idx="474">
                  <c:v>-5.878146637491001E-2</c:v>
                </c:pt>
                <c:pt idx="475">
                  <c:v>-6.554039449155516E-2</c:v>
                </c:pt>
                <c:pt idx="476">
                  <c:v>-6.4647329710191534E-2</c:v>
                </c:pt>
                <c:pt idx="477">
                  <c:v>-8.4686801684280597E-2</c:v>
                </c:pt>
                <c:pt idx="478">
                  <c:v>-8.7916296996406573E-2</c:v>
                </c:pt>
                <c:pt idx="479">
                  <c:v>-6.8172272746000462E-2</c:v>
                </c:pt>
                <c:pt idx="480">
                  <c:v>-6.3003681613957488E-2</c:v>
                </c:pt>
                <c:pt idx="481">
                  <c:v>-6.3233691918846341E-2</c:v>
                </c:pt>
                <c:pt idx="482">
                  <c:v>-5.0915404272920413E-2</c:v>
                </c:pt>
                <c:pt idx="483">
                  <c:v>-5.5162533873778806E-2</c:v>
                </c:pt>
                <c:pt idx="484">
                  <c:v>-6.0915374314533505E-2</c:v>
                </c:pt>
                <c:pt idx="485">
                  <c:v>-9.4490942440611903E-2</c:v>
                </c:pt>
                <c:pt idx="486">
                  <c:v>-8.0319699617708698E-2</c:v>
                </c:pt>
                <c:pt idx="487">
                  <c:v>-7.304709788673984E-2</c:v>
                </c:pt>
                <c:pt idx="488">
                  <c:v>-7.1714929057850957E-2</c:v>
                </c:pt>
                <c:pt idx="489">
                  <c:v>-6.3208120176240459E-2</c:v>
                </c:pt>
                <c:pt idx="490">
                  <c:v>-7.2611614457182713E-2</c:v>
                </c:pt>
                <c:pt idx="491">
                  <c:v>-8.8622095863131425E-2</c:v>
                </c:pt>
                <c:pt idx="492">
                  <c:v>-6.6209180242527185E-2</c:v>
                </c:pt>
                <c:pt idx="493">
                  <c:v>-7.0137686125442522E-2</c:v>
                </c:pt>
                <c:pt idx="494">
                  <c:v>-5.4636892545442531E-2</c:v>
                </c:pt>
                <c:pt idx="495">
                  <c:v>-4.707182177199204E-2</c:v>
                </c:pt>
                <c:pt idx="496">
                  <c:v>-5.9977239440370395E-2</c:v>
                </c:pt>
                <c:pt idx="497">
                  <c:v>-4.7474713625370389E-2</c:v>
                </c:pt>
                <c:pt idx="498">
                  <c:v>-4.1825916039114473E-2</c:v>
                </c:pt>
                <c:pt idx="499">
                  <c:v>-3.2103029183072812E-2</c:v>
                </c:pt>
                <c:pt idx="500">
                  <c:v>-1.4835928849692523E-2</c:v>
                </c:pt>
                <c:pt idx="501">
                  <c:v>-2.2509039670444299E-2</c:v>
                </c:pt>
                <c:pt idx="502">
                  <c:v>-5.4215093270947321E-3</c:v>
                </c:pt>
                <c:pt idx="503">
                  <c:v>-1.6622441725675379E-2</c:v>
                </c:pt>
                <c:pt idx="504">
                  <c:v>-1.844413551126544E-2</c:v>
                </c:pt>
                <c:pt idx="505">
                  <c:v>-1.0024372680902918E-2</c:v>
                </c:pt>
                <c:pt idx="506">
                  <c:v>-1.3666604138064035E-2</c:v>
                </c:pt>
                <c:pt idx="507">
                  <c:v>-1.1020490413128975E-2</c:v>
                </c:pt>
                <c:pt idx="508">
                  <c:v>-1.2616427931637447E-2</c:v>
                </c:pt>
                <c:pt idx="509">
                  <c:v>-1.6089932320176123E-2</c:v>
                </c:pt>
                <c:pt idx="510">
                  <c:v>-3.9887688074117618E-3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67-4909-AAAD-517EE5F9F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9598399"/>
        <c:axId val="989598815"/>
      </c:lineChart>
      <c:dateAx>
        <c:axId val="9895983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598815"/>
        <c:crosses val="autoZero"/>
        <c:auto val="1"/>
        <c:lblOffset val="100"/>
        <c:baseTimeUnit val="days"/>
      </c:dateAx>
      <c:valAx>
        <c:axId val="98959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59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BB4B345-26F9-4531-9F74-D63446D23C58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0EBA6C-A591-4978-A591-230687DA2A8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5.8</v>
      </c>
      <c r="D2" s="4">
        <f>MIN(D3:D1912)</f>
        <v>0.73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8</v>
      </c>
    </row>
    <row r="5" spans="1:20" x14ac:dyDescent="0.25">
      <c r="A5" s="5">
        <v>44588</v>
      </c>
      <c r="B5">
        <v>0.98699999999999999</v>
      </c>
      <c r="C5">
        <v>0.99199999999999999</v>
      </c>
      <c r="D5">
        <v>0.95499999999999996</v>
      </c>
      <c r="E5">
        <v>0.95699999999999996</v>
      </c>
      <c r="F5">
        <v>151240.6</v>
      </c>
      <c r="G5">
        <v>0.95699999999999996</v>
      </c>
      <c r="L5" t="s">
        <v>7</v>
      </c>
      <c r="M5" t="s">
        <v>7</v>
      </c>
      <c r="N5" t="s">
        <v>8</v>
      </c>
      <c r="P5">
        <f t="shared" ref="P5" si="0">IF(C5=D5,0,((E5-D5)-(C5-E5))/(C5-D5))</f>
        <v>-0.89189189189189189</v>
      </c>
      <c r="Q5">
        <f t="shared" ref="Q5" si="1">F5*P5</f>
        <v>-134890.26486486488</v>
      </c>
      <c r="R5">
        <f t="shared" ref="R5" si="2">R6+Q5</f>
        <v>-118777741.01388505</v>
      </c>
      <c r="S5">
        <f t="shared" ref="S5" si="3">R5/100000</f>
        <v>-1187.7774101388504</v>
      </c>
      <c r="T5">
        <f t="shared" ref="T5" si="4">S5/1000</f>
        <v>-1.1877774101388505</v>
      </c>
    </row>
    <row r="6" spans="1:20" x14ac:dyDescent="0.25">
      <c r="A6" s="5">
        <v>44587</v>
      </c>
      <c r="B6">
        <v>1.054</v>
      </c>
      <c r="C6">
        <v>1.1000000000000001</v>
      </c>
      <c r="D6">
        <v>0.96399999999999997</v>
      </c>
      <c r="E6">
        <v>0.98799999999999999</v>
      </c>
      <c r="F6">
        <v>5002050.4000000004</v>
      </c>
      <c r="G6">
        <v>0.98799999999999999</v>
      </c>
      <c r="L6" t="s">
        <v>7</v>
      </c>
      <c r="M6" t="s">
        <v>7</v>
      </c>
      <c r="N6" t="s">
        <v>8</v>
      </c>
      <c r="P6">
        <f t="shared" ref="P6" si="5">IF(C6=D6,0,((E6-D6)-(C6-E6))/(C6-D6))</f>
        <v>-0.6470588235294118</v>
      </c>
      <c r="Q6">
        <f t="shared" ref="Q6" si="6">F6*P6</f>
        <v>-3236620.8470588238</v>
      </c>
      <c r="R6">
        <f t="shared" ref="R6" si="7">R7+Q6</f>
        <v>-118642850.74902019</v>
      </c>
      <c r="S6">
        <f t="shared" ref="S6" si="8">R6/100000</f>
        <v>-1186.4285074902018</v>
      </c>
      <c r="T6">
        <f t="shared" ref="T6" si="9">S6/1000</f>
        <v>-1.1864285074902019</v>
      </c>
    </row>
    <row r="7" spans="1:20" x14ac:dyDescent="0.25">
      <c r="A7" s="5">
        <v>44586</v>
      </c>
      <c r="B7">
        <v>1.1399999999999999</v>
      </c>
      <c r="C7">
        <v>1.268</v>
      </c>
      <c r="D7">
        <v>1.044</v>
      </c>
      <c r="E7">
        <v>1.054</v>
      </c>
      <c r="F7">
        <v>17497453.600000001</v>
      </c>
      <c r="G7">
        <v>1.054</v>
      </c>
      <c r="L7" t="s">
        <v>7</v>
      </c>
      <c r="M7" t="s">
        <v>7</v>
      </c>
      <c r="N7" t="s">
        <v>8</v>
      </c>
      <c r="P7">
        <f t="shared" ref="P7" si="10">IF(C7=D7,0,((E7-D7)-(C7-E7))/(C7-D7))</f>
        <v>-0.91071428571428559</v>
      </c>
      <c r="Q7">
        <f t="shared" ref="Q7" si="11">F7*P7</f>
        <v>-15935180.957142856</v>
      </c>
      <c r="R7">
        <f t="shared" ref="R7" si="12">R8+Q7</f>
        <v>-115406229.90196137</v>
      </c>
      <c r="S7">
        <f t="shared" ref="S7" si="13">R7/100000</f>
        <v>-1154.0622990196136</v>
      </c>
      <c r="T7">
        <f t="shared" ref="T7" si="14">S7/1000</f>
        <v>-1.1540622990196137</v>
      </c>
    </row>
    <row r="8" spans="1:20" x14ac:dyDescent="0.25">
      <c r="A8" s="5">
        <v>44585</v>
      </c>
      <c r="B8">
        <v>0.88700000000000001</v>
      </c>
      <c r="C8">
        <v>1.3049999999999999</v>
      </c>
      <c r="D8">
        <v>0.73</v>
      </c>
      <c r="E8">
        <v>1.1419999999999999</v>
      </c>
      <c r="F8">
        <v>17905325.100000001</v>
      </c>
      <c r="G8">
        <v>1.1419999999999999</v>
      </c>
      <c r="L8" t="s">
        <v>8</v>
      </c>
      <c r="M8" t="s">
        <v>8</v>
      </c>
      <c r="N8" t="s">
        <v>7</v>
      </c>
      <c r="P8">
        <f t="shared" ref="P8" si="15">IF(C8=D8,0,((E8-D8)-(C8-E8))/(C8-D8))</f>
        <v>0.43304347826086942</v>
      </c>
      <c r="Q8">
        <f t="shared" ref="Q8" si="16">F8*P8</f>
        <v>7753784.2606956502</v>
      </c>
      <c r="R8">
        <f t="shared" ref="R8" si="17">R9+Q8</f>
        <v>-99471048.944818512</v>
      </c>
      <c r="S8">
        <f t="shared" ref="S8" si="18">R8/100000</f>
        <v>-994.71048944818517</v>
      </c>
      <c r="T8">
        <f t="shared" ref="T8" si="19">S8/1000</f>
        <v>-0.99471048944818519</v>
      </c>
    </row>
    <row r="9" spans="1:20" x14ac:dyDescent="0.25">
      <c r="A9" s="5">
        <v>44584</v>
      </c>
      <c r="B9">
        <v>0.86699999999999999</v>
      </c>
      <c r="C9">
        <v>0.97399999999999998</v>
      </c>
      <c r="D9">
        <v>0.83199999999999996</v>
      </c>
      <c r="E9">
        <v>0.88500000000000001</v>
      </c>
      <c r="F9">
        <v>1525413.9</v>
      </c>
      <c r="G9">
        <v>0.88500000000000001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-0.25352112676056282</v>
      </c>
      <c r="Q9">
        <f t="shared" ref="Q9" si="21">F9*P9</f>
        <v>-386724.65070422448</v>
      </c>
      <c r="R9">
        <f t="shared" ref="R9" si="22">R10+Q9</f>
        <v>-107224833.20551416</v>
      </c>
      <c r="S9">
        <f t="shared" ref="S9" si="23">R9/100000</f>
        <v>-1072.2483320551416</v>
      </c>
      <c r="T9">
        <f t="shared" ref="T9" si="24">S9/1000</f>
        <v>-1.0722483320551417</v>
      </c>
    </row>
    <row r="10" spans="1:20" x14ac:dyDescent="0.25">
      <c r="A10" s="5">
        <v>44583</v>
      </c>
      <c r="B10">
        <v>0.95299999999999996</v>
      </c>
      <c r="C10">
        <v>0.98699999999999999</v>
      </c>
      <c r="D10">
        <v>0.80100000000000005</v>
      </c>
      <c r="E10">
        <v>0.86699999999999999</v>
      </c>
      <c r="F10">
        <v>2259899.7239999999</v>
      </c>
      <c r="G10">
        <v>0.86699999999999999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-0.29032258064516164</v>
      </c>
      <c r="Q10">
        <f t="shared" ref="Q10" si="26">F10*P10</f>
        <v>-656099.91987096856</v>
      </c>
      <c r="R10">
        <f t="shared" ref="R10" si="27">R11+Q10</f>
        <v>-106838108.55480994</v>
      </c>
      <c r="S10">
        <f t="shared" ref="S10" si="28">R10/100000</f>
        <v>-1068.3810855480995</v>
      </c>
      <c r="T10">
        <f t="shared" ref="T10" si="29">S10/1000</f>
        <v>-1.0683810855480995</v>
      </c>
    </row>
    <row r="11" spans="1:20" x14ac:dyDescent="0.25">
      <c r="A11" s="5">
        <v>44582</v>
      </c>
      <c r="B11">
        <v>1.1220000000000001</v>
      </c>
      <c r="C11">
        <v>1.1399999999999999</v>
      </c>
      <c r="D11">
        <v>0.92400000000000004</v>
      </c>
      <c r="E11">
        <v>0.95299999999999996</v>
      </c>
      <c r="F11">
        <v>2582687.2030000002</v>
      </c>
      <c r="G11">
        <v>0.95299999999999996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-0.73148148148148207</v>
      </c>
      <c r="Q11">
        <f t="shared" ref="Q11" si="31">F11*P11</f>
        <v>-1889187.8614537055</v>
      </c>
      <c r="R11">
        <f t="shared" ref="R11" si="32">R12+Q11</f>
        <v>-106182008.63493897</v>
      </c>
      <c r="S11">
        <f t="shared" ref="S11" si="33">R11/100000</f>
        <v>-1061.8200863493896</v>
      </c>
      <c r="T11">
        <f t="shared" ref="T11" si="34">S11/1000</f>
        <v>-1.0618200863493896</v>
      </c>
    </row>
    <row r="12" spans="1:20" x14ac:dyDescent="0.25">
      <c r="A12" s="5">
        <v>44581</v>
      </c>
      <c r="B12">
        <v>1.147</v>
      </c>
      <c r="C12">
        <v>1.2110000000000001</v>
      </c>
      <c r="D12">
        <v>1.121</v>
      </c>
      <c r="E12">
        <v>1.1220000000000001</v>
      </c>
      <c r="F12">
        <v>858572.9</v>
      </c>
      <c r="G12">
        <v>1.1220000000000001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-0.9777777777777753</v>
      </c>
      <c r="Q12">
        <f t="shared" ref="Q12" si="36">F12*P12</f>
        <v>-839493.50222222006</v>
      </c>
      <c r="R12">
        <f t="shared" ref="R12" si="37">R13+Q12</f>
        <v>-104292820.77348526</v>
      </c>
      <c r="S12">
        <f t="shared" ref="S12" si="38">R12/100000</f>
        <v>-1042.9282077348525</v>
      </c>
      <c r="T12">
        <f t="shared" ref="T12" si="39">S12/1000</f>
        <v>-1.0429282077348525</v>
      </c>
    </row>
    <row r="13" spans="1:20" x14ac:dyDescent="0.25">
      <c r="A13" s="5">
        <v>44580</v>
      </c>
      <c r="B13">
        <v>1.202</v>
      </c>
      <c r="C13">
        <v>1.2030000000000001</v>
      </c>
      <c r="D13">
        <v>1.1279999999999999</v>
      </c>
      <c r="E13">
        <v>1.1459999999999999</v>
      </c>
      <c r="F13">
        <v>788172.5</v>
      </c>
      <c r="G13">
        <v>1.1459999999999999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-0.52000000000000068</v>
      </c>
      <c r="Q13">
        <f t="shared" ref="Q13" si="41">F13*P13</f>
        <v>-409849.70000000054</v>
      </c>
      <c r="R13">
        <f t="shared" ref="R13" si="42">R14+Q13</f>
        <v>-103453327.27126303</v>
      </c>
      <c r="S13">
        <f t="shared" ref="S13" si="43">R13/100000</f>
        <v>-1034.5332727126304</v>
      </c>
      <c r="T13">
        <f t="shared" ref="T13" si="44">S13/1000</f>
        <v>-1.0345332727126304</v>
      </c>
    </row>
    <row r="14" spans="1:20" x14ac:dyDescent="0.25">
      <c r="A14" s="5">
        <v>44579</v>
      </c>
      <c r="B14">
        <v>1.2490000000000001</v>
      </c>
      <c r="C14">
        <v>1.343</v>
      </c>
      <c r="D14">
        <v>1.167</v>
      </c>
      <c r="E14">
        <v>1.202</v>
      </c>
      <c r="F14">
        <v>1910977.7</v>
      </c>
      <c r="G14">
        <v>1.202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-0.60227272727272807</v>
      </c>
      <c r="Q14">
        <f t="shared" ref="Q14" si="46">F14*P14</f>
        <v>-1150929.7511363651</v>
      </c>
      <c r="R14">
        <f t="shared" ref="R14" si="47">R15+Q14</f>
        <v>-103043477.57126303</v>
      </c>
      <c r="S14">
        <f t="shared" ref="S14" si="48">R14/100000</f>
        <v>-1030.4347757126302</v>
      </c>
      <c r="T14">
        <f t="shared" ref="T14" si="49">S14/1000</f>
        <v>-1.0304347757126302</v>
      </c>
    </row>
    <row r="15" spans="1:20" x14ac:dyDescent="0.25">
      <c r="A15" s="5">
        <v>44578</v>
      </c>
      <c r="B15">
        <v>1.2170000000000001</v>
      </c>
      <c r="C15">
        <v>1.28</v>
      </c>
      <c r="D15">
        <v>1.179</v>
      </c>
      <c r="E15">
        <v>1.2490000000000001</v>
      </c>
      <c r="F15">
        <v>1034066.4</v>
      </c>
      <c r="G15">
        <v>1.2490000000000001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0.38613861386138765</v>
      </c>
      <c r="Q15">
        <f t="shared" ref="Q15" si="51">F15*P15</f>
        <v>399292.96633663523</v>
      </c>
      <c r="R15">
        <f t="shared" ref="R15" si="52">R16+Q15</f>
        <v>-101892547.82012667</v>
      </c>
      <c r="S15">
        <f t="shared" ref="S15" si="53">R15/100000</f>
        <v>-1018.9254782012666</v>
      </c>
      <c r="T15">
        <f t="shared" ref="T15" si="54">S15/1000</f>
        <v>-1.0189254782012667</v>
      </c>
    </row>
    <row r="16" spans="1:20" x14ac:dyDescent="0.25">
      <c r="A16" s="5">
        <v>44577</v>
      </c>
      <c r="B16">
        <v>1.2410000000000001</v>
      </c>
      <c r="C16">
        <v>1.2849999999999999</v>
      </c>
      <c r="D16">
        <v>1.216</v>
      </c>
      <c r="E16">
        <v>1.2170000000000001</v>
      </c>
      <c r="F16">
        <v>586627.19999999995</v>
      </c>
      <c r="G16">
        <v>1.2170000000000001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-0.97101449275361995</v>
      </c>
      <c r="Q16">
        <f t="shared" ref="Q16" si="56">F16*P16</f>
        <v>-569623.51304347627</v>
      </c>
      <c r="R16">
        <f t="shared" ref="R16" si="57">R17+Q16</f>
        <v>-102291840.78646331</v>
      </c>
      <c r="S16">
        <f t="shared" ref="S16" si="58">R16/100000</f>
        <v>-1022.9184078646331</v>
      </c>
      <c r="T16">
        <f t="shared" ref="T16" si="59">S16/1000</f>
        <v>-1.0229184078646332</v>
      </c>
    </row>
    <row r="17" spans="1:20" x14ac:dyDescent="0.25">
      <c r="A17" s="5">
        <v>44576</v>
      </c>
      <c r="B17">
        <v>1.1970000000000001</v>
      </c>
      <c r="C17">
        <v>1.2949999999999999</v>
      </c>
      <c r="D17">
        <v>1.1910000000000001</v>
      </c>
      <c r="E17">
        <v>1.2390000000000001</v>
      </c>
      <c r="F17">
        <v>1053542.2</v>
      </c>
      <c r="G17">
        <v>1.2390000000000001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-7.6923076923074957E-2</v>
      </c>
      <c r="Q17">
        <f t="shared" ref="Q17" si="61">F17*P17</f>
        <v>-81041.707692305616</v>
      </c>
      <c r="R17">
        <f t="shared" ref="R17" si="62">R18+Q17</f>
        <v>-101722217.27341983</v>
      </c>
      <c r="S17">
        <f t="shared" ref="S17" si="63">R17/100000</f>
        <v>-1017.2221727341982</v>
      </c>
      <c r="T17">
        <f t="shared" ref="T17" si="64">S17/1000</f>
        <v>-1.0172221727341983</v>
      </c>
    </row>
    <row r="18" spans="1:20" x14ac:dyDescent="0.25">
      <c r="A18" s="5">
        <v>44575</v>
      </c>
      <c r="B18">
        <v>1.1559999999999999</v>
      </c>
      <c r="C18">
        <v>1.26</v>
      </c>
      <c r="D18">
        <v>1.149</v>
      </c>
      <c r="E18">
        <v>1.198</v>
      </c>
      <c r="F18">
        <v>1058865</v>
      </c>
      <c r="G18">
        <v>1.198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-0.11711711711711824</v>
      </c>
      <c r="Q18">
        <f t="shared" ref="Q18" si="66">F18*P18</f>
        <v>-124011.21621621741</v>
      </c>
      <c r="R18">
        <f t="shared" ref="R18" si="67">R19+Q18</f>
        <v>-101641175.56572752</v>
      </c>
      <c r="S18">
        <f t="shared" ref="S18" si="68">R18/100000</f>
        <v>-1016.4117556572752</v>
      </c>
      <c r="T18">
        <f t="shared" ref="T18" si="69">S18/1000</f>
        <v>-1.0164117556572752</v>
      </c>
    </row>
    <row r="19" spans="1:20" x14ac:dyDescent="0.25">
      <c r="A19" s="5">
        <v>44574</v>
      </c>
      <c r="B19">
        <v>1.2310000000000001</v>
      </c>
      <c r="C19">
        <v>1.2390000000000001</v>
      </c>
      <c r="D19">
        <v>1.143</v>
      </c>
      <c r="E19">
        <v>1.1559999999999999</v>
      </c>
      <c r="F19">
        <v>1041241.2</v>
      </c>
      <c r="G19">
        <v>1.1559999999999999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-0.72916666666666896</v>
      </c>
      <c r="Q19">
        <f t="shared" ref="Q19" si="71">F19*P19</f>
        <v>-759238.37500000233</v>
      </c>
      <c r="R19">
        <f t="shared" ref="R19" si="72">R20+Q19</f>
        <v>-101517164.3495113</v>
      </c>
      <c r="S19">
        <f t="shared" ref="S19" si="73">R19/100000</f>
        <v>-1015.1716434951129</v>
      </c>
      <c r="T19">
        <f t="shared" ref="T19" si="74">S19/1000</f>
        <v>-1.0151716434951128</v>
      </c>
    </row>
    <row r="20" spans="1:20" x14ac:dyDescent="0.25">
      <c r="A20" s="5">
        <v>44573</v>
      </c>
      <c r="B20">
        <v>1.167</v>
      </c>
      <c r="C20">
        <v>1.234</v>
      </c>
      <c r="D20">
        <v>1.153</v>
      </c>
      <c r="E20">
        <v>1.232</v>
      </c>
      <c r="F20">
        <v>1051443.3999999999</v>
      </c>
      <c r="G20">
        <v>1.232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0.95061728395061718</v>
      </c>
      <c r="Q20">
        <f t="shared" ref="Q20" si="76">F20*P20</f>
        <v>999520.26913580229</v>
      </c>
      <c r="R20">
        <f t="shared" ref="R20" si="77">R21+Q20</f>
        <v>-100757925.9745113</v>
      </c>
      <c r="S20">
        <f t="shared" ref="S20" si="78">R20/100000</f>
        <v>-1007.5792597451129</v>
      </c>
      <c r="T20">
        <f t="shared" ref="T20" si="79">S20/1000</f>
        <v>-1.007579259745113</v>
      </c>
    </row>
    <row r="21" spans="1:20" x14ac:dyDescent="0.25">
      <c r="A21" s="5">
        <v>44572</v>
      </c>
      <c r="B21">
        <v>1.113</v>
      </c>
      <c r="C21">
        <v>1.181</v>
      </c>
      <c r="D21">
        <v>1.103</v>
      </c>
      <c r="E21">
        <v>1.167</v>
      </c>
      <c r="F21">
        <v>856538.5</v>
      </c>
      <c r="G21">
        <v>1.167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0.64102564102564108</v>
      </c>
      <c r="Q21">
        <f t="shared" ref="Q21" si="81">F21*P21</f>
        <v>549063.14102564112</v>
      </c>
      <c r="R21">
        <f t="shared" ref="R21" si="82">R22+Q21</f>
        <v>-101757446.2436471</v>
      </c>
      <c r="S21">
        <f t="shared" ref="S21" si="83">R21/100000</f>
        <v>-1017.574462436471</v>
      </c>
      <c r="T21">
        <f t="shared" ref="T21" si="84">S21/1000</f>
        <v>-1.0175744624364709</v>
      </c>
    </row>
    <row r="22" spans="1:20" x14ac:dyDescent="0.25">
      <c r="A22" s="5">
        <v>44571</v>
      </c>
      <c r="B22">
        <v>1.1479999999999999</v>
      </c>
      <c r="C22">
        <v>1.21</v>
      </c>
      <c r="D22">
        <v>1.038</v>
      </c>
      <c r="E22">
        <v>1.1120000000000001</v>
      </c>
      <c r="F22">
        <v>1985425.4</v>
      </c>
      <c r="G22">
        <v>1.1120000000000001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-0.13953488372092912</v>
      </c>
      <c r="Q22">
        <f t="shared" ref="Q22" si="86">F22*P22</f>
        <v>-277036.10232557915</v>
      </c>
      <c r="R22">
        <f t="shared" ref="R22" si="87">R23+Q22</f>
        <v>-102306509.38467275</v>
      </c>
      <c r="S22">
        <f t="shared" ref="S22" si="88">R22/100000</f>
        <v>-1023.0650938467274</v>
      </c>
      <c r="T22">
        <f t="shared" ref="T22" si="89">S22/1000</f>
        <v>-1.0230650938467274</v>
      </c>
    </row>
    <row r="23" spans="1:20" x14ac:dyDescent="0.25">
      <c r="A23" s="5">
        <v>44570</v>
      </c>
      <c r="B23">
        <v>1.08</v>
      </c>
      <c r="C23">
        <v>1.212</v>
      </c>
      <c r="D23">
        <v>1.0669999999999999</v>
      </c>
      <c r="E23">
        <v>1.1459999999999999</v>
      </c>
      <c r="F23">
        <v>2219084.9</v>
      </c>
      <c r="G23">
        <v>1.1459999999999999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8.9655172413792408E-2</v>
      </c>
      <c r="Q23">
        <f t="shared" ref="Q23" si="91">F23*P23</f>
        <v>198952.43931034327</v>
      </c>
      <c r="R23">
        <f t="shared" ref="R23" si="92">R24+Q23</f>
        <v>-102029473.28234717</v>
      </c>
      <c r="S23">
        <f t="shared" ref="S23" si="93">R23/100000</f>
        <v>-1020.2947328234717</v>
      </c>
      <c r="T23">
        <f t="shared" ref="T23" si="94">S23/1000</f>
        <v>-1.0202947328234717</v>
      </c>
    </row>
    <row r="24" spans="1:20" x14ac:dyDescent="0.25">
      <c r="A24" s="5">
        <v>44569</v>
      </c>
      <c r="B24">
        <v>1.119</v>
      </c>
      <c r="C24">
        <v>1.1679999999999999</v>
      </c>
      <c r="D24">
        <v>1.0389999999999999</v>
      </c>
      <c r="E24">
        <v>1.08</v>
      </c>
      <c r="F24">
        <v>1206403.7860000001</v>
      </c>
      <c r="G24">
        <v>1.08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-0.36434108527131553</v>
      </c>
      <c r="Q24">
        <f t="shared" ref="Q24" si="96">F24*P24</f>
        <v>-439542.4646666639</v>
      </c>
      <c r="R24">
        <f t="shared" ref="R24" si="97">R25+Q24</f>
        <v>-102228425.72165751</v>
      </c>
      <c r="S24">
        <f t="shared" ref="S24" si="98">R24/100000</f>
        <v>-1022.2842572165752</v>
      </c>
      <c r="T24">
        <f t="shared" ref="T24" si="99">S24/1000</f>
        <v>-1.0222842572165751</v>
      </c>
    </row>
    <row r="25" spans="1:20" x14ac:dyDescent="0.25">
      <c r="A25" s="5">
        <v>44568</v>
      </c>
      <c r="B25">
        <v>1.234</v>
      </c>
      <c r="C25">
        <v>1.238</v>
      </c>
      <c r="D25">
        <v>1.1000000000000001</v>
      </c>
      <c r="E25">
        <v>1.1180000000000001</v>
      </c>
      <c r="F25">
        <v>1495930</v>
      </c>
      <c r="G25">
        <v>1.1180000000000001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-0.73913043478260831</v>
      </c>
      <c r="Q25">
        <f t="shared" ref="Q25" si="101">F25*P25</f>
        <v>-1105687.3913043472</v>
      </c>
      <c r="R25">
        <f t="shared" ref="R25" si="102">R26+Q25</f>
        <v>-101788883.25699085</v>
      </c>
      <c r="S25">
        <f t="shared" ref="S25" si="103">R25/100000</f>
        <v>-1017.8888325699085</v>
      </c>
      <c r="T25">
        <f t="shared" ref="T25" si="104">S25/1000</f>
        <v>-1.0178888325699085</v>
      </c>
    </row>
    <row r="26" spans="1:20" x14ac:dyDescent="0.25">
      <c r="A26" s="5">
        <v>44567</v>
      </c>
      <c r="B26">
        <v>1.258</v>
      </c>
      <c r="C26">
        <v>1.3380000000000001</v>
      </c>
      <c r="D26">
        <v>1.18</v>
      </c>
      <c r="E26">
        <v>1.228</v>
      </c>
      <c r="F26">
        <v>2593958.7999999998</v>
      </c>
      <c r="G26">
        <v>1.228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-0.39240506329113922</v>
      </c>
      <c r="Q26">
        <f t="shared" ref="Q26" si="106">F26*P26</f>
        <v>-1017882.5670886075</v>
      </c>
      <c r="R26">
        <f t="shared" ref="R26" si="107">R27+Q26</f>
        <v>-100683195.86568651</v>
      </c>
      <c r="S26">
        <f t="shared" ref="S26" si="108">R26/100000</f>
        <v>-1006.831958656865</v>
      </c>
      <c r="T26">
        <f t="shared" ref="T26" si="109">S26/1000</f>
        <v>-1.006831958656865</v>
      </c>
    </row>
    <row r="27" spans="1:20" x14ac:dyDescent="0.25">
      <c r="A27" s="5">
        <v>44566</v>
      </c>
      <c r="B27">
        <v>1.27</v>
      </c>
      <c r="C27">
        <v>1.4510000000000001</v>
      </c>
      <c r="D27">
        <v>1.1870000000000001</v>
      </c>
      <c r="E27">
        <v>1.258</v>
      </c>
      <c r="F27">
        <v>4206823</v>
      </c>
      <c r="G27">
        <v>1.258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-0.46212121212121249</v>
      </c>
      <c r="Q27">
        <f t="shared" ref="Q27" si="111">F27*P27</f>
        <v>-1944062.1439393954</v>
      </c>
      <c r="R27">
        <f t="shared" ref="R27" si="112">R28+Q27</f>
        <v>-99665313.298597902</v>
      </c>
      <c r="S27">
        <f t="shared" ref="S27" si="113">R27/100000</f>
        <v>-996.65313298597903</v>
      </c>
      <c r="T27">
        <f t="shared" ref="T27" si="114">S27/1000</f>
        <v>-0.99665313298597902</v>
      </c>
    </row>
    <row r="28" spans="1:20" x14ac:dyDescent="0.25">
      <c r="A28" s="5">
        <v>44565</v>
      </c>
      <c r="B28">
        <v>1.288</v>
      </c>
      <c r="C28">
        <v>1.32</v>
      </c>
      <c r="D28">
        <v>1.266</v>
      </c>
      <c r="E28">
        <v>1.27</v>
      </c>
      <c r="F28">
        <v>802477.6</v>
      </c>
      <c r="G28">
        <v>1.27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-0.85185185185185186</v>
      </c>
      <c r="Q28">
        <f t="shared" ref="Q28" si="116">F28*P28</f>
        <v>-683592.02962962957</v>
      </c>
      <c r="R28">
        <f t="shared" ref="R28" si="117">R29+Q28</f>
        <v>-97721251.154658511</v>
      </c>
      <c r="S28">
        <f t="shared" ref="S28" si="118">R28/100000</f>
        <v>-977.21251154658512</v>
      </c>
      <c r="T28">
        <f t="shared" ref="T28" si="119">S28/1000</f>
        <v>-0.97721251154658517</v>
      </c>
    </row>
    <row r="29" spans="1:20" x14ac:dyDescent="0.25">
      <c r="A29" s="5">
        <v>44564</v>
      </c>
      <c r="B29">
        <v>1.3120000000000001</v>
      </c>
      <c r="C29">
        <v>1.325</v>
      </c>
      <c r="D29">
        <v>1.256</v>
      </c>
      <c r="E29">
        <v>1.288</v>
      </c>
      <c r="F29">
        <v>800289.5</v>
      </c>
      <c r="G29">
        <v>1.288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-7.2463768115940533E-2</v>
      </c>
      <c r="Q29">
        <f t="shared" ref="Q29" si="121">F29*P29</f>
        <v>-57991.992753621991</v>
      </c>
      <c r="R29">
        <f t="shared" ref="R29" si="122">R30+Q29</f>
        <v>-97037659.125028878</v>
      </c>
      <c r="S29">
        <f t="shared" ref="S29" si="123">R29/100000</f>
        <v>-970.37659125028881</v>
      </c>
      <c r="T29">
        <f t="shared" ref="T29" si="124">S29/1000</f>
        <v>-0.97037659125028886</v>
      </c>
    </row>
    <row r="30" spans="1:20" x14ac:dyDescent="0.25">
      <c r="A30" s="5">
        <v>44563</v>
      </c>
      <c r="B30">
        <v>1.343</v>
      </c>
      <c r="C30">
        <v>1.3440000000000001</v>
      </c>
      <c r="D30">
        <v>1.2889999999999999</v>
      </c>
      <c r="E30">
        <v>1.3120000000000001</v>
      </c>
      <c r="F30">
        <v>739360.1</v>
      </c>
      <c r="G30">
        <v>1.3120000000000001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-0.16363636363636128</v>
      </c>
      <c r="Q30">
        <f t="shared" ref="Q30" si="126">F30*P30</f>
        <v>-120986.19818181643</v>
      </c>
      <c r="R30">
        <f t="shared" ref="R30" si="127">R31+Q30</f>
        <v>-96979667.132275254</v>
      </c>
      <c r="S30">
        <f t="shared" ref="S30" si="128">R30/100000</f>
        <v>-969.79667132275256</v>
      </c>
      <c r="T30">
        <f t="shared" ref="T30" si="129">S30/1000</f>
        <v>-0.9697966713227526</v>
      </c>
    </row>
    <row r="31" spans="1:20" x14ac:dyDescent="0.25">
      <c r="A31" s="5">
        <v>44562</v>
      </c>
      <c r="B31">
        <v>1.3029999999999999</v>
      </c>
      <c r="C31">
        <v>1.3460000000000001</v>
      </c>
      <c r="D31">
        <v>1.294</v>
      </c>
      <c r="E31">
        <v>1.343</v>
      </c>
      <c r="F31">
        <v>640834.5</v>
      </c>
      <c r="G31">
        <v>1.343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0.88461538461538036</v>
      </c>
      <c r="Q31">
        <f t="shared" ref="Q31" si="131">F31*P31</f>
        <v>566892.05769230495</v>
      </c>
      <c r="R31">
        <f t="shared" ref="R31" si="132">R32+Q31</f>
        <v>-96858680.934093431</v>
      </c>
      <c r="S31">
        <f t="shared" ref="S31" si="133">R31/100000</f>
        <v>-968.58680934093434</v>
      </c>
      <c r="T31">
        <f t="shared" ref="T31" si="134">S31/1000</f>
        <v>-0.96858680934093433</v>
      </c>
    </row>
    <row r="32" spans="1:20" x14ac:dyDescent="0.25">
      <c r="A32" s="5">
        <v>44561</v>
      </c>
      <c r="B32">
        <v>1.347</v>
      </c>
      <c r="C32">
        <v>1.425</v>
      </c>
      <c r="D32">
        <v>1.27</v>
      </c>
      <c r="E32">
        <v>1.3029999999999999</v>
      </c>
      <c r="F32">
        <v>2150484.5</v>
      </c>
      <c r="G32">
        <v>1.3029999999999999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-0.57419354838709791</v>
      </c>
      <c r="Q32">
        <f t="shared" ref="Q32" si="136">F32*P32</f>
        <v>-1234794.3258064541</v>
      </c>
      <c r="R32">
        <f t="shared" ref="R32" si="137">R33+Q32</f>
        <v>-97425572.991785735</v>
      </c>
      <c r="S32">
        <f t="shared" ref="S32" si="138">R32/100000</f>
        <v>-974.25572991785737</v>
      </c>
      <c r="T32">
        <f t="shared" ref="T32" si="139">S32/1000</f>
        <v>-0.97425572991785736</v>
      </c>
    </row>
    <row r="33" spans="1:20" x14ac:dyDescent="0.25">
      <c r="A33" s="5">
        <v>44560</v>
      </c>
      <c r="B33">
        <v>1.2470000000000001</v>
      </c>
      <c r="C33">
        <v>1.4770000000000001</v>
      </c>
      <c r="D33">
        <v>1.2230000000000001</v>
      </c>
      <c r="E33">
        <v>1.3480000000000001</v>
      </c>
      <c r="F33">
        <v>5530548</v>
      </c>
      <c r="G33">
        <v>1.3480000000000001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-1.5748031496063006E-2</v>
      </c>
      <c r="Q33">
        <f t="shared" ref="Q33" si="141">F33*P33</f>
        <v>-87095.244094488269</v>
      </c>
      <c r="R33">
        <f t="shared" ref="R33" si="142">R34+Q33</f>
        <v>-96190778.665979281</v>
      </c>
      <c r="S33">
        <f t="shared" ref="S33" si="143">R33/100000</f>
        <v>-961.90778665979281</v>
      </c>
      <c r="T33">
        <f t="shared" ref="T33" si="144">S33/1000</f>
        <v>-0.96190778665979282</v>
      </c>
    </row>
    <row r="34" spans="1:20" x14ac:dyDescent="0.25">
      <c r="A34" s="5">
        <v>44559</v>
      </c>
      <c r="B34">
        <v>1.284</v>
      </c>
      <c r="C34">
        <v>1.333</v>
      </c>
      <c r="D34">
        <v>1.2330000000000001</v>
      </c>
      <c r="E34">
        <v>1.25</v>
      </c>
      <c r="F34">
        <v>1036646.1</v>
      </c>
      <c r="G34">
        <v>1.25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-0.66000000000000147</v>
      </c>
      <c r="Q34">
        <f t="shared" ref="Q34" si="146">F34*P34</f>
        <v>-684186.42600000149</v>
      </c>
      <c r="R34">
        <f t="shared" ref="R34" si="147">R35+Q34</f>
        <v>-96103683.42188479</v>
      </c>
      <c r="S34">
        <f t="shared" ref="S34" si="148">R34/100000</f>
        <v>-961.03683421884796</v>
      </c>
      <c r="T34">
        <f t="shared" ref="T34" si="149">S34/1000</f>
        <v>-0.961036834218848</v>
      </c>
    </row>
    <row r="35" spans="1:20" x14ac:dyDescent="0.25">
      <c r="A35" s="5">
        <v>44558</v>
      </c>
      <c r="B35">
        <v>1.409</v>
      </c>
      <c r="C35">
        <v>1.409</v>
      </c>
      <c r="D35">
        <v>1.2649999999999999</v>
      </c>
      <c r="E35">
        <v>1.284</v>
      </c>
      <c r="F35">
        <v>1509655.8</v>
      </c>
      <c r="G35">
        <v>1.284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-0.73611111111110961</v>
      </c>
      <c r="Q35">
        <f t="shared" ref="Q35" si="151">F35*P35</f>
        <v>-1111274.4083333311</v>
      </c>
      <c r="R35">
        <f t="shared" ref="R35" si="152">R36+Q35</f>
        <v>-95419496.995884791</v>
      </c>
      <c r="S35">
        <f t="shared" ref="S35" si="153">R35/100000</f>
        <v>-954.19496995884788</v>
      </c>
      <c r="T35">
        <f t="shared" ref="T35" si="154">S35/1000</f>
        <v>-0.95419496995884789</v>
      </c>
    </row>
    <row r="36" spans="1:20" x14ac:dyDescent="0.25">
      <c r="A36" s="5">
        <v>44557</v>
      </c>
      <c r="B36">
        <v>1.4179999999999999</v>
      </c>
      <c r="C36">
        <v>1.5029999999999999</v>
      </c>
      <c r="D36">
        <v>1.4039999999999999</v>
      </c>
      <c r="E36">
        <v>1.4079999999999999</v>
      </c>
      <c r="F36">
        <v>1652813.6</v>
      </c>
      <c r="G36">
        <v>1.4079999999999999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-0.91919191919191912</v>
      </c>
      <c r="Q36">
        <f t="shared" ref="Q36" si="156">F36*P36</f>
        <v>-1519252.905050505</v>
      </c>
      <c r="R36">
        <f t="shared" ref="R36" si="157">R37+Q36</f>
        <v>-94308222.58755146</v>
      </c>
      <c r="S36">
        <f t="shared" ref="S36" si="158">R36/100000</f>
        <v>-943.08222587551461</v>
      </c>
      <c r="T36">
        <f t="shared" ref="T36" si="159">S36/1000</f>
        <v>-0.9430822258755146</v>
      </c>
    </row>
    <row r="37" spans="1:20" x14ac:dyDescent="0.25">
      <c r="A37" s="5">
        <v>44556</v>
      </c>
      <c r="B37">
        <v>1.389</v>
      </c>
      <c r="C37">
        <v>1.4490000000000001</v>
      </c>
      <c r="D37">
        <v>1.333</v>
      </c>
      <c r="E37">
        <v>1.4179999999999999</v>
      </c>
      <c r="F37">
        <v>1389795</v>
      </c>
      <c r="G37">
        <v>1.4179999999999999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0.46551724137930844</v>
      </c>
      <c r="Q37">
        <f t="shared" ref="Q37" si="161">F37*P37</f>
        <v>646973.53448275593</v>
      </c>
      <c r="R37">
        <f t="shared" ref="R37" si="162">R38+Q37</f>
        <v>-92788969.682500958</v>
      </c>
      <c r="S37">
        <f t="shared" ref="S37" si="163">R37/100000</f>
        <v>-927.88969682500954</v>
      </c>
      <c r="T37">
        <f t="shared" ref="T37" si="164">S37/1000</f>
        <v>-0.92788969682500955</v>
      </c>
    </row>
    <row r="38" spans="1:20" x14ac:dyDescent="0.25">
      <c r="A38" s="5">
        <v>44555</v>
      </c>
      <c r="B38">
        <v>1.3979999999999999</v>
      </c>
      <c r="C38">
        <v>1.425</v>
      </c>
      <c r="D38">
        <v>1.3460000000000001</v>
      </c>
      <c r="E38">
        <v>1.389</v>
      </c>
      <c r="F38">
        <v>1039918.3</v>
      </c>
      <c r="G38">
        <v>1.389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8.8607594936707584E-2</v>
      </c>
      <c r="Q38">
        <f t="shared" ref="Q38" si="166">F38*P38</f>
        <v>92144.659493669562</v>
      </c>
      <c r="R38">
        <f t="shared" ref="R38" si="167">R39+Q38</f>
        <v>-93435943.216983721</v>
      </c>
      <c r="S38">
        <f t="shared" ref="S38" si="168">R38/100000</f>
        <v>-934.35943216983719</v>
      </c>
      <c r="T38">
        <f t="shared" ref="T38" si="169">S38/1000</f>
        <v>-0.93435943216983719</v>
      </c>
    </row>
    <row r="39" spans="1:20" x14ac:dyDescent="0.25">
      <c r="A39" s="5">
        <v>44554</v>
      </c>
      <c r="B39">
        <v>1.365</v>
      </c>
      <c r="C39">
        <v>1.407</v>
      </c>
      <c r="D39">
        <v>1.349</v>
      </c>
      <c r="E39">
        <v>1.3959999999999999</v>
      </c>
      <c r="F39">
        <v>1486245.8</v>
      </c>
      <c r="G39">
        <v>1.3959999999999999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0.62068965517240993</v>
      </c>
      <c r="Q39">
        <f t="shared" ref="Q39" si="171">F39*P39</f>
        <v>922497.3931034425</v>
      </c>
      <c r="R39">
        <f t="shared" ref="R39" si="172">R40+Q39</f>
        <v>-93528087.876477391</v>
      </c>
      <c r="S39">
        <f t="shared" ref="S39" si="173">R39/100000</f>
        <v>-935.28087876477389</v>
      </c>
      <c r="T39">
        <f t="shared" ref="T39" si="174">S39/1000</f>
        <v>-0.93528087876477384</v>
      </c>
    </row>
    <row r="40" spans="1:20" x14ac:dyDescent="0.25">
      <c r="A40" s="5">
        <v>44553</v>
      </c>
      <c r="B40">
        <v>1.333</v>
      </c>
      <c r="C40">
        <v>1.3919999999999999</v>
      </c>
      <c r="D40">
        <v>1.274</v>
      </c>
      <c r="E40">
        <v>1.369</v>
      </c>
      <c r="F40">
        <v>1732215.4</v>
      </c>
      <c r="G40">
        <v>1.369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0.61016949152542488</v>
      </c>
      <c r="Q40">
        <f t="shared" ref="Q40" si="176">F40*P40</f>
        <v>1056944.9898305105</v>
      </c>
      <c r="R40">
        <f t="shared" ref="R40" si="177">R41+Q40</f>
        <v>-94450585.269580826</v>
      </c>
      <c r="S40">
        <f t="shared" ref="S40" si="178">R40/100000</f>
        <v>-944.50585269580824</v>
      </c>
      <c r="T40">
        <f t="shared" ref="T40" si="179">S40/1000</f>
        <v>-0.94450585269580822</v>
      </c>
    </row>
    <row r="41" spans="1:20" x14ac:dyDescent="0.25">
      <c r="A41" s="5">
        <v>44552</v>
      </c>
      <c r="B41">
        <v>1.2669999999999999</v>
      </c>
      <c r="C41">
        <v>1.4159999999999999</v>
      </c>
      <c r="D41">
        <v>1.2509999999999999</v>
      </c>
      <c r="E41">
        <v>1.331</v>
      </c>
      <c r="F41">
        <v>3203797.1</v>
      </c>
      <c r="G41">
        <v>1.331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-3.0303030303029652E-2</v>
      </c>
      <c r="Q41">
        <f t="shared" ref="Q41" si="181">F41*P41</f>
        <v>-97084.760606058524</v>
      </c>
      <c r="R41">
        <f t="shared" ref="R41" si="182">R42+Q41</f>
        <v>-95507530.259411335</v>
      </c>
      <c r="S41">
        <f t="shared" ref="S41" si="183">R41/100000</f>
        <v>-955.0753025941134</v>
      </c>
      <c r="T41">
        <f t="shared" ref="T41" si="184">S41/1000</f>
        <v>-0.95507530259411344</v>
      </c>
    </row>
    <row r="42" spans="1:20" x14ac:dyDescent="0.25">
      <c r="A42" s="5">
        <v>44551</v>
      </c>
      <c r="B42">
        <v>1.2150000000000001</v>
      </c>
      <c r="C42">
        <v>1.272</v>
      </c>
      <c r="D42">
        <v>1.2</v>
      </c>
      <c r="E42">
        <v>1.2629999999999999</v>
      </c>
      <c r="F42">
        <v>841267.7</v>
      </c>
      <c r="G42">
        <v>1.2629999999999999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0.74999999999999689</v>
      </c>
      <c r="Q42">
        <f t="shared" ref="Q42" si="186">F42*P42</f>
        <v>630950.77499999735</v>
      </c>
      <c r="R42">
        <f t="shared" ref="R42" si="187">R43+Q42</f>
        <v>-95410445.49880527</v>
      </c>
      <c r="S42">
        <f t="shared" ref="S42" si="188">R42/100000</f>
        <v>-954.10445498805268</v>
      </c>
      <c r="T42">
        <f t="shared" ref="T42" si="189">S42/1000</f>
        <v>-0.95410445498805263</v>
      </c>
    </row>
    <row r="43" spans="1:20" x14ac:dyDescent="0.25">
      <c r="A43" s="5">
        <v>44550</v>
      </c>
      <c r="B43">
        <v>1.2050000000000001</v>
      </c>
      <c r="C43">
        <v>1.2210000000000001</v>
      </c>
      <c r="D43">
        <v>1.1419999999999999</v>
      </c>
      <c r="E43">
        <v>1.214</v>
      </c>
      <c r="F43">
        <v>988149</v>
      </c>
      <c r="G43">
        <v>1.214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0.82278481012657967</v>
      </c>
      <c r="Q43">
        <f t="shared" ref="Q43" si="191">F43*P43</f>
        <v>813033.98734176962</v>
      </c>
      <c r="R43">
        <f t="shared" ref="R43" si="192">R44+Q43</f>
        <v>-96041396.273805261</v>
      </c>
      <c r="S43">
        <f t="shared" ref="S43" si="193">R43/100000</f>
        <v>-960.41396273805265</v>
      </c>
      <c r="T43">
        <f t="shared" ref="T43" si="194">S43/1000</f>
        <v>-0.96041396273805268</v>
      </c>
    </row>
    <row r="44" spans="1:20" x14ac:dyDescent="0.25">
      <c r="A44" s="5">
        <v>44549</v>
      </c>
      <c r="B44">
        <v>1.2549999999999999</v>
      </c>
      <c r="C44">
        <v>1.27</v>
      </c>
      <c r="D44">
        <v>1.2</v>
      </c>
      <c r="E44">
        <v>1.208</v>
      </c>
      <c r="F44">
        <v>827866.1</v>
      </c>
      <c r="G44">
        <v>1.208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-0.77142857142857146</v>
      </c>
      <c r="Q44">
        <f t="shared" ref="Q44" si="196">F44*P44</f>
        <v>-638639.56285714288</v>
      </c>
      <c r="R44">
        <f t="shared" ref="R44" si="197">R45+Q44</f>
        <v>-96854430.261147037</v>
      </c>
      <c r="S44">
        <f t="shared" ref="S44" si="198">R44/100000</f>
        <v>-968.54430261147036</v>
      </c>
      <c r="T44">
        <f t="shared" ref="T44" si="199">S44/1000</f>
        <v>-0.9685443026114704</v>
      </c>
    </row>
    <row r="45" spans="1:20" x14ac:dyDescent="0.25">
      <c r="A45" s="5">
        <v>44548</v>
      </c>
      <c r="B45">
        <v>1.202</v>
      </c>
      <c r="C45">
        <v>1.2989999999999999</v>
      </c>
      <c r="D45">
        <v>1.175</v>
      </c>
      <c r="E45">
        <v>1.258</v>
      </c>
      <c r="F45">
        <v>1246331.2</v>
      </c>
      <c r="G45">
        <v>1.258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0.33870967741935543</v>
      </c>
      <c r="Q45">
        <f t="shared" ref="Q45" si="201">F45*P45</f>
        <v>422144.43870967813</v>
      </c>
      <c r="R45">
        <f t="shared" ref="R45" si="202">R46+Q45</f>
        <v>-96215790.698289901</v>
      </c>
      <c r="S45">
        <f t="shared" ref="S45" si="203">R45/100000</f>
        <v>-962.15790698289902</v>
      </c>
      <c r="T45">
        <f t="shared" ref="T45" si="204">S45/1000</f>
        <v>-0.96215790698289905</v>
      </c>
    </row>
    <row r="46" spans="1:20" x14ac:dyDescent="0.25">
      <c r="A46" s="5">
        <v>44547</v>
      </c>
      <c r="B46">
        <v>1.2629999999999999</v>
      </c>
      <c r="C46">
        <v>1.2949999999999999</v>
      </c>
      <c r="D46">
        <v>1.1739999999999999</v>
      </c>
      <c r="E46">
        <v>1.202</v>
      </c>
      <c r="F46">
        <v>1370768.1</v>
      </c>
      <c r="G46">
        <v>1.202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-0.53719008264462764</v>
      </c>
      <c r="Q46">
        <f t="shared" ref="Q46" si="206">F46*P46</f>
        <v>-736363.0289256192</v>
      </c>
      <c r="R46">
        <f t="shared" ref="R46" si="207">R47+Q46</f>
        <v>-96637935.136999577</v>
      </c>
      <c r="S46">
        <f t="shared" ref="S46" si="208">R46/100000</f>
        <v>-966.37935136999579</v>
      </c>
      <c r="T46">
        <f t="shared" ref="T46" si="209">S46/1000</f>
        <v>-0.96637935136999575</v>
      </c>
    </row>
    <row r="47" spans="1:20" x14ac:dyDescent="0.25">
      <c r="A47" s="5">
        <v>44546</v>
      </c>
      <c r="B47">
        <v>1.274</v>
      </c>
      <c r="C47">
        <v>1.349</v>
      </c>
      <c r="D47">
        <v>1.26</v>
      </c>
      <c r="E47">
        <v>1.2629999999999999</v>
      </c>
      <c r="F47">
        <v>2359990.6</v>
      </c>
      <c r="G47">
        <v>1.2629999999999999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-0.93258426966292374</v>
      </c>
      <c r="Q47">
        <f t="shared" ref="Q47" si="211">F47*P47</f>
        <v>-2200890.1101123653</v>
      </c>
      <c r="R47">
        <f t="shared" ref="R47" si="212">R48+Q47</f>
        <v>-95901572.108073965</v>
      </c>
      <c r="S47">
        <f t="shared" ref="S47" si="213">R47/100000</f>
        <v>-959.0157210807397</v>
      </c>
      <c r="T47">
        <f t="shared" ref="T47" si="214">S47/1000</f>
        <v>-0.95901572108073974</v>
      </c>
    </row>
    <row r="48" spans="1:20" x14ac:dyDescent="0.25">
      <c r="A48" s="5">
        <v>44545</v>
      </c>
      <c r="B48">
        <v>1.2430000000000001</v>
      </c>
      <c r="C48">
        <v>1.274</v>
      </c>
      <c r="D48">
        <v>1.161</v>
      </c>
      <c r="E48">
        <v>1.274</v>
      </c>
      <c r="F48">
        <v>1476462.2</v>
      </c>
      <c r="G48">
        <v>1.274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1</v>
      </c>
      <c r="Q48">
        <f t="shared" ref="Q48" si="216">F48*P48</f>
        <v>1476462.2</v>
      </c>
      <c r="R48">
        <f t="shared" ref="R48" si="217">R49+Q48</f>
        <v>-93700681.997961596</v>
      </c>
      <c r="S48">
        <f t="shared" ref="S48" si="218">R48/100000</f>
        <v>-937.00681997961601</v>
      </c>
      <c r="T48">
        <f t="shared" ref="T48" si="219">S48/1000</f>
        <v>-0.93700681997961599</v>
      </c>
    </row>
    <row r="49" spans="1:20" x14ac:dyDescent="0.25">
      <c r="A49" s="5">
        <v>44544</v>
      </c>
      <c r="B49">
        <v>1.179</v>
      </c>
      <c r="C49">
        <v>1.2769999999999999</v>
      </c>
      <c r="D49">
        <v>1.17</v>
      </c>
      <c r="E49">
        <v>1.242</v>
      </c>
      <c r="F49">
        <v>1390220.2</v>
      </c>
      <c r="G49">
        <v>1.242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0.34579439252336586</v>
      </c>
      <c r="Q49">
        <f t="shared" ref="Q49" si="221">F49*P49</f>
        <v>480730.34953271219</v>
      </c>
      <c r="R49">
        <f t="shared" ref="R49" si="222">R50+Q49</f>
        <v>-95177144.197961599</v>
      </c>
      <c r="S49">
        <f t="shared" ref="S49" si="223">R49/100000</f>
        <v>-951.77144197961604</v>
      </c>
      <c r="T49">
        <f t="shared" ref="T49" si="224">S49/1000</f>
        <v>-0.95177144197961605</v>
      </c>
    </row>
    <row r="50" spans="1:20" x14ac:dyDescent="0.25">
      <c r="A50" s="5">
        <v>44543</v>
      </c>
      <c r="B50">
        <v>1.3720000000000001</v>
      </c>
      <c r="C50">
        <v>1.375</v>
      </c>
      <c r="D50">
        <v>1.1559999999999999</v>
      </c>
      <c r="E50">
        <v>1.179</v>
      </c>
      <c r="F50">
        <v>1855767.159</v>
      </c>
      <c r="G50">
        <v>1.179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-0.78995433789954228</v>
      </c>
      <c r="Q50">
        <f t="shared" ref="Q50" si="226">F50*P50</f>
        <v>-1465971.3173835597</v>
      </c>
      <c r="R50">
        <f t="shared" ref="R50" si="227">R51+Q50</f>
        <v>-95657874.547494307</v>
      </c>
      <c r="S50">
        <f t="shared" ref="S50" si="228">R50/100000</f>
        <v>-956.57874547494305</v>
      </c>
      <c r="T50">
        <f t="shared" ref="T50" si="229">S50/1000</f>
        <v>-0.95657874547494304</v>
      </c>
    </row>
    <row r="51" spans="1:20" x14ac:dyDescent="0.25">
      <c r="A51" s="5">
        <v>44542</v>
      </c>
      <c r="B51">
        <v>1.36</v>
      </c>
      <c r="C51">
        <v>1.3979999999999999</v>
      </c>
      <c r="D51">
        <v>1.3069999999999999</v>
      </c>
      <c r="E51">
        <v>1.369</v>
      </c>
      <c r="F51">
        <v>1350551</v>
      </c>
      <c r="G51">
        <v>1.369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0.36263736263736429</v>
      </c>
      <c r="Q51">
        <f t="shared" ref="Q51" si="231">F51*P51</f>
        <v>489760.25274725497</v>
      </c>
      <c r="R51">
        <f t="shared" ref="R51" si="232">R52+Q51</f>
        <v>-94191903.23011075</v>
      </c>
      <c r="S51">
        <f t="shared" ref="S51" si="233">R51/100000</f>
        <v>-941.91903230110745</v>
      </c>
      <c r="T51">
        <f t="shared" ref="T51" si="234">S51/1000</f>
        <v>-0.94191903230110741</v>
      </c>
    </row>
    <row r="52" spans="1:20" x14ac:dyDescent="0.25">
      <c r="A52" s="5">
        <v>44541</v>
      </c>
      <c r="B52">
        <v>1.347</v>
      </c>
      <c r="C52">
        <v>1.3520000000000001</v>
      </c>
      <c r="D52">
        <v>1.3240000000000001</v>
      </c>
      <c r="E52">
        <v>1.347</v>
      </c>
      <c r="F52">
        <v>144286.29999999999</v>
      </c>
      <c r="G52">
        <v>1.347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0.64285714285713491</v>
      </c>
      <c r="Q52">
        <f t="shared" ref="Q52" si="236">F52*P52</f>
        <v>92755.478571427419</v>
      </c>
      <c r="R52">
        <f t="shared" ref="R52" si="237">R53+Q52</f>
        <v>-94681663.482858002</v>
      </c>
      <c r="S52">
        <f t="shared" ref="S52" si="238">R52/100000</f>
        <v>-946.81663482858005</v>
      </c>
      <c r="T52">
        <f t="shared" ref="T52" si="239">S52/1000</f>
        <v>-0.94681663482858003</v>
      </c>
    </row>
    <row r="53" spans="1:20" x14ac:dyDescent="0.25">
      <c r="A53" s="5">
        <v>44540</v>
      </c>
      <c r="B53">
        <v>1.377</v>
      </c>
      <c r="C53">
        <v>1.4690000000000001</v>
      </c>
      <c r="D53">
        <v>1.3360000000000001</v>
      </c>
      <c r="E53">
        <v>1.3440000000000001</v>
      </c>
      <c r="F53">
        <v>1270349.5</v>
      </c>
      <c r="G53">
        <v>1.3440000000000001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-0.87969924812030065</v>
      </c>
      <c r="Q53">
        <f t="shared" ref="Q53" si="241">F53*P53</f>
        <v>-1117525.4999999998</v>
      </c>
      <c r="R53">
        <f t="shared" ref="R53" si="242">R54+Q53</f>
        <v>-94774418.961429432</v>
      </c>
      <c r="S53">
        <f t="shared" ref="S53" si="243">R53/100000</f>
        <v>-947.74418961429433</v>
      </c>
      <c r="T53">
        <f t="shared" ref="T53" si="244">S53/1000</f>
        <v>-0.9477441896142943</v>
      </c>
    </row>
    <row r="54" spans="1:20" x14ac:dyDescent="0.25">
      <c r="A54" s="5">
        <v>44539</v>
      </c>
      <c r="B54">
        <v>1.5129999999999999</v>
      </c>
      <c r="C54">
        <v>1.5329999999999999</v>
      </c>
      <c r="D54">
        <v>1.3580000000000001</v>
      </c>
      <c r="E54">
        <v>1.3779999999999999</v>
      </c>
      <c r="F54">
        <v>1421890.8</v>
      </c>
      <c r="G54">
        <v>1.3779999999999999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-0.77142857142857357</v>
      </c>
      <c r="Q54">
        <f t="shared" ref="Q54" si="246">F54*P54</f>
        <v>-1096887.1885714317</v>
      </c>
      <c r="R54">
        <f t="shared" ref="R54" si="247">R55+Q54</f>
        <v>-93656893.461429432</v>
      </c>
      <c r="S54">
        <f t="shared" ref="S54" si="248">R54/100000</f>
        <v>-936.56893461429434</v>
      </c>
      <c r="T54">
        <f t="shared" ref="T54" si="249">S54/1000</f>
        <v>-0.93656893461429436</v>
      </c>
    </row>
    <row r="55" spans="1:20" x14ac:dyDescent="0.25">
      <c r="A55" s="5">
        <v>44538</v>
      </c>
      <c r="B55">
        <v>1.4450000000000001</v>
      </c>
      <c r="C55">
        <v>1.5609999999999999</v>
      </c>
      <c r="D55">
        <v>1.4159999999999999</v>
      </c>
      <c r="E55">
        <v>1.512</v>
      </c>
      <c r="F55">
        <v>2251101.7000000002</v>
      </c>
      <c r="G55">
        <v>1.512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0.32413793103448379</v>
      </c>
      <c r="Q55">
        <f t="shared" ref="Q55" si="251">F55*P55</f>
        <v>729667.44758620928</v>
      </c>
      <c r="R55">
        <f t="shared" ref="R55" si="252">R56+Q55</f>
        <v>-92560006.272857994</v>
      </c>
      <c r="S55">
        <f t="shared" ref="S55" si="253">R55/100000</f>
        <v>-925.60006272857993</v>
      </c>
      <c r="T55">
        <f t="shared" ref="T55" si="254">S55/1000</f>
        <v>-0.92560006272857998</v>
      </c>
    </row>
    <row r="56" spans="1:20" x14ac:dyDescent="0.25">
      <c r="A56" s="5">
        <v>44537</v>
      </c>
      <c r="B56">
        <v>1.5069999999999999</v>
      </c>
      <c r="C56">
        <v>1.575</v>
      </c>
      <c r="D56">
        <v>1.4139999999999999</v>
      </c>
      <c r="E56">
        <v>1.4450000000000001</v>
      </c>
      <c r="F56">
        <v>1998711.2</v>
      </c>
      <c r="G56">
        <v>1.4450000000000001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-0.61490683229813503</v>
      </c>
      <c r="Q56">
        <f t="shared" ref="Q56" si="256">F56*P56</f>
        <v>-1229021.1726708042</v>
      </c>
      <c r="R56">
        <f t="shared" ref="R56" si="257">R57+Q56</f>
        <v>-93289673.720444202</v>
      </c>
      <c r="S56">
        <f t="shared" ref="S56" si="258">R56/100000</f>
        <v>-932.89673720444205</v>
      </c>
      <c r="T56">
        <f t="shared" ref="T56" si="259">S56/1000</f>
        <v>-0.93289673720444199</v>
      </c>
    </row>
    <row r="57" spans="1:20" x14ac:dyDescent="0.25">
      <c r="A57" s="5">
        <v>44536</v>
      </c>
      <c r="B57">
        <v>1.466</v>
      </c>
      <c r="C57">
        <v>1.5980000000000001</v>
      </c>
      <c r="D57">
        <v>1.282</v>
      </c>
      <c r="E57">
        <v>1.506</v>
      </c>
      <c r="F57">
        <v>4013280.1</v>
      </c>
      <c r="G57">
        <v>1.506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0.41772151898734139</v>
      </c>
      <c r="Q57">
        <f t="shared" ref="Q57" si="261">F57*P57</f>
        <v>1676433.4594936694</v>
      </c>
      <c r="R57">
        <f t="shared" ref="R57" si="262">R58+Q57</f>
        <v>-92060652.547773391</v>
      </c>
      <c r="S57">
        <f t="shared" ref="S57" si="263">R57/100000</f>
        <v>-920.60652547773395</v>
      </c>
      <c r="T57">
        <f t="shared" ref="T57" si="264">S57/1000</f>
        <v>-0.92060652547773392</v>
      </c>
    </row>
    <row r="58" spans="1:20" x14ac:dyDescent="0.25">
      <c r="A58" s="5">
        <v>44535</v>
      </c>
      <c r="B58">
        <v>1.617</v>
      </c>
      <c r="C58">
        <v>1.742</v>
      </c>
      <c r="D58">
        <v>1.421</v>
      </c>
      <c r="E58">
        <v>1.466</v>
      </c>
      <c r="F58">
        <v>3591005.6</v>
      </c>
      <c r="G58">
        <v>1.466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-0.71962616822429948</v>
      </c>
      <c r="Q58">
        <f t="shared" ref="Q58" si="266">F58*P58</f>
        <v>-2584181.6000000015</v>
      </c>
      <c r="R58">
        <f t="shared" ref="R58" si="267">R59+Q58</f>
        <v>-93737086.007267058</v>
      </c>
      <c r="S58">
        <f t="shared" ref="S58" si="268">R58/100000</f>
        <v>-937.37086007267055</v>
      </c>
      <c r="T58">
        <f t="shared" ref="T58" si="269">S58/1000</f>
        <v>-0.93737086007267056</v>
      </c>
    </row>
    <row r="59" spans="1:20" x14ac:dyDescent="0.25">
      <c r="A59" s="5">
        <v>44534</v>
      </c>
      <c r="B59">
        <v>1.976</v>
      </c>
      <c r="C59">
        <v>1.9950000000000001</v>
      </c>
      <c r="D59">
        <v>1.38</v>
      </c>
      <c r="E59">
        <v>1.619</v>
      </c>
      <c r="F59">
        <v>5011578.9000000004</v>
      </c>
      <c r="G59">
        <v>1.619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-0.22276422764227635</v>
      </c>
      <c r="Q59">
        <f t="shared" ref="Q59" si="271">F59*P59</f>
        <v>-1116400.502926829</v>
      </c>
      <c r="R59">
        <f t="shared" ref="R59" si="272">R60+Q59</f>
        <v>-91152904.407267064</v>
      </c>
      <c r="S59">
        <f t="shared" ref="S59" si="273">R59/100000</f>
        <v>-911.52904407267067</v>
      </c>
      <c r="T59">
        <f t="shared" ref="T59" si="274">S59/1000</f>
        <v>-0.91152904407267066</v>
      </c>
    </row>
    <row r="60" spans="1:20" x14ac:dyDescent="0.25">
      <c r="A60" s="5">
        <v>44533</v>
      </c>
      <c r="B60">
        <v>1.8620000000000001</v>
      </c>
      <c r="C60">
        <v>2.169</v>
      </c>
      <c r="D60">
        <v>1.851</v>
      </c>
      <c r="E60">
        <v>1.9730000000000001</v>
      </c>
      <c r="F60">
        <v>8901175.5999999996</v>
      </c>
      <c r="G60">
        <v>1.9730000000000001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-0.23270440251572275</v>
      </c>
      <c r="Q60">
        <f t="shared" ref="Q60" si="276">F60*P60</f>
        <v>-2071342.7496855299</v>
      </c>
      <c r="R60">
        <f t="shared" ref="R60" si="277">R61+Q60</f>
        <v>-90036503.904340237</v>
      </c>
      <c r="S60">
        <f t="shared" ref="S60" si="278">R60/100000</f>
        <v>-900.36503904340236</v>
      </c>
      <c r="T60">
        <f t="shared" ref="T60" si="279">S60/1000</f>
        <v>-0.90036503904340237</v>
      </c>
    </row>
    <row r="61" spans="1:20" x14ac:dyDescent="0.25">
      <c r="A61" s="5">
        <v>44532</v>
      </c>
      <c r="B61">
        <v>1.835</v>
      </c>
      <c r="C61">
        <v>1.907</v>
      </c>
      <c r="D61">
        <v>1.7509999999999999</v>
      </c>
      <c r="E61">
        <v>1.8560000000000001</v>
      </c>
      <c r="F61">
        <v>1960267.4</v>
      </c>
      <c r="G61">
        <v>1.8560000000000001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0.34615384615384759</v>
      </c>
      <c r="Q61">
        <f t="shared" ref="Q61" si="281">F61*P61</f>
        <v>678554.10000000277</v>
      </c>
      <c r="R61">
        <f t="shared" ref="R61" si="282">R62+Q61</f>
        <v>-87965161.154654711</v>
      </c>
      <c r="S61">
        <f t="shared" ref="S61" si="283">R61/100000</f>
        <v>-879.65161154654709</v>
      </c>
      <c r="T61">
        <f t="shared" ref="T61" si="284">S61/1000</f>
        <v>-0.87965161154654714</v>
      </c>
    </row>
    <row r="62" spans="1:20" x14ac:dyDescent="0.25">
      <c r="A62" s="5">
        <v>44531</v>
      </c>
      <c r="B62">
        <v>1.8240000000000001</v>
      </c>
      <c r="C62">
        <v>1.92</v>
      </c>
      <c r="D62">
        <v>1.7949999999999999</v>
      </c>
      <c r="E62">
        <v>1.8360000000000001</v>
      </c>
      <c r="F62">
        <v>1934123.4</v>
      </c>
      <c r="G62">
        <v>1.8360000000000001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-0.34399999999999764</v>
      </c>
      <c r="Q62">
        <f t="shared" ref="Q62" si="286">F62*P62</f>
        <v>-665338.44959999539</v>
      </c>
      <c r="R62">
        <f t="shared" ref="R62" si="287">R63+Q62</f>
        <v>-88643715.25465472</v>
      </c>
      <c r="S62">
        <f t="shared" ref="S62" si="288">R62/100000</f>
        <v>-886.43715254654717</v>
      </c>
      <c r="T62">
        <f t="shared" ref="T62" si="289">S62/1000</f>
        <v>-0.8864371525465472</v>
      </c>
    </row>
    <row r="63" spans="1:20" x14ac:dyDescent="0.25">
      <c r="A63" s="5">
        <v>44530</v>
      </c>
      <c r="B63">
        <v>1.883</v>
      </c>
      <c r="C63">
        <v>1.925</v>
      </c>
      <c r="D63">
        <v>1.8120000000000001</v>
      </c>
      <c r="E63">
        <v>1.8280000000000001</v>
      </c>
      <c r="F63">
        <v>2110930.4</v>
      </c>
      <c r="G63">
        <v>1.8280000000000001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-0.71681415929203507</v>
      </c>
      <c r="Q63">
        <f t="shared" ref="Q63" si="291">F63*P63</f>
        <v>-1513144.7999999993</v>
      </c>
      <c r="R63">
        <f t="shared" ref="R63" si="292">R64+Q63</f>
        <v>-87978376.805054724</v>
      </c>
      <c r="S63">
        <f t="shared" ref="S63" si="293">R63/100000</f>
        <v>-879.78376805054722</v>
      </c>
      <c r="T63">
        <f t="shared" ref="T63" si="294">S63/1000</f>
        <v>-0.87978376805054725</v>
      </c>
    </row>
    <row r="64" spans="1:20" x14ac:dyDescent="0.25">
      <c r="A64" s="5">
        <v>44529</v>
      </c>
      <c r="B64">
        <v>1.913</v>
      </c>
      <c r="C64">
        <v>1.9550000000000001</v>
      </c>
      <c r="D64">
        <v>1.841</v>
      </c>
      <c r="E64">
        <v>1.885</v>
      </c>
      <c r="F64">
        <v>1900164.8</v>
      </c>
      <c r="G64">
        <v>1.885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-0.22807017543859648</v>
      </c>
      <c r="Q64">
        <f t="shared" ref="Q64" si="296">F64*P64</f>
        <v>-433370.91929824557</v>
      </c>
      <c r="R64">
        <f t="shared" ref="R64" si="297">R65+Q64</f>
        <v>-86465232.005054727</v>
      </c>
      <c r="S64">
        <f t="shared" ref="S64" si="298">R64/100000</f>
        <v>-864.65232005054725</v>
      </c>
      <c r="T64">
        <f t="shared" ref="T64" si="299">S64/1000</f>
        <v>-0.86465232005054726</v>
      </c>
    </row>
    <row r="65" spans="1:20" x14ac:dyDescent="0.25">
      <c r="A65" s="5">
        <v>44528</v>
      </c>
      <c r="B65">
        <v>2.012</v>
      </c>
      <c r="C65">
        <v>2.028</v>
      </c>
      <c r="D65">
        <v>1.752</v>
      </c>
      <c r="E65">
        <v>1.911</v>
      </c>
      <c r="F65">
        <v>3259941</v>
      </c>
      <c r="G65">
        <v>1.911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0.15217391304347838</v>
      </c>
      <c r="Q65">
        <f t="shared" ref="Q65" si="301">F65*P65</f>
        <v>496077.97826086998</v>
      </c>
      <c r="R65">
        <f t="shared" ref="R65" si="302">R66+Q65</f>
        <v>-86031861.085756481</v>
      </c>
      <c r="S65">
        <f t="shared" ref="S65" si="303">R65/100000</f>
        <v>-860.31861085756486</v>
      </c>
      <c r="T65">
        <f t="shared" ref="T65" si="304">S65/1000</f>
        <v>-0.86031861085756489</v>
      </c>
    </row>
    <row r="66" spans="1:20" x14ac:dyDescent="0.25">
      <c r="A66" s="5">
        <v>44527</v>
      </c>
      <c r="B66">
        <v>1.8180000000000001</v>
      </c>
      <c r="C66">
        <v>2.3879999999999999</v>
      </c>
      <c r="D66">
        <v>1.8120000000000001</v>
      </c>
      <c r="E66">
        <v>2.012</v>
      </c>
      <c r="F66">
        <v>12956230.800000001</v>
      </c>
      <c r="G66">
        <v>2.012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-0.30555555555555552</v>
      </c>
      <c r="Q66">
        <f t="shared" ref="Q66" si="306">F66*P66</f>
        <v>-3958848.3</v>
      </c>
      <c r="R66">
        <f t="shared" ref="R66" si="307">R67+Q66</f>
        <v>-86527939.064017355</v>
      </c>
      <c r="S66">
        <f t="shared" ref="S66" si="308">R66/100000</f>
        <v>-865.27939064017357</v>
      </c>
      <c r="T66">
        <f t="shared" ref="T66" si="309">S66/1000</f>
        <v>-0.86527939064017356</v>
      </c>
    </row>
    <row r="67" spans="1:20" x14ac:dyDescent="0.25">
      <c r="A67" s="5">
        <v>44526</v>
      </c>
      <c r="B67">
        <v>1.907</v>
      </c>
      <c r="C67">
        <v>1.994</v>
      </c>
      <c r="D67">
        <v>1.6859999999999999</v>
      </c>
      <c r="E67">
        <v>1.8129999999999999</v>
      </c>
      <c r="F67">
        <v>4457476.9000000004</v>
      </c>
      <c r="G67">
        <v>1.8129999999999999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-0.17532467532467544</v>
      </c>
      <c r="Q67">
        <f t="shared" ref="Q67" si="311">F67*P67</f>
        <v>-781505.6902597408</v>
      </c>
      <c r="R67">
        <f t="shared" ref="R67" si="312">R68+Q67</f>
        <v>-82569090.764017358</v>
      </c>
      <c r="S67">
        <f t="shared" ref="S67" si="313">R67/100000</f>
        <v>-825.69090764017358</v>
      </c>
      <c r="T67">
        <f t="shared" ref="T67" si="314">S67/1000</f>
        <v>-0.82569090764017361</v>
      </c>
    </row>
    <row r="68" spans="1:20" x14ac:dyDescent="0.25">
      <c r="A68" s="5">
        <v>44525</v>
      </c>
      <c r="B68">
        <v>1.7769999999999999</v>
      </c>
      <c r="C68">
        <v>1.91</v>
      </c>
      <c r="D68">
        <v>1.7470000000000001</v>
      </c>
      <c r="E68">
        <v>1.907</v>
      </c>
      <c r="F68">
        <v>1650976.1</v>
      </c>
      <c r="G68">
        <v>1.907</v>
      </c>
      <c r="L68" t="s">
        <v>7</v>
      </c>
      <c r="M68" t="s">
        <v>8</v>
      </c>
      <c r="N68" t="s">
        <v>8</v>
      </c>
      <c r="P68">
        <f t="shared" ref="P68" si="315">IF(C68=D68,0,((E68-D68)-(C68-E68))/(C68-D68))</f>
        <v>0.96319018404908108</v>
      </c>
      <c r="Q68">
        <f t="shared" ref="Q68" si="316">F68*P68</f>
        <v>1590203.9736196343</v>
      </c>
      <c r="R68">
        <f t="shared" ref="R68" si="317">R69+Q68</f>
        <v>-81787585.073757619</v>
      </c>
      <c r="S68">
        <f t="shared" ref="S68" si="318">R68/100000</f>
        <v>-817.87585073757623</v>
      </c>
      <c r="T68">
        <f t="shared" ref="T68" si="319">S68/1000</f>
        <v>-0.81787585073757618</v>
      </c>
    </row>
    <row r="69" spans="1:20" x14ac:dyDescent="0.25">
      <c r="A69" s="5">
        <v>44524</v>
      </c>
      <c r="B69">
        <v>1.9</v>
      </c>
      <c r="C69">
        <v>1.944</v>
      </c>
      <c r="D69">
        <v>1.8520000000000001</v>
      </c>
      <c r="E69">
        <v>1.855</v>
      </c>
      <c r="F69">
        <v>403092.8</v>
      </c>
      <c r="G69">
        <v>1.855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-0.93478260869565444</v>
      </c>
      <c r="Q69">
        <f t="shared" ref="Q69" si="321">F69*P69</f>
        <v>-376804.13913043571</v>
      </c>
      <c r="R69">
        <f t="shared" ref="R69" si="322">R70+Q69</f>
        <v>-83377789.047377259</v>
      </c>
      <c r="S69">
        <f t="shared" ref="S69" si="323">R69/100000</f>
        <v>-833.77789047377257</v>
      </c>
      <c r="T69">
        <f t="shared" ref="T69" si="324">S69/1000</f>
        <v>-0.8337778904737726</v>
      </c>
    </row>
    <row r="70" spans="1:20" x14ac:dyDescent="0.25">
      <c r="A70" s="5">
        <v>44523</v>
      </c>
      <c r="B70">
        <v>1.8160000000000001</v>
      </c>
      <c r="C70">
        <v>1.9490000000000001</v>
      </c>
      <c r="D70">
        <v>1.8</v>
      </c>
      <c r="E70">
        <v>1.9</v>
      </c>
      <c r="F70">
        <v>2020433.7</v>
      </c>
      <c r="G70">
        <v>1.9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0.34228187919462888</v>
      </c>
      <c r="Q70">
        <f t="shared" ref="Q70" si="326">F70*P70</f>
        <v>691557.84362415702</v>
      </c>
      <c r="R70">
        <f t="shared" ref="R70" si="327">R71+Q70</f>
        <v>-83000984.90824683</v>
      </c>
      <c r="S70">
        <f t="shared" ref="S70" si="328">R70/100000</f>
        <v>-830.00984908246835</v>
      </c>
      <c r="T70">
        <f t="shared" ref="T70" si="329">S70/1000</f>
        <v>-0.83000984908246833</v>
      </c>
    </row>
    <row r="71" spans="1:20" x14ac:dyDescent="0.25">
      <c r="A71" s="5">
        <v>44522</v>
      </c>
      <c r="B71">
        <v>1.8640000000000001</v>
      </c>
      <c r="C71">
        <v>1.885</v>
      </c>
      <c r="D71">
        <v>1.7649999999999999</v>
      </c>
      <c r="E71">
        <v>1.81</v>
      </c>
      <c r="F71">
        <v>1457793.6</v>
      </c>
      <c r="G71">
        <v>1.81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-0.24999999999999814</v>
      </c>
      <c r="Q71">
        <f t="shared" ref="Q71" si="331">F71*P71</f>
        <v>-364448.39999999729</v>
      </c>
      <c r="R71">
        <f t="shared" ref="R71" si="332">R72+Q71</f>
        <v>-83692542.75187099</v>
      </c>
      <c r="S71">
        <f t="shared" ref="S71" si="333">R71/100000</f>
        <v>-836.92542751870985</v>
      </c>
      <c r="T71">
        <f t="shared" ref="T71" si="334">S71/1000</f>
        <v>-0.83692542751870991</v>
      </c>
    </row>
    <row r="72" spans="1:20" x14ac:dyDescent="0.25">
      <c r="A72" s="5">
        <v>44521</v>
      </c>
      <c r="B72">
        <v>1.8680000000000001</v>
      </c>
      <c r="C72">
        <v>1.988</v>
      </c>
      <c r="D72">
        <v>1.821</v>
      </c>
      <c r="E72">
        <v>1.86</v>
      </c>
      <c r="F72">
        <v>2355526.7000000002</v>
      </c>
      <c r="G72">
        <v>1.86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-0.53293413173652526</v>
      </c>
      <c r="Q72">
        <f t="shared" ref="Q72" si="336">F72*P72</f>
        <v>-1255340.5766467028</v>
      </c>
      <c r="R72">
        <f t="shared" ref="R72" si="337">R73+Q72</f>
        <v>-83328094.351870999</v>
      </c>
      <c r="S72">
        <f t="shared" ref="S72" si="338">R72/100000</f>
        <v>-833.28094351870993</v>
      </c>
      <c r="T72">
        <f t="shared" ref="T72" si="339">S72/1000</f>
        <v>-0.83328094351870996</v>
      </c>
    </row>
    <row r="73" spans="1:20" x14ac:dyDescent="0.25">
      <c r="A73" s="5">
        <v>44520</v>
      </c>
      <c r="B73">
        <v>1.774</v>
      </c>
      <c r="C73">
        <v>1.931</v>
      </c>
      <c r="D73">
        <v>1.71</v>
      </c>
      <c r="E73">
        <v>1.865</v>
      </c>
      <c r="F73">
        <v>2760184.1</v>
      </c>
      <c r="G73">
        <v>1.865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0.40271493212669651</v>
      </c>
      <c r="Q73">
        <f t="shared" ref="Q73" si="341">F73*P73</f>
        <v>1111567.352488687</v>
      </c>
      <c r="R73">
        <f t="shared" ref="R73" si="342">R74+Q73</f>
        <v>-82072753.775224298</v>
      </c>
      <c r="S73">
        <f t="shared" ref="S73" si="343">R73/100000</f>
        <v>-820.72753775224294</v>
      </c>
      <c r="T73">
        <f t="shared" ref="T73" si="344">S73/1000</f>
        <v>-0.82072753775224294</v>
      </c>
    </row>
    <row r="74" spans="1:20" x14ac:dyDescent="0.25">
      <c r="A74" s="5">
        <v>44519</v>
      </c>
      <c r="B74">
        <v>1.6819999999999999</v>
      </c>
      <c r="C74">
        <v>1.8</v>
      </c>
      <c r="D74">
        <v>1.647</v>
      </c>
      <c r="E74">
        <v>1.7709999999999999</v>
      </c>
      <c r="F74">
        <v>1464600.9</v>
      </c>
      <c r="G74">
        <v>1.7709999999999999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0.6209150326797368</v>
      </c>
      <c r="Q74">
        <f t="shared" ref="Q74" si="346">F74*P74</f>
        <v>909392.7156862719</v>
      </c>
      <c r="R74">
        <f t="shared" ref="R74" si="347">R75+Q74</f>
        <v>-83184321.12771298</v>
      </c>
      <c r="S74">
        <f t="shared" ref="S74" si="348">R74/100000</f>
        <v>-831.84321127712985</v>
      </c>
      <c r="T74">
        <f t="shared" ref="T74" si="349">S74/1000</f>
        <v>-0.8318432112771299</v>
      </c>
    </row>
    <row r="75" spans="1:20" x14ac:dyDescent="0.25">
      <c r="A75" s="5">
        <v>44518</v>
      </c>
      <c r="B75">
        <v>1.8360000000000001</v>
      </c>
      <c r="C75">
        <v>1.8680000000000001</v>
      </c>
      <c r="D75">
        <v>1.663</v>
      </c>
      <c r="E75">
        <v>1.6859999999999999</v>
      </c>
      <c r="F75">
        <v>2247371.2000000002</v>
      </c>
      <c r="G75">
        <v>1.6859999999999999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-0.77560975609756189</v>
      </c>
      <c r="Q75">
        <f t="shared" ref="Q75" si="351">F75*P75</f>
        <v>-1743083.028292685</v>
      </c>
      <c r="R75">
        <f t="shared" ref="R75" si="352">R76+Q75</f>
        <v>-84093713.843399256</v>
      </c>
      <c r="S75">
        <f t="shared" ref="S75" si="353">R75/100000</f>
        <v>-840.93713843399257</v>
      </c>
      <c r="T75">
        <f t="shared" ref="T75" si="354">S75/1000</f>
        <v>-0.84093713843399254</v>
      </c>
    </row>
    <row r="76" spans="1:20" x14ac:dyDescent="0.25">
      <c r="A76" s="5">
        <v>44517</v>
      </c>
      <c r="B76">
        <v>1.8</v>
      </c>
      <c r="C76">
        <v>1.9219999999999999</v>
      </c>
      <c r="D76">
        <v>1.7629999999999999</v>
      </c>
      <c r="E76">
        <v>1.8360000000000001</v>
      </c>
      <c r="F76">
        <v>1764120.1</v>
      </c>
      <c r="G76">
        <v>1.8360000000000001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-8.1761006289306132E-2</v>
      </c>
      <c r="Q76">
        <f t="shared" ref="Q76" si="356">F76*P76</f>
        <v>-144236.23459119137</v>
      </c>
      <c r="R76">
        <f t="shared" ref="R76" si="357">R77+Q76</f>
        <v>-82350630.815106571</v>
      </c>
      <c r="S76">
        <f t="shared" ref="S76" si="358">R76/100000</f>
        <v>-823.5063081510657</v>
      </c>
      <c r="T76">
        <f t="shared" ref="T76" si="359">S76/1000</f>
        <v>-0.82350630815106574</v>
      </c>
    </row>
    <row r="77" spans="1:20" x14ac:dyDescent="0.25">
      <c r="A77" s="5">
        <v>44516</v>
      </c>
      <c r="B77">
        <v>1.8460000000000001</v>
      </c>
      <c r="C77">
        <v>1.851</v>
      </c>
      <c r="D77">
        <v>1.667</v>
      </c>
      <c r="E77">
        <v>1.8029999999999999</v>
      </c>
      <c r="F77">
        <v>2439666.7999999998</v>
      </c>
      <c r="G77">
        <v>1.8029999999999999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0.47826086956521674</v>
      </c>
      <c r="Q77">
        <f t="shared" ref="Q77" si="361">F77*P77</f>
        <v>1166797.1652173896</v>
      </c>
      <c r="R77">
        <f t="shared" ref="R77" si="362">R78+Q77</f>
        <v>-82206394.580515385</v>
      </c>
      <c r="S77">
        <f t="shared" ref="S77" si="363">R77/100000</f>
        <v>-822.06394580515382</v>
      </c>
      <c r="T77">
        <f t="shared" ref="T77" si="364">S77/1000</f>
        <v>-0.82206394580515385</v>
      </c>
    </row>
    <row r="78" spans="1:20" x14ac:dyDescent="0.25">
      <c r="A78" s="5">
        <v>44515</v>
      </c>
      <c r="B78">
        <v>1.915</v>
      </c>
      <c r="C78">
        <v>1.978</v>
      </c>
      <c r="D78">
        <v>1.843</v>
      </c>
      <c r="E78">
        <v>1.8460000000000001</v>
      </c>
      <c r="F78">
        <v>1678421.7</v>
      </c>
      <c r="G78">
        <v>1.8460000000000001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-0.95555555555555383</v>
      </c>
      <c r="Q78">
        <f t="shared" ref="Q78" si="366">F78*P78</f>
        <v>-1603825.1799999971</v>
      </c>
      <c r="R78">
        <f t="shared" ref="R78" si="367">R79+Q78</f>
        <v>-83373191.745732769</v>
      </c>
      <c r="S78">
        <f t="shared" ref="S78" si="368">R78/100000</f>
        <v>-833.73191745732765</v>
      </c>
      <c r="T78">
        <f t="shared" ref="T78" si="369">S78/1000</f>
        <v>-0.83373191745732766</v>
      </c>
    </row>
    <row r="79" spans="1:20" x14ac:dyDescent="0.25">
      <c r="A79" s="5">
        <v>44514</v>
      </c>
      <c r="B79">
        <v>2.0019999999999998</v>
      </c>
      <c r="C79">
        <v>2.0190000000000001</v>
      </c>
      <c r="D79">
        <v>1.8759999999999999</v>
      </c>
      <c r="E79">
        <v>1.915</v>
      </c>
      <c r="F79">
        <v>2543208.6</v>
      </c>
      <c r="G79">
        <v>1.915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-0.45454545454545342</v>
      </c>
      <c r="Q79">
        <f t="shared" ref="Q79" si="371">F79*P79</f>
        <v>-1156003.9090909064</v>
      </c>
      <c r="R79">
        <f t="shared" ref="R79" si="372">R80+Q79</f>
        <v>-81769366.565732777</v>
      </c>
      <c r="S79">
        <f t="shared" ref="S79" si="373">R79/100000</f>
        <v>-817.69366565732776</v>
      </c>
      <c r="T79">
        <f t="shared" ref="T79" si="374">S79/1000</f>
        <v>-0.81769366565732771</v>
      </c>
    </row>
    <row r="80" spans="1:20" x14ac:dyDescent="0.25">
      <c r="A80" s="5">
        <v>44513</v>
      </c>
      <c r="B80">
        <v>2.0329999999999999</v>
      </c>
      <c r="C80">
        <v>2.0640000000000001</v>
      </c>
      <c r="D80">
        <v>1.9350000000000001</v>
      </c>
      <c r="E80">
        <v>2</v>
      </c>
      <c r="F80">
        <v>1935924.3</v>
      </c>
      <c r="G80">
        <v>2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7.7519379844952704E-3</v>
      </c>
      <c r="Q80">
        <f t="shared" ref="Q80" si="376">F80*P80</f>
        <v>15007.165116277418</v>
      </c>
      <c r="R80">
        <f t="shared" ref="R80" si="377">R81+Q80</f>
        <v>-80613362.656641871</v>
      </c>
      <c r="S80">
        <f t="shared" ref="S80" si="378">R80/100000</f>
        <v>-806.13362656641868</v>
      </c>
      <c r="T80">
        <f t="shared" ref="T80" si="379">S80/1000</f>
        <v>-0.80613362656641874</v>
      </c>
    </row>
    <row r="81" spans="1:20" x14ac:dyDescent="0.25">
      <c r="A81" s="5">
        <v>44512</v>
      </c>
      <c r="B81">
        <v>2.0950000000000002</v>
      </c>
      <c r="C81">
        <v>2.2000000000000002</v>
      </c>
      <c r="D81">
        <v>1.966</v>
      </c>
      <c r="E81">
        <v>2.0329999999999999</v>
      </c>
      <c r="F81">
        <v>5686217.5999999996</v>
      </c>
      <c r="G81">
        <v>2.0329999999999999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-0.42735042735042827</v>
      </c>
      <c r="Q81">
        <f t="shared" ref="Q81" si="381">F81*P81</f>
        <v>-2430007.5213675266</v>
      </c>
      <c r="R81">
        <f t="shared" ref="R81" si="382">R82+Q81</f>
        <v>-80628369.821758151</v>
      </c>
      <c r="S81">
        <f t="shared" ref="S81" si="383">R81/100000</f>
        <v>-806.28369821758156</v>
      </c>
      <c r="T81">
        <f t="shared" ref="T81" si="384">S81/1000</f>
        <v>-0.80628369821758161</v>
      </c>
    </row>
    <row r="82" spans="1:20" x14ac:dyDescent="0.25">
      <c r="A82" s="5">
        <v>44511</v>
      </c>
      <c r="B82">
        <v>1.865</v>
      </c>
      <c r="C82">
        <v>2.11</v>
      </c>
      <c r="D82">
        <v>1.84</v>
      </c>
      <c r="E82">
        <v>2.0950000000000002</v>
      </c>
      <c r="F82">
        <v>4098968.6</v>
      </c>
      <c r="G82">
        <v>2.0950000000000002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0.88888888888889117</v>
      </c>
      <c r="Q82">
        <f t="shared" ref="Q82" si="386">F82*P82</f>
        <v>3643527.644444454</v>
      </c>
      <c r="R82">
        <f t="shared" ref="R82" si="387">R83+Q82</f>
        <v>-78198362.300390631</v>
      </c>
      <c r="S82">
        <f t="shared" ref="S82" si="388">R82/100000</f>
        <v>-781.98362300390636</v>
      </c>
      <c r="T82">
        <f t="shared" ref="T82" si="389">S82/1000</f>
        <v>-0.78198362300390634</v>
      </c>
    </row>
    <row r="83" spans="1:20" x14ac:dyDescent="0.25">
      <c r="A83" s="5">
        <v>44510</v>
      </c>
      <c r="B83">
        <v>1.929</v>
      </c>
      <c r="C83">
        <v>1.97</v>
      </c>
      <c r="D83">
        <v>1.7949999999999999</v>
      </c>
      <c r="E83">
        <v>1.8640000000000001</v>
      </c>
      <c r="F83">
        <v>3141023.4</v>
      </c>
      <c r="G83">
        <v>1.8640000000000001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-0.21142857142856966</v>
      </c>
      <c r="Q83">
        <f t="shared" ref="Q83" si="391">F83*P83</f>
        <v>-664102.09028570866</v>
      </c>
      <c r="R83">
        <f t="shared" ref="R83" si="392">R84+Q83</f>
        <v>-81841889.944835082</v>
      </c>
      <c r="S83">
        <f t="shared" ref="S83" si="393">R83/100000</f>
        <v>-818.41889944835077</v>
      </c>
      <c r="T83">
        <f t="shared" ref="T83" si="394">S83/1000</f>
        <v>-0.81841889944835078</v>
      </c>
    </row>
    <row r="84" spans="1:20" x14ac:dyDescent="0.25">
      <c r="A84" s="5">
        <v>44509</v>
      </c>
      <c r="B84">
        <v>1.84</v>
      </c>
      <c r="C84">
        <v>2.077</v>
      </c>
      <c r="D84">
        <v>1.8340000000000001</v>
      </c>
      <c r="E84">
        <v>1.925</v>
      </c>
      <c r="F84">
        <v>6177070.2000000002</v>
      </c>
      <c r="G84">
        <v>1.925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-0.25102880658436205</v>
      </c>
      <c r="Q84">
        <f t="shared" ref="Q84" si="396">F84*P84</f>
        <v>-1550622.5604938266</v>
      </c>
      <c r="R84">
        <f t="shared" ref="R84" si="397">R85+Q84</f>
        <v>-81177787.854549378</v>
      </c>
      <c r="S84">
        <f t="shared" ref="S84" si="398">R84/100000</f>
        <v>-811.77787854549376</v>
      </c>
      <c r="T84">
        <f t="shared" ref="T84" si="399">S84/1000</f>
        <v>-0.81177787854549377</v>
      </c>
    </row>
    <row r="85" spans="1:20" x14ac:dyDescent="0.25">
      <c r="A85" s="5">
        <v>44508</v>
      </c>
      <c r="B85">
        <v>1.839</v>
      </c>
      <c r="C85">
        <v>1.893</v>
      </c>
      <c r="D85">
        <v>1.82</v>
      </c>
      <c r="E85">
        <v>1.84</v>
      </c>
      <c r="F85">
        <v>1698403</v>
      </c>
      <c r="G85">
        <v>1.84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-0.45205479452054709</v>
      </c>
      <c r="Q85">
        <f t="shared" ref="Q85" si="401">F85*P85</f>
        <v>-767771.21917808079</v>
      </c>
      <c r="R85">
        <f t="shared" ref="R85" si="402">R86+Q85</f>
        <v>-79627165.294055551</v>
      </c>
      <c r="S85">
        <f t="shared" ref="S85" si="403">R85/100000</f>
        <v>-796.27165294055555</v>
      </c>
      <c r="T85">
        <f t="shared" ref="T85" si="404">S85/1000</f>
        <v>-0.79627165294055557</v>
      </c>
    </row>
    <row r="86" spans="1:20" x14ac:dyDescent="0.25">
      <c r="A86" s="5">
        <v>44507</v>
      </c>
      <c r="B86">
        <v>1.8160000000000001</v>
      </c>
      <c r="C86">
        <v>1.8480000000000001</v>
      </c>
      <c r="D86">
        <v>1.7909999999999999</v>
      </c>
      <c r="E86">
        <v>1.839</v>
      </c>
      <c r="F86">
        <v>1264365.7</v>
      </c>
      <c r="G86">
        <v>1.839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0.68421052631578616</v>
      </c>
      <c r="Q86">
        <f t="shared" ref="Q86" si="406">F86*P86</f>
        <v>865092.32105262741</v>
      </c>
      <c r="R86">
        <f t="shared" ref="R86" si="407">R87+Q86</f>
        <v>-78859394.074877471</v>
      </c>
      <c r="S86">
        <f t="shared" ref="S86" si="408">R86/100000</f>
        <v>-788.59394074877468</v>
      </c>
      <c r="T86">
        <f t="shared" ref="T86" si="409">S86/1000</f>
        <v>-0.78859394074877465</v>
      </c>
    </row>
    <row r="87" spans="1:20" x14ac:dyDescent="0.25">
      <c r="A87" s="5">
        <v>44506</v>
      </c>
      <c r="B87">
        <v>1.804</v>
      </c>
      <c r="C87">
        <v>1.841</v>
      </c>
      <c r="D87">
        <v>1.7509999999999999</v>
      </c>
      <c r="E87">
        <v>1.8169999999999999</v>
      </c>
      <c r="F87">
        <v>876128.9</v>
      </c>
      <c r="G87">
        <v>1.8169999999999999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0.46666666666666667</v>
      </c>
      <c r="Q87">
        <f t="shared" ref="Q87" si="411">F87*P87</f>
        <v>408860.15333333338</v>
      </c>
      <c r="R87">
        <f t="shared" ref="R87" si="412">R88+Q87</f>
        <v>-79724486.395930097</v>
      </c>
      <c r="S87">
        <f t="shared" ref="S87" si="413">R87/100000</f>
        <v>-797.24486395930091</v>
      </c>
      <c r="T87">
        <f t="shared" ref="T87" si="414">S87/1000</f>
        <v>-0.79724486395930094</v>
      </c>
    </row>
    <row r="88" spans="1:20" x14ac:dyDescent="0.25">
      <c r="A88" s="5">
        <v>44505</v>
      </c>
      <c r="B88">
        <v>1.865</v>
      </c>
      <c r="C88">
        <v>1.8979999999999999</v>
      </c>
      <c r="D88">
        <v>1.79</v>
      </c>
      <c r="E88">
        <v>1.804</v>
      </c>
      <c r="F88">
        <v>1790315.8</v>
      </c>
      <c r="G88">
        <v>1.804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-0.74074074074074026</v>
      </c>
      <c r="Q88">
        <f t="shared" ref="Q88" si="416">F88*P88</f>
        <v>-1326159.851851851</v>
      </c>
      <c r="R88">
        <f t="shared" ref="R88" si="417">R89+Q88</f>
        <v>-80133346.549263433</v>
      </c>
      <c r="S88">
        <f t="shared" ref="S88" si="418">R88/100000</f>
        <v>-801.33346549263433</v>
      </c>
      <c r="T88">
        <f t="shared" ref="T88" si="419">S88/1000</f>
        <v>-0.80133346549263429</v>
      </c>
    </row>
    <row r="89" spans="1:20" x14ac:dyDescent="0.25">
      <c r="A89" s="5">
        <v>44504</v>
      </c>
      <c r="B89">
        <v>1.9279999999999999</v>
      </c>
      <c r="C89">
        <v>1.998</v>
      </c>
      <c r="D89">
        <v>1.8049999999999999</v>
      </c>
      <c r="E89">
        <v>1.8620000000000001</v>
      </c>
      <c r="F89">
        <v>2218217.7000000002</v>
      </c>
      <c r="G89">
        <v>1.8620000000000001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-0.40932642487046483</v>
      </c>
      <c r="Q89">
        <f t="shared" ref="Q89" si="421">F89*P89</f>
        <v>-907975.12072538538</v>
      </c>
      <c r="R89">
        <f t="shared" ref="R89" si="422">R90+Q89</f>
        <v>-78807186.697411582</v>
      </c>
      <c r="S89">
        <f t="shared" ref="S89" si="423">R89/100000</f>
        <v>-788.07186697411578</v>
      </c>
      <c r="T89">
        <f t="shared" ref="T89" si="424">S89/1000</f>
        <v>-0.7880718669741158</v>
      </c>
    </row>
    <row r="90" spans="1:20" x14ac:dyDescent="0.25">
      <c r="A90" s="5">
        <v>44503</v>
      </c>
      <c r="B90">
        <v>1.917</v>
      </c>
      <c r="C90">
        <v>2.0569999999999999</v>
      </c>
      <c r="D90">
        <v>1.8640000000000001</v>
      </c>
      <c r="E90">
        <v>1.929</v>
      </c>
      <c r="F90">
        <v>3024382.3</v>
      </c>
      <c r="G90">
        <v>1.929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-0.32642487046632124</v>
      </c>
      <c r="Q90">
        <f t="shared" ref="Q90" si="426">F90*P90</f>
        <v>-987233.60051813466</v>
      </c>
      <c r="R90">
        <f t="shared" ref="R90" si="427">R91+Q90</f>
        <v>-77899211.576686203</v>
      </c>
      <c r="S90">
        <f t="shared" ref="S90" si="428">R90/100000</f>
        <v>-778.99211576686207</v>
      </c>
      <c r="T90">
        <f t="shared" ref="T90" si="429">S90/1000</f>
        <v>-0.77899211576686211</v>
      </c>
    </row>
    <row r="91" spans="1:20" x14ac:dyDescent="0.25">
      <c r="A91" s="5">
        <v>44502</v>
      </c>
      <c r="B91">
        <v>1.81</v>
      </c>
      <c r="C91">
        <v>2</v>
      </c>
      <c r="D91">
        <v>1.8009999999999999</v>
      </c>
      <c r="E91">
        <v>1.917</v>
      </c>
      <c r="F91">
        <v>2343363.7000000002</v>
      </c>
      <c r="G91">
        <v>1.917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0.16582914572864388</v>
      </c>
      <c r="Q91">
        <f t="shared" ref="Q91" si="431">F91*P91</f>
        <v>388598.00050251413</v>
      </c>
      <c r="R91">
        <f t="shared" ref="R91" si="432">R92+Q91</f>
        <v>-76911977.976168066</v>
      </c>
      <c r="S91">
        <f t="shared" ref="S91" si="433">R91/100000</f>
        <v>-769.11977976168066</v>
      </c>
      <c r="T91">
        <f t="shared" ref="T91" si="434">S91/1000</f>
        <v>-0.76911977976168067</v>
      </c>
    </row>
    <row r="92" spans="1:20" x14ac:dyDescent="0.25">
      <c r="A92" s="5">
        <v>44501</v>
      </c>
      <c r="B92">
        <v>1.829</v>
      </c>
      <c r="C92">
        <v>1.8879999999999999</v>
      </c>
      <c r="D92">
        <v>1.7789999999999999</v>
      </c>
      <c r="E92">
        <v>1.81</v>
      </c>
      <c r="F92">
        <v>1851379.4</v>
      </c>
      <c r="G92">
        <v>1.81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-0.43119266055045607</v>
      </c>
      <c r="Q92">
        <f t="shared" ref="Q92" si="436">F92*P92</f>
        <v>-798301.20917430695</v>
      </c>
      <c r="R92">
        <f t="shared" ref="R92" si="437">R93+Q92</f>
        <v>-77300575.976670578</v>
      </c>
      <c r="S92">
        <f t="shared" ref="S92" si="438">R92/100000</f>
        <v>-773.00575976670575</v>
      </c>
      <c r="T92">
        <f t="shared" ref="T92" si="439">S92/1000</f>
        <v>-0.77300575976670571</v>
      </c>
    </row>
    <row r="93" spans="1:20" x14ac:dyDescent="0.25">
      <c r="A93" s="5">
        <v>44500</v>
      </c>
      <c r="B93">
        <v>1.796</v>
      </c>
      <c r="C93">
        <v>2.0699999999999998</v>
      </c>
      <c r="D93">
        <v>1.7270000000000001</v>
      </c>
      <c r="E93">
        <v>1.827</v>
      </c>
      <c r="F93">
        <v>4243034.0999999996</v>
      </c>
      <c r="G93">
        <v>1.827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-0.416909620991254</v>
      </c>
      <c r="Q93">
        <f t="shared" ref="Q93" si="441">F93*P93</f>
        <v>-1768961.7384839663</v>
      </c>
      <c r="R93">
        <f t="shared" ref="R93" si="442">R94+Q93</f>
        <v>-76502274.767496273</v>
      </c>
      <c r="S93">
        <f t="shared" ref="S93" si="443">R93/100000</f>
        <v>-765.02274767496272</v>
      </c>
      <c r="T93">
        <f t="shared" ref="T93" si="444">S93/1000</f>
        <v>-0.7650227476749627</v>
      </c>
    </row>
    <row r="94" spans="1:20" x14ac:dyDescent="0.25">
      <c r="A94" s="5">
        <v>44499</v>
      </c>
      <c r="B94">
        <v>1.7669999999999999</v>
      </c>
      <c r="C94">
        <v>1.8360000000000001</v>
      </c>
      <c r="D94">
        <v>1.7010000000000001</v>
      </c>
      <c r="E94">
        <v>1.796</v>
      </c>
      <c r="F94">
        <v>1607725.6</v>
      </c>
      <c r="G94">
        <v>1.796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0.40740740740740694</v>
      </c>
      <c r="Q94">
        <f t="shared" ref="Q94" si="446">F94*P94</f>
        <v>654999.31851851777</v>
      </c>
      <c r="R94">
        <f t="shared" ref="R94" si="447">R95+Q94</f>
        <v>-74733313.029012308</v>
      </c>
      <c r="S94">
        <f t="shared" ref="S94" si="448">R94/100000</f>
        <v>-747.33313029012311</v>
      </c>
      <c r="T94">
        <f t="shared" ref="T94" si="449">S94/1000</f>
        <v>-0.74733313029012316</v>
      </c>
    </row>
    <row r="95" spans="1:20" x14ac:dyDescent="0.25">
      <c r="A95" s="5">
        <v>44498</v>
      </c>
      <c r="B95">
        <v>1.67</v>
      </c>
      <c r="C95">
        <v>1.82</v>
      </c>
      <c r="D95">
        <v>1.651</v>
      </c>
      <c r="E95">
        <v>1.7649999999999999</v>
      </c>
      <c r="F95">
        <v>1997375.3</v>
      </c>
      <c r="G95">
        <v>1.7649999999999999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0.34911242603550124</v>
      </c>
      <c r="Q95">
        <f t="shared" ref="Q95" si="451">F95*P95</f>
        <v>697308.53668638715</v>
      </c>
      <c r="R95">
        <f t="shared" ref="R95" si="452">R96+Q95</f>
        <v>-75388312.347530827</v>
      </c>
      <c r="S95">
        <f t="shared" ref="S95" si="453">R95/100000</f>
        <v>-753.88312347530825</v>
      </c>
      <c r="T95">
        <f t="shared" ref="T95" si="454">S95/1000</f>
        <v>-0.75388312347530828</v>
      </c>
    </row>
    <row r="96" spans="1:20" x14ac:dyDescent="0.25">
      <c r="A96" s="5">
        <v>44497</v>
      </c>
      <c r="B96">
        <v>1.599</v>
      </c>
      <c r="C96">
        <v>1.744</v>
      </c>
      <c r="D96">
        <v>1.5760000000000001</v>
      </c>
      <c r="E96">
        <v>1.669</v>
      </c>
      <c r="F96">
        <v>1349465.1</v>
      </c>
      <c r="G96">
        <v>1.669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0.10714285714285729</v>
      </c>
      <c r="Q96">
        <f t="shared" ref="Q96" si="456">F96*P96</f>
        <v>144585.54642857163</v>
      </c>
      <c r="R96">
        <f t="shared" ref="R96" si="457">R97+Q96</f>
        <v>-76085620.884217218</v>
      </c>
      <c r="S96">
        <f t="shared" ref="S96" si="458">R96/100000</f>
        <v>-760.85620884217212</v>
      </c>
      <c r="T96">
        <f t="shared" ref="T96" si="459">S96/1000</f>
        <v>-0.76085620884217209</v>
      </c>
    </row>
    <row r="97" spans="1:20" x14ac:dyDescent="0.25">
      <c r="A97" s="5">
        <v>44496</v>
      </c>
      <c r="B97">
        <v>1.8049999999999999</v>
      </c>
      <c r="C97">
        <v>1.835</v>
      </c>
      <c r="D97">
        <v>1.5940000000000001</v>
      </c>
      <c r="E97">
        <v>1.599</v>
      </c>
      <c r="F97">
        <v>1756617.2</v>
      </c>
      <c r="G97">
        <v>1.599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-0.95850622406639086</v>
      </c>
      <c r="Q97">
        <f t="shared" ref="Q97" si="461">F97*P97</f>
        <v>-1683728.5195020761</v>
      </c>
      <c r="R97">
        <f t="shared" ref="R97" si="462">R98+Q97</f>
        <v>-76230206.430645794</v>
      </c>
      <c r="S97">
        <f t="shared" ref="S97" si="463">R97/100000</f>
        <v>-762.30206430645796</v>
      </c>
      <c r="T97">
        <f t="shared" ref="T97" si="464">S97/1000</f>
        <v>-0.76230206430645797</v>
      </c>
    </row>
    <row r="98" spans="1:20" x14ac:dyDescent="0.25">
      <c r="A98" s="5">
        <v>44495</v>
      </c>
      <c r="B98">
        <v>1.819</v>
      </c>
      <c r="C98">
        <v>1.87</v>
      </c>
      <c r="D98">
        <v>1.78</v>
      </c>
      <c r="E98">
        <v>1.8080000000000001</v>
      </c>
      <c r="F98">
        <v>1385173.9</v>
      </c>
      <c r="G98">
        <v>1.8080000000000001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-0.37777777777777777</v>
      </c>
      <c r="Q98">
        <f t="shared" ref="Q98" si="466">F98*P98</f>
        <v>-523287.91777777771</v>
      </c>
      <c r="R98">
        <f t="shared" ref="R98" si="467">R99+Q98</f>
        <v>-74546477.91114372</v>
      </c>
      <c r="S98">
        <f t="shared" ref="S98" si="468">R98/100000</f>
        <v>-745.46477911143722</v>
      </c>
      <c r="T98">
        <f t="shared" ref="T98" si="469">S98/1000</f>
        <v>-0.74546477911143727</v>
      </c>
    </row>
    <row r="99" spans="1:20" x14ac:dyDescent="0.25">
      <c r="A99" s="5">
        <v>44494</v>
      </c>
      <c r="B99">
        <v>1.774</v>
      </c>
      <c r="C99">
        <v>1.8480000000000001</v>
      </c>
      <c r="D99">
        <v>1.7629999999999999</v>
      </c>
      <c r="E99">
        <v>1.8180000000000001</v>
      </c>
      <c r="F99">
        <v>997993.4</v>
      </c>
      <c r="G99">
        <v>1.8180000000000001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0.29411764705882443</v>
      </c>
      <c r="Q99">
        <f t="shared" ref="Q99" si="471">F99*P99</f>
        <v>293527.47058823617</v>
      </c>
      <c r="R99">
        <f t="shared" ref="R99" si="472">R100+Q99</f>
        <v>-74023189.993365943</v>
      </c>
      <c r="S99">
        <f t="shared" ref="S99" si="473">R99/100000</f>
        <v>-740.23189993365941</v>
      </c>
      <c r="T99">
        <f t="shared" ref="T99" si="474">S99/1000</f>
        <v>-0.74023189993365945</v>
      </c>
    </row>
    <row r="100" spans="1:20" x14ac:dyDescent="0.25">
      <c r="A100" s="5">
        <v>44493</v>
      </c>
      <c r="B100">
        <v>1.8560000000000001</v>
      </c>
      <c r="C100">
        <v>1.8640000000000001</v>
      </c>
      <c r="D100">
        <v>1.7609999999999999</v>
      </c>
      <c r="E100">
        <v>1.774</v>
      </c>
      <c r="F100">
        <v>1036292.1</v>
      </c>
      <c r="G100">
        <v>1.774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-0.7475728155339787</v>
      </c>
      <c r="Q100">
        <f t="shared" ref="Q100" si="476">F100*P100</f>
        <v>-774703.80291261943</v>
      </c>
      <c r="R100">
        <f t="shared" ref="R100" si="477">R101+Q100</f>
        <v>-74316717.46395418</v>
      </c>
      <c r="S100">
        <f t="shared" ref="S100" si="478">R100/100000</f>
        <v>-743.16717463954183</v>
      </c>
      <c r="T100">
        <f t="shared" ref="T100" si="479">S100/1000</f>
        <v>-0.74316717463954185</v>
      </c>
    </row>
    <row r="101" spans="1:20" x14ac:dyDescent="0.25">
      <c r="A101" s="5">
        <v>44492</v>
      </c>
      <c r="B101">
        <v>1.857</v>
      </c>
      <c r="C101">
        <v>1.9350000000000001</v>
      </c>
      <c r="D101">
        <v>1.8180000000000001</v>
      </c>
      <c r="E101">
        <v>1.8520000000000001</v>
      </c>
      <c r="F101">
        <v>1206689.6000000001</v>
      </c>
      <c r="G101">
        <v>1.8520000000000001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-0.41880341880341826</v>
      </c>
      <c r="Q101">
        <f t="shared" ref="Q101" si="481">F101*P101</f>
        <v>-505365.72991452931</v>
      </c>
      <c r="R101">
        <f t="shared" ref="R101" si="482">R102+Q101</f>
        <v>-73542013.661041558</v>
      </c>
      <c r="S101">
        <f t="shared" ref="S101" si="483">R101/100000</f>
        <v>-735.42013661041563</v>
      </c>
      <c r="T101">
        <f t="shared" ref="T101" si="484">S101/1000</f>
        <v>-0.73542013661041561</v>
      </c>
    </row>
    <row r="102" spans="1:20" x14ac:dyDescent="0.25">
      <c r="A102" s="5">
        <v>44491</v>
      </c>
      <c r="B102">
        <v>1.802</v>
      </c>
      <c r="C102">
        <v>1.9410000000000001</v>
      </c>
      <c r="D102">
        <v>1.8</v>
      </c>
      <c r="E102">
        <v>1.857</v>
      </c>
      <c r="F102">
        <v>1843591.3</v>
      </c>
      <c r="G102">
        <v>1.857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-0.1914893617021286</v>
      </c>
      <c r="Q102">
        <f t="shared" ref="Q102" si="486">F102*P102</f>
        <v>-353028.12127659749</v>
      </c>
      <c r="R102">
        <f t="shared" ref="R102" si="487">R103+Q102</f>
        <v>-73036647.931127027</v>
      </c>
      <c r="S102">
        <f t="shared" ref="S102" si="488">R102/100000</f>
        <v>-730.36647931127027</v>
      </c>
      <c r="T102">
        <f t="shared" ref="T102" si="489">S102/1000</f>
        <v>-0.7303664793112703</v>
      </c>
    </row>
    <row r="103" spans="1:20" x14ac:dyDescent="0.25">
      <c r="A103" s="5">
        <v>44490</v>
      </c>
      <c r="B103">
        <v>1.8560000000000001</v>
      </c>
      <c r="C103">
        <v>1.8939999999999999</v>
      </c>
      <c r="D103">
        <v>1.7729999999999999</v>
      </c>
      <c r="E103">
        <v>1.802</v>
      </c>
      <c r="F103">
        <v>1727122.7</v>
      </c>
      <c r="G103">
        <v>1.802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-0.5206611570247911</v>
      </c>
      <c r="Q103">
        <f t="shared" ref="Q103" si="491">F103*P103</f>
        <v>-899245.70330578112</v>
      </c>
      <c r="R103">
        <f t="shared" ref="R103" si="492">R104+Q103</f>
        <v>-72683619.809850425</v>
      </c>
      <c r="S103">
        <f t="shared" ref="S103" si="493">R103/100000</f>
        <v>-726.83619809850427</v>
      </c>
      <c r="T103">
        <f t="shared" ref="T103" si="494">S103/1000</f>
        <v>-0.7268361980985043</v>
      </c>
    </row>
    <row r="104" spans="1:20" x14ac:dyDescent="0.25">
      <c r="A104" s="5">
        <v>44489</v>
      </c>
      <c r="B104">
        <v>1.744</v>
      </c>
      <c r="C104">
        <v>2.1309999999999998</v>
      </c>
      <c r="D104">
        <v>1.716</v>
      </c>
      <c r="E104">
        <v>1.857</v>
      </c>
      <c r="F104">
        <v>6844620.5</v>
      </c>
      <c r="G104">
        <v>1.857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-0.320481927710843</v>
      </c>
      <c r="Q104">
        <f t="shared" ref="Q104" si="496">F104*P104</f>
        <v>-2193577.172289154</v>
      </c>
      <c r="R104">
        <f t="shared" ref="R104" si="497">R105+Q104</f>
        <v>-71784374.106544644</v>
      </c>
      <c r="S104">
        <f t="shared" ref="S104" si="498">R104/100000</f>
        <v>-717.84374106544647</v>
      </c>
      <c r="T104">
        <f t="shared" ref="T104" si="499">S104/1000</f>
        <v>-0.71784374106544646</v>
      </c>
    </row>
    <row r="105" spans="1:20" x14ac:dyDescent="0.25">
      <c r="A105" s="5">
        <v>44488</v>
      </c>
      <c r="B105">
        <v>1.7310000000000001</v>
      </c>
      <c r="C105">
        <v>1.752</v>
      </c>
      <c r="D105">
        <v>1.667</v>
      </c>
      <c r="E105">
        <v>1.744</v>
      </c>
      <c r="F105">
        <v>1022030.8</v>
      </c>
      <c r="G105">
        <v>1.744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0.81176470588235272</v>
      </c>
      <c r="Q105">
        <f t="shared" ref="Q105" si="501">F105*P105</f>
        <v>829648.53176470567</v>
      </c>
      <c r="R105">
        <f t="shared" ref="R105" si="502">R106+Q105</f>
        <v>-69590796.934255496</v>
      </c>
      <c r="S105">
        <f t="shared" ref="S105" si="503">R105/100000</f>
        <v>-695.90796934255491</v>
      </c>
      <c r="T105">
        <f t="shared" ref="T105" si="504">S105/1000</f>
        <v>-0.69590796934255494</v>
      </c>
    </row>
    <row r="106" spans="1:20" x14ac:dyDescent="0.25">
      <c r="A106" s="5">
        <v>44487</v>
      </c>
      <c r="B106">
        <v>1.7689999999999999</v>
      </c>
      <c r="C106">
        <v>1.778</v>
      </c>
      <c r="D106">
        <v>1.6890000000000001</v>
      </c>
      <c r="E106">
        <v>1.732</v>
      </c>
      <c r="F106">
        <v>1032254.8</v>
      </c>
      <c r="G106">
        <v>1.732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-3.3707865168540616E-2</v>
      </c>
      <c r="Q106">
        <f t="shared" ref="Q106" si="506">F106*P106</f>
        <v>-34795.105617978857</v>
      </c>
      <c r="R106">
        <f t="shared" ref="R106" si="507">R107+Q106</f>
        <v>-70420445.466020197</v>
      </c>
      <c r="S106">
        <f t="shared" ref="S106" si="508">R106/100000</f>
        <v>-704.20445466020192</v>
      </c>
      <c r="T106">
        <f t="shared" ref="T106" si="509">S106/1000</f>
        <v>-0.70420445466020187</v>
      </c>
    </row>
    <row r="107" spans="1:20" x14ac:dyDescent="0.25">
      <c r="A107" s="5">
        <v>44486</v>
      </c>
      <c r="B107">
        <v>1.8320000000000001</v>
      </c>
      <c r="C107">
        <v>1.881</v>
      </c>
      <c r="D107">
        <v>1.7090000000000001</v>
      </c>
      <c r="E107">
        <v>1.7689999999999999</v>
      </c>
      <c r="F107">
        <v>1807725.4</v>
      </c>
      <c r="G107">
        <v>1.7689999999999999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-0.30232558139535054</v>
      </c>
      <c r="Q107">
        <f t="shared" ref="Q107" si="511">F107*P107</f>
        <v>-546521.63255814253</v>
      </c>
      <c r="R107">
        <f t="shared" ref="R107" si="512">R108+Q107</f>
        <v>-70385650.360402212</v>
      </c>
      <c r="S107">
        <f t="shared" ref="S107" si="513">R107/100000</f>
        <v>-703.85650360402212</v>
      </c>
      <c r="T107">
        <f t="shared" ref="T107" si="514">S107/1000</f>
        <v>-0.70385650360402208</v>
      </c>
    </row>
    <row r="108" spans="1:20" x14ac:dyDescent="0.25">
      <c r="A108" s="5">
        <v>44485</v>
      </c>
      <c r="B108">
        <v>1.7729999999999999</v>
      </c>
      <c r="C108">
        <v>1.9179999999999999</v>
      </c>
      <c r="D108">
        <v>1.766</v>
      </c>
      <c r="E108">
        <v>1.8320000000000001</v>
      </c>
      <c r="F108">
        <v>1934463.2</v>
      </c>
      <c r="G108">
        <v>1.8320000000000001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-0.1315789473684198</v>
      </c>
      <c r="Q108">
        <f t="shared" ref="Q108" si="516">F108*P108</f>
        <v>-254534.63157894494</v>
      </c>
      <c r="R108">
        <f t="shared" ref="R108" si="517">R109+Q108</f>
        <v>-69839128.727844074</v>
      </c>
      <c r="S108">
        <f t="shared" ref="S108" si="518">R108/100000</f>
        <v>-698.3912872784407</v>
      </c>
      <c r="T108">
        <f t="shared" ref="T108" si="519">S108/1000</f>
        <v>-0.69839128727844069</v>
      </c>
    </row>
    <row r="109" spans="1:20" x14ac:dyDescent="0.25">
      <c r="A109" s="5">
        <v>44484</v>
      </c>
      <c r="B109">
        <v>1.7809999999999999</v>
      </c>
      <c r="C109">
        <v>1.849</v>
      </c>
      <c r="D109">
        <v>1.714</v>
      </c>
      <c r="E109">
        <v>1.768</v>
      </c>
      <c r="F109">
        <v>1770428</v>
      </c>
      <c r="G109">
        <v>1.768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-0.19999999999999934</v>
      </c>
      <c r="Q109">
        <f t="shared" ref="Q109" si="521">F109*P109</f>
        <v>-354085.59999999881</v>
      </c>
      <c r="R109">
        <f t="shared" ref="R109" si="522">R110+Q109</f>
        <v>-69584594.096265122</v>
      </c>
      <c r="S109">
        <f t="shared" ref="S109" si="523">R109/100000</f>
        <v>-695.84594096265118</v>
      </c>
      <c r="T109">
        <f t="shared" ref="T109" si="524">S109/1000</f>
        <v>-0.69584594096265118</v>
      </c>
    </row>
    <row r="110" spans="1:20" x14ac:dyDescent="0.25">
      <c r="A110" s="5">
        <v>44483</v>
      </c>
      <c r="B110">
        <v>1.732</v>
      </c>
      <c r="C110">
        <v>1.8120000000000001</v>
      </c>
      <c r="D110">
        <v>1.7170000000000001</v>
      </c>
      <c r="E110">
        <v>1.78</v>
      </c>
      <c r="F110">
        <v>1780571.5</v>
      </c>
      <c r="G110">
        <v>1.78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0.32631578947368345</v>
      </c>
      <c r="Q110">
        <f t="shared" ref="Q110" si="526">F110*P110</f>
        <v>581028.59473684069</v>
      </c>
      <c r="R110">
        <f t="shared" ref="R110" si="527">R111+Q110</f>
        <v>-69230508.496265128</v>
      </c>
      <c r="S110">
        <f t="shared" ref="S110" si="528">R110/100000</f>
        <v>-692.30508496265134</v>
      </c>
      <c r="T110">
        <f t="shared" ref="T110" si="529">S110/1000</f>
        <v>-0.69230508496265131</v>
      </c>
    </row>
    <row r="111" spans="1:20" x14ac:dyDescent="0.25">
      <c r="A111" s="5">
        <v>44482</v>
      </c>
      <c r="B111">
        <v>1.706</v>
      </c>
      <c r="C111">
        <v>1.79</v>
      </c>
      <c r="D111">
        <v>1.6619999999999999</v>
      </c>
      <c r="E111">
        <v>1.732</v>
      </c>
      <c r="F111">
        <v>2547646.7000000002</v>
      </c>
      <c r="G111">
        <v>1.732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9.375E-2</v>
      </c>
      <c r="Q111">
        <f t="shared" ref="Q111" si="531">F111*P111</f>
        <v>238841.87812500002</v>
      </c>
      <c r="R111">
        <f t="shared" ref="R111" si="532">R112+Q111</f>
        <v>-69811537.091001973</v>
      </c>
      <c r="S111">
        <f t="shared" ref="S111" si="533">R111/100000</f>
        <v>-698.11537091001969</v>
      </c>
      <c r="T111">
        <f t="shared" ref="T111" si="534">S111/1000</f>
        <v>-0.69811537091001974</v>
      </c>
    </row>
    <row r="112" spans="1:20" x14ac:dyDescent="0.25">
      <c r="A112" s="5">
        <v>44481</v>
      </c>
      <c r="B112">
        <v>1.7809999999999999</v>
      </c>
      <c r="C112">
        <v>1.784</v>
      </c>
      <c r="D112">
        <v>1.639</v>
      </c>
      <c r="E112">
        <v>1.71</v>
      </c>
      <c r="F112">
        <v>2833446.6</v>
      </c>
      <c r="G112">
        <v>1.71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-2.0689655172414573E-2</v>
      </c>
      <c r="Q112">
        <f t="shared" ref="Q112" si="536">F112*P112</f>
        <v>-58623.033103450485</v>
      </c>
      <c r="R112">
        <f t="shared" ref="R112" si="537">R113+Q112</f>
        <v>-70050378.96912697</v>
      </c>
      <c r="S112">
        <f t="shared" ref="S112" si="538">R112/100000</f>
        <v>-700.50378969126973</v>
      </c>
      <c r="T112">
        <f t="shared" ref="T112" si="539">S112/1000</f>
        <v>-0.7005037896912697</v>
      </c>
    </row>
    <row r="113" spans="1:20" x14ac:dyDescent="0.25">
      <c r="A113" s="5">
        <v>44480</v>
      </c>
      <c r="B113">
        <v>1.98</v>
      </c>
      <c r="C113">
        <v>2.0739999999999998</v>
      </c>
      <c r="D113">
        <v>1.736</v>
      </c>
      <c r="E113">
        <v>1.784</v>
      </c>
      <c r="F113">
        <v>3359372.9</v>
      </c>
      <c r="G113">
        <v>1.784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-0.71597633136094641</v>
      </c>
      <c r="Q113">
        <f t="shared" ref="Q113" si="541">F113*P113</f>
        <v>-2405231.4846153832</v>
      </c>
      <c r="R113">
        <f t="shared" ref="R113" si="542">R114+Q113</f>
        <v>-69991755.936023518</v>
      </c>
      <c r="S113">
        <f t="shared" ref="S113" si="543">R113/100000</f>
        <v>-699.91755936023515</v>
      </c>
      <c r="T113">
        <f t="shared" ref="T113" si="544">S113/1000</f>
        <v>-0.69991755936023514</v>
      </c>
    </row>
    <row r="114" spans="1:20" x14ac:dyDescent="0.25">
      <c r="A114" s="5">
        <v>44479</v>
      </c>
      <c r="B114">
        <v>1.84</v>
      </c>
      <c r="C114">
        <v>2.16</v>
      </c>
      <c r="D114">
        <v>1.8</v>
      </c>
      <c r="E114">
        <v>1.9790000000000001</v>
      </c>
      <c r="F114">
        <v>8951168.1999999993</v>
      </c>
      <c r="G114">
        <v>1.9790000000000001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-5.5555555555555592E-3</v>
      </c>
      <c r="Q114">
        <f t="shared" ref="Q114" si="546">F114*P114</f>
        <v>-49728.712222222253</v>
      </c>
      <c r="R114">
        <f t="shared" ref="R114" si="547">R115+Q114</f>
        <v>-67586524.451408133</v>
      </c>
      <c r="S114">
        <f t="shared" ref="S114" si="548">R114/100000</f>
        <v>-675.86524451408138</v>
      </c>
      <c r="T114">
        <f t="shared" ref="T114" si="549">S114/1000</f>
        <v>-0.67586524451408136</v>
      </c>
    </row>
    <row r="115" spans="1:20" x14ac:dyDescent="0.25">
      <c r="A115" s="5">
        <v>44478</v>
      </c>
      <c r="B115">
        <v>1.78</v>
      </c>
      <c r="C115">
        <v>1.859</v>
      </c>
      <c r="D115">
        <v>1.7669999999999999</v>
      </c>
      <c r="E115">
        <v>1.839</v>
      </c>
      <c r="F115">
        <v>1020243.4</v>
      </c>
      <c r="G115">
        <v>1.839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0.56521739130434778</v>
      </c>
      <c r="Q115">
        <f t="shared" ref="Q115" si="551">F115*P115</f>
        <v>576659.31304347818</v>
      </c>
      <c r="R115">
        <f t="shared" ref="R115" si="552">R116+Q115</f>
        <v>-67536795.739185914</v>
      </c>
      <c r="S115">
        <f t="shared" ref="S115" si="553">R115/100000</f>
        <v>-675.36795739185914</v>
      </c>
      <c r="T115">
        <f t="shared" ref="T115" si="554">S115/1000</f>
        <v>-0.67536795739185917</v>
      </c>
    </row>
    <row r="116" spans="1:20" x14ac:dyDescent="0.25">
      <c r="A116" s="5">
        <v>44477</v>
      </c>
      <c r="B116">
        <v>1.7809999999999999</v>
      </c>
      <c r="C116">
        <v>1.8839999999999999</v>
      </c>
      <c r="D116">
        <v>1.77</v>
      </c>
      <c r="E116">
        <v>1.78</v>
      </c>
      <c r="F116">
        <v>1422420</v>
      </c>
      <c r="G116">
        <v>1.78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-0.82456140350877161</v>
      </c>
      <c r="Q116">
        <f t="shared" ref="Q116" si="556">F116*P116</f>
        <v>-1172872.631578947</v>
      </c>
      <c r="R116">
        <f t="shared" ref="R116" si="557">R117+Q116</f>
        <v>-68113455.05222939</v>
      </c>
      <c r="S116">
        <f t="shared" ref="S116" si="558">R116/100000</f>
        <v>-681.13455052229392</v>
      </c>
      <c r="T116">
        <f t="shared" ref="T116" si="559">S116/1000</f>
        <v>-0.68113455052229388</v>
      </c>
    </row>
    <row r="117" spans="1:20" x14ac:dyDescent="0.25">
      <c r="A117" s="5">
        <v>44476</v>
      </c>
      <c r="B117">
        <v>1.7549999999999999</v>
      </c>
      <c r="C117">
        <v>1.889</v>
      </c>
      <c r="D117">
        <v>1.7030000000000001</v>
      </c>
      <c r="E117">
        <v>1.7809999999999999</v>
      </c>
      <c r="F117">
        <v>2001435.5</v>
      </c>
      <c r="G117">
        <v>1.7809999999999999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-0.16129032258064654</v>
      </c>
      <c r="Q117">
        <f t="shared" ref="Q117" si="561">F117*P117</f>
        <v>-322812.17741935758</v>
      </c>
      <c r="R117">
        <f t="shared" ref="R117" si="562">R118+Q117</f>
        <v>-66940582.420650445</v>
      </c>
      <c r="S117">
        <f t="shared" ref="S117" si="563">R117/100000</f>
        <v>-669.40582420650446</v>
      </c>
      <c r="T117">
        <f t="shared" ref="T117" si="564">S117/1000</f>
        <v>-0.66940582420650441</v>
      </c>
    </row>
    <row r="118" spans="1:20" x14ac:dyDescent="0.25">
      <c r="A118" s="5">
        <v>44475</v>
      </c>
      <c r="B118">
        <v>1.75</v>
      </c>
      <c r="C118">
        <v>1.88</v>
      </c>
      <c r="D118">
        <v>1.6579999999999999</v>
      </c>
      <c r="E118">
        <v>1.758</v>
      </c>
      <c r="F118">
        <v>4562341.5999999996</v>
      </c>
      <c r="G118">
        <v>1.758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-9.9099099099098198E-2</v>
      </c>
      <c r="Q118">
        <f t="shared" ref="Q118" si="566">F118*P118</f>
        <v>-452123.94234233821</v>
      </c>
      <c r="R118">
        <f t="shared" ref="R118" si="567">R119+Q118</f>
        <v>-66617770.243231088</v>
      </c>
      <c r="S118">
        <f t="shared" ref="S118" si="568">R118/100000</f>
        <v>-666.17770243231087</v>
      </c>
      <c r="T118">
        <f t="shared" ref="T118" si="569">S118/1000</f>
        <v>-0.66617770243231089</v>
      </c>
    </row>
    <row r="119" spans="1:20" x14ac:dyDescent="0.25">
      <c r="A119" s="5">
        <v>44474</v>
      </c>
      <c r="B119">
        <v>1.675</v>
      </c>
      <c r="C119">
        <v>1.8</v>
      </c>
      <c r="D119">
        <v>1.6579999999999999</v>
      </c>
      <c r="E119">
        <v>1.7450000000000001</v>
      </c>
      <c r="F119">
        <v>2279339.6</v>
      </c>
      <c r="G119">
        <v>1.7450000000000001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0.2253521126760579</v>
      </c>
      <c r="Q119">
        <f t="shared" ref="Q119" si="571">F119*P119</f>
        <v>513653.99436620076</v>
      </c>
      <c r="R119">
        <f t="shared" ref="R119" si="572">R120+Q119</f>
        <v>-66165646.300888747</v>
      </c>
      <c r="S119">
        <f t="shared" ref="S119" si="573">R119/100000</f>
        <v>-661.6564630088875</v>
      </c>
      <c r="T119">
        <f t="shared" ref="T119" si="574">S119/1000</f>
        <v>-0.66165646300888747</v>
      </c>
    </row>
    <row r="120" spans="1:20" x14ac:dyDescent="0.25">
      <c r="A120" s="5">
        <v>44473</v>
      </c>
      <c r="B120">
        <v>1.6870000000000001</v>
      </c>
      <c r="C120">
        <v>1.702</v>
      </c>
      <c r="D120">
        <v>1.6120000000000001</v>
      </c>
      <c r="E120">
        <v>1.6579999999999999</v>
      </c>
      <c r="F120">
        <v>2205024.7999999998</v>
      </c>
      <c r="G120">
        <v>1.6579999999999999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2.2222222222219808E-2</v>
      </c>
      <c r="Q120">
        <f t="shared" ref="Q120" si="576">F120*P120</f>
        <v>49000.551111105786</v>
      </c>
      <c r="R120">
        <f t="shared" ref="R120" si="577">R121+Q120</f>
        <v>-66679300.295254946</v>
      </c>
      <c r="S120">
        <f t="shared" ref="S120" si="578">R120/100000</f>
        <v>-666.7930029525495</v>
      </c>
      <c r="T120">
        <f t="shared" ref="T120" si="579">S120/1000</f>
        <v>-0.66679300295254951</v>
      </c>
    </row>
    <row r="121" spans="1:20" x14ac:dyDescent="0.25">
      <c r="A121" s="5">
        <v>44472</v>
      </c>
      <c r="B121">
        <v>1.702</v>
      </c>
      <c r="C121">
        <v>1.7470000000000001</v>
      </c>
      <c r="D121">
        <v>1.66</v>
      </c>
      <c r="E121">
        <v>1.6859999999999999</v>
      </c>
      <c r="F121">
        <v>2255732.1</v>
      </c>
      <c r="G121">
        <v>1.6859999999999999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-0.40229885057471343</v>
      </c>
      <c r="Q121">
        <f t="shared" ref="Q121" si="581">F121*P121</f>
        <v>-907478.43103448453</v>
      </c>
      <c r="R121">
        <f t="shared" ref="R121" si="582">R122+Q121</f>
        <v>-66728300.846366048</v>
      </c>
      <c r="S121">
        <f t="shared" ref="S121" si="583">R121/100000</f>
        <v>-667.28300846366051</v>
      </c>
      <c r="T121">
        <f t="shared" ref="T121" si="584">S121/1000</f>
        <v>-0.66728300846366051</v>
      </c>
    </row>
    <row r="122" spans="1:20" x14ac:dyDescent="0.25">
      <c r="A122" s="5">
        <v>44471</v>
      </c>
      <c r="B122">
        <v>1.669</v>
      </c>
      <c r="C122">
        <v>1.87</v>
      </c>
      <c r="D122">
        <v>1.613</v>
      </c>
      <c r="E122">
        <v>1.7010000000000001</v>
      </c>
      <c r="F122">
        <v>3181431.9</v>
      </c>
      <c r="G122">
        <v>1.7010000000000001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-0.3151750972762643</v>
      </c>
      <c r="Q122">
        <f t="shared" ref="Q122" si="586">F122*P122</f>
        <v>-1002708.1085603103</v>
      </c>
      <c r="R122">
        <f t="shared" ref="R122" si="587">R123+Q122</f>
        <v>-65820822.415331565</v>
      </c>
      <c r="S122">
        <f t="shared" ref="S122" si="588">R122/100000</f>
        <v>-658.20822415331565</v>
      </c>
      <c r="T122">
        <f t="shared" ref="T122" si="589">S122/1000</f>
        <v>-0.6582082241533157</v>
      </c>
    </row>
    <row r="123" spans="1:20" x14ac:dyDescent="0.25">
      <c r="A123" s="5">
        <v>44470</v>
      </c>
      <c r="B123">
        <v>1.518</v>
      </c>
      <c r="C123">
        <v>1.69</v>
      </c>
      <c r="D123">
        <v>1.508</v>
      </c>
      <c r="E123">
        <v>1.667</v>
      </c>
      <c r="F123">
        <v>2895519.8</v>
      </c>
      <c r="G123">
        <v>1.667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0.74725274725274815</v>
      </c>
      <c r="Q123">
        <f t="shared" ref="Q123" si="591">F123*P123</f>
        <v>2163685.1252747276</v>
      </c>
      <c r="R123">
        <f t="shared" ref="R123" si="592">R124+Q123</f>
        <v>-64818114.306771256</v>
      </c>
      <c r="S123">
        <f t="shared" ref="S123" si="593">R123/100000</f>
        <v>-648.18114306771258</v>
      </c>
      <c r="T123">
        <f t="shared" ref="T123" si="594">S123/1000</f>
        <v>-0.64818114306771257</v>
      </c>
    </row>
    <row r="124" spans="1:20" x14ac:dyDescent="0.25">
      <c r="A124" s="5">
        <v>44469</v>
      </c>
      <c r="B124">
        <v>1.45</v>
      </c>
      <c r="C124">
        <v>1.5409999999999999</v>
      </c>
      <c r="D124">
        <v>1.446</v>
      </c>
      <c r="E124">
        <v>1.5169999999999999</v>
      </c>
      <c r="F124">
        <v>999550.8</v>
      </c>
      <c r="G124">
        <v>1.5169999999999999</v>
      </c>
      <c r="L124" t="s">
        <v>7</v>
      </c>
      <c r="M124" t="s">
        <v>7</v>
      </c>
      <c r="N124" t="s">
        <v>8</v>
      </c>
      <c r="P124">
        <f t="shared" ref="P124" si="595">IF(C124=D124,0,((E124-D124)-(C124-E124))/(C124-D124))</f>
        <v>0.49473684210526259</v>
      </c>
      <c r="Q124">
        <f t="shared" ref="Q124" si="596">F124*P124</f>
        <v>494514.60631578893</v>
      </c>
      <c r="R124">
        <f t="shared" ref="R124" si="597">R125+Q124</f>
        <v>-66981799.432045981</v>
      </c>
      <c r="S124">
        <f t="shared" ref="S124" si="598">R124/100000</f>
        <v>-669.81799432045977</v>
      </c>
      <c r="T124">
        <f t="shared" ref="T124" si="599">S124/1000</f>
        <v>-0.66981799432045974</v>
      </c>
    </row>
    <row r="125" spans="1:20" x14ac:dyDescent="0.25">
      <c r="A125" s="5">
        <v>44468</v>
      </c>
      <c r="B125">
        <v>1.4119999999999999</v>
      </c>
      <c r="C125">
        <v>1.58</v>
      </c>
      <c r="D125">
        <v>1.405</v>
      </c>
      <c r="E125">
        <v>1.4510000000000001</v>
      </c>
      <c r="F125">
        <v>2358736.7999999998</v>
      </c>
      <c r="G125">
        <v>1.4510000000000001</v>
      </c>
      <c r="L125" t="s">
        <v>8</v>
      </c>
      <c r="M125" t="s">
        <v>7</v>
      </c>
      <c r="N125" t="s">
        <v>8</v>
      </c>
      <c r="P125">
        <f t="shared" ref="P125" si="600">IF(C125=D125,0,((E125-D125)-(C125-E125))/(C125-D125))</f>
        <v>-0.47428571428571398</v>
      </c>
      <c r="Q125">
        <f t="shared" ref="Q125" si="601">F125*P125</f>
        <v>-1118715.1679999991</v>
      </c>
      <c r="R125">
        <f t="shared" ref="R125" si="602">R126+Q125</f>
        <v>-67476314.038361773</v>
      </c>
      <c r="S125">
        <f t="shared" ref="S125" si="603">R125/100000</f>
        <v>-674.76314038361772</v>
      </c>
      <c r="T125">
        <f t="shared" ref="T125" si="604">S125/1000</f>
        <v>-0.67476314038361773</v>
      </c>
    </row>
    <row r="126" spans="1:20" x14ac:dyDescent="0.25">
      <c r="A126" s="5">
        <v>44467</v>
      </c>
      <c r="B126">
        <v>1.506</v>
      </c>
      <c r="C126">
        <v>1.57</v>
      </c>
      <c r="D126">
        <v>1.4019999999999999</v>
      </c>
      <c r="E126">
        <v>1.4119999999999999</v>
      </c>
      <c r="F126">
        <v>2193398.6</v>
      </c>
      <c r="G126">
        <v>1.4119999999999999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-0.88095238095238093</v>
      </c>
      <c r="Q126">
        <f t="shared" ref="Q126" si="606">F126*P126</f>
        <v>-1932279.719047619</v>
      </c>
      <c r="R126">
        <f t="shared" ref="R126" si="607">R127+Q126</f>
        <v>-66357598.870361775</v>
      </c>
      <c r="S126">
        <f t="shared" ref="S126" si="608">R126/100000</f>
        <v>-663.57598870361778</v>
      </c>
      <c r="T126">
        <f t="shared" ref="T126" si="609">S126/1000</f>
        <v>-0.66357598870361778</v>
      </c>
    </row>
    <row r="127" spans="1:20" x14ac:dyDescent="0.25">
      <c r="A127" s="5">
        <v>44466</v>
      </c>
      <c r="B127">
        <v>1.5860000000000001</v>
      </c>
      <c r="C127">
        <v>1.67</v>
      </c>
      <c r="D127">
        <v>1.5</v>
      </c>
      <c r="E127">
        <v>1.5069999999999999</v>
      </c>
      <c r="F127">
        <v>3124705.1</v>
      </c>
      <c r="G127">
        <v>1.5069999999999999</v>
      </c>
      <c r="L127" t="s">
        <v>7</v>
      </c>
      <c r="M127" t="s">
        <v>7</v>
      </c>
      <c r="N127" t="s">
        <v>8</v>
      </c>
      <c r="P127">
        <f t="shared" ref="P127" si="610">IF(C127=D127,0,((E127-D127)-(C127-E127))/(C127-D127))</f>
        <v>-0.91764705882353059</v>
      </c>
      <c r="Q127">
        <f t="shared" ref="Q127" si="611">F127*P127</f>
        <v>-2867376.4447058863</v>
      </c>
      <c r="R127">
        <f t="shared" ref="R127" si="612">R128+Q127</f>
        <v>-64425319.151314154</v>
      </c>
      <c r="S127">
        <f t="shared" ref="S127" si="613">R127/100000</f>
        <v>-644.25319151314159</v>
      </c>
      <c r="T127">
        <f t="shared" ref="T127" si="614">S127/1000</f>
        <v>-0.64425319151314153</v>
      </c>
    </row>
    <row r="128" spans="1:20" x14ac:dyDescent="0.25">
      <c r="A128" s="5">
        <v>44465</v>
      </c>
      <c r="B128">
        <v>1.573</v>
      </c>
      <c r="C128">
        <v>1.698</v>
      </c>
      <c r="D128">
        <v>1.464</v>
      </c>
      <c r="E128">
        <v>1.5820000000000001</v>
      </c>
      <c r="F128">
        <v>5631827.5</v>
      </c>
      <c r="G128">
        <v>1.5820000000000001</v>
      </c>
      <c r="L128" t="s">
        <v>8</v>
      </c>
      <c r="M128" t="s">
        <v>7</v>
      </c>
      <c r="N128" t="s">
        <v>8</v>
      </c>
      <c r="P128">
        <f t="shared" ref="P128" si="615">IF(C128=D128,0,((E128-D128)-(C128-E128))/(C128-D128))</f>
        <v>8.5470085470095037E-3</v>
      </c>
      <c r="Q128">
        <f t="shared" ref="Q128" si="616">F128*P128</f>
        <v>48135.277777783165</v>
      </c>
      <c r="R128">
        <f t="shared" ref="R128" si="617">R129+Q128</f>
        <v>-61557942.706608266</v>
      </c>
      <c r="S128">
        <f t="shared" ref="S128" si="618">R128/100000</f>
        <v>-615.57942706608264</v>
      </c>
      <c r="T128">
        <f t="shared" ref="T128" si="619">S128/1000</f>
        <v>-0.6155794270660826</v>
      </c>
    </row>
    <row r="129" spans="1:20" x14ac:dyDescent="0.25">
      <c r="A129" s="5">
        <v>44464</v>
      </c>
      <c r="B129">
        <v>1.607</v>
      </c>
      <c r="C129">
        <v>1.66</v>
      </c>
      <c r="D129">
        <v>1.5129999999999999</v>
      </c>
      <c r="E129">
        <v>1.58</v>
      </c>
      <c r="F129">
        <v>2509965.6</v>
      </c>
      <c r="G129">
        <v>1.58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-8.8435374149657658E-2</v>
      </c>
      <c r="Q129">
        <f t="shared" ref="Q129" si="621">F129*P129</f>
        <v>-221969.74693877</v>
      </c>
      <c r="R129">
        <f t="shared" ref="R129" si="622">R130+Q129</f>
        <v>-61606077.984386049</v>
      </c>
      <c r="S129">
        <f t="shared" ref="S129" si="623">R129/100000</f>
        <v>-616.06077984386047</v>
      </c>
      <c r="T129">
        <f t="shared" ref="T129" si="624">S129/1000</f>
        <v>-0.61606077984386043</v>
      </c>
    </row>
    <row r="130" spans="1:20" x14ac:dyDescent="0.25">
      <c r="A130" s="5">
        <v>44463</v>
      </c>
      <c r="B130">
        <v>1.784</v>
      </c>
      <c r="C130">
        <v>1.8080000000000001</v>
      </c>
      <c r="D130">
        <v>1.4870000000000001</v>
      </c>
      <c r="E130">
        <v>1.607</v>
      </c>
      <c r="F130">
        <v>3024289.8</v>
      </c>
      <c r="G130">
        <v>1.607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-0.25233644859813142</v>
      </c>
      <c r="Q130">
        <f t="shared" ref="Q130" si="626">F130*P130</f>
        <v>-763138.54766355315</v>
      </c>
      <c r="R130">
        <f t="shared" ref="R130" si="627">R131+Q130</f>
        <v>-61384108.237447277</v>
      </c>
      <c r="S130">
        <f t="shared" ref="S130" si="628">R130/100000</f>
        <v>-613.84108237447276</v>
      </c>
      <c r="T130">
        <f t="shared" ref="T130" si="629">S130/1000</f>
        <v>-0.61384108237447277</v>
      </c>
    </row>
    <row r="131" spans="1:20" x14ac:dyDescent="0.25">
      <c r="A131" s="5">
        <v>44462</v>
      </c>
      <c r="B131">
        <v>1.6160000000000001</v>
      </c>
      <c r="C131">
        <v>1.82</v>
      </c>
      <c r="D131">
        <v>1.591</v>
      </c>
      <c r="E131">
        <v>1.7849999999999999</v>
      </c>
      <c r="F131">
        <v>2529840.2549999999</v>
      </c>
      <c r="G131">
        <v>1.7849999999999999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0.69432314410480234</v>
      </c>
      <c r="Q131">
        <f t="shared" ref="Q131" si="631">F131*P131</f>
        <v>1756526.6399344949</v>
      </c>
      <c r="R131">
        <f t="shared" ref="R131" si="632">R132+Q131</f>
        <v>-60620969.689783722</v>
      </c>
      <c r="S131">
        <f t="shared" ref="S131" si="633">R131/100000</f>
        <v>-606.20969689783726</v>
      </c>
      <c r="T131">
        <f t="shared" ref="T131" si="634">S131/1000</f>
        <v>-0.60620969689783721</v>
      </c>
    </row>
    <row r="132" spans="1:20" x14ac:dyDescent="0.25">
      <c r="A132" s="5">
        <v>44461</v>
      </c>
      <c r="B132">
        <v>1.4370000000000001</v>
      </c>
      <c r="C132">
        <v>1.67</v>
      </c>
      <c r="D132">
        <v>1.421</v>
      </c>
      <c r="E132">
        <v>1.617</v>
      </c>
      <c r="F132">
        <v>4739913.4000000004</v>
      </c>
      <c r="G132">
        <v>1.617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0.57429718875502045</v>
      </c>
      <c r="Q132">
        <f t="shared" ref="Q132" si="636">F132*P132</f>
        <v>2722118.940562251</v>
      </c>
      <c r="R132">
        <f t="shared" ref="R132" si="637">R133+Q132</f>
        <v>-62377496.329718217</v>
      </c>
      <c r="S132">
        <f t="shared" ref="S132" si="638">R132/100000</f>
        <v>-623.77496329718213</v>
      </c>
      <c r="T132">
        <f t="shared" ref="T132" si="639">S132/1000</f>
        <v>-0.62377496329718207</v>
      </c>
    </row>
    <row r="133" spans="1:20" x14ac:dyDescent="0.25">
      <c r="A133" s="5">
        <v>44460</v>
      </c>
      <c r="B133">
        <v>1.5389999999999999</v>
      </c>
      <c r="C133">
        <v>1.671</v>
      </c>
      <c r="D133">
        <v>1.31</v>
      </c>
      <c r="E133">
        <v>1.4339999999999999</v>
      </c>
      <c r="F133">
        <v>3071862.4079999998</v>
      </c>
      <c r="G133">
        <v>1.4339999999999999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-0.31301939058171807</v>
      </c>
      <c r="Q133">
        <f t="shared" ref="Q133" si="641">F133*P133</f>
        <v>-961552.49890304892</v>
      </c>
      <c r="R133">
        <f t="shared" ref="R133" si="642">R134+Q133</f>
        <v>-65099615.270280465</v>
      </c>
      <c r="S133">
        <f t="shared" ref="S133" si="643">R133/100000</f>
        <v>-650.99615270280469</v>
      </c>
      <c r="T133">
        <f t="shared" ref="T133" si="644">S133/1000</f>
        <v>-0.65099615270280464</v>
      </c>
    </row>
    <row r="134" spans="1:20" x14ac:dyDescent="0.25">
      <c r="A134" s="5">
        <v>44459</v>
      </c>
      <c r="B134">
        <v>1.8140000000000001</v>
      </c>
      <c r="C134">
        <v>1.83</v>
      </c>
      <c r="D134">
        <v>1.64</v>
      </c>
      <c r="E134">
        <v>1.6719999999999999</v>
      </c>
      <c r="F134">
        <v>1393042.2</v>
      </c>
      <c r="G134">
        <v>1.6719999999999999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-0.66315789473684206</v>
      </c>
      <c r="Q134">
        <f t="shared" ref="Q134" si="646">F134*P134</f>
        <v>-923806.93263157888</v>
      </c>
      <c r="R134">
        <f t="shared" ref="R134" si="647">R135+Q134</f>
        <v>-64138062.771377414</v>
      </c>
      <c r="S134">
        <f t="shared" ref="S134" si="648">R134/100000</f>
        <v>-641.38062771377417</v>
      </c>
      <c r="T134">
        <f t="shared" ref="T134" si="649">S134/1000</f>
        <v>-0.64138062771377413</v>
      </c>
    </row>
    <row r="135" spans="1:20" x14ac:dyDescent="0.25">
      <c r="A135" s="5">
        <v>44458</v>
      </c>
      <c r="B135">
        <v>1.8979999999999999</v>
      </c>
      <c r="C135">
        <v>1.9319999999999999</v>
      </c>
      <c r="D135">
        <v>1.784</v>
      </c>
      <c r="E135">
        <v>1.8129999999999999</v>
      </c>
      <c r="F135">
        <v>1407815.1</v>
      </c>
      <c r="G135">
        <v>1.8129999999999999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-0.608108108108109</v>
      </c>
      <c r="Q135">
        <f t="shared" ref="Q135" si="651">F135*P135</f>
        <v>-856103.77702702838</v>
      </c>
      <c r="R135">
        <f t="shared" ref="R135" si="652">R136+Q135</f>
        <v>-63214255.838745832</v>
      </c>
      <c r="S135">
        <f t="shared" ref="S135" si="653">R135/100000</f>
        <v>-632.14255838745828</v>
      </c>
      <c r="T135">
        <f t="shared" ref="T135" si="654">S135/1000</f>
        <v>-0.63214255838745825</v>
      </c>
    </row>
    <row r="136" spans="1:20" x14ac:dyDescent="0.25">
      <c r="A136" s="5">
        <v>44457</v>
      </c>
      <c r="B136">
        <v>1.887</v>
      </c>
      <c r="C136">
        <v>1.9590000000000001</v>
      </c>
      <c r="D136">
        <v>1.86</v>
      </c>
      <c r="E136">
        <v>1.897</v>
      </c>
      <c r="F136">
        <v>1478242.9</v>
      </c>
      <c r="G136">
        <v>1.897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-0.25252525252525393</v>
      </c>
      <c r="Q136">
        <f t="shared" ref="Q136" si="656">F136*P136</f>
        <v>-373293.66161616368</v>
      </c>
      <c r="R136">
        <f t="shared" ref="R136" si="657">R137+Q136</f>
        <v>-62358152.061718807</v>
      </c>
      <c r="S136">
        <f t="shared" ref="S136" si="658">R136/100000</f>
        <v>-623.58152061718806</v>
      </c>
      <c r="T136">
        <f t="shared" ref="T136" si="659">S136/1000</f>
        <v>-0.62358152061718808</v>
      </c>
    </row>
    <row r="137" spans="1:20" x14ac:dyDescent="0.25">
      <c r="A137" s="5">
        <v>44456</v>
      </c>
      <c r="B137">
        <v>1.915</v>
      </c>
      <c r="C137">
        <v>1.9410000000000001</v>
      </c>
      <c r="D137">
        <v>1.802</v>
      </c>
      <c r="E137">
        <v>1.887</v>
      </c>
      <c r="F137">
        <v>2170300.5</v>
      </c>
      <c r="G137">
        <v>1.887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0.22302158273381234</v>
      </c>
      <c r="Q137">
        <f t="shared" ref="Q137" si="661">F137*P137</f>
        <v>484023.85251798428</v>
      </c>
      <c r="R137">
        <f t="shared" ref="R137" si="662">R138+Q137</f>
        <v>-61984858.400102645</v>
      </c>
      <c r="S137">
        <f t="shared" ref="S137" si="663">R137/100000</f>
        <v>-619.84858400102644</v>
      </c>
      <c r="T137">
        <f t="shared" ref="T137" si="664">S137/1000</f>
        <v>-0.61984858400102649</v>
      </c>
    </row>
    <row r="138" spans="1:20" x14ac:dyDescent="0.25">
      <c r="A138" s="5">
        <v>44455</v>
      </c>
      <c r="B138">
        <v>1.9890000000000001</v>
      </c>
      <c r="C138">
        <v>2.0499999999999998</v>
      </c>
      <c r="D138">
        <v>1.9</v>
      </c>
      <c r="E138">
        <v>1.915</v>
      </c>
      <c r="F138">
        <v>2977383.2</v>
      </c>
      <c r="G138">
        <v>1.915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-0.79999999999999827</v>
      </c>
      <c r="Q138">
        <f t="shared" ref="Q138" si="666">F138*P138</f>
        <v>-2381906.5599999949</v>
      </c>
      <c r="R138">
        <f t="shared" ref="R138" si="667">R139+Q138</f>
        <v>-62468882.25262063</v>
      </c>
      <c r="S138">
        <f t="shared" ref="S138" si="668">R138/100000</f>
        <v>-624.68882252620631</v>
      </c>
      <c r="T138">
        <f t="shared" ref="T138" si="669">S138/1000</f>
        <v>-0.62468882252620628</v>
      </c>
    </row>
    <row r="139" spans="1:20" x14ac:dyDescent="0.25">
      <c r="A139" s="5">
        <v>44454</v>
      </c>
      <c r="B139">
        <v>1.994</v>
      </c>
      <c r="C139">
        <v>2.1</v>
      </c>
      <c r="D139">
        <v>1.9339999999999999</v>
      </c>
      <c r="E139">
        <v>1.9890000000000001</v>
      </c>
      <c r="F139">
        <v>3529955.5</v>
      </c>
      <c r="G139">
        <v>1.9890000000000001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-0.33734939759036009</v>
      </c>
      <c r="Q139">
        <f t="shared" ref="Q139" si="671">F139*P139</f>
        <v>-1190828.3614457783</v>
      </c>
      <c r="R139">
        <f t="shared" ref="R139" si="672">R140+Q139</f>
        <v>-60086975.692620635</v>
      </c>
      <c r="S139">
        <f t="shared" ref="S139" si="673">R139/100000</f>
        <v>-600.86975692620638</v>
      </c>
      <c r="T139">
        <f t="shared" ref="T139" si="674">S139/1000</f>
        <v>-0.60086975692620637</v>
      </c>
    </row>
    <row r="140" spans="1:20" x14ac:dyDescent="0.25">
      <c r="A140" s="5">
        <v>44453</v>
      </c>
      <c r="B140">
        <v>1.9590000000000001</v>
      </c>
      <c r="C140">
        <v>2.11</v>
      </c>
      <c r="D140">
        <v>1.93</v>
      </c>
      <c r="E140">
        <v>1.996</v>
      </c>
      <c r="F140">
        <v>4621822.9000000004</v>
      </c>
      <c r="G140">
        <v>1.996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-0.26666666666666577</v>
      </c>
      <c r="Q140">
        <f t="shared" ref="Q140" si="676">F140*P140</f>
        <v>-1232486.1066666627</v>
      </c>
      <c r="R140">
        <f t="shared" ref="R140" si="677">R141+Q140</f>
        <v>-58896147.331174858</v>
      </c>
      <c r="S140">
        <f t="shared" ref="S140" si="678">R140/100000</f>
        <v>-588.96147331174859</v>
      </c>
      <c r="T140">
        <f t="shared" ref="T140" si="679">S140/1000</f>
        <v>-0.58896147331174864</v>
      </c>
    </row>
    <row r="141" spans="1:20" x14ac:dyDescent="0.25">
      <c r="A141" s="5">
        <v>44452</v>
      </c>
      <c r="B141">
        <v>2.1120000000000001</v>
      </c>
      <c r="C141">
        <v>2.1480000000000001</v>
      </c>
      <c r="D141">
        <v>1.9</v>
      </c>
      <c r="E141">
        <v>1.956</v>
      </c>
      <c r="F141">
        <v>5177568.4000000004</v>
      </c>
      <c r="G141">
        <v>1.956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-0.54838709677419351</v>
      </c>
      <c r="Q141">
        <f t="shared" ref="Q141" si="681">F141*P141</f>
        <v>-2839311.7032258064</v>
      </c>
      <c r="R141">
        <f t="shared" ref="R141" si="682">R142+Q141</f>
        <v>-57663661.224508196</v>
      </c>
      <c r="S141">
        <f t="shared" ref="S141" si="683">R141/100000</f>
        <v>-576.63661224508201</v>
      </c>
      <c r="T141">
        <f t="shared" ref="T141" si="684">S141/1000</f>
        <v>-0.576636612245082</v>
      </c>
    </row>
    <row r="142" spans="1:20" x14ac:dyDescent="0.25">
      <c r="A142" s="5">
        <v>44451</v>
      </c>
      <c r="B142">
        <v>2.1869999999999998</v>
      </c>
      <c r="C142">
        <v>2.4449999999999998</v>
      </c>
      <c r="D142">
        <v>2.06</v>
      </c>
      <c r="E142">
        <v>2.11</v>
      </c>
      <c r="F142">
        <v>14388401.5</v>
      </c>
      <c r="G142">
        <v>2.11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-0.74025974025974106</v>
      </c>
      <c r="Q142">
        <f t="shared" ref="Q142" si="686">F142*P142</f>
        <v>-10651154.357142869</v>
      </c>
      <c r="R142">
        <f t="shared" ref="R142" si="687">R143+Q142</f>
        <v>-54824349.52128239</v>
      </c>
      <c r="S142">
        <f t="shared" ref="S142" si="688">R142/100000</f>
        <v>-548.24349521282386</v>
      </c>
      <c r="T142">
        <f t="shared" ref="T142" si="689">S142/1000</f>
        <v>-0.54824349521282389</v>
      </c>
    </row>
    <row r="143" spans="1:20" x14ac:dyDescent="0.25">
      <c r="A143" s="5">
        <v>44450</v>
      </c>
      <c r="B143">
        <v>1.7470000000000001</v>
      </c>
      <c r="C143">
        <v>2.57</v>
      </c>
      <c r="D143">
        <v>1.71</v>
      </c>
      <c r="E143">
        <v>2.1920000000000002</v>
      </c>
      <c r="F143">
        <v>24729691</v>
      </c>
      <c r="G143">
        <v>2.1920000000000002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0.12093023255814017</v>
      </c>
      <c r="Q143">
        <f t="shared" ref="Q143" si="691">F143*P143</f>
        <v>2990567.2837209459</v>
      </c>
      <c r="R143">
        <f t="shared" ref="R143" si="692">R144+Q143</f>
        <v>-44173195.164139524</v>
      </c>
      <c r="S143">
        <f t="shared" ref="S143" si="693">R143/100000</f>
        <v>-441.73195164139526</v>
      </c>
      <c r="T143">
        <f t="shared" ref="T143" si="694">S143/1000</f>
        <v>-0.44173195164139528</v>
      </c>
    </row>
    <row r="144" spans="1:20" x14ac:dyDescent="0.25">
      <c r="A144" s="5">
        <v>44449</v>
      </c>
      <c r="B144">
        <v>1.8340000000000001</v>
      </c>
      <c r="C144">
        <v>1.9319999999999999</v>
      </c>
      <c r="D144">
        <v>1.6719999999999999</v>
      </c>
      <c r="E144">
        <v>1.744</v>
      </c>
      <c r="F144">
        <v>3712770</v>
      </c>
      <c r="G144">
        <v>1.744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-0.44615384615384568</v>
      </c>
      <c r="Q144">
        <f t="shared" ref="Q144" si="696">F144*P144</f>
        <v>-1656466.6153846136</v>
      </c>
      <c r="R144">
        <f t="shared" ref="R144" si="697">R145+Q144</f>
        <v>-47163762.447860472</v>
      </c>
      <c r="S144">
        <f t="shared" ref="S144" si="698">R144/100000</f>
        <v>-471.63762447860472</v>
      </c>
      <c r="T144">
        <f t="shared" ref="T144" si="699">S144/1000</f>
        <v>-0.47163762447860474</v>
      </c>
    </row>
    <row r="145" spans="1:20" x14ac:dyDescent="0.25">
      <c r="A145" s="5">
        <v>44448</v>
      </c>
      <c r="B145">
        <v>1.786</v>
      </c>
      <c r="C145">
        <v>1.9379999999999999</v>
      </c>
      <c r="D145">
        <v>1.74</v>
      </c>
      <c r="E145">
        <v>1.8340000000000001</v>
      </c>
      <c r="F145">
        <v>3261216.8</v>
      </c>
      <c r="G145">
        <v>1.8340000000000001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-5.0505050505049442E-2</v>
      </c>
      <c r="Q145">
        <f t="shared" ref="Q145" si="701">F145*P145</f>
        <v>-164707.91919191572</v>
      </c>
      <c r="R145">
        <f t="shared" ref="R145" si="702">R146+Q145</f>
        <v>-45507295.832475856</v>
      </c>
      <c r="S145">
        <f t="shared" ref="S145" si="703">R145/100000</f>
        <v>-455.07295832475859</v>
      </c>
      <c r="T145">
        <f t="shared" ref="T145" si="704">S145/1000</f>
        <v>-0.45507295832475858</v>
      </c>
    </row>
    <row r="146" spans="1:20" x14ac:dyDescent="0.25">
      <c r="A146" s="5">
        <v>44447</v>
      </c>
      <c r="B146">
        <v>1.8120000000000001</v>
      </c>
      <c r="C146">
        <v>1.89</v>
      </c>
      <c r="D146">
        <v>1.621</v>
      </c>
      <c r="E146">
        <v>1.786</v>
      </c>
      <c r="F146">
        <v>4383350.0990000004</v>
      </c>
      <c r="G146">
        <v>1.786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0.22676579925650628</v>
      </c>
      <c r="Q146">
        <f t="shared" ref="Q146" si="706">F146*P146</f>
        <v>993993.88862082106</v>
      </c>
      <c r="R146">
        <f t="shared" ref="R146" si="707">R147+Q146</f>
        <v>-45342587.913283937</v>
      </c>
      <c r="S146">
        <f t="shared" ref="S146" si="708">R146/100000</f>
        <v>-453.42587913283938</v>
      </c>
      <c r="T146">
        <f t="shared" ref="T146" si="709">S146/1000</f>
        <v>-0.45342587913283938</v>
      </c>
    </row>
    <row r="147" spans="1:20" x14ac:dyDescent="0.25">
      <c r="A147" s="5">
        <v>44446</v>
      </c>
      <c r="B147">
        <v>2.33</v>
      </c>
      <c r="C147">
        <v>2.5190000000000001</v>
      </c>
      <c r="D147">
        <v>1.68</v>
      </c>
      <c r="E147">
        <v>1.8160000000000001</v>
      </c>
      <c r="F147">
        <v>7883432.6780000003</v>
      </c>
      <c r="G147">
        <v>1.8160000000000001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-0.67580452920143008</v>
      </c>
      <c r="Q147">
        <f t="shared" ref="Q147" si="711">F147*P147</f>
        <v>-5327659.509446959</v>
      </c>
      <c r="R147">
        <f t="shared" ref="R147" si="712">R148+Q147</f>
        <v>-46336581.80190476</v>
      </c>
      <c r="S147">
        <f t="shared" ref="S147" si="713">R147/100000</f>
        <v>-463.36581801904759</v>
      </c>
      <c r="T147">
        <f t="shared" ref="T147" si="714">S147/1000</f>
        <v>-0.46336581801904758</v>
      </c>
    </row>
    <row r="148" spans="1:20" x14ac:dyDescent="0.25">
      <c r="A148" s="5">
        <v>44445</v>
      </c>
      <c r="B148">
        <v>2.2519999999999998</v>
      </c>
      <c r="C148">
        <v>2.5550000000000002</v>
      </c>
      <c r="D148">
        <v>2.1850000000000001</v>
      </c>
      <c r="E148">
        <v>2.331</v>
      </c>
      <c r="F148">
        <v>5517289.0219999999</v>
      </c>
      <c r="G148">
        <v>2.331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-0.21081081081081154</v>
      </c>
      <c r="Q148">
        <f t="shared" ref="Q148" si="716">F148*P148</f>
        <v>-1163104.1722054095</v>
      </c>
      <c r="R148">
        <f t="shared" ref="R148" si="717">R149+Q148</f>
        <v>-41008922.292457804</v>
      </c>
      <c r="S148">
        <f t="shared" ref="S148" si="718">R148/100000</f>
        <v>-410.08922292457805</v>
      </c>
      <c r="T148">
        <f t="shared" ref="T148" si="719">S148/1000</f>
        <v>-0.41008922292457806</v>
      </c>
    </row>
    <row r="149" spans="1:20" x14ac:dyDescent="0.25">
      <c r="A149" s="5">
        <v>44444</v>
      </c>
      <c r="B149">
        <v>2.214</v>
      </c>
      <c r="C149">
        <v>2.2850000000000001</v>
      </c>
      <c r="D149">
        <v>2.1669999999999998</v>
      </c>
      <c r="E149">
        <v>2.2530000000000001</v>
      </c>
      <c r="F149">
        <v>2252234.1</v>
      </c>
      <c r="G149">
        <v>2.2530000000000001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0.4576271186440688</v>
      </c>
      <c r="Q149">
        <f t="shared" ref="Q149" si="721">F149*P149</f>
        <v>1030683.4016949176</v>
      </c>
      <c r="R149">
        <f t="shared" ref="R149" si="722">R150+Q149</f>
        <v>-39845818.120252393</v>
      </c>
      <c r="S149">
        <f t="shared" ref="S149" si="723">R149/100000</f>
        <v>-398.45818120252392</v>
      </c>
      <c r="T149">
        <f t="shared" ref="T149" si="724">S149/1000</f>
        <v>-0.39845818120252391</v>
      </c>
    </row>
    <row r="150" spans="1:20" x14ac:dyDescent="0.25">
      <c r="A150" s="5">
        <v>44443</v>
      </c>
      <c r="B150">
        <v>2.2269999999999999</v>
      </c>
      <c r="C150">
        <v>2.2770000000000001</v>
      </c>
      <c r="D150">
        <v>2.1800000000000002</v>
      </c>
      <c r="E150">
        <v>2.214</v>
      </c>
      <c r="F150">
        <v>2674433.7999999998</v>
      </c>
      <c r="G150">
        <v>2.214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-0.29896907216495222</v>
      </c>
      <c r="Q150">
        <f t="shared" ref="Q150" si="726">F150*P150</f>
        <v>-799572.99175258738</v>
      </c>
      <c r="R150">
        <f t="shared" ref="R150" si="727">R151+Q150</f>
        <v>-40876501.521947309</v>
      </c>
      <c r="S150">
        <f t="shared" ref="S150" si="728">R150/100000</f>
        <v>-408.76501521947307</v>
      </c>
      <c r="T150">
        <f t="shared" ref="T150" si="729">S150/1000</f>
        <v>-0.40876501521947306</v>
      </c>
    </row>
    <row r="151" spans="1:20" x14ac:dyDescent="0.25">
      <c r="A151" s="5">
        <v>44442</v>
      </c>
      <c r="B151">
        <v>2.234</v>
      </c>
      <c r="C151">
        <v>2.3559999999999999</v>
      </c>
      <c r="D151">
        <v>2.19</v>
      </c>
      <c r="E151">
        <v>2.2320000000000002</v>
      </c>
      <c r="F151">
        <v>4415644.2</v>
      </c>
      <c r="G151">
        <v>2.2320000000000002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-0.49397590361445448</v>
      </c>
      <c r="Q151">
        <f t="shared" ref="Q151" si="731">F151*P151</f>
        <v>-2181221.8337349249</v>
      </c>
      <c r="R151">
        <f t="shared" ref="R151" si="732">R152+Q151</f>
        <v>-40076928.530194722</v>
      </c>
      <c r="S151">
        <f t="shared" ref="S151" si="733">R151/100000</f>
        <v>-400.76928530194721</v>
      </c>
      <c r="T151">
        <f t="shared" ref="T151" si="734">S151/1000</f>
        <v>-0.40076928530194722</v>
      </c>
    </row>
    <row r="152" spans="1:20" x14ac:dyDescent="0.25">
      <c r="A152" s="5">
        <v>44441</v>
      </c>
      <c r="B152">
        <v>2.1520000000000001</v>
      </c>
      <c r="C152">
        <v>2.544</v>
      </c>
      <c r="D152">
        <v>2.0950000000000002</v>
      </c>
      <c r="E152">
        <v>2.2269999999999999</v>
      </c>
      <c r="F152">
        <v>13320272.975</v>
      </c>
      <c r="G152">
        <v>2.2269999999999999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-0.41202672605790769</v>
      </c>
      <c r="Q152">
        <f t="shared" ref="Q152" si="736">F152*P152</f>
        <v>-5488308.4640868763</v>
      </c>
      <c r="R152">
        <f t="shared" ref="R152" si="737">R153+Q152</f>
        <v>-37895706.6964598</v>
      </c>
      <c r="S152">
        <f t="shared" ref="S152" si="738">R152/100000</f>
        <v>-378.95706696459803</v>
      </c>
      <c r="T152">
        <f t="shared" ref="T152" si="739">S152/1000</f>
        <v>-0.37895706696459802</v>
      </c>
    </row>
    <row r="153" spans="1:20" x14ac:dyDescent="0.25">
      <c r="A153" s="5">
        <v>44440</v>
      </c>
      <c r="B153">
        <v>2.0289999999999999</v>
      </c>
      <c r="C153">
        <v>2.1800000000000002</v>
      </c>
      <c r="D153">
        <v>1.9610000000000001</v>
      </c>
      <c r="E153">
        <v>2.1549999999999998</v>
      </c>
      <c r="F153">
        <v>2644882.9</v>
      </c>
      <c r="G153">
        <v>2.1549999999999998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0.77168949771689177</v>
      </c>
      <c r="Q153">
        <f t="shared" ref="Q153" si="741">F153*P153</f>
        <v>2041028.356620996</v>
      </c>
      <c r="R153">
        <f t="shared" ref="R153" si="742">R154+Q153</f>
        <v>-32407398.232372925</v>
      </c>
      <c r="S153">
        <f t="shared" ref="S153" si="743">R153/100000</f>
        <v>-324.07398232372924</v>
      </c>
      <c r="T153">
        <f t="shared" ref="T153" si="744">S153/1000</f>
        <v>-0.32407398232372925</v>
      </c>
    </row>
    <row r="154" spans="1:20" x14ac:dyDescent="0.25">
      <c r="A154" s="5">
        <v>44439</v>
      </c>
      <c r="B154">
        <v>2.0299999999999998</v>
      </c>
      <c r="C154">
        <v>2.1760000000000002</v>
      </c>
      <c r="D154">
        <v>1.99</v>
      </c>
      <c r="E154">
        <v>2.0289999999999999</v>
      </c>
      <c r="F154">
        <v>3016635</v>
      </c>
      <c r="G154">
        <v>2.0289999999999999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-0.58064516129032373</v>
      </c>
      <c r="Q154">
        <f t="shared" ref="Q154" si="746">F154*P154</f>
        <v>-1751594.5161290357</v>
      </c>
      <c r="R154">
        <f t="shared" ref="R154" si="747">R155+Q154</f>
        <v>-34448426.588993922</v>
      </c>
      <c r="S154">
        <f t="shared" ref="S154" si="748">R154/100000</f>
        <v>-344.48426588993919</v>
      </c>
      <c r="T154">
        <f t="shared" ref="T154" si="749">S154/1000</f>
        <v>-0.34448426588993919</v>
      </c>
    </row>
    <row r="155" spans="1:20" x14ac:dyDescent="0.25">
      <c r="A155" s="5">
        <v>44438</v>
      </c>
      <c r="B155">
        <v>2.0059999999999998</v>
      </c>
      <c r="C155">
        <v>2.2320000000000002</v>
      </c>
      <c r="D155">
        <v>1.931</v>
      </c>
      <c r="E155">
        <v>2.032</v>
      </c>
      <c r="F155">
        <v>4096426.0610000002</v>
      </c>
      <c r="G155">
        <v>2.032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-0.32890365448505032</v>
      </c>
      <c r="Q155">
        <f t="shared" ref="Q155" si="751">F155*P155</f>
        <v>-1347329.5017906998</v>
      </c>
      <c r="R155">
        <f t="shared" ref="R155" si="752">R156+Q155</f>
        <v>-32696832.072864883</v>
      </c>
      <c r="S155">
        <f t="shared" ref="S155" si="753">R155/100000</f>
        <v>-326.96832072864885</v>
      </c>
      <c r="T155">
        <f t="shared" ref="T155" si="754">S155/1000</f>
        <v>-0.32696832072864884</v>
      </c>
    </row>
    <row r="156" spans="1:20" x14ac:dyDescent="0.25">
      <c r="A156" s="5">
        <v>44437</v>
      </c>
      <c r="B156">
        <v>2.032</v>
      </c>
      <c r="C156">
        <v>2.08</v>
      </c>
      <c r="D156">
        <v>1.96</v>
      </c>
      <c r="E156">
        <v>2.0059999999999998</v>
      </c>
      <c r="F156">
        <v>1294522.8999999999</v>
      </c>
      <c r="G156">
        <v>2.0059999999999998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-0.23333333333333703</v>
      </c>
      <c r="Q156">
        <f t="shared" ref="Q156" si="756">F156*P156</f>
        <v>-302055.3433333381</v>
      </c>
      <c r="R156">
        <f t="shared" ref="R156" si="757">R157+Q156</f>
        <v>-31349502.571074184</v>
      </c>
      <c r="S156">
        <f t="shared" ref="S156" si="758">R156/100000</f>
        <v>-313.49502571074186</v>
      </c>
      <c r="T156">
        <f t="shared" ref="T156" si="759">S156/1000</f>
        <v>-0.31349502571074184</v>
      </c>
    </row>
    <row r="157" spans="1:20" x14ac:dyDescent="0.25">
      <c r="A157" s="5">
        <v>44436</v>
      </c>
      <c r="B157">
        <v>2.0259999999999998</v>
      </c>
      <c r="C157">
        <v>2.1</v>
      </c>
      <c r="D157">
        <v>1.95</v>
      </c>
      <c r="E157">
        <v>2.0310000000000001</v>
      </c>
      <c r="F157">
        <v>1995763.3</v>
      </c>
      <c r="G157">
        <v>2.0310000000000001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8.0000000000001487E-2</v>
      </c>
      <c r="Q157">
        <f t="shared" ref="Q157" si="761">F157*P157</f>
        <v>159661.06400000298</v>
      </c>
      <c r="R157">
        <f t="shared" ref="R157" si="762">R158+Q157</f>
        <v>-31047447.227740847</v>
      </c>
      <c r="S157">
        <f t="shared" ref="S157" si="763">R157/100000</f>
        <v>-310.47447227740844</v>
      </c>
      <c r="T157">
        <f t="shared" ref="T157" si="764">S157/1000</f>
        <v>-0.31047447227740843</v>
      </c>
    </row>
    <row r="158" spans="1:20" x14ac:dyDescent="0.25">
      <c r="A158" s="5">
        <v>44435</v>
      </c>
      <c r="B158">
        <v>1.9339999999999999</v>
      </c>
      <c r="C158">
        <v>2.093</v>
      </c>
      <c r="D158">
        <v>1.873</v>
      </c>
      <c r="E158">
        <v>2.0270000000000001</v>
      </c>
      <c r="F158">
        <v>2584240.8139999998</v>
      </c>
      <c r="G158">
        <v>2.0270000000000001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0.40000000000000141</v>
      </c>
      <c r="Q158">
        <f t="shared" ref="Q158" si="766">F158*P158</f>
        <v>1033696.3256000036</v>
      </c>
      <c r="R158">
        <f t="shared" ref="R158" si="767">R159+Q158</f>
        <v>-31207108.29174085</v>
      </c>
      <c r="S158">
        <f t="shared" ref="S158" si="768">R158/100000</f>
        <v>-312.07108291740849</v>
      </c>
      <c r="T158">
        <f t="shared" ref="T158" si="769">S158/1000</f>
        <v>-0.31207108291740848</v>
      </c>
    </row>
    <row r="159" spans="1:20" x14ac:dyDescent="0.25">
      <c r="A159" s="5">
        <v>44434</v>
      </c>
      <c r="B159">
        <v>2.0910000000000002</v>
      </c>
      <c r="C159">
        <v>2.0960000000000001</v>
      </c>
      <c r="D159">
        <v>1.8540000000000001</v>
      </c>
      <c r="E159">
        <v>1.93</v>
      </c>
      <c r="F159">
        <v>2652359.0980000002</v>
      </c>
      <c r="G159">
        <v>1.93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-0.37190082644628225</v>
      </c>
      <c r="Q159">
        <f t="shared" ref="Q159" si="771">F159*P159</f>
        <v>-986414.54057851585</v>
      </c>
      <c r="R159">
        <f t="shared" ref="R159" si="772">R160+Q159</f>
        <v>-32240804.617340852</v>
      </c>
      <c r="S159">
        <f t="shared" ref="S159" si="773">R159/100000</f>
        <v>-322.40804617340854</v>
      </c>
      <c r="T159">
        <f t="shared" ref="T159" si="774">S159/1000</f>
        <v>-0.32240804617340851</v>
      </c>
    </row>
    <row r="160" spans="1:20" x14ac:dyDescent="0.25">
      <c r="A160" s="5">
        <v>44433</v>
      </c>
      <c r="B160">
        <v>1.994</v>
      </c>
      <c r="C160">
        <v>2.1019999999999999</v>
      </c>
      <c r="D160">
        <v>1.9019999999999999</v>
      </c>
      <c r="E160">
        <v>2.0870000000000002</v>
      </c>
      <c r="F160">
        <v>2459991.9049999998</v>
      </c>
      <c r="G160">
        <v>2.0870000000000002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0.8500000000000032</v>
      </c>
      <c r="Q160">
        <f t="shared" ref="Q160" si="776">F160*P160</f>
        <v>2090993.1192500077</v>
      </c>
      <c r="R160">
        <f t="shared" ref="R160" si="777">R161+Q160</f>
        <v>-31254390.076762337</v>
      </c>
      <c r="S160">
        <f t="shared" ref="S160" si="778">R160/100000</f>
        <v>-312.54390076762337</v>
      </c>
      <c r="T160">
        <f t="shared" ref="T160" si="779">S160/1000</f>
        <v>-0.31254390076762339</v>
      </c>
    </row>
    <row r="161" spans="1:20" x14ac:dyDescent="0.25">
      <c r="A161" s="5">
        <v>44432</v>
      </c>
      <c r="B161">
        <v>2.1749999999999998</v>
      </c>
      <c r="C161">
        <v>2.258</v>
      </c>
      <c r="D161">
        <v>1.97</v>
      </c>
      <c r="E161">
        <v>1.9930000000000001</v>
      </c>
      <c r="F161">
        <v>3341351.1529999999</v>
      </c>
      <c r="G161">
        <v>1.9930000000000001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-0.8402777777777769</v>
      </c>
      <c r="Q161">
        <f t="shared" ref="Q161" si="781">F161*P161</f>
        <v>-2807663.1216180525</v>
      </c>
      <c r="R161">
        <f t="shared" ref="R161" si="782">R162+Q161</f>
        <v>-33345383.196012344</v>
      </c>
      <c r="S161">
        <f t="shared" ref="S161" si="783">R161/100000</f>
        <v>-333.45383196012347</v>
      </c>
      <c r="T161">
        <f t="shared" ref="T161" si="784">S161/1000</f>
        <v>-0.33345383196012346</v>
      </c>
    </row>
    <row r="162" spans="1:20" x14ac:dyDescent="0.25">
      <c r="A162" s="5">
        <v>44431</v>
      </c>
      <c r="B162">
        <v>2.2080000000000002</v>
      </c>
      <c r="C162">
        <v>2.302</v>
      </c>
      <c r="D162">
        <v>2.0790000000000002</v>
      </c>
      <c r="E162">
        <v>2.1779999999999999</v>
      </c>
      <c r="F162">
        <v>2964032.0090000001</v>
      </c>
      <c r="G162">
        <v>2.1779999999999999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-0.11210762331838731</v>
      </c>
      <c r="Q162">
        <f t="shared" ref="Q162" si="786">F162*P162</f>
        <v>-332290.58396861481</v>
      </c>
      <c r="R162">
        <f t="shared" ref="R162" si="787">R163+Q162</f>
        <v>-30537720.074394293</v>
      </c>
      <c r="S162">
        <f t="shared" ref="S162" si="788">R162/100000</f>
        <v>-305.37720074394292</v>
      </c>
      <c r="T162">
        <f t="shared" ref="T162" si="789">S162/1000</f>
        <v>-0.30537720074394292</v>
      </c>
    </row>
    <row r="163" spans="1:20" x14ac:dyDescent="0.25">
      <c r="A163" s="5">
        <v>44430</v>
      </c>
      <c r="B163">
        <v>2.0699999999999998</v>
      </c>
      <c r="C163">
        <v>2.1709999999999998</v>
      </c>
      <c r="D163">
        <v>2.0640000000000001</v>
      </c>
      <c r="E163">
        <v>2.1419999999999999</v>
      </c>
      <c r="F163">
        <v>391282.06400000001</v>
      </c>
      <c r="G163">
        <v>2.1419999999999999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0.45794392523364524</v>
      </c>
      <c r="Q163">
        <f t="shared" ref="Q163" si="791">F163*P163</f>
        <v>179185.24426168241</v>
      </c>
      <c r="R163">
        <f t="shared" ref="R163" si="792">R164+Q163</f>
        <v>-30205429.49042568</v>
      </c>
      <c r="S163">
        <f t="shared" ref="S163" si="793">R163/100000</f>
        <v>-302.05429490425678</v>
      </c>
      <c r="T163">
        <f t="shared" ref="T163" si="794">S163/1000</f>
        <v>-0.30205429490425678</v>
      </c>
    </row>
    <row r="164" spans="1:20" x14ac:dyDescent="0.25">
      <c r="A164" s="5">
        <v>44429</v>
      </c>
      <c r="B164">
        <v>2.09</v>
      </c>
      <c r="C164">
        <v>2.161</v>
      </c>
      <c r="D164">
        <v>2.0219999999999998</v>
      </c>
      <c r="E164">
        <v>2.0699999999999998</v>
      </c>
      <c r="F164">
        <v>2565085.8289999999</v>
      </c>
      <c r="G164">
        <v>2.0699999999999998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-0.30935251798561209</v>
      </c>
      <c r="Q164">
        <f t="shared" ref="Q164" si="796">F164*P164</f>
        <v>-793515.76005036116</v>
      </c>
      <c r="R164">
        <f t="shared" ref="R164" si="797">R165+Q164</f>
        <v>-30384614.734687362</v>
      </c>
      <c r="S164">
        <f t="shared" ref="S164" si="798">R164/100000</f>
        <v>-303.84614734687364</v>
      </c>
      <c r="T164">
        <f t="shared" ref="T164" si="799">S164/1000</f>
        <v>-0.30384614734687365</v>
      </c>
    </row>
    <row r="165" spans="1:20" x14ac:dyDescent="0.25">
      <c r="A165" s="5">
        <v>44428</v>
      </c>
      <c r="B165">
        <v>1.9710000000000001</v>
      </c>
      <c r="C165">
        <v>2.1</v>
      </c>
      <c r="D165">
        <v>1.95</v>
      </c>
      <c r="E165">
        <v>2.0910000000000002</v>
      </c>
      <c r="F165">
        <v>2754998.0430000001</v>
      </c>
      <c r="G165">
        <v>2.0910000000000002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0.88000000000000145</v>
      </c>
      <c r="Q165">
        <f t="shared" ref="Q165" si="801">F165*P165</f>
        <v>2424398.2778400038</v>
      </c>
      <c r="R165">
        <f t="shared" ref="R165" si="802">R166+Q165</f>
        <v>-29591098.974637002</v>
      </c>
      <c r="S165">
        <f t="shared" ref="S165" si="803">R165/100000</f>
        <v>-295.91098974637003</v>
      </c>
      <c r="T165">
        <f t="shared" ref="T165" si="804">S165/1000</f>
        <v>-0.29591098974637003</v>
      </c>
    </row>
    <row r="166" spans="1:20" x14ac:dyDescent="0.25">
      <c r="A166" s="5">
        <v>44427</v>
      </c>
      <c r="B166">
        <v>1.881</v>
      </c>
      <c r="C166">
        <v>2.0790000000000002</v>
      </c>
      <c r="D166">
        <v>1.7929999999999999</v>
      </c>
      <c r="E166">
        <v>1.972</v>
      </c>
      <c r="F166">
        <v>8152964.9620000003</v>
      </c>
      <c r="G166">
        <v>1.972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0.251748251748251</v>
      </c>
      <c r="Q166">
        <f t="shared" ref="Q166" si="806">F166*P166</f>
        <v>2052494.6757482458</v>
      </c>
      <c r="R166">
        <f t="shared" ref="R166" si="807">R167+Q166</f>
        <v>-32015497.252477005</v>
      </c>
      <c r="S166">
        <f t="shared" ref="S166" si="808">R166/100000</f>
        <v>-320.15497252477007</v>
      </c>
      <c r="T166">
        <f t="shared" ref="T166" si="809">S166/1000</f>
        <v>-0.3201549725247701</v>
      </c>
    </row>
    <row r="167" spans="1:20" x14ac:dyDescent="0.25">
      <c r="A167" s="5">
        <v>44426</v>
      </c>
      <c r="B167">
        <v>1.925</v>
      </c>
      <c r="C167">
        <v>2.016</v>
      </c>
      <c r="D167">
        <v>1.829</v>
      </c>
      <c r="E167">
        <v>1.881</v>
      </c>
      <c r="F167">
        <v>2925659.3259999999</v>
      </c>
      <c r="G167">
        <v>1.881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-0.44385026737967881</v>
      </c>
      <c r="Q167">
        <f t="shared" ref="Q167" si="811">F167*P167</f>
        <v>-1298554.6741069509</v>
      </c>
      <c r="R167">
        <f t="shared" ref="R167" si="812">R168+Q167</f>
        <v>-34067991.928225249</v>
      </c>
      <c r="S167">
        <f t="shared" ref="S167" si="813">R167/100000</f>
        <v>-340.67991928225251</v>
      </c>
      <c r="T167">
        <f t="shared" ref="T167" si="814">S167/1000</f>
        <v>-0.3406799192822525</v>
      </c>
    </row>
    <row r="168" spans="1:20" x14ac:dyDescent="0.25">
      <c r="A168" s="5">
        <v>44425</v>
      </c>
      <c r="B168">
        <v>1.9259999999999999</v>
      </c>
      <c r="C168">
        <v>2.2200000000000002</v>
      </c>
      <c r="D168">
        <v>1.8660000000000001</v>
      </c>
      <c r="E168">
        <v>1.923</v>
      </c>
      <c r="F168">
        <v>5480822.8470000001</v>
      </c>
      <c r="G168">
        <v>1.923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-0.67796610169491567</v>
      </c>
      <c r="Q168">
        <f t="shared" ref="Q168" si="816">F168*P168</f>
        <v>-3715812.0996610192</v>
      </c>
      <c r="R168">
        <f t="shared" ref="R168" si="817">R169+Q168</f>
        <v>-32769437.254118301</v>
      </c>
      <c r="S168">
        <f t="shared" ref="S168" si="818">R168/100000</f>
        <v>-327.69437254118299</v>
      </c>
      <c r="T168">
        <f t="shared" ref="T168" si="819">S168/1000</f>
        <v>-0.327694372541183</v>
      </c>
    </row>
    <row r="169" spans="1:20" x14ac:dyDescent="0.25">
      <c r="A169" s="5">
        <v>44424</v>
      </c>
      <c r="B169">
        <v>2.024</v>
      </c>
      <c r="C169">
        <v>2.101</v>
      </c>
      <c r="D169">
        <v>1.89</v>
      </c>
      <c r="E169">
        <v>1.925</v>
      </c>
      <c r="F169">
        <v>3025305.8969999999</v>
      </c>
      <c r="G169">
        <v>1.925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-0.66824644549762913</v>
      </c>
      <c r="Q169">
        <f t="shared" ref="Q169" si="821">F169*P169</f>
        <v>-2021649.9122132664</v>
      </c>
      <c r="R169">
        <f t="shared" ref="R169" si="822">R170+Q169</f>
        <v>-29053625.154457282</v>
      </c>
      <c r="S169">
        <f t="shared" ref="S169" si="823">R169/100000</f>
        <v>-290.53625154457285</v>
      </c>
      <c r="T169">
        <f t="shared" ref="T169" si="824">S169/1000</f>
        <v>-0.29053625154457285</v>
      </c>
    </row>
    <row r="170" spans="1:20" x14ac:dyDescent="0.25">
      <c r="A170" s="5">
        <v>44423</v>
      </c>
      <c r="B170">
        <v>1.9159999999999999</v>
      </c>
      <c r="C170">
        <v>2.09</v>
      </c>
      <c r="D170">
        <v>1.8220000000000001</v>
      </c>
      <c r="E170">
        <v>2.0219999999999998</v>
      </c>
      <c r="F170">
        <v>4110688.6660000002</v>
      </c>
      <c r="G170">
        <v>2.0219999999999998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0.49253731343283497</v>
      </c>
      <c r="Q170">
        <f t="shared" ref="Q170" si="826">F170*P170</f>
        <v>2024667.5519104444</v>
      </c>
      <c r="R170">
        <f t="shared" ref="R170" si="827">R171+Q170</f>
        <v>-27031975.242244016</v>
      </c>
      <c r="S170">
        <f t="shared" ref="S170" si="828">R170/100000</f>
        <v>-270.31975242244016</v>
      </c>
      <c r="T170">
        <f t="shared" ref="T170" si="829">S170/1000</f>
        <v>-0.27031975242244016</v>
      </c>
    </row>
    <row r="171" spans="1:20" x14ac:dyDescent="0.25">
      <c r="A171" s="5">
        <v>44422</v>
      </c>
      <c r="B171">
        <v>1.9339999999999999</v>
      </c>
      <c r="C171">
        <v>1.986</v>
      </c>
      <c r="D171">
        <v>1.802</v>
      </c>
      <c r="E171">
        <v>1.917</v>
      </c>
      <c r="F171">
        <v>3020792.844</v>
      </c>
      <c r="G171">
        <v>1.917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0.25000000000000028</v>
      </c>
      <c r="Q171">
        <f t="shared" ref="Q171" si="831">F171*P171</f>
        <v>755198.21100000083</v>
      </c>
      <c r="R171">
        <f t="shared" ref="R171" si="832">R172+Q171</f>
        <v>-29056642.794154461</v>
      </c>
      <c r="S171">
        <f t="shared" ref="S171" si="833">R171/100000</f>
        <v>-290.56642794154459</v>
      </c>
      <c r="T171">
        <f t="shared" ref="T171" si="834">S171/1000</f>
        <v>-0.29056642794154458</v>
      </c>
    </row>
    <row r="172" spans="1:20" x14ac:dyDescent="0.25">
      <c r="A172" s="5">
        <v>44421</v>
      </c>
      <c r="B172">
        <v>1.8779999999999999</v>
      </c>
      <c r="C172">
        <v>2.0350000000000001</v>
      </c>
      <c r="D172">
        <v>1.8620000000000001</v>
      </c>
      <c r="E172">
        <v>1.9359999999999999</v>
      </c>
      <c r="F172">
        <v>4449983.9720000001</v>
      </c>
      <c r="G172">
        <v>1.9359999999999999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-0.14450867052023322</v>
      </c>
      <c r="Q172">
        <f t="shared" ref="Q172" si="836">F172*P172</f>
        <v>-643061.26763006672</v>
      </c>
      <c r="R172">
        <f t="shared" ref="R172" si="837">R173+Q172</f>
        <v>-29811841.005154461</v>
      </c>
      <c r="S172">
        <f t="shared" ref="S172" si="838">R172/100000</f>
        <v>-298.11841005154463</v>
      </c>
      <c r="T172">
        <f t="shared" ref="T172" si="839">S172/1000</f>
        <v>-0.2981184100515446</v>
      </c>
    </row>
    <row r="173" spans="1:20" x14ac:dyDescent="0.25">
      <c r="A173" s="5">
        <v>44420</v>
      </c>
      <c r="B173">
        <v>1.748</v>
      </c>
      <c r="C173">
        <v>1.9470000000000001</v>
      </c>
      <c r="D173">
        <v>1.6779999999999999</v>
      </c>
      <c r="E173">
        <v>1.88</v>
      </c>
      <c r="F173">
        <v>7464100.1179999998</v>
      </c>
      <c r="G173">
        <v>1.88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0.50185873605947851</v>
      </c>
      <c r="Q173">
        <f t="shared" ref="Q173" si="841">F173*P173</f>
        <v>3745923.8510408844</v>
      </c>
      <c r="R173">
        <f t="shared" ref="R173" si="842">R174+Q173</f>
        <v>-29168779.737524394</v>
      </c>
      <c r="S173">
        <f t="shared" ref="S173" si="843">R173/100000</f>
        <v>-291.68779737524392</v>
      </c>
      <c r="T173">
        <f t="shared" ref="T173" si="844">S173/1000</f>
        <v>-0.29168779737524392</v>
      </c>
    </row>
    <row r="174" spans="1:20" x14ac:dyDescent="0.25">
      <c r="A174" s="5">
        <v>44419</v>
      </c>
      <c r="B174">
        <v>1.675</v>
      </c>
      <c r="C174">
        <v>1.855</v>
      </c>
      <c r="D174">
        <v>1.659</v>
      </c>
      <c r="E174">
        <v>1.746</v>
      </c>
      <c r="F174">
        <v>3391063.35</v>
      </c>
      <c r="G174">
        <v>1.746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-0.1122448979591838</v>
      </c>
      <c r="Q174">
        <f t="shared" ref="Q174" si="846">F174*P174</f>
        <v>-380629.55969387799</v>
      </c>
      <c r="R174">
        <f t="shared" ref="R174" si="847">R175+Q174</f>
        <v>-32914703.588565279</v>
      </c>
      <c r="S174">
        <f t="shared" ref="S174" si="848">R174/100000</f>
        <v>-329.14703588565277</v>
      </c>
      <c r="T174">
        <f t="shared" ref="T174" si="849">S174/1000</f>
        <v>-0.32914703588565275</v>
      </c>
    </row>
    <row r="175" spans="1:20" x14ac:dyDescent="0.25">
      <c r="A175" s="5">
        <v>44418</v>
      </c>
      <c r="B175">
        <v>1.621</v>
      </c>
      <c r="C175">
        <v>1.706</v>
      </c>
      <c r="D175">
        <v>1.5740000000000001</v>
      </c>
      <c r="E175">
        <v>1.673</v>
      </c>
      <c r="F175">
        <v>2746564.6359999999</v>
      </c>
      <c r="G175">
        <v>1.673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0.50000000000000089</v>
      </c>
      <c r="Q175">
        <f t="shared" ref="Q175" si="851">F175*P175</f>
        <v>1373282.3180000023</v>
      </c>
      <c r="R175">
        <f t="shared" ref="R175" si="852">R176+Q175</f>
        <v>-32534074.028871402</v>
      </c>
      <c r="S175">
        <f t="shared" ref="S175" si="853">R175/100000</f>
        <v>-325.34074028871402</v>
      </c>
      <c r="T175">
        <f t="shared" ref="T175" si="854">S175/1000</f>
        <v>-0.32534074028871401</v>
      </c>
    </row>
    <row r="176" spans="1:20" x14ac:dyDescent="0.25">
      <c r="A176" s="5">
        <v>44417</v>
      </c>
      <c r="B176">
        <v>1.518</v>
      </c>
      <c r="C176">
        <v>1.68</v>
      </c>
      <c r="D176">
        <v>1.46</v>
      </c>
      <c r="E176">
        <v>1.62</v>
      </c>
      <c r="F176">
        <v>2880119.1349999998</v>
      </c>
      <c r="G176">
        <v>1.62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0.45454545454545603</v>
      </c>
      <c r="Q176">
        <f t="shared" ref="Q176" si="856">F176*P176</f>
        <v>1309145.0613636405</v>
      </c>
      <c r="R176">
        <f t="shared" ref="R176" si="857">R177+Q176</f>
        <v>-33907356.346871406</v>
      </c>
      <c r="S176">
        <f t="shared" ref="S176" si="858">R176/100000</f>
        <v>-339.07356346871404</v>
      </c>
      <c r="T176">
        <f t="shared" ref="T176" si="859">S176/1000</f>
        <v>-0.33907356346871403</v>
      </c>
    </row>
    <row r="177" spans="1:20" x14ac:dyDescent="0.25">
      <c r="A177" s="5">
        <v>44416</v>
      </c>
      <c r="B177">
        <v>1.583</v>
      </c>
      <c r="C177">
        <v>1.71</v>
      </c>
      <c r="D177">
        <v>1.4910000000000001</v>
      </c>
      <c r="E177">
        <v>1.516</v>
      </c>
      <c r="F177">
        <v>26525804.284000002</v>
      </c>
      <c r="G177">
        <v>1.516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-0.77168949771689566</v>
      </c>
      <c r="Q177">
        <f t="shared" ref="Q177" si="861">F177*P177</f>
        <v>-20469684.584456641</v>
      </c>
      <c r="R177">
        <f t="shared" ref="R177" si="862">R178+Q177</f>
        <v>-35216501.408235043</v>
      </c>
      <c r="S177">
        <f t="shared" ref="S177" si="863">R177/100000</f>
        <v>-352.16501408235041</v>
      </c>
      <c r="T177">
        <f t="shared" ref="T177" si="864">S177/1000</f>
        <v>-0.3521650140823504</v>
      </c>
    </row>
    <row r="178" spans="1:20" x14ac:dyDescent="0.25">
      <c r="A178" s="5">
        <v>44415</v>
      </c>
      <c r="B178">
        <v>1.5660000000000001</v>
      </c>
      <c r="C178">
        <v>1.631</v>
      </c>
      <c r="D178">
        <v>1.5029999999999999</v>
      </c>
      <c r="E178">
        <v>1.583</v>
      </c>
      <c r="F178">
        <v>3075156.463</v>
      </c>
      <c r="G178">
        <v>1.583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0.25</v>
      </c>
      <c r="Q178">
        <f t="shared" ref="Q178" si="866">F178*P178</f>
        <v>768789.11575</v>
      </c>
      <c r="R178">
        <f t="shared" ref="R178" si="867">R179+Q178</f>
        <v>-14746816.823778398</v>
      </c>
      <c r="S178">
        <f t="shared" ref="S178" si="868">R178/100000</f>
        <v>-147.46816823778397</v>
      </c>
      <c r="T178">
        <f t="shared" ref="T178" si="869">S178/1000</f>
        <v>-0.14746816823778397</v>
      </c>
    </row>
    <row r="179" spans="1:20" x14ac:dyDescent="0.25">
      <c r="A179" s="5">
        <v>44414</v>
      </c>
      <c r="B179">
        <v>1.5109999999999999</v>
      </c>
      <c r="C179">
        <v>1.623</v>
      </c>
      <c r="D179">
        <v>1.4810000000000001</v>
      </c>
      <c r="E179">
        <v>1.5649999999999999</v>
      </c>
      <c r="F179">
        <v>2953989.787</v>
      </c>
      <c r="G179">
        <v>1.5649999999999999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0.1830985915492945</v>
      </c>
      <c r="Q179">
        <f t="shared" ref="Q179" si="871">F179*P179</f>
        <v>540871.36945070047</v>
      </c>
      <c r="R179">
        <f t="shared" ref="R179" si="872">R180+Q179</f>
        <v>-15515605.939528398</v>
      </c>
      <c r="S179">
        <f t="shared" ref="S179" si="873">R179/100000</f>
        <v>-155.15605939528399</v>
      </c>
      <c r="T179">
        <f t="shared" ref="T179" si="874">S179/1000</f>
        <v>-0.15515605939528399</v>
      </c>
    </row>
    <row r="180" spans="1:20" x14ac:dyDescent="0.25">
      <c r="A180" s="5">
        <v>44413</v>
      </c>
      <c r="B180">
        <v>1.4019999999999999</v>
      </c>
      <c r="C180">
        <v>1.528</v>
      </c>
      <c r="D180">
        <v>1.36</v>
      </c>
      <c r="E180">
        <v>1.5109999999999999</v>
      </c>
      <c r="F180">
        <v>3083171.358</v>
      </c>
      <c r="G180">
        <v>1.5109999999999999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0.79761904761904601</v>
      </c>
      <c r="Q180">
        <f t="shared" ref="Q180" si="876">F180*P180</f>
        <v>2459196.2022142806</v>
      </c>
      <c r="R180">
        <f t="shared" ref="R180" si="877">R181+Q180</f>
        <v>-16056477.3089791</v>
      </c>
      <c r="S180">
        <f t="shared" ref="S180" si="878">R180/100000</f>
        <v>-160.564773089791</v>
      </c>
      <c r="T180">
        <f t="shared" ref="T180" si="879">S180/1000</f>
        <v>-0.160564773089791</v>
      </c>
    </row>
    <row r="181" spans="1:20" x14ac:dyDescent="0.25">
      <c r="A181" s="5">
        <v>44412</v>
      </c>
      <c r="B181">
        <v>1.363</v>
      </c>
      <c r="C181">
        <v>1.4490000000000001</v>
      </c>
      <c r="D181">
        <v>1.341</v>
      </c>
      <c r="E181">
        <v>1.403</v>
      </c>
      <c r="F181">
        <v>1682424.659</v>
      </c>
      <c r="G181">
        <v>1.403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0.14814814814814814</v>
      </c>
      <c r="Q181">
        <f t="shared" ref="Q181" si="881">F181*P181</f>
        <v>249248.0976296296</v>
      </c>
      <c r="R181">
        <f t="shared" ref="R181" si="882">R182+Q181</f>
        <v>-18515673.51119338</v>
      </c>
      <c r="S181">
        <f t="shared" ref="S181" si="883">R181/100000</f>
        <v>-185.15673511193378</v>
      </c>
      <c r="T181">
        <f t="shared" ref="T181" si="884">S181/1000</f>
        <v>-0.18515673511193378</v>
      </c>
    </row>
    <row r="182" spans="1:20" x14ac:dyDescent="0.25">
      <c r="A182" s="5">
        <v>44411</v>
      </c>
      <c r="B182">
        <v>1.413</v>
      </c>
      <c r="C182">
        <v>1.431</v>
      </c>
      <c r="D182">
        <v>1.3240000000000001</v>
      </c>
      <c r="E182">
        <v>1.3640000000000001</v>
      </c>
      <c r="F182">
        <v>1941854.55</v>
      </c>
      <c r="G182">
        <v>1.3640000000000001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-0.25233644859813009</v>
      </c>
      <c r="Q182">
        <f t="shared" ref="Q182" si="886">F182*P182</f>
        <v>-490000.68084112008</v>
      </c>
      <c r="R182">
        <f t="shared" ref="R182" si="887">R183+Q182</f>
        <v>-18764921.608823009</v>
      </c>
      <c r="S182">
        <f t="shared" ref="S182" si="888">R182/100000</f>
        <v>-187.64921608823008</v>
      </c>
      <c r="T182">
        <f t="shared" ref="T182" si="889">S182/1000</f>
        <v>-0.18764921608823007</v>
      </c>
    </row>
    <row r="183" spans="1:20" x14ac:dyDescent="0.25">
      <c r="A183" s="5">
        <v>44410</v>
      </c>
      <c r="B183">
        <v>1.4550000000000001</v>
      </c>
      <c r="C183">
        <v>1.504</v>
      </c>
      <c r="D183">
        <v>1.3979999999999999</v>
      </c>
      <c r="E183">
        <v>1.41</v>
      </c>
      <c r="F183">
        <v>2016955.399</v>
      </c>
      <c r="G183">
        <v>1.41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-0.77358490566037741</v>
      </c>
      <c r="Q183">
        <f t="shared" ref="Q183" si="891">F183*P183</f>
        <v>-1560286.2520566038</v>
      </c>
      <c r="R183">
        <f t="shared" ref="R183" si="892">R184+Q183</f>
        <v>-18274920.927981887</v>
      </c>
      <c r="S183">
        <f t="shared" ref="S183" si="893">R183/100000</f>
        <v>-182.74920927981887</v>
      </c>
      <c r="T183">
        <f t="shared" ref="T183" si="894">S183/1000</f>
        <v>-0.18274920927981886</v>
      </c>
    </row>
    <row r="184" spans="1:20" x14ac:dyDescent="0.25">
      <c r="A184" s="5">
        <v>44409</v>
      </c>
      <c r="B184">
        <v>1.38</v>
      </c>
      <c r="C184">
        <v>1.53</v>
      </c>
      <c r="D184">
        <v>1.375</v>
      </c>
      <c r="E184">
        <v>1.4550000000000001</v>
      </c>
      <c r="F184">
        <v>3669055.8769999999</v>
      </c>
      <c r="G184">
        <v>1.4550000000000001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3.2258064516129774E-2</v>
      </c>
      <c r="Q184">
        <f t="shared" ref="Q184" si="896">F184*P184</f>
        <v>118356.6411935511</v>
      </c>
      <c r="R184">
        <f t="shared" ref="R184" si="897">R185+Q184</f>
        <v>-16714634.675925283</v>
      </c>
      <c r="S184">
        <f t="shared" ref="S184" si="898">R184/100000</f>
        <v>-167.14634675925282</v>
      </c>
      <c r="T184">
        <f t="shared" ref="T184" si="899">S184/1000</f>
        <v>-0.16714634675925283</v>
      </c>
    </row>
    <row r="185" spans="1:20" x14ac:dyDescent="0.25">
      <c r="A185" s="5">
        <v>44408</v>
      </c>
      <c r="B185">
        <v>1.39</v>
      </c>
      <c r="C185">
        <v>1.4119999999999999</v>
      </c>
      <c r="D185">
        <v>1.359</v>
      </c>
      <c r="E185">
        <v>1.38</v>
      </c>
      <c r="F185">
        <v>1870638.2290000001</v>
      </c>
      <c r="G185">
        <v>1.38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-0.20754716981132329</v>
      </c>
      <c r="Q185">
        <f t="shared" ref="Q185" si="901">F185*P185</f>
        <v>-388245.67016981606</v>
      </c>
      <c r="R185">
        <f t="shared" ref="R185" si="902">R186+Q185</f>
        <v>-16832991.317118835</v>
      </c>
      <c r="S185">
        <f t="shared" ref="S185" si="903">R185/100000</f>
        <v>-168.32991317118834</v>
      </c>
      <c r="T185">
        <f t="shared" ref="T185" si="904">S185/1000</f>
        <v>-0.16832991317118834</v>
      </c>
    </row>
    <row r="186" spans="1:20" x14ac:dyDescent="0.25">
      <c r="A186" s="5">
        <v>44407</v>
      </c>
      <c r="B186">
        <v>1.36</v>
      </c>
      <c r="C186">
        <v>1.405</v>
      </c>
      <c r="D186">
        <v>1.2889999999999999</v>
      </c>
      <c r="E186">
        <v>1.387</v>
      </c>
      <c r="F186">
        <v>2387269.4249999998</v>
      </c>
      <c r="G186">
        <v>1.387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0.68965517241379315</v>
      </c>
      <c r="Q186">
        <f t="shared" ref="Q186" si="906">F186*P186</f>
        <v>1646392.7068965517</v>
      </c>
      <c r="R186">
        <f t="shared" ref="R186" si="907">R187+Q186</f>
        <v>-16444745.646949019</v>
      </c>
      <c r="S186">
        <f t="shared" ref="S186" si="908">R186/100000</f>
        <v>-164.44745646949019</v>
      </c>
      <c r="T186">
        <f t="shared" ref="T186" si="909">S186/1000</f>
        <v>-0.16444745646949019</v>
      </c>
    </row>
    <row r="187" spans="1:20" x14ac:dyDescent="0.25">
      <c r="A187" s="5">
        <v>44406</v>
      </c>
      <c r="B187">
        <v>1.327</v>
      </c>
      <c r="C187">
        <v>1.419</v>
      </c>
      <c r="D187">
        <v>1.3009999999999999</v>
      </c>
      <c r="E187">
        <v>1.3560000000000001</v>
      </c>
      <c r="F187">
        <v>3042209.6919999998</v>
      </c>
      <c r="G187">
        <v>1.3560000000000001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-6.7796610169489638E-2</v>
      </c>
      <c r="Q187">
        <f t="shared" ref="Q187" si="911">F187*P187</f>
        <v>-206251.50454236713</v>
      </c>
      <c r="R187">
        <f t="shared" ref="R187" si="912">R188+Q187</f>
        <v>-18091138.35384557</v>
      </c>
      <c r="S187">
        <f t="shared" ref="S187" si="913">R187/100000</f>
        <v>-180.91138353845571</v>
      </c>
      <c r="T187">
        <f t="shared" ref="T187" si="914">S187/1000</f>
        <v>-0.18091138353845571</v>
      </c>
    </row>
    <row r="188" spans="1:20" x14ac:dyDescent="0.25">
      <c r="A188" s="5">
        <v>44405</v>
      </c>
      <c r="B188">
        <v>1.3080000000000001</v>
      </c>
      <c r="C188">
        <v>1.3740000000000001</v>
      </c>
      <c r="D188">
        <v>1.2709999999999999</v>
      </c>
      <c r="E188">
        <v>1.327</v>
      </c>
      <c r="F188">
        <v>2760661.0970000001</v>
      </c>
      <c r="G188">
        <v>1.327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8.7378640776697852E-2</v>
      </c>
      <c r="Q188">
        <f t="shared" ref="Q188" si="916">F188*P188</f>
        <v>241222.81430096764</v>
      </c>
      <c r="R188">
        <f t="shared" ref="R188" si="917">R189+Q188</f>
        <v>-17884886.849303205</v>
      </c>
      <c r="S188">
        <f t="shared" ref="S188" si="918">R188/100000</f>
        <v>-178.84886849303206</v>
      </c>
      <c r="T188">
        <f t="shared" ref="T188" si="919">S188/1000</f>
        <v>-0.17884886849303205</v>
      </c>
    </row>
    <row r="189" spans="1:20" x14ac:dyDescent="0.25">
      <c r="A189" s="5">
        <v>44404</v>
      </c>
      <c r="B189">
        <v>1.2969999999999999</v>
      </c>
      <c r="C189">
        <v>1.3560000000000001</v>
      </c>
      <c r="D189">
        <v>1.232</v>
      </c>
      <c r="E189">
        <v>1.3080000000000001</v>
      </c>
      <c r="F189">
        <v>2521265.713</v>
      </c>
      <c r="G189">
        <v>1.3080000000000001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0.22580645161290322</v>
      </c>
      <c r="Q189">
        <f t="shared" ref="Q189" si="921">F189*P189</f>
        <v>569318.06422580639</v>
      </c>
      <c r="R189">
        <f t="shared" ref="R189" si="922">R190+Q189</f>
        <v>-18126109.663604174</v>
      </c>
      <c r="S189">
        <f t="shared" ref="S189" si="923">R189/100000</f>
        <v>-181.26109663604174</v>
      </c>
      <c r="T189">
        <f t="shared" ref="T189" si="924">S189/1000</f>
        <v>-0.18126109663604173</v>
      </c>
    </row>
    <row r="190" spans="1:20" x14ac:dyDescent="0.25">
      <c r="A190" s="5">
        <v>44403</v>
      </c>
      <c r="B190">
        <v>1.242</v>
      </c>
      <c r="C190">
        <v>1.476</v>
      </c>
      <c r="D190">
        <v>1.2390000000000001</v>
      </c>
      <c r="E190">
        <v>1.2969999999999999</v>
      </c>
      <c r="F190">
        <v>5614889.9440000001</v>
      </c>
      <c r="G190">
        <v>1.2969999999999999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-0.51054852320675226</v>
      </c>
      <c r="Q190">
        <f t="shared" ref="Q190" si="926">F190*P190</f>
        <v>-2866673.7688776441</v>
      </c>
      <c r="R190">
        <f t="shared" ref="R190" si="927">R191+Q190</f>
        <v>-18695427.727829982</v>
      </c>
      <c r="S190">
        <f t="shared" ref="S190" si="928">R190/100000</f>
        <v>-186.95427727829983</v>
      </c>
      <c r="T190">
        <f t="shared" ref="T190" si="929">S190/1000</f>
        <v>-0.18695427727829983</v>
      </c>
    </row>
    <row r="191" spans="1:20" x14ac:dyDescent="0.25">
      <c r="A191" s="5">
        <v>44402</v>
      </c>
      <c r="B191">
        <v>1.2250000000000001</v>
      </c>
      <c r="C191">
        <v>1.266</v>
      </c>
      <c r="D191">
        <v>1.169</v>
      </c>
      <c r="E191">
        <v>1.244</v>
      </c>
      <c r="F191">
        <v>1508610.4950000001</v>
      </c>
      <c r="G191">
        <v>1.244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0.54639175257731909</v>
      </c>
      <c r="Q191">
        <f t="shared" ref="Q191" si="931">F191*P191</f>
        <v>824292.33231958689</v>
      </c>
      <c r="R191">
        <f t="shared" ref="R191" si="932">R192+Q191</f>
        <v>-15828753.958952338</v>
      </c>
      <c r="S191">
        <f t="shared" ref="S191" si="933">R191/100000</f>
        <v>-158.28753958952336</v>
      </c>
      <c r="T191">
        <f t="shared" ref="T191:T197" si="934">S191/1000</f>
        <v>-0.15828753958952335</v>
      </c>
    </row>
    <row r="192" spans="1:20" x14ac:dyDescent="0.25">
      <c r="A192" s="5">
        <v>44401</v>
      </c>
      <c r="B192">
        <v>1.167</v>
      </c>
      <c r="C192">
        <v>1.266</v>
      </c>
      <c r="D192">
        <v>1.1499999999999999</v>
      </c>
      <c r="E192">
        <v>1.226</v>
      </c>
      <c r="F192">
        <v>2980309.9929999998</v>
      </c>
      <c r="G192">
        <v>1.226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0.31034482758620691</v>
      </c>
      <c r="Q192">
        <f t="shared" ref="Q192" si="936">F192*P192</f>
        <v>924923.79093103448</v>
      </c>
      <c r="R192">
        <f t="shared" ref="R192" si="937">R193+Q192</f>
        <v>-16653046.291271925</v>
      </c>
      <c r="S192">
        <f t="shared" ref="S192" si="938">R192/100000</f>
        <v>-166.53046291271926</v>
      </c>
      <c r="T192">
        <f t="shared" si="934"/>
        <v>-0.16653046291271925</v>
      </c>
    </row>
    <row r="193" spans="1:20" x14ac:dyDescent="0.25">
      <c r="A193" s="5">
        <v>44400</v>
      </c>
      <c r="B193">
        <v>1.1299999999999999</v>
      </c>
      <c r="C193">
        <v>1.18</v>
      </c>
      <c r="D193">
        <v>1.1040000000000001</v>
      </c>
      <c r="E193">
        <v>1.169</v>
      </c>
      <c r="F193">
        <v>1539497.5260000001</v>
      </c>
      <c r="G193">
        <v>1.169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0.71052631578947578</v>
      </c>
      <c r="Q193">
        <f t="shared" ref="Q193" si="940">F193*P193</f>
        <v>1093853.5053157927</v>
      </c>
      <c r="R193">
        <f t="shared" ref="R193" si="941">R194+Q193</f>
        <v>-17577970.08220296</v>
      </c>
      <c r="S193">
        <f t="shared" ref="S193" si="942">R193/100000</f>
        <v>-175.77970082202961</v>
      </c>
      <c r="T193">
        <f t="shared" si="934"/>
        <v>-0.17577970082202962</v>
      </c>
    </row>
    <row r="194" spans="1:20" x14ac:dyDescent="0.25">
      <c r="A194" s="5">
        <v>44399</v>
      </c>
      <c r="B194">
        <v>1.109</v>
      </c>
      <c r="C194">
        <v>1.159</v>
      </c>
      <c r="D194">
        <v>1.0840000000000001</v>
      </c>
      <c r="E194">
        <v>1.1279999999999999</v>
      </c>
      <c r="F194">
        <v>1307545.953</v>
      </c>
      <c r="G194">
        <v>1.1279999999999999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0.17333333333332915</v>
      </c>
      <c r="Q194">
        <f t="shared" ref="Q194" si="944">F194*P194</f>
        <v>226641.29851999451</v>
      </c>
      <c r="R194">
        <f t="shared" ref="R194" si="945">R195+Q194</f>
        <v>-18671823.587518752</v>
      </c>
      <c r="S194">
        <f t="shared" ref="S194" si="946">R194/100000</f>
        <v>-186.7182358751875</v>
      </c>
      <c r="T194">
        <f t="shared" si="934"/>
        <v>-0.18671823587518752</v>
      </c>
    </row>
    <row r="195" spans="1:20" x14ac:dyDescent="0.25">
      <c r="A195" s="5">
        <v>44398</v>
      </c>
      <c r="B195">
        <v>1.0269999999999999</v>
      </c>
      <c r="C195">
        <v>1.145</v>
      </c>
      <c r="D195">
        <v>1.01</v>
      </c>
      <c r="E195">
        <v>1.1120000000000001</v>
      </c>
      <c r="F195">
        <v>1658454.9550000001</v>
      </c>
      <c r="G195">
        <v>1.1120000000000001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0.5111111111111124</v>
      </c>
      <c r="Q195">
        <f t="shared" ref="Q195" si="948">F195*P195</f>
        <v>847654.75477777992</v>
      </c>
      <c r="R195">
        <f t="shared" ref="R195" si="949">R196+Q195</f>
        <v>-18898464.886038747</v>
      </c>
      <c r="S195">
        <f t="shared" ref="S195" si="950">R195/100000</f>
        <v>-188.98464886038747</v>
      </c>
      <c r="T195">
        <f t="shared" si="934"/>
        <v>-0.18898464886038746</v>
      </c>
    </row>
    <row r="196" spans="1:20" x14ac:dyDescent="0.25">
      <c r="A196" s="5">
        <v>44397</v>
      </c>
      <c r="B196">
        <v>1.1240000000000001</v>
      </c>
      <c r="C196">
        <v>1.1499999999999999</v>
      </c>
      <c r="D196">
        <v>1</v>
      </c>
      <c r="E196">
        <v>1.0269999999999999</v>
      </c>
      <c r="F196">
        <v>2194492.156</v>
      </c>
      <c r="G196">
        <v>1.0269999999999999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-0.6400000000000009</v>
      </c>
      <c r="Q196">
        <f t="shared" ref="Q196" si="952">F196*P196</f>
        <v>-1404474.979840002</v>
      </c>
      <c r="R196">
        <f t="shared" ref="R196" si="953">R197+Q196</f>
        <v>-19746119.640816528</v>
      </c>
      <c r="S196">
        <f t="shared" ref="S196" si="954">R196/100000</f>
        <v>-197.46119640816528</v>
      </c>
      <c r="T196">
        <f t="shared" si="934"/>
        <v>-0.19746119640816528</v>
      </c>
    </row>
    <row r="197" spans="1:20" x14ac:dyDescent="0.25">
      <c r="A197" s="5">
        <v>44396</v>
      </c>
      <c r="B197">
        <v>1.1879999999999999</v>
      </c>
      <c r="C197">
        <v>1.1919999999999999</v>
      </c>
      <c r="D197">
        <v>1.0740000000000001</v>
      </c>
      <c r="E197">
        <v>1.123</v>
      </c>
      <c r="F197">
        <v>1658483.872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-0.16949152542372914</v>
      </c>
      <c r="Q197">
        <f t="shared" ref="Q197" si="956">F197*P197</f>
        <v>-281098.96135593276</v>
      </c>
      <c r="R197">
        <f t="shared" ref="R197" si="957">R198+Q197</f>
        <v>-18341644.660976525</v>
      </c>
      <c r="S197">
        <f t="shared" ref="S197" si="958">R197/100000</f>
        <v>-183.41644660976525</v>
      </c>
      <c r="T197">
        <f t="shared" si="934"/>
        <v>-0.18341644660976525</v>
      </c>
    </row>
    <row r="198" spans="1:20" x14ac:dyDescent="0.25">
      <c r="A198" s="5">
        <v>44395</v>
      </c>
      <c r="B198">
        <v>1.1950000000000001</v>
      </c>
      <c r="C198">
        <v>1.248</v>
      </c>
      <c r="D198">
        <v>1.1619999999999999</v>
      </c>
      <c r="E198">
        <v>1.19</v>
      </c>
      <c r="F198">
        <v>1091950.128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-0.34883720930232559</v>
      </c>
      <c r="Q198">
        <f t="shared" ref="Q198:Q261" si="960">F198*P198</f>
        <v>-380912.83534883725</v>
      </c>
      <c r="R198">
        <f t="shared" ref="R198:R261" si="961">R199+Q198</f>
        <v>-18060545.699620593</v>
      </c>
      <c r="S198">
        <f t="shared" ref="S198:S261" si="962">R198/100000</f>
        <v>-180.60545699620593</v>
      </c>
      <c r="T198">
        <f t="shared" ref="T198:T261" si="963">S198/1000</f>
        <v>-0.18060545699620592</v>
      </c>
    </row>
    <row r="199" spans="1:20" x14ac:dyDescent="0.25">
      <c r="A199" s="5">
        <v>44394</v>
      </c>
      <c r="B199">
        <v>1.163</v>
      </c>
      <c r="C199">
        <v>1.24</v>
      </c>
      <c r="D199">
        <v>1.135</v>
      </c>
      <c r="E199">
        <v>1.1950000000000001</v>
      </c>
      <c r="F199">
        <v>1903736.1850000001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0.14285714285714407</v>
      </c>
      <c r="Q199">
        <f t="shared" si="960"/>
        <v>271962.31214285945</v>
      </c>
      <c r="R199">
        <f t="shared" si="961"/>
        <v>-17679632.864271756</v>
      </c>
      <c r="S199">
        <f t="shared" si="962"/>
        <v>-176.79632864271755</v>
      </c>
      <c r="T199">
        <f t="shared" si="963"/>
        <v>-0.17679632864271755</v>
      </c>
    </row>
    <row r="200" spans="1:20" x14ac:dyDescent="0.25">
      <c r="A200" s="5">
        <v>44393</v>
      </c>
      <c r="B200">
        <v>1.359</v>
      </c>
      <c r="C200">
        <v>1.405</v>
      </c>
      <c r="D200">
        <v>1.1599999999999999</v>
      </c>
      <c r="E200">
        <v>1.1659999999999999</v>
      </c>
      <c r="F200">
        <v>3430701.4019999998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-0.95102040816326527</v>
      </c>
      <c r="Q200">
        <f t="shared" si="960"/>
        <v>-3262667.0476163263</v>
      </c>
      <c r="R200">
        <f t="shared" si="961"/>
        <v>-17951595.176414616</v>
      </c>
      <c r="S200">
        <f t="shared" si="962"/>
        <v>-179.51595176414617</v>
      </c>
      <c r="T200">
        <f t="shared" si="963"/>
        <v>-0.17951595176414617</v>
      </c>
    </row>
    <row r="201" spans="1:20" x14ac:dyDescent="0.25">
      <c r="A201" s="5">
        <v>44392</v>
      </c>
      <c r="B201">
        <v>1.377</v>
      </c>
      <c r="C201">
        <v>1.5089999999999999</v>
      </c>
      <c r="D201">
        <v>1.319</v>
      </c>
      <c r="E201">
        <v>1.361</v>
      </c>
      <c r="F201">
        <v>3111742.7710000002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-0.55789473684210478</v>
      </c>
      <c r="Q201">
        <f t="shared" si="960"/>
        <v>-1736024.9143473669</v>
      </c>
      <c r="R201">
        <f t="shared" si="961"/>
        <v>-14688928.128798291</v>
      </c>
      <c r="S201">
        <f t="shared" si="962"/>
        <v>-146.88928128798293</v>
      </c>
      <c r="T201">
        <f t="shared" si="963"/>
        <v>-0.14688928128798293</v>
      </c>
    </row>
    <row r="202" spans="1:20" x14ac:dyDescent="0.25">
      <c r="A202" s="5">
        <v>44391</v>
      </c>
      <c r="B202">
        <v>1.3979999999999999</v>
      </c>
      <c r="C202">
        <v>1.4570000000000001</v>
      </c>
      <c r="D202">
        <v>1.3149999999999999</v>
      </c>
      <c r="E202">
        <v>1.377</v>
      </c>
      <c r="F202">
        <v>4286501.0990000004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-0.12676056338028169</v>
      </c>
      <c r="Q202">
        <f t="shared" si="960"/>
        <v>-543359.29423943663</v>
      </c>
      <c r="R202">
        <f t="shared" si="961"/>
        <v>-12952903.214450924</v>
      </c>
      <c r="S202">
        <f t="shared" si="962"/>
        <v>-129.52903214450924</v>
      </c>
      <c r="T202">
        <f t="shared" si="963"/>
        <v>-0.12952903214450925</v>
      </c>
    </row>
    <row r="203" spans="1:20" x14ac:dyDescent="0.25">
      <c r="A203" s="5">
        <v>44390</v>
      </c>
      <c r="B203">
        <v>1.4450000000000001</v>
      </c>
      <c r="C203">
        <v>1.59</v>
      </c>
      <c r="D203">
        <v>1.371</v>
      </c>
      <c r="E203">
        <v>1.401</v>
      </c>
      <c r="F203">
        <v>8438493.6009999998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-0.72602739726027388</v>
      </c>
      <c r="Q203">
        <f t="shared" si="960"/>
        <v>-6126577.545931506</v>
      </c>
      <c r="R203">
        <f t="shared" si="961"/>
        <v>-12409543.920211487</v>
      </c>
      <c r="S203">
        <f t="shared" si="962"/>
        <v>-124.09543920211486</v>
      </c>
      <c r="T203">
        <f t="shared" si="963"/>
        <v>-0.12409543920211485</v>
      </c>
    </row>
    <row r="204" spans="1:20" x14ac:dyDescent="0.25">
      <c r="A204" s="5">
        <v>44389</v>
      </c>
      <c r="B204">
        <v>1.395</v>
      </c>
      <c r="C204">
        <v>1.5409999999999999</v>
      </c>
      <c r="D204">
        <v>1.2769999999999999</v>
      </c>
      <c r="E204">
        <v>1.446</v>
      </c>
      <c r="F204">
        <v>5133157.7290000003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0.28030303030303055</v>
      </c>
      <c r="Q204">
        <f t="shared" si="960"/>
        <v>1438839.6664621225</v>
      </c>
      <c r="R204">
        <f t="shared" si="961"/>
        <v>-6282966.3742799815</v>
      </c>
      <c r="S204">
        <f t="shared" si="962"/>
        <v>-62.829663742799816</v>
      </c>
      <c r="T204">
        <f t="shared" si="963"/>
        <v>-6.2829663742799816E-2</v>
      </c>
    </row>
    <row r="205" spans="1:20" x14ac:dyDescent="0.25">
      <c r="A205" s="5">
        <v>44388</v>
      </c>
      <c r="B205">
        <v>1.282</v>
      </c>
      <c r="C205">
        <v>1.42</v>
      </c>
      <c r="D205">
        <v>1.27</v>
      </c>
      <c r="E205">
        <v>1.395</v>
      </c>
      <c r="F205">
        <v>1657281.5009999999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0.66666666666666763</v>
      </c>
      <c r="Q205">
        <f t="shared" si="960"/>
        <v>1104854.3340000017</v>
      </c>
      <c r="R205">
        <f t="shared" si="961"/>
        <v>-7721806.0407421039</v>
      </c>
      <c r="S205">
        <f t="shared" si="962"/>
        <v>-77.218060407421035</v>
      </c>
      <c r="T205">
        <f t="shared" si="963"/>
        <v>-7.7218060407421032E-2</v>
      </c>
    </row>
    <row r="206" spans="1:20" x14ac:dyDescent="0.25">
      <c r="A206" s="5">
        <v>44387</v>
      </c>
      <c r="B206">
        <v>1.3009999999999999</v>
      </c>
      <c r="C206">
        <v>1.347</v>
      </c>
      <c r="D206">
        <v>1.2410000000000001</v>
      </c>
      <c r="E206">
        <v>1.28</v>
      </c>
      <c r="F206">
        <v>1905470.324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-0.26415094339622697</v>
      </c>
      <c r="Q206">
        <f t="shared" si="960"/>
        <v>-503331.78369811428</v>
      </c>
      <c r="R206">
        <f t="shared" si="961"/>
        <v>-8826660.3747421056</v>
      </c>
      <c r="S206">
        <f t="shared" si="962"/>
        <v>-88.266603747421058</v>
      </c>
      <c r="T206">
        <f t="shared" si="963"/>
        <v>-8.8266603747421055E-2</v>
      </c>
    </row>
    <row r="207" spans="1:20" x14ac:dyDescent="0.25">
      <c r="A207" s="5">
        <v>44386</v>
      </c>
      <c r="B207">
        <v>1.2270000000000001</v>
      </c>
      <c r="C207">
        <v>1.3240000000000001</v>
      </c>
      <c r="D207">
        <v>1.17</v>
      </c>
      <c r="E207">
        <v>1.3009999999999999</v>
      </c>
      <c r="F207">
        <v>2321973.6140000001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0.70129870129869987</v>
      </c>
      <c r="Q207">
        <f t="shared" si="960"/>
        <v>1628397.0799480486</v>
      </c>
      <c r="R207">
        <f t="shared" si="961"/>
        <v>-8323328.591043992</v>
      </c>
      <c r="S207">
        <f t="shared" si="962"/>
        <v>-83.233285910439918</v>
      </c>
      <c r="T207">
        <f t="shared" si="963"/>
        <v>-8.3233285910439922E-2</v>
      </c>
    </row>
    <row r="208" spans="1:20" x14ac:dyDescent="0.25">
      <c r="A208" s="5">
        <v>44385</v>
      </c>
      <c r="B208">
        <v>1.292</v>
      </c>
      <c r="C208">
        <v>1.306</v>
      </c>
      <c r="D208">
        <v>1.175</v>
      </c>
      <c r="E208">
        <v>1.234</v>
      </c>
      <c r="F208">
        <v>3395918.61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-9.9236641221374974E-2</v>
      </c>
      <c r="Q208">
        <f t="shared" si="960"/>
        <v>-336999.55671756039</v>
      </c>
      <c r="R208">
        <f t="shared" si="961"/>
        <v>-9951725.670992041</v>
      </c>
      <c r="S208">
        <f t="shared" si="962"/>
        <v>-99.517256709920403</v>
      </c>
      <c r="T208">
        <f t="shared" si="963"/>
        <v>-9.9517256709920399E-2</v>
      </c>
    </row>
    <row r="209" spans="1:20" x14ac:dyDescent="0.25">
      <c r="A209" s="5">
        <v>44384</v>
      </c>
      <c r="B209">
        <v>1.236</v>
      </c>
      <c r="C209">
        <v>1.395</v>
      </c>
      <c r="D209">
        <v>1.216</v>
      </c>
      <c r="E209">
        <v>1.292</v>
      </c>
      <c r="F209">
        <v>5147640.4720000001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-0.15083798882681512</v>
      </c>
      <c r="Q209">
        <f t="shared" si="960"/>
        <v>-776459.73599999736</v>
      </c>
      <c r="R209">
        <f t="shared" si="961"/>
        <v>-9614726.1142744813</v>
      </c>
      <c r="S209">
        <f t="shared" si="962"/>
        <v>-96.14726114274481</v>
      </c>
      <c r="T209">
        <f t="shared" si="963"/>
        <v>-9.6147261142744814E-2</v>
      </c>
    </row>
    <row r="210" spans="1:20" x14ac:dyDescent="0.25">
      <c r="A210" s="5">
        <v>44383</v>
      </c>
      <c r="B210">
        <v>1.1359999999999999</v>
      </c>
      <c r="C210">
        <v>1.2889999999999999</v>
      </c>
      <c r="D210">
        <v>1.135</v>
      </c>
      <c r="E210">
        <v>1.2370000000000001</v>
      </c>
      <c r="F210">
        <v>4364288.6469999999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0.32467532467532656</v>
      </c>
      <c r="Q210">
        <f t="shared" si="960"/>
        <v>1416976.8334415667</v>
      </c>
      <c r="R210">
        <f t="shared" si="961"/>
        <v>-8838266.3782744836</v>
      </c>
      <c r="S210">
        <f t="shared" si="962"/>
        <v>-88.382663782744842</v>
      </c>
      <c r="T210">
        <f t="shared" si="963"/>
        <v>-8.8382663782744841E-2</v>
      </c>
    </row>
    <row r="211" spans="1:20" x14ac:dyDescent="0.25">
      <c r="A211" s="5">
        <v>44382</v>
      </c>
      <c r="B211">
        <v>1.1850000000000001</v>
      </c>
      <c r="C211">
        <v>1.1890000000000001</v>
      </c>
      <c r="D211">
        <v>1.1200000000000001</v>
      </c>
      <c r="E211">
        <v>1.1339999999999999</v>
      </c>
      <c r="F211">
        <v>1025766.545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-0.59420289855073039</v>
      </c>
      <c r="Q211">
        <f t="shared" si="960"/>
        <v>-609513.45427536825</v>
      </c>
      <c r="R211">
        <f t="shared" si="961"/>
        <v>-10255243.21171605</v>
      </c>
      <c r="S211">
        <f t="shared" si="962"/>
        <v>-102.55243211716051</v>
      </c>
      <c r="T211">
        <f t="shared" si="963"/>
        <v>-0.1025524321171605</v>
      </c>
    </row>
    <row r="212" spans="1:20" x14ac:dyDescent="0.25">
      <c r="A212" s="5">
        <v>44381</v>
      </c>
      <c r="B212">
        <v>1.177</v>
      </c>
      <c r="C212">
        <v>1.228</v>
      </c>
      <c r="D212">
        <v>1.135</v>
      </c>
      <c r="E212">
        <v>1.1859999999999999</v>
      </c>
      <c r="F212">
        <v>1747444.3359999999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9.6774193548386012E-2</v>
      </c>
      <c r="Q212">
        <f t="shared" si="960"/>
        <v>169107.51638709486</v>
      </c>
      <c r="R212">
        <f t="shared" si="961"/>
        <v>-9645729.7574406825</v>
      </c>
      <c r="S212">
        <f t="shared" si="962"/>
        <v>-96.457297574406823</v>
      </c>
      <c r="T212">
        <f t="shared" si="963"/>
        <v>-9.6457297574406825E-2</v>
      </c>
    </row>
    <row r="213" spans="1:20" x14ac:dyDescent="0.25">
      <c r="A213" s="5">
        <v>44380</v>
      </c>
      <c r="B213">
        <v>1.163</v>
      </c>
      <c r="C213">
        <v>1.2090000000000001</v>
      </c>
      <c r="D213">
        <v>1.137</v>
      </c>
      <c r="E213">
        <v>1.177</v>
      </c>
      <c r="F213">
        <v>1296160.4410000001</v>
      </c>
      <c r="G213">
        <v>0</v>
      </c>
      <c r="L213" t="s">
        <v>7</v>
      </c>
      <c r="M213" t="s">
        <v>8</v>
      </c>
      <c r="N213" t="s">
        <v>7</v>
      </c>
      <c r="P213">
        <f t="shared" si="959"/>
        <v>0.1111111111111111</v>
      </c>
      <c r="Q213">
        <f t="shared" si="960"/>
        <v>144017.82677777778</v>
      </c>
      <c r="R213">
        <f t="shared" si="961"/>
        <v>-9814837.2738277782</v>
      </c>
      <c r="S213">
        <f t="shared" si="962"/>
        <v>-98.148372738277786</v>
      </c>
      <c r="T213">
        <f t="shared" si="963"/>
        <v>-9.8148372738277784E-2</v>
      </c>
    </row>
    <row r="214" spans="1:20" x14ac:dyDescent="0.25">
      <c r="A214" s="5">
        <v>44379</v>
      </c>
      <c r="B214">
        <v>1.143</v>
      </c>
      <c r="C214">
        <v>1.2190000000000001</v>
      </c>
      <c r="D214">
        <v>1.107</v>
      </c>
      <c r="E214">
        <v>1.163</v>
      </c>
      <c r="F214">
        <v>1449184.747</v>
      </c>
      <c r="G214">
        <v>0</v>
      </c>
      <c r="L214" t="s">
        <v>8</v>
      </c>
      <c r="M214" t="s">
        <v>8</v>
      </c>
      <c r="N214" t="s">
        <v>7</v>
      </c>
      <c r="P214">
        <f t="shared" si="959"/>
        <v>0</v>
      </c>
      <c r="Q214">
        <f t="shared" si="960"/>
        <v>0</v>
      </c>
      <c r="R214">
        <f t="shared" si="961"/>
        <v>-9958855.1006055567</v>
      </c>
      <c r="S214">
        <f t="shared" si="962"/>
        <v>-99.588551006055567</v>
      </c>
      <c r="T214">
        <f t="shared" si="963"/>
        <v>-9.958855100605557E-2</v>
      </c>
    </row>
    <row r="215" spans="1:20" x14ac:dyDescent="0.25">
      <c r="A215" s="5">
        <v>44378</v>
      </c>
      <c r="B215">
        <v>1.2150000000000001</v>
      </c>
      <c r="C215">
        <v>1.2150000000000001</v>
      </c>
      <c r="D215">
        <v>1.1060000000000001</v>
      </c>
      <c r="E215">
        <v>1.1439999999999999</v>
      </c>
      <c r="F215">
        <v>962524.87899999996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-0.302752293577985</v>
      </c>
      <c r="Q215">
        <f t="shared" si="960"/>
        <v>-291406.61474312248</v>
      </c>
      <c r="R215">
        <f t="shared" si="961"/>
        <v>-9958855.1006055567</v>
      </c>
      <c r="S215">
        <f t="shared" si="962"/>
        <v>-99.588551006055567</v>
      </c>
      <c r="T215">
        <f t="shared" si="963"/>
        <v>-9.958855100605557E-2</v>
      </c>
    </row>
    <row r="216" spans="1:20" x14ac:dyDescent="0.25">
      <c r="A216" s="5">
        <v>44377</v>
      </c>
      <c r="B216">
        <v>1.208</v>
      </c>
      <c r="C216">
        <v>1.2210000000000001</v>
      </c>
      <c r="D216">
        <v>1.1339999999999999</v>
      </c>
      <c r="E216">
        <v>1.2110000000000001</v>
      </c>
      <c r="F216">
        <v>1219677.3060000001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0.77011494252873591</v>
      </c>
      <c r="Q216">
        <f t="shared" si="960"/>
        <v>939291.71841379348</v>
      </c>
      <c r="R216">
        <f t="shared" si="961"/>
        <v>-9667448.4858624339</v>
      </c>
      <c r="S216">
        <f t="shared" si="962"/>
        <v>-96.674484858624339</v>
      </c>
      <c r="T216">
        <f t="shared" si="963"/>
        <v>-9.6674484858624343E-2</v>
      </c>
    </row>
    <row r="217" spans="1:20" x14ac:dyDescent="0.25">
      <c r="A217" s="5">
        <v>44376</v>
      </c>
      <c r="B217">
        <v>1.1519999999999999</v>
      </c>
      <c r="C217">
        <v>1.2729999999999999</v>
      </c>
      <c r="D217">
        <v>1.1499999999999999</v>
      </c>
      <c r="E217">
        <v>1.208</v>
      </c>
      <c r="F217">
        <v>2281208.929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-5.6910569105690208E-2</v>
      </c>
      <c r="Q217">
        <f t="shared" si="960"/>
        <v>-129824.89839837205</v>
      </c>
      <c r="R217">
        <f t="shared" si="961"/>
        <v>-10606740.204276228</v>
      </c>
      <c r="S217">
        <f t="shared" si="962"/>
        <v>-106.06740204276228</v>
      </c>
      <c r="T217">
        <f t="shared" si="963"/>
        <v>-0.10606740204276228</v>
      </c>
    </row>
    <row r="218" spans="1:20" x14ac:dyDescent="0.25">
      <c r="A218" s="5">
        <v>44375</v>
      </c>
      <c r="B218">
        <v>1.147</v>
      </c>
      <c r="C218">
        <v>1.196</v>
      </c>
      <c r="D218">
        <v>1.1160000000000001</v>
      </c>
      <c r="E218">
        <v>1.1519999999999999</v>
      </c>
      <c r="F218">
        <v>2448647.9580000001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-0.10000000000000306</v>
      </c>
      <c r="Q218">
        <f t="shared" si="960"/>
        <v>-244864.7958000075</v>
      </c>
      <c r="R218">
        <f t="shared" si="961"/>
        <v>-10476915.305877857</v>
      </c>
      <c r="S218">
        <f t="shared" si="962"/>
        <v>-104.76915305877857</v>
      </c>
      <c r="T218">
        <f t="shared" si="963"/>
        <v>-0.10476915305877857</v>
      </c>
    </row>
    <row r="219" spans="1:20" x14ac:dyDescent="0.25">
      <c r="A219" s="5">
        <v>44374</v>
      </c>
      <c r="B219">
        <v>1.1100000000000001</v>
      </c>
      <c r="C219">
        <v>1.1759999999999999</v>
      </c>
      <c r="D219">
        <v>1.0669999999999999</v>
      </c>
      <c r="E219">
        <v>1.1439999999999999</v>
      </c>
      <c r="F219">
        <v>1936468.879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0.41284403669724712</v>
      </c>
      <c r="Q219">
        <f t="shared" si="960"/>
        <v>799459.62894495297</v>
      </c>
      <c r="R219">
        <f t="shared" si="961"/>
        <v>-10232050.510077849</v>
      </c>
      <c r="S219">
        <f t="shared" si="962"/>
        <v>-102.32050510077849</v>
      </c>
      <c r="T219">
        <f t="shared" si="963"/>
        <v>-0.10232050510077849</v>
      </c>
    </row>
    <row r="220" spans="1:20" x14ac:dyDescent="0.25">
      <c r="A220" s="5">
        <v>44373</v>
      </c>
      <c r="B220">
        <v>1.0960000000000001</v>
      </c>
      <c r="C220">
        <v>1.115</v>
      </c>
      <c r="D220">
        <v>0.99099999999999999</v>
      </c>
      <c r="E220">
        <v>1.1080000000000001</v>
      </c>
      <c r="F220">
        <v>2085227.2830000001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0.88709677419355004</v>
      </c>
      <c r="Q220">
        <f t="shared" si="960"/>
        <v>1849798.3962096809</v>
      </c>
      <c r="R220">
        <f t="shared" si="961"/>
        <v>-11031510.139022803</v>
      </c>
      <c r="S220">
        <f t="shared" si="962"/>
        <v>-110.31510139022802</v>
      </c>
      <c r="T220">
        <f t="shared" si="963"/>
        <v>-0.11031510139022803</v>
      </c>
    </row>
    <row r="221" spans="1:20" x14ac:dyDescent="0.25">
      <c r="A221" s="5">
        <v>44372</v>
      </c>
      <c r="B221">
        <v>1.2070000000000001</v>
      </c>
      <c r="C221">
        <v>1.236</v>
      </c>
      <c r="D221">
        <v>1.056</v>
      </c>
      <c r="E221">
        <v>1.097</v>
      </c>
      <c r="F221">
        <v>1387453.524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-0.54444444444444506</v>
      </c>
      <c r="Q221">
        <f t="shared" si="960"/>
        <v>-755391.36306666746</v>
      </c>
      <c r="R221">
        <f t="shared" si="961"/>
        <v>-12881308.535232484</v>
      </c>
      <c r="S221">
        <f t="shared" si="962"/>
        <v>-128.81308535232483</v>
      </c>
      <c r="T221">
        <f t="shared" si="963"/>
        <v>-0.12881308535232483</v>
      </c>
    </row>
    <row r="222" spans="1:20" x14ac:dyDescent="0.25">
      <c r="A222" s="5">
        <v>44371</v>
      </c>
      <c r="B222">
        <v>1.1339999999999999</v>
      </c>
      <c r="C222">
        <v>1.2390000000000001</v>
      </c>
      <c r="D222">
        <v>1.0620000000000001</v>
      </c>
      <c r="E222">
        <v>1.2070000000000001</v>
      </c>
      <c r="F222">
        <v>1791233.9739999999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0.63841807909604498</v>
      </c>
      <c r="Q222">
        <f t="shared" si="960"/>
        <v>1143556.152892655</v>
      </c>
      <c r="R222">
        <f t="shared" si="961"/>
        <v>-12125917.172165817</v>
      </c>
      <c r="S222">
        <f t="shared" si="962"/>
        <v>-121.25917172165816</v>
      </c>
      <c r="T222">
        <f t="shared" si="963"/>
        <v>-0.12125917172165816</v>
      </c>
    </row>
    <row r="223" spans="1:20" x14ac:dyDescent="0.25">
      <c r="A223" s="5">
        <v>44370</v>
      </c>
      <c r="B223">
        <v>1.0429999999999999</v>
      </c>
      <c r="C223">
        <v>1.1890000000000001</v>
      </c>
      <c r="D223">
        <v>1.0009999999999999</v>
      </c>
      <c r="E223">
        <v>1.1339999999999999</v>
      </c>
      <c r="F223">
        <v>1288559.8500000001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0.41489361702127542</v>
      </c>
      <c r="Q223">
        <f t="shared" si="960"/>
        <v>534615.25691489212</v>
      </c>
      <c r="R223">
        <f t="shared" si="961"/>
        <v>-13269473.325058471</v>
      </c>
      <c r="S223">
        <f t="shared" si="962"/>
        <v>-132.6947332505847</v>
      </c>
      <c r="T223">
        <f t="shared" si="963"/>
        <v>-0.1326947332505847</v>
      </c>
    </row>
    <row r="224" spans="1:20" x14ac:dyDescent="0.25">
      <c r="A224" s="5">
        <v>44369</v>
      </c>
      <c r="B224">
        <v>1.1120000000000001</v>
      </c>
      <c r="C224">
        <v>1.206</v>
      </c>
      <c r="D224">
        <v>0.92100000000000004</v>
      </c>
      <c r="E224">
        <v>1.042</v>
      </c>
      <c r="F224">
        <v>3081809.4959999998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-0.15087719298245592</v>
      </c>
      <c r="Q224">
        <f t="shared" si="960"/>
        <v>-464974.76606315718</v>
      </c>
      <c r="R224">
        <f t="shared" si="961"/>
        <v>-13804088.581973363</v>
      </c>
      <c r="S224">
        <f t="shared" si="962"/>
        <v>-138.04088581973363</v>
      </c>
      <c r="T224">
        <f t="shared" si="963"/>
        <v>-0.13804088581973364</v>
      </c>
    </row>
    <row r="225" spans="1:20" x14ac:dyDescent="0.25">
      <c r="A225" s="5">
        <v>44368</v>
      </c>
      <c r="B225">
        <v>1.4139999999999999</v>
      </c>
      <c r="C225">
        <v>1.423</v>
      </c>
      <c r="D225">
        <v>1.1100000000000001</v>
      </c>
      <c r="E225">
        <v>1.1120000000000001</v>
      </c>
      <c r="F225">
        <v>2960962.5839999998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-0.98722044728434499</v>
      </c>
      <c r="Q225">
        <f t="shared" si="960"/>
        <v>-2923122.8065686896</v>
      </c>
      <c r="R225">
        <f t="shared" si="961"/>
        <v>-13339113.815910205</v>
      </c>
      <c r="S225">
        <f t="shared" si="962"/>
        <v>-133.39113815910204</v>
      </c>
      <c r="T225">
        <f t="shared" si="963"/>
        <v>-0.13339113815910203</v>
      </c>
    </row>
    <row r="226" spans="1:20" x14ac:dyDescent="0.25">
      <c r="A226" s="5">
        <v>44367</v>
      </c>
      <c r="B226">
        <v>1.419</v>
      </c>
      <c r="C226">
        <v>1.4390000000000001</v>
      </c>
      <c r="D226">
        <v>1.29</v>
      </c>
      <c r="E226">
        <v>1.413</v>
      </c>
      <c r="F226">
        <v>1566386.0889999999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0.6510067114093957</v>
      </c>
      <c r="Q226">
        <f t="shared" si="960"/>
        <v>1019727.8565973149</v>
      </c>
      <c r="R226">
        <f t="shared" si="961"/>
        <v>-10415991.009341516</v>
      </c>
      <c r="S226">
        <f t="shared" si="962"/>
        <v>-104.15991009341515</v>
      </c>
      <c r="T226">
        <f t="shared" si="963"/>
        <v>-0.10415991009341515</v>
      </c>
    </row>
    <row r="227" spans="1:20" x14ac:dyDescent="0.25">
      <c r="A227" s="5">
        <v>44366</v>
      </c>
      <c r="B227">
        <v>1.4339999999999999</v>
      </c>
      <c r="C227">
        <v>1.4810000000000001</v>
      </c>
      <c r="D227">
        <v>1.389</v>
      </c>
      <c r="E227">
        <v>1.4179999999999999</v>
      </c>
      <c r="F227">
        <v>883686.04299999995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-0.36956521739130677</v>
      </c>
      <c r="Q227">
        <f t="shared" si="960"/>
        <v>-326579.62458695861</v>
      </c>
      <c r="R227">
        <f t="shared" si="961"/>
        <v>-11435718.865938831</v>
      </c>
      <c r="S227">
        <f t="shared" si="962"/>
        <v>-114.35718865938831</v>
      </c>
      <c r="T227">
        <f t="shared" si="963"/>
        <v>-0.11435718865938832</v>
      </c>
    </row>
    <row r="228" spans="1:20" x14ac:dyDescent="0.25">
      <c r="A228" s="5">
        <v>44365</v>
      </c>
      <c r="B228">
        <v>1.542</v>
      </c>
      <c r="C228">
        <v>1.5580000000000001</v>
      </c>
      <c r="D228">
        <v>1.38</v>
      </c>
      <c r="E228">
        <v>1.4379999999999999</v>
      </c>
      <c r="F228">
        <v>1664532.9639999999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-0.34831460674157305</v>
      </c>
      <c r="Q228">
        <f t="shared" si="960"/>
        <v>-579781.1447640449</v>
      </c>
      <c r="R228">
        <f t="shared" si="961"/>
        <v>-11109139.241351873</v>
      </c>
      <c r="S228">
        <f t="shared" si="962"/>
        <v>-111.09139241351873</v>
      </c>
      <c r="T228">
        <f t="shared" si="963"/>
        <v>-0.11109139241351873</v>
      </c>
    </row>
    <row r="229" spans="1:20" x14ac:dyDescent="0.25">
      <c r="A229" s="5">
        <v>44364</v>
      </c>
      <c r="B229">
        <v>1.6339999999999999</v>
      </c>
      <c r="C229">
        <v>1.7070000000000001</v>
      </c>
      <c r="D229">
        <v>1.5149999999999999</v>
      </c>
      <c r="E229">
        <v>1.54</v>
      </c>
      <c r="F229">
        <v>1949468.1270000001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-0.73958333333333215</v>
      </c>
      <c r="Q229">
        <f t="shared" si="960"/>
        <v>-1441794.1355937477</v>
      </c>
      <c r="R229">
        <f t="shared" si="961"/>
        <v>-10529358.096587827</v>
      </c>
      <c r="S229">
        <f t="shared" si="962"/>
        <v>-105.29358096587828</v>
      </c>
      <c r="T229">
        <f t="shared" si="963"/>
        <v>-0.10529358096587828</v>
      </c>
    </row>
    <row r="230" spans="1:20" x14ac:dyDescent="0.25">
      <c r="A230" s="5">
        <v>44363</v>
      </c>
      <c r="B230">
        <v>1.627</v>
      </c>
      <c r="C230">
        <v>1.679</v>
      </c>
      <c r="D230">
        <v>1.5609999999999999</v>
      </c>
      <c r="E230">
        <v>1.633</v>
      </c>
      <c r="F230">
        <v>2278933.173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0.22033898305084745</v>
      </c>
      <c r="Q230">
        <f t="shared" si="960"/>
        <v>502137.81777966098</v>
      </c>
      <c r="R230">
        <f t="shared" si="961"/>
        <v>-9087563.9609940797</v>
      </c>
      <c r="S230">
        <f t="shared" si="962"/>
        <v>-90.875639609940791</v>
      </c>
      <c r="T230">
        <f t="shared" si="963"/>
        <v>-9.0875639609940786E-2</v>
      </c>
    </row>
    <row r="231" spans="1:20" x14ac:dyDescent="0.25">
      <c r="A231" s="5">
        <v>44362</v>
      </c>
      <c r="B231">
        <v>1.655</v>
      </c>
      <c r="C231">
        <v>1.712</v>
      </c>
      <c r="D231">
        <v>1.5920000000000001</v>
      </c>
      <c r="E231">
        <v>1.6279999999999999</v>
      </c>
      <c r="F231">
        <v>1723899.4550000001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-0.40000000000000258</v>
      </c>
      <c r="Q231">
        <f t="shared" si="960"/>
        <v>-689559.78200000443</v>
      </c>
      <c r="R231">
        <f t="shared" si="961"/>
        <v>-9589701.7787737399</v>
      </c>
      <c r="S231">
        <f t="shared" si="962"/>
        <v>-95.897017787737397</v>
      </c>
      <c r="T231">
        <f t="shared" si="963"/>
        <v>-9.589701778773739E-2</v>
      </c>
    </row>
    <row r="232" spans="1:20" x14ac:dyDescent="0.25">
      <c r="A232" s="5">
        <v>44361</v>
      </c>
      <c r="B232">
        <v>1.548</v>
      </c>
      <c r="C232">
        <v>1.724</v>
      </c>
      <c r="D232">
        <v>1.5269999999999999</v>
      </c>
      <c r="E232">
        <v>1.655</v>
      </c>
      <c r="F232">
        <v>2412590.2370000002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0.29949238578680276</v>
      </c>
      <c r="Q232">
        <f t="shared" si="960"/>
        <v>722552.406005078</v>
      </c>
      <c r="R232">
        <f t="shared" si="961"/>
        <v>-8900141.9967737347</v>
      </c>
      <c r="S232">
        <f t="shared" si="962"/>
        <v>-89.001419967737348</v>
      </c>
      <c r="T232">
        <f t="shared" si="963"/>
        <v>-8.9001419967737347E-2</v>
      </c>
    </row>
    <row r="233" spans="1:20" x14ac:dyDescent="0.25">
      <c r="A233" s="5">
        <v>44360</v>
      </c>
      <c r="B233">
        <v>1.4259999999999999</v>
      </c>
      <c r="C233">
        <v>1.5940000000000001</v>
      </c>
      <c r="D233">
        <v>1.391</v>
      </c>
      <c r="E233">
        <v>1.5469999999999999</v>
      </c>
      <c r="F233">
        <v>5308196.8030000003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0.53694581280788045</v>
      </c>
      <c r="Q233">
        <f t="shared" si="960"/>
        <v>2850214.0469310274</v>
      </c>
      <c r="R233">
        <f t="shared" si="961"/>
        <v>-9622694.4027788118</v>
      </c>
      <c r="S233">
        <f t="shared" si="962"/>
        <v>-96.226944027788122</v>
      </c>
      <c r="T233">
        <f t="shared" si="963"/>
        <v>-9.6226944027788128E-2</v>
      </c>
    </row>
    <row r="234" spans="1:20" x14ac:dyDescent="0.25">
      <c r="A234" s="5">
        <v>44359</v>
      </c>
      <c r="B234">
        <v>1.478</v>
      </c>
      <c r="C234">
        <v>1.52</v>
      </c>
      <c r="D234">
        <v>1.37</v>
      </c>
      <c r="E234">
        <v>1.423</v>
      </c>
      <c r="F234">
        <v>1952149.8640000001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-0.29333333333333378</v>
      </c>
      <c r="Q234">
        <f t="shared" si="960"/>
        <v>-572630.62677333422</v>
      </c>
      <c r="R234">
        <f t="shared" si="961"/>
        <v>-12472908.449709838</v>
      </c>
      <c r="S234">
        <f t="shared" si="962"/>
        <v>-124.72908449709838</v>
      </c>
      <c r="T234">
        <f t="shared" si="963"/>
        <v>-0.12472908449709838</v>
      </c>
    </row>
    <row r="235" spans="1:20" x14ac:dyDescent="0.25">
      <c r="A235" s="5">
        <v>44358</v>
      </c>
      <c r="B235">
        <v>1.613</v>
      </c>
      <c r="C235">
        <v>1.6679999999999999</v>
      </c>
      <c r="D235">
        <v>1.446</v>
      </c>
      <c r="E235">
        <v>1.48</v>
      </c>
      <c r="F235">
        <v>1692809.8740000001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-0.69369369369369338</v>
      </c>
      <c r="Q235">
        <f t="shared" si="960"/>
        <v>-1174291.5342162158</v>
      </c>
      <c r="R235">
        <f t="shared" si="961"/>
        <v>-11900277.822936503</v>
      </c>
      <c r="S235">
        <f t="shared" si="962"/>
        <v>-119.00277822936503</v>
      </c>
      <c r="T235">
        <f t="shared" si="963"/>
        <v>-0.11900277822936503</v>
      </c>
    </row>
    <row r="236" spans="1:20" x14ac:dyDescent="0.25">
      <c r="A236" s="5">
        <v>44357</v>
      </c>
      <c r="B236">
        <v>1.752</v>
      </c>
      <c r="C236">
        <v>1.7569999999999999</v>
      </c>
      <c r="D236">
        <v>1.544</v>
      </c>
      <c r="E236">
        <v>1.61</v>
      </c>
      <c r="F236">
        <v>2556144.523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-0.38028169014084412</v>
      </c>
      <c r="Q236">
        <f t="shared" si="960"/>
        <v>-972054.95945070183</v>
      </c>
      <c r="R236">
        <f t="shared" si="961"/>
        <v>-10725986.288720287</v>
      </c>
      <c r="S236">
        <f t="shared" si="962"/>
        <v>-107.25986288720287</v>
      </c>
      <c r="T236">
        <f t="shared" si="963"/>
        <v>-0.10725986288720288</v>
      </c>
    </row>
    <row r="237" spans="1:20" x14ac:dyDescent="0.25">
      <c r="A237" s="5">
        <v>44356</v>
      </c>
      <c r="B237">
        <v>1.6839999999999999</v>
      </c>
      <c r="C237">
        <v>1.8</v>
      </c>
      <c r="D237">
        <v>1.579</v>
      </c>
      <c r="E237">
        <v>1.75</v>
      </c>
      <c r="F237">
        <v>2664424.0610000002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0.54751131221719429</v>
      </c>
      <c r="Q237">
        <f t="shared" si="960"/>
        <v>1458802.3139411758</v>
      </c>
      <c r="R237">
        <f t="shared" si="961"/>
        <v>-9753931.3292695861</v>
      </c>
      <c r="S237">
        <f t="shared" si="962"/>
        <v>-97.539313292695866</v>
      </c>
      <c r="T237">
        <f t="shared" si="963"/>
        <v>-9.753931329269587E-2</v>
      </c>
    </row>
    <row r="238" spans="1:20" x14ac:dyDescent="0.25">
      <c r="A238" s="5">
        <v>44355</v>
      </c>
      <c r="B238">
        <v>1.7170000000000001</v>
      </c>
      <c r="C238">
        <v>1.78</v>
      </c>
      <c r="D238">
        <v>1.458</v>
      </c>
      <c r="E238">
        <v>1.6819999999999999</v>
      </c>
      <c r="F238">
        <v>4085908.0320000001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0.39130434782608653</v>
      </c>
      <c r="Q238">
        <f t="shared" si="960"/>
        <v>1598833.5777391288</v>
      </c>
      <c r="R238">
        <f t="shared" si="961"/>
        <v>-11212733.643210761</v>
      </c>
      <c r="S238">
        <f t="shared" si="962"/>
        <v>-112.12733643210761</v>
      </c>
      <c r="T238">
        <f t="shared" si="963"/>
        <v>-0.11212733643210761</v>
      </c>
    </row>
    <row r="239" spans="1:20" x14ac:dyDescent="0.25">
      <c r="A239" s="5">
        <v>44354</v>
      </c>
      <c r="B239">
        <v>1.8540000000000001</v>
      </c>
      <c r="C239">
        <v>2.093</v>
      </c>
      <c r="D239">
        <v>1.6859999999999999</v>
      </c>
      <c r="E239">
        <v>1.7150000000000001</v>
      </c>
      <c r="F239">
        <v>4443341.0449999999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-0.85749385749385687</v>
      </c>
      <c r="Q239">
        <f t="shared" si="960"/>
        <v>-3810137.6528378348</v>
      </c>
      <c r="R239">
        <f t="shared" si="961"/>
        <v>-12811567.22094989</v>
      </c>
      <c r="S239">
        <f t="shared" si="962"/>
        <v>-128.11567220949891</v>
      </c>
      <c r="T239">
        <f t="shared" si="963"/>
        <v>-0.1281156722094989</v>
      </c>
    </row>
    <row r="240" spans="1:20" x14ac:dyDescent="0.25">
      <c r="A240" s="5">
        <v>44353</v>
      </c>
      <c r="B240">
        <v>1.7709999999999999</v>
      </c>
      <c r="C240">
        <v>1.92</v>
      </c>
      <c r="D240">
        <v>1.748</v>
      </c>
      <c r="E240">
        <v>1.847</v>
      </c>
      <c r="F240">
        <v>1519766.8959999999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0.1511627906976746</v>
      </c>
      <c r="Q240">
        <f t="shared" si="960"/>
        <v>229732.2052093026</v>
      </c>
      <c r="R240">
        <f t="shared" si="961"/>
        <v>-9001429.5681120548</v>
      </c>
      <c r="S240">
        <f t="shared" si="962"/>
        <v>-90.014295681120544</v>
      </c>
      <c r="T240">
        <f t="shared" si="963"/>
        <v>-9.0014295681120543E-2</v>
      </c>
    </row>
    <row r="241" spans="1:20" x14ac:dyDescent="0.25">
      <c r="A241" s="5">
        <v>44352</v>
      </c>
      <c r="B241">
        <v>1.8660000000000001</v>
      </c>
      <c r="C241">
        <v>2.0259999999999998</v>
      </c>
      <c r="D241">
        <v>1.68</v>
      </c>
      <c r="E241">
        <v>1.7749999999999999</v>
      </c>
      <c r="F241">
        <v>2511547.523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-0.45086705202312133</v>
      </c>
      <c r="Q241">
        <f t="shared" si="960"/>
        <v>-1132374.0277109826</v>
      </c>
      <c r="R241">
        <f t="shared" si="961"/>
        <v>-9231161.7733213566</v>
      </c>
      <c r="S241">
        <f t="shared" si="962"/>
        <v>-92.311617733213566</v>
      </c>
      <c r="T241">
        <f t="shared" si="963"/>
        <v>-9.2311617733213572E-2</v>
      </c>
    </row>
    <row r="242" spans="1:20" x14ac:dyDescent="0.25">
      <c r="A242" s="5">
        <v>44351</v>
      </c>
      <c r="B242">
        <v>2.1320000000000001</v>
      </c>
      <c r="C242">
        <v>2.1419999999999999</v>
      </c>
      <c r="D242">
        <v>1.738</v>
      </c>
      <c r="E242">
        <v>1.8660000000000001</v>
      </c>
      <c r="F242">
        <v>4192280.821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-0.36633663366336566</v>
      </c>
      <c r="Q242">
        <f t="shared" si="960"/>
        <v>-1535786.0433366308</v>
      </c>
      <c r="R242">
        <f t="shared" si="961"/>
        <v>-8098787.7456103731</v>
      </c>
      <c r="S242">
        <f t="shared" si="962"/>
        <v>-80.987877456103732</v>
      </c>
      <c r="T242">
        <f t="shared" si="963"/>
        <v>-8.0987877456103738E-2</v>
      </c>
    </row>
    <row r="243" spans="1:20" x14ac:dyDescent="0.25">
      <c r="A243" s="5">
        <v>44350</v>
      </c>
      <c r="B243">
        <v>2.0019999999999998</v>
      </c>
      <c r="C243">
        <v>2.2400000000000002</v>
      </c>
      <c r="D243">
        <v>1.958</v>
      </c>
      <c r="E243">
        <v>2.129</v>
      </c>
      <c r="F243">
        <v>3772923.21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0.21276595744680774</v>
      </c>
      <c r="Q243">
        <f t="shared" si="960"/>
        <v>802749.61914893321</v>
      </c>
      <c r="R243">
        <f t="shared" si="961"/>
        <v>-6563001.7022737423</v>
      </c>
      <c r="S243">
        <f t="shared" si="962"/>
        <v>-65.63001702273742</v>
      </c>
      <c r="T243">
        <f t="shared" si="963"/>
        <v>-6.5630017022737422E-2</v>
      </c>
    </row>
    <row r="244" spans="1:20" x14ac:dyDescent="0.25">
      <c r="A244" s="5">
        <v>44349</v>
      </c>
      <c r="B244">
        <v>1.9259999999999999</v>
      </c>
      <c r="C244">
        <v>2.0699999999999998</v>
      </c>
      <c r="D244">
        <v>1.8520000000000001</v>
      </c>
      <c r="E244">
        <v>2.0030000000000001</v>
      </c>
      <c r="F244">
        <v>2389584.8459999999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0.38532110091743299</v>
      </c>
      <c r="Q244">
        <f t="shared" si="960"/>
        <v>920757.46359633456</v>
      </c>
      <c r="R244">
        <f t="shared" si="961"/>
        <v>-7365751.3214226756</v>
      </c>
      <c r="S244">
        <f t="shared" si="962"/>
        <v>-73.657513214226753</v>
      </c>
      <c r="T244">
        <f t="shared" si="963"/>
        <v>-7.3657513214226755E-2</v>
      </c>
    </row>
    <row r="245" spans="1:20" x14ac:dyDescent="0.25">
      <c r="A245" s="5">
        <v>44348</v>
      </c>
      <c r="B245">
        <v>2.0110000000000001</v>
      </c>
      <c r="C245">
        <v>2.0489999999999999</v>
      </c>
      <c r="D245">
        <v>1.845</v>
      </c>
      <c r="E245">
        <v>1.93</v>
      </c>
      <c r="F245">
        <v>2487059.4819999998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-0.16666666666666685</v>
      </c>
      <c r="Q245">
        <f t="shared" si="960"/>
        <v>-414509.91366666713</v>
      </c>
      <c r="R245">
        <f t="shared" si="961"/>
        <v>-8286508.7850190103</v>
      </c>
      <c r="S245">
        <f t="shared" si="962"/>
        <v>-82.865087850190108</v>
      </c>
      <c r="T245">
        <f t="shared" si="963"/>
        <v>-8.2865087850190103E-2</v>
      </c>
    </row>
    <row r="246" spans="1:20" x14ac:dyDescent="0.25">
      <c r="A246" s="5">
        <v>44347</v>
      </c>
      <c r="B246">
        <v>1.855</v>
      </c>
      <c r="C246">
        <v>2.0459999999999998</v>
      </c>
      <c r="D246">
        <v>1.75</v>
      </c>
      <c r="E246">
        <v>2.012</v>
      </c>
      <c r="F246">
        <v>3111454.051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0.7702702702702714</v>
      </c>
      <c r="Q246">
        <f t="shared" si="960"/>
        <v>2396660.5527973007</v>
      </c>
      <c r="R246">
        <f t="shared" si="961"/>
        <v>-7871998.8713523429</v>
      </c>
      <c r="S246">
        <f t="shared" si="962"/>
        <v>-78.719988713523435</v>
      </c>
      <c r="T246">
        <f t="shared" si="963"/>
        <v>-7.8719988713523439E-2</v>
      </c>
    </row>
    <row r="247" spans="1:20" x14ac:dyDescent="0.25">
      <c r="A247" s="5">
        <v>44346</v>
      </c>
      <c r="B247">
        <v>1.7</v>
      </c>
      <c r="C247">
        <v>1.97</v>
      </c>
      <c r="D247">
        <v>1.57</v>
      </c>
      <c r="E247">
        <v>1.855</v>
      </c>
      <c r="F247">
        <v>2312261.0839999998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0.42499999999999993</v>
      </c>
      <c r="Q247">
        <f t="shared" si="960"/>
        <v>982710.9606999997</v>
      </c>
      <c r="R247">
        <f t="shared" si="961"/>
        <v>-10268659.424149644</v>
      </c>
      <c r="S247">
        <f t="shared" si="962"/>
        <v>-102.68659424149644</v>
      </c>
      <c r="T247">
        <f t="shared" si="963"/>
        <v>-0.10268659424149644</v>
      </c>
    </row>
    <row r="248" spans="1:20" x14ac:dyDescent="0.25">
      <c r="A248" s="5">
        <v>44345</v>
      </c>
      <c r="B248">
        <v>1.82</v>
      </c>
      <c r="C248">
        <v>1.9750000000000001</v>
      </c>
      <c r="D248">
        <v>1.5840000000000001</v>
      </c>
      <c r="E248">
        <v>1.7</v>
      </c>
      <c r="F248">
        <v>3826412.952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-0.40664961636828706</v>
      </c>
      <c r="Q248">
        <f t="shared" si="960"/>
        <v>-1556009.3589974449</v>
      </c>
      <c r="R248">
        <f t="shared" si="961"/>
        <v>-11251370.384849643</v>
      </c>
      <c r="S248">
        <f t="shared" si="962"/>
        <v>-112.51370384849643</v>
      </c>
      <c r="T248">
        <f t="shared" si="963"/>
        <v>-0.11251370384849643</v>
      </c>
    </row>
    <row r="249" spans="1:20" x14ac:dyDescent="0.25">
      <c r="A249" s="5">
        <v>44344</v>
      </c>
      <c r="B249">
        <v>2.1230000000000002</v>
      </c>
      <c r="C249">
        <v>2.1659999999999999</v>
      </c>
      <c r="D249">
        <v>1.7110000000000001</v>
      </c>
      <c r="E249">
        <v>1.8180000000000001</v>
      </c>
      <c r="F249">
        <v>3248870.5759999999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-0.52967032967032956</v>
      </c>
      <c r="Q249">
        <f t="shared" si="960"/>
        <v>-1720830.3490461535</v>
      </c>
      <c r="R249">
        <f t="shared" si="961"/>
        <v>-9695361.0258521978</v>
      </c>
      <c r="S249">
        <f t="shared" si="962"/>
        <v>-96.953610258521977</v>
      </c>
      <c r="T249">
        <f t="shared" si="963"/>
        <v>-9.6953610258521977E-2</v>
      </c>
    </row>
    <row r="250" spans="1:20" x14ac:dyDescent="0.25">
      <c r="A250" s="5">
        <v>44343</v>
      </c>
      <c r="B250">
        <v>2.2639999999999998</v>
      </c>
      <c r="C250">
        <v>2.3679999999999999</v>
      </c>
      <c r="D250">
        <v>1.9910000000000001</v>
      </c>
      <c r="E250">
        <v>2.1160000000000001</v>
      </c>
      <c r="F250">
        <v>3031759.8080000002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-0.33687002652519854</v>
      </c>
      <c r="Q250">
        <f t="shared" si="960"/>
        <v>-1021309.0069389909</v>
      </c>
      <c r="R250">
        <f t="shared" si="961"/>
        <v>-7974530.6768060448</v>
      </c>
      <c r="S250">
        <f t="shared" si="962"/>
        <v>-79.745306768060445</v>
      </c>
      <c r="T250">
        <f t="shared" si="963"/>
        <v>-7.974530676806045E-2</v>
      </c>
    </row>
    <row r="251" spans="1:20" x14ac:dyDescent="0.25">
      <c r="A251" s="5">
        <v>44342</v>
      </c>
      <c r="B251">
        <v>1.9319999999999999</v>
      </c>
      <c r="C251">
        <v>2.395</v>
      </c>
      <c r="D251">
        <v>1.895</v>
      </c>
      <c r="E251">
        <v>2.27</v>
      </c>
      <c r="F251">
        <v>3893798.9410000001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</v>
      </c>
      <c r="Q251">
        <f t="shared" si="960"/>
        <v>1946899.4705000001</v>
      </c>
      <c r="R251">
        <f t="shared" si="961"/>
        <v>-6953221.6698670536</v>
      </c>
      <c r="S251">
        <f t="shared" si="962"/>
        <v>-69.532216698670538</v>
      </c>
      <c r="T251">
        <f t="shared" si="963"/>
        <v>-6.9532216698670532E-2</v>
      </c>
    </row>
    <row r="252" spans="1:20" x14ac:dyDescent="0.25">
      <c r="A252" s="5">
        <v>44341</v>
      </c>
      <c r="B252">
        <v>1.97</v>
      </c>
      <c r="C252">
        <v>2.15</v>
      </c>
      <c r="D252">
        <v>1.6910000000000001</v>
      </c>
      <c r="E252">
        <v>1.9339999999999999</v>
      </c>
      <c r="F252">
        <v>3034348.5240000002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5.8823529411764539E-2</v>
      </c>
      <c r="Q252">
        <f t="shared" si="960"/>
        <v>178491.08964705834</v>
      </c>
      <c r="R252">
        <f t="shared" si="961"/>
        <v>-8900121.1403670534</v>
      </c>
      <c r="S252">
        <f t="shared" si="962"/>
        <v>-89.001211403670538</v>
      </c>
      <c r="T252">
        <f t="shared" si="963"/>
        <v>-8.9001211403670538E-2</v>
      </c>
    </row>
    <row r="253" spans="1:20" x14ac:dyDescent="0.25">
      <c r="A253" s="5">
        <v>44340</v>
      </c>
      <c r="B253">
        <v>1.575</v>
      </c>
      <c r="C253">
        <v>2.008</v>
      </c>
      <c r="D253">
        <v>1.575</v>
      </c>
      <c r="E253">
        <v>1.97</v>
      </c>
      <c r="F253">
        <v>5239118.0439999998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0.82448036951501136</v>
      </c>
      <c r="Q253">
        <f t="shared" si="960"/>
        <v>4319549.9808498835</v>
      </c>
      <c r="R253">
        <f t="shared" si="961"/>
        <v>-9078612.2300141118</v>
      </c>
      <c r="S253">
        <f t="shared" si="962"/>
        <v>-90.786122300141116</v>
      </c>
      <c r="T253">
        <f t="shared" si="963"/>
        <v>-9.0786122300141117E-2</v>
      </c>
    </row>
    <row r="254" spans="1:20" x14ac:dyDescent="0.25">
      <c r="A254" s="5">
        <v>44339</v>
      </c>
      <c r="B254">
        <v>1.69</v>
      </c>
      <c r="C254">
        <v>1.7609999999999999</v>
      </c>
      <c r="D254">
        <v>1.2509999999999999</v>
      </c>
      <c r="E254">
        <v>1.589</v>
      </c>
      <c r="F254">
        <v>5315527.2750000004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0.32549019607843166</v>
      </c>
      <c r="Q254">
        <f t="shared" si="960"/>
        <v>1730152.0150000018</v>
      </c>
      <c r="R254">
        <f t="shared" si="961"/>
        <v>-13398162.210863994</v>
      </c>
      <c r="S254">
        <f t="shared" si="962"/>
        <v>-133.98162210863995</v>
      </c>
      <c r="T254">
        <f t="shared" si="963"/>
        <v>-0.13398162210863995</v>
      </c>
    </row>
    <row r="255" spans="1:20" x14ac:dyDescent="0.25">
      <c r="A255" s="5">
        <v>44338</v>
      </c>
      <c r="B255">
        <v>1.99</v>
      </c>
      <c r="C255">
        <v>2.0339999999999998</v>
      </c>
      <c r="D255">
        <v>1.67</v>
      </c>
      <c r="E255">
        <v>1.69</v>
      </c>
      <c r="F255">
        <v>3583221.62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-0.89010989010988995</v>
      </c>
      <c r="Q255">
        <f t="shared" si="960"/>
        <v>-3189461.0024175821</v>
      </c>
      <c r="R255">
        <f t="shared" si="961"/>
        <v>-15128314.225863997</v>
      </c>
      <c r="S255">
        <f t="shared" si="962"/>
        <v>-151.28314225863997</v>
      </c>
      <c r="T255">
        <f t="shared" si="963"/>
        <v>-0.15128314225863998</v>
      </c>
    </row>
    <row r="256" spans="1:20" x14ac:dyDescent="0.25">
      <c r="A256" s="5">
        <v>44337</v>
      </c>
      <c r="B256">
        <v>2.4350000000000001</v>
      </c>
      <c r="C256">
        <v>2.5870000000000002</v>
      </c>
      <c r="D256">
        <v>1.6850000000000001</v>
      </c>
      <c r="E256">
        <v>1.9810000000000001</v>
      </c>
      <c r="F256">
        <v>4113094.1710000001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-0.34368070953436808</v>
      </c>
      <c r="Q256">
        <f t="shared" si="960"/>
        <v>-1413591.1230709534</v>
      </c>
      <c r="R256">
        <f t="shared" si="961"/>
        <v>-11938853.223446416</v>
      </c>
      <c r="S256">
        <f t="shared" si="962"/>
        <v>-119.38853223446415</v>
      </c>
      <c r="T256">
        <f t="shared" si="963"/>
        <v>-0.11938853223446415</v>
      </c>
    </row>
    <row r="257" spans="1:20" x14ac:dyDescent="0.25">
      <c r="A257" s="5">
        <v>44336</v>
      </c>
      <c r="B257">
        <v>2.2040000000000002</v>
      </c>
      <c r="C257">
        <v>2.6949999999999998</v>
      </c>
      <c r="D257">
        <v>2.0009999999999999</v>
      </c>
      <c r="E257">
        <v>2.4430000000000001</v>
      </c>
      <c r="F257">
        <v>4422778.4989999998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0.27377521613832911</v>
      </c>
      <c r="Q257">
        <f t="shared" si="960"/>
        <v>1210847.1394956799</v>
      </c>
      <c r="R257">
        <f t="shared" si="961"/>
        <v>-10525262.100375462</v>
      </c>
      <c r="S257">
        <f t="shared" si="962"/>
        <v>-105.25262100375463</v>
      </c>
      <c r="T257">
        <f t="shared" si="963"/>
        <v>-0.10525262100375463</v>
      </c>
    </row>
    <row r="258" spans="1:20" x14ac:dyDescent="0.25">
      <c r="A258" s="5">
        <v>44335</v>
      </c>
      <c r="B258">
        <v>3.702</v>
      </c>
      <c r="C258">
        <v>3.7759999999999998</v>
      </c>
      <c r="D258">
        <v>1.41</v>
      </c>
      <c r="E258">
        <v>2.2040000000000002</v>
      </c>
      <c r="F258">
        <v>6337309.6960000005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-0.32882502113271322</v>
      </c>
      <c r="Q258">
        <f t="shared" si="960"/>
        <v>-2083865.9947117486</v>
      </c>
      <c r="R258">
        <f t="shared" si="961"/>
        <v>-11736109.239871142</v>
      </c>
      <c r="S258">
        <f t="shared" si="962"/>
        <v>-117.36109239871142</v>
      </c>
      <c r="T258">
        <f t="shared" si="963"/>
        <v>-0.11736109239871143</v>
      </c>
    </row>
    <row r="259" spans="1:20" x14ac:dyDescent="0.25">
      <c r="A259" s="5">
        <v>44334</v>
      </c>
      <c r="B259">
        <v>3.4449999999999998</v>
      </c>
      <c r="C259">
        <v>3.79</v>
      </c>
      <c r="D259">
        <v>3.3980000000000001</v>
      </c>
      <c r="E259">
        <v>3.6989999999999998</v>
      </c>
      <c r="F259">
        <v>1916064.638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0.53571428571428459</v>
      </c>
      <c r="Q259">
        <f t="shared" si="960"/>
        <v>1026463.1989285693</v>
      </c>
      <c r="R259">
        <f t="shared" si="961"/>
        <v>-9652243.2451593932</v>
      </c>
      <c r="S259">
        <f t="shared" si="962"/>
        <v>-96.522432451593929</v>
      </c>
      <c r="T259">
        <f t="shared" si="963"/>
        <v>-9.6522432451593934E-2</v>
      </c>
    </row>
    <row r="260" spans="1:20" x14ac:dyDescent="0.25">
      <c r="A260" s="5">
        <v>44333</v>
      </c>
      <c r="B260">
        <v>3.8439999999999999</v>
      </c>
      <c r="C260">
        <v>3.8570000000000002</v>
      </c>
      <c r="D260">
        <v>3.25</v>
      </c>
      <c r="E260">
        <v>3.4260000000000002</v>
      </c>
      <c r="F260">
        <v>2792888.0959999999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-0.42009884678747911</v>
      </c>
      <c r="Q260">
        <f t="shared" si="960"/>
        <v>-1173289.0683360782</v>
      </c>
      <c r="R260">
        <f t="shared" si="961"/>
        <v>-10678706.444087962</v>
      </c>
      <c r="S260">
        <f t="shared" si="962"/>
        <v>-106.78706444087962</v>
      </c>
      <c r="T260">
        <f t="shared" si="963"/>
        <v>-0.10678706444087961</v>
      </c>
    </row>
    <row r="261" spans="1:20" x14ac:dyDescent="0.25">
      <c r="A261" s="5">
        <v>44332</v>
      </c>
      <c r="B261">
        <v>3.8119999999999998</v>
      </c>
      <c r="C261">
        <v>4.1230000000000002</v>
      </c>
      <c r="D261">
        <v>3.5019999999999998</v>
      </c>
      <c r="E261">
        <v>3.847</v>
      </c>
      <c r="F261">
        <v>2625604.2450000001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0.11111111111111095</v>
      </c>
      <c r="Q261">
        <f t="shared" si="960"/>
        <v>291733.80499999959</v>
      </c>
      <c r="R261">
        <f t="shared" si="961"/>
        <v>-9505417.3757518828</v>
      </c>
      <c r="S261">
        <f t="shared" si="962"/>
        <v>-95.054173757518825</v>
      </c>
      <c r="T261">
        <f t="shared" si="963"/>
        <v>-9.5054173757518831E-2</v>
      </c>
    </row>
    <row r="262" spans="1:20" x14ac:dyDescent="0.25">
      <c r="A262" s="5">
        <v>44331</v>
      </c>
      <c r="B262">
        <v>4.2110000000000003</v>
      </c>
      <c r="C262">
        <v>4.2640000000000002</v>
      </c>
      <c r="D262">
        <v>3.75</v>
      </c>
      <c r="E262">
        <v>3.8180000000000001</v>
      </c>
      <c r="F262">
        <v>2468007.8629999999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-0.73540856031128399</v>
      </c>
      <c r="Q262">
        <f t="shared" ref="Q262:Q325" si="965">F262*P262</f>
        <v>-1814994.1093657585</v>
      </c>
      <c r="R262">
        <f t="shared" ref="R262:R325" si="966">R263+Q262</f>
        <v>-9797151.1807518825</v>
      </c>
      <c r="S262">
        <f t="shared" ref="S262:S325" si="967">R262/100000</f>
        <v>-97.971511807518823</v>
      </c>
      <c r="T262">
        <f t="shared" ref="T262:T325" si="968">S262/1000</f>
        <v>-9.7971511807518827E-2</v>
      </c>
    </row>
    <row r="263" spans="1:20" x14ac:dyDescent="0.25">
      <c r="A263" s="5">
        <v>44330</v>
      </c>
      <c r="B263">
        <v>4.3869999999999996</v>
      </c>
      <c r="C263">
        <v>4.5720000000000001</v>
      </c>
      <c r="D263">
        <v>4.07</v>
      </c>
      <c r="E263">
        <v>4.2080000000000002</v>
      </c>
      <c r="F263">
        <v>3301507.4730000002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-0.45019920318725115</v>
      </c>
      <c r="Q263">
        <f t="shared" si="965"/>
        <v>-1486336.0336613553</v>
      </c>
      <c r="R263">
        <f t="shared" si="966"/>
        <v>-7982157.0713861249</v>
      </c>
      <c r="S263">
        <f t="shared" si="967"/>
        <v>-79.821570713861249</v>
      </c>
      <c r="T263">
        <f t="shared" si="968"/>
        <v>-7.9821570713861242E-2</v>
      </c>
    </row>
    <row r="264" spans="1:20" x14ac:dyDescent="0.25">
      <c r="A264" s="5">
        <v>44329</v>
      </c>
      <c r="B264">
        <v>3.7250000000000001</v>
      </c>
      <c r="C264">
        <v>4.8520000000000003</v>
      </c>
      <c r="D264">
        <v>3.5049999999999999</v>
      </c>
      <c r="E264">
        <v>4.3780000000000001</v>
      </c>
      <c r="F264">
        <v>10379479.813999999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0.29621380846325157</v>
      </c>
      <c r="Q264">
        <f t="shared" si="965"/>
        <v>3074545.2455723817</v>
      </c>
      <c r="R264">
        <f t="shared" si="966"/>
        <v>-6495821.0377247697</v>
      </c>
      <c r="S264">
        <f t="shared" si="967"/>
        <v>-64.958210377247696</v>
      </c>
      <c r="T264">
        <f t="shared" si="968"/>
        <v>-6.4958210377247694E-2</v>
      </c>
    </row>
    <row r="265" spans="1:20" x14ac:dyDescent="0.25">
      <c r="A265" s="5">
        <v>44328</v>
      </c>
      <c r="B265">
        <v>4.4160000000000004</v>
      </c>
      <c r="C265">
        <v>4.6890000000000001</v>
      </c>
      <c r="D265">
        <v>3.7</v>
      </c>
      <c r="E265">
        <v>3.7349999999999999</v>
      </c>
      <c r="F265">
        <v>5058269.943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-0.92922143579373162</v>
      </c>
      <c r="Q265">
        <f t="shared" si="965"/>
        <v>-4700252.8590667369</v>
      </c>
      <c r="R265">
        <f t="shared" si="966"/>
        <v>-9570366.2832971513</v>
      </c>
      <c r="S265">
        <f t="shared" si="967"/>
        <v>-95.703662832971517</v>
      </c>
      <c r="T265">
        <f t="shared" si="968"/>
        <v>-9.570366283297152E-2</v>
      </c>
    </row>
    <row r="266" spans="1:20" x14ac:dyDescent="0.25">
      <c r="A266" s="5">
        <v>44327</v>
      </c>
      <c r="B266">
        <v>4.2149999999999999</v>
      </c>
      <c r="C266">
        <v>4.4189999999999996</v>
      </c>
      <c r="D266">
        <v>3.9940000000000002</v>
      </c>
      <c r="E266">
        <v>4.4189999999999996</v>
      </c>
      <c r="F266">
        <v>2764844.95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1</v>
      </c>
      <c r="Q266">
        <f t="shared" si="965"/>
        <v>2764844.95</v>
      </c>
      <c r="R266">
        <f t="shared" si="966"/>
        <v>-4870113.4242304154</v>
      </c>
      <c r="S266">
        <f t="shared" si="967"/>
        <v>-48.701134242304157</v>
      </c>
      <c r="T266">
        <f t="shared" si="968"/>
        <v>-4.8701134242304156E-2</v>
      </c>
    </row>
    <row r="267" spans="1:20" x14ac:dyDescent="0.25">
      <c r="A267" s="5">
        <v>44326</v>
      </c>
      <c r="B267">
        <v>4.8339999999999996</v>
      </c>
      <c r="C267">
        <v>5.1989999999999998</v>
      </c>
      <c r="D267">
        <v>3.9</v>
      </c>
      <c r="E267">
        <v>4.2030000000000003</v>
      </c>
      <c r="F267">
        <v>4669569.4249999998</v>
      </c>
      <c r="G267">
        <v>0</v>
      </c>
      <c r="L267" t="s">
        <v>8</v>
      </c>
      <c r="M267" t="s">
        <v>7</v>
      </c>
      <c r="N267" t="s">
        <v>7</v>
      </c>
      <c r="P267">
        <f t="shared" si="964"/>
        <v>-0.53348729792147742</v>
      </c>
      <c r="Q267">
        <f t="shared" si="965"/>
        <v>-2491155.9749999968</v>
      </c>
      <c r="R267">
        <f t="shared" si="966"/>
        <v>-7634958.3742304156</v>
      </c>
      <c r="S267">
        <f t="shared" si="967"/>
        <v>-76.349583742304162</v>
      </c>
      <c r="T267">
        <f t="shared" si="968"/>
        <v>-7.6349583742304161E-2</v>
      </c>
    </row>
    <row r="268" spans="1:20" x14ac:dyDescent="0.25">
      <c r="A268" s="5">
        <v>44325</v>
      </c>
      <c r="B268">
        <v>4.4059999999999997</v>
      </c>
      <c r="C268">
        <v>4.8460000000000001</v>
      </c>
      <c r="D268">
        <v>4.3099999999999996</v>
      </c>
      <c r="E268">
        <v>4.8390000000000004</v>
      </c>
      <c r="F268">
        <v>3162273.89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0.97388059701492657</v>
      </c>
      <c r="Q268">
        <f t="shared" si="965"/>
        <v>3079677.1839179145</v>
      </c>
      <c r="R268">
        <f t="shared" si="966"/>
        <v>-5143802.3992304187</v>
      </c>
      <c r="S268">
        <f t="shared" si="967"/>
        <v>-51.438023992304188</v>
      </c>
      <c r="T268">
        <f t="shared" si="968"/>
        <v>-5.143802399230419E-2</v>
      </c>
    </row>
    <row r="269" spans="1:20" x14ac:dyDescent="0.25">
      <c r="A269" s="5">
        <v>44324</v>
      </c>
      <c r="B269">
        <v>4.5830000000000002</v>
      </c>
      <c r="C269">
        <v>4.7789999999999999</v>
      </c>
      <c r="D269">
        <v>4.3330000000000002</v>
      </c>
      <c r="E269">
        <v>4.4059999999999997</v>
      </c>
      <c r="F269">
        <v>2908137.1189999999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-0.67264573991031595</v>
      </c>
      <c r="Q269">
        <f t="shared" si="965"/>
        <v>-1956146.0441704094</v>
      </c>
      <c r="R269">
        <f t="shared" si="966"/>
        <v>-8223479.5831483332</v>
      </c>
      <c r="S269">
        <f t="shared" si="967"/>
        <v>-82.234795831483339</v>
      </c>
      <c r="T269">
        <f t="shared" si="968"/>
        <v>-8.223479583148334E-2</v>
      </c>
    </row>
    <row r="270" spans="1:20" x14ac:dyDescent="0.25">
      <c r="A270" s="5">
        <v>44323</v>
      </c>
      <c r="B270">
        <v>4.7350000000000003</v>
      </c>
      <c r="C270">
        <v>4.8879999999999999</v>
      </c>
      <c r="D270">
        <v>4.3600000000000003</v>
      </c>
      <c r="E270">
        <v>4.5830000000000002</v>
      </c>
      <c r="F270">
        <v>4389825.2439999999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-0.15530303030303014</v>
      </c>
      <c r="Q270">
        <f t="shared" si="965"/>
        <v>-681753.16289393872</v>
      </c>
      <c r="R270">
        <f t="shared" si="966"/>
        <v>-6267333.5389779238</v>
      </c>
      <c r="S270">
        <f t="shared" si="967"/>
        <v>-62.67333538977924</v>
      </c>
      <c r="T270">
        <f t="shared" si="968"/>
        <v>-6.2673335389779233E-2</v>
      </c>
    </row>
    <row r="271" spans="1:20" x14ac:dyDescent="0.25">
      <c r="A271" s="5">
        <v>44322</v>
      </c>
      <c r="B271">
        <v>5.0629999999999997</v>
      </c>
      <c r="C271">
        <v>5.4</v>
      </c>
      <c r="D271">
        <v>4.5999999999999996</v>
      </c>
      <c r="E271">
        <v>4.7460000000000004</v>
      </c>
      <c r="F271">
        <v>5546622.051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-0.63499999999999834</v>
      </c>
      <c r="Q271">
        <f t="shared" si="965"/>
        <v>-3522105.0023849909</v>
      </c>
      <c r="R271">
        <f t="shared" si="966"/>
        <v>-5585580.376083985</v>
      </c>
      <c r="S271">
        <f t="shared" si="967"/>
        <v>-55.855803760839848</v>
      </c>
      <c r="T271">
        <f t="shared" si="968"/>
        <v>-5.5855803760839845E-2</v>
      </c>
    </row>
    <row r="272" spans="1:20" x14ac:dyDescent="0.25">
      <c r="A272" s="5">
        <v>44321</v>
      </c>
      <c r="B272">
        <v>4.9569999999999999</v>
      </c>
      <c r="C272">
        <v>5.8</v>
      </c>
      <c r="D272">
        <v>4.923</v>
      </c>
      <c r="E272">
        <v>5.0609999999999999</v>
      </c>
      <c r="F272">
        <v>10195219.300000001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-0.68529076396807309</v>
      </c>
      <c r="Q272">
        <f t="shared" si="965"/>
        <v>-6986689.6229190435</v>
      </c>
      <c r="R272">
        <f t="shared" si="966"/>
        <v>-2063475.3736989945</v>
      </c>
      <c r="S272">
        <f t="shared" si="967"/>
        <v>-20.634753736989946</v>
      </c>
      <c r="T272">
        <f t="shared" si="968"/>
        <v>-2.0634753736989947E-2</v>
      </c>
    </row>
    <row r="273" spans="1:20" x14ac:dyDescent="0.25">
      <c r="A273" s="5">
        <v>44320</v>
      </c>
      <c r="B273">
        <v>4.8280000000000003</v>
      </c>
      <c r="C273">
        <v>5.4</v>
      </c>
      <c r="D273">
        <v>4.1500000000000004</v>
      </c>
      <c r="E273">
        <v>4.9829999999999997</v>
      </c>
      <c r="F273">
        <v>9193594.3269999996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0.33279999999999887</v>
      </c>
      <c r="Q273">
        <f t="shared" si="965"/>
        <v>3059628.1920255893</v>
      </c>
      <c r="R273">
        <f t="shared" si="966"/>
        <v>4923214.249220049</v>
      </c>
      <c r="S273">
        <f t="shared" si="967"/>
        <v>49.232142492200488</v>
      </c>
      <c r="T273">
        <f t="shared" si="968"/>
        <v>4.9232142492200488E-2</v>
      </c>
    </row>
    <row r="274" spans="1:20" x14ac:dyDescent="0.25">
      <c r="A274" s="5">
        <v>44319</v>
      </c>
      <c r="B274">
        <v>4.4390000000000001</v>
      </c>
      <c r="C274">
        <v>4.92</v>
      </c>
      <c r="D274">
        <v>4.4210000000000003</v>
      </c>
      <c r="E274">
        <v>4.8390000000000004</v>
      </c>
      <c r="F274">
        <v>3723168.4040000001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0.67535070140280729</v>
      </c>
      <c r="Q274">
        <f t="shared" si="965"/>
        <v>2514444.3930821707</v>
      </c>
      <c r="R274">
        <f t="shared" si="966"/>
        <v>1863586.05719446</v>
      </c>
      <c r="S274">
        <f t="shared" si="967"/>
        <v>18.635860571944601</v>
      </c>
      <c r="T274">
        <f t="shared" si="968"/>
        <v>1.86358605719446E-2</v>
      </c>
    </row>
    <row r="275" spans="1:20" x14ac:dyDescent="0.25">
      <c r="A275" s="5">
        <v>44318</v>
      </c>
      <c r="B275">
        <v>4.282</v>
      </c>
      <c r="C275">
        <v>4.649</v>
      </c>
      <c r="D275">
        <v>4</v>
      </c>
      <c r="E275">
        <v>4.43</v>
      </c>
      <c r="F275">
        <v>3967050.7719999999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0.3251155624036971</v>
      </c>
      <c r="Q275">
        <f t="shared" si="965"/>
        <v>1289749.9428228007</v>
      </c>
      <c r="R275">
        <f t="shared" si="966"/>
        <v>-650858.3358877108</v>
      </c>
      <c r="S275">
        <f t="shared" si="967"/>
        <v>-6.5085833588771083</v>
      </c>
      <c r="T275">
        <f t="shared" si="968"/>
        <v>-6.5085833588771087E-3</v>
      </c>
    </row>
    <row r="276" spans="1:20" x14ac:dyDescent="0.25">
      <c r="A276" s="5">
        <v>44317</v>
      </c>
      <c r="B276">
        <v>4.3869999999999996</v>
      </c>
      <c r="C276">
        <v>4.415</v>
      </c>
      <c r="D276">
        <v>4.0970000000000004</v>
      </c>
      <c r="E276">
        <v>4.2779999999999996</v>
      </c>
      <c r="F276">
        <v>2158668.8229999999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0.13836477987420995</v>
      </c>
      <c r="Q276">
        <f t="shared" si="965"/>
        <v>298683.73651571485</v>
      </c>
      <c r="R276">
        <f t="shared" si="966"/>
        <v>-1940608.2787105115</v>
      </c>
      <c r="S276">
        <f t="shared" si="967"/>
        <v>-19.406082787105117</v>
      </c>
      <c r="T276">
        <f t="shared" si="968"/>
        <v>-1.9406082787105115E-2</v>
      </c>
    </row>
    <row r="277" spans="1:20" x14ac:dyDescent="0.25">
      <c r="A277" s="5">
        <v>44316</v>
      </c>
      <c r="B277">
        <v>4.0490000000000004</v>
      </c>
      <c r="C277">
        <v>4.5</v>
      </c>
      <c r="D277">
        <v>3.927</v>
      </c>
      <c r="E277">
        <v>4.3869999999999996</v>
      </c>
      <c r="F277">
        <v>3484525.0860000001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0.60558464223385533</v>
      </c>
      <c r="Q277">
        <f t="shared" si="965"/>
        <v>2110174.8775602039</v>
      </c>
      <c r="R277">
        <f t="shared" si="966"/>
        <v>-2239292.0152262263</v>
      </c>
      <c r="S277">
        <f t="shared" si="967"/>
        <v>-22.392920152262263</v>
      </c>
      <c r="T277">
        <f t="shared" si="968"/>
        <v>-2.2392920152262262E-2</v>
      </c>
    </row>
    <row r="278" spans="1:20" x14ac:dyDescent="0.25">
      <c r="A278" s="5">
        <v>44315</v>
      </c>
      <c r="B278">
        <v>3.7610000000000001</v>
      </c>
      <c r="C278">
        <v>4.319</v>
      </c>
      <c r="D278">
        <v>3.714</v>
      </c>
      <c r="E278">
        <v>4.0430000000000001</v>
      </c>
      <c r="F278">
        <v>4546746.5120000001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8.7603305785124597E-2</v>
      </c>
      <c r="Q278">
        <f t="shared" si="965"/>
        <v>398310.02501818468</v>
      </c>
      <c r="R278">
        <f t="shared" si="966"/>
        <v>-4349466.8927864302</v>
      </c>
      <c r="S278">
        <f t="shared" si="967"/>
        <v>-43.494668927864303</v>
      </c>
      <c r="T278">
        <f t="shared" si="968"/>
        <v>-4.3494668927864306E-2</v>
      </c>
    </row>
    <row r="279" spans="1:20" x14ac:dyDescent="0.25">
      <c r="A279" s="5">
        <v>44314</v>
      </c>
      <c r="B279">
        <v>4.048</v>
      </c>
      <c r="C279">
        <v>4.07</v>
      </c>
      <c r="D279">
        <v>3.5550000000000002</v>
      </c>
      <c r="E279">
        <v>3.7589999999999999</v>
      </c>
      <c r="F279">
        <v>2740254.2609999999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-0.20776699029126336</v>
      </c>
      <c r="Q279">
        <f t="shared" si="965"/>
        <v>-569334.38044078008</v>
      </c>
      <c r="R279">
        <f t="shared" si="966"/>
        <v>-4747776.9178046146</v>
      </c>
      <c r="S279">
        <f t="shared" si="967"/>
        <v>-47.477769178046145</v>
      </c>
      <c r="T279">
        <f t="shared" si="968"/>
        <v>-4.7477769178046143E-2</v>
      </c>
    </row>
    <row r="280" spans="1:20" x14ac:dyDescent="0.25">
      <c r="A280" s="5">
        <v>44313</v>
      </c>
      <c r="B280">
        <v>3.798</v>
      </c>
      <c r="C280">
        <v>4.07</v>
      </c>
      <c r="D280">
        <v>3.6419999999999999</v>
      </c>
      <c r="E280">
        <v>4.0570000000000004</v>
      </c>
      <c r="F280">
        <v>2384578.1889999998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0.93925233644859862</v>
      </c>
      <c r="Q280">
        <f t="shared" si="965"/>
        <v>2239720.635462618</v>
      </c>
      <c r="R280">
        <f t="shared" si="966"/>
        <v>-4178442.5373638342</v>
      </c>
      <c r="S280">
        <f t="shared" si="967"/>
        <v>-41.784425373638342</v>
      </c>
      <c r="T280">
        <f t="shared" si="968"/>
        <v>-4.1784425373638343E-2</v>
      </c>
    </row>
    <row r="281" spans="1:20" x14ac:dyDescent="0.25">
      <c r="A281" s="5">
        <v>44312</v>
      </c>
      <c r="B281">
        <v>3.0190000000000001</v>
      </c>
      <c r="C281">
        <v>3.8889999999999998</v>
      </c>
      <c r="D281">
        <v>2.9689999999999999</v>
      </c>
      <c r="E281">
        <v>3.8039999999999998</v>
      </c>
      <c r="F281">
        <v>3748070.3650000002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0.81521739130434789</v>
      </c>
      <c r="Q281">
        <f t="shared" si="965"/>
        <v>3055492.145380435</v>
      </c>
      <c r="R281">
        <f t="shared" si="966"/>
        <v>-6418163.1728264522</v>
      </c>
      <c r="S281">
        <f t="shared" si="967"/>
        <v>-64.18163172826452</v>
      </c>
      <c r="T281">
        <f t="shared" si="968"/>
        <v>-6.4181631728264521E-2</v>
      </c>
    </row>
    <row r="282" spans="1:20" x14ac:dyDescent="0.25">
      <c r="A282" s="5">
        <v>44311</v>
      </c>
      <c r="B282">
        <v>2.99</v>
      </c>
      <c r="C282">
        <v>3.3580000000000001</v>
      </c>
      <c r="D282">
        <v>2.7519999999999998</v>
      </c>
      <c r="E282">
        <v>3.024</v>
      </c>
      <c r="F282">
        <v>2516074.7829999998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-0.10231023102310198</v>
      </c>
      <c r="Q282">
        <f t="shared" si="965"/>
        <v>-257420.19232013117</v>
      </c>
      <c r="R282">
        <f t="shared" si="966"/>
        <v>-9473655.3182068877</v>
      </c>
      <c r="S282">
        <f t="shared" si="967"/>
        <v>-94.736553182068874</v>
      </c>
      <c r="T282">
        <f t="shared" si="968"/>
        <v>-9.4736553182068875E-2</v>
      </c>
    </row>
    <row r="283" spans="1:20" x14ac:dyDescent="0.25">
      <c r="A283" s="5">
        <v>44310</v>
      </c>
      <c r="B283">
        <v>3.3359999999999999</v>
      </c>
      <c r="C283">
        <v>3.3660000000000001</v>
      </c>
      <c r="D283">
        <v>2.9390000000000001</v>
      </c>
      <c r="E283">
        <v>2.9769999999999999</v>
      </c>
      <c r="F283">
        <v>2592999.0759999999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-0.82201405152224916</v>
      </c>
      <c r="Q283">
        <f t="shared" si="965"/>
        <v>-2131481.6760562086</v>
      </c>
      <c r="R283">
        <f t="shared" si="966"/>
        <v>-9216235.1258867569</v>
      </c>
      <c r="S283">
        <f t="shared" si="967"/>
        <v>-92.162351258867574</v>
      </c>
      <c r="T283">
        <f t="shared" si="968"/>
        <v>-9.216235125886757E-2</v>
      </c>
    </row>
    <row r="284" spans="1:20" x14ac:dyDescent="0.25">
      <c r="A284" s="5">
        <v>44309</v>
      </c>
      <c r="B284">
        <v>3.5630000000000002</v>
      </c>
      <c r="C284">
        <v>3.6680000000000001</v>
      </c>
      <c r="D284">
        <v>2.9239999999999999</v>
      </c>
      <c r="E284">
        <v>3.331</v>
      </c>
      <c r="F284">
        <v>4788035.5259999996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9.4086021505376108E-2</v>
      </c>
      <c r="Q284">
        <f t="shared" si="965"/>
        <v>450487.21346774074</v>
      </c>
      <c r="R284">
        <f t="shared" si="966"/>
        <v>-7084753.4498305479</v>
      </c>
      <c r="S284">
        <f t="shared" si="967"/>
        <v>-70.847534498305478</v>
      </c>
      <c r="T284">
        <f t="shared" si="968"/>
        <v>-7.0847534498305484E-2</v>
      </c>
    </row>
    <row r="285" spans="1:20" x14ac:dyDescent="0.25">
      <c r="A285" s="5">
        <v>44308</v>
      </c>
      <c r="B285">
        <v>3.665</v>
      </c>
      <c r="C285">
        <v>4.1589999999999998</v>
      </c>
      <c r="D285">
        <v>3.36</v>
      </c>
      <c r="E285">
        <v>3.5630000000000002</v>
      </c>
      <c r="F285">
        <v>4420209.3689999999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-0.49186483103879775</v>
      </c>
      <c r="Q285">
        <f t="shared" si="965"/>
        <v>-2174145.534439296</v>
      </c>
      <c r="R285">
        <f t="shared" si="966"/>
        <v>-7535240.6632982884</v>
      </c>
      <c r="S285">
        <f t="shared" si="967"/>
        <v>-75.352406632982877</v>
      </c>
      <c r="T285">
        <f t="shared" si="968"/>
        <v>-7.5352406632982871E-2</v>
      </c>
    </row>
    <row r="286" spans="1:20" x14ac:dyDescent="0.25">
      <c r="A286" s="5">
        <v>44307</v>
      </c>
      <c r="B286">
        <v>3.87</v>
      </c>
      <c r="C286">
        <v>4.218</v>
      </c>
      <c r="D286">
        <v>3.613</v>
      </c>
      <c r="E286">
        <v>3.665</v>
      </c>
      <c r="F286">
        <v>4631856.8430000003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-0.82809917355371887</v>
      </c>
      <c r="Q286">
        <f t="shared" si="965"/>
        <v>-3835636.8237074376</v>
      </c>
      <c r="R286">
        <f t="shared" si="966"/>
        <v>-5361095.1288589928</v>
      </c>
      <c r="S286">
        <f t="shared" si="967"/>
        <v>-53.610951288589931</v>
      </c>
      <c r="T286">
        <f t="shared" si="968"/>
        <v>-5.3610951288589934E-2</v>
      </c>
    </row>
    <row r="287" spans="1:20" x14ac:dyDescent="0.25">
      <c r="A287" s="5">
        <v>44306</v>
      </c>
      <c r="B287">
        <v>3.5529999999999999</v>
      </c>
      <c r="C287">
        <v>4.1929999999999996</v>
      </c>
      <c r="D287">
        <v>3.0870000000000002</v>
      </c>
      <c r="E287">
        <v>3.863</v>
      </c>
      <c r="F287">
        <v>5500839.6869999999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0.40325497287522638</v>
      </c>
      <c r="Q287">
        <f t="shared" si="965"/>
        <v>2218240.9587721536</v>
      </c>
      <c r="R287">
        <f t="shared" si="966"/>
        <v>-1525458.3051515548</v>
      </c>
      <c r="S287">
        <f t="shared" si="967"/>
        <v>-15.254583051515548</v>
      </c>
      <c r="T287">
        <f t="shared" si="968"/>
        <v>-1.5254583051515547E-2</v>
      </c>
    </row>
    <row r="288" spans="1:20" x14ac:dyDescent="0.25">
      <c r="A288" s="5">
        <v>44305</v>
      </c>
      <c r="B288">
        <v>3.9860000000000002</v>
      </c>
      <c r="C288">
        <v>4.25</v>
      </c>
      <c r="D288">
        <v>3.4620000000000002</v>
      </c>
      <c r="E288">
        <v>3.5649999999999999</v>
      </c>
      <c r="F288">
        <v>3770993.3130000001</v>
      </c>
      <c r="G288">
        <v>0</v>
      </c>
      <c r="L288" t="s">
        <v>7</v>
      </c>
      <c r="M288" t="s">
        <v>8</v>
      </c>
      <c r="N288" t="s">
        <v>7</v>
      </c>
      <c r="P288">
        <f t="shared" si="964"/>
        <v>-0.73857868020304629</v>
      </c>
      <c r="Q288">
        <f t="shared" si="965"/>
        <v>-2785175.2641700529</v>
      </c>
      <c r="R288">
        <f t="shared" si="966"/>
        <v>-3743699.2639237083</v>
      </c>
      <c r="S288">
        <f t="shared" si="967"/>
        <v>-37.436992639237083</v>
      </c>
      <c r="T288">
        <f t="shared" si="968"/>
        <v>-3.7436992639237082E-2</v>
      </c>
    </row>
    <row r="289" spans="1:20" x14ac:dyDescent="0.25">
      <c r="A289" s="5">
        <v>44304</v>
      </c>
      <c r="B289">
        <v>4.7069999999999999</v>
      </c>
      <c r="C289">
        <v>4.7450000000000001</v>
      </c>
      <c r="D289">
        <v>3.5249999999999999</v>
      </c>
      <c r="E289">
        <v>3.9929999999999999</v>
      </c>
      <c r="F289">
        <v>3949666.9440000001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-0.2327868852459018</v>
      </c>
      <c r="Q289">
        <f t="shared" si="965"/>
        <v>-919430.66565245972</v>
      </c>
      <c r="R289">
        <f t="shared" si="966"/>
        <v>-958523.99975365563</v>
      </c>
      <c r="S289">
        <f t="shared" si="967"/>
        <v>-9.5852399975365561</v>
      </c>
      <c r="T289">
        <f t="shared" si="968"/>
        <v>-9.5852399975365557E-3</v>
      </c>
    </row>
    <row r="290" spans="1:20" x14ac:dyDescent="0.25">
      <c r="A290" s="5">
        <v>44303</v>
      </c>
      <c r="B290">
        <v>4.782</v>
      </c>
      <c r="C290">
        <v>5.13</v>
      </c>
      <c r="D290">
        <v>4.6479999999999997</v>
      </c>
      <c r="E290">
        <v>4.71</v>
      </c>
      <c r="F290">
        <v>2965416.8939999999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-0.74273858921161717</v>
      </c>
      <c r="Q290">
        <f t="shared" si="965"/>
        <v>-2202529.5602738555</v>
      </c>
      <c r="R290">
        <f t="shared" si="966"/>
        <v>-39093.334101195913</v>
      </c>
      <c r="S290">
        <f t="shared" si="967"/>
        <v>-0.39093334101195915</v>
      </c>
      <c r="T290">
        <f t="shared" si="968"/>
        <v>-3.9093334101195917E-4</v>
      </c>
    </row>
    <row r="291" spans="1:20" x14ac:dyDescent="0.25">
      <c r="A291" s="5">
        <v>44302</v>
      </c>
      <c r="B291">
        <v>4.8280000000000003</v>
      </c>
      <c r="C291">
        <v>4.8860000000000001</v>
      </c>
      <c r="D291">
        <v>4.4649999999999999</v>
      </c>
      <c r="E291">
        <v>4.7779999999999996</v>
      </c>
      <c r="F291">
        <v>2704823.9109999998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0.48693586698337066</v>
      </c>
      <c r="Q291">
        <f t="shared" si="965"/>
        <v>1317075.7761401364</v>
      </c>
      <c r="R291">
        <f t="shared" si="966"/>
        <v>2163436.2261726595</v>
      </c>
      <c r="S291">
        <f t="shared" si="967"/>
        <v>21.634362261726597</v>
      </c>
      <c r="T291">
        <f t="shared" si="968"/>
        <v>2.1634362261726596E-2</v>
      </c>
    </row>
    <row r="292" spans="1:20" x14ac:dyDescent="0.25">
      <c r="A292" s="5">
        <v>44301</v>
      </c>
      <c r="B292">
        <v>4.6340000000000003</v>
      </c>
      <c r="C292">
        <v>5.0780000000000003</v>
      </c>
      <c r="D292">
        <v>4.6029999999999998</v>
      </c>
      <c r="E292">
        <v>4.8280000000000003</v>
      </c>
      <c r="F292">
        <v>3405543.1970000002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-5.2631578947367239E-2</v>
      </c>
      <c r="Q292">
        <f t="shared" si="965"/>
        <v>-179239.11563157494</v>
      </c>
      <c r="R292">
        <f t="shared" si="966"/>
        <v>846360.4500325229</v>
      </c>
      <c r="S292">
        <f t="shared" si="967"/>
        <v>8.4636045003252285</v>
      </c>
      <c r="T292">
        <f t="shared" si="968"/>
        <v>8.4636045003252287E-3</v>
      </c>
    </row>
    <row r="293" spans="1:20" x14ac:dyDescent="0.25">
      <c r="A293" s="5">
        <v>44300</v>
      </c>
      <c r="B293">
        <v>4.54</v>
      </c>
      <c r="C293">
        <v>4.7560000000000002</v>
      </c>
      <c r="D293">
        <v>4.2110000000000003</v>
      </c>
      <c r="E293">
        <v>4.6319999999999997</v>
      </c>
      <c r="F293">
        <v>2671001.3859999999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0.54495412844036484</v>
      </c>
      <c r="Q293">
        <f t="shared" si="965"/>
        <v>1455573.2323706364</v>
      </c>
      <c r="R293">
        <f t="shared" si="966"/>
        <v>1025599.5656640978</v>
      </c>
      <c r="S293">
        <f t="shared" si="967"/>
        <v>10.255995656640978</v>
      </c>
      <c r="T293">
        <f t="shared" si="968"/>
        <v>1.0255995656640978E-2</v>
      </c>
    </row>
    <row r="294" spans="1:20" x14ac:dyDescent="0.25">
      <c r="A294" s="5">
        <v>44299</v>
      </c>
      <c r="B294">
        <v>4.3810000000000002</v>
      </c>
      <c r="C294">
        <v>4.8</v>
      </c>
      <c r="D294">
        <v>4.1159999999999997</v>
      </c>
      <c r="E294">
        <v>4.54</v>
      </c>
      <c r="F294">
        <v>3300296.8790000002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0.23976608187134582</v>
      </c>
      <c r="Q294">
        <f t="shared" si="965"/>
        <v>791299.25169006118</v>
      </c>
      <c r="R294">
        <f t="shared" si="966"/>
        <v>-429973.66670653864</v>
      </c>
      <c r="S294">
        <f t="shared" si="967"/>
        <v>-4.2997366670653863</v>
      </c>
      <c r="T294">
        <f t="shared" si="968"/>
        <v>-4.2997366670653866E-3</v>
      </c>
    </row>
    <row r="295" spans="1:20" x14ac:dyDescent="0.25">
      <c r="A295" s="5">
        <v>44298</v>
      </c>
      <c r="B295">
        <v>4.6749999999999998</v>
      </c>
      <c r="C295">
        <v>4.7110000000000003</v>
      </c>
      <c r="D295">
        <v>4.3109999999999999</v>
      </c>
      <c r="E295">
        <v>4.3810000000000002</v>
      </c>
      <c r="F295">
        <v>1817957.466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-0.64999999999999891</v>
      </c>
      <c r="Q295">
        <f t="shared" si="965"/>
        <v>-1181672.352899998</v>
      </c>
      <c r="R295">
        <f t="shared" si="966"/>
        <v>-1221272.9183965998</v>
      </c>
      <c r="S295">
        <f t="shared" si="967"/>
        <v>-12.212729183965997</v>
      </c>
      <c r="T295">
        <f t="shared" si="968"/>
        <v>-1.2212729183965997E-2</v>
      </c>
    </row>
    <row r="296" spans="1:20" x14ac:dyDescent="0.25">
      <c r="A296" s="5">
        <v>44297</v>
      </c>
      <c r="B296">
        <v>4.5789999999999997</v>
      </c>
      <c r="C296">
        <v>4.7320000000000002</v>
      </c>
      <c r="D296">
        <v>4.3010000000000002</v>
      </c>
      <c r="E296">
        <v>4.6749999999999998</v>
      </c>
      <c r="F296">
        <v>1952050.9269999999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0.73549883990719078</v>
      </c>
      <c r="Q296">
        <f t="shared" si="965"/>
        <v>1435731.1922482562</v>
      </c>
      <c r="R296">
        <f t="shared" si="966"/>
        <v>-39600.565496601863</v>
      </c>
      <c r="S296">
        <f t="shared" si="967"/>
        <v>-0.39600565496601864</v>
      </c>
      <c r="T296">
        <f t="shared" si="968"/>
        <v>-3.9600565496601865E-4</v>
      </c>
    </row>
    <row r="297" spans="1:20" x14ac:dyDescent="0.25">
      <c r="A297" s="5">
        <v>44296</v>
      </c>
      <c r="B297">
        <v>4.5590000000000002</v>
      </c>
      <c r="C297">
        <v>4.819</v>
      </c>
      <c r="D297">
        <v>4.3769999999999998</v>
      </c>
      <c r="E297">
        <v>4.57</v>
      </c>
      <c r="F297">
        <v>2287687.5690000001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-0.12669683257918357</v>
      </c>
      <c r="Q297">
        <f t="shared" si="965"/>
        <v>-289842.76892307249</v>
      </c>
      <c r="R297">
        <f t="shared" si="966"/>
        <v>-1475331.757744858</v>
      </c>
      <c r="S297">
        <f t="shared" si="967"/>
        <v>-14.753317577448581</v>
      </c>
      <c r="T297">
        <f t="shared" si="968"/>
        <v>-1.475331757744858E-2</v>
      </c>
    </row>
    <row r="298" spans="1:20" x14ac:dyDescent="0.25">
      <c r="A298" s="5">
        <v>44295</v>
      </c>
      <c r="B298">
        <v>4.6890000000000001</v>
      </c>
      <c r="C298">
        <v>4.867</v>
      </c>
      <c r="D298">
        <v>4.5</v>
      </c>
      <c r="E298">
        <v>4.5599999999999996</v>
      </c>
      <c r="F298">
        <v>1928480.737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-0.67302452316076511</v>
      </c>
      <c r="Q298">
        <f t="shared" si="965"/>
        <v>-1297914.8284441459</v>
      </c>
      <c r="R298">
        <f t="shared" si="966"/>
        <v>-1185488.9888217857</v>
      </c>
      <c r="S298">
        <f t="shared" si="967"/>
        <v>-11.854889888217857</v>
      </c>
      <c r="T298">
        <f t="shared" si="968"/>
        <v>-1.1854889888217857E-2</v>
      </c>
    </row>
    <row r="299" spans="1:20" x14ac:dyDescent="0.25">
      <c r="A299" s="5">
        <v>44294</v>
      </c>
      <c r="B299">
        <v>4.5289999999999999</v>
      </c>
      <c r="C299">
        <v>5.1790000000000003</v>
      </c>
      <c r="D299">
        <v>4.5289999999999999</v>
      </c>
      <c r="E299">
        <v>4.6909999999999998</v>
      </c>
      <c r="F299">
        <v>3145881.96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-0.50153846153846204</v>
      </c>
      <c r="Q299">
        <f t="shared" si="965"/>
        <v>-1577780.7984000016</v>
      </c>
      <c r="R299">
        <f t="shared" si="966"/>
        <v>112425.83962236019</v>
      </c>
      <c r="S299">
        <f t="shared" si="967"/>
        <v>1.1242583962236019</v>
      </c>
      <c r="T299">
        <f t="shared" si="968"/>
        <v>1.1242583962236018E-3</v>
      </c>
    </row>
    <row r="300" spans="1:20" x14ac:dyDescent="0.25">
      <c r="A300" s="5">
        <v>44293</v>
      </c>
      <c r="B300">
        <v>4.5439999999999996</v>
      </c>
      <c r="C300">
        <v>4.8490000000000002</v>
      </c>
      <c r="D300">
        <v>4.0670000000000002</v>
      </c>
      <c r="E300">
        <v>4.53</v>
      </c>
      <c r="F300">
        <v>3763347.5639999998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0.18414322250639401</v>
      </c>
      <c r="Q300">
        <f t="shared" si="965"/>
        <v>692994.94784654782</v>
      </c>
      <c r="R300">
        <f t="shared" si="966"/>
        <v>1690206.6380223618</v>
      </c>
      <c r="S300">
        <f t="shared" si="967"/>
        <v>16.902066380223619</v>
      </c>
      <c r="T300">
        <f t="shared" si="968"/>
        <v>1.690206638022362E-2</v>
      </c>
    </row>
    <row r="301" spans="1:20" x14ac:dyDescent="0.25">
      <c r="A301" s="5">
        <v>44292</v>
      </c>
      <c r="B301">
        <v>4.8730000000000002</v>
      </c>
      <c r="C301">
        <v>5.1230000000000002</v>
      </c>
      <c r="D301">
        <v>4.3230000000000004</v>
      </c>
      <c r="E301">
        <v>4.5460000000000003</v>
      </c>
      <c r="F301">
        <v>4054087.1660000002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-0.44250000000000023</v>
      </c>
      <c r="Q301">
        <f t="shared" si="965"/>
        <v>-1793933.5709550011</v>
      </c>
      <c r="R301">
        <f t="shared" si="966"/>
        <v>997211.69017581386</v>
      </c>
      <c r="S301">
        <f t="shared" si="967"/>
        <v>9.9721169017581381</v>
      </c>
      <c r="T301">
        <f t="shared" si="968"/>
        <v>9.9721169017581383E-3</v>
      </c>
    </row>
    <row r="302" spans="1:20" x14ac:dyDescent="0.25">
      <c r="A302" s="5">
        <v>44291</v>
      </c>
      <c r="B302">
        <v>5.08</v>
      </c>
      <c r="C302">
        <v>5.4089999999999998</v>
      </c>
      <c r="D302">
        <v>4.702</v>
      </c>
      <c r="E302">
        <v>4.8730000000000002</v>
      </c>
      <c r="F302">
        <v>4623075.51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-0.51626591230551544</v>
      </c>
      <c r="Q302">
        <f t="shared" si="965"/>
        <v>-2386736.2958274358</v>
      </c>
      <c r="R302">
        <f t="shared" si="966"/>
        <v>2791145.2611308149</v>
      </c>
      <c r="S302">
        <f t="shared" si="967"/>
        <v>27.91145261130815</v>
      </c>
      <c r="T302">
        <f t="shared" si="968"/>
        <v>2.791145261130815E-2</v>
      </c>
    </row>
    <row r="303" spans="1:20" x14ac:dyDescent="0.25">
      <c r="A303" s="5">
        <v>44290</v>
      </c>
      <c r="B303">
        <v>4.38</v>
      </c>
      <c r="C303">
        <v>5.133</v>
      </c>
      <c r="D303">
        <v>4.3319999999999999</v>
      </c>
      <c r="E303">
        <v>5.0810000000000004</v>
      </c>
      <c r="F303">
        <v>4921215.4610000001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0.87016229712859028</v>
      </c>
      <c r="Q303">
        <f t="shared" si="965"/>
        <v>4282256.1502084946</v>
      </c>
      <c r="R303">
        <f t="shared" si="966"/>
        <v>5177881.5569582507</v>
      </c>
      <c r="S303">
        <f t="shared" si="967"/>
        <v>51.778815569582505</v>
      </c>
      <c r="T303">
        <f t="shared" si="968"/>
        <v>5.1778815569582505E-2</v>
      </c>
    </row>
    <row r="304" spans="1:20" x14ac:dyDescent="0.25">
      <c r="A304" s="5">
        <v>44289</v>
      </c>
      <c r="B304">
        <v>4.25</v>
      </c>
      <c r="C304">
        <v>4.95</v>
      </c>
      <c r="D304">
        <v>4.0999999999999996</v>
      </c>
      <c r="E304">
        <v>4.3899999999999997</v>
      </c>
      <c r="F304">
        <v>5717963.6090000002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-0.31764705882352978</v>
      </c>
      <c r="Q304">
        <f t="shared" si="965"/>
        <v>-1816294.3228588258</v>
      </c>
      <c r="R304">
        <f t="shared" si="966"/>
        <v>895625.40674975561</v>
      </c>
      <c r="S304">
        <f t="shared" si="967"/>
        <v>8.9562540674975555</v>
      </c>
      <c r="T304">
        <f t="shared" si="968"/>
        <v>8.9562540674975547E-3</v>
      </c>
    </row>
    <row r="305" spans="1:20" x14ac:dyDescent="0.25">
      <c r="A305" s="5">
        <v>44288</v>
      </c>
      <c r="B305">
        <v>4.42</v>
      </c>
      <c r="C305">
        <v>4.5060000000000002</v>
      </c>
      <c r="D305">
        <v>4.0609999999999999</v>
      </c>
      <c r="E305">
        <v>4.25</v>
      </c>
      <c r="F305">
        <v>3866288.1749999998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-0.15056179775280928</v>
      </c>
      <c r="Q305">
        <f t="shared" si="965"/>
        <v>-582115.29825842811</v>
      </c>
      <c r="R305">
        <f t="shared" si="966"/>
        <v>2711919.7296085814</v>
      </c>
      <c r="S305">
        <f t="shared" si="967"/>
        <v>27.119197296085815</v>
      </c>
      <c r="T305">
        <f t="shared" si="968"/>
        <v>2.7119197296085817E-2</v>
      </c>
    </row>
    <row r="306" spans="1:20" x14ac:dyDescent="0.25">
      <c r="A306" s="5">
        <v>44287</v>
      </c>
      <c r="B306">
        <v>4.109</v>
      </c>
      <c r="C306">
        <v>4.7889999999999997</v>
      </c>
      <c r="D306">
        <v>4.05</v>
      </c>
      <c r="E306">
        <v>4.4180000000000001</v>
      </c>
      <c r="F306">
        <v>9114263.3790000007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-4.0595399188081546E-3</v>
      </c>
      <c r="Q306">
        <f t="shared" si="965"/>
        <v>-36999.716017581799</v>
      </c>
      <c r="R306">
        <f t="shared" si="966"/>
        <v>3294035.0278670094</v>
      </c>
      <c r="S306">
        <f t="shared" si="967"/>
        <v>32.940350278670095</v>
      </c>
      <c r="T306">
        <f t="shared" si="968"/>
        <v>3.2940350278670094E-2</v>
      </c>
    </row>
    <row r="307" spans="1:20" x14ac:dyDescent="0.25">
      <c r="A307" s="5">
        <v>44286</v>
      </c>
      <c r="B307">
        <v>3.9020000000000001</v>
      </c>
      <c r="C307">
        <v>4.1660000000000004</v>
      </c>
      <c r="D307">
        <v>3.47</v>
      </c>
      <c r="E307">
        <v>4.117</v>
      </c>
      <c r="F307">
        <v>3885047.6630000002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0.8591954022988495</v>
      </c>
      <c r="Q307">
        <f t="shared" si="965"/>
        <v>3338015.08976149</v>
      </c>
      <c r="R307">
        <f t="shared" si="966"/>
        <v>3331034.7438845914</v>
      </c>
      <c r="S307">
        <f t="shared" si="967"/>
        <v>33.310347438845916</v>
      </c>
      <c r="T307">
        <f t="shared" si="968"/>
        <v>3.3310347438845915E-2</v>
      </c>
    </row>
    <row r="308" spans="1:20" x14ac:dyDescent="0.25">
      <c r="A308" s="5">
        <v>44285</v>
      </c>
      <c r="B308">
        <v>3.7480000000000002</v>
      </c>
      <c r="C308">
        <v>3.9249999999999998</v>
      </c>
      <c r="D308">
        <v>3.6160000000000001</v>
      </c>
      <c r="E308">
        <v>3.9060000000000001</v>
      </c>
      <c r="F308">
        <v>2025137.4950000001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0.87702265372168475</v>
      </c>
      <c r="Q308">
        <f t="shared" si="965"/>
        <v>1776091.4600161852</v>
      </c>
      <c r="R308">
        <f t="shared" si="966"/>
        <v>-6980.3458768983837</v>
      </c>
      <c r="S308">
        <f t="shared" si="967"/>
        <v>-6.9803458768983834E-2</v>
      </c>
      <c r="T308">
        <f t="shared" si="968"/>
        <v>-6.980345876898383E-5</v>
      </c>
    </row>
    <row r="309" spans="1:20" x14ac:dyDescent="0.25">
      <c r="A309" s="5">
        <v>44284</v>
      </c>
      <c r="B309">
        <v>3.5939999999999999</v>
      </c>
      <c r="C309">
        <v>3.8</v>
      </c>
      <c r="D309">
        <v>3.4689999999999999</v>
      </c>
      <c r="E309">
        <v>3.754</v>
      </c>
      <c r="F309">
        <v>2063904.635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0.72205438066465366</v>
      </c>
      <c r="Q309">
        <f t="shared" si="965"/>
        <v>1490251.382975833</v>
      </c>
      <c r="R309">
        <f t="shared" si="966"/>
        <v>-1783071.8058930836</v>
      </c>
      <c r="S309">
        <f t="shared" si="967"/>
        <v>-17.830718058930835</v>
      </c>
      <c r="T309">
        <f t="shared" si="968"/>
        <v>-1.7830718058930835E-2</v>
      </c>
    </row>
    <row r="310" spans="1:20" x14ac:dyDescent="0.25">
      <c r="A310" s="5">
        <v>44283</v>
      </c>
      <c r="B310">
        <v>3.83</v>
      </c>
      <c r="C310">
        <v>4</v>
      </c>
      <c r="D310">
        <v>3.3809999999999998</v>
      </c>
      <c r="E310">
        <v>3.5939999999999999</v>
      </c>
      <c r="F310">
        <v>3818085.11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-0.31179321486268174</v>
      </c>
      <c r="Q310">
        <f t="shared" si="965"/>
        <v>-1190453.0310662359</v>
      </c>
      <c r="R310">
        <f t="shared" si="966"/>
        <v>-3273323.1888689166</v>
      </c>
      <c r="S310">
        <f t="shared" si="967"/>
        <v>-32.733231888689168</v>
      </c>
      <c r="T310">
        <f t="shared" si="968"/>
        <v>-3.2733231888689165E-2</v>
      </c>
    </row>
    <row r="311" spans="1:20" x14ac:dyDescent="0.25">
      <c r="A311" s="5">
        <v>44282</v>
      </c>
      <c r="B311">
        <v>3.0579999999999998</v>
      </c>
      <c r="C311">
        <v>3.9329999999999998</v>
      </c>
      <c r="D311">
        <v>3.0259999999999998</v>
      </c>
      <c r="E311">
        <v>3.83</v>
      </c>
      <c r="F311">
        <v>5931132.6430000002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0.77287761852260251</v>
      </c>
      <c r="Q311">
        <f t="shared" si="965"/>
        <v>4584039.6722635096</v>
      </c>
      <c r="R311">
        <f t="shared" si="966"/>
        <v>-2082870.1578026805</v>
      </c>
      <c r="S311">
        <f t="shared" si="967"/>
        <v>-20.828701578026806</v>
      </c>
      <c r="T311">
        <f t="shared" si="968"/>
        <v>-2.0828701578026805E-2</v>
      </c>
    </row>
    <row r="312" spans="1:20" x14ac:dyDescent="0.25">
      <c r="A312" s="5">
        <v>44281</v>
      </c>
      <c r="B312">
        <v>2.81</v>
      </c>
      <c r="C312">
        <v>3.097</v>
      </c>
      <c r="D312">
        <v>2.7930000000000001</v>
      </c>
      <c r="E312">
        <v>3.0579999999999998</v>
      </c>
      <c r="F312">
        <v>1958094.6529999999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0.74342105263157787</v>
      </c>
      <c r="Q312">
        <f t="shared" si="965"/>
        <v>1455688.7880855242</v>
      </c>
      <c r="R312">
        <f t="shared" si="966"/>
        <v>-6666909.8300661901</v>
      </c>
      <c r="S312">
        <f t="shared" si="967"/>
        <v>-66.669098300661901</v>
      </c>
      <c r="T312">
        <f t="shared" si="968"/>
        <v>-6.6669098300661894E-2</v>
      </c>
    </row>
    <row r="313" spans="1:20" x14ac:dyDescent="0.25">
      <c r="A313" s="5">
        <v>44280</v>
      </c>
      <c r="B313">
        <v>2.891</v>
      </c>
      <c r="C313">
        <v>2.964</v>
      </c>
      <c r="D313">
        <v>2.6339999999999999</v>
      </c>
      <c r="E313">
        <v>2.798</v>
      </c>
      <c r="F313">
        <v>3075249.47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-6.0606060606053919E-3</v>
      </c>
      <c r="Q313">
        <f t="shared" si="965"/>
        <v>-18637.875575755519</v>
      </c>
      <c r="R313">
        <f t="shared" si="966"/>
        <v>-8122598.6181517141</v>
      </c>
      <c r="S313">
        <f t="shared" si="967"/>
        <v>-81.225986181517143</v>
      </c>
      <c r="T313">
        <f t="shared" si="968"/>
        <v>-8.1225986181517149E-2</v>
      </c>
    </row>
    <row r="314" spans="1:20" x14ac:dyDescent="0.25">
      <c r="A314" s="5">
        <v>44279</v>
      </c>
      <c r="B314">
        <v>3.1070000000000002</v>
      </c>
      <c r="C314">
        <v>3.5</v>
      </c>
      <c r="D314">
        <v>2.8530000000000002</v>
      </c>
      <c r="E314">
        <v>2.8980000000000001</v>
      </c>
      <c r="F314">
        <v>2904402.4210000001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-0.86089644513137575</v>
      </c>
      <c r="Q314">
        <f t="shared" si="965"/>
        <v>-2500389.7194698616</v>
      </c>
      <c r="R314">
        <f t="shared" si="966"/>
        <v>-8103960.7425759584</v>
      </c>
      <c r="S314">
        <f t="shared" si="967"/>
        <v>-81.039607425759584</v>
      </c>
      <c r="T314">
        <f t="shared" si="968"/>
        <v>-8.103960742575958E-2</v>
      </c>
    </row>
    <row r="315" spans="1:20" x14ac:dyDescent="0.25">
      <c r="A315" s="5">
        <v>44278</v>
      </c>
      <c r="B315">
        <v>3.194</v>
      </c>
      <c r="C315">
        <v>3.4569999999999999</v>
      </c>
      <c r="D315">
        <v>3.012</v>
      </c>
      <c r="E315">
        <v>3.1070000000000002</v>
      </c>
      <c r="F315">
        <v>2957549.0109999999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-0.5730337078651675</v>
      </c>
      <c r="Q315">
        <f t="shared" si="965"/>
        <v>-1694775.275966289</v>
      </c>
      <c r="R315">
        <f t="shared" si="966"/>
        <v>-5603571.0231060963</v>
      </c>
      <c r="S315">
        <f t="shared" si="967"/>
        <v>-56.03571023106096</v>
      </c>
      <c r="T315">
        <f t="shared" si="968"/>
        <v>-5.6035710231060958E-2</v>
      </c>
    </row>
    <row r="316" spans="1:20" x14ac:dyDescent="0.25">
      <c r="A316" s="5">
        <v>44277</v>
      </c>
      <c r="B316">
        <v>3.3839999999999999</v>
      </c>
      <c r="C316">
        <v>3.7269999999999999</v>
      </c>
      <c r="D316">
        <v>3.1680000000000001</v>
      </c>
      <c r="E316">
        <v>3.19</v>
      </c>
      <c r="F316">
        <v>4048068.6340000001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-0.92128801431127083</v>
      </c>
      <c r="Q316">
        <f t="shared" si="965"/>
        <v>-3729437.1136135985</v>
      </c>
      <c r="R316">
        <f t="shared" si="966"/>
        <v>-3908795.7471398069</v>
      </c>
      <c r="S316">
        <f t="shared" si="967"/>
        <v>-39.08795747139807</v>
      </c>
      <c r="T316">
        <f t="shared" si="968"/>
        <v>-3.9087957471398073E-2</v>
      </c>
    </row>
    <row r="317" spans="1:20" x14ac:dyDescent="0.25">
      <c r="A317" s="5">
        <v>44276</v>
      </c>
      <c r="B317">
        <v>3.254</v>
      </c>
      <c r="C317">
        <v>3.42</v>
      </c>
      <c r="D317">
        <v>3.1339999999999999</v>
      </c>
      <c r="E317">
        <v>3.3820000000000001</v>
      </c>
      <c r="F317">
        <v>3108613.5669999998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0.7342657342657356</v>
      </c>
      <c r="Q317">
        <f t="shared" si="965"/>
        <v>2282548.4233216825</v>
      </c>
      <c r="R317">
        <f t="shared" si="966"/>
        <v>-179358.63352620834</v>
      </c>
      <c r="S317">
        <f t="shared" si="967"/>
        <v>-1.7935863352620836</v>
      </c>
      <c r="T317">
        <f t="shared" si="968"/>
        <v>-1.7935863352620835E-3</v>
      </c>
    </row>
    <row r="318" spans="1:20" x14ac:dyDescent="0.25">
      <c r="A318" s="5">
        <v>44275</v>
      </c>
      <c r="B318">
        <v>3.5110000000000001</v>
      </c>
      <c r="C318">
        <v>3.6589999999999998</v>
      </c>
      <c r="D318">
        <v>3.2530000000000001</v>
      </c>
      <c r="E318">
        <v>3.254</v>
      </c>
      <c r="F318">
        <v>4292022.5669999998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-0.99507389162561632</v>
      </c>
      <c r="Q318">
        <f t="shared" si="965"/>
        <v>-4270879.5986896576</v>
      </c>
      <c r="R318">
        <f t="shared" si="966"/>
        <v>-2461907.0568478908</v>
      </c>
      <c r="S318">
        <f t="shared" si="967"/>
        <v>-24.619070568478907</v>
      </c>
      <c r="T318">
        <f t="shared" si="968"/>
        <v>-2.4619070568478906E-2</v>
      </c>
    </row>
    <row r="319" spans="1:20" x14ac:dyDescent="0.25">
      <c r="A319" s="5">
        <v>44274</v>
      </c>
      <c r="B319">
        <v>3.778</v>
      </c>
      <c r="C319">
        <v>3.879</v>
      </c>
      <c r="D319">
        <v>3.4969999999999999</v>
      </c>
      <c r="E319">
        <v>3.5169999999999999</v>
      </c>
      <c r="F319">
        <v>2882237.5929999999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-0.89528795811518314</v>
      </c>
      <c r="Q319">
        <f t="shared" si="965"/>
        <v>-2580432.6094397902</v>
      </c>
      <c r="R319">
        <f t="shared" si="966"/>
        <v>1808972.5418417668</v>
      </c>
      <c r="S319">
        <f t="shared" si="967"/>
        <v>18.089725418417668</v>
      </c>
      <c r="T319">
        <f t="shared" si="968"/>
        <v>1.808972541841767E-2</v>
      </c>
    </row>
    <row r="320" spans="1:20" x14ac:dyDescent="0.25">
      <c r="A320" s="5">
        <v>44273</v>
      </c>
      <c r="B320">
        <v>3.82</v>
      </c>
      <c r="C320">
        <v>4.0570000000000004</v>
      </c>
      <c r="D320">
        <v>3.5910000000000002</v>
      </c>
      <c r="E320">
        <v>3.7669999999999999</v>
      </c>
      <c r="F320">
        <v>3936768.6919999998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-0.24463519313304877</v>
      </c>
      <c r="Q320">
        <f t="shared" si="965"/>
        <v>-963072.16928755969</v>
      </c>
      <c r="R320">
        <f t="shared" si="966"/>
        <v>4389405.151281557</v>
      </c>
      <c r="S320">
        <f t="shared" si="967"/>
        <v>43.894051512815572</v>
      </c>
      <c r="T320">
        <f t="shared" si="968"/>
        <v>4.3894051512815571E-2</v>
      </c>
    </row>
    <row r="321" spans="1:20" x14ac:dyDescent="0.25">
      <c r="A321" s="5">
        <v>44272</v>
      </c>
      <c r="B321">
        <v>3.5150000000000001</v>
      </c>
      <c r="C321">
        <v>4.13</v>
      </c>
      <c r="D321">
        <v>3.3639999999999999</v>
      </c>
      <c r="E321">
        <v>3.8180000000000001</v>
      </c>
      <c r="F321">
        <v>6194233.5369999995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0.18537859007832944</v>
      </c>
      <c r="Q321">
        <f t="shared" si="965"/>
        <v>1148278.2797049636</v>
      </c>
      <c r="R321">
        <f t="shared" si="966"/>
        <v>5352477.3205691166</v>
      </c>
      <c r="S321">
        <f t="shared" si="967"/>
        <v>53.524773205691169</v>
      </c>
      <c r="T321">
        <f t="shared" si="968"/>
        <v>5.352477320569117E-2</v>
      </c>
    </row>
    <row r="322" spans="1:20" x14ac:dyDescent="0.25">
      <c r="A322" s="5">
        <v>44271</v>
      </c>
      <c r="B322">
        <v>3.3460000000000001</v>
      </c>
      <c r="C322">
        <v>4.1980000000000004</v>
      </c>
      <c r="D322">
        <v>3.1019999999999999</v>
      </c>
      <c r="E322">
        <v>3.5150000000000001</v>
      </c>
      <c r="F322">
        <v>16622164.431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-0.24635036496350354</v>
      </c>
      <c r="Q322">
        <f t="shared" si="965"/>
        <v>-4094876.2740602172</v>
      </c>
      <c r="R322">
        <f t="shared" si="966"/>
        <v>4204199.0408641528</v>
      </c>
      <c r="S322">
        <f t="shared" si="967"/>
        <v>42.041990408641531</v>
      </c>
      <c r="T322">
        <f t="shared" si="968"/>
        <v>4.2041990408641532E-2</v>
      </c>
    </row>
    <row r="323" spans="1:20" x14ac:dyDescent="0.25">
      <c r="A323" s="5">
        <v>44270</v>
      </c>
      <c r="B323">
        <v>2.7869999999999999</v>
      </c>
      <c r="C323">
        <v>3.49</v>
      </c>
      <c r="D323">
        <v>2.536</v>
      </c>
      <c r="E323">
        <v>3.34</v>
      </c>
      <c r="F323">
        <v>7770097.4850000003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0.68553459119496785</v>
      </c>
      <c r="Q323">
        <f t="shared" si="965"/>
        <v>5326670.6029245229</v>
      </c>
      <c r="R323">
        <f t="shared" si="966"/>
        <v>8299075.3149243705</v>
      </c>
      <c r="S323">
        <f t="shared" si="967"/>
        <v>82.990753149243702</v>
      </c>
      <c r="T323">
        <f t="shared" si="968"/>
        <v>8.2990753149243701E-2</v>
      </c>
    </row>
    <row r="324" spans="1:20" x14ac:dyDescent="0.25">
      <c r="A324" s="5">
        <v>44269</v>
      </c>
      <c r="B324">
        <v>2.92</v>
      </c>
      <c r="C324">
        <v>3.073</v>
      </c>
      <c r="D324">
        <v>2.68</v>
      </c>
      <c r="E324">
        <v>2.7869999999999999</v>
      </c>
      <c r="F324">
        <v>3970906.219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-0.45547073791348691</v>
      </c>
      <c r="Q324">
        <f t="shared" si="965"/>
        <v>-1808631.5857531843</v>
      </c>
      <c r="R324">
        <f t="shared" si="966"/>
        <v>2972404.711999848</v>
      </c>
      <c r="S324">
        <f t="shared" si="967"/>
        <v>29.724047119998481</v>
      </c>
      <c r="T324">
        <f t="shared" si="968"/>
        <v>2.972404711999848E-2</v>
      </c>
    </row>
    <row r="325" spans="1:20" x14ac:dyDescent="0.25">
      <c r="A325" s="5">
        <v>44268</v>
      </c>
      <c r="B325">
        <v>2.4279999999999999</v>
      </c>
      <c r="C325">
        <v>3.0630000000000002</v>
      </c>
      <c r="D325">
        <v>2.302</v>
      </c>
      <c r="E325">
        <v>2.923</v>
      </c>
      <c r="F325">
        <v>6444773.7570000002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0.6320630749014452</v>
      </c>
      <c r="Q325">
        <f t="shared" si="965"/>
        <v>4073503.5178935593</v>
      </c>
      <c r="R325">
        <f t="shared" si="966"/>
        <v>4781036.2977530323</v>
      </c>
      <c r="S325">
        <f t="shared" si="967"/>
        <v>47.810362977530325</v>
      </c>
      <c r="T325">
        <f t="shared" si="968"/>
        <v>4.7810362977530323E-2</v>
      </c>
    </row>
    <row r="326" spans="1:20" x14ac:dyDescent="0.25">
      <c r="A326" s="5">
        <v>44267</v>
      </c>
      <c r="B326">
        <v>2.4329999999999998</v>
      </c>
      <c r="C326">
        <v>2.778</v>
      </c>
      <c r="D326">
        <v>2.355</v>
      </c>
      <c r="E326">
        <v>2.4279999999999999</v>
      </c>
      <c r="F326">
        <v>4082400.9580000001</v>
      </c>
      <c r="G326">
        <v>0</v>
      </c>
      <c r="L326" t="s">
        <v>8</v>
      </c>
      <c r="M326" t="s">
        <v>7</v>
      </c>
      <c r="N326" t="s">
        <v>8</v>
      </c>
      <c r="P326">
        <f t="shared" ref="P326:P389" si="969">IF(C326=D326,0,((E326-D326)-(C326-E326))/(C326-D326))</f>
        <v>-0.65484633569739981</v>
      </c>
      <c r="Q326">
        <f t="shared" ref="Q326:Q389" si="970">F326*P326</f>
        <v>-2673345.3081938545</v>
      </c>
      <c r="R326">
        <f t="shared" ref="R326:R389" si="971">R327+Q326</f>
        <v>707532.77985947253</v>
      </c>
      <c r="S326">
        <f t="shared" ref="S326:S389" si="972">R326/100000</f>
        <v>7.0753277985947252</v>
      </c>
      <c r="T326">
        <f t="shared" ref="T326:T389" si="973">S326/1000</f>
        <v>7.0753277985947252E-3</v>
      </c>
    </row>
    <row r="327" spans="1:20" x14ac:dyDescent="0.25">
      <c r="A327" s="5">
        <v>44266</v>
      </c>
      <c r="B327">
        <v>2.4649999999999999</v>
      </c>
      <c r="C327">
        <v>2.64</v>
      </c>
      <c r="D327">
        <v>2.3530000000000002</v>
      </c>
      <c r="E327">
        <v>2.4260000000000002</v>
      </c>
      <c r="F327">
        <v>3178915.4580000001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-0.49128919860627196</v>
      </c>
      <c r="Q327">
        <f t="shared" si="970"/>
        <v>-1561766.82779791</v>
      </c>
      <c r="R327">
        <f t="shared" si="971"/>
        <v>3380878.0880533271</v>
      </c>
      <c r="S327">
        <f t="shared" si="972"/>
        <v>33.80878088053327</v>
      </c>
      <c r="T327">
        <f t="shared" si="973"/>
        <v>3.3808780880533268E-2</v>
      </c>
    </row>
    <row r="328" spans="1:20" x14ac:dyDescent="0.25">
      <c r="A328" s="5">
        <v>44265</v>
      </c>
      <c r="B328">
        <v>2.7570000000000001</v>
      </c>
      <c r="C328">
        <v>2.82</v>
      </c>
      <c r="D328">
        <v>2.4049999999999998</v>
      </c>
      <c r="E328">
        <v>2.4590000000000001</v>
      </c>
      <c r="F328">
        <v>3780749.182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-0.73975903614457705</v>
      </c>
      <c r="Q328">
        <f t="shared" si="970"/>
        <v>-2796843.370780718</v>
      </c>
      <c r="R328">
        <f t="shared" si="971"/>
        <v>4942644.9158512373</v>
      </c>
      <c r="S328">
        <f t="shared" si="972"/>
        <v>49.426449158512369</v>
      </c>
      <c r="T328">
        <f t="shared" si="973"/>
        <v>4.9426449158512367E-2</v>
      </c>
    </row>
    <row r="329" spans="1:20" x14ac:dyDescent="0.25">
      <c r="A329" s="5">
        <v>44264</v>
      </c>
      <c r="B329">
        <v>2.544</v>
      </c>
      <c r="C329">
        <v>2.8220000000000001</v>
      </c>
      <c r="D329">
        <v>2.5409999999999999</v>
      </c>
      <c r="E329">
        <v>2.7559999999999998</v>
      </c>
      <c r="F329">
        <v>4121309.534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0.53024911032028288</v>
      </c>
      <c r="Q329">
        <f t="shared" si="970"/>
        <v>2185320.7137579997</v>
      </c>
      <c r="R329">
        <f t="shared" si="971"/>
        <v>7739488.2866319548</v>
      </c>
      <c r="S329">
        <f t="shared" si="972"/>
        <v>77.394882866319548</v>
      </c>
      <c r="T329">
        <f t="shared" si="973"/>
        <v>7.7394882866319542E-2</v>
      </c>
    </row>
    <row r="330" spans="1:20" x14ac:dyDescent="0.25">
      <c r="A330" s="5">
        <v>44263</v>
      </c>
      <c r="B330">
        <v>2.42</v>
      </c>
      <c r="C330">
        <v>2.5979999999999999</v>
      </c>
      <c r="D330">
        <v>2.355</v>
      </c>
      <c r="E330">
        <v>2.5510000000000002</v>
      </c>
      <c r="F330">
        <v>3877133.1549999998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0.6131687242798376</v>
      </c>
      <c r="Q330">
        <f t="shared" si="970"/>
        <v>2377336.7905144119</v>
      </c>
      <c r="R330">
        <f t="shared" si="971"/>
        <v>5554167.5728739556</v>
      </c>
      <c r="S330">
        <f t="shared" si="972"/>
        <v>55.541675728739555</v>
      </c>
      <c r="T330">
        <f t="shared" si="973"/>
        <v>5.5541675728739553E-2</v>
      </c>
    </row>
    <row r="331" spans="1:20" x14ac:dyDescent="0.25">
      <c r="A331" s="5">
        <v>44262</v>
      </c>
      <c r="B331">
        <v>2.339</v>
      </c>
      <c r="C331">
        <v>2.5419999999999998</v>
      </c>
      <c r="D331">
        <v>2.3119999999999998</v>
      </c>
      <c r="E331">
        <v>2.4289999999999998</v>
      </c>
      <c r="F331">
        <v>3931352.3509999998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1.7391304347826105E-2</v>
      </c>
      <c r="Q331">
        <f t="shared" si="970"/>
        <v>68371.345234782668</v>
      </c>
      <c r="R331">
        <f t="shared" si="971"/>
        <v>3176830.7823595442</v>
      </c>
      <c r="S331">
        <f t="shared" si="972"/>
        <v>31.768307823595443</v>
      </c>
      <c r="T331">
        <f t="shared" si="973"/>
        <v>3.1768307823595444E-2</v>
      </c>
    </row>
    <row r="332" spans="1:20" x14ac:dyDescent="0.25">
      <c r="A332" s="5">
        <v>44261</v>
      </c>
      <c r="B332">
        <v>2.4620000000000002</v>
      </c>
      <c r="C332">
        <v>2.65</v>
      </c>
      <c r="D332">
        <v>2.2330000000000001</v>
      </c>
      <c r="E332">
        <v>2.3330000000000002</v>
      </c>
      <c r="F332">
        <v>4691284.8820000002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-0.52038369304556287</v>
      </c>
      <c r="Q332">
        <f t="shared" si="970"/>
        <v>-2441268.1520239776</v>
      </c>
      <c r="R332">
        <f t="shared" si="971"/>
        <v>3108459.4371247618</v>
      </c>
      <c r="S332">
        <f t="shared" si="972"/>
        <v>31.084594371247618</v>
      </c>
      <c r="T332">
        <f t="shared" si="973"/>
        <v>3.108459437124762E-2</v>
      </c>
    </row>
    <row r="333" spans="1:20" x14ac:dyDescent="0.25">
      <c r="A333" s="5">
        <v>44260</v>
      </c>
      <c r="B333">
        <v>2.258</v>
      </c>
      <c r="C333">
        <v>2.62</v>
      </c>
      <c r="D333">
        <v>2.056</v>
      </c>
      <c r="E333">
        <v>2.464</v>
      </c>
      <c r="F333">
        <v>7821899.0140000004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0.44680851063829746</v>
      </c>
      <c r="Q333">
        <f t="shared" si="970"/>
        <v>3494891.0488085076</v>
      </c>
      <c r="R333">
        <f t="shared" si="971"/>
        <v>5549727.5891487394</v>
      </c>
      <c r="S333">
        <f t="shared" si="972"/>
        <v>55.497275891487391</v>
      </c>
      <c r="T333">
        <f t="shared" si="973"/>
        <v>5.549727589148739E-2</v>
      </c>
    </row>
    <row r="334" spans="1:20" x14ac:dyDescent="0.25">
      <c r="A334" s="5">
        <v>44259</v>
      </c>
      <c r="B334">
        <v>2.2069999999999999</v>
      </c>
      <c r="C334">
        <v>2.4</v>
      </c>
      <c r="D334">
        <v>2.1</v>
      </c>
      <c r="E334">
        <v>2.2570000000000001</v>
      </c>
      <c r="F334">
        <v>5095923.7249999996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4.6666666666667474E-2</v>
      </c>
      <c r="Q334">
        <f t="shared" si="970"/>
        <v>237809.77383333741</v>
      </c>
      <c r="R334">
        <f t="shared" si="971"/>
        <v>2054836.5403402322</v>
      </c>
      <c r="S334">
        <f t="shared" si="972"/>
        <v>20.548365403402322</v>
      </c>
      <c r="T334">
        <f t="shared" si="973"/>
        <v>2.0548365403402321E-2</v>
      </c>
    </row>
    <row r="335" spans="1:20" x14ac:dyDescent="0.25">
      <c r="A335" s="5">
        <v>44258</v>
      </c>
      <c r="B335">
        <v>2.19</v>
      </c>
      <c r="C335">
        <v>2.335</v>
      </c>
      <c r="D335">
        <v>2.1459999999999999</v>
      </c>
      <c r="E335">
        <v>2.2149999999999999</v>
      </c>
      <c r="F335">
        <v>4359220.3509999998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-0.2698412698412706</v>
      </c>
      <c r="Q335">
        <f t="shared" si="970"/>
        <v>-1176297.5550317492</v>
      </c>
      <c r="R335">
        <f t="shared" si="971"/>
        <v>1817026.7665068947</v>
      </c>
      <c r="S335">
        <f t="shared" si="972"/>
        <v>18.170267665068948</v>
      </c>
      <c r="T335">
        <f t="shared" si="973"/>
        <v>1.8170267665068948E-2</v>
      </c>
    </row>
    <row r="336" spans="1:20" x14ac:dyDescent="0.25">
      <c r="A336" s="5">
        <v>44257</v>
      </c>
      <c r="B336">
        <v>2.2189999999999999</v>
      </c>
      <c r="C336">
        <v>2.35</v>
      </c>
      <c r="D336">
        <v>2.02</v>
      </c>
      <c r="E336">
        <v>2.1920000000000002</v>
      </c>
      <c r="F336">
        <v>4683604.784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4.2424242424243128E-2</v>
      </c>
      <c r="Q336">
        <f t="shared" si="970"/>
        <v>198698.38477576087</v>
      </c>
      <c r="R336">
        <f t="shared" si="971"/>
        <v>2993324.3215386439</v>
      </c>
      <c r="S336">
        <f t="shared" si="972"/>
        <v>29.93324321538644</v>
      </c>
      <c r="T336">
        <f t="shared" si="973"/>
        <v>2.993324321538644E-2</v>
      </c>
    </row>
    <row r="337" spans="1:20" x14ac:dyDescent="0.25">
      <c r="A337" s="5">
        <v>44256</v>
      </c>
      <c r="B337">
        <v>2.0529999999999999</v>
      </c>
      <c r="C337">
        <v>2.2749999999999999</v>
      </c>
      <c r="D337">
        <v>2.04</v>
      </c>
      <c r="E337">
        <v>2.2189999999999999</v>
      </c>
      <c r="F337">
        <v>5146425.9910000004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0.52340425531914825</v>
      </c>
      <c r="Q337">
        <f t="shared" si="970"/>
        <v>2693661.2633744646</v>
      </c>
      <c r="R337">
        <f t="shared" si="971"/>
        <v>2794625.9367628829</v>
      </c>
      <c r="S337">
        <f t="shared" si="972"/>
        <v>27.94625936762883</v>
      </c>
      <c r="T337">
        <f t="shared" si="973"/>
        <v>2.7946259367628831E-2</v>
      </c>
    </row>
    <row r="338" spans="1:20" x14ac:dyDescent="0.25">
      <c r="A338" s="5">
        <v>44255</v>
      </c>
      <c r="B338">
        <v>2.2130000000000001</v>
      </c>
      <c r="C338">
        <v>2.2639999999999998</v>
      </c>
      <c r="D338">
        <v>1.887</v>
      </c>
      <c r="E338">
        <v>2.06</v>
      </c>
      <c r="F338">
        <v>2325257.8489999999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-8.2228116710874571E-2</v>
      </c>
      <c r="Q338">
        <f t="shared" si="970"/>
        <v>-191201.57379044915</v>
      </c>
      <c r="R338">
        <f t="shared" si="971"/>
        <v>100964.67338841807</v>
      </c>
      <c r="S338">
        <f t="shared" si="972"/>
        <v>1.0096467338841808</v>
      </c>
      <c r="T338">
        <f t="shared" si="973"/>
        <v>1.0096467338841808E-3</v>
      </c>
    </row>
    <row r="339" spans="1:20" x14ac:dyDescent="0.25">
      <c r="A339" s="5">
        <v>44254</v>
      </c>
      <c r="B339">
        <v>2.1040000000000001</v>
      </c>
      <c r="C339">
        <v>2.3879999999999999</v>
      </c>
      <c r="D339">
        <v>2.0910000000000002</v>
      </c>
      <c r="E339">
        <v>2.2160000000000002</v>
      </c>
      <c r="F339">
        <v>2448618.35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-0.15824915824915742</v>
      </c>
      <c r="Q339">
        <f t="shared" si="970"/>
        <v>-387491.79276094073</v>
      </c>
      <c r="R339">
        <f t="shared" si="971"/>
        <v>292166.24717886723</v>
      </c>
      <c r="S339">
        <f t="shared" si="972"/>
        <v>2.9216624717886721</v>
      </c>
      <c r="T339">
        <f t="shared" si="973"/>
        <v>2.9216624717886721E-3</v>
      </c>
    </row>
    <row r="340" spans="1:20" x14ac:dyDescent="0.25">
      <c r="A340" s="5">
        <v>44253</v>
      </c>
      <c r="B340">
        <v>2.0529999999999999</v>
      </c>
      <c r="C340">
        <v>2.3250000000000002</v>
      </c>
      <c r="D340">
        <v>1.867</v>
      </c>
      <c r="E340">
        <v>2.1030000000000002</v>
      </c>
      <c r="F340">
        <v>3262354.2790000001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3.0567685589520149E-2</v>
      </c>
      <c r="Q340">
        <f t="shared" si="970"/>
        <v>99722.619882097701</v>
      </c>
      <c r="R340">
        <f t="shared" si="971"/>
        <v>679658.03993980796</v>
      </c>
      <c r="S340">
        <f t="shared" si="972"/>
        <v>6.7965803993980796</v>
      </c>
      <c r="T340">
        <f t="shared" si="973"/>
        <v>6.7965803993980797E-3</v>
      </c>
    </row>
    <row r="341" spans="1:20" x14ac:dyDescent="0.25">
      <c r="A341" s="5">
        <v>44252</v>
      </c>
      <c r="B341">
        <v>2.2200000000000002</v>
      </c>
      <c r="C341">
        <v>2.4239999999999999</v>
      </c>
      <c r="D341">
        <v>2.0009999999999999</v>
      </c>
      <c r="E341">
        <v>2.06</v>
      </c>
      <c r="F341">
        <v>3144426.53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-0.72104018912529477</v>
      </c>
      <c r="Q341">
        <f t="shared" si="970"/>
        <v>-2267257.8998817941</v>
      </c>
      <c r="R341">
        <f t="shared" si="971"/>
        <v>579935.42005771026</v>
      </c>
      <c r="S341">
        <f t="shared" si="972"/>
        <v>5.7993542005771026</v>
      </c>
      <c r="T341">
        <f t="shared" si="973"/>
        <v>5.7993542005771023E-3</v>
      </c>
    </row>
    <row r="342" spans="1:20" x14ac:dyDescent="0.25">
      <c r="A342" s="5">
        <v>44251</v>
      </c>
      <c r="B342">
        <v>2.1339999999999999</v>
      </c>
      <c r="C342">
        <v>2.48</v>
      </c>
      <c r="D342">
        <v>1.96</v>
      </c>
      <c r="E342">
        <v>2.2160000000000002</v>
      </c>
      <c r="F342">
        <v>3803828.199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-1.5384615384614544E-2</v>
      </c>
      <c r="Q342">
        <f t="shared" si="970"/>
        <v>-58520.433830766036</v>
      </c>
      <c r="R342">
        <f t="shared" si="971"/>
        <v>2847193.3199395044</v>
      </c>
      <c r="S342">
        <f t="shared" si="972"/>
        <v>28.471933199395043</v>
      </c>
      <c r="T342">
        <f t="shared" si="973"/>
        <v>2.8471933199395043E-2</v>
      </c>
    </row>
    <row r="343" spans="1:20" x14ac:dyDescent="0.25">
      <c r="A343" s="5">
        <v>44250</v>
      </c>
      <c r="B343">
        <v>2.621</v>
      </c>
      <c r="C343">
        <v>2.6829999999999998</v>
      </c>
      <c r="D343">
        <v>1.8240000000000001</v>
      </c>
      <c r="E343">
        <v>2.133</v>
      </c>
      <c r="F343">
        <v>6610951.2620000001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-0.28055878928987188</v>
      </c>
      <c r="Q343">
        <f t="shared" si="970"/>
        <v>-1854760.4821210706</v>
      </c>
      <c r="R343">
        <f t="shared" si="971"/>
        <v>2905713.7537702704</v>
      </c>
      <c r="S343">
        <f t="shared" si="972"/>
        <v>29.057137537702705</v>
      </c>
      <c r="T343">
        <f t="shared" si="973"/>
        <v>2.9057137537702706E-2</v>
      </c>
    </row>
    <row r="344" spans="1:20" x14ac:dyDescent="0.25">
      <c r="A344" s="5">
        <v>44249</v>
      </c>
      <c r="B344">
        <v>2.95</v>
      </c>
      <c r="C344">
        <v>2.9569999999999999</v>
      </c>
      <c r="D344">
        <v>2.2999999999999998</v>
      </c>
      <c r="E344">
        <v>2.6219999999999999</v>
      </c>
      <c r="F344">
        <v>6507208.4819999998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-1.9786910197868948E-2</v>
      </c>
      <c r="Q344">
        <f t="shared" si="970"/>
        <v>-128757.54987214511</v>
      </c>
      <c r="R344">
        <f t="shared" si="971"/>
        <v>4760474.2358913412</v>
      </c>
      <c r="S344">
        <f t="shared" si="972"/>
        <v>47.604742358913413</v>
      </c>
      <c r="T344">
        <f t="shared" si="973"/>
        <v>4.7604742358913411E-2</v>
      </c>
    </row>
    <row r="345" spans="1:20" x14ac:dyDescent="0.25">
      <c r="A345" s="5">
        <v>44248</v>
      </c>
      <c r="B345">
        <v>2.9460000000000002</v>
      </c>
      <c r="C345">
        <v>3.1669999999999998</v>
      </c>
      <c r="D345">
        <v>2.8620000000000001</v>
      </c>
      <c r="E345">
        <v>2.944</v>
      </c>
      <c r="F345">
        <v>3880051.19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-0.46229508196721358</v>
      </c>
      <c r="Q345">
        <f t="shared" si="970"/>
        <v>-1793728.5829180346</v>
      </c>
      <c r="R345">
        <f t="shared" si="971"/>
        <v>4889231.7857634863</v>
      </c>
      <c r="S345">
        <f t="shared" si="972"/>
        <v>48.892317857634865</v>
      </c>
      <c r="T345">
        <f t="shared" si="973"/>
        <v>4.8892317857634864E-2</v>
      </c>
    </row>
    <row r="346" spans="1:20" x14ac:dyDescent="0.25">
      <c r="A346" s="5">
        <v>44247</v>
      </c>
      <c r="B346">
        <v>3.133</v>
      </c>
      <c r="C346">
        <v>3.49</v>
      </c>
      <c r="D346">
        <v>2.74</v>
      </c>
      <c r="E346">
        <v>2.95</v>
      </c>
      <c r="F346">
        <v>8209879.3820000002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-0.44000000000000011</v>
      </c>
      <c r="Q346">
        <f t="shared" si="970"/>
        <v>-3612346.9280800009</v>
      </c>
      <c r="R346">
        <f t="shared" si="971"/>
        <v>6682960.3686815212</v>
      </c>
      <c r="S346">
        <f t="shared" si="972"/>
        <v>66.829603686815219</v>
      </c>
      <c r="T346">
        <f t="shared" si="973"/>
        <v>6.6829603686815217E-2</v>
      </c>
    </row>
    <row r="347" spans="1:20" x14ac:dyDescent="0.25">
      <c r="A347" s="5">
        <v>44246</v>
      </c>
      <c r="B347">
        <v>3.226</v>
      </c>
      <c r="C347">
        <v>3.282</v>
      </c>
      <c r="D347">
        <v>2.8</v>
      </c>
      <c r="E347">
        <v>3.133</v>
      </c>
      <c r="F347">
        <v>4634061.3629999999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0.38174273858921182</v>
      </c>
      <c r="Q347">
        <f t="shared" si="970"/>
        <v>1769019.2755020757</v>
      </c>
      <c r="R347">
        <f t="shared" si="971"/>
        <v>10295307.296761522</v>
      </c>
      <c r="S347">
        <f t="shared" si="972"/>
        <v>102.95307296761523</v>
      </c>
      <c r="T347">
        <f t="shared" si="973"/>
        <v>0.10295307296761523</v>
      </c>
    </row>
    <row r="348" spans="1:20" x14ac:dyDescent="0.25">
      <c r="A348" s="5">
        <v>44245</v>
      </c>
      <c r="B348">
        <v>3.008</v>
      </c>
      <c r="C348">
        <v>3.4780000000000002</v>
      </c>
      <c r="D348">
        <v>3.0019999999999998</v>
      </c>
      <c r="E348">
        <v>3.222</v>
      </c>
      <c r="F348">
        <v>3531005.26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-7.5630252100840331E-2</v>
      </c>
      <c r="Q348">
        <f t="shared" si="970"/>
        <v>-267050.81798319326</v>
      </c>
      <c r="R348">
        <f t="shared" si="971"/>
        <v>8526288.0212594457</v>
      </c>
      <c r="S348">
        <f t="shared" si="972"/>
        <v>85.262880212594453</v>
      </c>
      <c r="T348">
        <f t="shared" si="973"/>
        <v>8.5262880212594455E-2</v>
      </c>
    </row>
    <row r="349" spans="1:20" x14ac:dyDescent="0.25">
      <c r="A349" s="5">
        <v>44244</v>
      </c>
      <c r="B349">
        <v>3.0449999999999999</v>
      </c>
      <c r="C349">
        <v>3.371</v>
      </c>
      <c r="D349">
        <v>2.6560000000000001</v>
      </c>
      <c r="E349">
        <v>3.012</v>
      </c>
      <c r="F349">
        <v>5685204.9759999998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-4.1958041958043554E-3</v>
      </c>
      <c r="Q349">
        <f t="shared" si="970"/>
        <v>-23854.0068923086</v>
      </c>
      <c r="R349">
        <f t="shared" si="971"/>
        <v>8793338.839242639</v>
      </c>
      <c r="S349">
        <f t="shared" si="972"/>
        <v>87.933388392426394</v>
      </c>
      <c r="T349">
        <f t="shared" si="973"/>
        <v>8.7933388392426398E-2</v>
      </c>
    </row>
    <row r="350" spans="1:20" x14ac:dyDescent="0.25">
      <c r="A350" s="5">
        <v>44243</v>
      </c>
      <c r="B350">
        <v>2.9380000000000002</v>
      </c>
      <c r="C350">
        <v>3.7360000000000002</v>
      </c>
      <c r="D350">
        <v>2.8010000000000002</v>
      </c>
      <c r="E350">
        <v>3.0409999999999999</v>
      </c>
      <c r="F350">
        <v>8983790.8469999991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-0.48663101604278125</v>
      </c>
      <c r="Q350">
        <f t="shared" si="970"/>
        <v>-4371791.2677914482</v>
      </c>
      <c r="R350">
        <f t="shared" si="971"/>
        <v>8817192.8461349476</v>
      </c>
      <c r="S350">
        <f t="shared" si="972"/>
        <v>88.171928461349481</v>
      </c>
      <c r="T350">
        <f t="shared" si="973"/>
        <v>8.8171928461349483E-2</v>
      </c>
    </row>
    <row r="351" spans="1:20" x14ac:dyDescent="0.25">
      <c r="A351" s="5">
        <v>44242</v>
      </c>
      <c r="B351">
        <v>2.758</v>
      </c>
      <c r="C351">
        <v>3.2959999999999998</v>
      </c>
      <c r="D351">
        <v>2.25</v>
      </c>
      <c r="E351">
        <v>2.9380000000000002</v>
      </c>
      <c r="F351">
        <v>7092796.5949999997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0.31548757170172137</v>
      </c>
      <c r="Q351">
        <f t="shared" si="970"/>
        <v>2237689.1743307877</v>
      </c>
      <c r="R351">
        <f t="shared" si="971"/>
        <v>13188984.113926396</v>
      </c>
      <c r="S351">
        <f t="shared" si="972"/>
        <v>131.88984113926395</v>
      </c>
      <c r="T351">
        <f t="shared" si="973"/>
        <v>0.13188984113926394</v>
      </c>
    </row>
    <row r="352" spans="1:20" x14ac:dyDescent="0.25">
      <c r="A352" s="5">
        <v>44241</v>
      </c>
      <c r="B352">
        <v>3.0590000000000002</v>
      </c>
      <c r="C352">
        <v>3.085</v>
      </c>
      <c r="D352">
        <v>2.6259999999999999</v>
      </c>
      <c r="E352">
        <v>2.7610000000000001</v>
      </c>
      <c r="F352">
        <v>4035786.4509999999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-0.41176470588235203</v>
      </c>
      <c r="Q352">
        <f t="shared" si="970"/>
        <v>-1661794.4209999964</v>
      </c>
      <c r="R352">
        <f t="shared" si="971"/>
        <v>10951294.939595608</v>
      </c>
      <c r="S352">
        <f t="shared" si="972"/>
        <v>109.51294939595608</v>
      </c>
      <c r="T352">
        <f t="shared" si="973"/>
        <v>0.10951294939595609</v>
      </c>
    </row>
    <row r="353" spans="1:20" x14ac:dyDescent="0.25">
      <c r="A353" s="5">
        <v>44240</v>
      </c>
      <c r="B353">
        <v>3.153</v>
      </c>
      <c r="C353">
        <v>3.379</v>
      </c>
      <c r="D353">
        <v>2.8919999999999999</v>
      </c>
      <c r="E353">
        <v>3.069</v>
      </c>
      <c r="F353">
        <v>3629527.4530000002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-0.27310061601642704</v>
      </c>
      <c r="Q353">
        <f t="shared" si="970"/>
        <v>-991226.18326283351</v>
      </c>
      <c r="R353">
        <f t="shared" si="971"/>
        <v>12613089.360595604</v>
      </c>
      <c r="S353">
        <f t="shared" si="972"/>
        <v>126.13089360595605</v>
      </c>
      <c r="T353">
        <f t="shared" si="973"/>
        <v>0.12613089360595606</v>
      </c>
    </row>
    <row r="354" spans="1:20" x14ac:dyDescent="0.25">
      <c r="A354" s="5">
        <v>44239</v>
      </c>
      <c r="B354">
        <v>2.827</v>
      </c>
      <c r="C354">
        <v>3.4390000000000001</v>
      </c>
      <c r="D354">
        <v>2.702</v>
      </c>
      <c r="E354">
        <v>3.1509999999999998</v>
      </c>
      <c r="F354">
        <v>7069756.5750000002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0.21845318860244176</v>
      </c>
      <c r="Q354">
        <f t="shared" si="970"/>
        <v>1544410.8664518278</v>
      </c>
      <c r="R354">
        <f t="shared" si="971"/>
        <v>13604315.543858439</v>
      </c>
      <c r="S354">
        <f t="shared" si="972"/>
        <v>136.04315543858439</v>
      </c>
      <c r="T354">
        <f t="shared" si="973"/>
        <v>0.13604315543858439</v>
      </c>
    </row>
    <row r="355" spans="1:20" x14ac:dyDescent="0.25">
      <c r="A355" s="5">
        <v>44238</v>
      </c>
      <c r="B355">
        <v>2.74</v>
      </c>
      <c r="C355">
        <v>2.9180000000000001</v>
      </c>
      <c r="D355">
        <v>2.5819999999999999</v>
      </c>
      <c r="E355">
        <v>2.8140000000000001</v>
      </c>
      <c r="F355">
        <v>4145461.4929999998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0.38095238095238093</v>
      </c>
      <c r="Q355">
        <f t="shared" si="970"/>
        <v>1579223.4259047618</v>
      </c>
      <c r="R355">
        <f t="shared" si="971"/>
        <v>12059904.677406611</v>
      </c>
      <c r="S355">
        <f t="shared" si="972"/>
        <v>120.59904677406611</v>
      </c>
      <c r="T355">
        <f t="shared" si="973"/>
        <v>0.1205990467740661</v>
      </c>
    </row>
    <row r="356" spans="1:20" x14ac:dyDescent="0.25">
      <c r="A356" s="5">
        <v>44237</v>
      </c>
      <c r="B356">
        <v>2.6339999999999999</v>
      </c>
      <c r="C356">
        <v>2.85</v>
      </c>
      <c r="D356">
        <v>2.238</v>
      </c>
      <c r="E356">
        <v>2.74</v>
      </c>
      <c r="F356">
        <v>5964244.5880000005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0.64052287581699396</v>
      </c>
      <c r="Q356">
        <f t="shared" si="970"/>
        <v>3820235.0955817024</v>
      </c>
      <c r="R356">
        <f t="shared" si="971"/>
        <v>10480681.251501849</v>
      </c>
      <c r="S356">
        <f t="shared" si="972"/>
        <v>104.80681251501849</v>
      </c>
      <c r="T356">
        <f t="shared" si="973"/>
        <v>0.1048068125150185</v>
      </c>
    </row>
    <row r="357" spans="1:20" x14ac:dyDescent="0.25">
      <c r="A357" s="5">
        <v>44236</v>
      </c>
      <c r="B357">
        <v>2.1739999999999999</v>
      </c>
      <c r="C357">
        <v>2.7</v>
      </c>
      <c r="D357">
        <v>2.1320000000000001</v>
      </c>
      <c r="E357">
        <v>2.6440000000000001</v>
      </c>
      <c r="F357">
        <v>5751396.1529999999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0.80281690140845052</v>
      </c>
      <c r="Q357">
        <f t="shared" si="970"/>
        <v>4617318.0383239426</v>
      </c>
      <c r="R357">
        <f t="shared" si="971"/>
        <v>6660446.155920146</v>
      </c>
      <c r="S357">
        <f t="shared" si="972"/>
        <v>66.604461559201454</v>
      </c>
      <c r="T357">
        <f t="shared" si="973"/>
        <v>6.6604461559201453E-2</v>
      </c>
    </row>
    <row r="358" spans="1:20" x14ac:dyDescent="0.25">
      <c r="A358" s="5">
        <v>44235</v>
      </c>
      <c r="B358">
        <v>2.0430000000000001</v>
      </c>
      <c r="C358">
        <v>2.2839999999999998</v>
      </c>
      <c r="D358">
        <v>1.9830000000000001</v>
      </c>
      <c r="E358">
        <v>2.1739999999999999</v>
      </c>
      <c r="F358">
        <v>3726415.855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0.26910299003322274</v>
      </c>
      <c r="Q358">
        <f t="shared" si="970"/>
        <v>1002789.6486877082</v>
      </c>
      <c r="R358">
        <f t="shared" si="971"/>
        <v>2043128.1175962039</v>
      </c>
      <c r="S358">
        <f t="shared" si="972"/>
        <v>20.431281175962038</v>
      </c>
      <c r="T358">
        <f t="shared" si="973"/>
        <v>2.0431281175962039E-2</v>
      </c>
    </row>
    <row r="359" spans="1:20" x14ac:dyDescent="0.25">
      <c r="A359" s="5">
        <v>44234</v>
      </c>
      <c r="B359">
        <v>2.0910000000000002</v>
      </c>
      <c r="C359">
        <v>2.1739999999999999</v>
      </c>
      <c r="D359">
        <v>1.86</v>
      </c>
      <c r="E359">
        <v>2.0379999999999998</v>
      </c>
      <c r="F359">
        <v>3192122.8670000001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0.13375796178343827</v>
      </c>
      <c r="Q359">
        <f t="shared" si="970"/>
        <v>426971.84845222539</v>
      </c>
      <c r="R359">
        <f t="shared" si="971"/>
        <v>1040338.4689084957</v>
      </c>
      <c r="S359">
        <f t="shared" si="972"/>
        <v>10.403384689084957</v>
      </c>
      <c r="T359">
        <f t="shared" si="973"/>
        <v>1.0403384689084957E-2</v>
      </c>
    </row>
    <row r="360" spans="1:20" x14ac:dyDescent="0.25">
      <c r="A360" s="5">
        <v>44233</v>
      </c>
      <c r="B360">
        <v>2.3140000000000001</v>
      </c>
      <c r="C360">
        <v>2.3809999999999998</v>
      </c>
      <c r="D360">
        <v>2.0289999999999999</v>
      </c>
      <c r="E360">
        <v>2.0910000000000002</v>
      </c>
      <c r="F360">
        <v>3695559.986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-0.64772727272727104</v>
      </c>
      <c r="Q360">
        <f t="shared" si="970"/>
        <v>-2393714.9909318117</v>
      </c>
      <c r="R360">
        <f t="shared" si="971"/>
        <v>613366.62045627041</v>
      </c>
      <c r="S360">
        <f t="shared" si="972"/>
        <v>6.1336662045627044</v>
      </c>
      <c r="T360">
        <f t="shared" si="973"/>
        <v>6.1336662045627047E-3</v>
      </c>
    </row>
    <row r="361" spans="1:20" x14ac:dyDescent="0.25">
      <c r="A361" s="5">
        <v>44232</v>
      </c>
      <c r="B361">
        <v>2.2130000000000001</v>
      </c>
      <c r="C361">
        <v>2.46</v>
      </c>
      <c r="D361">
        <v>2.15</v>
      </c>
      <c r="E361">
        <v>2.3130000000000002</v>
      </c>
      <c r="F361">
        <v>3802487.9890000001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5.1612903225807923E-2</v>
      </c>
      <c r="Q361">
        <f t="shared" si="970"/>
        <v>196257.44459355398</v>
      </c>
      <c r="R361">
        <f t="shared" si="971"/>
        <v>3007081.6113880822</v>
      </c>
      <c r="S361">
        <f t="shared" si="972"/>
        <v>30.07081611388082</v>
      </c>
      <c r="T361">
        <f t="shared" si="973"/>
        <v>3.0070816113880822E-2</v>
      </c>
    </row>
    <row r="362" spans="1:20" x14ac:dyDescent="0.25">
      <c r="A362" s="5">
        <v>44231</v>
      </c>
      <c r="B362">
        <v>2.0990000000000002</v>
      </c>
      <c r="C362">
        <v>2.33</v>
      </c>
      <c r="D362">
        <v>1.915</v>
      </c>
      <c r="E362">
        <v>2.21</v>
      </c>
      <c r="F362">
        <v>4694028.6380000003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0.42168674698795133</v>
      </c>
      <c r="Q362">
        <f t="shared" si="970"/>
        <v>1979409.6666265039</v>
      </c>
      <c r="R362">
        <f t="shared" si="971"/>
        <v>2810824.1667945283</v>
      </c>
      <c r="S362">
        <f t="shared" si="972"/>
        <v>28.108241667945283</v>
      </c>
      <c r="T362">
        <f t="shared" si="973"/>
        <v>2.8108241667945282E-2</v>
      </c>
    </row>
    <row r="363" spans="1:20" x14ac:dyDescent="0.25">
      <c r="A363" s="5">
        <v>44230</v>
      </c>
      <c r="B363">
        <v>1.917</v>
      </c>
      <c r="C363">
        <v>2.1749999999999998</v>
      </c>
      <c r="D363">
        <v>1.881</v>
      </c>
      <c r="E363">
        <v>2.1080000000000001</v>
      </c>
      <c r="F363">
        <v>4137514.6140000001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0.54421768707483154</v>
      </c>
      <c r="Q363">
        <f t="shared" si="970"/>
        <v>2251708.6334693944</v>
      </c>
      <c r="R363">
        <f t="shared" si="971"/>
        <v>831414.50016802456</v>
      </c>
      <c r="S363">
        <f t="shared" si="972"/>
        <v>8.3141450016802452</v>
      </c>
      <c r="T363">
        <f t="shared" si="973"/>
        <v>8.3141450016802447E-3</v>
      </c>
    </row>
    <row r="364" spans="1:20" x14ac:dyDescent="0.25">
      <c r="A364" s="5">
        <v>44229</v>
      </c>
      <c r="B364">
        <v>1.9419999999999999</v>
      </c>
      <c r="C364">
        <v>2.145</v>
      </c>
      <c r="D364">
        <v>1.877</v>
      </c>
      <c r="E364">
        <v>1.9239999999999999</v>
      </c>
      <c r="F364">
        <v>4139945.1510000001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-0.64925373134328412</v>
      </c>
      <c r="Q364">
        <f t="shared" si="970"/>
        <v>-2687874.8368432857</v>
      </c>
      <c r="R364">
        <f t="shared" si="971"/>
        <v>-1420294.1333013698</v>
      </c>
      <c r="S364">
        <f t="shared" si="972"/>
        <v>-14.202941333013699</v>
      </c>
      <c r="T364">
        <f t="shared" si="973"/>
        <v>-1.42029413330137E-2</v>
      </c>
    </row>
    <row r="365" spans="1:20" x14ac:dyDescent="0.25">
      <c r="A365" s="5">
        <v>44228</v>
      </c>
      <c r="B365">
        <v>1.843</v>
      </c>
      <c r="C365">
        <v>2</v>
      </c>
      <c r="D365">
        <v>1.722</v>
      </c>
      <c r="E365">
        <v>1.9419999999999999</v>
      </c>
      <c r="F365">
        <v>3588938.077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0.58273381294964</v>
      </c>
      <c r="Q365">
        <f t="shared" si="970"/>
        <v>2091395.5700503588</v>
      </c>
      <c r="R365">
        <f t="shared" si="971"/>
        <v>1267580.7035419159</v>
      </c>
      <c r="S365">
        <f t="shared" si="972"/>
        <v>12.675807035419158</v>
      </c>
      <c r="T365">
        <f t="shared" si="973"/>
        <v>1.2675807035419158E-2</v>
      </c>
    </row>
    <row r="366" spans="1:20" x14ac:dyDescent="0.25">
      <c r="A366" s="5">
        <v>44227</v>
      </c>
      <c r="B366">
        <v>1.881</v>
      </c>
      <c r="C366">
        <v>1.9339999999999999</v>
      </c>
      <c r="D366">
        <v>1.7170000000000001</v>
      </c>
      <c r="E366">
        <v>1.843</v>
      </c>
      <c r="F366">
        <v>3814862.5120000001</v>
      </c>
      <c r="G366">
        <v>0</v>
      </c>
      <c r="L366" t="s">
        <v>8</v>
      </c>
      <c r="M366" t="s">
        <v>7</v>
      </c>
      <c r="N366" t="s">
        <v>8</v>
      </c>
      <c r="P366">
        <f t="shared" si="969"/>
        <v>0.16129032258064491</v>
      </c>
      <c r="Q366">
        <f t="shared" si="970"/>
        <v>615300.40516128938</v>
      </c>
      <c r="R366">
        <f t="shared" si="971"/>
        <v>-823814.86650844302</v>
      </c>
      <c r="S366">
        <f t="shared" si="972"/>
        <v>-8.2381486650844309</v>
      </c>
      <c r="T366">
        <f t="shared" si="973"/>
        <v>-8.2381486650844309E-3</v>
      </c>
    </row>
    <row r="367" spans="1:20" x14ac:dyDescent="0.25">
      <c r="A367" s="5">
        <v>44226</v>
      </c>
      <c r="B367">
        <v>1.7569999999999999</v>
      </c>
      <c r="C367">
        <v>1.89</v>
      </c>
      <c r="D367">
        <v>1.6870000000000001</v>
      </c>
      <c r="E367">
        <v>1.8740000000000001</v>
      </c>
      <c r="F367">
        <v>4110685.8110000002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0.8423645320197064</v>
      </c>
      <c r="Q367">
        <f t="shared" si="970"/>
        <v>3462695.9294630624</v>
      </c>
      <c r="R367">
        <f t="shared" si="971"/>
        <v>-1439115.2716697324</v>
      </c>
      <c r="S367">
        <f t="shared" si="972"/>
        <v>-14.391152716697324</v>
      </c>
      <c r="T367">
        <f t="shared" si="973"/>
        <v>-1.4391152716697324E-2</v>
      </c>
    </row>
    <row r="368" spans="1:20" x14ac:dyDescent="0.25">
      <c r="A368" s="5">
        <v>44225</v>
      </c>
      <c r="B368">
        <v>1.8080000000000001</v>
      </c>
      <c r="C368">
        <v>1.869</v>
      </c>
      <c r="D368">
        <v>1.694</v>
      </c>
      <c r="E368">
        <v>1.758</v>
      </c>
      <c r="F368">
        <v>3557290.4750000001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-0.26857142857142813</v>
      </c>
      <c r="Q368">
        <f t="shared" si="970"/>
        <v>-955386.58471428417</v>
      </c>
      <c r="R368">
        <f t="shared" si="971"/>
        <v>-4901811.2011327948</v>
      </c>
      <c r="S368">
        <f t="shared" si="972"/>
        <v>-49.01811201132795</v>
      </c>
      <c r="T368">
        <f t="shared" si="973"/>
        <v>-4.9018112011327948E-2</v>
      </c>
    </row>
    <row r="369" spans="1:20" x14ac:dyDescent="0.25">
      <c r="A369" s="5">
        <v>44224</v>
      </c>
      <c r="B369">
        <v>1.7849999999999999</v>
      </c>
      <c r="C369">
        <v>1.99</v>
      </c>
      <c r="D369">
        <v>1.73</v>
      </c>
      <c r="E369">
        <v>1.8049999999999999</v>
      </c>
      <c r="F369">
        <v>3315557.531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-0.42307692307692346</v>
      </c>
      <c r="Q369">
        <f t="shared" si="970"/>
        <v>-1402735.8785000013</v>
      </c>
      <c r="R369">
        <f t="shared" si="971"/>
        <v>-3946424.6164185107</v>
      </c>
      <c r="S369">
        <f t="shared" si="972"/>
        <v>-39.464246164185106</v>
      </c>
      <c r="T369">
        <f t="shared" si="973"/>
        <v>-3.9464246164185104E-2</v>
      </c>
    </row>
    <row r="370" spans="1:20" x14ac:dyDescent="0.25">
      <c r="A370" s="5">
        <v>44223</v>
      </c>
      <c r="B370">
        <v>2.052</v>
      </c>
      <c r="C370">
        <v>2.0920000000000001</v>
      </c>
      <c r="D370">
        <v>1.68</v>
      </c>
      <c r="E370">
        <v>1.7849999999999999</v>
      </c>
      <c r="F370">
        <v>3909472.5189999999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-0.49029126213592261</v>
      </c>
      <c r="Q370">
        <f t="shared" si="970"/>
        <v>-1916780.2156262146</v>
      </c>
      <c r="R370">
        <f t="shared" si="971"/>
        <v>-2543688.7379185092</v>
      </c>
      <c r="S370">
        <f t="shared" si="972"/>
        <v>-25.436887379185091</v>
      </c>
      <c r="T370">
        <f t="shared" si="973"/>
        <v>-2.5436887379185091E-2</v>
      </c>
    </row>
    <row r="371" spans="1:20" x14ac:dyDescent="0.25">
      <c r="A371" s="5">
        <v>44222</v>
      </c>
      <c r="B371">
        <v>1.9139999999999999</v>
      </c>
      <c r="C371">
        <v>2.2490000000000001</v>
      </c>
      <c r="D371">
        <v>1.7470000000000001</v>
      </c>
      <c r="E371">
        <v>2.052</v>
      </c>
      <c r="F371">
        <v>5268101.1519999998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0.21513944223107545</v>
      </c>
      <c r="Q371">
        <f t="shared" si="970"/>
        <v>1133376.3434581659</v>
      </c>
      <c r="R371">
        <f t="shared" si="971"/>
        <v>-626908.52229229477</v>
      </c>
      <c r="S371">
        <f t="shared" si="972"/>
        <v>-6.2690852229229481</v>
      </c>
      <c r="T371">
        <f t="shared" si="973"/>
        <v>-6.2690852229229481E-3</v>
      </c>
    </row>
    <row r="372" spans="1:20" x14ac:dyDescent="0.25">
      <c r="A372" s="5">
        <v>44221</v>
      </c>
      <c r="B372">
        <v>2.0979999999999999</v>
      </c>
      <c r="C372">
        <v>2.1760000000000002</v>
      </c>
      <c r="D372">
        <v>1.85</v>
      </c>
      <c r="E372">
        <v>1.917</v>
      </c>
      <c r="F372">
        <v>3515481.0929999999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-0.5889570552147243</v>
      </c>
      <c r="Q372">
        <f t="shared" si="970"/>
        <v>-2070467.3921963202</v>
      </c>
      <c r="R372">
        <f t="shared" si="971"/>
        <v>-1760284.8657504607</v>
      </c>
      <c r="S372">
        <f t="shared" si="972"/>
        <v>-17.602848657504605</v>
      </c>
      <c r="T372">
        <f t="shared" si="973"/>
        <v>-1.7602848657504604E-2</v>
      </c>
    </row>
    <row r="373" spans="1:20" x14ac:dyDescent="0.25">
      <c r="A373" s="5">
        <v>44220</v>
      </c>
      <c r="B373">
        <v>2.1</v>
      </c>
      <c r="C373">
        <v>2.3479999999999999</v>
      </c>
      <c r="D373">
        <v>1.95</v>
      </c>
      <c r="E373">
        <v>2.0990000000000002</v>
      </c>
      <c r="F373">
        <v>5592615.9950000001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-0.25125628140703377</v>
      </c>
      <c r="Q373">
        <f t="shared" si="970"/>
        <v>-1405179.8982411982</v>
      </c>
      <c r="R373">
        <f t="shared" si="971"/>
        <v>310182.52644585958</v>
      </c>
      <c r="S373">
        <f t="shared" si="972"/>
        <v>3.1018252644585957</v>
      </c>
      <c r="T373">
        <f t="shared" si="973"/>
        <v>3.1018252644585955E-3</v>
      </c>
    </row>
    <row r="374" spans="1:20" x14ac:dyDescent="0.25">
      <c r="A374" s="5">
        <v>44219</v>
      </c>
      <c r="B374">
        <v>1.6919999999999999</v>
      </c>
      <c r="C374">
        <v>2.17</v>
      </c>
      <c r="D374">
        <v>1.645</v>
      </c>
      <c r="E374">
        <v>2.1</v>
      </c>
      <c r="F374">
        <v>6287163.9890000001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0.73333333333333395</v>
      </c>
      <c r="Q374">
        <f t="shared" si="970"/>
        <v>4610586.925266671</v>
      </c>
      <c r="R374">
        <f t="shared" si="971"/>
        <v>1715362.4246870577</v>
      </c>
      <c r="S374">
        <f t="shared" si="972"/>
        <v>17.153624246870578</v>
      </c>
      <c r="T374">
        <f t="shared" si="973"/>
        <v>1.7153624246870579E-2</v>
      </c>
    </row>
    <row r="375" spans="1:20" x14ac:dyDescent="0.25">
      <c r="A375" s="5">
        <v>44218</v>
      </c>
      <c r="B375">
        <v>1.575</v>
      </c>
      <c r="C375">
        <v>1.82</v>
      </c>
      <c r="D375">
        <v>1.45</v>
      </c>
      <c r="E375">
        <v>1.69</v>
      </c>
      <c r="F375">
        <v>2747271.2820000001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0.29729729729729687</v>
      </c>
      <c r="Q375">
        <f t="shared" si="970"/>
        <v>816756.32708107994</v>
      </c>
      <c r="R375">
        <f t="shared" si="971"/>
        <v>-2895224.5005796133</v>
      </c>
      <c r="S375">
        <f t="shared" si="972"/>
        <v>-28.952245005796133</v>
      </c>
      <c r="T375">
        <f t="shared" si="973"/>
        <v>-2.8952245005796132E-2</v>
      </c>
    </row>
    <row r="376" spans="1:20" x14ac:dyDescent="0.25">
      <c r="A376" s="5">
        <v>44217</v>
      </c>
      <c r="B376">
        <v>1.944</v>
      </c>
      <c r="C376">
        <v>1.944</v>
      </c>
      <c r="D376">
        <v>1.5329999999999999</v>
      </c>
      <c r="E376">
        <v>1.5740000000000001</v>
      </c>
      <c r="F376">
        <v>3495010.7859999998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-0.80048661800486542</v>
      </c>
      <c r="Q376">
        <f t="shared" si="970"/>
        <v>-2797709.3639756665</v>
      </c>
      <c r="R376">
        <f t="shared" si="971"/>
        <v>-3711980.8276606933</v>
      </c>
      <c r="S376">
        <f t="shared" si="972"/>
        <v>-37.119808276606932</v>
      </c>
      <c r="T376">
        <f t="shared" si="973"/>
        <v>-3.7119808276606929E-2</v>
      </c>
    </row>
    <row r="377" spans="1:20" x14ac:dyDescent="0.25">
      <c r="A377" s="5">
        <v>44216</v>
      </c>
      <c r="B377">
        <v>1.694</v>
      </c>
      <c r="C377">
        <v>2.1</v>
      </c>
      <c r="D377">
        <v>1.6719999999999999</v>
      </c>
      <c r="E377">
        <v>1.944</v>
      </c>
      <c r="F377">
        <v>6234335.0300000003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0.27102803738317721</v>
      </c>
      <c r="Q377">
        <f t="shared" si="970"/>
        <v>1689679.5875700912</v>
      </c>
      <c r="R377">
        <f t="shared" si="971"/>
        <v>-914271.46368502686</v>
      </c>
      <c r="S377">
        <f t="shared" si="972"/>
        <v>-9.1427146368502683</v>
      </c>
      <c r="T377">
        <f t="shared" si="973"/>
        <v>-9.1427146368502684E-3</v>
      </c>
    </row>
    <row r="378" spans="1:20" x14ac:dyDescent="0.25">
      <c r="A378" s="5">
        <v>44215</v>
      </c>
      <c r="B378">
        <v>1.756</v>
      </c>
      <c r="C378">
        <v>1.9</v>
      </c>
      <c r="D378">
        <v>1.6459999999999999</v>
      </c>
      <c r="E378">
        <v>1.6990000000000001</v>
      </c>
      <c r="F378">
        <v>3081064.9569999999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-0.58267716535432945</v>
      </c>
      <c r="Q378">
        <f t="shared" si="970"/>
        <v>-1795266.195417319</v>
      </c>
      <c r="R378">
        <f t="shared" si="971"/>
        <v>-2603951.0512551181</v>
      </c>
      <c r="S378">
        <f t="shared" si="972"/>
        <v>-26.039510512551182</v>
      </c>
      <c r="T378">
        <f t="shared" si="973"/>
        <v>-2.603951051255118E-2</v>
      </c>
    </row>
    <row r="379" spans="1:20" x14ac:dyDescent="0.25">
      <c r="A379" s="5">
        <v>44214</v>
      </c>
      <c r="B379">
        <v>1.782</v>
      </c>
      <c r="C379">
        <v>1.8640000000000001</v>
      </c>
      <c r="D379">
        <v>1.6379999999999999</v>
      </c>
      <c r="E379">
        <v>1.7549999999999999</v>
      </c>
      <c r="F379">
        <v>3797901.1669999999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3.5398230088494589E-2</v>
      </c>
      <c r="Q379">
        <f t="shared" si="970"/>
        <v>134438.9793628281</v>
      </c>
      <c r="R379">
        <f t="shared" si="971"/>
        <v>-808684.85583779926</v>
      </c>
      <c r="S379">
        <f t="shared" si="972"/>
        <v>-8.0868485583779925</v>
      </c>
      <c r="T379">
        <f t="shared" si="973"/>
        <v>-8.0868485583779921E-3</v>
      </c>
    </row>
    <row r="380" spans="1:20" x14ac:dyDescent="0.25">
      <c r="A380" s="5">
        <v>44213</v>
      </c>
      <c r="B380">
        <v>1.5089999999999999</v>
      </c>
      <c r="C380">
        <v>1.95</v>
      </c>
      <c r="D380">
        <v>1.4319999999999999</v>
      </c>
      <c r="E380">
        <v>1.7849999999999999</v>
      </c>
      <c r="F380">
        <v>6318071.7850000001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0.36293436293436282</v>
      </c>
      <c r="Q380">
        <f t="shared" si="970"/>
        <v>2293045.3582625478</v>
      </c>
      <c r="R380">
        <f t="shared" si="971"/>
        <v>-943123.83520062733</v>
      </c>
      <c r="S380">
        <f t="shared" si="972"/>
        <v>-9.4312383520062735</v>
      </c>
      <c r="T380">
        <f t="shared" si="973"/>
        <v>-9.4312383520062729E-3</v>
      </c>
    </row>
    <row r="381" spans="1:20" x14ac:dyDescent="0.25">
      <c r="A381" s="5">
        <v>44212</v>
      </c>
      <c r="B381">
        <v>1.526</v>
      </c>
      <c r="C381">
        <v>1.6</v>
      </c>
      <c r="D381">
        <v>1.423</v>
      </c>
      <c r="E381">
        <v>1.5089999999999999</v>
      </c>
      <c r="F381">
        <v>3866464.9539999999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-2.824858757062337E-2</v>
      </c>
      <c r="Q381">
        <f t="shared" si="970"/>
        <v>-109222.17384181525</v>
      </c>
      <c r="R381">
        <f t="shared" si="971"/>
        <v>-3236169.1934631751</v>
      </c>
      <c r="S381">
        <f t="shared" si="972"/>
        <v>-32.36169193463175</v>
      </c>
      <c r="T381">
        <f t="shared" si="973"/>
        <v>-3.2361691934631752E-2</v>
      </c>
    </row>
    <row r="382" spans="1:20" x14ac:dyDescent="0.25">
      <c r="A382" s="5">
        <v>44211</v>
      </c>
      <c r="B382">
        <v>1.343</v>
      </c>
      <c r="C382">
        <v>1.57</v>
      </c>
      <c r="D382">
        <v>1.2729999999999999</v>
      </c>
      <c r="E382">
        <v>1.532</v>
      </c>
      <c r="F382">
        <v>5135910.7659999998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0.74410774410774405</v>
      </c>
      <c r="Q382">
        <f t="shared" si="970"/>
        <v>3821670.9740269356</v>
      </c>
      <c r="R382">
        <f t="shared" si="971"/>
        <v>-3126947.0196213597</v>
      </c>
      <c r="S382">
        <f t="shared" si="972"/>
        <v>-31.269470196213597</v>
      </c>
      <c r="T382">
        <f t="shared" si="973"/>
        <v>-3.1269470196213595E-2</v>
      </c>
    </row>
    <row r="383" spans="1:20" x14ac:dyDescent="0.25">
      <c r="A383" s="5">
        <v>44210</v>
      </c>
      <c r="B383">
        <v>1.31</v>
      </c>
      <c r="C383">
        <v>1.389</v>
      </c>
      <c r="D383">
        <v>1.282</v>
      </c>
      <c r="E383">
        <v>1.341</v>
      </c>
      <c r="F383">
        <v>1522383.827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0.10280373831775608</v>
      </c>
      <c r="Q383">
        <f t="shared" si="970"/>
        <v>156506.74857009205</v>
      </c>
      <c r="R383">
        <f t="shared" si="971"/>
        <v>-6948617.9936482953</v>
      </c>
      <c r="S383">
        <f t="shared" si="972"/>
        <v>-69.486179936482955</v>
      </c>
      <c r="T383">
        <f t="shared" si="973"/>
        <v>-6.9486179936482956E-2</v>
      </c>
    </row>
    <row r="384" spans="1:20" x14ac:dyDescent="0.25">
      <c r="A384" s="5">
        <v>44209</v>
      </c>
      <c r="B384">
        <v>1.236</v>
      </c>
      <c r="C384">
        <v>1.39</v>
      </c>
      <c r="D384">
        <v>1.19</v>
      </c>
      <c r="E384">
        <v>1.3089999999999999</v>
      </c>
      <c r="F384">
        <v>1455556.308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0.19000000000000022</v>
      </c>
      <c r="Q384">
        <f t="shared" si="970"/>
        <v>276555.69852000033</v>
      </c>
      <c r="R384">
        <f t="shared" si="971"/>
        <v>-7105124.7422183873</v>
      </c>
      <c r="S384">
        <f t="shared" si="972"/>
        <v>-71.051247422183877</v>
      </c>
      <c r="T384">
        <f t="shared" si="973"/>
        <v>-7.1051247422183883E-2</v>
      </c>
    </row>
    <row r="385" spans="1:20" x14ac:dyDescent="0.25">
      <c r="A385" s="5">
        <v>44208</v>
      </c>
      <c r="B385">
        <v>1.2969999999999999</v>
      </c>
      <c r="C385">
        <v>1.38</v>
      </c>
      <c r="D385">
        <v>1.2110000000000001</v>
      </c>
      <c r="E385">
        <v>1.2310000000000001</v>
      </c>
      <c r="F385">
        <v>1487633.0789999999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-0.76331360946745519</v>
      </c>
      <c r="Q385">
        <f t="shared" si="970"/>
        <v>-1135530.5750946738</v>
      </c>
      <c r="R385">
        <f t="shared" si="971"/>
        <v>-7381680.4407383874</v>
      </c>
      <c r="S385">
        <f t="shared" si="972"/>
        <v>-73.81680440738387</v>
      </c>
      <c r="T385">
        <f t="shared" si="973"/>
        <v>-7.3816804407383876E-2</v>
      </c>
    </row>
    <row r="386" spans="1:20" x14ac:dyDescent="0.25">
      <c r="A386" s="5">
        <v>44207</v>
      </c>
      <c r="B386">
        <v>1.4690000000000001</v>
      </c>
      <c r="C386">
        <v>1.47</v>
      </c>
      <c r="D386">
        <v>1.151</v>
      </c>
      <c r="E386">
        <v>1.2969999999999999</v>
      </c>
      <c r="F386">
        <v>2323577.4130000002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-8.4639498432602323E-2</v>
      </c>
      <c r="Q386">
        <f t="shared" si="970"/>
        <v>-196666.42680564368</v>
      </c>
      <c r="R386">
        <f t="shared" si="971"/>
        <v>-6246149.8656437136</v>
      </c>
      <c r="S386">
        <f t="shared" si="972"/>
        <v>-62.461498656437136</v>
      </c>
      <c r="T386">
        <f t="shared" si="973"/>
        <v>-6.2461498656437138E-2</v>
      </c>
    </row>
    <row r="387" spans="1:20" x14ac:dyDescent="0.25">
      <c r="A387" s="5">
        <v>44206</v>
      </c>
      <c r="B387">
        <v>1.5720000000000001</v>
      </c>
      <c r="C387">
        <v>1.7</v>
      </c>
      <c r="D387">
        <v>1.35</v>
      </c>
      <c r="E387">
        <v>1.4650000000000001</v>
      </c>
      <c r="F387">
        <v>2429009.307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-0.34285714285714264</v>
      </c>
      <c r="Q387">
        <f t="shared" si="970"/>
        <v>-832803.19097142806</v>
      </c>
      <c r="R387">
        <f t="shared" si="971"/>
        <v>-6049483.4388380703</v>
      </c>
      <c r="S387">
        <f t="shared" si="972"/>
        <v>-60.494834388380703</v>
      </c>
      <c r="T387">
        <f t="shared" si="973"/>
        <v>-6.04948343883807E-2</v>
      </c>
    </row>
    <row r="388" spans="1:20" x14ac:dyDescent="0.25">
      <c r="A388" s="5">
        <v>44205</v>
      </c>
      <c r="B388">
        <v>1.4239999999999999</v>
      </c>
      <c r="C388">
        <v>1.7450000000000001</v>
      </c>
      <c r="D388">
        <v>1.4239999999999999</v>
      </c>
      <c r="E388">
        <v>1.571</v>
      </c>
      <c r="F388">
        <v>3700586.54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-8.4112149532710651E-2</v>
      </c>
      <c r="Q388">
        <f t="shared" si="970"/>
        <v>-311264.28841121634</v>
      </c>
      <c r="R388">
        <f t="shared" si="971"/>
        <v>-5216680.2478666417</v>
      </c>
      <c r="S388">
        <f t="shared" si="972"/>
        <v>-52.166802478666419</v>
      </c>
      <c r="T388">
        <f t="shared" si="973"/>
        <v>-5.2166802478666417E-2</v>
      </c>
    </row>
    <row r="389" spans="1:20" x14ac:dyDescent="0.25">
      <c r="A389" s="5">
        <v>44204</v>
      </c>
      <c r="B389">
        <v>1.464</v>
      </c>
      <c r="C389">
        <v>1.4690000000000001</v>
      </c>
      <c r="D389">
        <v>1.3129999999999999</v>
      </c>
      <c r="E389">
        <v>1.4239999999999999</v>
      </c>
      <c r="F389">
        <v>1782260.3970000001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0.42307692307692163</v>
      </c>
      <c r="Q389">
        <f t="shared" si="970"/>
        <v>754033.24488461285</v>
      </c>
      <c r="R389">
        <f t="shared" si="971"/>
        <v>-4905415.9594554259</v>
      </c>
      <c r="S389">
        <f t="shared" si="972"/>
        <v>-49.054159594554257</v>
      </c>
      <c r="T389">
        <f t="shared" si="973"/>
        <v>-4.905415959455426E-2</v>
      </c>
    </row>
    <row r="390" spans="1:20" x14ac:dyDescent="0.25">
      <c r="A390" s="5">
        <v>44203</v>
      </c>
      <c r="B390">
        <v>1.55</v>
      </c>
      <c r="C390">
        <v>1.635</v>
      </c>
      <c r="D390">
        <v>1.3779999999999999</v>
      </c>
      <c r="E390">
        <v>1.46</v>
      </c>
      <c r="F390">
        <v>2358020.4180000001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-0.36186770428015536</v>
      </c>
      <c r="Q390">
        <f t="shared" ref="Q390:Q453" si="975">F390*P390</f>
        <v>-853291.43530739238</v>
      </c>
      <c r="R390">
        <f t="shared" ref="R390:R453" si="976">R391+Q390</f>
        <v>-5659449.2043400388</v>
      </c>
      <c r="S390">
        <f t="shared" ref="S390:S453" si="977">R390/100000</f>
        <v>-56.594492043400386</v>
      </c>
      <c r="T390">
        <f t="shared" ref="T390:T453" si="978">S390/1000</f>
        <v>-5.6594492043400384E-2</v>
      </c>
    </row>
    <row r="391" spans="1:20" x14ac:dyDescent="0.25">
      <c r="A391" s="5">
        <v>44202</v>
      </c>
      <c r="B391">
        <v>1.41</v>
      </c>
      <c r="C391">
        <v>1.696</v>
      </c>
      <c r="D391">
        <v>1.36</v>
      </c>
      <c r="E391">
        <v>1.55</v>
      </c>
      <c r="F391">
        <v>2985552.253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0.13095238095238113</v>
      </c>
      <c r="Q391">
        <f t="shared" si="975"/>
        <v>390965.17598809575</v>
      </c>
      <c r="R391">
        <f t="shared" si="976"/>
        <v>-4806157.769032646</v>
      </c>
      <c r="S391">
        <f t="shared" si="977"/>
        <v>-48.061577690326459</v>
      </c>
      <c r="T391">
        <f t="shared" si="978"/>
        <v>-4.8061577690326457E-2</v>
      </c>
    </row>
    <row r="392" spans="1:20" x14ac:dyDescent="0.25">
      <c r="A392" s="5">
        <v>44201</v>
      </c>
      <c r="B392">
        <v>1.4450000000000001</v>
      </c>
      <c r="C392">
        <v>1.474</v>
      </c>
      <c r="D392">
        <v>1.3</v>
      </c>
      <c r="E392">
        <v>1.411</v>
      </c>
      <c r="F392">
        <v>2073254.152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0.27586206896551757</v>
      </c>
      <c r="Q392">
        <f t="shared" si="975"/>
        <v>571932.17986206966</v>
      </c>
      <c r="R392">
        <f t="shared" si="976"/>
        <v>-5197122.9450207418</v>
      </c>
      <c r="S392">
        <f t="shared" si="977"/>
        <v>-51.971229450207417</v>
      </c>
      <c r="T392">
        <f t="shared" si="978"/>
        <v>-5.1971229450207421E-2</v>
      </c>
    </row>
    <row r="393" spans="1:20" x14ac:dyDescent="0.25">
      <c r="A393" s="5">
        <v>44200</v>
      </c>
      <c r="B393">
        <v>1.3080000000000001</v>
      </c>
      <c r="C393">
        <v>1.4830000000000001</v>
      </c>
      <c r="D393">
        <v>1.202</v>
      </c>
      <c r="E393">
        <v>1.4410000000000001</v>
      </c>
      <c r="F393">
        <v>3212461.1179999998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0.70106761565836284</v>
      </c>
      <c r="Q393">
        <f t="shared" si="975"/>
        <v>2252152.4563914584</v>
      </c>
      <c r="R393">
        <f t="shared" si="976"/>
        <v>-5769055.1248828117</v>
      </c>
      <c r="S393">
        <f t="shared" si="977"/>
        <v>-57.690551248828115</v>
      </c>
      <c r="T393">
        <f t="shared" si="978"/>
        <v>-5.7690551248828117E-2</v>
      </c>
    </row>
    <row r="394" spans="1:20" x14ac:dyDescent="0.25">
      <c r="A394" s="5">
        <v>44199</v>
      </c>
      <c r="B394">
        <v>1.17</v>
      </c>
      <c r="C394">
        <v>1.377</v>
      </c>
      <c r="D394">
        <v>1.1519999999999999</v>
      </c>
      <c r="E394">
        <v>1.3109999999999999</v>
      </c>
      <c r="F394">
        <v>2537078.98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0.41333333333333305</v>
      </c>
      <c r="Q394">
        <f t="shared" si="975"/>
        <v>1048659.3117333327</v>
      </c>
      <c r="R394">
        <f t="shared" si="976"/>
        <v>-8021207.5812742701</v>
      </c>
      <c r="S394">
        <f t="shared" si="977"/>
        <v>-80.212075812742697</v>
      </c>
      <c r="T394">
        <f t="shared" si="978"/>
        <v>-8.02120758127427E-2</v>
      </c>
    </row>
    <row r="395" spans="1:20" x14ac:dyDescent="0.25">
      <c r="A395" s="5">
        <v>44198</v>
      </c>
      <c r="B395">
        <v>1.216</v>
      </c>
      <c r="C395">
        <v>1.2210000000000001</v>
      </c>
      <c r="D395">
        <v>1.1499999999999999</v>
      </c>
      <c r="E395">
        <v>1.169</v>
      </c>
      <c r="F395">
        <v>1161229.077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-0.46478873239436391</v>
      </c>
      <c r="Q395">
        <f t="shared" si="975"/>
        <v>-539726.19071830728</v>
      </c>
      <c r="R395">
        <f t="shared" si="976"/>
        <v>-9069866.8930076025</v>
      </c>
      <c r="S395">
        <f t="shared" si="977"/>
        <v>-90.698668930076025</v>
      </c>
      <c r="T395">
        <f t="shared" si="978"/>
        <v>-9.0698668930076026E-2</v>
      </c>
    </row>
    <row r="396" spans="1:20" x14ac:dyDescent="0.25">
      <c r="A396" s="5">
        <v>44197</v>
      </c>
      <c r="B396">
        <v>1.163</v>
      </c>
      <c r="C396">
        <v>1.29</v>
      </c>
      <c r="D396">
        <v>1.1479999999999999</v>
      </c>
      <c r="E396">
        <v>1.2150000000000001</v>
      </c>
      <c r="F396">
        <v>1288405.5390000001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-5.6338028169012518E-2</v>
      </c>
      <c r="Q396">
        <f t="shared" si="975"/>
        <v>-72586.227549293762</v>
      </c>
      <c r="R396">
        <f t="shared" si="976"/>
        <v>-8530140.7022892945</v>
      </c>
      <c r="S396">
        <f t="shared" si="977"/>
        <v>-85.301407022892946</v>
      </c>
      <c r="T396">
        <f t="shared" si="978"/>
        <v>-8.5301407022892947E-2</v>
      </c>
    </row>
    <row r="397" spans="1:20" x14ac:dyDescent="0.25">
      <c r="A397" s="5">
        <v>44196</v>
      </c>
      <c r="B397">
        <v>1.147</v>
      </c>
      <c r="C397">
        <v>1.1950000000000001</v>
      </c>
      <c r="D397">
        <v>1.1200000000000001</v>
      </c>
      <c r="E397">
        <v>1.161</v>
      </c>
      <c r="F397">
        <v>869418.33499999996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9.3333333333331991E-2</v>
      </c>
      <c r="Q397">
        <f t="shared" si="975"/>
        <v>81145.711266665501</v>
      </c>
      <c r="R397">
        <f t="shared" si="976"/>
        <v>-8457554.4747400004</v>
      </c>
      <c r="S397">
        <f t="shared" si="977"/>
        <v>-84.575544747400002</v>
      </c>
      <c r="T397">
        <f t="shared" si="978"/>
        <v>-8.4575544747400005E-2</v>
      </c>
    </row>
    <row r="398" spans="1:20" x14ac:dyDescent="0.25">
      <c r="A398" s="5">
        <v>44195</v>
      </c>
      <c r="B398">
        <v>1.2190000000000001</v>
      </c>
      <c r="C398">
        <v>1.234</v>
      </c>
      <c r="D398">
        <v>1.129</v>
      </c>
      <c r="E398">
        <v>1.1459999999999999</v>
      </c>
      <c r="F398">
        <v>1059355.415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-0.67619047619047801</v>
      </c>
      <c r="Q398">
        <f t="shared" si="975"/>
        <v>-716326.04252381145</v>
      </c>
      <c r="R398">
        <f t="shared" si="976"/>
        <v>-8538700.1860066652</v>
      </c>
      <c r="S398">
        <f t="shared" si="977"/>
        <v>-85.387001860066647</v>
      </c>
      <c r="T398">
        <f t="shared" si="978"/>
        <v>-8.5387001860066647E-2</v>
      </c>
    </row>
    <row r="399" spans="1:20" x14ac:dyDescent="0.25">
      <c r="A399" s="5">
        <v>44194</v>
      </c>
      <c r="B399">
        <v>1.2969999999999999</v>
      </c>
      <c r="C399">
        <v>1.333</v>
      </c>
      <c r="D399">
        <v>1.1499999999999999</v>
      </c>
      <c r="E399">
        <v>1.216</v>
      </c>
      <c r="F399">
        <v>1510893.872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-0.27868852459016352</v>
      </c>
      <c r="Q399">
        <f t="shared" si="975"/>
        <v>-421068.78399999934</v>
      </c>
      <c r="R399">
        <f t="shared" si="976"/>
        <v>-7822374.1434828546</v>
      </c>
      <c r="S399">
        <f t="shared" si="977"/>
        <v>-78.22374143482854</v>
      </c>
      <c r="T399">
        <f t="shared" si="978"/>
        <v>-7.8223741434828534E-2</v>
      </c>
    </row>
    <row r="400" spans="1:20" x14ac:dyDescent="0.25">
      <c r="A400" s="5">
        <v>44193</v>
      </c>
      <c r="B400">
        <v>1.19</v>
      </c>
      <c r="C400">
        <v>1.353</v>
      </c>
      <c r="D400">
        <v>1.1819999999999999</v>
      </c>
      <c r="E400">
        <v>1.296</v>
      </c>
      <c r="F400">
        <v>1810195.227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0.3333333333333342</v>
      </c>
      <c r="Q400">
        <f t="shared" si="975"/>
        <v>603398.40900000161</v>
      </c>
      <c r="R400">
        <f t="shared" si="976"/>
        <v>-7401305.3594828555</v>
      </c>
      <c r="S400">
        <f t="shared" si="977"/>
        <v>-74.013053594828548</v>
      </c>
      <c r="T400">
        <f t="shared" si="978"/>
        <v>-7.4013053594828543E-2</v>
      </c>
    </row>
    <row r="401" spans="1:20" x14ac:dyDescent="0.25">
      <c r="A401" s="5">
        <v>44192</v>
      </c>
      <c r="B401">
        <v>1.1439999999999999</v>
      </c>
      <c r="C401">
        <v>1.272</v>
      </c>
      <c r="D401">
        <v>1.091</v>
      </c>
      <c r="E401">
        <v>1.1890000000000001</v>
      </c>
      <c r="F401">
        <v>1456554.466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8.2872928176796243E-2</v>
      </c>
      <c r="Q401">
        <f t="shared" si="975"/>
        <v>120708.9336464098</v>
      </c>
      <c r="R401">
        <f t="shared" si="976"/>
        <v>-8004703.7684828574</v>
      </c>
      <c r="S401">
        <f t="shared" si="977"/>
        <v>-80.047037684828567</v>
      </c>
      <c r="T401">
        <f t="shared" si="978"/>
        <v>-8.004703768482857E-2</v>
      </c>
    </row>
    <row r="402" spans="1:20" x14ac:dyDescent="0.25">
      <c r="A402" s="5">
        <v>44191</v>
      </c>
      <c r="B402">
        <v>1.208</v>
      </c>
      <c r="C402">
        <v>1.2150000000000001</v>
      </c>
      <c r="D402">
        <v>1.137</v>
      </c>
      <c r="E402">
        <v>1.143</v>
      </c>
      <c r="F402">
        <v>988196.2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-0.84615384615384615</v>
      </c>
      <c r="Q402">
        <f t="shared" si="975"/>
        <v>-836166.01538461528</v>
      </c>
      <c r="R402">
        <f t="shared" si="976"/>
        <v>-8125412.7021292672</v>
      </c>
      <c r="S402">
        <f t="shared" si="977"/>
        <v>-81.254127021292675</v>
      </c>
      <c r="T402">
        <f t="shared" si="978"/>
        <v>-8.1254127021292671E-2</v>
      </c>
    </row>
    <row r="403" spans="1:20" x14ac:dyDescent="0.25">
      <c r="A403" s="5">
        <v>44190</v>
      </c>
      <c r="B403">
        <v>1.2330000000000001</v>
      </c>
      <c r="C403">
        <v>1.31</v>
      </c>
      <c r="D403">
        <v>1.1890000000000001</v>
      </c>
      <c r="E403">
        <v>1.206</v>
      </c>
      <c r="F403">
        <v>875642.24300000002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-0.71900826446281152</v>
      </c>
      <c r="Q403">
        <f t="shared" si="975"/>
        <v>-629594.00942975353</v>
      </c>
      <c r="R403">
        <f t="shared" si="976"/>
        <v>-7289246.6867446518</v>
      </c>
      <c r="S403">
        <f t="shared" si="977"/>
        <v>-72.892466867446515</v>
      </c>
      <c r="T403">
        <f t="shared" si="978"/>
        <v>-7.289246686744652E-2</v>
      </c>
    </row>
    <row r="404" spans="1:20" x14ac:dyDescent="0.25">
      <c r="A404" s="5">
        <v>44189</v>
      </c>
      <c r="B404">
        <v>1.159</v>
      </c>
      <c r="C404">
        <v>1.2490000000000001</v>
      </c>
      <c r="D404">
        <v>1.0920000000000001</v>
      </c>
      <c r="E404">
        <v>1.2330000000000001</v>
      </c>
      <c r="F404">
        <v>650328.81799999997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0.79617834394904441</v>
      </c>
      <c r="Q404">
        <f t="shared" si="975"/>
        <v>517777.72133757948</v>
      </c>
      <c r="R404">
        <f t="shared" si="976"/>
        <v>-6659652.677314898</v>
      </c>
      <c r="S404">
        <f t="shared" si="977"/>
        <v>-66.59652677314898</v>
      </c>
      <c r="T404">
        <f t="shared" si="978"/>
        <v>-6.6596526773148979E-2</v>
      </c>
    </row>
    <row r="405" spans="1:20" x14ac:dyDescent="0.25">
      <c r="A405" s="5">
        <v>44188</v>
      </c>
      <c r="B405">
        <v>1.33</v>
      </c>
      <c r="C405">
        <v>1.3360000000000001</v>
      </c>
      <c r="D405">
        <v>1.0489999999999999</v>
      </c>
      <c r="E405">
        <v>1.1559999999999999</v>
      </c>
      <c r="F405">
        <v>1491231.2069999999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-0.25435540069686458</v>
      </c>
      <c r="Q405">
        <f t="shared" si="975"/>
        <v>-379302.711188154</v>
      </c>
      <c r="R405">
        <f t="shared" si="976"/>
        <v>-7177430.3986524772</v>
      </c>
      <c r="S405">
        <f t="shared" si="977"/>
        <v>-71.774303986524771</v>
      </c>
      <c r="T405">
        <f t="shared" si="978"/>
        <v>-7.1774303986524776E-2</v>
      </c>
    </row>
    <row r="406" spans="1:20" x14ac:dyDescent="0.25">
      <c r="A406" s="5">
        <v>44187</v>
      </c>
      <c r="B406">
        <v>1.32</v>
      </c>
      <c r="C406">
        <v>1.39</v>
      </c>
      <c r="D406">
        <v>1.2749999999999999</v>
      </c>
      <c r="E406">
        <v>1.325</v>
      </c>
      <c r="F406">
        <v>1041364.557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-0.13043478260869482</v>
      </c>
      <c r="Q406">
        <f t="shared" si="975"/>
        <v>-135830.15960869478</v>
      </c>
      <c r="R406">
        <f t="shared" si="976"/>
        <v>-6798127.6874643229</v>
      </c>
      <c r="S406">
        <f t="shared" si="977"/>
        <v>-67.981276874643228</v>
      </c>
      <c r="T406">
        <f t="shared" si="978"/>
        <v>-6.7981276874643226E-2</v>
      </c>
    </row>
    <row r="407" spans="1:20" x14ac:dyDescent="0.25">
      <c r="A407" s="5">
        <v>44186</v>
      </c>
      <c r="B407">
        <v>1.405</v>
      </c>
      <c r="C407">
        <v>1.4490000000000001</v>
      </c>
      <c r="D407">
        <v>1.2849999999999999</v>
      </c>
      <c r="E407">
        <v>1.323</v>
      </c>
      <c r="F407">
        <v>1033380.893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-0.53658536585365857</v>
      </c>
      <c r="Q407">
        <f t="shared" si="975"/>
        <v>-554497.06453658547</v>
      </c>
      <c r="R407">
        <f t="shared" si="976"/>
        <v>-6662297.5278556282</v>
      </c>
      <c r="S407">
        <f t="shared" si="977"/>
        <v>-66.622975278556282</v>
      </c>
      <c r="T407">
        <f t="shared" si="978"/>
        <v>-6.6622975278556276E-2</v>
      </c>
    </row>
    <row r="408" spans="1:20" x14ac:dyDescent="0.25">
      <c r="A408" s="5">
        <v>44185</v>
      </c>
      <c r="B408">
        <v>1.4810000000000001</v>
      </c>
      <c r="C408">
        <v>1.5</v>
      </c>
      <c r="D408">
        <v>1.375</v>
      </c>
      <c r="E408">
        <v>1.407</v>
      </c>
      <c r="F408">
        <v>1168837.817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-0.48799999999999955</v>
      </c>
      <c r="Q408">
        <f t="shared" si="975"/>
        <v>-570392.85469599953</v>
      </c>
      <c r="R408">
        <f t="shared" si="976"/>
        <v>-6107800.4633190427</v>
      </c>
      <c r="S408">
        <f t="shared" si="977"/>
        <v>-61.078004633190424</v>
      </c>
      <c r="T408">
        <f t="shared" si="978"/>
        <v>-6.1078004633190422E-2</v>
      </c>
    </row>
    <row r="409" spans="1:20" x14ac:dyDescent="0.25">
      <c r="A409" s="5">
        <v>44184</v>
      </c>
      <c r="B409">
        <v>1.4890000000000001</v>
      </c>
      <c r="C409">
        <v>1.579</v>
      </c>
      <c r="D409">
        <v>1.464</v>
      </c>
      <c r="E409">
        <v>1.4810000000000001</v>
      </c>
      <c r="F409">
        <v>1574366.9310000001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-0.70434782608695434</v>
      </c>
      <c r="Q409">
        <f t="shared" si="975"/>
        <v>-1108901.9253130401</v>
      </c>
      <c r="R409">
        <f t="shared" si="976"/>
        <v>-5537407.6086230427</v>
      </c>
      <c r="S409">
        <f t="shared" si="977"/>
        <v>-55.374076086230424</v>
      </c>
      <c r="T409">
        <f t="shared" si="978"/>
        <v>-5.5374076086230427E-2</v>
      </c>
    </row>
    <row r="410" spans="1:20" x14ac:dyDescent="0.25">
      <c r="A410" s="5">
        <v>44183</v>
      </c>
      <c r="B410">
        <v>1.46</v>
      </c>
      <c r="C410">
        <v>1.5049999999999999</v>
      </c>
      <c r="D410">
        <v>1.4079999999999999</v>
      </c>
      <c r="E410">
        <v>1.486</v>
      </c>
      <c r="F410">
        <v>909730.58700000006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0.60824742268041421</v>
      </c>
      <c r="Q410">
        <f t="shared" si="975"/>
        <v>553341.28487629036</v>
      </c>
      <c r="R410">
        <f t="shared" si="976"/>
        <v>-4428505.683310003</v>
      </c>
      <c r="S410">
        <f t="shared" si="977"/>
        <v>-44.285056833100029</v>
      </c>
      <c r="T410">
        <f t="shared" si="978"/>
        <v>-4.428505683310003E-2</v>
      </c>
    </row>
    <row r="411" spans="1:20" x14ac:dyDescent="0.25">
      <c r="A411" s="5">
        <v>44182</v>
      </c>
      <c r="B411">
        <v>1.538</v>
      </c>
      <c r="C411">
        <v>1.61</v>
      </c>
      <c r="D411">
        <v>1.4259999999999999</v>
      </c>
      <c r="E411">
        <v>1.4610000000000001</v>
      </c>
      <c r="F411">
        <v>2164972.3709999998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-0.6195652173913031</v>
      </c>
      <c r="Q411">
        <f t="shared" si="975"/>
        <v>-1341341.5776847799</v>
      </c>
      <c r="R411">
        <f t="shared" si="976"/>
        <v>-4981846.9681862937</v>
      </c>
      <c r="S411">
        <f t="shared" si="977"/>
        <v>-49.818469681862936</v>
      </c>
      <c r="T411">
        <f t="shared" si="978"/>
        <v>-4.9818469681862938E-2</v>
      </c>
    </row>
    <row r="412" spans="1:20" x14ac:dyDescent="0.25">
      <c r="A412" s="5">
        <v>44181</v>
      </c>
      <c r="B412">
        <v>1.4259999999999999</v>
      </c>
      <c r="C412">
        <v>1.59</v>
      </c>
      <c r="D412">
        <v>1.337</v>
      </c>
      <c r="E412">
        <v>1.536</v>
      </c>
      <c r="F412">
        <v>2601616.0580000002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0.57312252964426857</v>
      </c>
      <c r="Q412">
        <f t="shared" si="975"/>
        <v>1491044.7763241103</v>
      </c>
      <c r="R412">
        <f t="shared" si="976"/>
        <v>-3640505.3905015141</v>
      </c>
      <c r="S412">
        <f t="shared" si="977"/>
        <v>-36.405053905015144</v>
      </c>
      <c r="T412">
        <f t="shared" si="978"/>
        <v>-3.6405053905015146E-2</v>
      </c>
    </row>
    <row r="413" spans="1:20" x14ac:dyDescent="0.25">
      <c r="A413" s="5">
        <v>44180</v>
      </c>
      <c r="B413">
        <v>1.405</v>
      </c>
      <c r="C413">
        <v>1.478</v>
      </c>
      <c r="D413">
        <v>1.37</v>
      </c>
      <c r="E413">
        <v>1.4259999999999999</v>
      </c>
      <c r="F413">
        <v>1212367.9609999999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3.7037037037035057E-2</v>
      </c>
      <c r="Q413">
        <f t="shared" si="975"/>
        <v>44902.517074071671</v>
      </c>
      <c r="R413">
        <f t="shared" si="976"/>
        <v>-5131550.1668256242</v>
      </c>
      <c r="S413">
        <f t="shared" si="977"/>
        <v>-51.315501668256239</v>
      </c>
      <c r="T413">
        <f t="shared" si="978"/>
        <v>-5.1315501668256241E-2</v>
      </c>
    </row>
    <row r="414" spans="1:20" x14ac:dyDescent="0.25">
      <c r="A414" s="5">
        <v>44179</v>
      </c>
      <c r="B414">
        <v>1.458</v>
      </c>
      <c r="C414">
        <v>1.4590000000000001</v>
      </c>
      <c r="D414">
        <v>1.371</v>
      </c>
      <c r="E414">
        <v>1.405</v>
      </c>
      <c r="F414">
        <v>960554.24699999997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-0.22727272727272727</v>
      </c>
      <c r="Q414">
        <f t="shared" si="975"/>
        <v>-218307.78340909089</v>
      </c>
      <c r="R414">
        <f t="shared" si="976"/>
        <v>-5176452.683899696</v>
      </c>
      <c r="S414">
        <f t="shared" si="977"/>
        <v>-51.764526838996957</v>
      </c>
      <c r="T414">
        <f t="shared" si="978"/>
        <v>-5.176452683899696E-2</v>
      </c>
    </row>
    <row r="415" spans="1:20" x14ac:dyDescent="0.25">
      <c r="A415" s="5">
        <v>44178</v>
      </c>
      <c r="B415">
        <v>1.39</v>
      </c>
      <c r="C415">
        <v>1.4990000000000001</v>
      </c>
      <c r="D415">
        <v>1.3640000000000001</v>
      </c>
      <c r="E415">
        <v>1.4590000000000001</v>
      </c>
      <c r="F415">
        <v>987871.02399999998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0.40740740740740694</v>
      </c>
      <c r="Q415">
        <f t="shared" si="975"/>
        <v>402465.97274074028</v>
      </c>
      <c r="R415">
        <f t="shared" si="976"/>
        <v>-4958144.9004906053</v>
      </c>
      <c r="S415">
        <f t="shared" si="977"/>
        <v>-49.581449004906055</v>
      </c>
      <c r="T415">
        <f t="shared" si="978"/>
        <v>-4.9581449004906054E-2</v>
      </c>
    </row>
    <row r="416" spans="1:20" x14ac:dyDescent="0.25">
      <c r="A416" s="5">
        <v>44177</v>
      </c>
      <c r="B416">
        <v>1.327</v>
      </c>
      <c r="C416">
        <v>1.45</v>
      </c>
      <c r="D416">
        <v>1.323</v>
      </c>
      <c r="E416">
        <v>1.39</v>
      </c>
      <c r="F416">
        <v>992669.59499999997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5.5118110236219646E-2</v>
      </c>
      <c r="Q416">
        <f t="shared" si="975"/>
        <v>54714.072165353507</v>
      </c>
      <c r="R416">
        <f t="shared" si="976"/>
        <v>-5360610.8732313458</v>
      </c>
      <c r="S416">
        <f t="shared" si="977"/>
        <v>-53.606108732313459</v>
      </c>
      <c r="T416">
        <f t="shared" si="978"/>
        <v>-5.3606108732313459E-2</v>
      </c>
    </row>
    <row r="417" spans="1:20" x14ac:dyDescent="0.25">
      <c r="A417" s="5">
        <v>44176</v>
      </c>
      <c r="B417">
        <v>1.4279999999999999</v>
      </c>
      <c r="C417">
        <v>1.4379999999999999</v>
      </c>
      <c r="D417">
        <v>1.3</v>
      </c>
      <c r="E417">
        <v>1.327</v>
      </c>
      <c r="F417">
        <v>1729094.676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-0.60869565217391397</v>
      </c>
      <c r="Q417">
        <f t="shared" si="975"/>
        <v>-1052492.4114782624</v>
      </c>
      <c r="R417">
        <f t="shared" si="976"/>
        <v>-5415324.945396699</v>
      </c>
      <c r="S417">
        <f t="shared" si="977"/>
        <v>-54.153249453966993</v>
      </c>
      <c r="T417">
        <f t="shared" si="978"/>
        <v>-5.415324945396699E-2</v>
      </c>
    </row>
    <row r="418" spans="1:20" x14ac:dyDescent="0.25">
      <c r="A418" s="5">
        <v>44175</v>
      </c>
      <c r="B418">
        <v>1.5649999999999999</v>
      </c>
      <c r="C418">
        <v>1.5720000000000001</v>
      </c>
      <c r="D418">
        <v>1.405</v>
      </c>
      <c r="E418">
        <v>1.4279999999999999</v>
      </c>
      <c r="F418">
        <v>1514939.831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-0.72455089820359397</v>
      </c>
      <c r="Q418">
        <f t="shared" si="975"/>
        <v>-1097651.0152754509</v>
      </c>
      <c r="R418">
        <f t="shared" si="976"/>
        <v>-4362832.5339184366</v>
      </c>
      <c r="S418">
        <f t="shared" si="977"/>
        <v>-43.628325339184364</v>
      </c>
      <c r="T418">
        <f t="shared" si="978"/>
        <v>-4.3628325339184364E-2</v>
      </c>
    </row>
    <row r="419" spans="1:20" x14ac:dyDescent="0.25">
      <c r="A419" s="5">
        <v>44174</v>
      </c>
      <c r="B419">
        <v>1.5429999999999999</v>
      </c>
      <c r="C419">
        <v>1.59</v>
      </c>
      <c r="D419">
        <v>1.38</v>
      </c>
      <c r="E419">
        <v>1.5680000000000001</v>
      </c>
      <c r="F419">
        <v>2245946.7450000001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0.79047619047619044</v>
      </c>
      <c r="Q419">
        <f t="shared" si="975"/>
        <v>1775367.4269999999</v>
      </c>
      <c r="R419">
        <f t="shared" si="976"/>
        <v>-3265181.5186429853</v>
      </c>
      <c r="S419">
        <f t="shared" si="977"/>
        <v>-32.65181518642985</v>
      </c>
      <c r="T419">
        <f t="shared" si="978"/>
        <v>-3.2651815186429851E-2</v>
      </c>
    </row>
    <row r="420" spans="1:20" x14ac:dyDescent="0.25">
      <c r="A420" s="5">
        <v>44173</v>
      </c>
      <c r="B420">
        <v>1.8</v>
      </c>
      <c r="C420">
        <v>1.8460000000000001</v>
      </c>
      <c r="D420">
        <v>1.51</v>
      </c>
      <c r="E420">
        <v>1.5449999999999999</v>
      </c>
      <c r="F420">
        <v>2779983.37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-0.79166666666666718</v>
      </c>
      <c r="Q420">
        <f t="shared" si="975"/>
        <v>-2200820.1679166681</v>
      </c>
      <c r="R420">
        <f t="shared" si="976"/>
        <v>-5040548.9456429854</v>
      </c>
      <c r="S420">
        <f t="shared" si="977"/>
        <v>-50.405489456429855</v>
      </c>
      <c r="T420">
        <f t="shared" si="978"/>
        <v>-5.0405489456429857E-2</v>
      </c>
    </row>
    <row r="421" spans="1:20" x14ac:dyDescent="0.25">
      <c r="A421" s="5">
        <v>44172</v>
      </c>
      <c r="B421">
        <v>1.6279999999999999</v>
      </c>
      <c r="C421">
        <v>1.863</v>
      </c>
      <c r="D421">
        <v>1.59</v>
      </c>
      <c r="E421">
        <v>1.7989999999999999</v>
      </c>
      <c r="F421">
        <v>2295217.662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0.53113553113553058</v>
      </c>
      <c r="Q421">
        <f t="shared" si="975"/>
        <v>1219071.6519780208</v>
      </c>
      <c r="R421">
        <f t="shared" si="976"/>
        <v>-2839728.7777263178</v>
      </c>
      <c r="S421">
        <f t="shared" si="977"/>
        <v>-28.397287777263177</v>
      </c>
      <c r="T421">
        <f t="shared" si="978"/>
        <v>-2.8397287777263178E-2</v>
      </c>
    </row>
    <row r="422" spans="1:20" x14ac:dyDescent="0.25">
      <c r="A422" s="5">
        <v>44171</v>
      </c>
      <c r="B422">
        <v>1.6950000000000001</v>
      </c>
      <c r="C422">
        <v>1.72</v>
      </c>
      <c r="D422">
        <v>1.587</v>
      </c>
      <c r="E422">
        <v>1.6279999999999999</v>
      </c>
      <c r="F422">
        <v>1120395.9240000001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-0.3834586466165425</v>
      </c>
      <c r="Q422">
        <f t="shared" si="975"/>
        <v>-429625.50469173066</v>
      </c>
      <c r="R422">
        <f t="shared" si="976"/>
        <v>-4058800.4297043383</v>
      </c>
      <c r="S422">
        <f t="shared" si="977"/>
        <v>-40.588004297043383</v>
      </c>
      <c r="T422">
        <f t="shared" si="978"/>
        <v>-4.0588004297043387E-2</v>
      </c>
    </row>
    <row r="423" spans="1:20" x14ac:dyDescent="0.25">
      <c r="A423" s="5">
        <v>44170</v>
      </c>
      <c r="B423">
        <v>1.5880000000000001</v>
      </c>
      <c r="C423">
        <v>1.7430000000000001</v>
      </c>
      <c r="D423">
        <v>1.542</v>
      </c>
      <c r="E423">
        <v>1.694</v>
      </c>
      <c r="F423">
        <v>1986394.969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0.5124378109452723</v>
      </c>
      <c r="Q423">
        <f t="shared" si="975"/>
        <v>1017903.8895870621</v>
      </c>
      <c r="R423">
        <f t="shared" si="976"/>
        <v>-3629174.9250126076</v>
      </c>
      <c r="S423">
        <f t="shared" si="977"/>
        <v>-36.291749250126074</v>
      </c>
      <c r="T423">
        <f t="shared" si="978"/>
        <v>-3.6291749250126071E-2</v>
      </c>
    </row>
    <row r="424" spans="1:20" x14ac:dyDescent="0.25">
      <c r="A424" s="5">
        <v>44169</v>
      </c>
      <c r="B424">
        <v>1.8340000000000001</v>
      </c>
      <c r="C424">
        <v>1.956</v>
      </c>
      <c r="D424">
        <v>1.5820000000000001</v>
      </c>
      <c r="E424">
        <v>1.5880000000000001</v>
      </c>
      <c r="F424">
        <v>2740494.7379999999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-0.96791443850267378</v>
      </c>
      <c r="Q424">
        <f t="shared" si="975"/>
        <v>-2652564.4255508021</v>
      </c>
      <c r="R424">
        <f t="shared" si="976"/>
        <v>-4647078.8145996695</v>
      </c>
      <c r="S424">
        <f t="shared" si="977"/>
        <v>-46.470788145996693</v>
      </c>
      <c r="T424">
        <f t="shared" si="978"/>
        <v>-4.6470788145996693E-2</v>
      </c>
    </row>
    <row r="425" spans="1:20" x14ac:dyDescent="0.25">
      <c r="A425" s="5">
        <v>44168</v>
      </c>
      <c r="B425">
        <v>1.661</v>
      </c>
      <c r="C425">
        <v>1.97</v>
      </c>
      <c r="D425">
        <v>1.655</v>
      </c>
      <c r="E425">
        <v>1.8340000000000001</v>
      </c>
      <c r="F425">
        <v>3472379.8590000002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0.13650793650793699</v>
      </c>
      <c r="Q425">
        <f t="shared" si="975"/>
        <v>474007.40932381124</v>
      </c>
      <c r="R425">
        <f t="shared" si="976"/>
        <v>-1994514.3890488672</v>
      </c>
      <c r="S425">
        <f t="shared" si="977"/>
        <v>-19.945143890488673</v>
      </c>
      <c r="T425">
        <f t="shared" si="978"/>
        <v>-1.9945143890488674E-2</v>
      </c>
    </row>
    <row r="426" spans="1:20" x14ac:dyDescent="0.25">
      <c r="A426" s="5">
        <v>44167</v>
      </c>
      <c r="B426">
        <v>1.55</v>
      </c>
      <c r="C426">
        <v>1.6930000000000001</v>
      </c>
      <c r="D426">
        <v>1.4990000000000001</v>
      </c>
      <c r="E426">
        <v>1.655</v>
      </c>
      <c r="F426">
        <v>1983743.263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0.60824742268041188</v>
      </c>
      <c r="Q426">
        <f t="shared" si="975"/>
        <v>1206606.7269793805</v>
      </c>
      <c r="R426">
        <f t="shared" si="976"/>
        <v>-2468521.7983726785</v>
      </c>
      <c r="S426">
        <f t="shared" si="977"/>
        <v>-24.685217983726783</v>
      </c>
      <c r="T426">
        <f t="shared" si="978"/>
        <v>-2.4685217983726783E-2</v>
      </c>
    </row>
    <row r="427" spans="1:20" x14ac:dyDescent="0.25">
      <c r="A427" s="5">
        <v>44166</v>
      </c>
      <c r="B427">
        <v>1.5860000000000001</v>
      </c>
      <c r="C427">
        <v>1.7749999999999999</v>
      </c>
      <c r="D427">
        <v>1.54</v>
      </c>
      <c r="E427">
        <v>1.55</v>
      </c>
      <c r="F427">
        <v>2590785.986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-0.91489361702127647</v>
      </c>
      <c r="Q427">
        <f t="shared" si="975"/>
        <v>-2370293.561659574</v>
      </c>
      <c r="R427">
        <f t="shared" si="976"/>
        <v>-3675128.5253520589</v>
      </c>
      <c r="S427">
        <f t="shared" si="977"/>
        <v>-36.751285253520592</v>
      </c>
      <c r="T427">
        <f t="shared" si="978"/>
        <v>-3.6751285253520595E-2</v>
      </c>
    </row>
    <row r="428" spans="1:20" x14ac:dyDescent="0.25">
      <c r="A428" s="5">
        <v>44165</v>
      </c>
      <c r="B428">
        <v>1.571</v>
      </c>
      <c r="C428">
        <v>1.7</v>
      </c>
      <c r="D428">
        <v>1.5229999999999999</v>
      </c>
      <c r="E428">
        <v>1.589</v>
      </c>
      <c r="F428">
        <v>2285621.4580000001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-0.25423728813559276</v>
      </c>
      <c r="Q428">
        <f t="shared" si="975"/>
        <v>-581090.20118643972</v>
      </c>
      <c r="R428">
        <f t="shared" si="976"/>
        <v>-1304834.9636924847</v>
      </c>
      <c r="S428">
        <f t="shared" si="977"/>
        <v>-13.048349636924847</v>
      </c>
      <c r="T428">
        <f t="shared" si="978"/>
        <v>-1.3048349636924847E-2</v>
      </c>
    </row>
    <row r="429" spans="1:20" x14ac:dyDescent="0.25">
      <c r="A429" s="5">
        <v>44164</v>
      </c>
      <c r="B429">
        <v>1.635</v>
      </c>
      <c r="C429">
        <v>1.6890000000000001</v>
      </c>
      <c r="D429">
        <v>1.522</v>
      </c>
      <c r="E429">
        <v>1.5720000000000001</v>
      </c>
      <c r="F429">
        <v>1829684.584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-0.40119760479041877</v>
      </c>
      <c r="Q429">
        <f t="shared" si="975"/>
        <v>-734065.0726227538</v>
      </c>
      <c r="R429">
        <f t="shared" si="976"/>
        <v>-723744.76250604494</v>
      </c>
      <c r="S429">
        <f t="shared" si="977"/>
        <v>-7.2374476250604491</v>
      </c>
      <c r="T429">
        <f t="shared" si="978"/>
        <v>-7.2374476250604489E-3</v>
      </c>
    </row>
    <row r="430" spans="1:20" x14ac:dyDescent="0.25">
      <c r="A430" s="5">
        <v>44163</v>
      </c>
      <c r="B430">
        <v>1.5569999999999999</v>
      </c>
      <c r="C430">
        <v>1.748</v>
      </c>
      <c r="D430">
        <v>1.464</v>
      </c>
      <c r="E430">
        <v>1.63</v>
      </c>
      <c r="F430">
        <v>3341643.1919999998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0.16901408450704161</v>
      </c>
      <c r="Q430">
        <f t="shared" si="975"/>
        <v>564784.76484506822</v>
      </c>
      <c r="R430">
        <f t="shared" si="976"/>
        <v>10320.310116708861</v>
      </c>
      <c r="S430">
        <f t="shared" si="977"/>
        <v>0.10320310116708861</v>
      </c>
      <c r="T430">
        <f t="shared" si="978"/>
        <v>1.0320310116708862E-4</v>
      </c>
    </row>
    <row r="431" spans="1:20" x14ac:dyDescent="0.25">
      <c r="A431" s="5">
        <v>44162</v>
      </c>
      <c r="B431">
        <v>1.476</v>
      </c>
      <c r="C431">
        <v>1.617</v>
      </c>
      <c r="D431">
        <v>1.3360000000000001</v>
      </c>
      <c r="E431">
        <v>1.5640000000000001</v>
      </c>
      <c r="F431">
        <v>2788291.5520000001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0.6227758007117441</v>
      </c>
      <c r="Q431">
        <f t="shared" si="975"/>
        <v>1736480.5039145919</v>
      </c>
      <c r="R431">
        <f t="shared" si="976"/>
        <v>-554464.45472835936</v>
      </c>
      <c r="S431">
        <f t="shared" si="977"/>
        <v>-5.5446445472835935</v>
      </c>
      <c r="T431">
        <f t="shared" si="978"/>
        <v>-5.5446445472835931E-3</v>
      </c>
    </row>
    <row r="432" spans="1:20" x14ac:dyDescent="0.25">
      <c r="A432" s="5">
        <v>44161</v>
      </c>
      <c r="B432">
        <v>1.637</v>
      </c>
      <c r="C432">
        <v>1.71</v>
      </c>
      <c r="D432">
        <v>1.3009999999999999</v>
      </c>
      <c r="E432">
        <v>1.476</v>
      </c>
      <c r="F432">
        <v>2998512.8539999998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-0.14425427872860622</v>
      </c>
      <c r="Q432">
        <f t="shared" si="975"/>
        <v>-432548.30901222449</v>
      </c>
      <c r="R432">
        <f t="shared" si="976"/>
        <v>-2290944.9586429512</v>
      </c>
      <c r="S432">
        <f t="shared" si="977"/>
        <v>-22.909449586429513</v>
      </c>
      <c r="T432">
        <f t="shared" si="978"/>
        <v>-2.2909449586429514E-2</v>
      </c>
    </row>
    <row r="433" spans="1:20" x14ac:dyDescent="0.25">
      <c r="A433" s="5">
        <v>44160</v>
      </c>
      <c r="B433">
        <v>1.63</v>
      </c>
      <c r="C433">
        <v>1.8740000000000001</v>
      </c>
      <c r="D433">
        <v>1.504</v>
      </c>
      <c r="E433">
        <v>1.631</v>
      </c>
      <c r="F433">
        <v>3039140.4350000001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-0.3135135135135137</v>
      </c>
      <c r="Q433">
        <f t="shared" si="975"/>
        <v>-952811.59583783837</v>
      </c>
      <c r="R433">
        <f t="shared" si="976"/>
        <v>-1858396.6496307265</v>
      </c>
      <c r="S433">
        <f t="shared" si="977"/>
        <v>-18.583966496307266</v>
      </c>
      <c r="T433">
        <f t="shared" si="978"/>
        <v>-1.8583966496307266E-2</v>
      </c>
    </row>
    <row r="434" spans="1:20" x14ac:dyDescent="0.25">
      <c r="A434" s="5">
        <v>44159</v>
      </c>
      <c r="B434">
        <v>1.752</v>
      </c>
      <c r="C434">
        <v>1.7829999999999999</v>
      </c>
      <c r="D434">
        <v>1.5149999999999999</v>
      </c>
      <c r="E434">
        <v>1.6220000000000001</v>
      </c>
      <c r="F434">
        <v>4547810.5070000002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-0.20149253731343134</v>
      </c>
      <c r="Q434">
        <f t="shared" si="975"/>
        <v>-916349.87827611261</v>
      </c>
      <c r="R434">
        <f t="shared" si="976"/>
        <v>-905585.05379288818</v>
      </c>
      <c r="S434">
        <f t="shared" si="977"/>
        <v>-9.0558505379288814</v>
      </c>
      <c r="T434">
        <f t="shared" si="978"/>
        <v>-9.055850537928881E-3</v>
      </c>
    </row>
    <row r="435" spans="1:20" x14ac:dyDescent="0.25">
      <c r="A435" s="5">
        <v>44158</v>
      </c>
      <c r="B435">
        <v>1.681</v>
      </c>
      <c r="C435">
        <v>1.986</v>
      </c>
      <c r="D435">
        <v>1.589</v>
      </c>
      <c r="E435">
        <v>1.7529999999999999</v>
      </c>
      <c r="F435">
        <v>5530479.4139999999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-0.17380352644836314</v>
      </c>
      <c r="Q435">
        <f t="shared" si="975"/>
        <v>-961216.82510327687</v>
      </c>
      <c r="R435">
        <f t="shared" si="976"/>
        <v>10764.824483224424</v>
      </c>
      <c r="S435">
        <f t="shared" si="977"/>
        <v>0.10764824483224424</v>
      </c>
      <c r="T435">
        <f t="shared" si="978"/>
        <v>1.0764824483224424E-4</v>
      </c>
    </row>
    <row r="436" spans="1:20" x14ac:dyDescent="0.25">
      <c r="A436" s="5">
        <v>44157</v>
      </c>
      <c r="B436">
        <v>1.6339999999999999</v>
      </c>
      <c r="C436">
        <v>1.919</v>
      </c>
      <c r="D436">
        <v>1.3520000000000001</v>
      </c>
      <c r="E436">
        <v>1.677</v>
      </c>
      <c r="F436">
        <v>8661822.8550000004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0.14638447971781299</v>
      </c>
      <c r="Q436">
        <f t="shared" si="975"/>
        <v>1267956.4320370366</v>
      </c>
      <c r="R436">
        <f t="shared" si="976"/>
        <v>971981.6495865013</v>
      </c>
      <c r="S436">
        <f t="shared" si="977"/>
        <v>9.7198164958650128</v>
      </c>
      <c r="T436">
        <f t="shared" si="978"/>
        <v>9.7198164958650132E-3</v>
      </c>
    </row>
    <row r="437" spans="1:20" x14ac:dyDescent="0.25">
      <c r="A437" s="5">
        <v>44156</v>
      </c>
      <c r="B437">
        <v>1.248</v>
      </c>
      <c r="C437">
        <v>1.6419999999999999</v>
      </c>
      <c r="D437">
        <v>1.1819999999999999</v>
      </c>
      <c r="E437">
        <v>1.6339999999999999</v>
      </c>
      <c r="F437">
        <v>5035377.3219999997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0.9652173913043478</v>
      </c>
      <c r="Q437">
        <f t="shared" si="975"/>
        <v>4860233.762973913</v>
      </c>
      <c r="R437">
        <f t="shared" si="976"/>
        <v>-295974.78245053533</v>
      </c>
      <c r="S437">
        <f t="shared" si="977"/>
        <v>-2.9597478245053535</v>
      </c>
      <c r="T437">
        <f t="shared" si="978"/>
        <v>-2.9597478245053533E-3</v>
      </c>
    </row>
    <row r="438" spans="1:20" x14ac:dyDescent="0.25">
      <c r="A438" s="5">
        <v>44155</v>
      </c>
      <c r="B438">
        <v>1.163</v>
      </c>
      <c r="C438">
        <v>1.31</v>
      </c>
      <c r="D438">
        <v>1.155</v>
      </c>
      <c r="E438">
        <v>1.2470000000000001</v>
      </c>
      <c r="F438">
        <v>2610688.1039999998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0.18709677419354923</v>
      </c>
      <c r="Q438">
        <f t="shared" si="975"/>
        <v>488451.32268387312</v>
      </c>
      <c r="R438">
        <f t="shared" si="976"/>
        <v>-5156208.5454244483</v>
      </c>
      <c r="S438">
        <f t="shared" si="977"/>
        <v>-51.562085454244482</v>
      </c>
      <c r="T438">
        <f t="shared" si="978"/>
        <v>-5.1562085454244483E-2</v>
      </c>
    </row>
    <row r="439" spans="1:20" x14ac:dyDescent="0.25">
      <c r="A439" s="5">
        <v>44154</v>
      </c>
      <c r="B439">
        <v>1.196</v>
      </c>
      <c r="C439">
        <v>1.224</v>
      </c>
      <c r="D439">
        <v>1.1339999999999999</v>
      </c>
      <c r="E439">
        <v>1.1599999999999999</v>
      </c>
      <c r="F439">
        <v>2179425.3990000002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-0.42222222222222222</v>
      </c>
      <c r="Q439">
        <f t="shared" si="975"/>
        <v>-920201.83513333346</v>
      </c>
      <c r="R439">
        <f t="shared" si="976"/>
        <v>-5644659.8681083219</v>
      </c>
      <c r="S439">
        <f t="shared" si="977"/>
        <v>-56.446598681083216</v>
      </c>
      <c r="T439">
        <f t="shared" si="978"/>
        <v>-5.6446598681083218E-2</v>
      </c>
    </row>
    <row r="440" spans="1:20" x14ac:dyDescent="0.25">
      <c r="A440" s="5">
        <v>44153</v>
      </c>
      <c r="B440">
        <v>1.2749999999999999</v>
      </c>
      <c r="C440">
        <v>1.35</v>
      </c>
      <c r="D440">
        <v>1.115</v>
      </c>
      <c r="E440">
        <v>1.196</v>
      </c>
      <c r="F440">
        <v>3280714.0249999999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-0.31063829787234104</v>
      </c>
      <c r="Q440">
        <f t="shared" si="975"/>
        <v>-1019115.4205319169</v>
      </c>
      <c r="R440">
        <f t="shared" si="976"/>
        <v>-4724458.0329749882</v>
      </c>
      <c r="S440">
        <f t="shared" si="977"/>
        <v>-47.24458032974988</v>
      </c>
      <c r="T440">
        <f t="shared" si="978"/>
        <v>-4.7244580329749881E-2</v>
      </c>
    </row>
    <row r="441" spans="1:20" x14ac:dyDescent="0.25">
      <c r="A441" s="5">
        <v>44152</v>
      </c>
      <c r="B441">
        <v>1.339</v>
      </c>
      <c r="C441">
        <v>1.3540000000000001</v>
      </c>
      <c r="D441">
        <v>1.214</v>
      </c>
      <c r="E441">
        <v>1.274</v>
      </c>
      <c r="F441">
        <v>2900853.645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-0.14285714285714285</v>
      </c>
      <c r="Q441">
        <f t="shared" si="975"/>
        <v>-414407.66357142857</v>
      </c>
      <c r="R441">
        <f t="shared" si="976"/>
        <v>-3705342.6124430713</v>
      </c>
      <c r="S441">
        <f t="shared" si="977"/>
        <v>-37.053426124430715</v>
      </c>
      <c r="T441">
        <f t="shared" si="978"/>
        <v>-3.7053426124430716E-2</v>
      </c>
    </row>
    <row r="442" spans="1:20" x14ac:dyDescent="0.25">
      <c r="A442" s="5">
        <v>44151</v>
      </c>
      <c r="B442">
        <v>1.2649999999999999</v>
      </c>
      <c r="C442">
        <v>1.4430000000000001</v>
      </c>
      <c r="D442">
        <v>1.232</v>
      </c>
      <c r="E442">
        <v>1.339</v>
      </c>
      <c r="F442">
        <v>5064518.0070000002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1.4218009478672466E-2</v>
      </c>
      <c r="Q442">
        <f t="shared" si="975"/>
        <v>72007.365028433385</v>
      </c>
      <c r="R442">
        <f t="shared" si="976"/>
        <v>-3290934.9488716428</v>
      </c>
      <c r="S442">
        <f t="shared" si="977"/>
        <v>-32.90934948871643</v>
      </c>
      <c r="T442">
        <f t="shared" si="978"/>
        <v>-3.2909349488716433E-2</v>
      </c>
    </row>
    <row r="443" spans="1:20" x14ac:dyDescent="0.25">
      <c r="A443" s="5">
        <v>44150</v>
      </c>
      <c r="B443">
        <v>1.151</v>
      </c>
      <c r="C443">
        <v>1.2929999999999999</v>
      </c>
      <c r="D443">
        <v>1.109</v>
      </c>
      <c r="E443">
        <v>1.264</v>
      </c>
      <c r="F443">
        <v>4216247.7630000003</v>
      </c>
      <c r="G443">
        <v>0</v>
      </c>
      <c r="L443" t="s">
        <v>8</v>
      </c>
      <c r="M443" t="s">
        <v>8</v>
      </c>
      <c r="N443" t="s">
        <v>7</v>
      </c>
      <c r="P443">
        <f t="shared" si="974"/>
        <v>0.68478260869565299</v>
      </c>
      <c r="Q443">
        <f t="shared" si="975"/>
        <v>2887213.1420543515</v>
      </c>
      <c r="R443">
        <f t="shared" si="976"/>
        <v>-3362942.3139000763</v>
      </c>
      <c r="S443">
        <f t="shared" si="977"/>
        <v>-33.629423139000764</v>
      </c>
      <c r="T443">
        <f t="shared" si="978"/>
        <v>-3.3629423139000761E-2</v>
      </c>
    </row>
    <row r="444" spans="1:20" x14ac:dyDescent="0.25">
      <c r="A444" s="5">
        <v>44149</v>
      </c>
      <c r="B444">
        <v>1.159</v>
      </c>
      <c r="C444">
        <v>1.18</v>
      </c>
      <c r="D444">
        <v>1.0760000000000001</v>
      </c>
      <c r="E444">
        <v>1.151</v>
      </c>
      <c r="F444">
        <v>2181024.2149999999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0.44230769230769323</v>
      </c>
      <c r="Q444">
        <f t="shared" si="975"/>
        <v>964683.78740384814</v>
      </c>
      <c r="R444">
        <f t="shared" si="976"/>
        <v>-6250155.4559544278</v>
      </c>
      <c r="S444">
        <f t="shared" si="977"/>
        <v>-62.501554559544282</v>
      </c>
      <c r="T444">
        <f t="shared" si="978"/>
        <v>-6.2501554559544287E-2</v>
      </c>
    </row>
    <row r="445" spans="1:20" x14ac:dyDescent="0.25">
      <c r="A445" s="5">
        <v>44148</v>
      </c>
      <c r="B445">
        <v>1.0860000000000001</v>
      </c>
      <c r="C445">
        <v>1.1950000000000001</v>
      </c>
      <c r="D445">
        <v>1.0780000000000001</v>
      </c>
      <c r="E445">
        <v>1.159</v>
      </c>
      <c r="F445">
        <v>1970572.7120000001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0.38461538461538403</v>
      </c>
      <c r="Q445">
        <f t="shared" si="975"/>
        <v>757912.58153846045</v>
      </c>
      <c r="R445">
        <f t="shared" si="976"/>
        <v>-7214839.2433582759</v>
      </c>
      <c r="S445">
        <f t="shared" si="977"/>
        <v>-72.148392433582757</v>
      </c>
      <c r="T445">
        <f t="shared" si="978"/>
        <v>-7.2148392433582759E-2</v>
      </c>
    </row>
    <row r="446" spans="1:20" x14ac:dyDescent="0.25">
      <c r="A446" s="5">
        <v>44147</v>
      </c>
      <c r="B446">
        <v>1.1479999999999999</v>
      </c>
      <c r="C446">
        <v>1.17</v>
      </c>
      <c r="D446">
        <v>1.0329999999999999</v>
      </c>
      <c r="E446">
        <v>1.087</v>
      </c>
      <c r="F446">
        <v>2428394.7940000002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-0.21167883211678767</v>
      </c>
      <c r="Q446">
        <f t="shared" si="975"/>
        <v>-514039.77391240722</v>
      </c>
      <c r="R446">
        <f t="shared" si="976"/>
        <v>-7972751.8248967361</v>
      </c>
      <c r="S446">
        <f t="shared" si="977"/>
        <v>-79.727518248967357</v>
      </c>
      <c r="T446">
        <f t="shared" si="978"/>
        <v>-7.9727518248967358E-2</v>
      </c>
    </row>
    <row r="447" spans="1:20" x14ac:dyDescent="0.25">
      <c r="A447" s="5">
        <v>44146</v>
      </c>
      <c r="B447">
        <v>1.2270000000000001</v>
      </c>
      <c r="C447">
        <v>1.254</v>
      </c>
      <c r="D447">
        <v>1.1319999999999999</v>
      </c>
      <c r="E447">
        <v>1.1479999999999999</v>
      </c>
      <c r="F447">
        <v>2326103.6469999999</v>
      </c>
      <c r="G447">
        <v>0</v>
      </c>
      <c r="L447" t="s">
        <v>7</v>
      </c>
      <c r="M447" t="s">
        <v>8</v>
      </c>
      <c r="N447" t="s">
        <v>7</v>
      </c>
      <c r="P447">
        <f t="shared" si="974"/>
        <v>-0.73770491803278693</v>
      </c>
      <c r="Q447">
        <f t="shared" si="975"/>
        <v>-1715978.1002459016</v>
      </c>
      <c r="R447">
        <f t="shared" si="976"/>
        <v>-7458712.0509843286</v>
      </c>
      <c r="S447">
        <f t="shared" si="977"/>
        <v>-74.587120509843288</v>
      </c>
      <c r="T447">
        <f t="shared" si="978"/>
        <v>-7.4587120509843285E-2</v>
      </c>
    </row>
    <row r="448" spans="1:20" x14ac:dyDescent="0.25">
      <c r="A448" s="5">
        <v>44145</v>
      </c>
      <c r="B448">
        <v>1.08</v>
      </c>
      <c r="C448">
        <v>1.26</v>
      </c>
      <c r="D448">
        <v>1.0660000000000001</v>
      </c>
      <c r="E448">
        <v>1.226</v>
      </c>
      <c r="F448">
        <v>3044655.2119999998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0.64948453608247381</v>
      </c>
      <c r="Q448">
        <f t="shared" si="975"/>
        <v>1977456.4778969057</v>
      </c>
      <c r="R448">
        <f t="shared" si="976"/>
        <v>-5742733.9507384272</v>
      </c>
      <c r="S448">
        <f t="shared" si="977"/>
        <v>-57.427339507384275</v>
      </c>
      <c r="T448">
        <f t="shared" si="978"/>
        <v>-5.7427339507384274E-2</v>
      </c>
    </row>
    <row r="449" spans="1:20" x14ac:dyDescent="0.25">
      <c r="A449" s="5">
        <v>44144</v>
      </c>
      <c r="B449">
        <v>1.119</v>
      </c>
      <c r="C449">
        <v>1.159</v>
      </c>
      <c r="D449">
        <v>1.042</v>
      </c>
      <c r="E449">
        <v>1.081</v>
      </c>
      <c r="F449">
        <v>2207264.4610000001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-0.33333333333333459</v>
      </c>
      <c r="Q449">
        <f t="shared" si="975"/>
        <v>-735754.82033333613</v>
      </c>
      <c r="R449">
        <f t="shared" si="976"/>
        <v>-7720190.4286353327</v>
      </c>
      <c r="S449">
        <f t="shared" si="977"/>
        <v>-77.201904286353326</v>
      </c>
      <c r="T449">
        <f t="shared" si="978"/>
        <v>-7.7201904286353332E-2</v>
      </c>
    </row>
    <row r="450" spans="1:20" x14ac:dyDescent="0.25">
      <c r="A450" s="5">
        <v>44143</v>
      </c>
      <c r="B450">
        <v>1.097</v>
      </c>
      <c r="C450">
        <v>1.167</v>
      </c>
      <c r="D450">
        <v>1.0580000000000001</v>
      </c>
      <c r="E450">
        <v>1.1180000000000001</v>
      </c>
      <c r="F450">
        <v>1370309.774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0.10091743119266167</v>
      </c>
      <c r="Q450">
        <f t="shared" si="975"/>
        <v>138288.14233027675</v>
      </c>
      <c r="R450">
        <f t="shared" si="976"/>
        <v>-6984435.6083019963</v>
      </c>
      <c r="S450">
        <f t="shared" si="977"/>
        <v>-69.84435608301996</v>
      </c>
      <c r="T450">
        <f t="shared" si="978"/>
        <v>-6.9844356083019962E-2</v>
      </c>
    </row>
    <row r="451" spans="1:20" x14ac:dyDescent="0.25">
      <c r="A451" s="5">
        <v>44142</v>
      </c>
      <c r="B451">
        <v>1.1950000000000001</v>
      </c>
      <c r="C451">
        <v>1.3</v>
      </c>
      <c r="D451">
        <v>1.0009999999999999</v>
      </c>
      <c r="E451">
        <v>1.1000000000000001</v>
      </c>
      <c r="F451">
        <v>3177149.2179999999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-0.33779264214046723</v>
      </c>
      <c r="Q451">
        <f t="shared" si="975"/>
        <v>-1073217.6288227392</v>
      </c>
      <c r="R451">
        <f t="shared" si="976"/>
        <v>-7122723.750632273</v>
      </c>
      <c r="S451">
        <f t="shared" si="977"/>
        <v>-71.227237506322737</v>
      </c>
      <c r="T451">
        <f t="shared" si="978"/>
        <v>-7.1227237506322733E-2</v>
      </c>
    </row>
    <row r="452" spans="1:20" x14ac:dyDescent="0.25">
      <c r="A452" s="5">
        <v>44141</v>
      </c>
      <c r="B452">
        <v>1.032</v>
      </c>
      <c r="C452">
        <v>1.2290000000000001</v>
      </c>
      <c r="D452">
        <v>1.03</v>
      </c>
      <c r="E452">
        <v>1.1990000000000001</v>
      </c>
      <c r="F452">
        <v>2238679.665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0.69849246231155759</v>
      </c>
      <c r="Q452">
        <f t="shared" si="975"/>
        <v>1563700.871532663</v>
      </c>
      <c r="R452">
        <f t="shared" si="976"/>
        <v>-6049506.1218095338</v>
      </c>
      <c r="S452">
        <f t="shared" si="977"/>
        <v>-60.495061218095337</v>
      </c>
      <c r="T452">
        <f t="shared" si="978"/>
        <v>-6.0495061218095336E-2</v>
      </c>
    </row>
    <row r="453" spans="1:20" x14ac:dyDescent="0.25">
      <c r="A453" s="5">
        <v>44140</v>
      </c>
      <c r="B453">
        <v>1.02</v>
      </c>
      <c r="C453">
        <v>1.1100000000000001</v>
      </c>
      <c r="D453">
        <v>0.98</v>
      </c>
      <c r="E453">
        <v>1.032</v>
      </c>
      <c r="F453">
        <v>1614859.827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-0.2</v>
      </c>
      <c r="Q453">
        <f t="shared" si="975"/>
        <v>-322971.96540000004</v>
      </c>
      <c r="R453">
        <f t="shared" si="976"/>
        <v>-7613206.9933421966</v>
      </c>
      <c r="S453">
        <f t="shared" si="977"/>
        <v>-76.13206993342196</v>
      </c>
      <c r="T453">
        <f t="shared" si="978"/>
        <v>-7.6132069933421961E-2</v>
      </c>
    </row>
    <row r="454" spans="1:20" x14ac:dyDescent="0.25">
      <c r="A454" s="5">
        <v>44139</v>
      </c>
      <c r="B454">
        <v>0.97699999999999998</v>
      </c>
      <c r="C454">
        <v>1.0680000000000001</v>
      </c>
      <c r="D454">
        <v>0.95</v>
      </c>
      <c r="E454">
        <v>1.022</v>
      </c>
      <c r="F454">
        <v>1337527.5649999999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0.22033898305084745</v>
      </c>
      <c r="Q454">
        <f t="shared" ref="Q454:Q517" si="980">F454*P454</f>
        <v>294709.46347457625</v>
      </c>
      <c r="R454">
        <f t="shared" ref="R454:R517" si="981">R455+Q454</f>
        <v>-7290235.0279421965</v>
      </c>
      <c r="S454">
        <f t="shared" ref="S454:S517" si="982">R454/100000</f>
        <v>-72.902350279421967</v>
      </c>
      <c r="T454">
        <f t="shared" ref="T454:T517" si="983">S454/1000</f>
        <v>-7.2902350279421962E-2</v>
      </c>
    </row>
    <row r="455" spans="1:20" x14ac:dyDescent="0.25">
      <c r="A455" s="5">
        <v>44138</v>
      </c>
      <c r="B455">
        <v>1.0880000000000001</v>
      </c>
      <c r="C455">
        <v>1.089</v>
      </c>
      <c r="D455">
        <v>0.95499999999999996</v>
      </c>
      <c r="E455">
        <v>0.97299999999999998</v>
      </c>
      <c r="F455">
        <v>1281914.0249999999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-0.73134328358208933</v>
      </c>
      <c r="Q455">
        <f t="shared" si="980"/>
        <v>-937519.21231343248</v>
      </c>
      <c r="R455">
        <f t="shared" si="981"/>
        <v>-7584944.4914167728</v>
      </c>
      <c r="S455">
        <f t="shared" si="982"/>
        <v>-75.849444914167734</v>
      </c>
      <c r="T455">
        <f t="shared" si="983"/>
        <v>-7.584944491416773E-2</v>
      </c>
    </row>
    <row r="456" spans="1:20" x14ac:dyDescent="0.25">
      <c r="A456" s="5">
        <v>44137</v>
      </c>
      <c r="B456">
        <v>1.1319999999999999</v>
      </c>
      <c r="C456">
        <v>1.1599999999999999</v>
      </c>
      <c r="D456">
        <v>1.0469999999999999</v>
      </c>
      <c r="E456">
        <v>1.0900000000000001</v>
      </c>
      <c r="F456">
        <v>1032174.904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-0.23893805309734242</v>
      </c>
      <c r="Q456">
        <f t="shared" si="980"/>
        <v>-246625.86201769632</v>
      </c>
      <c r="R456">
        <f t="shared" si="981"/>
        <v>-6647425.2791033406</v>
      </c>
      <c r="S456">
        <f t="shared" si="982"/>
        <v>-66.474252791033408</v>
      </c>
      <c r="T456">
        <f t="shared" si="983"/>
        <v>-6.6474252791033403E-2</v>
      </c>
    </row>
    <row r="457" spans="1:20" x14ac:dyDescent="0.25">
      <c r="A457" s="5">
        <v>44136</v>
      </c>
      <c r="B457">
        <v>1.0880000000000001</v>
      </c>
      <c r="C457">
        <v>1.1399999999999999</v>
      </c>
      <c r="D457">
        <v>1.0720000000000001</v>
      </c>
      <c r="E457">
        <v>1.133</v>
      </c>
      <c r="F457">
        <v>829355.88300000003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0.79411764705882615</v>
      </c>
      <c r="Q457">
        <f t="shared" si="980"/>
        <v>658606.14238235517</v>
      </c>
      <c r="R457">
        <f t="shared" si="981"/>
        <v>-6400799.4170856439</v>
      </c>
      <c r="S457">
        <f t="shared" si="982"/>
        <v>-64.007994170856435</v>
      </c>
      <c r="T457">
        <f t="shared" si="983"/>
        <v>-6.4007994170856439E-2</v>
      </c>
    </row>
    <row r="458" spans="1:20" x14ac:dyDescent="0.25">
      <c r="A458" s="5">
        <v>44135</v>
      </c>
      <c r="B458">
        <v>1.135</v>
      </c>
      <c r="C458">
        <v>1.1739999999999999</v>
      </c>
      <c r="D458">
        <v>1.0669999999999999</v>
      </c>
      <c r="E458">
        <v>1.0900000000000001</v>
      </c>
      <c r="F458">
        <v>972426.40500000003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-0.57009345794392274</v>
      </c>
      <c r="Q458">
        <f t="shared" si="980"/>
        <v>-554373.93182242755</v>
      </c>
      <c r="R458">
        <f t="shared" si="981"/>
        <v>-7059405.5594679993</v>
      </c>
      <c r="S458">
        <f t="shared" si="982"/>
        <v>-70.594055594679986</v>
      </c>
      <c r="T458">
        <f t="shared" si="983"/>
        <v>-7.0594055594679989E-2</v>
      </c>
    </row>
    <row r="459" spans="1:20" x14ac:dyDescent="0.25">
      <c r="A459" s="5">
        <v>44134</v>
      </c>
      <c r="B459">
        <v>1.157</v>
      </c>
      <c r="C459">
        <v>1.1719999999999999</v>
      </c>
      <c r="D459">
        <v>1.0409999999999999</v>
      </c>
      <c r="E459">
        <v>1.1339999999999999</v>
      </c>
      <c r="F459">
        <v>1333576.6000000001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0.41984732824427434</v>
      </c>
      <c r="Q459">
        <f t="shared" si="980"/>
        <v>559898.57251908339</v>
      </c>
      <c r="R459">
        <f t="shared" si="981"/>
        <v>-6505031.6276455717</v>
      </c>
      <c r="S459">
        <f t="shared" si="982"/>
        <v>-65.050316276455717</v>
      </c>
      <c r="T459">
        <f t="shared" si="983"/>
        <v>-6.5050316276455716E-2</v>
      </c>
    </row>
    <row r="460" spans="1:20" x14ac:dyDescent="0.25">
      <c r="A460" s="5">
        <v>44133</v>
      </c>
      <c r="B460">
        <v>1.177</v>
      </c>
      <c r="C460">
        <v>1.2629999999999999</v>
      </c>
      <c r="D460">
        <v>1.1499999999999999</v>
      </c>
      <c r="E460">
        <v>1.157</v>
      </c>
      <c r="F460">
        <v>1158429.4839999999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-0.87610619469026341</v>
      </c>
      <c r="Q460">
        <f t="shared" si="980"/>
        <v>-1014907.2470442454</v>
      </c>
      <c r="R460">
        <f t="shared" si="981"/>
        <v>-7064930.2001646552</v>
      </c>
      <c r="S460">
        <f t="shared" si="982"/>
        <v>-70.649302001646547</v>
      </c>
      <c r="T460">
        <f t="shared" si="983"/>
        <v>-7.0649302001646541E-2</v>
      </c>
    </row>
    <row r="461" spans="1:20" x14ac:dyDescent="0.25">
      <c r="A461" s="5">
        <v>44132</v>
      </c>
      <c r="B461">
        <v>1.2669999999999999</v>
      </c>
      <c r="C461">
        <v>1.2849999999999999</v>
      </c>
      <c r="D461">
        <v>1.1499999999999999</v>
      </c>
      <c r="E461">
        <v>1.1739999999999999</v>
      </c>
      <c r="F461">
        <v>1323814.3430000001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-0.64444444444444415</v>
      </c>
      <c r="Q461">
        <f t="shared" si="980"/>
        <v>-853124.79882222193</v>
      </c>
      <c r="R461">
        <f t="shared" si="981"/>
        <v>-6050022.9531204095</v>
      </c>
      <c r="S461">
        <f t="shared" si="982"/>
        <v>-60.500229531204099</v>
      </c>
      <c r="T461">
        <f t="shared" si="983"/>
        <v>-6.0500229531204097E-2</v>
      </c>
    </row>
    <row r="462" spans="1:20" x14ac:dyDescent="0.25">
      <c r="A462" s="5">
        <v>44131</v>
      </c>
      <c r="B462">
        <v>1.33</v>
      </c>
      <c r="C462">
        <v>1.335</v>
      </c>
      <c r="D462">
        <v>1.236</v>
      </c>
      <c r="E462">
        <v>1.2669999999999999</v>
      </c>
      <c r="F462">
        <v>1323504.7949999999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-0.37373737373737526</v>
      </c>
      <c r="Q462">
        <f t="shared" si="980"/>
        <v>-494643.20621212322</v>
      </c>
      <c r="R462">
        <f t="shared" si="981"/>
        <v>-5196898.1542981872</v>
      </c>
      <c r="S462">
        <f t="shared" si="982"/>
        <v>-51.968981542981872</v>
      </c>
      <c r="T462">
        <f t="shared" si="983"/>
        <v>-5.1968981542981872E-2</v>
      </c>
    </row>
    <row r="463" spans="1:20" x14ac:dyDescent="0.25">
      <c r="A463" s="5">
        <v>44130</v>
      </c>
      <c r="B463">
        <v>1.4710000000000001</v>
      </c>
      <c r="C463">
        <v>1.514</v>
      </c>
      <c r="D463">
        <v>1.232</v>
      </c>
      <c r="E463">
        <v>1.335</v>
      </c>
      <c r="F463">
        <v>2178274.75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-0.269503546099291</v>
      </c>
      <c r="Q463">
        <f t="shared" si="980"/>
        <v>-587052.76950354653</v>
      </c>
      <c r="R463">
        <f t="shared" si="981"/>
        <v>-4702254.9480860643</v>
      </c>
      <c r="S463">
        <f t="shared" si="982"/>
        <v>-47.02254948086064</v>
      </c>
      <c r="T463">
        <f t="shared" si="983"/>
        <v>-4.702254948086064E-2</v>
      </c>
    </row>
    <row r="464" spans="1:20" x14ac:dyDescent="0.25">
      <c r="A464" s="5">
        <v>44129</v>
      </c>
      <c r="B464">
        <v>1.4</v>
      </c>
      <c r="C464">
        <v>1.4950000000000001</v>
      </c>
      <c r="D464">
        <v>1.323</v>
      </c>
      <c r="E464">
        <v>1.4690000000000001</v>
      </c>
      <c r="F464">
        <v>1993453.9410000001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0.69767441860465118</v>
      </c>
      <c r="Q464">
        <f t="shared" si="980"/>
        <v>1390781.8193023256</v>
      </c>
      <c r="R464">
        <f t="shared" si="981"/>
        <v>-4115202.1785825179</v>
      </c>
      <c r="S464">
        <f t="shared" si="982"/>
        <v>-41.152021785825177</v>
      </c>
      <c r="T464">
        <f t="shared" si="983"/>
        <v>-4.115202178582518E-2</v>
      </c>
    </row>
    <row r="465" spans="1:20" x14ac:dyDescent="0.25">
      <c r="A465" s="5">
        <v>44128</v>
      </c>
      <c r="B465">
        <v>1.248</v>
      </c>
      <c r="C465">
        <v>1.45</v>
      </c>
      <c r="D465">
        <v>1.21</v>
      </c>
      <c r="E465">
        <v>1.4</v>
      </c>
      <c r="F465">
        <v>1560687.504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0.58333333333333293</v>
      </c>
      <c r="Q465">
        <f t="shared" si="980"/>
        <v>910401.0439999993</v>
      </c>
      <c r="R465">
        <f t="shared" si="981"/>
        <v>-5505983.9978848435</v>
      </c>
      <c r="S465">
        <f t="shared" si="982"/>
        <v>-55.059839978848437</v>
      </c>
      <c r="T465">
        <f t="shared" si="983"/>
        <v>-5.5059839978848439E-2</v>
      </c>
    </row>
    <row r="466" spans="1:20" x14ac:dyDescent="0.25">
      <c r="A466" s="5">
        <v>44127</v>
      </c>
      <c r="B466">
        <v>1.2769999999999999</v>
      </c>
      <c r="C466">
        <v>1.35</v>
      </c>
      <c r="D466">
        <v>1.208</v>
      </c>
      <c r="E466">
        <v>1.244</v>
      </c>
      <c r="F466">
        <v>1000638.674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-0.49295774647887325</v>
      </c>
      <c r="Q466">
        <f t="shared" si="980"/>
        <v>-493272.58577464789</v>
      </c>
      <c r="R466">
        <f t="shared" si="981"/>
        <v>-6416385.0418848433</v>
      </c>
      <c r="S466">
        <f t="shared" si="982"/>
        <v>-64.163850418848426</v>
      </c>
      <c r="T466">
        <f t="shared" si="983"/>
        <v>-6.4163850418848423E-2</v>
      </c>
    </row>
    <row r="467" spans="1:20" x14ac:dyDescent="0.25">
      <c r="A467" s="5">
        <v>44126</v>
      </c>
      <c r="B467">
        <v>1.19</v>
      </c>
      <c r="C467">
        <v>1.329</v>
      </c>
      <c r="D467">
        <v>1.17</v>
      </c>
      <c r="E467">
        <v>1.278</v>
      </c>
      <c r="F467">
        <v>1701383.652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0.35849056603773682</v>
      </c>
      <c r="Q467">
        <f t="shared" si="980"/>
        <v>609929.98845283187</v>
      </c>
      <c r="R467">
        <f t="shared" si="981"/>
        <v>-5923112.4561101953</v>
      </c>
      <c r="S467">
        <f t="shared" si="982"/>
        <v>-59.23112456110195</v>
      </c>
      <c r="T467">
        <f t="shared" si="983"/>
        <v>-5.9231124561101953E-2</v>
      </c>
    </row>
    <row r="468" spans="1:20" x14ac:dyDescent="0.25">
      <c r="A468" s="5">
        <v>44125</v>
      </c>
      <c r="B468">
        <v>1.141</v>
      </c>
      <c r="C468">
        <v>1.284</v>
      </c>
      <c r="D468">
        <v>1.107</v>
      </c>
      <c r="E468">
        <v>1.19</v>
      </c>
      <c r="F468">
        <v>1954977.62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-6.2146892655367901E-2</v>
      </c>
      <c r="Q468">
        <f t="shared" si="980"/>
        <v>-121495.78429378662</v>
      </c>
      <c r="R468">
        <f t="shared" si="981"/>
        <v>-6533042.4445630275</v>
      </c>
      <c r="S468">
        <f t="shared" si="982"/>
        <v>-65.330424445630271</v>
      </c>
      <c r="T468">
        <f t="shared" si="983"/>
        <v>-6.5330424445630267E-2</v>
      </c>
    </row>
    <row r="469" spans="1:20" x14ac:dyDescent="0.25">
      <c r="A469" s="5">
        <v>44124</v>
      </c>
      <c r="B469">
        <v>1.278</v>
      </c>
      <c r="C469">
        <v>1.2889999999999999</v>
      </c>
      <c r="D469">
        <v>1.1120000000000001</v>
      </c>
      <c r="E469">
        <v>1.141</v>
      </c>
      <c r="F469">
        <v>1313781.757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-0.67231638418079165</v>
      </c>
      <c r="Q469">
        <f t="shared" si="980"/>
        <v>-883277.00046892744</v>
      </c>
      <c r="R469">
        <f t="shared" si="981"/>
        <v>-6411546.6602692408</v>
      </c>
      <c r="S469">
        <f t="shared" si="982"/>
        <v>-64.115466602692408</v>
      </c>
      <c r="T469">
        <f t="shared" si="983"/>
        <v>-6.4115466602692406E-2</v>
      </c>
    </row>
    <row r="470" spans="1:20" x14ac:dyDescent="0.25">
      <c r="A470" s="5">
        <v>44123</v>
      </c>
      <c r="B470">
        <v>1.34</v>
      </c>
      <c r="C470">
        <v>1.419</v>
      </c>
      <c r="D470">
        <v>1.2490000000000001</v>
      </c>
      <c r="E470">
        <v>1.2809999999999999</v>
      </c>
      <c r="F470">
        <v>1457075.1769999999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-0.623529411764708</v>
      </c>
      <c r="Q470">
        <f t="shared" si="980"/>
        <v>-908529.22801176773</v>
      </c>
      <c r="R470">
        <f t="shared" si="981"/>
        <v>-5528269.6598003134</v>
      </c>
      <c r="S470">
        <f t="shared" si="982"/>
        <v>-55.282696598003135</v>
      </c>
      <c r="T470">
        <f t="shared" si="983"/>
        <v>-5.5282696598003132E-2</v>
      </c>
    </row>
    <row r="471" spans="1:20" x14ac:dyDescent="0.25">
      <c r="A471" s="5">
        <v>44122</v>
      </c>
      <c r="B471">
        <v>1.2789999999999999</v>
      </c>
      <c r="C471">
        <v>1.4690000000000001</v>
      </c>
      <c r="D471">
        <v>1.2729999999999999</v>
      </c>
      <c r="E471">
        <v>1.3440000000000001</v>
      </c>
      <c r="F471">
        <v>1335425.1000000001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-0.27551020408163152</v>
      </c>
      <c r="Q471">
        <f t="shared" si="980"/>
        <v>-367923.24183673318</v>
      </c>
      <c r="R471">
        <f t="shared" si="981"/>
        <v>-4619740.431788546</v>
      </c>
      <c r="S471">
        <f t="shared" si="982"/>
        <v>-46.197404317885457</v>
      </c>
      <c r="T471">
        <f t="shared" si="983"/>
        <v>-4.6197404317885458E-2</v>
      </c>
    </row>
    <row r="472" spans="1:20" x14ac:dyDescent="0.25">
      <c r="A472" s="5">
        <v>44121</v>
      </c>
      <c r="B472">
        <v>1.2150000000000001</v>
      </c>
      <c r="C472">
        <v>1.3049999999999999</v>
      </c>
      <c r="D472">
        <v>1.2130000000000001</v>
      </c>
      <c r="E472">
        <v>1.2849999999999999</v>
      </c>
      <c r="F472">
        <v>671770.61600000004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0.56521739130434678</v>
      </c>
      <c r="Q472">
        <f t="shared" si="980"/>
        <v>379696.43513043411</v>
      </c>
      <c r="R472">
        <f t="shared" si="981"/>
        <v>-4251817.1899518128</v>
      </c>
      <c r="S472">
        <f t="shared" si="982"/>
        <v>-42.51817189951813</v>
      </c>
      <c r="T472">
        <f t="shared" si="983"/>
        <v>-4.2518171899518127E-2</v>
      </c>
    </row>
    <row r="473" spans="1:20" x14ac:dyDescent="0.25">
      <c r="A473" s="5">
        <v>44120</v>
      </c>
      <c r="B473">
        <v>1.35</v>
      </c>
      <c r="C473">
        <v>1.3919999999999999</v>
      </c>
      <c r="D473">
        <v>1.202</v>
      </c>
      <c r="E473">
        <v>1.216</v>
      </c>
      <c r="F473">
        <v>853737.09699999995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-0.8526315789473683</v>
      </c>
      <c r="Q473">
        <f t="shared" si="980"/>
        <v>-727923.20902105246</v>
      </c>
      <c r="R473">
        <f t="shared" si="981"/>
        <v>-4631513.625082247</v>
      </c>
      <c r="S473">
        <f t="shared" si="982"/>
        <v>-46.315136250822469</v>
      </c>
      <c r="T473">
        <f t="shared" si="983"/>
        <v>-4.6315136250822467E-2</v>
      </c>
    </row>
    <row r="474" spans="1:20" x14ac:dyDescent="0.25">
      <c r="A474" s="5">
        <v>44119</v>
      </c>
      <c r="B474">
        <v>1.415</v>
      </c>
      <c r="C474">
        <v>1.42</v>
      </c>
      <c r="D474">
        <v>1.248</v>
      </c>
      <c r="E474">
        <v>1.35</v>
      </c>
      <c r="F474">
        <v>1801095.4140000001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0.1860465116279085</v>
      </c>
      <c r="Q474">
        <f t="shared" si="980"/>
        <v>335087.51888372371</v>
      </c>
      <c r="R474">
        <f t="shared" si="981"/>
        <v>-3903590.4160611946</v>
      </c>
      <c r="S474">
        <f t="shared" si="982"/>
        <v>-39.035904160611949</v>
      </c>
      <c r="T474">
        <f t="shared" si="983"/>
        <v>-3.9035904160611951E-2</v>
      </c>
    </row>
    <row r="475" spans="1:20" x14ac:dyDescent="0.25">
      <c r="A475" s="5">
        <v>44118</v>
      </c>
      <c r="B475">
        <v>1.5189999999999999</v>
      </c>
      <c r="C475">
        <v>1.613</v>
      </c>
      <c r="D475">
        <v>1.3720000000000001</v>
      </c>
      <c r="E475">
        <v>1.42</v>
      </c>
      <c r="F475">
        <v>1526801.3770000001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-0.6016597510373457</v>
      </c>
      <c r="Q475">
        <f t="shared" si="980"/>
        <v>-918614.93636929663</v>
      </c>
      <c r="R475">
        <f t="shared" si="981"/>
        <v>-4238677.9349449184</v>
      </c>
      <c r="S475">
        <f t="shared" si="982"/>
        <v>-42.386779349449185</v>
      </c>
      <c r="T475">
        <f t="shared" si="983"/>
        <v>-4.2386779349449184E-2</v>
      </c>
    </row>
    <row r="476" spans="1:20" x14ac:dyDescent="0.25">
      <c r="A476" s="5">
        <v>44117</v>
      </c>
      <c r="B476">
        <v>1.5189999999999999</v>
      </c>
      <c r="C476">
        <v>1.58</v>
      </c>
      <c r="D476">
        <v>1.429</v>
      </c>
      <c r="E476">
        <v>1.52</v>
      </c>
      <c r="F476">
        <v>1225138.92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0.20529801324503252</v>
      </c>
      <c r="Q476">
        <f t="shared" si="980"/>
        <v>251518.58622516482</v>
      </c>
      <c r="R476">
        <f t="shared" si="981"/>
        <v>-3320062.9985756213</v>
      </c>
      <c r="S476">
        <f t="shared" si="982"/>
        <v>-33.200629985756215</v>
      </c>
      <c r="T476">
        <f t="shared" si="983"/>
        <v>-3.3200629985756215E-2</v>
      </c>
    </row>
    <row r="477" spans="1:20" x14ac:dyDescent="0.25">
      <c r="A477" s="5">
        <v>44116</v>
      </c>
      <c r="B477">
        <v>1.486</v>
      </c>
      <c r="C477">
        <v>1.599</v>
      </c>
      <c r="D477">
        <v>1.3169999999999999</v>
      </c>
      <c r="E477">
        <v>1.518</v>
      </c>
      <c r="F477">
        <v>1953906.8330000001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0.42553191489361736</v>
      </c>
      <c r="Q477">
        <f t="shared" si="980"/>
        <v>831449.71617021342</v>
      </c>
      <c r="R477">
        <f t="shared" si="981"/>
        <v>-3571581.5848007863</v>
      </c>
      <c r="S477">
        <f t="shared" si="982"/>
        <v>-35.715815848007864</v>
      </c>
      <c r="T477">
        <f t="shared" si="983"/>
        <v>-3.5715815848007863E-2</v>
      </c>
    </row>
    <row r="478" spans="1:20" x14ac:dyDescent="0.25">
      <c r="A478" s="5">
        <v>44115</v>
      </c>
      <c r="B478">
        <v>1.3029999999999999</v>
      </c>
      <c r="C478">
        <v>1.516</v>
      </c>
      <c r="D478">
        <v>1.2909999999999999</v>
      </c>
      <c r="E478">
        <v>1.4830000000000001</v>
      </c>
      <c r="F478">
        <v>2087427.3629999999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0.70666666666666755</v>
      </c>
      <c r="Q478">
        <f t="shared" si="980"/>
        <v>1475115.3365200018</v>
      </c>
      <c r="R478">
        <f t="shared" si="981"/>
        <v>-4403031.3009709995</v>
      </c>
      <c r="S478">
        <f t="shared" si="982"/>
        <v>-44.030313009709992</v>
      </c>
      <c r="T478">
        <f t="shared" si="983"/>
        <v>-4.4030313009709991E-2</v>
      </c>
    </row>
    <row r="479" spans="1:20" x14ac:dyDescent="0.25">
      <c r="A479" s="5">
        <v>44114</v>
      </c>
      <c r="B479">
        <v>1.264</v>
      </c>
      <c r="C479">
        <v>1.345</v>
      </c>
      <c r="D479">
        <v>1.19</v>
      </c>
      <c r="E479">
        <v>1.3009999999999999</v>
      </c>
      <c r="F479">
        <v>1563632.6240000001</v>
      </c>
      <c r="G479">
        <v>0</v>
      </c>
      <c r="L479" t="s">
        <v>7</v>
      </c>
      <c r="M479" t="s">
        <v>8</v>
      </c>
      <c r="N479" t="s">
        <v>8</v>
      </c>
      <c r="P479">
        <f t="shared" si="979"/>
        <v>0.43225806451612864</v>
      </c>
      <c r="Q479">
        <f t="shared" si="980"/>
        <v>675892.81166451552</v>
      </c>
      <c r="R479">
        <f t="shared" si="981"/>
        <v>-5878146.6374910008</v>
      </c>
      <c r="S479">
        <f t="shared" si="982"/>
        <v>-58.781466374910011</v>
      </c>
      <c r="T479">
        <f t="shared" si="983"/>
        <v>-5.878146637491001E-2</v>
      </c>
    </row>
    <row r="480" spans="1:20" x14ac:dyDescent="0.25">
      <c r="A480" s="5">
        <v>44113</v>
      </c>
      <c r="B480">
        <v>1.2270000000000001</v>
      </c>
      <c r="C480">
        <v>1.3560000000000001</v>
      </c>
      <c r="D480">
        <v>1.18</v>
      </c>
      <c r="E480">
        <v>1.264</v>
      </c>
      <c r="F480">
        <v>1964742.5190000001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-4.5454545454545456E-2</v>
      </c>
      <c r="Q480">
        <f t="shared" si="980"/>
        <v>-89306.478136363643</v>
      </c>
      <c r="R480">
        <f t="shared" si="981"/>
        <v>-6554039.449155516</v>
      </c>
      <c r="S480">
        <f t="shared" si="982"/>
        <v>-65.540394491555162</v>
      </c>
      <c r="T480">
        <f t="shared" si="983"/>
        <v>-6.554039449155516E-2</v>
      </c>
    </row>
    <row r="481" spans="1:20" x14ac:dyDescent="0.25">
      <c r="A481" s="5">
        <v>44112</v>
      </c>
      <c r="B481">
        <v>1.0620000000000001</v>
      </c>
      <c r="C481">
        <v>1.2290000000000001</v>
      </c>
      <c r="D481">
        <v>0.98199999999999998</v>
      </c>
      <c r="E481">
        <v>1.2230000000000001</v>
      </c>
      <c r="F481">
        <v>2106276.4160000002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0.95141700404858298</v>
      </c>
      <c r="Q481">
        <f t="shared" si="980"/>
        <v>2003947.1974089071</v>
      </c>
      <c r="R481">
        <f t="shared" si="981"/>
        <v>-6464732.9710191526</v>
      </c>
      <c r="S481">
        <f t="shared" si="982"/>
        <v>-64.647329710191528</v>
      </c>
      <c r="T481">
        <f t="shared" si="983"/>
        <v>-6.4647329710191534E-2</v>
      </c>
    </row>
    <row r="482" spans="1:20" x14ac:dyDescent="0.25">
      <c r="A482" s="5">
        <v>44111</v>
      </c>
      <c r="B482">
        <v>1.028</v>
      </c>
      <c r="C482">
        <v>1.1719999999999999</v>
      </c>
      <c r="D482">
        <v>0.91800000000000004</v>
      </c>
      <c r="E482">
        <v>1.0609999999999999</v>
      </c>
      <c r="F482">
        <v>2563411.9040000001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0.12598425196850366</v>
      </c>
      <c r="Q482">
        <f t="shared" si="980"/>
        <v>322949.53121259774</v>
      </c>
      <c r="R482">
        <f t="shared" si="981"/>
        <v>-8468680.1684280597</v>
      </c>
      <c r="S482">
        <f t="shared" si="982"/>
        <v>-84.686801684280596</v>
      </c>
      <c r="T482">
        <f t="shared" si="983"/>
        <v>-8.4686801684280597E-2</v>
      </c>
    </row>
    <row r="483" spans="1:20" x14ac:dyDescent="0.25">
      <c r="A483" s="5">
        <v>44110</v>
      </c>
      <c r="B483">
        <v>1.198</v>
      </c>
      <c r="C483">
        <v>1.2070000000000001</v>
      </c>
      <c r="D483">
        <v>1.01</v>
      </c>
      <c r="E483">
        <v>1.0289999999999999</v>
      </c>
      <c r="F483">
        <v>2446272.1869999999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-0.80710659898477255</v>
      </c>
      <c r="Q483">
        <f t="shared" si="980"/>
        <v>-1974402.4250406115</v>
      </c>
      <c r="R483">
        <f t="shared" si="981"/>
        <v>-8791629.6996406578</v>
      </c>
      <c r="S483">
        <f t="shared" si="982"/>
        <v>-87.916296996406572</v>
      </c>
      <c r="T483">
        <f t="shared" si="983"/>
        <v>-8.7916296996406573E-2</v>
      </c>
    </row>
    <row r="484" spans="1:20" x14ac:dyDescent="0.25">
      <c r="A484" s="5">
        <v>44109</v>
      </c>
      <c r="B484">
        <v>1.254</v>
      </c>
      <c r="C484">
        <v>1.2669999999999999</v>
      </c>
      <c r="D484">
        <v>1.1739999999999999</v>
      </c>
      <c r="E484">
        <v>1.1970000000000001</v>
      </c>
      <c r="F484">
        <v>1022721.224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-0.5053763440860185</v>
      </c>
      <c r="Q484">
        <f t="shared" si="980"/>
        <v>-516859.11320429802</v>
      </c>
      <c r="R484">
        <f t="shared" si="981"/>
        <v>-6817227.2746000458</v>
      </c>
      <c r="S484">
        <f t="shared" si="982"/>
        <v>-68.172272746000459</v>
      </c>
      <c r="T484">
        <f t="shared" si="983"/>
        <v>-6.8172272746000462E-2</v>
      </c>
    </row>
    <row r="485" spans="1:20" x14ac:dyDescent="0.25">
      <c r="A485" s="5">
        <v>44108</v>
      </c>
      <c r="B485">
        <v>1.26</v>
      </c>
      <c r="C485">
        <v>1.2969999999999999</v>
      </c>
      <c r="D485">
        <v>1.2070000000000001</v>
      </c>
      <c r="E485">
        <v>1.2529999999999999</v>
      </c>
      <c r="F485">
        <v>1035046.372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2.2222222222219808E-2</v>
      </c>
      <c r="Q485">
        <f t="shared" si="980"/>
        <v>23001.03048888639</v>
      </c>
      <c r="R485">
        <f t="shared" si="981"/>
        <v>-6300368.1613957481</v>
      </c>
      <c r="S485">
        <f t="shared" si="982"/>
        <v>-63.003681613957482</v>
      </c>
      <c r="T485">
        <f t="shared" si="983"/>
        <v>-6.3003681613957488E-2</v>
      </c>
    </row>
    <row r="486" spans="1:20" x14ac:dyDescent="0.25">
      <c r="A486" s="5">
        <v>44107</v>
      </c>
      <c r="B486">
        <v>1.3</v>
      </c>
      <c r="C486">
        <v>1.36</v>
      </c>
      <c r="D486">
        <v>1.252</v>
      </c>
      <c r="E486">
        <v>1.254</v>
      </c>
      <c r="F486">
        <v>1279206.794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-0.96296296296296291</v>
      </c>
      <c r="Q486">
        <f t="shared" si="980"/>
        <v>-1231828.7645925926</v>
      </c>
      <c r="R486">
        <f t="shared" si="981"/>
        <v>-6323369.1918846341</v>
      </c>
      <c r="S486">
        <f t="shared" si="982"/>
        <v>-63.23369191884634</v>
      </c>
      <c r="T486">
        <f t="shared" si="983"/>
        <v>-6.3233691918846341E-2</v>
      </c>
    </row>
    <row r="487" spans="1:20" x14ac:dyDescent="0.25">
      <c r="A487" s="5">
        <v>44106</v>
      </c>
      <c r="B487">
        <v>1.399</v>
      </c>
      <c r="C487">
        <v>1.4</v>
      </c>
      <c r="D487">
        <v>1.167</v>
      </c>
      <c r="E487">
        <v>1.3</v>
      </c>
      <c r="F487">
        <v>2998730.9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0.14163090128755432</v>
      </c>
      <c r="Q487">
        <f t="shared" si="980"/>
        <v>424712.96008583892</v>
      </c>
      <c r="R487">
        <f t="shared" si="981"/>
        <v>-5091540.4272920415</v>
      </c>
      <c r="S487">
        <f t="shared" si="982"/>
        <v>-50.915404272920412</v>
      </c>
      <c r="T487">
        <f t="shared" si="983"/>
        <v>-5.0915404272920413E-2</v>
      </c>
    </row>
    <row r="488" spans="1:20" x14ac:dyDescent="0.25">
      <c r="A488" s="5">
        <v>44105</v>
      </c>
      <c r="B488">
        <v>1.4359999999999999</v>
      </c>
      <c r="C488">
        <v>1.5349999999999999</v>
      </c>
      <c r="D488">
        <v>1.2170000000000001</v>
      </c>
      <c r="E488">
        <v>1.4</v>
      </c>
      <c r="F488">
        <v>3811256.7919999999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0.15094339622641462</v>
      </c>
      <c r="Q488">
        <f t="shared" si="980"/>
        <v>575284.04407546984</v>
      </c>
      <c r="R488">
        <f t="shared" si="981"/>
        <v>-5516253.3873778805</v>
      </c>
      <c r="S488">
        <f t="shared" si="982"/>
        <v>-55.162533873778806</v>
      </c>
      <c r="T488">
        <f t="shared" si="983"/>
        <v>-5.5162533873778806E-2</v>
      </c>
    </row>
    <row r="489" spans="1:20" x14ac:dyDescent="0.25">
      <c r="A489" s="5">
        <v>44104</v>
      </c>
      <c r="B489">
        <v>1.206</v>
      </c>
      <c r="C489">
        <v>1.52</v>
      </c>
      <c r="D489">
        <v>1.1120000000000001</v>
      </c>
      <c r="E489">
        <v>1.4379999999999999</v>
      </c>
      <c r="F489">
        <v>5614275.3260000004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0.59803921568627405</v>
      </c>
      <c r="Q489">
        <f t="shared" si="980"/>
        <v>3357556.8126078406</v>
      </c>
      <c r="R489">
        <f t="shared" si="981"/>
        <v>-6091537.43145335</v>
      </c>
      <c r="S489">
        <f t="shared" si="982"/>
        <v>-60.915374314533501</v>
      </c>
      <c r="T489">
        <f t="shared" si="983"/>
        <v>-6.0915374314533505E-2</v>
      </c>
    </row>
    <row r="490" spans="1:20" x14ac:dyDescent="0.25">
      <c r="A490" s="5">
        <v>44103</v>
      </c>
      <c r="B490">
        <v>1.357</v>
      </c>
      <c r="C490">
        <v>1.413</v>
      </c>
      <c r="D490">
        <v>1.1339999999999999</v>
      </c>
      <c r="E490">
        <v>1.208</v>
      </c>
      <c r="F490">
        <v>3018150.1889999998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-0.46953405017921124</v>
      </c>
      <c r="Q490">
        <f t="shared" si="980"/>
        <v>-1417124.2822903218</v>
      </c>
      <c r="R490">
        <f t="shared" si="981"/>
        <v>-9449094.2440611906</v>
      </c>
      <c r="S490">
        <f t="shared" si="982"/>
        <v>-94.490942440611903</v>
      </c>
      <c r="T490">
        <f t="shared" si="983"/>
        <v>-9.4490942440611903E-2</v>
      </c>
    </row>
    <row r="491" spans="1:20" x14ac:dyDescent="0.25">
      <c r="A491" s="5">
        <v>44102</v>
      </c>
      <c r="B491">
        <v>1.431</v>
      </c>
      <c r="C491">
        <v>1.5389999999999999</v>
      </c>
      <c r="D491">
        <v>1.25</v>
      </c>
      <c r="E491">
        <v>1.357</v>
      </c>
      <c r="F491">
        <v>2802375.8670000001</v>
      </c>
      <c r="G491">
        <v>0</v>
      </c>
      <c r="L491" t="s">
        <v>7</v>
      </c>
      <c r="M491" t="s">
        <v>7</v>
      </c>
      <c r="N491" t="s">
        <v>8</v>
      </c>
      <c r="P491">
        <f t="shared" si="979"/>
        <v>-0.25951557093425598</v>
      </c>
      <c r="Q491">
        <f t="shared" si="980"/>
        <v>-727260.17309688567</v>
      </c>
      <c r="R491">
        <f t="shared" si="981"/>
        <v>-8031969.9617708689</v>
      </c>
      <c r="S491">
        <f t="shared" si="982"/>
        <v>-80.319699617708693</v>
      </c>
      <c r="T491">
        <f t="shared" si="983"/>
        <v>-8.0319699617708698E-2</v>
      </c>
    </row>
    <row r="492" spans="1:20" x14ac:dyDescent="0.25">
      <c r="A492" s="5">
        <v>44101</v>
      </c>
      <c r="B492">
        <v>1.5129999999999999</v>
      </c>
      <c r="C492">
        <v>1.5760000000000001</v>
      </c>
      <c r="D492">
        <v>1.3149999999999999</v>
      </c>
      <c r="E492">
        <v>1.431</v>
      </c>
      <c r="F492">
        <v>1198951.946</v>
      </c>
      <c r="G492">
        <v>0</v>
      </c>
      <c r="L492" t="s">
        <v>7</v>
      </c>
      <c r="M492" t="s">
        <v>7</v>
      </c>
      <c r="N492" t="s">
        <v>8</v>
      </c>
      <c r="P492">
        <f t="shared" si="979"/>
        <v>-0.11111111111111073</v>
      </c>
      <c r="Q492">
        <f t="shared" si="980"/>
        <v>-133216.88288888845</v>
      </c>
      <c r="R492">
        <f t="shared" si="981"/>
        <v>-7304709.788673983</v>
      </c>
      <c r="S492">
        <f t="shared" si="982"/>
        <v>-73.047097886739834</v>
      </c>
      <c r="T492">
        <f t="shared" si="983"/>
        <v>-7.304709788673984E-2</v>
      </c>
    </row>
    <row r="493" spans="1:20" x14ac:dyDescent="0.25">
      <c r="A493" s="5">
        <v>44100</v>
      </c>
      <c r="B493">
        <v>1.6040000000000001</v>
      </c>
      <c r="C493">
        <v>1.74</v>
      </c>
      <c r="D493">
        <v>1.4730000000000001</v>
      </c>
      <c r="E493">
        <v>1.522</v>
      </c>
      <c r="F493">
        <v>1343975.1310000001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-0.63295880149812767</v>
      </c>
      <c r="Q493">
        <f t="shared" si="980"/>
        <v>-850680.88816104911</v>
      </c>
      <c r="R493">
        <f t="shared" si="981"/>
        <v>-7171492.9057850949</v>
      </c>
      <c r="S493">
        <f t="shared" si="982"/>
        <v>-71.714929057850952</v>
      </c>
      <c r="T493">
        <f t="shared" si="983"/>
        <v>-7.1714929057850957E-2</v>
      </c>
    </row>
    <row r="494" spans="1:20" x14ac:dyDescent="0.25">
      <c r="A494" s="5">
        <v>44099</v>
      </c>
      <c r="B494">
        <v>1.5069999999999999</v>
      </c>
      <c r="C494">
        <v>1.6890000000000001</v>
      </c>
      <c r="D494">
        <v>1.36</v>
      </c>
      <c r="E494">
        <v>1.6040000000000001</v>
      </c>
      <c r="F494">
        <v>1945754.477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0.48328267477203662</v>
      </c>
      <c r="Q494">
        <f t="shared" si="980"/>
        <v>940349.42809422524</v>
      </c>
      <c r="R494">
        <f t="shared" si="981"/>
        <v>-6320812.0176240457</v>
      </c>
      <c r="S494">
        <f t="shared" si="982"/>
        <v>-63.208120176240456</v>
      </c>
      <c r="T494">
        <f t="shared" si="983"/>
        <v>-6.3208120176240459E-2</v>
      </c>
    </row>
    <row r="495" spans="1:20" x14ac:dyDescent="0.25">
      <c r="A495" s="5">
        <v>44098</v>
      </c>
      <c r="B495">
        <v>1.2</v>
      </c>
      <c r="C495">
        <v>1.55</v>
      </c>
      <c r="D495">
        <v>1.1599999999999999</v>
      </c>
      <c r="E495">
        <v>1.5069999999999999</v>
      </c>
      <c r="F495">
        <v>2053976.233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0.77948717948717883</v>
      </c>
      <c r="Q495">
        <f t="shared" si="980"/>
        <v>1601048.1405948706</v>
      </c>
      <c r="R495">
        <f t="shared" si="981"/>
        <v>-7261161.4457182707</v>
      </c>
      <c r="S495">
        <f t="shared" si="982"/>
        <v>-72.611614457182711</v>
      </c>
      <c r="T495">
        <f t="shared" si="983"/>
        <v>-7.2611614457182713E-2</v>
      </c>
    </row>
    <row r="496" spans="1:20" x14ac:dyDescent="0.25">
      <c r="A496" s="5">
        <v>44097</v>
      </c>
      <c r="B496">
        <v>1.472</v>
      </c>
      <c r="C496">
        <v>1.5169999999999999</v>
      </c>
      <c r="D496">
        <v>1.1859999999999999</v>
      </c>
      <c r="E496">
        <v>1.2</v>
      </c>
      <c r="F496">
        <v>2448407.6140000001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-0.91540785498489419</v>
      </c>
      <c r="Q496">
        <f t="shared" si="980"/>
        <v>-2241291.5620604227</v>
      </c>
      <c r="R496">
        <f t="shared" si="981"/>
        <v>-8862209.5863131415</v>
      </c>
      <c r="S496">
        <f t="shared" si="982"/>
        <v>-88.62209586313142</v>
      </c>
      <c r="T496">
        <f t="shared" si="983"/>
        <v>-8.8622095863131425E-2</v>
      </c>
    </row>
    <row r="497" spans="1:20" x14ac:dyDescent="0.25">
      <c r="A497" s="5">
        <v>44096</v>
      </c>
      <c r="B497">
        <v>1.4770000000000001</v>
      </c>
      <c r="C497">
        <v>1.605</v>
      </c>
      <c r="D497">
        <v>1.286</v>
      </c>
      <c r="E497">
        <v>1.472</v>
      </c>
      <c r="F497">
        <v>2364515.8050000002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0.16614420062695906</v>
      </c>
      <c r="Q497">
        <f t="shared" si="980"/>
        <v>392850.58829153562</v>
      </c>
      <c r="R497">
        <f t="shared" si="981"/>
        <v>-6620918.0242527183</v>
      </c>
      <c r="S497">
        <f t="shared" si="982"/>
        <v>-66.209180242527182</v>
      </c>
      <c r="T497">
        <f t="shared" si="983"/>
        <v>-6.6209180242527185E-2</v>
      </c>
    </row>
    <row r="498" spans="1:20" x14ac:dyDescent="0.25">
      <c r="A498" s="5">
        <v>44095</v>
      </c>
      <c r="B498">
        <v>1.877</v>
      </c>
      <c r="C498">
        <v>1.944</v>
      </c>
      <c r="D498">
        <v>1.3640000000000001</v>
      </c>
      <c r="E498">
        <v>1.476</v>
      </c>
      <c r="F498">
        <v>2525410.19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-0.6137931034482762</v>
      </c>
      <c r="Q498">
        <f t="shared" si="980"/>
        <v>-1550079.3580000007</v>
      </c>
      <c r="R498">
        <f t="shared" si="981"/>
        <v>-7013768.6125442535</v>
      </c>
      <c r="S498">
        <f t="shared" si="982"/>
        <v>-70.137686125442528</v>
      </c>
      <c r="T498">
        <f t="shared" si="983"/>
        <v>-7.0137686125442522E-2</v>
      </c>
    </row>
    <row r="499" spans="1:20" x14ac:dyDescent="0.25">
      <c r="A499" s="5">
        <v>44094</v>
      </c>
      <c r="B499">
        <v>2.13</v>
      </c>
      <c r="C499">
        <v>2.1339999999999999</v>
      </c>
      <c r="D499">
        <v>1.821</v>
      </c>
      <c r="E499">
        <v>1.8779999999999999</v>
      </c>
      <c r="F499">
        <v>1189882.9909999999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-0.63578274760383424</v>
      </c>
      <c r="Q499">
        <f t="shared" si="980"/>
        <v>-756507.07734504831</v>
      </c>
      <c r="R499">
        <f t="shared" si="981"/>
        <v>-5463689.2545442525</v>
      </c>
      <c r="S499">
        <f t="shared" si="982"/>
        <v>-54.636892545442528</v>
      </c>
      <c r="T499">
        <f t="shared" si="983"/>
        <v>-5.4636892545442531E-2</v>
      </c>
    </row>
    <row r="500" spans="1:20" x14ac:dyDescent="0.25">
      <c r="A500" s="5">
        <v>44093</v>
      </c>
      <c r="B500">
        <v>1.913</v>
      </c>
      <c r="C500">
        <v>2.1800000000000002</v>
      </c>
      <c r="D500">
        <v>1.81</v>
      </c>
      <c r="E500">
        <v>2.13</v>
      </c>
      <c r="F500">
        <v>1768520.199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0.72972972972972838</v>
      </c>
      <c r="Q500">
        <f t="shared" si="980"/>
        <v>1290541.7668378355</v>
      </c>
      <c r="R500">
        <f t="shared" si="981"/>
        <v>-4707182.1771992045</v>
      </c>
      <c r="S500">
        <f t="shared" si="982"/>
        <v>-47.071821771992042</v>
      </c>
      <c r="T500">
        <f t="shared" si="983"/>
        <v>-4.707182177199204E-2</v>
      </c>
    </row>
    <row r="501" spans="1:20" x14ac:dyDescent="0.25">
      <c r="A501" s="5">
        <v>44092</v>
      </c>
      <c r="B501">
        <v>2.028</v>
      </c>
      <c r="C501">
        <v>2.23</v>
      </c>
      <c r="D501">
        <v>1.8180000000000001</v>
      </c>
      <c r="E501">
        <v>1.907</v>
      </c>
      <c r="F501">
        <v>2201299.4169999999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-0.56796116504854377</v>
      </c>
      <c r="Q501">
        <f t="shared" si="980"/>
        <v>-1250252.5815000001</v>
      </c>
      <c r="R501">
        <f t="shared" si="981"/>
        <v>-5997723.9440370398</v>
      </c>
      <c r="S501">
        <f t="shared" si="982"/>
        <v>-59.977239440370397</v>
      </c>
      <c r="T501">
        <f t="shared" si="983"/>
        <v>-5.9977239440370395E-2</v>
      </c>
    </row>
    <row r="502" spans="1:20" x14ac:dyDescent="0.25">
      <c r="A502" s="5">
        <v>44091</v>
      </c>
      <c r="B502">
        <v>2.1720000000000002</v>
      </c>
      <c r="C502">
        <v>2.31</v>
      </c>
      <c r="D502">
        <v>1.8879999999999999</v>
      </c>
      <c r="E502">
        <v>2.028</v>
      </c>
      <c r="F502">
        <v>1678727.17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-0.33649289099526031</v>
      </c>
      <c r="Q502">
        <f t="shared" si="980"/>
        <v>-564879.75862559176</v>
      </c>
      <c r="R502">
        <f t="shared" si="981"/>
        <v>-4747471.3625370394</v>
      </c>
      <c r="S502">
        <f t="shared" si="982"/>
        <v>-47.474713625370391</v>
      </c>
      <c r="T502">
        <f t="shared" si="983"/>
        <v>-4.7474713625370389E-2</v>
      </c>
    </row>
    <row r="503" spans="1:20" x14ac:dyDescent="0.25">
      <c r="A503" s="5">
        <v>44090</v>
      </c>
      <c r="B503">
        <v>2.403</v>
      </c>
      <c r="C503">
        <v>2.5110000000000001</v>
      </c>
      <c r="D503">
        <v>2.0310000000000001</v>
      </c>
      <c r="E503">
        <v>2.1640000000000001</v>
      </c>
      <c r="F503">
        <v>2180834.4350000001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-0.4458333333333333</v>
      </c>
      <c r="Q503">
        <f t="shared" si="980"/>
        <v>-972288.68560416659</v>
      </c>
      <c r="R503">
        <f t="shared" si="981"/>
        <v>-4182591.6039114478</v>
      </c>
      <c r="S503">
        <f t="shared" si="982"/>
        <v>-41.825916039114475</v>
      </c>
      <c r="T503">
        <f t="shared" si="983"/>
        <v>-4.1825916039114473E-2</v>
      </c>
    </row>
    <row r="504" spans="1:20" x14ac:dyDescent="0.25">
      <c r="A504" s="5">
        <v>44089</v>
      </c>
      <c r="B504">
        <v>2.6970000000000001</v>
      </c>
      <c r="C504">
        <v>2.9350000000000001</v>
      </c>
      <c r="D504">
        <v>2.2959999999999998</v>
      </c>
      <c r="E504">
        <v>2.4009999999999998</v>
      </c>
      <c r="F504">
        <v>2571952.7069999999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-0.67136150234741798</v>
      </c>
      <c r="Q504">
        <f t="shared" si="980"/>
        <v>-1726710.0333380285</v>
      </c>
      <c r="R504">
        <f t="shared" si="981"/>
        <v>-3210302.9183072811</v>
      </c>
      <c r="S504">
        <f t="shared" si="982"/>
        <v>-32.103029183072813</v>
      </c>
      <c r="T504">
        <f t="shared" si="983"/>
        <v>-3.2103029183072812E-2</v>
      </c>
    </row>
    <row r="505" spans="1:20" x14ac:dyDescent="0.25">
      <c r="A505" s="5">
        <v>44088</v>
      </c>
      <c r="B505">
        <v>2.3759999999999999</v>
      </c>
      <c r="C505">
        <v>2.9550000000000001</v>
      </c>
      <c r="D505">
        <v>2.25</v>
      </c>
      <c r="E505">
        <v>2.7010000000000001</v>
      </c>
      <c r="F505">
        <v>2745960.9789999998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0.27943262411347525</v>
      </c>
      <c r="Q505">
        <f t="shared" si="980"/>
        <v>767311.08207517746</v>
      </c>
      <c r="R505">
        <f t="shared" si="981"/>
        <v>-1483592.8849692524</v>
      </c>
      <c r="S505">
        <f t="shared" si="982"/>
        <v>-14.835928849692523</v>
      </c>
      <c r="T505">
        <f t="shared" si="983"/>
        <v>-1.4835928849692523E-2</v>
      </c>
    </row>
    <row r="506" spans="1:20" x14ac:dyDescent="0.25">
      <c r="A506" s="5">
        <v>44087</v>
      </c>
      <c r="B506">
        <v>2.7549999999999999</v>
      </c>
      <c r="C506">
        <v>2.98</v>
      </c>
      <c r="D506">
        <v>2.1589999999999998</v>
      </c>
      <c r="E506">
        <v>2.3759999999999999</v>
      </c>
      <c r="F506">
        <v>3625029.0469999998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-0.47137637028014606</v>
      </c>
      <c r="Q506">
        <f t="shared" si="980"/>
        <v>-1708753.0343349569</v>
      </c>
      <c r="R506">
        <f t="shared" si="981"/>
        <v>-2250903.9670444299</v>
      </c>
      <c r="S506">
        <f t="shared" si="982"/>
        <v>-22.509039670444299</v>
      </c>
      <c r="T506">
        <f t="shared" si="983"/>
        <v>-2.2509039670444299E-2</v>
      </c>
    </row>
    <row r="507" spans="1:20" x14ac:dyDescent="0.25">
      <c r="A507" s="5">
        <v>44086</v>
      </c>
      <c r="B507">
        <v>2.1850000000000001</v>
      </c>
      <c r="C507">
        <v>2.98</v>
      </c>
      <c r="D507">
        <v>2.0499999999999998</v>
      </c>
      <c r="E507">
        <v>2.754</v>
      </c>
      <c r="F507">
        <v>2179260.906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0.51397849462365608</v>
      </c>
      <c r="Q507">
        <f t="shared" si="980"/>
        <v>1120093.2398580648</v>
      </c>
      <c r="R507">
        <f t="shared" si="981"/>
        <v>-542150.93270947319</v>
      </c>
      <c r="S507">
        <f t="shared" si="982"/>
        <v>-5.4215093270947321</v>
      </c>
      <c r="T507">
        <f t="shared" si="983"/>
        <v>-5.4215093270947321E-3</v>
      </c>
    </row>
    <row r="508" spans="1:20" x14ac:dyDescent="0.25">
      <c r="A508" s="5">
        <v>44085</v>
      </c>
      <c r="B508">
        <v>2.1930000000000001</v>
      </c>
      <c r="C508">
        <v>2.3069999999999999</v>
      </c>
      <c r="D508">
        <v>1.9850000000000001</v>
      </c>
      <c r="E508">
        <v>2.1819999999999999</v>
      </c>
      <c r="F508">
        <v>814701.94299999997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0.22360248447204931</v>
      </c>
      <c r="Q508">
        <f t="shared" si="980"/>
        <v>182169.37855900588</v>
      </c>
      <c r="R508">
        <f t="shared" si="981"/>
        <v>-1662244.172567538</v>
      </c>
      <c r="S508">
        <f t="shared" si="982"/>
        <v>-16.62244172567538</v>
      </c>
      <c r="T508">
        <f t="shared" si="983"/>
        <v>-1.6622441725675379E-2</v>
      </c>
    </row>
    <row r="509" spans="1:20" x14ac:dyDescent="0.25">
      <c r="A509" s="5">
        <v>44084</v>
      </c>
      <c r="B509">
        <v>2.1560000000000001</v>
      </c>
      <c r="C509">
        <v>2.4660000000000002</v>
      </c>
      <c r="D509">
        <v>2.1349999999999998</v>
      </c>
      <c r="E509">
        <v>2.1930000000000001</v>
      </c>
      <c r="F509">
        <v>1296251.8589999999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-0.64954682779456074</v>
      </c>
      <c r="Q509">
        <f t="shared" si="980"/>
        <v>-841976.28303625225</v>
      </c>
      <c r="R509">
        <f t="shared" si="981"/>
        <v>-1844413.5511265439</v>
      </c>
      <c r="S509">
        <f t="shared" si="982"/>
        <v>-18.44413551126544</v>
      </c>
      <c r="T509">
        <f t="shared" si="983"/>
        <v>-1.844413551126544E-2</v>
      </c>
    </row>
    <row r="510" spans="1:20" x14ac:dyDescent="0.25">
      <c r="A510" s="5">
        <v>44083</v>
      </c>
      <c r="B510">
        <v>2.02</v>
      </c>
      <c r="C510">
        <v>2.2730000000000001</v>
      </c>
      <c r="D510">
        <v>1.8819999999999999</v>
      </c>
      <c r="E510">
        <v>2.1459999999999999</v>
      </c>
      <c r="F510">
        <v>1039498.175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0.35038363171355424</v>
      </c>
      <c r="Q510">
        <f t="shared" si="980"/>
        <v>364223.14571611176</v>
      </c>
      <c r="R510">
        <f t="shared" si="981"/>
        <v>-1002437.2680902918</v>
      </c>
      <c r="S510">
        <f t="shared" si="982"/>
        <v>-10.024372680902918</v>
      </c>
      <c r="T510">
        <f t="shared" si="983"/>
        <v>-1.0024372680902918E-2</v>
      </c>
    </row>
    <row r="511" spans="1:20" x14ac:dyDescent="0.25">
      <c r="A511" s="5">
        <v>44082</v>
      </c>
      <c r="B511">
        <v>2.1989999999999998</v>
      </c>
      <c r="C511">
        <v>2.246</v>
      </c>
      <c r="D511">
        <v>1.861</v>
      </c>
      <c r="E511">
        <v>1.9950000000000001</v>
      </c>
      <c r="F511">
        <v>870729.73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-0.30389610389610328</v>
      </c>
      <c r="Q511">
        <f t="shared" si="980"/>
        <v>-264611.37249350594</v>
      </c>
      <c r="R511">
        <f t="shared" si="981"/>
        <v>-1366660.4138064035</v>
      </c>
      <c r="S511">
        <f t="shared" si="982"/>
        <v>-13.666604138064034</v>
      </c>
      <c r="T511">
        <f t="shared" si="983"/>
        <v>-1.3666604138064035E-2</v>
      </c>
    </row>
    <row r="512" spans="1:20" x14ac:dyDescent="0.25">
      <c r="A512" s="5">
        <v>44081</v>
      </c>
      <c r="B512">
        <v>2.3159999999999998</v>
      </c>
      <c r="C512">
        <v>2.4500000000000002</v>
      </c>
      <c r="D512">
        <v>1.86</v>
      </c>
      <c r="E512">
        <v>2.1890000000000001</v>
      </c>
      <c r="F512">
        <v>1384710.4939999999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0.1152542372881353</v>
      </c>
      <c r="Q512">
        <f t="shared" si="980"/>
        <v>159593.75185084704</v>
      </c>
      <c r="R512">
        <f t="shared" si="981"/>
        <v>-1102049.0413128976</v>
      </c>
      <c r="S512">
        <f t="shared" si="982"/>
        <v>-11.020490413128975</v>
      </c>
      <c r="T512">
        <f t="shared" si="983"/>
        <v>-1.1020490413128975E-2</v>
      </c>
    </row>
    <row r="513" spans="1:20" x14ac:dyDescent="0.25">
      <c r="A513" s="5">
        <v>44080</v>
      </c>
      <c r="B513">
        <v>2.1429999999999998</v>
      </c>
      <c r="C513">
        <v>2.6</v>
      </c>
      <c r="D513">
        <v>1.9019999999999999</v>
      </c>
      <c r="E513">
        <v>2.3159999999999998</v>
      </c>
      <c r="F513">
        <v>1865004.6640000001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0.18624641833810837</v>
      </c>
      <c r="Q513">
        <f t="shared" si="980"/>
        <v>347350.43885386724</v>
      </c>
      <c r="R513">
        <f t="shared" si="981"/>
        <v>-1261642.7931637447</v>
      </c>
      <c r="S513">
        <f t="shared" si="982"/>
        <v>-12.616427931637448</v>
      </c>
      <c r="T513">
        <f t="shared" si="983"/>
        <v>-1.2616427931637447E-2</v>
      </c>
    </row>
    <row r="514" spans="1:20" x14ac:dyDescent="0.25">
      <c r="A514" s="5">
        <v>44079</v>
      </c>
      <c r="B514">
        <v>2.9380000000000002</v>
      </c>
      <c r="C514">
        <v>3.15</v>
      </c>
      <c r="D514">
        <v>1.8260000000000001</v>
      </c>
      <c r="E514">
        <v>2.1429999999999998</v>
      </c>
      <c r="F514">
        <v>2322020.361</v>
      </c>
      <c r="G514">
        <v>0</v>
      </c>
      <c r="L514" t="s">
        <v>8</v>
      </c>
      <c r="M514" t="s">
        <v>8</v>
      </c>
      <c r="N514" t="s">
        <v>8</v>
      </c>
      <c r="P514">
        <f t="shared" si="979"/>
        <v>-0.52114803625377681</v>
      </c>
      <c r="Q514">
        <f t="shared" si="980"/>
        <v>-1210116.3512764359</v>
      </c>
      <c r="R514">
        <f t="shared" si="981"/>
        <v>-1608993.2320176121</v>
      </c>
      <c r="S514">
        <f t="shared" si="982"/>
        <v>-16.089932320176121</v>
      </c>
      <c r="T514">
        <f t="shared" si="983"/>
        <v>-1.6089932320176123E-2</v>
      </c>
    </row>
    <row r="515" spans="1:20" x14ac:dyDescent="0.25">
      <c r="A515" s="5">
        <v>44078</v>
      </c>
      <c r="B515">
        <v>4.12</v>
      </c>
      <c r="C515">
        <v>4.12</v>
      </c>
      <c r="D515">
        <v>2.59</v>
      </c>
      <c r="E515">
        <v>2.9380000000000002</v>
      </c>
      <c r="F515">
        <v>731752.55099999998</v>
      </c>
      <c r="G515">
        <v>0</v>
      </c>
      <c r="P515">
        <f t="shared" si="979"/>
        <v>-0.54509803921568589</v>
      </c>
      <c r="Q515">
        <f t="shared" si="980"/>
        <v>-398876.8807411762</v>
      </c>
      <c r="R515">
        <f t="shared" si="981"/>
        <v>-398876.8807411762</v>
      </c>
      <c r="S515">
        <f t="shared" si="982"/>
        <v>-3.9887688074117618</v>
      </c>
      <c r="T515">
        <f t="shared" si="983"/>
        <v>-3.9887688074117618E-3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N589" sqref="JN58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$A$588</v>
      </c>
      <c r="D111" s="1" t="str">
        <f>ADDRESS(C121-1,D121,1,1)</f>
        <v>$JN$588</v>
      </c>
      <c r="E111"/>
    </row>
    <row r="112" spans="1:5" x14ac:dyDescent="0.25">
      <c r="A112" s="7">
        <v>12164.144957890772</v>
      </c>
      <c r="C112" s="1" t="str">
        <f>ADDRESS(C121,1,1,1)</f>
        <v>$A$589</v>
      </c>
      <c r="D112" s="1" t="str">
        <f>ADDRESS(C121,D121-1,1,1)</f>
        <v>$JM$589</v>
      </c>
      <c r="E112"/>
    </row>
    <row r="113" spans="1:5" x14ac:dyDescent="0.25">
      <c r="A113" s="7">
        <v>11925.63231165762</v>
      </c>
      <c r="C113" s="1" t="str">
        <f>ADDRESS(C121+1,1,1,1)</f>
        <v>$A$590</v>
      </c>
      <c r="D113" s="1" t="str">
        <f>ADDRESS(C121-1,D121+1,1,1)</f>
        <v>$JO$588</v>
      </c>
    </row>
    <row r="114" spans="1:5" x14ac:dyDescent="0.25">
      <c r="A114" s="7">
        <v>11691.796383978059</v>
      </c>
      <c r="C114" s="1" t="str">
        <f>ADDRESS(C121,D121,1,1)</f>
        <v>$JN$589</v>
      </c>
      <c r="D114" s="1" t="str">
        <f>ADDRESS(C121+1,D121+1,1,1)</f>
        <v>$JO$590</v>
      </c>
    </row>
    <row r="115" spans="1:5" x14ac:dyDescent="0.25">
      <c r="A115" s="7">
        <v>11462.545474488292</v>
      </c>
      <c r="C115" s="1" t="str">
        <f>ADDRESS(C121+1,D121,1,1)</f>
        <v>$JN$590</v>
      </c>
    </row>
    <row r="116" spans="1:5" x14ac:dyDescent="0.25">
      <c r="A116" s="7">
        <v>11237.789680870874</v>
      </c>
      <c r="C116" s="1">
        <f>C117-1</f>
        <v>588</v>
      </c>
    </row>
    <row r="117" spans="1:5" x14ac:dyDescent="0.25">
      <c r="A117" s="7">
        <v>11017.440863598895</v>
      </c>
      <c r="C117" s="1">
        <f>C121</f>
        <v>589</v>
      </c>
      <c r="D117" s="1">
        <f>D121</f>
        <v>274</v>
      </c>
    </row>
    <row r="118" spans="1:5" x14ac:dyDescent="0.25">
      <c r="A118" s="7">
        <v>10801.412611371465</v>
      </c>
      <c r="C118" s="1">
        <f>C117+1</f>
        <v>590</v>
      </c>
      <c r="D118" s="1">
        <f>D117+1</f>
        <v>275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589</v>
      </c>
      <c r="D121" s="19">
        <v>274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R589</v>
      </c>
      <c r="D123" s="1" t="str">
        <f>"C"&amp;D121</f>
        <v>C274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0.96116878123798544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142" x14ac:dyDescent="0.25">
      <c r="A497" s="7">
        <v>5.9431331263054545</v>
      </c>
      <c r="B497"/>
      <c r="C497"/>
      <c r="D497"/>
      <c r="E497"/>
    </row>
    <row r="498" spans="1:142" x14ac:dyDescent="0.25">
      <c r="A498" s="7">
        <v>5.8266011042210337</v>
      </c>
      <c r="B498"/>
      <c r="C498"/>
      <c r="D498"/>
      <c r="E498"/>
    </row>
    <row r="499" spans="1:142" x14ac:dyDescent="0.25">
      <c r="A499" s="7">
        <v>5.7123540237461112</v>
      </c>
      <c r="B499"/>
      <c r="C499"/>
      <c r="D499"/>
      <c r="E499"/>
      <c r="EG499" s="27" t="s">
        <v>8</v>
      </c>
    </row>
    <row r="500" spans="1:142" x14ac:dyDescent="0.25">
      <c r="A500" s="7">
        <v>5.6003470821040304</v>
      </c>
      <c r="B500"/>
      <c r="C500"/>
      <c r="D500"/>
      <c r="E500"/>
      <c r="EG500" s="27" t="s">
        <v>8</v>
      </c>
      <c r="EH500" s="27" t="s">
        <v>7</v>
      </c>
    </row>
    <row r="501" spans="1:142" x14ac:dyDescent="0.25">
      <c r="A501" s="7">
        <v>5.4905363550039512</v>
      </c>
      <c r="B501"/>
      <c r="C501"/>
      <c r="D501"/>
      <c r="E501"/>
      <c r="EG501" s="27" t="s">
        <v>8</v>
      </c>
      <c r="EH501" s="27" t="s">
        <v>7</v>
      </c>
    </row>
    <row r="502" spans="1:142" x14ac:dyDescent="0.25">
      <c r="A502" s="7">
        <v>5.3828787794156385</v>
      </c>
      <c r="B502"/>
      <c r="C502"/>
      <c r="D502"/>
      <c r="E502"/>
      <c r="DO502" s="27" t="s">
        <v>8</v>
      </c>
      <c r="EG502" s="27" t="s">
        <v>8</v>
      </c>
      <c r="EH502" s="27" t="s">
        <v>7</v>
      </c>
    </row>
    <row r="503" spans="1:142" x14ac:dyDescent="0.25">
      <c r="A503" s="7">
        <v>5.2773321366819985</v>
      </c>
      <c r="B503"/>
      <c r="C503"/>
      <c r="D503"/>
      <c r="E503"/>
      <c r="DO503" s="27" t="s">
        <v>8</v>
      </c>
      <c r="DP503" s="27" t="s">
        <v>7</v>
      </c>
      <c r="EG503" s="27" t="s">
        <v>8</v>
      </c>
      <c r="EH503" s="27" t="s">
        <v>7</v>
      </c>
    </row>
    <row r="504" spans="1:142" x14ac:dyDescent="0.25">
      <c r="A504" s="7">
        <v>5.1738550359627435</v>
      </c>
      <c r="B504"/>
      <c r="C504"/>
      <c r="D504"/>
      <c r="E504"/>
      <c r="DO504" s="27" t="s">
        <v>8</v>
      </c>
      <c r="DP504" s="27" t="s">
        <v>7</v>
      </c>
      <c r="DQ504" s="27" t="s">
        <v>8</v>
      </c>
      <c r="EG504" s="27" t="s">
        <v>8</v>
      </c>
      <c r="EH504" s="27" t="s">
        <v>7</v>
      </c>
      <c r="EI504" s="27" t="s">
        <v>8</v>
      </c>
    </row>
    <row r="505" spans="1:142" x14ac:dyDescent="0.25">
      <c r="A505" s="7">
        <v>5.07240689800269</v>
      </c>
      <c r="B505"/>
      <c r="C505"/>
      <c r="D505"/>
      <c r="E505"/>
      <c r="DO505" s="27" t="s">
        <v>8</v>
      </c>
      <c r="DP505" s="27" t="s">
        <v>7</v>
      </c>
      <c r="DQ505" s="27" t="s">
        <v>8</v>
      </c>
      <c r="DR505" s="27" t="s">
        <v>7</v>
      </c>
      <c r="DU505" s="27" t="s">
        <v>8</v>
      </c>
      <c r="DW505" s="27" t="s">
        <v>8</v>
      </c>
      <c r="EG505" s="27" t="s">
        <v>8</v>
      </c>
      <c r="EH505" s="27" t="s">
        <v>7</v>
      </c>
      <c r="EI505" s="27" t="s">
        <v>8</v>
      </c>
      <c r="EJ505" s="27" t="s">
        <v>7</v>
      </c>
    </row>
    <row r="506" spans="1:142" x14ac:dyDescent="0.25">
      <c r="A506" s="7">
        <v>4.9729479392183231</v>
      </c>
      <c r="B506"/>
      <c r="C506"/>
      <c r="D506"/>
      <c r="E506"/>
      <c r="DO506" s="27" t="s">
        <v>8</v>
      </c>
      <c r="DP506" s="27" t="s">
        <v>7</v>
      </c>
      <c r="DQ506" s="27" t="s">
        <v>8</v>
      </c>
      <c r="DR506" s="27" t="s">
        <v>7</v>
      </c>
      <c r="DU506" s="27" t="s">
        <v>8</v>
      </c>
      <c r="DV506" s="27" t="s">
        <v>7</v>
      </c>
      <c r="DW506" s="27" t="s">
        <v>8</v>
      </c>
      <c r="DX506" s="27" t="s">
        <v>7</v>
      </c>
      <c r="EG506" s="27" t="s">
        <v>8</v>
      </c>
      <c r="EH506" s="27" t="s">
        <v>7</v>
      </c>
      <c r="EI506" s="27" t="s">
        <v>8</v>
      </c>
      <c r="EJ506" s="27" t="s">
        <v>7</v>
      </c>
    </row>
    <row r="507" spans="1:142" x14ac:dyDescent="0.25">
      <c r="A507" s="7">
        <v>4.8754391560963954</v>
      </c>
      <c r="B507"/>
      <c r="C507"/>
      <c r="D507"/>
      <c r="E507"/>
      <c r="DO507" s="27" t="s">
        <v>8</v>
      </c>
      <c r="DP507" s="27" t="s">
        <v>7</v>
      </c>
      <c r="DQ507" s="27" t="s">
        <v>8</v>
      </c>
      <c r="DR507" s="27" t="s">
        <v>7</v>
      </c>
      <c r="DU507" s="27" t="s">
        <v>8</v>
      </c>
      <c r="DV507" s="27" t="s">
        <v>7</v>
      </c>
      <c r="DW507" s="27" t="s">
        <v>8</v>
      </c>
      <c r="DX507" s="27" t="s">
        <v>7</v>
      </c>
      <c r="EG507" s="27" t="s">
        <v>8</v>
      </c>
      <c r="EH507" s="27" t="s">
        <v>7</v>
      </c>
      <c r="EI507" s="27" t="s">
        <v>8</v>
      </c>
      <c r="EJ507" s="27" t="s">
        <v>7</v>
      </c>
    </row>
    <row r="508" spans="1:142" x14ac:dyDescent="0.25">
      <c r="A508" s="7">
        <v>4.7798423098984264</v>
      </c>
      <c r="B508"/>
      <c r="C508"/>
      <c r="D508"/>
      <c r="E508"/>
      <c r="DM508" s="27" t="s">
        <v>8</v>
      </c>
      <c r="DO508" s="27" t="s">
        <v>8</v>
      </c>
      <c r="DP508" s="27" t="s">
        <v>7</v>
      </c>
      <c r="DQ508" s="27" t="s">
        <v>8</v>
      </c>
      <c r="DR508" s="27" t="s">
        <v>7</v>
      </c>
      <c r="DS508" s="27" t="s">
        <v>8</v>
      </c>
      <c r="DU508" s="27" t="s">
        <v>8</v>
      </c>
      <c r="DV508" s="27" t="s">
        <v>7</v>
      </c>
      <c r="DW508" s="27" t="s">
        <v>8</v>
      </c>
      <c r="DX508" s="27" t="s">
        <v>7</v>
      </c>
      <c r="EG508" s="27" t="s">
        <v>8</v>
      </c>
      <c r="EH508" s="27" t="s">
        <v>7</v>
      </c>
      <c r="EI508" s="27" t="s">
        <v>8</v>
      </c>
      <c r="EJ508" s="27" t="s">
        <v>7</v>
      </c>
    </row>
    <row r="509" spans="1:142" x14ac:dyDescent="0.25">
      <c r="A509" s="7">
        <v>4.6861199116651235</v>
      </c>
      <c r="B509"/>
      <c r="C509"/>
      <c r="D509"/>
      <c r="E509"/>
      <c r="DM509" s="27" t="s">
        <v>8</v>
      </c>
      <c r="DN509" s="27" t="s">
        <v>7</v>
      </c>
      <c r="DO509" s="27" t="s">
        <v>8</v>
      </c>
      <c r="DP509" s="27" t="s">
        <v>7</v>
      </c>
      <c r="DQ509" s="27" t="s">
        <v>8</v>
      </c>
      <c r="DR509" s="27" t="s">
        <v>7</v>
      </c>
      <c r="DS509" s="27" t="s">
        <v>8</v>
      </c>
      <c r="DT509" s="27" t="s">
        <v>7</v>
      </c>
      <c r="DU509" s="27" t="s">
        <v>8</v>
      </c>
      <c r="DV509" s="27" t="s">
        <v>7</v>
      </c>
      <c r="DW509" s="27" t="s">
        <v>8</v>
      </c>
      <c r="DX509" s="27" t="s">
        <v>7</v>
      </c>
      <c r="EG509" s="27" t="s">
        <v>8</v>
      </c>
      <c r="EH509" s="27" t="s">
        <v>7</v>
      </c>
      <c r="EI509" s="27" t="s">
        <v>8</v>
      </c>
      <c r="EJ509" s="27" t="s">
        <v>7</v>
      </c>
    </row>
    <row r="510" spans="1:142" x14ac:dyDescent="0.25">
      <c r="A510" s="7">
        <v>4.5942352075148269</v>
      </c>
      <c r="B510"/>
      <c r="C510"/>
      <c r="D510"/>
      <c r="E510"/>
      <c r="DM510" s="27" t="s">
        <v>8</v>
      </c>
      <c r="DN510" s="27" t="s">
        <v>7</v>
      </c>
      <c r="DO510" s="27" t="s">
        <v>8</v>
      </c>
      <c r="DP510" s="27" t="s">
        <v>7</v>
      </c>
      <c r="DQ510" s="27" t="s">
        <v>8</v>
      </c>
      <c r="DR510" s="27" t="s">
        <v>7</v>
      </c>
      <c r="DS510" s="27" t="s">
        <v>8</v>
      </c>
      <c r="DT510" s="27" t="s">
        <v>7</v>
      </c>
      <c r="DU510" s="27" t="s">
        <v>8</v>
      </c>
      <c r="DV510" s="27" t="s">
        <v>7</v>
      </c>
      <c r="DW510" s="27" t="s">
        <v>8</v>
      </c>
      <c r="DX510" s="27" t="s">
        <v>7</v>
      </c>
      <c r="EG510" s="27" t="s">
        <v>8</v>
      </c>
      <c r="EH510" s="27" t="s">
        <v>7</v>
      </c>
      <c r="EI510" s="27" t="s">
        <v>8</v>
      </c>
      <c r="EJ510" s="27" t="s">
        <v>7</v>
      </c>
    </row>
    <row r="511" spans="1:142" x14ac:dyDescent="0.25">
      <c r="A511" s="7">
        <v>4.5041521642302227</v>
      </c>
      <c r="B511"/>
      <c r="C511"/>
      <c r="D511"/>
      <c r="E511"/>
      <c r="DM511" s="27" t="s">
        <v>8</v>
      </c>
      <c r="DN511" s="27" t="s">
        <v>7</v>
      </c>
      <c r="DO511" s="27" t="s">
        <v>8</v>
      </c>
      <c r="DP511" s="27" t="s">
        <v>7</v>
      </c>
      <c r="DQ511" s="27" t="s">
        <v>8</v>
      </c>
      <c r="DR511" s="27" t="s">
        <v>7</v>
      </c>
      <c r="DS511" s="27" t="s">
        <v>8</v>
      </c>
      <c r="DT511" s="27" t="s">
        <v>7</v>
      </c>
      <c r="DU511" s="27" t="s">
        <v>8</v>
      </c>
      <c r="DV511" s="27" t="s">
        <v>7</v>
      </c>
      <c r="DX511" s="27" t="s">
        <v>7</v>
      </c>
      <c r="EG511" s="27" t="s">
        <v>8</v>
      </c>
      <c r="EH511" s="27" t="s">
        <v>7</v>
      </c>
      <c r="EI511" s="27" t="s">
        <v>8</v>
      </c>
      <c r="EJ511" s="27" t="s">
        <v>7</v>
      </c>
      <c r="EK511" s="27" t="s">
        <v>8</v>
      </c>
    </row>
    <row r="512" spans="1:142" x14ac:dyDescent="0.25">
      <c r="A512" s="7">
        <v>4.4158354551276693</v>
      </c>
      <c r="B512"/>
      <c r="C512"/>
      <c r="D512"/>
      <c r="E512"/>
      <c r="DM512" s="27" t="s">
        <v>8</v>
      </c>
      <c r="DN512" s="27" t="s">
        <v>7</v>
      </c>
      <c r="DO512" s="27" t="s">
        <v>8</v>
      </c>
      <c r="DP512" s="27" t="s">
        <v>7</v>
      </c>
      <c r="DQ512" s="27" t="s">
        <v>8</v>
      </c>
      <c r="DR512" s="27" t="s">
        <v>7</v>
      </c>
      <c r="DS512" s="27" t="s">
        <v>8</v>
      </c>
      <c r="DT512" s="27" t="s">
        <v>7</v>
      </c>
      <c r="DU512" s="27" t="s">
        <v>8</v>
      </c>
      <c r="DX512" s="27" t="s">
        <v>7</v>
      </c>
      <c r="EE512" s="27" t="s">
        <v>8</v>
      </c>
      <c r="EG512" s="27" t="s">
        <v>8</v>
      </c>
      <c r="EH512" s="27" t="s">
        <v>7</v>
      </c>
      <c r="EJ512" s="27" t="s">
        <v>7</v>
      </c>
      <c r="EK512" s="27" t="s">
        <v>8</v>
      </c>
      <c r="EL512" s="27" t="s">
        <v>7</v>
      </c>
    </row>
    <row r="513" spans="1:144" x14ac:dyDescent="0.25">
      <c r="A513" s="7">
        <v>4.3292504462035977</v>
      </c>
      <c r="B513"/>
      <c r="C513"/>
      <c r="D513"/>
      <c r="E513"/>
      <c r="DM513" s="27" t="s">
        <v>8</v>
      </c>
      <c r="DN513" s="27" t="s">
        <v>7</v>
      </c>
      <c r="DO513" s="27" t="s">
        <v>8</v>
      </c>
      <c r="DP513" s="27" t="s">
        <v>7</v>
      </c>
      <c r="DQ513" s="27" t="s">
        <v>8</v>
      </c>
      <c r="DR513" s="27" t="s">
        <v>7</v>
      </c>
      <c r="DT513" s="27" t="s">
        <v>7</v>
      </c>
      <c r="DU513" s="27" t="s">
        <v>8</v>
      </c>
      <c r="DX513" s="27" t="s">
        <v>7</v>
      </c>
      <c r="EE513" s="27" t="s">
        <v>8</v>
      </c>
      <c r="EF513" s="27" t="s">
        <v>7</v>
      </c>
      <c r="EG513" s="27" t="s">
        <v>8</v>
      </c>
      <c r="EJ513" s="27" t="s">
        <v>7</v>
      </c>
      <c r="EK513" s="27" t="s">
        <v>8</v>
      </c>
      <c r="EL513" s="27" t="s">
        <v>7</v>
      </c>
    </row>
    <row r="514" spans="1:144" x14ac:dyDescent="0.25">
      <c r="A514" s="7">
        <v>4.2443631825525463</v>
      </c>
      <c r="B514"/>
      <c r="C514"/>
      <c r="D514"/>
      <c r="E514"/>
      <c r="DM514" s="27" t="s">
        <v>8</v>
      </c>
      <c r="DN514" s="27" t="s">
        <v>7</v>
      </c>
      <c r="DO514" s="27" t="s">
        <v>8</v>
      </c>
      <c r="DP514" s="27" t="s">
        <v>7</v>
      </c>
      <c r="DQ514" s="27" t="s">
        <v>8</v>
      </c>
      <c r="DT514" s="27" t="s">
        <v>7</v>
      </c>
      <c r="DX514" s="27" t="s">
        <v>7</v>
      </c>
      <c r="EE514" s="27" t="s">
        <v>8</v>
      </c>
      <c r="EF514" s="27" t="s">
        <v>7</v>
      </c>
      <c r="EG514" s="27" t="s">
        <v>8</v>
      </c>
      <c r="EJ514" s="27" t="s">
        <v>7</v>
      </c>
      <c r="EK514" s="27" t="s">
        <v>8</v>
      </c>
      <c r="EL514" s="27" t="s">
        <v>7</v>
      </c>
    </row>
    <row r="515" spans="1:144" x14ac:dyDescent="0.25">
      <c r="A515" s="7">
        <v>4.1611403750515157</v>
      </c>
      <c r="B515"/>
      <c r="C515"/>
      <c r="D515"/>
      <c r="E515"/>
      <c r="DE515" s="27" t="s">
        <v>8</v>
      </c>
      <c r="DM515" s="27" t="s">
        <v>8</v>
      </c>
      <c r="DN515" s="27" t="s">
        <v>7</v>
      </c>
      <c r="DO515" s="27" t="s">
        <v>8</v>
      </c>
      <c r="DP515" s="27" t="s">
        <v>7</v>
      </c>
      <c r="DQ515" s="27" t="s">
        <v>8</v>
      </c>
      <c r="DX515" s="27" t="s">
        <v>7</v>
      </c>
      <c r="DY515" s="27" t="s">
        <v>8</v>
      </c>
      <c r="EE515" s="27" t="s">
        <v>8</v>
      </c>
      <c r="EF515" s="27" t="s">
        <v>7</v>
      </c>
      <c r="EG515" s="27" t="s">
        <v>8</v>
      </c>
      <c r="EJ515" s="27" t="s">
        <v>7</v>
      </c>
      <c r="EK515" s="27" t="s">
        <v>8</v>
      </c>
      <c r="EL515" s="27" t="s">
        <v>7</v>
      </c>
    </row>
    <row r="516" spans="1:144" x14ac:dyDescent="0.25">
      <c r="A516" s="7">
        <v>4.0795493873054074</v>
      </c>
      <c r="B516"/>
      <c r="C516"/>
      <c r="D516"/>
      <c r="E516"/>
      <c r="DE516" s="27" t="s">
        <v>8</v>
      </c>
      <c r="DF516" s="27" t="s">
        <v>7</v>
      </c>
      <c r="DM516" s="27" t="s">
        <v>8</v>
      </c>
      <c r="DN516" s="27" t="s">
        <v>7</v>
      </c>
      <c r="DP516" s="27" t="s">
        <v>7</v>
      </c>
      <c r="DX516" s="27" t="s">
        <v>7</v>
      </c>
      <c r="DY516" s="27" t="s">
        <v>8</v>
      </c>
      <c r="DZ516" s="27" t="s">
        <v>7</v>
      </c>
      <c r="EE516" s="27" t="s">
        <v>8</v>
      </c>
      <c r="EF516" s="27" t="s">
        <v>7</v>
      </c>
      <c r="EJ516" s="27" t="s">
        <v>7</v>
      </c>
      <c r="EK516" s="27" t="s">
        <v>8</v>
      </c>
      <c r="EL516" s="27" t="s">
        <v>7</v>
      </c>
    </row>
    <row r="517" spans="1:144" x14ac:dyDescent="0.25">
      <c r="A517" s="7">
        <v>3.9995582228484383</v>
      </c>
      <c r="B517"/>
      <c r="C517"/>
      <c r="D517"/>
      <c r="E517"/>
      <c r="DE517" s="27" t="s">
        <v>8</v>
      </c>
      <c r="DF517" s="27" t="s">
        <v>7</v>
      </c>
      <c r="DG517" s="27" t="s">
        <v>8</v>
      </c>
      <c r="DK517" s="27" t="s">
        <v>8</v>
      </c>
      <c r="DM517" s="27" t="s">
        <v>8</v>
      </c>
      <c r="DX517" s="27" t="s">
        <v>7</v>
      </c>
      <c r="DY517" s="27" t="s">
        <v>8</v>
      </c>
      <c r="DZ517" s="27" t="s">
        <v>7</v>
      </c>
      <c r="EC517" s="27" t="s">
        <v>8</v>
      </c>
      <c r="EE517" s="27" t="s">
        <v>8</v>
      </c>
      <c r="EJ517" s="27" t="s">
        <v>7</v>
      </c>
      <c r="EK517" s="27" t="s">
        <v>8</v>
      </c>
      <c r="EL517" s="27" t="s">
        <v>7</v>
      </c>
    </row>
    <row r="518" spans="1:144" x14ac:dyDescent="0.25">
      <c r="A518" s="7">
        <v>3.9211355125965079</v>
      </c>
      <c r="B518"/>
      <c r="C518"/>
      <c r="D518"/>
      <c r="E518"/>
      <c r="DE518" s="27" t="s">
        <v>8</v>
      </c>
      <c r="DF518" s="27" t="s">
        <v>7</v>
      </c>
      <c r="DG518" s="27" t="s">
        <v>8</v>
      </c>
      <c r="DH518" s="27" t="s">
        <v>7</v>
      </c>
      <c r="DK518" s="27" t="s">
        <v>8</v>
      </c>
      <c r="DL518" s="27" t="s">
        <v>7</v>
      </c>
      <c r="DM518" s="27" t="s">
        <v>8</v>
      </c>
      <c r="DX518" s="27" t="s">
        <v>7</v>
      </c>
      <c r="DY518" s="27" t="s">
        <v>8</v>
      </c>
      <c r="DZ518" s="27" t="s">
        <v>7</v>
      </c>
      <c r="EC518" s="27" t="s">
        <v>8</v>
      </c>
      <c r="ED518" s="27" t="s">
        <v>7</v>
      </c>
      <c r="EE518" s="27" t="s">
        <v>8</v>
      </c>
      <c r="EJ518" s="27" t="s">
        <v>7</v>
      </c>
      <c r="EK518" s="27" t="s">
        <v>8</v>
      </c>
      <c r="EL518" s="27" t="s">
        <v>7</v>
      </c>
    </row>
    <row r="519" spans="1:144" x14ac:dyDescent="0.25">
      <c r="A519" s="7">
        <v>3.844250502545596</v>
      </c>
      <c r="B519"/>
      <c r="C519"/>
      <c r="D519"/>
      <c r="E519"/>
      <c r="DE519" s="27" t="s">
        <v>8</v>
      </c>
      <c r="DF519" s="27" t="s">
        <v>7</v>
      </c>
      <c r="DG519" s="27" t="s">
        <v>8</v>
      </c>
      <c r="DH519" s="27" t="s">
        <v>7</v>
      </c>
      <c r="DK519" s="27" t="s">
        <v>8</v>
      </c>
      <c r="DL519" s="27" t="s">
        <v>7</v>
      </c>
      <c r="DM519" s="27" t="s">
        <v>8</v>
      </c>
      <c r="DX519" s="27" t="s">
        <v>7</v>
      </c>
      <c r="DY519" s="27" t="s">
        <v>8</v>
      </c>
      <c r="DZ519" s="27" t="s">
        <v>7</v>
      </c>
      <c r="EC519" s="27" t="s">
        <v>8</v>
      </c>
      <c r="ED519" s="27" t="s">
        <v>7</v>
      </c>
      <c r="EE519" s="27" t="s">
        <v>8</v>
      </c>
      <c r="EJ519" s="27" t="s">
        <v>7</v>
      </c>
      <c r="EK519" s="27" t="s">
        <v>8</v>
      </c>
      <c r="EL519" s="27" t="s">
        <v>7</v>
      </c>
    </row>
    <row r="520" spans="1:144" x14ac:dyDescent="0.25">
      <c r="A520" s="7">
        <v>3.7688730417113687</v>
      </c>
      <c r="B520"/>
      <c r="C520"/>
      <c r="D520"/>
      <c r="E520"/>
      <c r="DE520" s="27" t="s">
        <v>8</v>
      </c>
      <c r="DF520" s="27" t="s">
        <v>7</v>
      </c>
      <c r="DG520" s="27" t="s">
        <v>8</v>
      </c>
      <c r="DH520" s="27" t="s">
        <v>7</v>
      </c>
      <c r="DK520" s="27" t="s">
        <v>8</v>
      </c>
      <c r="DL520" s="27" t="s">
        <v>7</v>
      </c>
      <c r="DM520" s="27" t="s">
        <v>8</v>
      </c>
      <c r="DX520" s="27" t="s">
        <v>7</v>
      </c>
      <c r="DY520" s="27" t="s">
        <v>8</v>
      </c>
      <c r="DZ520" s="27" t="s">
        <v>7</v>
      </c>
      <c r="EC520" s="27" t="s">
        <v>8</v>
      </c>
      <c r="ED520" s="27" t="s">
        <v>7</v>
      </c>
      <c r="EE520" s="27" t="s">
        <v>8</v>
      </c>
      <c r="EJ520" s="27" t="s">
        <v>7</v>
      </c>
      <c r="EK520" s="27" t="s">
        <v>8</v>
      </c>
      <c r="EL520" s="27" t="s">
        <v>7</v>
      </c>
      <c r="EM520" s="27" t="s">
        <v>8</v>
      </c>
    </row>
    <row r="521" spans="1:144" x14ac:dyDescent="0.25">
      <c r="A521" s="7">
        <v>3.6949735703052635</v>
      </c>
      <c r="B521"/>
      <c r="C521"/>
      <c r="D521"/>
      <c r="E521"/>
      <c r="CM521" s="27" t="s">
        <v>8</v>
      </c>
      <c r="DE521" s="27" t="s">
        <v>8</v>
      </c>
      <c r="DF521" s="27" t="s">
        <v>7</v>
      </c>
      <c r="DG521" s="27" t="s">
        <v>8</v>
      </c>
      <c r="DH521" s="27" t="s">
        <v>7</v>
      </c>
      <c r="DI521" s="27" t="s">
        <v>8</v>
      </c>
      <c r="DK521" s="27" t="s">
        <v>8</v>
      </c>
      <c r="DL521" s="27" t="s">
        <v>7</v>
      </c>
      <c r="DM521" s="27" t="s">
        <v>8</v>
      </c>
      <c r="DX521" s="27" t="s">
        <v>7</v>
      </c>
      <c r="DY521" s="27" t="s">
        <v>8</v>
      </c>
      <c r="DZ521" s="27" t="s">
        <v>7</v>
      </c>
      <c r="EC521" s="27" t="s">
        <v>8</v>
      </c>
      <c r="ED521" s="27" t="s">
        <v>7</v>
      </c>
      <c r="EE521" s="27" t="s">
        <v>8</v>
      </c>
      <c r="EJ521" s="27" t="s">
        <v>7</v>
      </c>
      <c r="EK521" s="27" t="s">
        <v>8</v>
      </c>
      <c r="EL521" s="27" t="s">
        <v>7</v>
      </c>
      <c r="EM521" s="27" t="s">
        <v>8</v>
      </c>
      <c r="EN521" s="27" t="s">
        <v>7</v>
      </c>
    </row>
    <row r="522" spans="1:144" x14ac:dyDescent="0.25">
      <c r="A522" s="7">
        <v>3.6225231081424152</v>
      </c>
      <c r="B522"/>
      <c r="C522"/>
      <c r="D522"/>
      <c r="E522"/>
      <c r="CM522" s="27" t="s">
        <v>8</v>
      </c>
      <c r="CN522" s="27" t="s">
        <v>7</v>
      </c>
      <c r="DE522" s="27" t="s">
        <v>8</v>
      </c>
      <c r="DF522" s="27" t="s">
        <v>7</v>
      </c>
      <c r="DG522" s="27" t="s">
        <v>8</v>
      </c>
      <c r="DH522" s="27" t="s">
        <v>7</v>
      </c>
      <c r="DI522" s="27" t="s">
        <v>8</v>
      </c>
      <c r="DJ522" s="27" t="s">
        <v>7</v>
      </c>
      <c r="DK522" s="27" t="s">
        <v>8</v>
      </c>
      <c r="DL522" s="27" t="s">
        <v>7</v>
      </c>
      <c r="DM522" s="27" t="s">
        <v>8</v>
      </c>
      <c r="DX522" s="27" t="s">
        <v>7</v>
      </c>
      <c r="DY522" s="27" t="s">
        <v>8</v>
      </c>
      <c r="DZ522" s="27" t="s">
        <v>7</v>
      </c>
      <c r="EC522" s="27" t="s">
        <v>8</v>
      </c>
      <c r="ED522" s="27" t="s">
        <v>7</v>
      </c>
      <c r="EJ522" s="27" t="s">
        <v>7</v>
      </c>
      <c r="EK522" s="27" t="s">
        <v>8</v>
      </c>
      <c r="EL522" s="27" t="s">
        <v>7</v>
      </c>
      <c r="EM522" s="27" t="s">
        <v>8</v>
      </c>
      <c r="EN522" s="27" t="s">
        <v>7</v>
      </c>
    </row>
    <row r="523" spans="1:144" x14ac:dyDescent="0.25">
      <c r="A523" s="7">
        <v>3.5514932432768775</v>
      </c>
      <c r="B523"/>
      <c r="C523"/>
      <c r="D523"/>
      <c r="E523"/>
      <c r="CM523" s="27" t="s">
        <v>8</v>
      </c>
      <c r="CN523" s="27" t="s">
        <v>7</v>
      </c>
      <c r="DE523" s="27" t="s">
        <v>8</v>
      </c>
      <c r="DF523" s="27" t="s">
        <v>7</v>
      </c>
      <c r="DG523" s="27" t="s">
        <v>8</v>
      </c>
      <c r="DH523" s="27" t="s">
        <v>7</v>
      </c>
      <c r="DI523" s="27" t="s">
        <v>8</v>
      </c>
      <c r="DJ523" s="27" t="s">
        <v>7</v>
      </c>
      <c r="DK523" s="27" t="s">
        <v>8</v>
      </c>
      <c r="DL523" s="27" t="s">
        <v>7</v>
      </c>
      <c r="DM523" s="27" t="s">
        <v>8</v>
      </c>
      <c r="DX523" s="27" t="s">
        <v>7</v>
      </c>
      <c r="DY523" s="27" t="s">
        <v>8</v>
      </c>
      <c r="DZ523" s="27" t="s">
        <v>7</v>
      </c>
      <c r="EC523" s="27" t="s">
        <v>8</v>
      </c>
      <c r="EJ523" s="27" t="s">
        <v>7</v>
      </c>
      <c r="EL523" s="27" t="s">
        <v>7</v>
      </c>
      <c r="EM523" s="27" t="s">
        <v>8</v>
      </c>
      <c r="EN523" s="27" t="s">
        <v>7</v>
      </c>
    </row>
    <row r="524" spans="1:144" x14ac:dyDescent="0.25">
      <c r="A524" s="7">
        <v>3.4818561208596837</v>
      </c>
      <c r="B524"/>
      <c r="C524"/>
      <c r="D524"/>
      <c r="E524"/>
      <c r="CM524" s="27" t="s">
        <v>8</v>
      </c>
      <c r="CN524" s="27" t="s">
        <v>7</v>
      </c>
      <c r="DE524" s="27" t="s">
        <v>8</v>
      </c>
      <c r="DF524" s="27" t="s">
        <v>7</v>
      </c>
      <c r="DG524" s="27" t="s">
        <v>8</v>
      </c>
      <c r="DH524" s="27" t="s">
        <v>7</v>
      </c>
      <c r="DI524" s="27" t="s">
        <v>8</v>
      </c>
      <c r="DJ524" s="27" t="s">
        <v>7</v>
      </c>
      <c r="DK524" s="27" t="s">
        <v>8</v>
      </c>
      <c r="DL524" s="27" t="s">
        <v>7</v>
      </c>
      <c r="DX524" s="27" t="s">
        <v>7</v>
      </c>
      <c r="DY524" s="27" t="s">
        <v>8</v>
      </c>
      <c r="DZ524" s="27" t="s">
        <v>7</v>
      </c>
      <c r="EC524" s="27" t="s">
        <v>8</v>
      </c>
      <c r="EL524" s="27" t="s">
        <v>7</v>
      </c>
      <c r="EM524" s="27" t="s">
        <v>8</v>
      </c>
      <c r="EN524" s="27" t="s">
        <v>7</v>
      </c>
    </row>
    <row r="525" spans="1:144" x14ac:dyDescent="0.25">
      <c r="A525" s="7">
        <v>3.4135844322153761</v>
      </c>
      <c r="B525"/>
      <c r="C525"/>
      <c r="D525"/>
      <c r="E525"/>
      <c r="CK525" s="27" t="s">
        <v>8</v>
      </c>
      <c r="CM525" s="27" t="s">
        <v>8</v>
      </c>
      <c r="CN525" s="27" t="s">
        <v>7</v>
      </c>
      <c r="CO525" s="27" t="s">
        <v>8</v>
      </c>
      <c r="DE525" s="27" t="s">
        <v>8</v>
      </c>
      <c r="DF525" s="27" t="s">
        <v>7</v>
      </c>
      <c r="DH525" s="27" t="s">
        <v>7</v>
      </c>
      <c r="DI525" s="27" t="s">
        <v>8</v>
      </c>
      <c r="DJ525" s="27" t="s">
        <v>7</v>
      </c>
      <c r="DK525" s="27" t="s">
        <v>8</v>
      </c>
      <c r="DX525" s="27" t="s">
        <v>7</v>
      </c>
      <c r="DY525" s="27" t="s">
        <v>8</v>
      </c>
      <c r="DZ525" s="27" t="s">
        <v>7</v>
      </c>
      <c r="EC525" s="27" t="s">
        <v>8</v>
      </c>
      <c r="EL525" s="27" t="s">
        <v>7</v>
      </c>
      <c r="EM525" s="27" t="s">
        <v>8</v>
      </c>
      <c r="EN525" s="27" t="s">
        <v>7</v>
      </c>
    </row>
    <row r="526" spans="1:144" x14ac:dyDescent="0.25">
      <c r="A526" s="7">
        <v>3.3466514041327216</v>
      </c>
      <c r="B526"/>
      <c r="C526"/>
      <c r="D526"/>
      <c r="E526"/>
      <c r="CK526" s="27" t="s">
        <v>8</v>
      </c>
      <c r="CL526" s="27" t="s">
        <v>7</v>
      </c>
      <c r="CM526" s="27" t="s">
        <v>8</v>
      </c>
      <c r="CN526" s="27" t="s">
        <v>7</v>
      </c>
      <c r="CO526" s="27" t="s">
        <v>8</v>
      </c>
      <c r="CP526" s="27" t="s">
        <v>7</v>
      </c>
      <c r="DE526" s="27" t="s">
        <v>8</v>
      </c>
      <c r="DH526" s="27" t="s">
        <v>7</v>
      </c>
      <c r="DI526" s="27" t="s">
        <v>8</v>
      </c>
      <c r="DJ526" s="27" t="s">
        <v>7</v>
      </c>
      <c r="DK526" s="27" t="s">
        <v>8</v>
      </c>
      <c r="DX526" s="27" t="s">
        <v>7</v>
      </c>
      <c r="DY526" s="27" t="s">
        <v>8</v>
      </c>
      <c r="DZ526" s="27" t="s">
        <v>7</v>
      </c>
      <c r="EA526" s="27" t="s">
        <v>8</v>
      </c>
      <c r="EC526" s="27" t="s">
        <v>8</v>
      </c>
      <c r="EL526" s="27" t="s">
        <v>7</v>
      </c>
      <c r="EM526" s="27" t="s">
        <v>8</v>
      </c>
      <c r="EN526" s="27" t="s">
        <v>7</v>
      </c>
    </row>
    <row r="527" spans="1:144" x14ac:dyDescent="0.25">
      <c r="A527" s="7">
        <v>3.2810307883654133</v>
      </c>
      <c r="B527"/>
      <c r="C527"/>
      <c r="D527"/>
      <c r="E527"/>
      <c r="CK527" s="27" t="s">
        <v>8</v>
      </c>
      <c r="CL527" s="27" t="s">
        <v>7</v>
      </c>
      <c r="CM527" s="27" t="s">
        <v>8</v>
      </c>
      <c r="CN527" s="27" t="s">
        <v>7</v>
      </c>
      <c r="CO527" s="27" t="s">
        <v>8</v>
      </c>
      <c r="CP527" s="27" t="s">
        <v>7</v>
      </c>
      <c r="DE527" s="27" t="s">
        <v>8</v>
      </c>
      <c r="DH527" s="27" t="s">
        <v>7</v>
      </c>
      <c r="DI527" s="27" t="s">
        <v>8</v>
      </c>
      <c r="DJ527" s="27" t="s">
        <v>7</v>
      </c>
      <c r="DK527" s="27" t="s">
        <v>8</v>
      </c>
      <c r="DX527" s="27" t="s">
        <v>7</v>
      </c>
      <c r="DY527" s="27" t="s">
        <v>8</v>
      </c>
      <c r="DZ527" s="27" t="s">
        <v>7</v>
      </c>
      <c r="EA527" s="27" t="s">
        <v>8</v>
      </c>
      <c r="EB527" s="27" t="s">
        <v>7</v>
      </c>
      <c r="EC527" s="27" t="s">
        <v>8</v>
      </c>
      <c r="EL527" s="27" t="s">
        <v>7</v>
      </c>
      <c r="EN527" s="27" t="s">
        <v>7</v>
      </c>
    </row>
    <row r="528" spans="1:144" x14ac:dyDescent="0.25">
      <c r="A528" s="7">
        <v>3.2166968513386403</v>
      </c>
      <c r="B528"/>
      <c r="C528"/>
      <c r="D528"/>
      <c r="E528"/>
      <c r="CK528" s="27" t="s">
        <v>8</v>
      </c>
      <c r="CL528" s="27" t="s">
        <v>7</v>
      </c>
      <c r="CM528" s="27" t="s">
        <v>8</v>
      </c>
      <c r="CN528" s="27" t="s">
        <v>7</v>
      </c>
      <c r="CO528" s="27" t="s">
        <v>8</v>
      </c>
      <c r="CP528" s="27" t="s">
        <v>7</v>
      </c>
      <c r="DE528" s="27" t="s">
        <v>8</v>
      </c>
      <c r="DH528" s="27" t="s">
        <v>7</v>
      </c>
      <c r="DI528" s="27" t="s">
        <v>8</v>
      </c>
      <c r="DJ528" s="27" t="s">
        <v>7</v>
      </c>
      <c r="DK528" s="27" t="s">
        <v>8</v>
      </c>
      <c r="DX528" s="27" t="s">
        <v>7</v>
      </c>
      <c r="DY528" s="27" t="s">
        <v>8</v>
      </c>
      <c r="DZ528" s="27" t="s">
        <v>7</v>
      </c>
      <c r="EA528" s="27" t="s">
        <v>8</v>
      </c>
      <c r="EB528" s="27" t="s">
        <v>7</v>
      </c>
      <c r="EC528" s="27" t="s">
        <v>8</v>
      </c>
      <c r="EN528" s="27" t="s">
        <v>7</v>
      </c>
    </row>
    <row r="529" spans="1:243" x14ac:dyDescent="0.25">
      <c r="A529" s="7">
        <v>3.1536243640574906</v>
      </c>
      <c r="B529"/>
      <c r="C529"/>
      <c r="D529"/>
      <c r="E529"/>
      <c r="CK529" s="27" t="s">
        <v>8</v>
      </c>
      <c r="CL529" s="27" t="s">
        <v>7</v>
      </c>
      <c r="CM529" s="27" t="s">
        <v>8</v>
      </c>
      <c r="CN529" s="27" t="s">
        <v>7</v>
      </c>
      <c r="CO529" s="27" t="s">
        <v>8</v>
      </c>
      <c r="CP529" s="27" t="s">
        <v>7</v>
      </c>
      <c r="CQ529" s="27" t="s">
        <v>8</v>
      </c>
      <c r="DE529" s="27" t="s">
        <v>8</v>
      </c>
      <c r="DH529" s="27" t="s">
        <v>7</v>
      </c>
      <c r="DJ529" s="27" t="s">
        <v>7</v>
      </c>
      <c r="DK529" s="27" t="s">
        <v>8</v>
      </c>
      <c r="DX529" s="27" t="s">
        <v>7</v>
      </c>
      <c r="DY529" s="27" t="s">
        <v>8</v>
      </c>
      <c r="DZ529" s="27" t="s">
        <v>7</v>
      </c>
      <c r="EA529" s="27" t="s">
        <v>8</v>
      </c>
      <c r="EB529" s="27" t="s">
        <v>7</v>
      </c>
      <c r="EC529" s="27" t="s">
        <v>8</v>
      </c>
      <c r="EN529" s="27" t="s">
        <v>7</v>
      </c>
    </row>
    <row r="530" spans="1:243" x14ac:dyDescent="0.25">
      <c r="A530" s="7">
        <v>3.0917885922132262</v>
      </c>
      <c r="B530"/>
      <c r="C530"/>
      <c r="D530"/>
      <c r="E530" t="s">
        <v>8</v>
      </c>
      <c r="CK530" s="27" t="s">
        <v>8</v>
      </c>
      <c r="CL530" s="27" t="s">
        <v>7</v>
      </c>
      <c r="CM530" s="27" t="s">
        <v>8</v>
      </c>
      <c r="CN530" s="27" t="s">
        <v>7</v>
      </c>
      <c r="CO530" s="27" t="s">
        <v>8</v>
      </c>
      <c r="CP530" s="27" t="s">
        <v>7</v>
      </c>
      <c r="CQ530" s="27" t="s">
        <v>8</v>
      </c>
      <c r="CR530" s="27" t="s">
        <v>7</v>
      </c>
      <c r="DE530" s="27" t="s">
        <v>8</v>
      </c>
      <c r="DJ530" s="27" t="s">
        <v>7</v>
      </c>
      <c r="DK530" s="27" t="s">
        <v>8</v>
      </c>
      <c r="DX530" s="27" t="s">
        <v>7</v>
      </c>
      <c r="DZ530" s="27" t="s">
        <v>7</v>
      </c>
      <c r="EA530" s="27" t="s">
        <v>8</v>
      </c>
      <c r="EB530" s="27" t="s">
        <v>7</v>
      </c>
      <c r="EC530" s="27" t="s">
        <v>8</v>
      </c>
      <c r="EN530" s="27" t="s">
        <v>7</v>
      </c>
    </row>
    <row r="531" spans="1:243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CK531" s="27" t="s">
        <v>8</v>
      </c>
      <c r="CL531" s="27" t="s">
        <v>7</v>
      </c>
      <c r="CM531" s="27" t="s">
        <v>8</v>
      </c>
      <c r="CN531" s="27" t="s">
        <v>7</v>
      </c>
      <c r="CO531" s="27" t="s">
        <v>8</v>
      </c>
      <c r="CP531" s="27" t="s">
        <v>7</v>
      </c>
      <c r="CQ531" s="27" t="s">
        <v>8</v>
      </c>
      <c r="CR531" s="27" t="s">
        <v>7</v>
      </c>
      <c r="DC531" s="27" t="s">
        <v>8</v>
      </c>
      <c r="DE531" s="27" t="s">
        <v>8</v>
      </c>
      <c r="DJ531" s="27" t="s">
        <v>7</v>
      </c>
      <c r="DK531" s="27" t="s">
        <v>8</v>
      </c>
      <c r="DZ531" s="27" t="s">
        <v>7</v>
      </c>
      <c r="EA531" s="27" t="s">
        <v>8</v>
      </c>
      <c r="EB531" s="27" t="s">
        <v>7</v>
      </c>
      <c r="EC531" s="27" t="s">
        <v>8</v>
      </c>
      <c r="EN531" s="27" t="s">
        <v>7</v>
      </c>
    </row>
    <row r="532" spans="1:243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I532" s="27" t="s">
        <v>8</v>
      </c>
      <c r="CK532" s="27" t="s">
        <v>8</v>
      </c>
      <c r="CL532" s="27" t="s">
        <v>7</v>
      </c>
      <c r="CM532" s="27" t="s">
        <v>8</v>
      </c>
      <c r="CN532" s="27" t="s">
        <v>7</v>
      </c>
      <c r="CO532" s="27" t="s">
        <v>8</v>
      </c>
      <c r="CP532" s="27" t="s">
        <v>7</v>
      </c>
      <c r="CQ532" s="27" t="s">
        <v>8</v>
      </c>
      <c r="CR532" s="27" t="s">
        <v>7</v>
      </c>
      <c r="DC532" s="27" t="s">
        <v>8</v>
      </c>
      <c r="DD532" s="27" t="s">
        <v>7</v>
      </c>
      <c r="DE532" s="27" t="s">
        <v>8</v>
      </c>
      <c r="DJ532" s="27" t="s">
        <v>7</v>
      </c>
      <c r="DK532" s="27" t="s">
        <v>8</v>
      </c>
      <c r="DZ532" s="27" t="s">
        <v>7</v>
      </c>
      <c r="EB532" s="27" t="s">
        <v>7</v>
      </c>
      <c r="EC532" s="27" t="s">
        <v>8</v>
      </c>
      <c r="EN532" s="27" t="s">
        <v>7</v>
      </c>
    </row>
    <row r="533" spans="1:243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I533" s="27" t="s">
        <v>8</v>
      </c>
      <c r="J533" s="27" t="s">
        <v>7</v>
      </c>
      <c r="K533" s="27" t="s">
        <v>8</v>
      </c>
      <c r="CK533" s="27" t="s">
        <v>8</v>
      </c>
      <c r="CL533" s="27" t="s">
        <v>7</v>
      </c>
      <c r="CM533" s="27" t="s">
        <v>8</v>
      </c>
      <c r="CN533" s="27" t="s">
        <v>7</v>
      </c>
      <c r="CO533" s="27" t="s">
        <v>8</v>
      </c>
      <c r="CP533" s="27" t="s">
        <v>7</v>
      </c>
      <c r="CQ533" s="27" t="s">
        <v>8</v>
      </c>
      <c r="CR533" s="27" t="s">
        <v>7</v>
      </c>
      <c r="DC533" s="27" t="s">
        <v>8</v>
      </c>
      <c r="DD533" s="27" t="s">
        <v>7</v>
      </c>
      <c r="DE533" s="27" t="s">
        <v>8</v>
      </c>
      <c r="DJ533" s="27" t="s">
        <v>7</v>
      </c>
      <c r="DK533" s="27" t="s">
        <v>8</v>
      </c>
      <c r="EB533" s="27" t="s">
        <v>7</v>
      </c>
      <c r="EC533" s="27" t="s">
        <v>8</v>
      </c>
      <c r="EN533" s="27" t="s">
        <v>7</v>
      </c>
    </row>
    <row r="534" spans="1:243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I534" s="27" t="s">
        <v>8</v>
      </c>
      <c r="J534" s="27" t="s">
        <v>7</v>
      </c>
      <c r="K534" s="27" t="s">
        <v>8</v>
      </c>
      <c r="L534" s="27" t="s">
        <v>7</v>
      </c>
      <c r="CK534" s="27" t="s">
        <v>8</v>
      </c>
      <c r="CL534" s="27" t="s">
        <v>7</v>
      </c>
      <c r="CM534" s="27" t="s">
        <v>8</v>
      </c>
      <c r="CN534" s="27" t="s">
        <v>7</v>
      </c>
      <c r="CO534" s="27" t="s">
        <v>8</v>
      </c>
      <c r="CP534" s="27" t="s">
        <v>7</v>
      </c>
      <c r="CQ534" s="27" t="s">
        <v>8</v>
      </c>
      <c r="CR534" s="27" t="s">
        <v>7</v>
      </c>
      <c r="DC534" s="27" t="s">
        <v>8</v>
      </c>
      <c r="DD534" s="27" t="s">
        <v>7</v>
      </c>
      <c r="DE534" s="27" t="s">
        <v>8</v>
      </c>
      <c r="DJ534" s="27" t="s">
        <v>7</v>
      </c>
      <c r="DK534" s="27" t="s">
        <v>8</v>
      </c>
      <c r="EB534" s="27" t="s">
        <v>7</v>
      </c>
      <c r="EC534" s="27" t="s">
        <v>8</v>
      </c>
      <c r="EN534" s="27" t="s">
        <v>7</v>
      </c>
    </row>
    <row r="535" spans="1:243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I535" s="27" t="s">
        <v>8</v>
      </c>
      <c r="J535" s="27" t="s">
        <v>7</v>
      </c>
      <c r="K535" s="27" t="s">
        <v>8</v>
      </c>
      <c r="L535" s="27" t="s">
        <v>7</v>
      </c>
      <c r="CK535" s="27" t="s">
        <v>8</v>
      </c>
      <c r="CL535" s="27" t="s">
        <v>7</v>
      </c>
      <c r="CM535" s="27" t="s">
        <v>8</v>
      </c>
      <c r="CN535" s="27" t="s">
        <v>7</v>
      </c>
      <c r="CO535" s="27" t="s">
        <v>8</v>
      </c>
      <c r="CP535" s="27" t="s">
        <v>7</v>
      </c>
      <c r="CQ535" s="27" t="s">
        <v>8</v>
      </c>
      <c r="CR535" s="27" t="s">
        <v>7</v>
      </c>
      <c r="DA535" s="27" t="s">
        <v>8</v>
      </c>
      <c r="DC535" s="27" t="s">
        <v>8</v>
      </c>
      <c r="DD535" s="27" t="s">
        <v>7</v>
      </c>
      <c r="DE535" s="27" t="s">
        <v>8</v>
      </c>
      <c r="DJ535" s="27" t="s">
        <v>7</v>
      </c>
      <c r="DK535" s="27" t="s">
        <v>8</v>
      </c>
      <c r="EB535" s="27" t="s">
        <v>7</v>
      </c>
      <c r="EN535" s="27" t="s">
        <v>7</v>
      </c>
    </row>
    <row r="536" spans="1:243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I536" s="27" t="s">
        <v>8</v>
      </c>
      <c r="J536" s="27" t="s">
        <v>7</v>
      </c>
      <c r="K536" s="27" t="s">
        <v>8</v>
      </c>
      <c r="L536" s="27" t="s">
        <v>7</v>
      </c>
      <c r="CK536" s="27" t="s">
        <v>8</v>
      </c>
      <c r="CL536" s="27" t="s">
        <v>7</v>
      </c>
      <c r="CM536" s="27" t="s">
        <v>8</v>
      </c>
      <c r="CN536" s="27" t="s">
        <v>7</v>
      </c>
      <c r="CO536" s="27" t="s">
        <v>8</v>
      </c>
      <c r="CP536" s="27" t="s">
        <v>7</v>
      </c>
      <c r="CR536" s="27" t="s">
        <v>7</v>
      </c>
      <c r="DA536" s="27" t="s">
        <v>8</v>
      </c>
      <c r="DB536" s="27" t="s">
        <v>7</v>
      </c>
      <c r="DC536" s="27" t="s">
        <v>8</v>
      </c>
      <c r="DD536" s="27" t="s">
        <v>7</v>
      </c>
      <c r="DE536" s="27" t="s">
        <v>8</v>
      </c>
      <c r="DJ536" s="27" t="s">
        <v>7</v>
      </c>
      <c r="DK536" s="27" t="s">
        <v>8</v>
      </c>
      <c r="EN536" s="27" t="s">
        <v>7</v>
      </c>
    </row>
    <row r="537" spans="1:243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I537" s="27" t="s">
        <v>8</v>
      </c>
      <c r="J537" s="27" t="s">
        <v>7</v>
      </c>
      <c r="K537" s="27" t="s">
        <v>8</v>
      </c>
      <c r="L537" s="27" t="s">
        <v>7</v>
      </c>
      <c r="CK537" s="27" t="s">
        <v>8</v>
      </c>
      <c r="CL537" s="27" t="s">
        <v>7</v>
      </c>
      <c r="CM537" s="27" t="s">
        <v>8</v>
      </c>
      <c r="CN537" s="27" t="s">
        <v>7</v>
      </c>
      <c r="CR537" s="27" t="s">
        <v>7</v>
      </c>
      <c r="DA537" s="27" t="s">
        <v>8</v>
      </c>
      <c r="DB537" s="27" t="s">
        <v>7</v>
      </c>
      <c r="DC537" s="27" t="s">
        <v>8</v>
      </c>
      <c r="DD537" s="27" t="s">
        <v>7</v>
      </c>
      <c r="DE537" s="27" t="s">
        <v>8</v>
      </c>
      <c r="DJ537" s="27" t="s">
        <v>7</v>
      </c>
      <c r="DK537" s="27" t="s">
        <v>8</v>
      </c>
      <c r="EN537" s="27" t="s">
        <v>7</v>
      </c>
      <c r="EO537" s="27" t="s">
        <v>8</v>
      </c>
    </row>
    <row r="538" spans="1:243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I538" s="27" t="s">
        <v>8</v>
      </c>
      <c r="J538" s="27" t="s">
        <v>7</v>
      </c>
      <c r="K538" s="27" t="s">
        <v>8</v>
      </c>
      <c r="L538" s="27" t="s">
        <v>7</v>
      </c>
      <c r="CK538" s="27" t="s">
        <v>8</v>
      </c>
      <c r="CL538" s="27" t="s">
        <v>7</v>
      </c>
      <c r="CM538" s="27" t="s">
        <v>8</v>
      </c>
      <c r="CR538" s="27" t="s">
        <v>7</v>
      </c>
      <c r="CY538" s="27" t="s">
        <v>8</v>
      </c>
      <c r="DA538" s="27" t="s">
        <v>8</v>
      </c>
      <c r="DB538" s="27" t="s">
        <v>7</v>
      </c>
      <c r="DC538" s="27" t="s">
        <v>8</v>
      </c>
      <c r="DD538" s="27" t="s">
        <v>7</v>
      </c>
      <c r="DE538" s="27" t="s">
        <v>8</v>
      </c>
      <c r="DJ538" s="27" t="s">
        <v>7</v>
      </c>
      <c r="EN538" s="27" t="s">
        <v>7</v>
      </c>
      <c r="EO538" s="27" t="s">
        <v>8</v>
      </c>
      <c r="EP538" s="27" t="s">
        <v>7</v>
      </c>
    </row>
    <row r="539" spans="1:243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I539" s="27" t="s">
        <v>8</v>
      </c>
      <c r="J539" s="27" t="s">
        <v>7</v>
      </c>
      <c r="K539" s="27" t="s">
        <v>8</v>
      </c>
      <c r="L539" s="27" t="s">
        <v>7</v>
      </c>
      <c r="CK539" s="27" t="s">
        <v>8</v>
      </c>
      <c r="CL539" s="27" t="s">
        <v>7</v>
      </c>
      <c r="CM539" s="27" t="s">
        <v>8</v>
      </c>
      <c r="CR539" s="27" t="s">
        <v>7</v>
      </c>
      <c r="CY539" s="27" t="s">
        <v>8</v>
      </c>
      <c r="CZ539" s="27" t="s">
        <v>7</v>
      </c>
      <c r="DA539" s="27" t="s">
        <v>8</v>
      </c>
      <c r="DB539" s="27" t="s">
        <v>7</v>
      </c>
      <c r="DC539" s="27" t="s">
        <v>8</v>
      </c>
      <c r="DD539" s="27" t="s">
        <v>7</v>
      </c>
      <c r="DE539" s="27" t="s">
        <v>8</v>
      </c>
      <c r="EN539" s="27" t="s">
        <v>7</v>
      </c>
      <c r="EO539" s="27" t="s">
        <v>8</v>
      </c>
      <c r="EP539" s="27" t="s">
        <v>7</v>
      </c>
    </row>
    <row r="540" spans="1:243" x14ac:dyDescent="0.25">
      <c r="A540" s="7">
        <v>2.53634351519552</v>
      </c>
      <c r="B540"/>
      <c r="C540"/>
      <c r="D540"/>
      <c r="E540" t="s">
        <v>8</v>
      </c>
      <c r="F540" s="27" t="s">
        <v>7</v>
      </c>
      <c r="I540" s="27" t="s">
        <v>8</v>
      </c>
      <c r="J540" s="27" t="s">
        <v>7</v>
      </c>
      <c r="K540" s="27" t="s">
        <v>8</v>
      </c>
      <c r="L540" s="27" t="s">
        <v>7</v>
      </c>
      <c r="CK540" s="27" t="s">
        <v>8</v>
      </c>
      <c r="CL540" s="27" t="s">
        <v>7</v>
      </c>
      <c r="CM540" s="27" t="s">
        <v>8</v>
      </c>
      <c r="CR540" s="27" t="s">
        <v>7</v>
      </c>
      <c r="CY540" s="27" t="s">
        <v>8</v>
      </c>
      <c r="CZ540" s="27" t="s">
        <v>7</v>
      </c>
      <c r="DA540" s="27" t="s">
        <v>8</v>
      </c>
      <c r="DB540" s="27" t="s">
        <v>7</v>
      </c>
      <c r="DC540" s="27" t="s">
        <v>8</v>
      </c>
      <c r="DD540" s="27" t="s">
        <v>7</v>
      </c>
      <c r="EN540" s="27" t="s">
        <v>7</v>
      </c>
      <c r="EO540" s="27" t="s">
        <v>8</v>
      </c>
      <c r="EP540" s="27" t="s">
        <v>7</v>
      </c>
      <c r="GO540" s="27" t="s">
        <v>8</v>
      </c>
      <c r="GQ540" s="27" t="s">
        <v>8</v>
      </c>
      <c r="GU540" s="27" t="s">
        <v>8</v>
      </c>
    </row>
    <row r="541" spans="1:243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I541" s="27" t="s">
        <v>8</v>
      </c>
      <c r="J541" s="27" t="s">
        <v>7</v>
      </c>
      <c r="K541" s="27" t="s">
        <v>8</v>
      </c>
      <c r="L541" s="27" t="s">
        <v>7</v>
      </c>
      <c r="CK541" s="27" t="s">
        <v>8</v>
      </c>
      <c r="CL541" s="27" t="s">
        <v>7</v>
      </c>
      <c r="CM541" s="27" t="s">
        <v>8</v>
      </c>
      <c r="CR541" s="27" t="s">
        <v>7</v>
      </c>
      <c r="CY541" s="27" t="s">
        <v>8</v>
      </c>
      <c r="CZ541" s="27" t="s">
        <v>7</v>
      </c>
      <c r="DA541" s="27" t="s">
        <v>8</v>
      </c>
      <c r="DB541" s="27" t="s">
        <v>7</v>
      </c>
      <c r="DC541" s="27" t="s">
        <v>8</v>
      </c>
      <c r="EN541" s="27" t="s">
        <v>7</v>
      </c>
      <c r="EO541" s="27" t="s">
        <v>8</v>
      </c>
      <c r="EP541" s="27" t="s">
        <v>7</v>
      </c>
      <c r="GO541" s="27" t="s">
        <v>8</v>
      </c>
      <c r="GP541" s="27" t="s">
        <v>7</v>
      </c>
      <c r="GQ541" s="27" t="s">
        <v>8</v>
      </c>
      <c r="GR541" s="27" t="s">
        <v>7</v>
      </c>
      <c r="GU541" s="27" t="s">
        <v>8</v>
      </c>
      <c r="GV541" s="27" t="s">
        <v>7</v>
      </c>
    </row>
    <row r="542" spans="1:243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G542" s="27" t="s">
        <v>8</v>
      </c>
      <c r="I542" s="27" t="s">
        <v>8</v>
      </c>
      <c r="J542" s="27" t="s">
        <v>7</v>
      </c>
      <c r="K542" s="27" t="s">
        <v>8</v>
      </c>
      <c r="L542" s="27" t="s">
        <v>7</v>
      </c>
      <c r="CI542" s="27" t="s">
        <v>8</v>
      </c>
      <c r="CK542" s="27" t="s">
        <v>8</v>
      </c>
      <c r="CL542" s="27" t="s">
        <v>7</v>
      </c>
      <c r="CM542" s="27" t="s">
        <v>8</v>
      </c>
      <c r="CR542" s="27" t="s">
        <v>7</v>
      </c>
      <c r="CS542" s="27" t="s">
        <v>8</v>
      </c>
      <c r="CY542" s="27" t="s">
        <v>8</v>
      </c>
      <c r="CZ542" s="27" t="s">
        <v>7</v>
      </c>
      <c r="DA542" s="27" t="s">
        <v>8</v>
      </c>
      <c r="DB542" s="27" t="s">
        <v>7</v>
      </c>
      <c r="DC542" s="27" t="s">
        <v>8</v>
      </c>
      <c r="EN542" s="27" t="s">
        <v>7</v>
      </c>
      <c r="EO542" s="27" t="s">
        <v>8</v>
      </c>
      <c r="EP542" s="27" t="s">
        <v>7</v>
      </c>
      <c r="GO542" s="27" t="s">
        <v>8</v>
      </c>
      <c r="GP542" s="27" t="s">
        <v>7</v>
      </c>
      <c r="GQ542" s="27" t="s">
        <v>8</v>
      </c>
      <c r="GR542" s="27" t="s">
        <v>7</v>
      </c>
      <c r="GU542" s="27" t="s">
        <v>8</v>
      </c>
      <c r="GV542" s="27" t="s">
        <v>7</v>
      </c>
    </row>
    <row r="543" spans="1:243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G543" s="27" t="s">
        <v>8</v>
      </c>
      <c r="H543" s="27" t="s">
        <v>7</v>
      </c>
      <c r="I543" s="27" t="s">
        <v>8</v>
      </c>
      <c r="J543" s="27" t="s">
        <v>7</v>
      </c>
      <c r="K543" s="27" t="s">
        <v>8</v>
      </c>
      <c r="L543" s="27" t="s">
        <v>7</v>
      </c>
      <c r="CI543" s="27" t="s">
        <v>8</v>
      </c>
      <c r="CJ543" s="27" t="s">
        <v>7</v>
      </c>
      <c r="CK543" s="27" t="s">
        <v>8</v>
      </c>
      <c r="CL543" s="27" t="s">
        <v>7</v>
      </c>
      <c r="CM543" s="27" t="s">
        <v>8</v>
      </c>
      <c r="CR543" s="27" t="s">
        <v>7</v>
      </c>
      <c r="CS543" s="27" t="s">
        <v>8</v>
      </c>
      <c r="CT543" s="27" t="s">
        <v>7</v>
      </c>
      <c r="CY543" s="27" t="s">
        <v>8</v>
      </c>
      <c r="CZ543" s="27" t="s">
        <v>7</v>
      </c>
      <c r="DA543" s="27" t="s">
        <v>8</v>
      </c>
      <c r="DB543" s="27" t="s">
        <v>7</v>
      </c>
      <c r="EN543" s="27" t="s">
        <v>7</v>
      </c>
      <c r="EO543" s="27" t="s">
        <v>8</v>
      </c>
      <c r="EP543" s="27" t="s">
        <v>7</v>
      </c>
      <c r="EQ543" s="27" t="s">
        <v>8</v>
      </c>
      <c r="GO543" s="27" t="s">
        <v>8</v>
      </c>
      <c r="GP543" s="27" t="s">
        <v>7</v>
      </c>
      <c r="GQ543" s="27" t="s">
        <v>8</v>
      </c>
      <c r="GR543" s="27" t="s">
        <v>7</v>
      </c>
      <c r="GU543" s="27" t="s">
        <v>8</v>
      </c>
      <c r="GV543" s="27" t="s">
        <v>7</v>
      </c>
    </row>
    <row r="544" spans="1:243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G544" s="27" t="s">
        <v>8</v>
      </c>
      <c r="H544" s="27" t="s">
        <v>7</v>
      </c>
      <c r="I544" s="27" t="s">
        <v>8</v>
      </c>
      <c r="J544" s="27" t="s">
        <v>7</v>
      </c>
      <c r="K544" s="27" t="s">
        <v>8</v>
      </c>
      <c r="L544" s="27" t="s">
        <v>7</v>
      </c>
      <c r="CE544" s="27" t="s">
        <v>8</v>
      </c>
      <c r="CI544" s="27" t="s">
        <v>8</v>
      </c>
      <c r="CJ544" s="27" t="s">
        <v>7</v>
      </c>
      <c r="CK544" s="27" t="s">
        <v>8</v>
      </c>
      <c r="CL544" s="27" t="s">
        <v>7</v>
      </c>
      <c r="CM544" s="27" t="s">
        <v>8</v>
      </c>
      <c r="CR544" s="27" t="s">
        <v>7</v>
      </c>
      <c r="CS544" s="27" t="s">
        <v>8</v>
      </c>
      <c r="CT544" s="27" t="s">
        <v>7</v>
      </c>
      <c r="CU544" s="27" t="s">
        <v>8</v>
      </c>
      <c r="CW544" s="27" t="s">
        <v>8</v>
      </c>
      <c r="CY544" s="27" t="s">
        <v>8</v>
      </c>
      <c r="CZ544" s="27" t="s">
        <v>7</v>
      </c>
      <c r="EN544" s="27" t="s">
        <v>7</v>
      </c>
      <c r="EO544" s="27" t="s">
        <v>8</v>
      </c>
      <c r="EP544" s="27" t="s">
        <v>7</v>
      </c>
      <c r="EQ544" s="27" t="s">
        <v>8</v>
      </c>
      <c r="ER544" s="27" t="s">
        <v>7</v>
      </c>
      <c r="GO544" s="27" t="s">
        <v>8</v>
      </c>
      <c r="GP544" s="27" t="s">
        <v>7</v>
      </c>
      <c r="GQ544" s="27" t="s">
        <v>8</v>
      </c>
      <c r="GR544" s="27" t="s">
        <v>7</v>
      </c>
      <c r="GU544" s="27" t="s">
        <v>8</v>
      </c>
      <c r="GV544" s="27" t="s">
        <v>7</v>
      </c>
      <c r="II544" s="27" t="s">
        <v>8</v>
      </c>
    </row>
    <row r="545" spans="1:250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G545" s="27" t="s">
        <v>8</v>
      </c>
      <c r="H545" s="27" t="s">
        <v>7</v>
      </c>
      <c r="I545" s="27" t="s">
        <v>8</v>
      </c>
      <c r="J545" s="27" t="s">
        <v>7</v>
      </c>
      <c r="K545" s="27" t="s">
        <v>8</v>
      </c>
      <c r="L545" s="27" t="s">
        <v>7</v>
      </c>
      <c r="CE545" s="27" t="s">
        <v>8</v>
      </c>
      <c r="CF545" s="27" t="s">
        <v>7</v>
      </c>
      <c r="CI545" s="27" t="s">
        <v>8</v>
      </c>
      <c r="CJ545" s="27" t="s">
        <v>7</v>
      </c>
      <c r="CK545" s="27" t="s">
        <v>8</v>
      </c>
      <c r="CL545" s="27" t="s">
        <v>7</v>
      </c>
      <c r="CM545" s="27" t="s">
        <v>8</v>
      </c>
      <c r="CR545" s="27" t="s">
        <v>7</v>
      </c>
      <c r="CS545" s="27" t="s">
        <v>8</v>
      </c>
      <c r="CT545" s="27" t="s">
        <v>7</v>
      </c>
      <c r="CU545" s="27" t="s">
        <v>8</v>
      </c>
      <c r="CV545" s="27" t="s">
        <v>7</v>
      </c>
      <c r="CW545" s="27" t="s">
        <v>8</v>
      </c>
      <c r="CX545" s="27" t="s">
        <v>7</v>
      </c>
      <c r="CY545" s="27" t="s">
        <v>8</v>
      </c>
      <c r="EN545" s="27" t="s">
        <v>7</v>
      </c>
      <c r="EO545" s="27" t="s">
        <v>8</v>
      </c>
      <c r="EP545" s="27" t="s">
        <v>7</v>
      </c>
      <c r="EQ545" s="27" t="s">
        <v>8</v>
      </c>
      <c r="ER545" s="27" t="s">
        <v>7</v>
      </c>
      <c r="GI545" s="27" t="s">
        <v>8</v>
      </c>
      <c r="GO545" s="27" t="s">
        <v>8</v>
      </c>
      <c r="GP545" s="27" t="s">
        <v>7</v>
      </c>
      <c r="GQ545" s="27" t="s">
        <v>8</v>
      </c>
      <c r="GR545" s="27" t="s">
        <v>7</v>
      </c>
      <c r="GU545" s="27" t="s">
        <v>8</v>
      </c>
      <c r="GV545" s="27" t="s">
        <v>7</v>
      </c>
      <c r="II545" s="27" t="s">
        <v>8</v>
      </c>
      <c r="IJ545" s="27" t="s">
        <v>7</v>
      </c>
    </row>
    <row r="546" spans="1:250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G546" s="27" t="s">
        <v>8</v>
      </c>
      <c r="H546" s="27" t="s">
        <v>7</v>
      </c>
      <c r="I546" s="27" t="s">
        <v>8</v>
      </c>
      <c r="J546" s="27" t="s">
        <v>7</v>
      </c>
      <c r="K546" s="27" t="s">
        <v>8</v>
      </c>
      <c r="L546" s="27" t="s">
        <v>7</v>
      </c>
      <c r="CE546" s="27" t="s">
        <v>8</v>
      </c>
      <c r="CF546" s="27" t="s">
        <v>7</v>
      </c>
      <c r="CI546" s="27" t="s">
        <v>8</v>
      </c>
      <c r="CJ546" s="27" t="s">
        <v>7</v>
      </c>
      <c r="CK546" s="27" t="s">
        <v>8</v>
      </c>
      <c r="CL546" s="27" t="s">
        <v>7</v>
      </c>
      <c r="CR546" s="27" t="s">
        <v>7</v>
      </c>
      <c r="CS546" s="27" t="s">
        <v>8</v>
      </c>
      <c r="CT546" s="27" t="s">
        <v>7</v>
      </c>
      <c r="CU546" s="27" t="s">
        <v>8</v>
      </c>
      <c r="CV546" s="27" t="s">
        <v>7</v>
      </c>
      <c r="CW546" s="27" t="s">
        <v>8</v>
      </c>
      <c r="CX546" s="27" t="s">
        <v>7</v>
      </c>
      <c r="CY546" s="27" t="s">
        <v>8</v>
      </c>
      <c r="EN546" s="27" t="s">
        <v>7</v>
      </c>
      <c r="EO546" s="27" t="s">
        <v>8</v>
      </c>
      <c r="EP546" s="27" t="s">
        <v>7</v>
      </c>
      <c r="EQ546" s="27" t="s">
        <v>8</v>
      </c>
      <c r="ER546" s="27" t="s">
        <v>7</v>
      </c>
      <c r="GI546" s="27" t="s">
        <v>8</v>
      </c>
      <c r="GJ546" s="27" t="s">
        <v>7</v>
      </c>
      <c r="GO546" s="27" t="s">
        <v>8</v>
      </c>
      <c r="GP546" s="27" t="s">
        <v>7</v>
      </c>
      <c r="GQ546" s="27" t="s">
        <v>8</v>
      </c>
      <c r="GR546" s="27" t="s">
        <v>7</v>
      </c>
      <c r="GU546" s="27" t="s">
        <v>8</v>
      </c>
      <c r="GV546" s="27" t="s">
        <v>7</v>
      </c>
      <c r="II546" s="27" t="s">
        <v>8</v>
      </c>
      <c r="IJ546" s="27" t="s">
        <v>7</v>
      </c>
    </row>
    <row r="547" spans="1:250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G547" s="27" t="s">
        <v>8</v>
      </c>
      <c r="H547" s="27" t="s">
        <v>7</v>
      </c>
      <c r="I547" s="27" t="s">
        <v>8</v>
      </c>
      <c r="J547" s="27" t="s">
        <v>7</v>
      </c>
      <c r="K547" s="27" t="s">
        <v>8</v>
      </c>
      <c r="L547" s="27" t="s">
        <v>7</v>
      </c>
      <c r="CE547" s="27" t="s">
        <v>8</v>
      </c>
      <c r="CF547" s="27" t="s">
        <v>7</v>
      </c>
      <c r="CI547" s="27" t="s">
        <v>8</v>
      </c>
      <c r="CJ547" s="27" t="s">
        <v>7</v>
      </c>
      <c r="CK547" s="27" t="s">
        <v>8</v>
      </c>
      <c r="CR547" s="27" t="s">
        <v>7</v>
      </c>
      <c r="CS547" s="27" t="s">
        <v>8</v>
      </c>
      <c r="CT547" s="27" t="s">
        <v>7</v>
      </c>
      <c r="CU547" s="27" t="s">
        <v>8</v>
      </c>
      <c r="CV547" s="27" t="s">
        <v>7</v>
      </c>
      <c r="CW547" s="27" t="s">
        <v>8</v>
      </c>
      <c r="CX547" s="27" t="s">
        <v>7</v>
      </c>
      <c r="CY547" s="27" t="s">
        <v>8</v>
      </c>
      <c r="EN547" s="27" t="s">
        <v>7</v>
      </c>
      <c r="EO547" s="27" t="s">
        <v>8</v>
      </c>
      <c r="EP547" s="27" t="s">
        <v>7</v>
      </c>
      <c r="EQ547" s="27" t="s">
        <v>8</v>
      </c>
      <c r="ER547" s="27" t="s">
        <v>7</v>
      </c>
      <c r="EU547" s="27" t="s">
        <v>8</v>
      </c>
      <c r="GI547" s="27" t="s">
        <v>8</v>
      </c>
      <c r="GJ547" s="27" t="s">
        <v>7</v>
      </c>
      <c r="GM547" s="27" t="s">
        <v>8</v>
      </c>
      <c r="GO547" s="27" t="s">
        <v>8</v>
      </c>
      <c r="GP547" s="27" t="s">
        <v>7</v>
      </c>
      <c r="GR547" s="27" t="s">
        <v>7</v>
      </c>
      <c r="GU547" s="27" t="s">
        <v>8</v>
      </c>
      <c r="GV547" s="27" t="s">
        <v>7</v>
      </c>
      <c r="II547" s="27" t="s">
        <v>8</v>
      </c>
      <c r="IJ547" s="27" t="s">
        <v>7</v>
      </c>
    </row>
    <row r="548" spans="1:250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G548" s="27" t="s">
        <v>8</v>
      </c>
      <c r="H548" s="27" t="s">
        <v>7</v>
      </c>
      <c r="I548" s="27" t="s">
        <v>8</v>
      </c>
      <c r="J548" s="27" t="s">
        <v>7</v>
      </c>
      <c r="L548" s="27" t="s">
        <v>7</v>
      </c>
      <c r="CE548" s="27" t="s">
        <v>8</v>
      </c>
      <c r="CF548" s="27" t="s">
        <v>7</v>
      </c>
      <c r="CI548" s="27" t="s">
        <v>8</v>
      </c>
      <c r="CJ548" s="27" t="s">
        <v>7</v>
      </c>
      <c r="CK548" s="27" t="s">
        <v>8</v>
      </c>
      <c r="CR548" s="27" t="s">
        <v>7</v>
      </c>
      <c r="CS548" s="27" t="s">
        <v>8</v>
      </c>
      <c r="CT548" s="27" t="s">
        <v>7</v>
      </c>
      <c r="CU548" s="27" t="s">
        <v>8</v>
      </c>
      <c r="CV548" s="27" t="s">
        <v>7</v>
      </c>
      <c r="CW548" s="27" t="s">
        <v>8</v>
      </c>
      <c r="CX548" s="27" t="s">
        <v>7</v>
      </c>
      <c r="CY548" s="27" t="s">
        <v>8</v>
      </c>
      <c r="EN548" s="27" t="s">
        <v>7</v>
      </c>
      <c r="EO548" s="27" t="s">
        <v>8</v>
      </c>
      <c r="EP548" s="27" t="s">
        <v>7</v>
      </c>
      <c r="EQ548" s="27" t="s">
        <v>8</v>
      </c>
      <c r="ER548" s="27" t="s">
        <v>7</v>
      </c>
      <c r="EU548" s="27" t="s">
        <v>8</v>
      </c>
      <c r="EV548" s="27" t="s">
        <v>7</v>
      </c>
      <c r="GI548" s="27" t="s">
        <v>8</v>
      </c>
      <c r="GJ548" s="27" t="s">
        <v>7</v>
      </c>
      <c r="GM548" s="27" t="s">
        <v>8</v>
      </c>
      <c r="GN548" s="27" t="s">
        <v>7</v>
      </c>
      <c r="GO548" s="27" t="s">
        <v>8</v>
      </c>
      <c r="GR548" s="27" t="s">
        <v>7</v>
      </c>
      <c r="GU548" s="27" t="s">
        <v>8</v>
      </c>
      <c r="GV548" s="27" t="s">
        <v>7</v>
      </c>
      <c r="IA548" s="27" t="s">
        <v>8</v>
      </c>
      <c r="II548" s="27" t="s">
        <v>8</v>
      </c>
      <c r="IJ548" s="27" t="s">
        <v>7</v>
      </c>
      <c r="IM548" s="27" t="s">
        <v>8</v>
      </c>
    </row>
    <row r="549" spans="1:250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G549" s="27" t="s">
        <v>8</v>
      </c>
      <c r="H549" s="27" t="s">
        <v>7</v>
      </c>
      <c r="I549" s="27" t="s">
        <v>8</v>
      </c>
      <c r="L549" s="27" t="s">
        <v>7</v>
      </c>
      <c r="M549" s="27" t="s">
        <v>8</v>
      </c>
      <c r="CE549" s="27" t="s">
        <v>8</v>
      </c>
      <c r="CF549" s="27" t="s">
        <v>7</v>
      </c>
      <c r="CI549" s="27" t="s">
        <v>8</v>
      </c>
      <c r="CJ549" s="27" t="s">
        <v>7</v>
      </c>
      <c r="CK549" s="27" t="s">
        <v>8</v>
      </c>
      <c r="CR549" s="27" t="s">
        <v>7</v>
      </c>
      <c r="CS549" s="27" t="s">
        <v>8</v>
      </c>
      <c r="CT549" s="27" t="s">
        <v>7</v>
      </c>
      <c r="CU549" s="27" t="s">
        <v>8</v>
      </c>
      <c r="CV549" s="27" t="s">
        <v>7</v>
      </c>
      <c r="CW549" s="27" t="s">
        <v>8</v>
      </c>
      <c r="CX549" s="27" t="s">
        <v>7</v>
      </c>
      <c r="CY549" s="27" t="s">
        <v>8</v>
      </c>
      <c r="EN549" s="27" t="s">
        <v>7</v>
      </c>
      <c r="EO549" s="27" t="s">
        <v>8</v>
      </c>
      <c r="EP549" s="27" t="s">
        <v>7</v>
      </c>
      <c r="EQ549" s="27" t="s">
        <v>8</v>
      </c>
      <c r="ER549" s="27" t="s">
        <v>7</v>
      </c>
      <c r="EU549" s="27" t="s">
        <v>8</v>
      </c>
      <c r="EV549" s="27" t="s">
        <v>7</v>
      </c>
      <c r="GI549" s="27" t="s">
        <v>8</v>
      </c>
      <c r="GJ549" s="27" t="s">
        <v>7</v>
      </c>
      <c r="GM549" s="27" t="s">
        <v>8</v>
      </c>
      <c r="GN549" s="27" t="s">
        <v>7</v>
      </c>
      <c r="GO549" s="27" t="s">
        <v>8</v>
      </c>
      <c r="GR549" s="27" t="s">
        <v>7</v>
      </c>
      <c r="GU549" s="27" t="s">
        <v>8</v>
      </c>
      <c r="GV549" s="27" t="s">
        <v>7</v>
      </c>
      <c r="HK549" s="27" t="s">
        <v>8</v>
      </c>
      <c r="HO549" s="27" t="s">
        <v>8</v>
      </c>
      <c r="IA549" s="27" t="s">
        <v>8</v>
      </c>
      <c r="IB549" s="27" t="s">
        <v>7</v>
      </c>
      <c r="II549" s="27" t="s">
        <v>8</v>
      </c>
      <c r="IJ549" s="27" t="s">
        <v>7</v>
      </c>
      <c r="IM549" s="27" t="s">
        <v>8</v>
      </c>
      <c r="IN549" s="27" t="s">
        <v>7</v>
      </c>
    </row>
    <row r="550" spans="1:250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G550" s="27" t="s">
        <v>8</v>
      </c>
      <c r="H550" s="27" t="s">
        <v>7</v>
      </c>
      <c r="I550" s="27" t="s">
        <v>8</v>
      </c>
      <c r="L550" s="27" t="s">
        <v>7</v>
      </c>
      <c r="M550" s="27" t="s">
        <v>8</v>
      </c>
      <c r="N550" s="27" t="s">
        <v>7</v>
      </c>
      <c r="CC550" s="27" t="s">
        <v>8</v>
      </c>
      <c r="CE550" s="27" t="s">
        <v>8</v>
      </c>
      <c r="CF550" s="27" t="s">
        <v>7</v>
      </c>
      <c r="CI550" s="27" t="s">
        <v>8</v>
      </c>
      <c r="CJ550" s="27" t="s">
        <v>7</v>
      </c>
      <c r="CK550" s="27" t="s">
        <v>8</v>
      </c>
      <c r="CR550" s="27" t="s">
        <v>7</v>
      </c>
      <c r="CS550" s="27" t="s">
        <v>8</v>
      </c>
      <c r="CT550" s="27" t="s">
        <v>7</v>
      </c>
      <c r="CU550" s="27" t="s">
        <v>8</v>
      </c>
      <c r="CV550" s="27" t="s">
        <v>7</v>
      </c>
      <c r="CW550" s="27" t="s">
        <v>8</v>
      </c>
      <c r="CX550" s="27" t="s">
        <v>7</v>
      </c>
      <c r="EN550" s="27" t="s">
        <v>7</v>
      </c>
      <c r="EO550" s="27" t="s">
        <v>8</v>
      </c>
      <c r="EP550" s="27" t="s">
        <v>7</v>
      </c>
      <c r="EQ550" s="27" t="s">
        <v>8</v>
      </c>
      <c r="ER550" s="27" t="s">
        <v>7</v>
      </c>
      <c r="EU550" s="27" t="s">
        <v>8</v>
      </c>
      <c r="EV550" s="27" t="s">
        <v>7</v>
      </c>
      <c r="EW550" s="27" t="s">
        <v>8</v>
      </c>
      <c r="GG550" s="27" t="s">
        <v>8</v>
      </c>
      <c r="GI550" s="27" t="s">
        <v>8</v>
      </c>
      <c r="GJ550" s="27" t="s">
        <v>7</v>
      </c>
      <c r="GK550" s="27" t="s">
        <v>8</v>
      </c>
      <c r="GM550" s="27" t="s">
        <v>8</v>
      </c>
      <c r="GN550" s="27" t="s">
        <v>7</v>
      </c>
      <c r="GO550" s="27" t="s">
        <v>8</v>
      </c>
      <c r="GR550" s="27" t="s">
        <v>7</v>
      </c>
      <c r="GU550" s="27" t="s">
        <v>8</v>
      </c>
      <c r="GV550" s="27" t="s">
        <v>7</v>
      </c>
      <c r="GW550" s="27" t="s">
        <v>8</v>
      </c>
      <c r="HK550" s="27" t="s">
        <v>8</v>
      </c>
      <c r="HL550" s="27" t="s">
        <v>7</v>
      </c>
      <c r="HO550" s="27" t="s">
        <v>8</v>
      </c>
      <c r="HP550" s="27" t="s">
        <v>7</v>
      </c>
      <c r="IA550" s="27" t="s">
        <v>8</v>
      </c>
      <c r="IB550" s="27" t="s">
        <v>7</v>
      </c>
      <c r="II550" s="27" t="s">
        <v>8</v>
      </c>
      <c r="IJ550" s="27" t="s">
        <v>7</v>
      </c>
      <c r="IM550" s="27" t="s">
        <v>8</v>
      </c>
      <c r="IN550" s="27" t="s">
        <v>7</v>
      </c>
    </row>
    <row r="551" spans="1:250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G551" s="27" t="s">
        <v>8</v>
      </c>
      <c r="H551" s="27" t="s">
        <v>7</v>
      </c>
      <c r="I551" s="27" t="s">
        <v>8</v>
      </c>
      <c r="L551" s="27" t="s">
        <v>7</v>
      </c>
      <c r="M551" s="27" t="s">
        <v>8</v>
      </c>
      <c r="N551" s="27" t="s">
        <v>7</v>
      </c>
      <c r="CC551" s="27" t="s">
        <v>8</v>
      </c>
      <c r="CD551" s="27" t="s">
        <v>7</v>
      </c>
      <c r="CE551" s="27" t="s">
        <v>8</v>
      </c>
      <c r="CF551" s="27" t="s">
        <v>7</v>
      </c>
      <c r="CI551" s="27" t="s">
        <v>8</v>
      </c>
      <c r="CJ551" s="27" t="s">
        <v>7</v>
      </c>
      <c r="CK551" s="27" t="s">
        <v>8</v>
      </c>
      <c r="CR551" s="27" t="s">
        <v>7</v>
      </c>
      <c r="CS551" s="27" t="s">
        <v>8</v>
      </c>
      <c r="CT551" s="27" t="s">
        <v>7</v>
      </c>
      <c r="CU551" s="27" t="s">
        <v>8</v>
      </c>
      <c r="CV551" s="27" t="s">
        <v>7</v>
      </c>
      <c r="CW551" s="27" t="s">
        <v>8</v>
      </c>
      <c r="EN551" s="27" t="s">
        <v>7</v>
      </c>
      <c r="EO551" s="27" t="s">
        <v>8</v>
      </c>
      <c r="EP551" s="27" t="s">
        <v>7</v>
      </c>
      <c r="EQ551" s="27" t="s">
        <v>8</v>
      </c>
      <c r="ER551" s="27" t="s">
        <v>7</v>
      </c>
      <c r="ES551" s="27" t="s">
        <v>8</v>
      </c>
      <c r="EU551" s="27" t="s">
        <v>8</v>
      </c>
      <c r="EV551" s="27" t="s">
        <v>7</v>
      </c>
      <c r="EW551" s="27" t="s">
        <v>8</v>
      </c>
      <c r="EX551" s="27" t="s">
        <v>7</v>
      </c>
      <c r="GG551" s="27" t="s">
        <v>8</v>
      </c>
      <c r="GH551" s="27" t="s">
        <v>7</v>
      </c>
      <c r="GI551" s="27" t="s">
        <v>8</v>
      </c>
      <c r="GJ551" s="27" t="s">
        <v>7</v>
      </c>
      <c r="GK551" s="27" t="s">
        <v>8</v>
      </c>
      <c r="GL551" s="27" t="s">
        <v>7</v>
      </c>
      <c r="GM551" s="27" t="s">
        <v>8</v>
      </c>
      <c r="GN551" s="27" t="s">
        <v>7</v>
      </c>
      <c r="GO551" s="27" t="s">
        <v>8</v>
      </c>
      <c r="GR551" s="27" t="s">
        <v>7</v>
      </c>
      <c r="GU551" s="27" t="s">
        <v>8</v>
      </c>
      <c r="GV551" s="27" t="s">
        <v>7</v>
      </c>
      <c r="GW551" s="27" t="s">
        <v>8</v>
      </c>
      <c r="GX551" s="27" t="s">
        <v>7</v>
      </c>
      <c r="HK551" s="27" t="s">
        <v>8</v>
      </c>
      <c r="HL551" s="27" t="s">
        <v>7</v>
      </c>
      <c r="HO551" s="27" t="s">
        <v>8</v>
      </c>
      <c r="HP551" s="27" t="s">
        <v>7</v>
      </c>
      <c r="HU551" s="27" t="s">
        <v>8</v>
      </c>
      <c r="HW551" s="27" t="s">
        <v>8</v>
      </c>
      <c r="HY551" s="27" t="s">
        <v>8</v>
      </c>
      <c r="IA551" s="27" t="s">
        <v>8</v>
      </c>
      <c r="IB551" s="27" t="s">
        <v>7</v>
      </c>
      <c r="II551" s="27" t="s">
        <v>8</v>
      </c>
      <c r="IJ551" s="27" t="s">
        <v>7</v>
      </c>
      <c r="IM551" s="27" t="s">
        <v>8</v>
      </c>
      <c r="IN551" s="27" t="s">
        <v>7</v>
      </c>
    </row>
    <row r="552" spans="1:250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G552" s="27" t="s">
        <v>8</v>
      </c>
      <c r="H552" s="27" t="s">
        <v>7</v>
      </c>
      <c r="L552" s="27" t="s">
        <v>7</v>
      </c>
      <c r="M552" s="27" t="s">
        <v>8</v>
      </c>
      <c r="N552" s="27" t="s">
        <v>7</v>
      </c>
      <c r="CC552" s="27" t="s">
        <v>8</v>
      </c>
      <c r="CD552" s="27" t="s">
        <v>7</v>
      </c>
      <c r="CE552" s="27" t="s">
        <v>8</v>
      </c>
      <c r="CF552" s="27" t="s">
        <v>7</v>
      </c>
      <c r="CI552" s="27" t="s">
        <v>8</v>
      </c>
      <c r="CJ552" s="27" t="s">
        <v>7</v>
      </c>
      <c r="CK552" s="27" t="s">
        <v>8</v>
      </c>
      <c r="CR552" s="27" t="s">
        <v>7</v>
      </c>
      <c r="CS552" s="27" t="s">
        <v>8</v>
      </c>
      <c r="CT552" s="27" t="s">
        <v>7</v>
      </c>
      <c r="CU552" s="27" t="s">
        <v>8</v>
      </c>
      <c r="CV552" s="27" t="s">
        <v>7</v>
      </c>
      <c r="CW552" s="27" t="s">
        <v>8</v>
      </c>
      <c r="EN552" s="27" t="s">
        <v>7</v>
      </c>
      <c r="EO552" s="27" t="s">
        <v>8</v>
      </c>
      <c r="EP552" s="27" t="s">
        <v>7</v>
      </c>
      <c r="EQ552" s="27" t="s">
        <v>8</v>
      </c>
      <c r="ER552" s="27" t="s">
        <v>7</v>
      </c>
      <c r="ES552" s="27" t="s">
        <v>8</v>
      </c>
      <c r="ET552" s="27" t="s">
        <v>7</v>
      </c>
      <c r="EU552" s="27" t="s">
        <v>8</v>
      </c>
      <c r="EV552" s="27" t="s">
        <v>7</v>
      </c>
      <c r="EW552" s="27" t="s">
        <v>8</v>
      </c>
      <c r="EX552" s="27" t="s">
        <v>7</v>
      </c>
      <c r="GE552" s="27" t="s">
        <v>8</v>
      </c>
      <c r="GG552" s="27" t="s">
        <v>8</v>
      </c>
      <c r="GH552" s="27" t="s">
        <v>7</v>
      </c>
      <c r="GI552" s="27" t="s">
        <v>8</v>
      </c>
      <c r="GJ552" s="27" t="s">
        <v>7</v>
      </c>
      <c r="GK552" s="27" t="s">
        <v>8</v>
      </c>
      <c r="GL552" s="27" t="s">
        <v>7</v>
      </c>
      <c r="GM552" s="27" t="s">
        <v>8</v>
      </c>
      <c r="GN552" s="27" t="s">
        <v>7</v>
      </c>
      <c r="GR552" s="27" t="s">
        <v>7</v>
      </c>
      <c r="GU552" s="27" t="s">
        <v>8</v>
      </c>
      <c r="GV552" s="27" t="s">
        <v>7</v>
      </c>
      <c r="GW552" s="27" t="s">
        <v>8</v>
      </c>
      <c r="GX552" s="27" t="s">
        <v>7</v>
      </c>
      <c r="HK552" s="27" t="s">
        <v>8</v>
      </c>
      <c r="HL552" s="27" t="s">
        <v>7</v>
      </c>
      <c r="HO552" s="27" t="s">
        <v>8</v>
      </c>
      <c r="HP552" s="27" t="s">
        <v>7</v>
      </c>
      <c r="HU552" s="27" t="s">
        <v>8</v>
      </c>
      <c r="HV552" s="27" t="s">
        <v>7</v>
      </c>
      <c r="HW552" s="27" t="s">
        <v>8</v>
      </c>
      <c r="HX552" s="27" t="s">
        <v>7</v>
      </c>
      <c r="HY552" s="27" t="s">
        <v>8</v>
      </c>
      <c r="HZ552" s="27" t="s">
        <v>7</v>
      </c>
      <c r="IA552" s="27" t="s">
        <v>8</v>
      </c>
      <c r="IB552" s="27" t="s">
        <v>7</v>
      </c>
      <c r="II552" s="27" t="s">
        <v>8</v>
      </c>
      <c r="IJ552" s="27" t="s">
        <v>7</v>
      </c>
      <c r="IM552" s="27" t="s">
        <v>8</v>
      </c>
      <c r="IN552" s="27" t="s">
        <v>7</v>
      </c>
    </row>
    <row r="553" spans="1:250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G553" s="27" t="s">
        <v>8</v>
      </c>
      <c r="L553" s="27" t="s">
        <v>7</v>
      </c>
      <c r="M553" s="27" t="s">
        <v>8</v>
      </c>
      <c r="N553" s="27" t="s">
        <v>7</v>
      </c>
      <c r="AQ553" s="27" t="s">
        <v>8</v>
      </c>
      <c r="AY553" s="27" t="s">
        <v>8</v>
      </c>
      <c r="CC553" s="27" t="s">
        <v>8</v>
      </c>
      <c r="CD553" s="27" t="s">
        <v>7</v>
      </c>
      <c r="CE553" s="27" t="s">
        <v>8</v>
      </c>
      <c r="CF553" s="27" t="s">
        <v>7</v>
      </c>
      <c r="CG553" s="27" t="s">
        <v>8</v>
      </c>
      <c r="CI553" s="27" t="s">
        <v>8</v>
      </c>
      <c r="CJ553" s="27" t="s">
        <v>7</v>
      </c>
      <c r="CK553" s="27" t="s">
        <v>8</v>
      </c>
      <c r="CR553" s="27" t="s">
        <v>7</v>
      </c>
      <c r="CS553" s="27" t="s">
        <v>8</v>
      </c>
      <c r="CT553" s="27" t="s">
        <v>7</v>
      </c>
      <c r="CU553" s="27" t="s">
        <v>8</v>
      </c>
      <c r="CV553" s="27" t="s">
        <v>7</v>
      </c>
      <c r="CW553" s="27" t="s">
        <v>8</v>
      </c>
      <c r="EN553" s="27" t="s">
        <v>7</v>
      </c>
      <c r="EO553" s="27" t="s">
        <v>8</v>
      </c>
      <c r="EP553" s="27" t="s">
        <v>7</v>
      </c>
      <c r="EQ553" s="27" t="s">
        <v>8</v>
      </c>
      <c r="ER553" s="27" t="s">
        <v>7</v>
      </c>
      <c r="ES553" s="27" t="s">
        <v>8</v>
      </c>
      <c r="ET553" s="27" t="s">
        <v>7</v>
      </c>
      <c r="EU553" s="27" t="s">
        <v>8</v>
      </c>
      <c r="EV553" s="27" t="s">
        <v>7</v>
      </c>
      <c r="EW553" s="27" t="s">
        <v>8</v>
      </c>
      <c r="EX553" s="27" t="s">
        <v>7</v>
      </c>
      <c r="GE553" s="27" t="s">
        <v>8</v>
      </c>
      <c r="GF553" s="27" t="s">
        <v>7</v>
      </c>
      <c r="GG553" s="27" t="s">
        <v>8</v>
      </c>
      <c r="GH553" s="27" t="s">
        <v>7</v>
      </c>
      <c r="GI553" s="27" t="s">
        <v>8</v>
      </c>
      <c r="GJ553" s="27" t="s">
        <v>7</v>
      </c>
      <c r="GK553" s="27" t="s">
        <v>8</v>
      </c>
      <c r="GL553" s="27" t="s">
        <v>7</v>
      </c>
      <c r="GR553" s="27" t="s">
        <v>7</v>
      </c>
      <c r="GU553" s="27" t="s">
        <v>8</v>
      </c>
      <c r="GV553" s="27" t="s">
        <v>7</v>
      </c>
      <c r="GW553" s="27" t="s">
        <v>8</v>
      </c>
      <c r="GX553" s="27" t="s">
        <v>7</v>
      </c>
      <c r="HK553" s="27" t="s">
        <v>8</v>
      </c>
      <c r="HL553" s="27" t="s">
        <v>7</v>
      </c>
      <c r="HO553" s="27" t="s">
        <v>8</v>
      </c>
      <c r="HP553" s="27" t="s">
        <v>7</v>
      </c>
      <c r="HU553" s="27" t="s">
        <v>8</v>
      </c>
      <c r="HV553" s="27" t="s">
        <v>7</v>
      </c>
      <c r="HW553" s="27" t="s">
        <v>8</v>
      </c>
      <c r="HX553" s="27" t="s">
        <v>7</v>
      </c>
      <c r="HY553" s="27" t="s">
        <v>8</v>
      </c>
      <c r="HZ553" s="27" t="s">
        <v>7</v>
      </c>
      <c r="IA553" s="27" t="s">
        <v>8</v>
      </c>
      <c r="IB553" s="27" t="s">
        <v>7</v>
      </c>
      <c r="IE553" s="27" t="s">
        <v>8</v>
      </c>
      <c r="II553" s="27" t="s">
        <v>8</v>
      </c>
      <c r="IJ553" s="27" t="s">
        <v>7</v>
      </c>
      <c r="IM553" s="27" t="s">
        <v>8</v>
      </c>
      <c r="IN553" s="27" t="s">
        <v>7</v>
      </c>
    </row>
    <row r="554" spans="1:250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G554" s="27" t="s">
        <v>8</v>
      </c>
      <c r="L554" s="27" t="s">
        <v>7</v>
      </c>
      <c r="M554" s="27" t="s">
        <v>8</v>
      </c>
      <c r="N554" s="27" t="s">
        <v>7</v>
      </c>
      <c r="AQ554" s="27" t="s">
        <v>8</v>
      </c>
      <c r="AR554" s="27" t="s">
        <v>7</v>
      </c>
      <c r="AY554" s="27" t="s">
        <v>8</v>
      </c>
      <c r="AZ554" s="27" t="s">
        <v>7</v>
      </c>
      <c r="CA554" s="27" t="s">
        <v>8</v>
      </c>
      <c r="CC554" s="27" t="s">
        <v>8</v>
      </c>
      <c r="CD554" s="27" t="s">
        <v>7</v>
      </c>
      <c r="CE554" s="27" t="s">
        <v>8</v>
      </c>
      <c r="CF554" s="27" t="s">
        <v>7</v>
      </c>
      <c r="CG554" s="27" t="s">
        <v>8</v>
      </c>
      <c r="CH554" s="27" t="s">
        <v>7</v>
      </c>
      <c r="CI554" s="27" t="s">
        <v>8</v>
      </c>
      <c r="CJ554" s="27" t="s">
        <v>7</v>
      </c>
      <c r="CK554" s="27" t="s">
        <v>8</v>
      </c>
      <c r="CR554" s="27" t="s">
        <v>7</v>
      </c>
      <c r="CS554" s="27" t="s">
        <v>8</v>
      </c>
      <c r="CT554" s="27" t="s">
        <v>7</v>
      </c>
      <c r="CU554" s="27" t="s">
        <v>8</v>
      </c>
      <c r="CV554" s="27" t="s">
        <v>7</v>
      </c>
      <c r="EN554" s="27" t="s">
        <v>7</v>
      </c>
      <c r="EO554" s="27" t="s">
        <v>8</v>
      </c>
      <c r="EP554" s="27" t="s">
        <v>7</v>
      </c>
      <c r="EQ554" s="27" t="s">
        <v>8</v>
      </c>
      <c r="ER554" s="27" t="s">
        <v>7</v>
      </c>
      <c r="ES554" s="27" t="s">
        <v>8</v>
      </c>
      <c r="ET554" s="27" t="s">
        <v>7</v>
      </c>
      <c r="EU554" s="27" t="s">
        <v>8</v>
      </c>
      <c r="EV554" s="27" t="s">
        <v>7</v>
      </c>
      <c r="EW554" s="27" t="s">
        <v>8</v>
      </c>
      <c r="EX554" s="27" t="s">
        <v>7</v>
      </c>
      <c r="GE554" s="27" t="s">
        <v>8</v>
      </c>
      <c r="GF554" s="27" t="s">
        <v>7</v>
      </c>
      <c r="GG554" s="27" t="s">
        <v>8</v>
      </c>
      <c r="GH554" s="27" t="s">
        <v>7</v>
      </c>
      <c r="GI554" s="27" t="s">
        <v>8</v>
      </c>
      <c r="GJ554" s="27" t="s">
        <v>7</v>
      </c>
      <c r="GK554" s="27" t="s">
        <v>8</v>
      </c>
      <c r="GR554" s="27" t="s">
        <v>7</v>
      </c>
      <c r="GS554" s="27" t="s">
        <v>8</v>
      </c>
      <c r="GU554" s="27" t="s">
        <v>8</v>
      </c>
      <c r="GV554" s="27" t="s">
        <v>7</v>
      </c>
      <c r="GX554" s="27" t="s">
        <v>7</v>
      </c>
      <c r="GY554" s="27" t="s">
        <v>8</v>
      </c>
      <c r="HK554" s="27" t="s">
        <v>8</v>
      </c>
      <c r="HL554" s="27" t="s">
        <v>7</v>
      </c>
      <c r="HO554" s="27" t="s">
        <v>8</v>
      </c>
      <c r="HP554" s="27" t="s">
        <v>7</v>
      </c>
      <c r="HQ554" s="27" t="s">
        <v>8</v>
      </c>
      <c r="HU554" s="27" t="s">
        <v>8</v>
      </c>
      <c r="HV554" s="27" t="s">
        <v>7</v>
      </c>
      <c r="HW554" s="27" t="s">
        <v>8</v>
      </c>
      <c r="HX554" s="27" t="s">
        <v>7</v>
      </c>
      <c r="HY554" s="27" t="s">
        <v>8</v>
      </c>
      <c r="HZ554" s="27" t="s">
        <v>7</v>
      </c>
      <c r="IA554" s="27" t="s">
        <v>8</v>
      </c>
      <c r="IB554" s="27" t="s">
        <v>7</v>
      </c>
      <c r="IE554" s="27" t="s">
        <v>8</v>
      </c>
      <c r="IF554" s="27" t="s">
        <v>7</v>
      </c>
      <c r="IG554" s="27" t="s">
        <v>8</v>
      </c>
      <c r="II554" s="27" t="s">
        <v>8</v>
      </c>
      <c r="IJ554" s="27" t="s">
        <v>7</v>
      </c>
      <c r="IK554" s="27" t="s">
        <v>8</v>
      </c>
      <c r="IM554" s="27" t="s">
        <v>8</v>
      </c>
      <c r="IN554" s="27" t="s">
        <v>7</v>
      </c>
    </row>
    <row r="555" spans="1:250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L555" s="27" t="s">
        <v>7</v>
      </c>
      <c r="M555" s="27" t="s">
        <v>8</v>
      </c>
      <c r="N555" s="27" t="s">
        <v>7</v>
      </c>
      <c r="AQ555" s="27" t="s">
        <v>8</v>
      </c>
      <c r="AR555" s="27" t="s">
        <v>7</v>
      </c>
      <c r="AY555" s="27" t="s">
        <v>8</v>
      </c>
      <c r="AZ555" s="27" t="s">
        <v>7</v>
      </c>
      <c r="CA555" s="27" t="s">
        <v>8</v>
      </c>
      <c r="CB555" s="27" t="s">
        <v>7</v>
      </c>
      <c r="CC555" s="27" t="s">
        <v>8</v>
      </c>
      <c r="CD555" s="27" t="s">
        <v>7</v>
      </c>
      <c r="CE555" s="27" t="s">
        <v>8</v>
      </c>
      <c r="CF555" s="27" t="s">
        <v>7</v>
      </c>
      <c r="CG555" s="27" t="s">
        <v>8</v>
      </c>
      <c r="CH555" s="27" t="s">
        <v>7</v>
      </c>
      <c r="CI555" s="27" t="s">
        <v>8</v>
      </c>
      <c r="CJ555" s="27" t="s">
        <v>7</v>
      </c>
      <c r="CR555" s="27" t="s">
        <v>7</v>
      </c>
      <c r="CS555" s="27" t="s">
        <v>8</v>
      </c>
      <c r="CT555" s="27" t="s">
        <v>7</v>
      </c>
      <c r="EN555" s="27" t="s">
        <v>7</v>
      </c>
      <c r="EO555" s="27" t="s">
        <v>8</v>
      </c>
      <c r="EP555" s="27" t="s">
        <v>7</v>
      </c>
      <c r="EQ555" s="27" t="s">
        <v>8</v>
      </c>
      <c r="ER555" s="27" t="s">
        <v>7</v>
      </c>
      <c r="ES555" s="27" t="s">
        <v>8</v>
      </c>
      <c r="ET555" s="27" t="s">
        <v>7</v>
      </c>
      <c r="EU555" s="27" t="s">
        <v>8</v>
      </c>
      <c r="EV555" s="27" t="s">
        <v>7</v>
      </c>
      <c r="EW555" s="27" t="s">
        <v>8</v>
      </c>
      <c r="EX555" s="27" t="s">
        <v>7</v>
      </c>
      <c r="GE555" s="27" t="s">
        <v>8</v>
      </c>
      <c r="GF555" s="27" t="s">
        <v>7</v>
      </c>
      <c r="GG555" s="27" t="s">
        <v>8</v>
      </c>
      <c r="GH555" s="27" t="s">
        <v>7</v>
      </c>
      <c r="GI555" s="27" t="s">
        <v>8</v>
      </c>
      <c r="GJ555" s="27" t="s">
        <v>7</v>
      </c>
      <c r="GR555" s="27" t="s">
        <v>7</v>
      </c>
      <c r="GS555" s="27" t="s">
        <v>8</v>
      </c>
      <c r="GT555" s="27" t="s">
        <v>7</v>
      </c>
      <c r="GU555" s="27" t="s">
        <v>8</v>
      </c>
      <c r="GX555" s="27" t="s">
        <v>7</v>
      </c>
      <c r="GY555" s="27" t="s">
        <v>8</v>
      </c>
      <c r="GZ555" s="27" t="s">
        <v>7</v>
      </c>
      <c r="HI555" s="27" t="s">
        <v>8</v>
      </c>
      <c r="HK555" s="27" t="s">
        <v>8</v>
      </c>
      <c r="HL555" s="27" t="s">
        <v>7</v>
      </c>
      <c r="HM555" s="27" t="s">
        <v>8</v>
      </c>
      <c r="HO555" s="27" t="s">
        <v>8</v>
      </c>
      <c r="HP555" s="27" t="s">
        <v>7</v>
      </c>
      <c r="HQ555" s="27" t="s">
        <v>8</v>
      </c>
      <c r="HR555" s="27" t="s">
        <v>7</v>
      </c>
      <c r="HU555" s="27" t="s">
        <v>8</v>
      </c>
      <c r="HV555" s="27" t="s">
        <v>7</v>
      </c>
      <c r="HW555" s="27" t="s">
        <v>8</v>
      </c>
      <c r="HX555" s="27" t="s">
        <v>7</v>
      </c>
      <c r="HY555" s="27" t="s">
        <v>8</v>
      </c>
      <c r="HZ555" s="27" t="s">
        <v>7</v>
      </c>
      <c r="IA555" s="27" t="s">
        <v>8</v>
      </c>
      <c r="IB555" s="27" t="s">
        <v>7</v>
      </c>
      <c r="IC555" s="27" t="s">
        <v>8</v>
      </c>
      <c r="IE555" s="27" t="s">
        <v>8</v>
      </c>
      <c r="IF555" s="27" t="s">
        <v>7</v>
      </c>
      <c r="IG555" s="27" t="s">
        <v>8</v>
      </c>
      <c r="IH555" s="27" t="s">
        <v>7</v>
      </c>
      <c r="II555" s="27" t="s">
        <v>8</v>
      </c>
      <c r="IJ555" s="27" t="s">
        <v>7</v>
      </c>
      <c r="IK555" s="27" t="s">
        <v>8</v>
      </c>
      <c r="IL555" s="27" t="s">
        <v>7</v>
      </c>
      <c r="IM555" s="27" t="s">
        <v>8</v>
      </c>
      <c r="IN555" s="27" t="s">
        <v>7</v>
      </c>
    </row>
    <row r="556" spans="1:250" x14ac:dyDescent="0.25">
      <c r="A556" s="7">
        <v>1.8475888157854219</v>
      </c>
      <c r="B556"/>
      <c r="C556"/>
      <c r="D556"/>
      <c r="E556" t="s">
        <v>8</v>
      </c>
      <c r="L556" s="27" t="s">
        <v>7</v>
      </c>
      <c r="M556" s="27" t="s">
        <v>8</v>
      </c>
      <c r="N556" s="27" t="s">
        <v>7</v>
      </c>
      <c r="AQ556" s="27" t="s">
        <v>8</v>
      </c>
      <c r="AR556" s="27" t="s">
        <v>7</v>
      </c>
      <c r="AS556" s="27" t="s">
        <v>8</v>
      </c>
      <c r="AY556" s="27" t="s">
        <v>8</v>
      </c>
      <c r="AZ556" s="27" t="s">
        <v>7</v>
      </c>
      <c r="BA556" s="27" t="s">
        <v>8</v>
      </c>
      <c r="CA556" s="27" t="s">
        <v>8</v>
      </c>
      <c r="CB556" s="27" t="s">
        <v>7</v>
      </c>
      <c r="CC556" s="27" t="s">
        <v>8</v>
      </c>
      <c r="CD556" s="27" t="s">
        <v>7</v>
      </c>
      <c r="CE556" s="27" t="s">
        <v>8</v>
      </c>
      <c r="CF556" s="27" t="s">
        <v>7</v>
      </c>
      <c r="CG556" s="27" t="s">
        <v>8</v>
      </c>
      <c r="CH556" s="27" t="s">
        <v>7</v>
      </c>
      <c r="CI556" s="27" t="s">
        <v>8</v>
      </c>
      <c r="CR556" s="27" t="s">
        <v>7</v>
      </c>
      <c r="EN556" s="27" t="s">
        <v>7</v>
      </c>
      <c r="EO556" s="27" t="s">
        <v>8</v>
      </c>
      <c r="EP556" s="27" t="s">
        <v>7</v>
      </c>
      <c r="EQ556" s="27" t="s">
        <v>8</v>
      </c>
      <c r="ER556" s="27" t="s">
        <v>7</v>
      </c>
      <c r="ES556" s="27" t="s">
        <v>8</v>
      </c>
      <c r="ET556" s="27" t="s">
        <v>7</v>
      </c>
      <c r="EV556" s="27" t="s">
        <v>7</v>
      </c>
      <c r="EW556" s="27" t="s">
        <v>8</v>
      </c>
      <c r="EX556" s="27" t="s">
        <v>7</v>
      </c>
      <c r="GE556" s="27" t="s">
        <v>8</v>
      </c>
      <c r="GF556" s="27" t="s">
        <v>7</v>
      </c>
      <c r="GG556" s="27" t="s">
        <v>8</v>
      </c>
      <c r="GH556" s="27" t="s">
        <v>7</v>
      </c>
      <c r="GI556" s="27" t="s">
        <v>8</v>
      </c>
      <c r="GR556" s="27" t="s">
        <v>7</v>
      </c>
      <c r="GS556" s="27" t="s">
        <v>8</v>
      </c>
      <c r="GT556" s="27" t="s">
        <v>7</v>
      </c>
      <c r="GU556" s="27" t="s">
        <v>8</v>
      </c>
      <c r="GX556" s="27" t="s">
        <v>7</v>
      </c>
      <c r="GY556" s="27" t="s">
        <v>8</v>
      </c>
      <c r="GZ556" s="27" t="s">
        <v>7</v>
      </c>
      <c r="HG556" s="27" t="s">
        <v>8</v>
      </c>
      <c r="HI556" s="27" t="s">
        <v>8</v>
      </c>
      <c r="HJ556" s="27" t="s">
        <v>7</v>
      </c>
      <c r="HK556" s="27" t="s">
        <v>8</v>
      </c>
      <c r="HL556" s="27" t="s">
        <v>7</v>
      </c>
      <c r="HM556" s="27" t="s">
        <v>8</v>
      </c>
      <c r="HN556" s="27" t="s">
        <v>7</v>
      </c>
      <c r="HO556" s="27" t="s">
        <v>8</v>
      </c>
      <c r="HP556" s="27" t="s">
        <v>7</v>
      </c>
      <c r="HQ556" s="27" t="s">
        <v>8</v>
      </c>
      <c r="HR556" s="27" t="s">
        <v>7</v>
      </c>
      <c r="HU556" s="27" t="s">
        <v>8</v>
      </c>
      <c r="HV556" s="27" t="s">
        <v>7</v>
      </c>
      <c r="HW556" s="27" t="s">
        <v>8</v>
      </c>
      <c r="HX556" s="27" t="s">
        <v>7</v>
      </c>
      <c r="HY556" s="27" t="s">
        <v>8</v>
      </c>
      <c r="HZ556" s="27" t="s">
        <v>7</v>
      </c>
      <c r="IA556" s="27" t="s">
        <v>8</v>
      </c>
      <c r="IB556" s="27" t="s">
        <v>7</v>
      </c>
      <c r="IC556" s="27" t="s">
        <v>8</v>
      </c>
      <c r="ID556" s="27" t="s">
        <v>7</v>
      </c>
      <c r="IE556" s="27" t="s">
        <v>8</v>
      </c>
      <c r="IF556" s="27" t="s">
        <v>7</v>
      </c>
      <c r="IG556" s="27" t="s">
        <v>8</v>
      </c>
      <c r="IH556" s="27" t="s">
        <v>7</v>
      </c>
      <c r="II556" s="27" t="s">
        <v>8</v>
      </c>
      <c r="IJ556" s="27" t="s">
        <v>7</v>
      </c>
      <c r="IK556" s="27" t="s">
        <v>8</v>
      </c>
      <c r="IL556" s="27" t="s">
        <v>7</v>
      </c>
      <c r="IM556" s="27" t="s">
        <v>8</v>
      </c>
      <c r="IN556" s="27" t="s">
        <v>7</v>
      </c>
    </row>
    <row r="557" spans="1:250" x14ac:dyDescent="0.25">
      <c r="A557" s="7">
        <v>1.8113615841033548</v>
      </c>
      <c r="B557"/>
      <c r="C557"/>
      <c r="D557"/>
      <c r="E557" t="s">
        <v>8</v>
      </c>
      <c r="L557" s="27" t="s">
        <v>7</v>
      </c>
      <c r="N557" s="27" t="s">
        <v>7</v>
      </c>
      <c r="AQ557" s="27" t="s">
        <v>8</v>
      </c>
      <c r="AR557" s="27" t="s">
        <v>7</v>
      </c>
      <c r="AS557" s="27" t="s">
        <v>8</v>
      </c>
      <c r="AT557" s="27" t="s">
        <v>7</v>
      </c>
      <c r="AY557" s="27" t="s">
        <v>8</v>
      </c>
      <c r="AZ557" s="27" t="s">
        <v>7</v>
      </c>
      <c r="BA557" s="27" t="s">
        <v>8</v>
      </c>
      <c r="BB557" s="27" t="s">
        <v>7</v>
      </c>
      <c r="CA557" s="27" t="s">
        <v>8</v>
      </c>
      <c r="CB557" s="27" t="s">
        <v>7</v>
      </c>
      <c r="CC557" s="27" t="s">
        <v>8</v>
      </c>
      <c r="CD557" s="27" t="s">
        <v>7</v>
      </c>
      <c r="CE557" s="27" t="s">
        <v>8</v>
      </c>
      <c r="CF557" s="27" t="s">
        <v>7</v>
      </c>
      <c r="CG557" s="27" t="s">
        <v>8</v>
      </c>
      <c r="CH557" s="27" t="s">
        <v>7</v>
      </c>
      <c r="CI557" s="27" t="s">
        <v>8</v>
      </c>
      <c r="EN557" s="27" t="s">
        <v>7</v>
      </c>
      <c r="EO557" s="27" t="s">
        <v>8</v>
      </c>
      <c r="EP557" s="27" t="s">
        <v>7</v>
      </c>
      <c r="EQ557" s="27" t="s">
        <v>8</v>
      </c>
      <c r="ER557" s="27" t="s">
        <v>7</v>
      </c>
      <c r="ES557" s="27" t="s">
        <v>8</v>
      </c>
      <c r="EV557" s="27" t="s">
        <v>7</v>
      </c>
      <c r="EW557" s="27" t="s">
        <v>8</v>
      </c>
      <c r="EX557" s="27" t="s">
        <v>7</v>
      </c>
      <c r="GE557" s="27" t="s">
        <v>8</v>
      </c>
      <c r="GF557" s="27" t="s">
        <v>7</v>
      </c>
      <c r="GH557" s="27" t="s">
        <v>7</v>
      </c>
      <c r="GR557" s="27" t="s">
        <v>7</v>
      </c>
      <c r="GS557" s="27" t="s">
        <v>8</v>
      </c>
      <c r="GT557" s="27" t="s">
        <v>7</v>
      </c>
      <c r="GU557" s="27" t="s">
        <v>8</v>
      </c>
      <c r="GX557" s="27" t="s">
        <v>7</v>
      </c>
      <c r="GZ557" s="27" t="s">
        <v>7</v>
      </c>
      <c r="HA557" s="27" t="s">
        <v>8</v>
      </c>
      <c r="HG557" s="27" t="s">
        <v>8</v>
      </c>
      <c r="HH557" s="27" t="s">
        <v>7</v>
      </c>
      <c r="HI557" s="27" t="s">
        <v>8</v>
      </c>
      <c r="HJ557" s="27" t="s">
        <v>7</v>
      </c>
      <c r="HK557" s="27" t="s">
        <v>8</v>
      </c>
      <c r="HL557" s="27" t="s">
        <v>7</v>
      </c>
      <c r="HM557" s="27" t="s">
        <v>8</v>
      </c>
      <c r="HN557" s="27" t="s">
        <v>7</v>
      </c>
      <c r="HO557" s="27" t="s">
        <v>8</v>
      </c>
      <c r="HP557" s="27" t="s">
        <v>7</v>
      </c>
      <c r="HQ557" s="27" t="s">
        <v>8</v>
      </c>
      <c r="HR557" s="27" t="s">
        <v>7</v>
      </c>
      <c r="HS557" s="27" t="s">
        <v>8</v>
      </c>
      <c r="HU557" s="27" t="s">
        <v>8</v>
      </c>
      <c r="HV557" s="27" t="s">
        <v>7</v>
      </c>
      <c r="HX557" s="27" t="s">
        <v>7</v>
      </c>
      <c r="HY557" s="27" t="s">
        <v>8</v>
      </c>
      <c r="HZ557" s="27" t="s">
        <v>7</v>
      </c>
      <c r="IB557" s="27" t="s">
        <v>7</v>
      </c>
      <c r="IC557" s="27" t="s">
        <v>8</v>
      </c>
      <c r="ID557" s="27" t="s">
        <v>7</v>
      </c>
      <c r="IE557" s="27" t="s">
        <v>8</v>
      </c>
      <c r="IF557" s="27" t="s">
        <v>7</v>
      </c>
      <c r="IG557" s="27" t="s">
        <v>8</v>
      </c>
      <c r="IH557" s="27" t="s">
        <v>7</v>
      </c>
      <c r="II557" s="27" t="s">
        <v>8</v>
      </c>
      <c r="IJ557" s="27" t="s">
        <v>7</v>
      </c>
      <c r="IK557" s="27" t="s">
        <v>8</v>
      </c>
      <c r="IL557" s="27" t="s">
        <v>7</v>
      </c>
      <c r="IM557" s="27" t="s">
        <v>8</v>
      </c>
      <c r="IN557" s="27" t="s">
        <v>7</v>
      </c>
    </row>
    <row r="558" spans="1:250" x14ac:dyDescent="0.25">
      <c r="A558" s="7">
        <v>1.7758446902974065</v>
      </c>
      <c r="B558"/>
      <c r="C558"/>
      <c r="D558"/>
      <c r="E558" t="s">
        <v>8</v>
      </c>
      <c r="N558" s="27" t="s">
        <v>7</v>
      </c>
      <c r="AQ558" s="27" t="s">
        <v>8</v>
      </c>
      <c r="AR558" s="27" t="s">
        <v>7</v>
      </c>
      <c r="AS558" s="27" t="s">
        <v>8</v>
      </c>
      <c r="AT558" s="27" t="s">
        <v>7</v>
      </c>
      <c r="AY558" s="27" t="s">
        <v>8</v>
      </c>
      <c r="AZ558" s="27" t="s">
        <v>7</v>
      </c>
      <c r="BA558" s="27" t="s">
        <v>8</v>
      </c>
      <c r="BB558" s="27" t="s">
        <v>7</v>
      </c>
      <c r="CA558" s="27" t="s">
        <v>8</v>
      </c>
      <c r="CB558" s="27" t="s">
        <v>7</v>
      </c>
      <c r="CC558" s="27" t="s">
        <v>8</v>
      </c>
      <c r="CD558" s="27" t="s">
        <v>7</v>
      </c>
      <c r="CE558" s="27" t="s">
        <v>8</v>
      </c>
      <c r="CF558" s="27" t="s">
        <v>7</v>
      </c>
      <c r="CG558" s="27" t="s">
        <v>8</v>
      </c>
      <c r="CH558" s="27" t="s">
        <v>7</v>
      </c>
      <c r="CI558" s="27" t="s">
        <v>8</v>
      </c>
      <c r="EN558" s="27" t="s">
        <v>7</v>
      </c>
      <c r="EO558" s="27" t="s">
        <v>8</v>
      </c>
      <c r="EP558" s="27" t="s">
        <v>7</v>
      </c>
      <c r="EQ558" s="27" t="s">
        <v>8</v>
      </c>
      <c r="ER558" s="27" t="s">
        <v>7</v>
      </c>
      <c r="ES558" s="27" t="s">
        <v>8</v>
      </c>
      <c r="EV558" s="27" t="s">
        <v>7</v>
      </c>
      <c r="EW558" s="27" t="s">
        <v>8</v>
      </c>
      <c r="EX558" s="27" t="s">
        <v>7</v>
      </c>
      <c r="EY558" s="27" t="s">
        <v>8</v>
      </c>
      <c r="GE558" s="27" t="s">
        <v>8</v>
      </c>
      <c r="GR558" s="27" t="s">
        <v>7</v>
      </c>
      <c r="GS558" s="27" t="s">
        <v>8</v>
      </c>
      <c r="GT558" s="27" t="s">
        <v>7</v>
      </c>
      <c r="GU558" s="27" t="s">
        <v>8</v>
      </c>
      <c r="GZ558" s="27" t="s">
        <v>7</v>
      </c>
      <c r="HA558" s="27" t="s">
        <v>8</v>
      </c>
      <c r="HB558" s="27" t="s">
        <v>7</v>
      </c>
      <c r="HG558" s="27" t="s">
        <v>8</v>
      </c>
      <c r="HH558" s="27" t="s">
        <v>7</v>
      </c>
      <c r="HI558" s="27" t="s">
        <v>8</v>
      </c>
      <c r="HJ558" s="27" t="s">
        <v>7</v>
      </c>
      <c r="HL558" s="27" t="s">
        <v>7</v>
      </c>
      <c r="HM558" s="27" t="s">
        <v>8</v>
      </c>
      <c r="HN558" s="27" t="s">
        <v>7</v>
      </c>
      <c r="HO558" s="27" t="s">
        <v>8</v>
      </c>
      <c r="HP558" s="27" t="s">
        <v>7</v>
      </c>
      <c r="HR558" s="27" t="s">
        <v>7</v>
      </c>
      <c r="HS558" s="27" t="s">
        <v>8</v>
      </c>
      <c r="HT558" s="27" t="s">
        <v>7</v>
      </c>
      <c r="HU558" s="27" t="s">
        <v>8</v>
      </c>
      <c r="HX558" s="27" t="s">
        <v>7</v>
      </c>
      <c r="IB558" s="27" t="s">
        <v>7</v>
      </c>
      <c r="IC558" s="27" t="s">
        <v>8</v>
      </c>
      <c r="ID558" s="27" t="s">
        <v>7</v>
      </c>
      <c r="IE558" s="27" t="s">
        <v>8</v>
      </c>
      <c r="IF558" s="27" t="s">
        <v>7</v>
      </c>
      <c r="IH558" s="27" t="s">
        <v>7</v>
      </c>
      <c r="II558" s="27" t="s">
        <v>8</v>
      </c>
      <c r="IJ558" s="27" t="s">
        <v>7</v>
      </c>
      <c r="IL558" s="27" t="s">
        <v>7</v>
      </c>
      <c r="IN558" s="27" t="s">
        <v>7</v>
      </c>
    </row>
    <row r="559" spans="1:250" x14ac:dyDescent="0.25">
      <c r="A559" s="7">
        <v>1.7410242061739281</v>
      </c>
      <c r="B559"/>
      <c r="C559"/>
      <c r="D559"/>
      <c r="E559" t="s">
        <v>8</v>
      </c>
      <c r="N559" s="27" t="s">
        <v>7</v>
      </c>
      <c r="AQ559" s="27" t="s">
        <v>8</v>
      </c>
      <c r="AR559" s="27" t="s">
        <v>7</v>
      </c>
      <c r="AS559" s="27" t="s">
        <v>8</v>
      </c>
      <c r="AT559" s="27" t="s">
        <v>7</v>
      </c>
      <c r="AU559" s="27" t="s">
        <v>8</v>
      </c>
      <c r="AW559" s="27" t="s">
        <v>8</v>
      </c>
      <c r="AY559" s="27" t="s">
        <v>8</v>
      </c>
      <c r="AZ559" s="27" t="s">
        <v>7</v>
      </c>
      <c r="BA559" s="27" t="s">
        <v>8</v>
      </c>
      <c r="BB559" s="27" t="s">
        <v>7</v>
      </c>
      <c r="BW559" s="27" t="s">
        <v>8</v>
      </c>
      <c r="CA559" s="27" t="s">
        <v>8</v>
      </c>
      <c r="CB559" s="27" t="s">
        <v>7</v>
      </c>
      <c r="CC559" s="27" t="s">
        <v>8</v>
      </c>
      <c r="CD559" s="27" t="s">
        <v>7</v>
      </c>
      <c r="CE559" s="27" t="s">
        <v>8</v>
      </c>
      <c r="CF559" s="27" t="s">
        <v>7</v>
      </c>
      <c r="CG559" s="27" t="s">
        <v>8</v>
      </c>
      <c r="CH559" s="27" t="s">
        <v>7</v>
      </c>
      <c r="CI559" s="27" t="s">
        <v>8</v>
      </c>
      <c r="EN559" s="27" t="s">
        <v>7</v>
      </c>
      <c r="EO559" s="27" t="s">
        <v>8</v>
      </c>
      <c r="EP559" s="27" t="s">
        <v>7</v>
      </c>
      <c r="EQ559" s="27" t="s">
        <v>8</v>
      </c>
      <c r="ER559" s="27" t="s">
        <v>7</v>
      </c>
      <c r="ES559" s="27" t="s">
        <v>8</v>
      </c>
      <c r="EV559" s="27" t="s">
        <v>7</v>
      </c>
      <c r="EW559" s="27" t="s">
        <v>8</v>
      </c>
      <c r="EX559" s="27" t="s">
        <v>7</v>
      </c>
      <c r="EY559" s="27" t="s">
        <v>8</v>
      </c>
      <c r="EZ559" s="27" t="s">
        <v>7</v>
      </c>
      <c r="GE559" s="27" t="s">
        <v>8</v>
      </c>
      <c r="GR559" s="27" t="s">
        <v>7</v>
      </c>
      <c r="GS559" s="27" t="s">
        <v>8</v>
      </c>
      <c r="GT559" s="27" t="s">
        <v>7</v>
      </c>
      <c r="GU559" s="27" t="s">
        <v>8</v>
      </c>
      <c r="GZ559" s="27" t="s">
        <v>7</v>
      </c>
      <c r="HA559" s="27" t="s">
        <v>8</v>
      </c>
      <c r="HB559" s="27" t="s">
        <v>7</v>
      </c>
      <c r="HG559" s="27" t="s">
        <v>8</v>
      </c>
      <c r="HH559" s="27" t="s">
        <v>7</v>
      </c>
      <c r="HI559" s="27" t="s">
        <v>8</v>
      </c>
      <c r="HL559" s="27" t="s">
        <v>7</v>
      </c>
      <c r="HM559" s="27" t="s">
        <v>8</v>
      </c>
      <c r="HN559" s="27" t="s">
        <v>7</v>
      </c>
      <c r="HO559" s="27" t="s">
        <v>8</v>
      </c>
      <c r="HR559" s="27" t="s">
        <v>7</v>
      </c>
      <c r="HS559" s="27" t="s">
        <v>8</v>
      </c>
      <c r="HT559" s="27" t="s">
        <v>7</v>
      </c>
      <c r="HU559" s="27" t="s">
        <v>8</v>
      </c>
      <c r="IB559" s="27" t="s">
        <v>7</v>
      </c>
      <c r="IC559" s="27" t="s">
        <v>8</v>
      </c>
      <c r="ID559" s="27" t="s">
        <v>7</v>
      </c>
      <c r="IE559" s="27" t="s">
        <v>8</v>
      </c>
      <c r="IH559" s="27" t="s">
        <v>7</v>
      </c>
      <c r="II559" s="27" t="s">
        <v>8</v>
      </c>
      <c r="IN559" s="27" t="s">
        <v>7</v>
      </c>
      <c r="IO559" s="27" t="s">
        <v>8</v>
      </c>
    </row>
    <row r="560" spans="1:250" x14ac:dyDescent="0.25">
      <c r="A560" s="7">
        <v>1.7068864766411058</v>
      </c>
      <c r="B560"/>
      <c r="C560"/>
      <c r="D560"/>
      <c r="E560" t="s">
        <v>8</v>
      </c>
      <c r="N560" s="27" t="s">
        <v>7</v>
      </c>
      <c r="O560" s="27" t="s">
        <v>8</v>
      </c>
      <c r="AQ560" s="27" t="s">
        <v>8</v>
      </c>
      <c r="AR560" s="27" t="s">
        <v>7</v>
      </c>
      <c r="AS560" s="27" t="s">
        <v>8</v>
      </c>
      <c r="AT560" s="27" t="s">
        <v>7</v>
      </c>
      <c r="AU560" s="27" t="s">
        <v>8</v>
      </c>
      <c r="AV560" s="27" t="s">
        <v>7</v>
      </c>
      <c r="AW560" s="27" t="s">
        <v>8</v>
      </c>
      <c r="AX560" s="27" t="s">
        <v>7</v>
      </c>
      <c r="AY560" s="27" t="s">
        <v>8</v>
      </c>
      <c r="AZ560" s="27" t="s">
        <v>7</v>
      </c>
      <c r="BA560" s="27" t="s">
        <v>8</v>
      </c>
      <c r="BB560" s="27" t="s">
        <v>7</v>
      </c>
      <c r="BW560" s="27" t="s">
        <v>8</v>
      </c>
      <c r="BX560" s="27" t="s">
        <v>7</v>
      </c>
      <c r="CA560" s="27" t="s">
        <v>8</v>
      </c>
      <c r="CB560" s="27" t="s">
        <v>7</v>
      </c>
      <c r="CC560" s="27" t="s">
        <v>8</v>
      </c>
      <c r="CD560" s="27" t="s">
        <v>7</v>
      </c>
      <c r="CE560" s="27" t="s">
        <v>8</v>
      </c>
      <c r="CF560" s="27" t="s">
        <v>7</v>
      </c>
      <c r="CH560" s="27" t="s">
        <v>7</v>
      </c>
      <c r="EN560" s="27" t="s">
        <v>7</v>
      </c>
      <c r="EO560" s="27" t="s">
        <v>8</v>
      </c>
      <c r="EP560" s="27" t="s">
        <v>7</v>
      </c>
      <c r="EQ560" s="27" t="s">
        <v>8</v>
      </c>
      <c r="ER560" s="27" t="s">
        <v>7</v>
      </c>
      <c r="ES560" s="27" t="s">
        <v>8</v>
      </c>
      <c r="EV560" s="27" t="s">
        <v>7</v>
      </c>
      <c r="EX560" s="27" t="s">
        <v>7</v>
      </c>
      <c r="EY560" s="27" t="s">
        <v>8</v>
      </c>
      <c r="EZ560" s="27" t="s">
        <v>7</v>
      </c>
      <c r="FA560" s="27" t="s">
        <v>8</v>
      </c>
      <c r="GC560" s="27" t="s">
        <v>8</v>
      </c>
      <c r="GE560" s="27" t="s">
        <v>8</v>
      </c>
      <c r="GR560" s="27" t="s">
        <v>7</v>
      </c>
      <c r="GS560" s="27" t="s">
        <v>8</v>
      </c>
      <c r="GT560" s="27" t="s">
        <v>7</v>
      </c>
      <c r="GU560" s="27" t="s">
        <v>8</v>
      </c>
      <c r="GZ560" s="27" t="s">
        <v>7</v>
      </c>
      <c r="HA560" s="27" t="s">
        <v>8</v>
      </c>
      <c r="HB560" s="27" t="s">
        <v>7</v>
      </c>
      <c r="HG560" s="27" t="s">
        <v>8</v>
      </c>
      <c r="HH560" s="27" t="s">
        <v>7</v>
      </c>
      <c r="HI560" s="27" t="s">
        <v>8</v>
      </c>
      <c r="HL560" s="27" t="s">
        <v>7</v>
      </c>
      <c r="HM560" s="27" t="s">
        <v>8</v>
      </c>
      <c r="HN560" s="27" t="s">
        <v>7</v>
      </c>
      <c r="HO560" s="27" t="s">
        <v>8</v>
      </c>
      <c r="HR560" s="27" t="s">
        <v>7</v>
      </c>
      <c r="HS560" s="27" t="s">
        <v>8</v>
      </c>
      <c r="HT560" s="27" t="s">
        <v>7</v>
      </c>
      <c r="IB560" s="27" t="s">
        <v>7</v>
      </c>
      <c r="IC560" s="27" t="s">
        <v>8</v>
      </c>
      <c r="ID560" s="27" t="s">
        <v>7</v>
      </c>
      <c r="IE560" s="27" t="s">
        <v>8</v>
      </c>
      <c r="IH560" s="27" t="s">
        <v>7</v>
      </c>
      <c r="IN560" s="27" t="s">
        <v>7</v>
      </c>
      <c r="IO560" s="27" t="s">
        <v>8</v>
      </c>
      <c r="IP560" s="27" t="s">
        <v>7</v>
      </c>
    </row>
    <row r="561" spans="1:274" x14ac:dyDescent="0.25">
      <c r="A561" s="7">
        <v>1.6734181143540252</v>
      </c>
      <c r="B561"/>
      <c r="C561"/>
      <c r="D561"/>
      <c r="E561" t="s">
        <v>8</v>
      </c>
      <c r="N561" s="27" t="s">
        <v>7</v>
      </c>
      <c r="O561" s="27" t="s">
        <v>8</v>
      </c>
      <c r="P561" s="27" t="s">
        <v>7</v>
      </c>
      <c r="AQ561" s="27" t="s">
        <v>8</v>
      </c>
      <c r="AR561" s="27" t="s">
        <v>7</v>
      </c>
      <c r="AS561" s="27" t="s">
        <v>8</v>
      </c>
      <c r="AT561" s="27" t="s">
        <v>7</v>
      </c>
      <c r="AU561" s="27" t="s">
        <v>8</v>
      </c>
      <c r="AV561" s="27" t="s">
        <v>7</v>
      </c>
      <c r="AW561" s="27" t="s">
        <v>8</v>
      </c>
      <c r="AX561" s="27" t="s">
        <v>7</v>
      </c>
      <c r="AY561" s="27" t="s">
        <v>8</v>
      </c>
      <c r="AZ561" s="27" t="s">
        <v>7</v>
      </c>
      <c r="BA561" s="27" t="s">
        <v>8</v>
      </c>
      <c r="BB561" s="27" t="s">
        <v>7</v>
      </c>
      <c r="BU561" s="27" t="s">
        <v>8</v>
      </c>
      <c r="BW561" s="27" t="s">
        <v>8</v>
      </c>
      <c r="BX561" s="27" t="s">
        <v>7</v>
      </c>
      <c r="CA561" s="27" t="s">
        <v>8</v>
      </c>
      <c r="CB561" s="27" t="s">
        <v>7</v>
      </c>
      <c r="CC561" s="27" t="s">
        <v>8</v>
      </c>
      <c r="CD561" s="27" t="s">
        <v>7</v>
      </c>
      <c r="CE561" s="27" t="s">
        <v>8</v>
      </c>
      <c r="EN561" s="27" t="s">
        <v>7</v>
      </c>
      <c r="EO561" s="27" t="s">
        <v>8</v>
      </c>
      <c r="EP561" s="27" t="s">
        <v>7</v>
      </c>
      <c r="EQ561" s="27" t="s">
        <v>8</v>
      </c>
      <c r="ER561" s="27" t="s">
        <v>7</v>
      </c>
      <c r="ES561" s="27" t="s">
        <v>8</v>
      </c>
      <c r="EX561" s="27" t="s">
        <v>7</v>
      </c>
      <c r="EY561" s="27" t="s">
        <v>8</v>
      </c>
      <c r="EZ561" s="27" t="s">
        <v>7</v>
      </c>
      <c r="FA561" s="27" t="s">
        <v>8</v>
      </c>
      <c r="FB561" s="27" t="s">
        <v>7</v>
      </c>
      <c r="GC561" s="27" t="s">
        <v>8</v>
      </c>
      <c r="GD561" s="27" t="s">
        <v>7</v>
      </c>
      <c r="GE561" s="27" t="s">
        <v>8</v>
      </c>
      <c r="GR561" s="27" t="s">
        <v>7</v>
      </c>
      <c r="GS561" s="27" t="s">
        <v>8</v>
      </c>
      <c r="GT561" s="27" t="s">
        <v>7</v>
      </c>
      <c r="GZ561" s="27" t="s">
        <v>7</v>
      </c>
      <c r="HA561" s="27" t="s">
        <v>8</v>
      </c>
      <c r="HB561" s="27" t="s">
        <v>7</v>
      </c>
      <c r="HC561" s="27" t="s">
        <v>8</v>
      </c>
      <c r="HG561" s="27" t="s">
        <v>8</v>
      </c>
      <c r="HH561" s="27" t="s">
        <v>7</v>
      </c>
      <c r="HI561" s="27" t="s">
        <v>8</v>
      </c>
      <c r="HL561" s="27" t="s">
        <v>7</v>
      </c>
      <c r="HM561" s="27" t="s">
        <v>8</v>
      </c>
      <c r="HN561" s="27" t="s">
        <v>7</v>
      </c>
      <c r="HR561" s="27" t="s">
        <v>7</v>
      </c>
      <c r="HS561" s="27" t="s">
        <v>8</v>
      </c>
      <c r="IB561" s="27" t="s">
        <v>7</v>
      </c>
      <c r="ID561" s="27" t="s">
        <v>7</v>
      </c>
      <c r="IN561" s="27" t="s">
        <v>7</v>
      </c>
      <c r="IO561" s="27" t="s">
        <v>8</v>
      </c>
      <c r="IP561" s="27" t="s">
        <v>7</v>
      </c>
    </row>
    <row r="562" spans="1:274" x14ac:dyDescent="0.25">
      <c r="A562" s="7">
        <v>1.6406059944647307</v>
      </c>
      <c r="B562"/>
      <c r="C562"/>
      <c r="D562"/>
      <c r="E562" t="s">
        <v>8</v>
      </c>
      <c r="N562" s="27" t="s">
        <v>7</v>
      </c>
      <c r="O562" s="27" t="s">
        <v>8</v>
      </c>
      <c r="P562" s="27" t="s">
        <v>7</v>
      </c>
      <c r="AQ562" s="27" t="s">
        <v>8</v>
      </c>
      <c r="AR562" s="27" t="s">
        <v>7</v>
      </c>
      <c r="AS562" s="27" t="s">
        <v>8</v>
      </c>
      <c r="AT562" s="27" t="s">
        <v>7</v>
      </c>
      <c r="AU562" s="27" t="s">
        <v>8</v>
      </c>
      <c r="AV562" s="27" t="s">
        <v>7</v>
      </c>
      <c r="AW562" s="27" t="s">
        <v>8</v>
      </c>
      <c r="AX562" s="27" t="s">
        <v>7</v>
      </c>
      <c r="AY562" s="27" t="s">
        <v>8</v>
      </c>
      <c r="AZ562" s="27" t="s">
        <v>7</v>
      </c>
      <c r="BA562" s="27" t="s">
        <v>8</v>
      </c>
      <c r="BB562" s="27" t="s">
        <v>7</v>
      </c>
      <c r="BU562" s="27" t="s">
        <v>8</v>
      </c>
      <c r="BV562" s="27" t="s">
        <v>7</v>
      </c>
      <c r="BW562" s="27" t="s">
        <v>8</v>
      </c>
      <c r="BX562" s="27" t="s">
        <v>7</v>
      </c>
      <c r="CA562" s="27" t="s">
        <v>8</v>
      </c>
      <c r="CB562" s="27" t="s">
        <v>7</v>
      </c>
      <c r="CD562" s="27" t="s">
        <v>7</v>
      </c>
      <c r="CE562" s="27" t="s">
        <v>8</v>
      </c>
      <c r="EN562" s="27" t="s">
        <v>7</v>
      </c>
      <c r="EO562" s="27" t="s">
        <v>8</v>
      </c>
      <c r="EP562" s="27" t="s">
        <v>7</v>
      </c>
      <c r="EQ562" s="27" t="s">
        <v>8</v>
      </c>
      <c r="ER562" s="27" t="s">
        <v>7</v>
      </c>
      <c r="ES562" s="27" t="s">
        <v>8</v>
      </c>
      <c r="EX562" s="27" t="s">
        <v>7</v>
      </c>
      <c r="EY562" s="27" t="s">
        <v>8</v>
      </c>
      <c r="EZ562" s="27" t="s">
        <v>7</v>
      </c>
      <c r="FA562" s="27" t="s">
        <v>8</v>
      </c>
      <c r="FB562" s="27" t="s">
        <v>7</v>
      </c>
      <c r="GC562" s="27" t="s">
        <v>8</v>
      </c>
      <c r="GD562" s="27" t="s">
        <v>7</v>
      </c>
      <c r="GE562" s="27" t="s">
        <v>8</v>
      </c>
      <c r="GR562" s="27" t="s">
        <v>7</v>
      </c>
      <c r="GZ562" s="27" t="s">
        <v>7</v>
      </c>
      <c r="HA562" s="27" t="s">
        <v>8</v>
      </c>
      <c r="HB562" s="27" t="s">
        <v>7</v>
      </c>
      <c r="HC562" s="27" t="s">
        <v>8</v>
      </c>
      <c r="HD562" s="27" t="s">
        <v>7</v>
      </c>
      <c r="HG562" s="27" t="s">
        <v>8</v>
      </c>
      <c r="HH562" s="27" t="s">
        <v>7</v>
      </c>
      <c r="HL562" s="27" t="s">
        <v>7</v>
      </c>
      <c r="HR562" s="27" t="s">
        <v>7</v>
      </c>
      <c r="HS562" s="27" t="s">
        <v>8</v>
      </c>
      <c r="IN562" s="27" t="s">
        <v>7</v>
      </c>
      <c r="IO562" s="27" t="s">
        <v>8</v>
      </c>
      <c r="IP562" s="27" t="s">
        <v>7</v>
      </c>
    </row>
    <row r="563" spans="1:274" x14ac:dyDescent="0.25">
      <c r="A563" s="7">
        <v>1.6084372494752261</v>
      </c>
      <c r="B563"/>
      <c r="C563"/>
      <c r="D563"/>
      <c r="E563" t="s">
        <v>8</v>
      </c>
      <c r="N563" s="27" t="s">
        <v>7</v>
      </c>
      <c r="O563" s="27" t="s">
        <v>8</v>
      </c>
      <c r="P563" s="27" t="s">
        <v>7</v>
      </c>
      <c r="AQ563" s="27" t="s">
        <v>8</v>
      </c>
      <c r="AR563" s="27" t="s">
        <v>7</v>
      </c>
      <c r="AS563" s="27" t="s">
        <v>8</v>
      </c>
      <c r="AT563" s="27" t="s">
        <v>7</v>
      </c>
      <c r="AU563" s="27" t="s">
        <v>8</v>
      </c>
      <c r="AV563" s="27" t="s">
        <v>7</v>
      </c>
      <c r="AW563" s="27" t="s">
        <v>8</v>
      </c>
      <c r="AX563" s="27" t="s">
        <v>7</v>
      </c>
      <c r="AY563" s="27" t="s">
        <v>8</v>
      </c>
      <c r="AZ563" s="27" t="s">
        <v>7</v>
      </c>
      <c r="BA563" s="27" t="s">
        <v>8</v>
      </c>
      <c r="BB563" s="27" t="s">
        <v>7</v>
      </c>
      <c r="BG563" s="27" t="s">
        <v>8</v>
      </c>
      <c r="BU563" s="27" t="s">
        <v>8</v>
      </c>
      <c r="BV563" s="27" t="s">
        <v>7</v>
      </c>
      <c r="BW563" s="27" t="s">
        <v>8</v>
      </c>
      <c r="BX563" s="27" t="s">
        <v>7</v>
      </c>
      <c r="CA563" s="27" t="s">
        <v>8</v>
      </c>
      <c r="CD563" s="27" t="s">
        <v>7</v>
      </c>
      <c r="CE563" s="27" t="s">
        <v>8</v>
      </c>
      <c r="EN563" s="27" t="s">
        <v>7</v>
      </c>
      <c r="EO563" s="27" t="s">
        <v>8</v>
      </c>
      <c r="EP563" s="27" t="s">
        <v>7</v>
      </c>
      <c r="EQ563" s="27" t="s">
        <v>8</v>
      </c>
      <c r="ER563" s="27" t="s">
        <v>7</v>
      </c>
      <c r="ES563" s="27" t="s">
        <v>8</v>
      </c>
      <c r="EX563" s="27" t="s">
        <v>7</v>
      </c>
      <c r="EY563" s="27" t="s">
        <v>8</v>
      </c>
      <c r="EZ563" s="27" t="s">
        <v>7</v>
      </c>
      <c r="FA563" s="27" t="s">
        <v>8</v>
      </c>
      <c r="FB563" s="27" t="s">
        <v>7</v>
      </c>
      <c r="GA563" s="27" t="s">
        <v>8</v>
      </c>
      <c r="GC563" s="27" t="s">
        <v>8</v>
      </c>
      <c r="GD563" s="27" t="s">
        <v>7</v>
      </c>
      <c r="GE563" s="27" t="s">
        <v>8</v>
      </c>
      <c r="GZ563" s="27" t="s">
        <v>7</v>
      </c>
      <c r="HA563" s="27" t="s">
        <v>8</v>
      </c>
      <c r="HB563" s="27" t="s">
        <v>7</v>
      </c>
      <c r="HC563" s="27" t="s">
        <v>8</v>
      </c>
      <c r="HD563" s="27" t="s">
        <v>7</v>
      </c>
      <c r="HG563" s="27" t="s">
        <v>8</v>
      </c>
      <c r="HR563" s="27" t="s">
        <v>7</v>
      </c>
      <c r="HS563" s="27" t="s">
        <v>8</v>
      </c>
      <c r="IN563" s="27" t="s">
        <v>7</v>
      </c>
      <c r="IO563" s="27" t="s">
        <v>8</v>
      </c>
      <c r="IP563" s="27" t="s">
        <v>7</v>
      </c>
    </row>
    <row r="564" spans="1:274" x14ac:dyDescent="0.25">
      <c r="A564" s="7">
        <v>1.5768992641913981</v>
      </c>
      <c r="B564"/>
      <c r="C564"/>
      <c r="D564"/>
      <c r="E564" t="s">
        <v>8</v>
      </c>
      <c r="N564" s="27" t="s">
        <v>7</v>
      </c>
      <c r="O564" s="27" t="s">
        <v>8</v>
      </c>
      <c r="P564" s="27" t="s">
        <v>7</v>
      </c>
      <c r="W564" s="27" t="s">
        <v>8</v>
      </c>
      <c r="AQ564" s="27" t="s">
        <v>8</v>
      </c>
      <c r="AR564" s="27" t="s">
        <v>7</v>
      </c>
      <c r="AS564" s="27" t="s">
        <v>8</v>
      </c>
      <c r="AT564" s="27" t="s">
        <v>7</v>
      </c>
      <c r="AU564" s="27" t="s">
        <v>8</v>
      </c>
      <c r="AV564" s="27" t="s">
        <v>7</v>
      </c>
      <c r="AW564" s="27" t="s">
        <v>8</v>
      </c>
      <c r="AX564" s="27" t="s">
        <v>7</v>
      </c>
      <c r="AY564" s="27" t="s">
        <v>8</v>
      </c>
      <c r="AZ564" s="27" t="s">
        <v>7</v>
      </c>
      <c r="BA564" s="27" t="s">
        <v>8</v>
      </c>
      <c r="BB564" s="27" t="s">
        <v>7</v>
      </c>
      <c r="BG564" s="27" t="s">
        <v>8</v>
      </c>
      <c r="BH564" s="27" t="s">
        <v>7</v>
      </c>
      <c r="BI564" s="27" t="s">
        <v>8</v>
      </c>
      <c r="BU564" s="27" t="s">
        <v>8</v>
      </c>
      <c r="BV564" s="27" t="s">
        <v>7</v>
      </c>
      <c r="BW564" s="27" t="s">
        <v>8</v>
      </c>
      <c r="BX564" s="27" t="s">
        <v>7</v>
      </c>
      <c r="CA564" s="27" t="s">
        <v>8</v>
      </c>
      <c r="CD564" s="27" t="s">
        <v>7</v>
      </c>
      <c r="CE564" s="27" t="s">
        <v>8</v>
      </c>
      <c r="EN564" s="27" t="s">
        <v>7</v>
      </c>
      <c r="EO564" s="27" t="s">
        <v>8</v>
      </c>
      <c r="EP564" s="27" t="s">
        <v>7</v>
      </c>
      <c r="EQ564" s="27" t="s">
        <v>8</v>
      </c>
      <c r="ER564" s="27" t="s">
        <v>7</v>
      </c>
      <c r="EX564" s="27" t="s">
        <v>7</v>
      </c>
      <c r="EY564" s="27" t="s">
        <v>8</v>
      </c>
      <c r="EZ564" s="27" t="s">
        <v>7</v>
      </c>
      <c r="FA564" s="27" t="s">
        <v>8</v>
      </c>
      <c r="FB564" s="27" t="s">
        <v>7</v>
      </c>
      <c r="FM564" s="27" t="s">
        <v>8</v>
      </c>
      <c r="GA564" s="27" t="s">
        <v>8</v>
      </c>
      <c r="GB564" s="27" t="s">
        <v>7</v>
      </c>
      <c r="GC564" s="27" t="s">
        <v>8</v>
      </c>
      <c r="GD564" s="27" t="s">
        <v>7</v>
      </c>
      <c r="GE564" s="27" t="s">
        <v>8</v>
      </c>
      <c r="GZ564" s="27" t="s">
        <v>7</v>
      </c>
      <c r="HA564" s="27" t="s">
        <v>8</v>
      </c>
      <c r="HB564" s="27" t="s">
        <v>7</v>
      </c>
      <c r="HC564" s="27" t="s">
        <v>8</v>
      </c>
      <c r="HD564" s="27" t="s">
        <v>7</v>
      </c>
      <c r="HE564" s="27" t="s">
        <v>8</v>
      </c>
      <c r="HG564" s="27" t="s">
        <v>8</v>
      </c>
      <c r="HR564" s="27" t="s">
        <v>7</v>
      </c>
      <c r="IN564" s="27" t="s">
        <v>7</v>
      </c>
      <c r="IO564" s="27" t="s">
        <v>8</v>
      </c>
      <c r="IP564" s="27" t="s">
        <v>7</v>
      </c>
    </row>
    <row r="565" spans="1:274" x14ac:dyDescent="0.25">
      <c r="A565" s="7">
        <v>1.5459796707758806</v>
      </c>
      <c r="B565"/>
      <c r="C565"/>
      <c r="D565"/>
      <c r="E565" t="s">
        <v>8</v>
      </c>
      <c r="N565" s="27" t="s">
        <v>7</v>
      </c>
      <c r="O565" s="27" t="s">
        <v>8</v>
      </c>
      <c r="P565" s="27" t="s">
        <v>7</v>
      </c>
      <c r="W565" s="27" t="s">
        <v>8</v>
      </c>
      <c r="X565" s="27" t="s">
        <v>7</v>
      </c>
      <c r="AQ565" s="27" t="s">
        <v>8</v>
      </c>
      <c r="AR565" s="27" t="s">
        <v>7</v>
      </c>
      <c r="AS565" s="27" t="s">
        <v>8</v>
      </c>
      <c r="AT565" s="27" t="s">
        <v>7</v>
      </c>
      <c r="AU565" s="27" t="s">
        <v>8</v>
      </c>
      <c r="AV565" s="27" t="s">
        <v>7</v>
      </c>
      <c r="AX565" s="27" t="s">
        <v>7</v>
      </c>
      <c r="AY565" s="27" t="s">
        <v>8</v>
      </c>
      <c r="AZ565" s="27" t="s">
        <v>7</v>
      </c>
      <c r="BB565" s="27" t="s">
        <v>7</v>
      </c>
      <c r="BC565" s="27" t="s">
        <v>8</v>
      </c>
      <c r="BG565" s="27" t="s">
        <v>8</v>
      </c>
      <c r="BH565" s="27" t="s">
        <v>7</v>
      </c>
      <c r="BI565" s="27" t="s">
        <v>8</v>
      </c>
      <c r="BJ565" s="27" t="s">
        <v>7</v>
      </c>
      <c r="BU565" s="27" t="s">
        <v>8</v>
      </c>
      <c r="BV565" s="27" t="s">
        <v>7</v>
      </c>
      <c r="BW565" s="27" t="s">
        <v>8</v>
      </c>
      <c r="BX565" s="27" t="s">
        <v>7</v>
      </c>
      <c r="CA565" s="27" t="s">
        <v>8</v>
      </c>
      <c r="CD565" s="27" t="s">
        <v>7</v>
      </c>
      <c r="CE565" s="27" t="s">
        <v>8</v>
      </c>
      <c r="EN565" s="27" t="s">
        <v>7</v>
      </c>
      <c r="EO565" s="27" t="s">
        <v>8</v>
      </c>
      <c r="EP565" s="27" t="s">
        <v>7</v>
      </c>
      <c r="EQ565" s="27" t="s">
        <v>8</v>
      </c>
      <c r="EX565" s="27" t="s">
        <v>7</v>
      </c>
      <c r="EY565" s="27" t="s">
        <v>8</v>
      </c>
      <c r="EZ565" s="27" t="s">
        <v>7</v>
      </c>
      <c r="FA565" s="27" t="s">
        <v>8</v>
      </c>
      <c r="FB565" s="27" t="s">
        <v>7</v>
      </c>
      <c r="FM565" s="27" t="s">
        <v>8</v>
      </c>
      <c r="FN565" s="27" t="s">
        <v>7</v>
      </c>
      <c r="GA565" s="27" t="s">
        <v>8</v>
      </c>
      <c r="GB565" s="27" t="s">
        <v>7</v>
      </c>
      <c r="GC565" s="27" t="s">
        <v>8</v>
      </c>
      <c r="GD565" s="27" t="s">
        <v>7</v>
      </c>
      <c r="GE565" s="27" t="s">
        <v>8</v>
      </c>
      <c r="GZ565" s="27" t="s">
        <v>7</v>
      </c>
      <c r="HA565" s="27" t="s">
        <v>8</v>
      </c>
      <c r="HB565" s="27" t="s">
        <v>7</v>
      </c>
      <c r="HC565" s="27" t="s">
        <v>8</v>
      </c>
      <c r="HD565" s="27" t="s">
        <v>7</v>
      </c>
      <c r="HE565" s="27" t="s">
        <v>8</v>
      </c>
      <c r="HF565" s="27" t="s">
        <v>7</v>
      </c>
      <c r="HG565" s="27" t="s">
        <v>8</v>
      </c>
      <c r="IN565" s="27" t="s">
        <v>7</v>
      </c>
      <c r="IO565" s="27" t="s">
        <v>8</v>
      </c>
      <c r="IP565" s="27" t="s">
        <v>7</v>
      </c>
      <c r="IQ565" s="27" t="s">
        <v>8</v>
      </c>
    </row>
    <row r="566" spans="1:274" x14ac:dyDescent="0.25">
      <c r="A566" s="7">
        <v>1.5156663438979221</v>
      </c>
      <c r="B566"/>
      <c r="C566"/>
      <c r="D566"/>
      <c r="E566" t="s">
        <v>8</v>
      </c>
      <c r="N566" s="27" t="s">
        <v>7</v>
      </c>
      <c r="O566" s="27" t="s">
        <v>8</v>
      </c>
      <c r="P566" s="27" t="s">
        <v>7</v>
      </c>
      <c r="Q566" s="27" t="s">
        <v>8</v>
      </c>
      <c r="W566" s="27" t="s">
        <v>8</v>
      </c>
      <c r="X566" s="27" t="s">
        <v>7</v>
      </c>
      <c r="AQ566" s="27" t="s">
        <v>8</v>
      </c>
      <c r="AR566" s="27" t="s">
        <v>7</v>
      </c>
      <c r="AT566" s="27" t="s">
        <v>7</v>
      </c>
      <c r="AU566" s="27" t="s">
        <v>8</v>
      </c>
      <c r="AX566" s="27" t="s">
        <v>7</v>
      </c>
      <c r="BB566" s="27" t="s">
        <v>7</v>
      </c>
      <c r="BC566" s="27" t="s">
        <v>8</v>
      </c>
      <c r="BD566" s="27" t="s">
        <v>7</v>
      </c>
      <c r="BG566" s="27" t="s">
        <v>8</v>
      </c>
      <c r="BH566" s="27" t="s">
        <v>7</v>
      </c>
      <c r="BI566" s="27" t="s">
        <v>8</v>
      </c>
      <c r="BJ566" s="27" t="s">
        <v>7</v>
      </c>
      <c r="BU566" s="27" t="s">
        <v>8</v>
      </c>
      <c r="BV566" s="27" t="s">
        <v>7</v>
      </c>
      <c r="BW566" s="27" t="s">
        <v>8</v>
      </c>
      <c r="BX566" s="27" t="s">
        <v>7</v>
      </c>
      <c r="CA566" s="27" t="s">
        <v>8</v>
      </c>
      <c r="CD566" s="27" t="s">
        <v>7</v>
      </c>
      <c r="CE566" s="27" t="s">
        <v>8</v>
      </c>
      <c r="EN566" s="27" t="s">
        <v>7</v>
      </c>
      <c r="EO566" s="27" t="s">
        <v>8</v>
      </c>
      <c r="EP566" s="27" t="s">
        <v>7</v>
      </c>
      <c r="EQ566" s="27" t="s">
        <v>8</v>
      </c>
      <c r="EX566" s="27" t="s">
        <v>7</v>
      </c>
      <c r="EY566" s="27" t="s">
        <v>8</v>
      </c>
      <c r="EZ566" s="27" t="s">
        <v>7</v>
      </c>
      <c r="FA566" s="27" t="s">
        <v>8</v>
      </c>
      <c r="FB566" s="27" t="s">
        <v>7</v>
      </c>
      <c r="FM566" s="27" t="s">
        <v>8</v>
      </c>
      <c r="FN566" s="27" t="s">
        <v>7</v>
      </c>
      <c r="FY566" s="27" t="s">
        <v>8</v>
      </c>
      <c r="GA566" s="27" t="s">
        <v>8</v>
      </c>
      <c r="GB566" s="27" t="s">
        <v>7</v>
      </c>
      <c r="GD566" s="27" t="s">
        <v>7</v>
      </c>
      <c r="GE566" s="27" t="s">
        <v>8</v>
      </c>
      <c r="GZ566" s="27" t="s">
        <v>7</v>
      </c>
      <c r="HA566" s="27" t="s">
        <v>8</v>
      </c>
      <c r="HB566" s="27" t="s">
        <v>7</v>
      </c>
      <c r="HD566" s="27" t="s">
        <v>7</v>
      </c>
      <c r="HE566" s="27" t="s">
        <v>8</v>
      </c>
      <c r="HF566" s="27" t="s">
        <v>7</v>
      </c>
      <c r="HG566" s="27" t="s">
        <v>8</v>
      </c>
      <c r="IN566" s="27" t="s">
        <v>7</v>
      </c>
      <c r="IO566" s="27" t="s">
        <v>8</v>
      </c>
      <c r="IP566" s="27" t="s">
        <v>7</v>
      </c>
      <c r="IQ566" s="27" t="s">
        <v>8</v>
      </c>
      <c r="IR566" s="27" t="s">
        <v>7</v>
      </c>
    </row>
    <row r="567" spans="1:274" x14ac:dyDescent="0.25">
      <c r="A567" s="7">
        <v>1.4859473959783549</v>
      </c>
      <c r="B567"/>
      <c r="C567"/>
      <c r="D567"/>
      <c r="E567" t="s">
        <v>8</v>
      </c>
      <c r="N567" s="27" t="s">
        <v>7</v>
      </c>
      <c r="O567" s="27" t="s">
        <v>8</v>
      </c>
      <c r="P567" s="27" t="s">
        <v>7</v>
      </c>
      <c r="Q567" s="27" t="s">
        <v>8</v>
      </c>
      <c r="R567" s="27" t="s">
        <v>7</v>
      </c>
      <c r="W567" s="27" t="s">
        <v>8</v>
      </c>
      <c r="X567" s="27" t="s">
        <v>7</v>
      </c>
      <c r="AA567" s="27" t="s">
        <v>8</v>
      </c>
      <c r="AQ567" s="27" t="s">
        <v>8</v>
      </c>
      <c r="AT567" s="27" t="s">
        <v>7</v>
      </c>
      <c r="AU567" s="27" t="s">
        <v>8</v>
      </c>
      <c r="BB567" s="27" t="s">
        <v>7</v>
      </c>
      <c r="BC567" s="27" t="s">
        <v>8</v>
      </c>
      <c r="BD567" s="27" t="s">
        <v>7</v>
      </c>
      <c r="BE567" s="27" t="s">
        <v>8</v>
      </c>
      <c r="BG567" s="27" t="s">
        <v>8</v>
      </c>
      <c r="BH567" s="27" t="s">
        <v>7</v>
      </c>
      <c r="BI567" s="27" t="s">
        <v>8</v>
      </c>
      <c r="BJ567" s="27" t="s">
        <v>7</v>
      </c>
      <c r="BU567" s="27" t="s">
        <v>8</v>
      </c>
      <c r="BV567" s="27" t="s">
        <v>7</v>
      </c>
      <c r="BW567" s="27" t="s">
        <v>8</v>
      </c>
      <c r="BX567" s="27" t="s">
        <v>7</v>
      </c>
      <c r="CA567" s="27" t="s">
        <v>8</v>
      </c>
      <c r="CD567" s="27" t="s">
        <v>7</v>
      </c>
      <c r="CE567" s="27" t="s">
        <v>8</v>
      </c>
      <c r="EN567" s="27" t="s">
        <v>7</v>
      </c>
      <c r="EO567" s="27" t="s">
        <v>8</v>
      </c>
      <c r="EP567" s="27" t="s">
        <v>7</v>
      </c>
      <c r="EQ567" s="27" t="s">
        <v>8</v>
      </c>
      <c r="EX567" s="27" t="s">
        <v>7</v>
      </c>
      <c r="EZ567" s="27" t="s">
        <v>7</v>
      </c>
      <c r="FA567" s="27" t="s">
        <v>8</v>
      </c>
      <c r="FB567" s="27" t="s">
        <v>7</v>
      </c>
      <c r="FM567" s="27" t="s">
        <v>8</v>
      </c>
      <c r="FN567" s="27" t="s">
        <v>7</v>
      </c>
      <c r="FO567" s="27" t="s">
        <v>8</v>
      </c>
      <c r="FY567" s="27" t="s">
        <v>8</v>
      </c>
      <c r="FZ567" s="27" t="s">
        <v>7</v>
      </c>
      <c r="GA567" s="27" t="s">
        <v>8</v>
      </c>
      <c r="GD567" s="27" t="s">
        <v>7</v>
      </c>
      <c r="GZ567" s="27" t="s">
        <v>7</v>
      </c>
      <c r="HA567" s="27" t="s">
        <v>8</v>
      </c>
      <c r="HD567" s="27" t="s">
        <v>7</v>
      </c>
      <c r="HE567" s="27" t="s">
        <v>8</v>
      </c>
      <c r="HF567" s="27" t="s">
        <v>7</v>
      </c>
      <c r="HG567" s="27" t="s">
        <v>8</v>
      </c>
      <c r="IN567" s="27" t="s">
        <v>7</v>
      </c>
      <c r="IO567" s="27" t="s">
        <v>8</v>
      </c>
      <c r="IP567" s="27" t="s">
        <v>7</v>
      </c>
      <c r="IQ567" s="27" t="s">
        <v>8</v>
      </c>
      <c r="IR567" s="27" t="s">
        <v>7</v>
      </c>
      <c r="JA567" s="27" t="s">
        <v>8</v>
      </c>
    </row>
    <row r="568" spans="1:274" x14ac:dyDescent="0.25">
      <c r="A568" s="7">
        <v>1.4568111725277988</v>
      </c>
      <c r="B568"/>
      <c r="C568"/>
      <c r="D568"/>
      <c r="E568" t="s">
        <v>8</v>
      </c>
      <c r="N568" s="27" t="s">
        <v>7</v>
      </c>
      <c r="O568" s="27" t="s">
        <v>8</v>
      </c>
      <c r="P568" s="27" t="s">
        <v>7</v>
      </c>
      <c r="Q568" s="27" t="s">
        <v>8</v>
      </c>
      <c r="R568" s="27" t="s">
        <v>7</v>
      </c>
      <c r="W568" s="27" t="s">
        <v>8</v>
      </c>
      <c r="X568" s="27" t="s">
        <v>7</v>
      </c>
      <c r="Y568" s="27" t="s">
        <v>8</v>
      </c>
      <c r="AA568" s="27" t="s">
        <v>8</v>
      </c>
      <c r="AB568" s="27" t="s">
        <v>7</v>
      </c>
      <c r="AQ568" s="27" t="s">
        <v>8</v>
      </c>
      <c r="AT568" s="27" t="s">
        <v>7</v>
      </c>
      <c r="AU568" s="27" t="s">
        <v>8</v>
      </c>
      <c r="BB568" s="27" t="s">
        <v>7</v>
      </c>
      <c r="BC568" s="27" t="s">
        <v>8</v>
      </c>
      <c r="BD568" s="27" t="s">
        <v>7</v>
      </c>
      <c r="BE568" s="27" t="s">
        <v>8</v>
      </c>
      <c r="BF568" s="27" t="s">
        <v>7</v>
      </c>
      <c r="BG568" s="27" t="s">
        <v>8</v>
      </c>
      <c r="BH568" s="27" t="s">
        <v>7</v>
      </c>
      <c r="BI568" s="27" t="s">
        <v>8</v>
      </c>
      <c r="BJ568" s="27" t="s">
        <v>7</v>
      </c>
      <c r="BS568" s="27" t="s">
        <v>8</v>
      </c>
      <c r="BU568" s="27" t="s">
        <v>8</v>
      </c>
      <c r="BV568" s="27" t="s">
        <v>7</v>
      </c>
      <c r="BW568" s="27" t="s">
        <v>8</v>
      </c>
      <c r="BX568" s="27" t="s">
        <v>7</v>
      </c>
      <c r="CA568" s="27" t="s">
        <v>8</v>
      </c>
      <c r="CD568" s="27" t="s">
        <v>7</v>
      </c>
      <c r="EN568" s="27" t="s">
        <v>7</v>
      </c>
      <c r="EO568" s="27" t="s">
        <v>8</v>
      </c>
      <c r="EP568" s="27" t="s">
        <v>7</v>
      </c>
      <c r="EQ568" s="27" t="s">
        <v>8</v>
      </c>
      <c r="EZ568" s="27" t="s">
        <v>7</v>
      </c>
      <c r="FA568" s="27" t="s">
        <v>8</v>
      </c>
      <c r="FB568" s="27" t="s">
        <v>7</v>
      </c>
      <c r="FM568" s="27" t="s">
        <v>8</v>
      </c>
      <c r="FN568" s="27" t="s">
        <v>7</v>
      </c>
      <c r="FO568" s="27" t="s">
        <v>8</v>
      </c>
      <c r="FP568" s="27" t="s">
        <v>7</v>
      </c>
      <c r="FU568" s="27" t="s">
        <v>8</v>
      </c>
      <c r="FY568" s="27" t="s">
        <v>8</v>
      </c>
      <c r="FZ568" s="27" t="s">
        <v>7</v>
      </c>
      <c r="GA568" s="27" t="s">
        <v>8</v>
      </c>
      <c r="GZ568" s="27" t="s">
        <v>7</v>
      </c>
      <c r="HA568" s="27" t="s">
        <v>8</v>
      </c>
      <c r="HD568" s="27" t="s">
        <v>7</v>
      </c>
      <c r="HE568" s="27" t="s">
        <v>8</v>
      </c>
      <c r="HF568" s="27" t="s">
        <v>7</v>
      </c>
      <c r="IN568" s="27" t="s">
        <v>7</v>
      </c>
      <c r="IO568" s="27" t="s">
        <v>8</v>
      </c>
      <c r="IP568" s="27" t="s">
        <v>7</v>
      </c>
      <c r="IQ568" s="27" t="s">
        <v>8</v>
      </c>
      <c r="IR568" s="27" t="s">
        <v>7</v>
      </c>
      <c r="JA568" s="27" t="s">
        <v>8</v>
      </c>
      <c r="JB568" s="27" t="s">
        <v>7</v>
      </c>
      <c r="JC568" s="27" t="s">
        <v>8</v>
      </c>
    </row>
    <row r="569" spans="1:274" x14ac:dyDescent="0.25">
      <c r="A569" s="7">
        <v>1.4282462475762734</v>
      </c>
      <c r="B569"/>
      <c r="C569"/>
      <c r="D569"/>
      <c r="E569" t="s">
        <v>8</v>
      </c>
      <c r="N569" s="27" t="s">
        <v>7</v>
      </c>
      <c r="O569" s="27" t="s">
        <v>8</v>
      </c>
      <c r="P569" s="27" t="s">
        <v>7</v>
      </c>
      <c r="Q569" s="27" t="s">
        <v>8</v>
      </c>
      <c r="R569" s="27" t="s">
        <v>7</v>
      </c>
      <c r="W569" s="27" t="s">
        <v>8</v>
      </c>
      <c r="X569" s="27" t="s">
        <v>7</v>
      </c>
      <c r="Y569" s="27" t="s">
        <v>8</v>
      </c>
      <c r="Z569" s="27" t="s">
        <v>7</v>
      </c>
      <c r="AA569" s="27" t="s">
        <v>8</v>
      </c>
      <c r="AB569" s="27" t="s">
        <v>7</v>
      </c>
      <c r="AO569" s="27" t="s">
        <v>8</v>
      </c>
      <c r="AQ569" s="27" t="s">
        <v>8</v>
      </c>
      <c r="AT569" s="27" t="s">
        <v>7</v>
      </c>
      <c r="AU569" s="27" t="s">
        <v>8</v>
      </c>
      <c r="BB569" s="27" t="s">
        <v>7</v>
      </c>
      <c r="BC569" s="27" t="s">
        <v>8</v>
      </c>
      <c r="BD569" s="27" t="s">
        <v>7</v>
      </c>
      <c r="BE569" s="27" t="s">
        <v>8</v>
      </c>
      <c r="BF569" s="27" t="s">
        <v>7</v>
      </c>
      <c r="BG569" s="27" t="s">
        <v>8</v>
      </c>
      <c r="BH569" s="27" t="s">
        <v>7</v>
      </c>
      <c r="BJ569" s="27" t="s">
        <v>7</v>
      </c>
      <c r="BS569" s="27" t="s">
        <v>8</v>
      </c>
      <c r="BT569" s="27" t="s">
        <v>7</v>
      </c>
      <c r="BU569" s="27" t="s">
        <v>8</v>
      </c>
      <c r="BV569" s="27" t="s">
        <v>7</v>
      </c>
      <c r="BW569" s="27" t="s">
        <v>8</v>
      </c>
      <c r="BX569" s="27" t="s">
        <v>7</v>
      </c>
      <c r="CA569" s="27" t="s">
        <v>8</v>
      </c>
      <c r="EN569" s="27" t="s">
        <v>7</v>
      </c>
      <c r="EP569" s="27" t="s">
        <v>7</v>
      </c>
      <c r="EQ569" s="27" t="s">
        <v>8</v>
      </c>
      <c r="EZ569" s="27" t="s">
        <v>7</v>
      </c>
      <c r="FA569" s="27" t="s">
        <v>8</v>
      </c>
      <c r="FB569" s="27" t="s">
        <v>7</v>
      </c>
      <c r="FM569" s="27" t="s">
        <v>8</v>
      </c>
      <c r="FN569" s="27" t="s">
        <v>7</v>
      </c>
      <c r="FO569" s="27" t="s">
        <v>8</v>
      </c>
      <c r="FP569" s="27" t="s">
        <v>7</v>
      </c>
      <c r="FU569" s="27" t="s">
        <v>8</v>
      </c>
      <c r="FV569" s="27" t="s">
        <v>7</v>
      </c>
      <c r="FY569" s="27" t="s">
        <v>8</v>
      </c>
      <c r="FZ569" s="27" t="s">
        <v>7</v>
      </c>
      <c r="GA569" s="27" t="s">
        <v>8</v>
      </c>
      <c r="GZ569" s="27" t="s">
        <v>7</v>
      </c>
      <c r="HA569" s="27" t="s">
        <v>8</v>
      </c>
      <c r="HD569" s="27" t="s">
        <v>7</v>
      </c>
      <c r="IN569" s="27" t="s">
        <v>7</v>
      </c>
      <c r="IO569" s="27" t="s">
        <v>8</v>
      </c>
      <c r="IP569" s="27" t="s">
        <v>7</v>
      </c>
      <c r="IQ569" s="27" t="s">
        <v>8</v>
      </c>
      <c r="IR569" s="27" t="s">
        <v>7</v>
      </c>
      <c r="JA569" s="27" t="s">
        <v>8</v>
      </c>
      <c r="JB569" s="27" t="s">
        <v>7</v>
      </c>
      <c r="JC569" s="27" t="s">
        <v>8</v>
      </c>
      <c r="JD569" s="27" t="s">
        <v>7</v>
      </c>
    </row>
    <row r="570" spans="1:274" x14ac:dyDescent="0.25">
      <c r="A570" s="7">
        <v>1.4002414191924248</v>
      </c>
      <c r="B570"/>
      <c r="C570"/>
      <c r="D570"/>
      <c r="E570" t="s">
        <v>8</v>
      </c>
      <c r="N570" s="27" t="s">
        <v>7</v>
      </c>
      <c r="O570" s="27" t="s">
        <v>8</v>
      </c>
      <c r="P570" s="27" t="s">
        <v>7</v>
      </c>
      <c r="Q570" s="27" t="s">
        <v>8</v>
      </c>
      <c r="R570" s="27" t="s">
        <v>7</v>
      </c>
      <c r="W570" s="27" t="s">
        <v>8</v>
      </c>
      <c r="X570" s="27" t="s">
        <v>7</v>
      </c>
      <c r="Y570" s="27" t="s">
        <v>8</v>
      </c>
      <c r="Z570" s="27" t="s">
        <v>7</v>
      </c>
      <c r="AA570" s="27" t="s">
        <v>8</v>
      </c>
      <c r="AB570" s="27" t="s">
        <v>7</v>
      </c>
      <c r="AO570" s="27" t="s">
        <v>8</v>
      </c>
      <c r="AP570" s="27" t="s">
        <v>7</v>
      </c>
      <c r="AQ570" s="27" t="s">
        <v>8</v>
      </c>
      <c r="AT570" s="27" t="s">
        <v>7</v>
      </c>
      <c r="AU570" s="27" t="s">
        <v>8</v>
      </c>
      <c r="BB570" s="27" t="s">
        <v>7</v>
      </c>
      <c r="BD570" s="27" t="s">
        <v>7</v>
      </c>
      <c r="BE570" s="27" t="s">
        <v>8</v>
      </c>
      <c r="BF570" s="27" t="s">
        <v>7</v>
      </c>
      <c r="BG570" s="27" t="s">
        <v>8</v>
      </c>
      <c r="BJ570" s="27" t="s">
        <v>7</v>
      </c>
      <c r="BS570" s="27" t="s">
        <v>8</v>
      </c>
      <c r="BT570" s="27" t="s">
        <v>7</v>
      </c>
      <c r="BU570" s="27" t="s">
        <v>8</v>
      </c>
      <c r="BV570" s="27" t="s">
        <v>7</v>
      </c>
      <c r="BW570" s="27" t="s">
        <v>8</v>
      </c>
      <c r="BX570" s="27" t="s">
        <v>7</v>
      </c>
      <c r="CA570" s="27" t="s">
        <v>8</v>
      </c>
      <c r="EP570" s="27" t="s">
        <v>7</v>
      </c>
      <c r="EQ570" s="27" t="s">
        <v>8</v>
      </c>
      <c r="EZ570" s="27" t="s">
        <v>7</v>
      </c>
      <c r="FA570" s="27" t="s">
        <v>8</v>
      </c>
      <c r="FB570" s="27" t="s">
        <v>7</v>
      </c>
      <c r="FM570" s="27" t="s">
        <v>8</v>
      </c>
      <c r="FN570" s="27" t="s">
        <v>7</v>
      </c>
      <c r="FO570" s="27" t="s">
        <v>8</v>
      </c>
      <c r="FP570" s="27" t="s">
        <v>7</v>
      </c>
      <c r="FU570" s="27" t="s">
        <v>8</v>
      </c>
      <c r="FV570" s="27" t="s">
        <v>7</v>
      </c>
      <c r="FW570" s="27" t="s">
        <v>8</v>
      </c>
      <c r="FY570" s="27" t="s">
        <v>8</v>
      </c>
      <c r="FZ570" s="27" t="s">
        <v>7</v>
      </c>
      <c r="GA570" s="27" t="s">
        <v>8</v>
      </c>
      <c r="GZ570" s="27" t="s">
        <v>7</v>
      </c>
      <c r="HA570" s="27" t="s">
        <v>8</v>
      </c>
      <c r="IN570" s="27" t="s">
        <v>7</v>
      </c>
      <c r="IP570" s="27" t="s">
        <v>7</v>
      </c>
      <c r="IQ570" s="27" t="s">
        <v>8</v>
      </c>
      <c r="IR570" s="27" t="s">
        <v>7</v>
      </c>
      <c r="IY570" s="27" t="s">
        <v>8</v>
      </c>
      <c r="JA570" s="27" t="s">
        <v>8</v>
      </c>
      <c r="JB570" s="27" t="s">
        <v>7</v>
      </c>
      <c r="JC570" s="27" t="s">
        <v>8</v>
      </c>
      <c r="JD570" s="27" t="s">
        <v>7</v>
      </c>
    </row>
    <row r="571" spans="1:274" x14ac:dyDescent="0.25">
      <c r="A571" s="7">
        <v>1.3727857050906125</v>
      </c>
      <c r="B571"/>
      <c r="C571"/>
      <c r="D571"/>
      <c r="E571" t="s">
        <v>8</v>
      </c>
      <c r="N571" s="27" t="s">
        <v>7</v>
      </c>
      <c r="O571" s="27" t="s">
        <v>8</v>
      </c>
      <c r="P571" s="27" t="s">
        <v>7</v>
      </c>
      <c r="Q571" s="27" t="s">
        <v>8</v>
      </c>
      <c r="R571" s="27" t="s">
        <v>7</v>
      </c>
      <c r="W571" s="27" t="s">
        <v>8</v>
      </c>
      <c r="X571" s="27" t="s">
        <v>7</v>
      </c>
      <c r="Y571" s="27" t="s">
        <v>8</v>
      </c>
      <c r="Z571" s="27" t="s">
        <v>7</v>
      </c>
      <c r="AA571" s="27" t="s">
        <v>8</v>
      </c>
      <c r="AB571" s="27" t="s">
        <v>7</v>
      </c>
      <c r="AO571" s="27" t="s">
        <v>8</v>
      </c>
      <c r="AP571" s="27" t="s">
        <v>7</v>
      </c>
      <c r="AQ571" s="27" t="s">
        <v>8</v>
      </c>
      <c r="AT571" s="27" t="s">
        <v>7</v>
      </c>
      <c r="AU571" s="27" t="s">
        <v>8</v>
      </c>
      <c r="BD571" s="27" t="s">
        <v>7</v>
      </c>
      <c r="BE571" s="27" t="s">
        <v>8</v>
      </c>
      <c r="BF571" s="27" t="s">
        <v>7</v>
      </c>
      <c r="BJ571" s="27" t="s">
        <v>7</v>
      </c>
      <c r="BK571" s="27" t="s">
        <v>8</v>
      </c>
      <c r="BS571" s="27" t="s">
        <v>8</v>
      </c>
      <c r="BT571" s="27" t="s">
        <v>7</v>
      </c>
      <c r="BU571" s="27" t="s">
        <v>8</v>
      </c>
      <c r="BV571" s="27" t="s">
        <v>7</v>
      </c>
      <c r="BW571" s="27" t="s">
        <v>8</v>
      </c>
      <c r="BX571" s="27" t="s">
        <v>7</v>
      </c>
      <c r="BY571" s="27" t="s">
        <v>8</v>
      </c>
      <c r="CA571" s="27" t="s">
        <v>8</v>
      </c>
      <c r="EP571" s="27" t="s">
        <v>7</v>
      </c>
      <c r="EQ571" s="27" t="s">
        <v>8</v>
      </c>
      <c r="EZ571" s="27" t="s">
        <v>7</v>
      </c>
      <c r="FB571" s="27" t="s">
        <v>7</v>
      </c>
      <c r="FK571" s="27" t="s">
        <v>8</v>
      </c>
      <c r="FM571" s="27" t="s">
        <v>8</v>
      </c>
      <c r="FN571" s="27" t="s">
        <v>7</v>
      </c>
      <c r="FO571" s="27" t="s">
        <v>8</v>
      </c>
      <c r="FP571" s="27" t="s">
        <v>7</v>
      </c>
      <c r="FU571" s="27" t="s">
        <v>8</v>
      </c>
      <c r="FV571" s="27" t="s">
        <v>7</v>
      </c>
      <c r="FW571" s="27" t="s">
        <v>8</v>
      </c>
      <c r="FX571" s="27" t="s">
        <v>7</v>
      </c>
      <c r="FY571" s="27" t="s">
        <v>8</v>
      </c>
      <c r="FZ571" s="27" t="s">
        <v>7</v>
      </c>
      <c r="GA571" s="27" t="s">
        <v>8</v>
      </c>
      <c r="GZ571" s="27" t="s">
        <v>7</v>
      </c>
      <c r="HA571" s="27" t="s">
        <v>8</v>
      </c>
      <c r="IP571" s="27" t="s">
        <v>7</v>
      </c>
      <c r="IQ571" s="27" t="s">
        <v>8</v>
      </c>
      <c r="IR571" s="27" t="s">
        <v>7</v>
      </c>
      <c r="IY571" s="27" t="s">
        <v>8</v>
      </c>
      <c r="IZ571" s="27" t="s">
        <v>7</v>
      </c>
      <c r="JA571" s="27" t="s">
        <v>8</v>
      </c>
      <c r="JB571" s="27" t="s">
        <v>7</v>
      </c>
      <c r="JC571" s="27" t="s">
        <v>8</v>
      </c>
      <c r="JD571" s="27" t="s">
        <v>7</v>
      </c>
    </row>
    <row r="572" spans="1:274" x14ac:dyDescent="0.25">
      <c r="A572" s="7">
        <v>1.3458683383241299</v>
      </c>
      <c r="B572"/>
      <c r="C572"/>
      <c r="D572"/>
      <c r="E572" t="s">
        <v>8</v>
      </c>
      <c r="N572" s="27" t="s">
        <v>7</v>
      </c>
      <c r="O572" s="27" t="s">
        <v>8</v>
      </c>
      <c r="P572" s="27" t="s">
        <v>7</v>
      </c>
      <c r="Q572" s="27" t="s">
        <v>8</v>
      </c>
      <c r="R572" s="27" t="s">
        <v>7</v>
      </c>
      <c r="S572" s="27" t="s">
        <v>8</v>
      </c>
      <c r="U572" s="27" t="s">
        <v>8</v>
      </c>
      <c r="W572" s="27" t="s">
        <v>8</v>
      </c>
      <c r="X572" s="27" t="s">
        <v>7</v>
      </c>
      <c r="Y572" s="27" t="s">
        <v>8</v>
      </c>
      <c r="Z572" s="27" t="s">
        <v>7</v>
      </c>
      <c r="AA572" s="27" t="s">
        <v>8</v>
      </c>
      <c r="AB572" s="27" t="s">
        <v>7</v>
      </c>
      <c r="AO572" s="27" t="s">
        <v>8</v>
      </c>
      <c r="AP572" s="27" t="s">
        <v>7</v>
      </c>
      <c r="AQ572" s="27" t="s">
        <v>8</v>
      </c>
      <c r="AT572" s="27" t="s">
        <v>7</v>
      </c>
      <c r="AU572" s="27" t="s">
        <v>8</v>
      </c>
      <c r="BD572" s="27" t="s">
        <v>7</v>
      </c>
      <c r="BE572" s="27" t="s">
        <v>8</v>
      </c>
      <c r="BJ572" s="27" t="s">
        <v>7</v>
      </c>
      <c r="BK572" s="27" t="s">
        <v>8</v>
      </c>
      <c r="BL572" s="27" t="s">
        <v>7</v>
      </c>
      <c r="BO572" s="27" t="s">
        <v>8</v>
      </c>
      <c r="BS572" s="27" t="s">
        <v>8</v>
      </c>
      <c r="BT572" s="27" t="s">
        <v>7</v>
      </c>
      <c r="BU572" s="27" t="s">
        <v>8</v>
      </c>
      <c r="BV572" s="27" t="s">
        <v>7</v>
      </c>
      <c r="BW572" s="27" t="s">
        <v>8</v>
      </c>
      <c r="BX572" s="27" t="s">
        <v>7</v>
      </c>
      <c r="BY572" s="27" t="s">
        <v>8</v>
      </c>
      <c r="BZ572" s="27" t="s">
        <v>7</v>
      </c>
      <c r="CA572" s="27" t="s">
        <v>8</v>
      </c>
      <c r="EP572" s="27" t="s">
        <v>7</v>
      </c>
      <c r="EQ572" s="27" t="s">
        <v>8</v>
      </c>
      <c r="FB572" s="27" t="s">
        <v>7</v>
      </c>
      <c r="FK572" s="27" t="s">
        <v>8</v>
      </c>
      <c r="FL572" s="27" t="s">
        <v>7</v>
      </c>
      <c r="FM572" s="27" t="s">
        <v>8</v>
      </c>
      <c r="FN572" s="27" t="s">
        <v>7</v>
      </c>
      <c r="FO572" s="27" t="s">
        <v>8</v>
      </c>
      <c r="FP572" s="27" t="s">
        <v>7</v>
      </c>
      <c r="FU572" s="27" t="s">
        <v>8</v>
      </c>
      <c r="FV572" s="27" t="s">
        <v>7</v>
      </c>
      <c r="FW572" s="27" t="s">
        <v>8</v>
      </c>
      <c r="FX572" s="27" t="s">
        <v>7</v>
      </c>
      <c r="FY572" s="27" t="s">
        <v>8</v>
      </c>
      <c r="FZ572" s="27" t="s">
        <v>7</v>
      </c>
      <c r="GZ572" s="27" t="s">
        <v>7</v>
      </c>
      <c r="HA572" s="27" t="s">
        <v>8</v>
      </c>
      <c r="IP572" s="27" t="s">
        <v>7</v>
      </c>
      <c r="IQ572" s="27" t="s">
        <v>8</v>
      </c>
      <c r="IR572" s="27" t="s">
        <v>7</v>
      </c>
      <c r="IU572" s="27" t="s">
        <v>8</v>
      </c>
      <c r="IY572" s="27" t="s">
        <v>8</v>
      </c>
      <c r="IZ572" s="27" t="s">
        <v>7</v>
      </c>
      <c r="JA572" s="27" t="s">
        <v>8</v>
      </c>
      <c r="JB572" s="27" t="s">
        <v>7</v>
      </c>
      <c r="JC572" s="27" t="s">
        <v>8</v>
      </c>
      <c r="JD572" s="27" t="s">
        <v>7</v>
      </c>
    </row>
    <row r="573" spans="1:274" x14ac:dyDescent="0.25">
      <c r="A573" s="7">
        <v>1.3194787630628724</v>
      </c>
      <c r="B573"/>
      <c r="C573"/>
      <c r="D573"/>
      <c r="E573" t="s">
        <v>8</v>
      </c>
      <c r="N573" s="27" t="s">
        <v>7</v>
      </c>
      <c r="O573" s="27" t="s">
        <v>8</v>
      </c>
      <c r="P573" s="27" t="s">
        <v>7</v>
      </c>
      <c r="Q573" s="27" t="s">
        <v>8</v>
      </c>
      <c r="R573" s="27" t="s">
        <v>7</v>
      </c>
      <c r="S573" s="27" t="s">
        <v>8</v>
      </c>
      <c r="T573" s="27" t="s">
        <v>7</v>
      </c>
      <c r="U573" s="27" t="s">
        <v>8</v>
      </c>
      <c r="V573" s="27" t="s">
        <v>7</v>
      </c>
      <c r="W573" s="27" t="s">
        <v>8</v>
      </c>
      <c r="X573" s="27" t="s">
        <v>7</v>
      </c>
      <c r="Y573" s="27" t="s">
        <v>8</v>
      </c>
      <c r="Z573" s="27" t="s">
        <v>7</v>
      </c>
      <c r="AA573" s="27" t="s">
        <v>8</v>
      </c>
      <c r="AB573" s="27" t="s">
        <v>7</v>
      </c>
      <c r="AC573" s="27" t="s">
        <v>8</v>
      </c>
      <c r="AO573" s="27" t="s">
        <v>8</v>
      </c>
      <c r="AP573" s="27" t="s">
        <v>7</v>
      </c>
      <c r="AQ573" s="27" t="s">
        <v>8</v>
      </c>
      <c r="AT573" s="27" t="s">
        <v>7</v>
      </c>
      <c r="BD573" s="27" t="s">
        <v>7</v>
      </c>
      <c r="BJ573" s="27" t="s">
        <v>7</v>
      </c>
      <c r="BK573" s="27" t="s">
        <v>8</v>
      </c>
      <c r="BL573" s="27" t="s">
        <v>7</v>
      </c>
      <c r="BO573" s="27" t="s">
        <v>8</v>
      </c>
      <c r="BP573" s="27" t="s">
        <v>7</v>
      </c>
      <c r="BS573" s="27" t="s">
        <v>8</v>
      </c>
      <c r="BT573" s="27" t="s">
        <v>7</v>
      </c>
      <c r="BV573" s="27" t="s">
        <v>7</v>
      </c>
      <c r="BX573" s="27" t="s">
        <v>7</v>
      </c>
      <c r="BY573" s="27" t="s">
        <v>8</v>
      </c>
      <c r="BZ573" s="27" t="s">
        <v>7</v>
      </c>
      <c r="CA573" s="27" t="s">
        <v>8</v>
      </c>
      <c r="EP573" s="27" t="s">
        <v>7</v>
      </c>
      <c r="EQ573" s="27" t="s">
        <v>8</v>
      </c>
      <c r="FB573" s="27" t="s">
        <v>7</v>
      </c>
      <c r="FK573" s="27" t="s">
        <v>8</v>
      </c>
      <c r="FL573" s="27" t="s">
        <v>7</v>
      </c>
      <c r="FM573" s="27" t="s">
        <v>8</v>
      </c>
      <c r="FN573" s="27" t="s">
        <v>7</v>
      </c>
      <c r="FP573" s="27" t="s">
        <v>7</v>
      </c>
      <c r="FU573" s="27" t="s">
        <v>8</v>
      </c>
      <c r="FV573" s="27" t="s">
        <v>7</v>
      </c>
      <c r="FW573" s="27" t="s">
        <v>8</v>
      </c>
      <c r="FX573" s="27" t="s">
        <v>7</v>
      </c>
      <c r="FY573" s="27" t="s">
        <v>8</v>
      </c>
      <c r="GZ573" s="27" t="s">
        <v>7</v>
      </c>
      <c r="IP573" s="27" t="s">
        <v>7</v>
      </c>
      <c r="IQ573" s="27" t="s">
        <v>8</v>
      </c>
      <c r="IR573" s="27" t="s">
        <v>7</v>
      </c>
      <c r="IU573" s="27" t="s">
        <v>8</v>
      </c>
      <c r="IV573" s="27" t="s">
        <v>7</v>
      </c>
      <c r="IY573" s="27" t="s">
        <v>8</v>
      </c>
      <c r="IZ573" s="27" t="s">
        <v>7</v>
      </c>
      <c r="JA573" s="27" t="s">
        <v>8</v>
      </c>
      <c r="JB573" s="27" t="s">
        <v>7</v>
      </c>
      <c r="JC573" s="27" t="s">
        <v>8</v>
      </c>
      <c r="JD573" s="27" t="s">
        <v>7</v>
      </c>
      <c r="JE573" s="27" t="s">
        <v>8</v>
      </c>
    </row>
    <row r="574" spans="1:274" x14ac:dyDescent="0.25">
      <c r="A574" s="7">
        <v>1.2936066304537963</v>
      </c>
      <c r="B574"/>
      <c r="C574"/>
      <c r="D574"/>
      <c r="E574" t="s">
        <v>8</v>
      </c>
      <c r="N574" s="27" t="s">
        <v>7</v>
      </c>
      <c r="O574" s="27" t="s">
        <v>8</v>
      </c>
      <c r="P574" s="27" t="s">
        <v>7</v>
      </c>
      <c r="Q574" s="27" t="s">
        <v>8</v>
      </c>
      <c r="R574" s="27" t="s">
        <v>7</v>
      </c>
      <c r="S574" s="27" t="s">
        <v>8</v>
      </c>
      <c r="T574" s="27" t="s">
        <v>7</v>
      </c>
      <c r="U574" s="27" t="s">
        <v>8</v>
      </c>
      <c r="V574" s="27" t="s">
        <v>7</v>
      </c>
      <c r="W574" s="27" t="s">
        <v>8</v>
      </c>
      <c r="X574" s="27" t="s">
        <v>7</v>
      </c>
      <c r="Y574" s="27" t="s">
        <v>8</v>
      </c>
      <c r="Z574" s="27" t="s">
        <v>7</v>
      </c>
      <c r="AA574" s="27" t="s">
        <v>8</v>
      </c>
      <c r="AB574" s="27" t="s">
        <v>7</v>
      </c>
      <c r="AC574" s="27" t="s">
        <v>8</v>
      </c>
      <c r="AD574" s="27" t="s">
        <v>7</v>
      </c>
      <c r="AI574" s="27" t="s">
        <v>8</v>
      </c>
      <c r="AO574" s="27" t="s">
        <v>8</v>
      </c>
      <c r="AP574" s="27" t="s">
        <v>7</v>
      </c>
      <c r="AQ574" s="27" t="s">
        <v>8</v>
      </c>
      <c r="BJ574" s="27" t="s">
        <v>7</v>
      </c>
      <c r="BL574" s="27" t="s">
        <v>7</v>
      </c>
      <c r="BM574" s="27" t="s">
        <v>8</v>
      </c>
      <c r="BO574" s="27" t="s">
        <v>8</v>
      </c>
      <c r="BP574" s="27" t="s">
        <v>7</v>
      </c>
      <c r="BS574" s="27" t="s">
        <v>8</v>
      </c>
      <c r="BX574" s="27" t="s">
        <v>7</v>
      </c>
      <c r="BY574" s="27" t="s">
        <v>8</v>
      </c>
      <c r="BZ574" s="27" t="s">
        <v>7</v>
      </c>
      <c r="CA574" s="27" t="s">
        <v>8</v>
      </c>
      <c r="EP574" s="27" t="s">
        <v>7</v>
      </c>
      <c r="EQ574" s="27" t="s">
        <v>8</v>
      </c>
      <c r="FB574" s="27" t="s">
        <v>7</v>
      </c>
      <c r="FK574" s="27" t="s">
        <v>8</v>
      </c>
      <c r="FL574" s="27" t="s">
        <v>7</v>
      </c>
      <c r="FM574" s="27" t="s">
        <v>8</v>
      </c>
      <c r="FP574" s="27" t="s">
        <v>7</v>
      </c>
      <c r="FU574" s="27" t="s">
        <v>8</v>
      </c>
      <c r="FV574" s="27" t="s">
        <v>7</v>
      </c>
      <c r="FW574" s="27" t="s">
        <v>8</v>
      </c>
      <c r="FX574" s="27" t="s">
        <v>7</v>
      </c>
      <c r="IP574" s="27" t="s">
        <v>7</v>
      </c>
      <c r="IR574" s="27" t="s">
        <v>7</v>
      </c>
      <c r="IU574" s="27" t="s">
        <v>8</v>
      </c>
      <c r="IV574" s="27" t="s">
        <v>7</v>
      </c>
      <c r="IW574" s="27" t="s">
        <v>8</v>
      </c>
      <c r="IY574" s="27" t="s">
        <v>8</v>
      </c>
      <c r="IZ574" s="27" t="s">
        <v>7</v>
      </c>
      <c r="JB574" s="27" t="s">
        <v>7</v>
      </c>
      <c r="JC574" s="27" t="s">
        <v>8</v>
      </c>
      <c r="JD574" s="27" t="s">
        <v>7</v>
      </c>
      <c r="JE574" s="27" t="s">
        <v>8</v>
      </c>
      <c r="JF574" s="27" t="s">
        <v>7</v>
      </c>
      <c r="JK574" s="27" t="s">
        <v>8</v>
      </c>
      <c r="JM574" s="27" t="s">
        <v>8</v>
      </c>
    </row>
    <row r="575" spans="1:274" x14ac:dyDescent="0.25">
      <c r="A575" s="7">
        <v>1.2682417945625455</v>
      </c>
      <c r="B575"/>
      <c r="C575"/>
      <c r="D575"/>
      <c r="E575" t="s">
        <v>8</v>
      </c>
      <c r="N575" s="27" t="s">
        <v>7</v>
      </c>
      <c r="O575" s="27" t="s">
        <v>8</v>
      </c>
      <c r="P575" s="27" t="s">
        <v>7</v>
      </c>
      <c r="Q575" s="27" t="s">
        <v>8</v>
      </c>
      <c r="R575" s="27" t="s">
        <v>7</v>
      </c>
      <c r="S575" s="27" t="s">
        <v>8</v>
      </c>
      <c r="T575" s="27" t="s">
        <v>7</v>
      </c>
      <c r="U575" s="27" t="s">
        <v>8</v>
      </c>
      <c r="V575" s="27" t="s">
        <v>7</v>
      </c>
      <c r="W575" s="27" t="s">
        <v>8</v>
      </c>
      <c r="X575" s="27" t="s">
        <v>7</v>
      </c>
      <c r="Y575" s="27" t="s">
        <v>8</v>
      </c>
      <c r="Z575" s="27" t="s">
        <v>7</v>
      </c>
      <c r="AA575" s="27" t="s">
        <v>8</v>
      </c>
      <c r="AB575" s="27" t="s">
        <v>7</v>
      </c>
      <c r="AC575" s="27" t="s">
        <v>8</v>
      </c>
      <c r="AD575" s="27" t="s">
        <v>7</v>
      </c>
      <c r="AI575" s="27" t="s">
        <v>8</v>
      </c>
      <c r="AJ575" s="27" t="s">
        <v>7</v>
      </c>
      <c r="AO575" s="27" t="s">
        <v>8</v>
      </c>
      <c r="AP575" s="27" t="s">
        <v>7</v>
      </c>
      <c r="AQ575" s="27" t="s">
        <v>8</v>
      </c>
      <c r="BL575" s="27" t="s">
        <v>7</v>
      </c>
      <c r="BM575" s="27" t="s">
        <v>8</v>
      </c>
      <c r="BN575" s="27" t="s">
        <v>7</v>
      </c>
      <c r="BO575" s="27" t="s">
        <v>8</v>
      </c>
      <c r="BP575" s="27" t="s">
        <v>7</v>
      </c>
      <c r="BQ575" s="27" t="s">
        <v>8</v>
      </c>
      <c r="BS575" s="27" t="s">
        <v>8</v>
      </c>
      <c r="BX575" s="27" t="s">
        <v>7</v>
      </c>
      <c r="BY575" s="27" t="s">
        <v>8</v>
      </c>
      <c r="BZ575" s="27" t="s">
        <v>7</v>
      </c>
      <c r="CA575" s="27" t="s">
        <v>8</v>
      </c>
      <c r="EP575" s="27" t="s">
        <v>7</v>
      </c>
      <c r="FB575" s="27" t="s">
        <v>7</v>
      </c>
      <c r="FE575" s="27" t="s">
        <v>8</v>
      </c>
      <c r="FK575" s="27" t="s">
        <v>8</v>
      </c>
      <c r="FL575" s="27" t="s">
        <v>7</v>
      </c>
      <c r="FM575" s="27" t="s">
        <v>8</v>
      </c>
      <c r="FP575" s="27" t="s">
        <v>7</v>
      </c>
      <c r="FU575" s="27" t="s">
        <v>8</v>
      </c>
      <c r="FV575" s="27" t="s">
        <v>7</v>
      </c>
      <c r="FW575" s="27" t="s">
        <v>8</v>
      </c>
      <c r="IR575" s="27" t="s">
        <v>7</v>
      </c>
      <c r="IS575" s="27" t="s">
        <v>8</v>
      </c>
      <c r="IU575" s="27" t="s">
        <v>8</v>
      </c>
      <c r="IV575" s="27" t="s">
        <v>7</v>
      </c>
      <c r="IW575" s="27" t="s">
        <v>8</v>
      </c>
      <c r="IX575" s="27" t="s">
        <v>7</v>
      </c>
      <c r="IY575" s="27" t="s">
        <v>8</v>
      </c>
      <c r="JB575" s="27" t="s">
        <v>7</v>
      </c>
      <c r="JC575" s="27" t="s">
        <v>8</v>
      </c>
      <c r="JD575" s="27" t="s">
        <v>7</v>
      </c>
      <c r="JE575" s="27" t="s">
        <v>8</v>
      </c>
      <c r="JF575" s="27" t="s">
        <v>7</v>
      </c>
      <c r="JK575" s="27" t="s">
        <v>8</v>
      </c>
      <c r="JL575" s="27" t="s">
        <v>7</v>
      </c>
      <c r="JM575" s="27" t="s">
        <v>8</v>
      </c>
      <c r="JN575" s="27" t="s">
        <v>7</v>
      </c>
    </row>
    <row r="576" spans="1:274" x14ac:dyDescent="0.25">
      <c r="A576" s="7">
        <v>1.2433743083946525</v>
      </c>
      <c r="B576"/>
      <c r="C576"/>
      <c r="D576"/>
      <c r="E576" t="s">
        <v>8</v>
      </c>
      <c r="N576" s="27" t="s">
        <v>7</v>
      </c>
      <c r="O576" s="27" t="s">
        <v>8</v>
      </c>
      <c r="P576" s="27" t="s">
        <v>7</v>
      </c>
      <c r="Q576" s="27" t="s">
        <v>8</v>
      </c>
      <c r="R576" s="27" t="s">
        <v>7</v>
      </c>
      <c r="S576" s="27" t="s">
        <v>8</v>
      </c>
      <c r="T576" s="27" t="s">
        <v>7</v>
      </c>
      <c r="U576" s="27" t="s">
        <v>8</v>
      </c>
      <c r="V576" s="27" t="s">
        <v>7</v>
      </c>
      <c r="W576" s="27" t="s">
        <v>8</v>
      </c>
      <c r="X576" s="27" t="s">
        <v>7</v>
      </c>
      <c r="Y576" s="27" t="s">
        <v>8</v>
      </c>
      <c r="Z576" s="27" t="s">
        <v>7</v>
      </c>
      <c r="AA576" s="27" t="s">
        <v>8</v>
      </c>
      <c r="AB576" s="27" t="s">
        <v>7</v>
      </c>
      <c r="AD576" s="27" t="s">
        <v>7</v>
      </c>
      <c r="AE576" s="27" t="s">
        <v>8</v>
      </c>
      <c r="AI576" s="27" t="s">
        <v>8</v>
      </c>
      <c r="AJ576" s="27" t="s">
        <v>7</v>
      </c>
      <c r="AK576" s="27" t="s">
        <v>8</v>
      </c>
      <c r="AO576" s="27" t="s">
        <v>8</v>
      </c>
      <c r="AP576" s="27" t="s">
        <v>7</v>
      </c>
      <c r="AQ576" s="27" t="s">
        <v>8</v>
      </c>
      <c r="BL576" s="27" t="s">
        <v>7</v>
      </c>
      <c r="BM576" s="27" t="s">
        <v>8</v>
      </c>
      <c r="BN576" s="27" t="s">
        <v>7</v>
      </c>
      <c r="BO576" s="27" t="s">
        <v>8</v>
      </c>
      <c r="BP576" s="27" t="s">
        <v>7</v>
      </c>
      <c r="BQ576" s="27" t="s">
        <v>8</v>
      </c>
      <c r="BR576" s="27" t="s">
        <v>7</v>
      </c>
      <c r="BS576" s="27" t="s">
        <v>8</v>
      </c>
      <c r="BX576" s="27" t="s">
        <v>7</v>
      </c>
      <c r="BY576" s="27" t="s">
        <v>8</v>
      </c>
      <c r="BZ576" s="27" t="s">
        <v>7</v>
      </c>
      <c r="CA576" s="27" t="s">
        <v>8</v>
      </c>
      <c r="FB576" s="27" t="s">
        <v>7</v>
      </c>
      <c r="FE576" s="27" t="s">
        <v>8</v>
      </c>
      <c r="FF576" s="27" t="s">
        <v>7</v>
      </c>
      <c r="FK576" s="27" t="s">
        <v>8</v>
      </c>
      <c r="FL576" s="27" t="s">
        <v>7</v>
      </c>
      <c r="FM576" s="27" t="s">
        <v>8</v>
      </c>
      <c r="FP576" s="27" t="s">
        <v>7</v>
      </c>
      <c r="FQ576" s="27" t="s">
        <v>8</v>
      </c>
      <c r="FS576" s="27" t="s">
        <v>8</v>
      </c>
      <c r="FU576" s="27" t="s">
        <v>8</v>
      </c>
      <c r="FV576" s="27" t="s">
        <v>7</v>
      </c>
      <c r="IR576" s="27" t="s">
        <v>7</v>
      </c>
      <c r="IS576" s="27" t="s">
        <v>8</v>
      </c>
      <c r="IT576" s="27" t="s">
        <v>7</v>
      </c>
      <c r="IU576" s="27" t="s">
        <v>8</v>
      </c>
      <c r="IV576" s="27" t="s">
        <v>7</v>
      </c>
      <c r="IW576" s="27" t="s">
        <v>8</v>
      </c>
      <c r="IX576" s="27" t="s">
        <v>7</v>
      </c>
      <c r="IY576" s="27" t="s">
        <v>8</v>
      </c>
      <c r="JB576" s="27" t="s">
        <v>7</v>
      </c>
      <c r="JD576" s="27" t="s">
        <v>7</v>
      </c>
      <c r="JE576" s="27" t="s">
        <v>8</v>
      </c>
      <c r="JF576" s="27" t="s">
        <v>7</v>
      </c>
      <c r="JK576" s="27" t="s">
        <v>8</v>
      </c>
      <c r="JL576" s="27" t="s">
        <v>7</v>
      </c>
      <c r="JM576" s="27" t="s">
        <v>8</v>
      </c>
      <c r="JN576" s="27" t="s">
        <v>7</v>
      </c>
    </row>
    <row r="577" spans="1:274" x14ac:dyDescent="0.25">
      <c r="A577" s="7">
        <v>1.2189944199947573</v>
      </c>
      <c r="B577"/>
      <c r="C577"/>
      <c r="D577"/>
      <c r="E577" t="s">
        <v>8</v>
      </c>
      <c r="N577" s="27" t="s">
        <v>7</v>
      </c>
      <c r="O577" s="27" t="s">
        <v>8</v>
      </c>
      <c r="P577" s="27" t="s">
        <v>7</v>
      </c>
      <c r="Q577" s="27" t="s">
        <v>8</v>
      </c>
      <c r="R577" s="27" t="s">
        <v>7</v>
      </c>
      <c r="S577" s="27" t="s">
        <v>8</v>
      </c>
      <c r="T577" s="27" t="s">
        <v>7</v>
      </c>
      <c r="U577" s="27" t="s">
        <v>8</v>
      </c>
      <c r="V577" s="27" t="s">
        <v>7</v>
      </c>
      <c r="W577" s="27" t="s">
        <v>8</v>
      </c>
      <c r="X577" s="27" t="s">
        <v>7</v>
      </c>
      <c r="Z577" s="27" t="s">
        <v>7</v>
      </c>
      <c r="AA577" s="27" t="s">
        <v>8</v>
      </c>
      <c r="AD577" s="27" t="s">
        <v>7</v>
      </c>
      <c r="AE577" s="27" t="s">
        <v>8</v>
      </c>
      <c r="AF577" s="27" t="s">
        <v>7</v>
      </c>
      <c r="AI577" s="27" t="s">
        <v>8</v>
      </c>
      <c r="AJ577" s="27" t="s">
        <v>7</v>
      </c>
      <c r="AK577" s="27" t="s">
        <v>8</v>
      </c>
      <c r="AL577" s="27" t="s">
        <v>7</v>
      </c>
      <c r="AO577" s="27" t="s">
        <v>8</v>
      </c>
      <c r="AP577" s="27" t="s">
        <v>7</v>
      </c>
      <c r="AQ577" s="27" t="s">
        <v>8</v>
      </c>
      <c r="BL577" s="27" t="s">
        <v>7</v>
      </c>
      <c r="BM577" s="27" t="s">
        <v>8</v>
      </c>
      <c r="BN577" s="27" t="s">
        <v>7</v>
      </c>
      <c r="BO577" s="27" t="s">
        <v>8</v>
      </c>
      <c r="BP577" s="27" t="s">
        <v>7</v>
      </c>
      <c r="BQ577" s="27" t="s">
        <v>8</v>
      </c>
      <c r="BR577" s="27" t="s">
        <v>7</v>
      </c>
      <c r="BS577" s="27" t="s">
        <v>8</v>
      </c>
      <c r="BX577" s="27" t="s">
        <v>7</v>
      </c>
      <c r="BY577" s="27" t="s">
        <v>8</v>
      </c>
      <c r="BZ577" s="27" t="s">
        <v>7</v>
      </c>
      <c r="CA577" s="27" t="s">
        <v>8</v>
      </c>
      <c r="FB577" s="27" t="s">
        <v>7</v>
      </c>
      <c r="FC577" s="27" t="s">
        <v>8</v>
      </c>
      <c r="FE577" s="27" t="s">
        <v>8</v>
      </c>
      <c r="FF577" s="27" t="s">
        <v>7</v>
      </c>
      <c r="FG577" s="27" t="s">
        <v>8</v>
      </c>
      <c r="FI577" s="27" t="s">
        <v>8</v>
      </c>
      <c r="FK577" s="27" t="s">
        <v>8</v>
      </c>
      <c r="FL577" s="27" t="s">
        <v>7</v>
      </c>
      <c r="FM577" s="27" t="s">
        <v>8</v>
      </c>
      <c r="FP577" s="27" t="s">
        <v>7</v>
      </c>
      <c r="FQ577" s="27" t="s">
        <v>8</v>
      </c>
      <c r="FR577" s="27" t="s">
        <v>7</v>
      </c>
      <c r="FS577" s="27" t="s">
        <v>8</v>
      </c>
      <c r="FT577" s="27" t="s">
        <v>7</v>
      </c>
      <c r="FU577" s="27" t="s">
        <v>8</v>
      </c>
      <c r="IR577" s="27" t="s">
        <v>7</v>
      </c>
      <c r="IS577" s="27" t="s">
        <v>8</v>
      </c>
      <c r="IT577" s="27" t="s">
        <v>7</v>
      </c>
      <c r="IU577" s="27" t="s">
        <v>8</v>
      </c>
      <c r="IV577" s="27" t="s">
        <v>7</v>
      </c>
      <c r="IW577" s="27" t="s">
        <v>8</v>
      </c>
      <c r="IX577" s="27" t="s">
        <v>7</v>
      </c>
      <c r="IY577" s="27" t="s">
        <v>8</v>
      </c>
      <c r="JD577" s="27" t="s">
        <v>7</v>
      </c>
      <c r="JE577" s="27" t="s">
        <v>8</v>
      </c>
      <c r="JF577" s="27" t="s">
        <v>7</v>
      </c>
      <c r="JI577" s="27" t="s">
        <v>8</v>
      </c>
      <c r="JK577" s="27" t="s">
        <v>8</v>
      </c>
      <c r="JL577" s="27" t="s">
        <v>7</v>
      </c>
      <c r="JM577" s="27" t="s">
        <v>8</v>
      </c>
      <c r="JN577" s="27" t="s">
        <v>7</v>
      </c>
    </row>
    <row r="578" spans="1:274" x14ac:dyDescent="0.25">
      <c r="A578" s="7">
        <v>1.1950925686223111</v>
      </c>
      <c r="B578"/>
      <c r="C578"/>
      <c r="D578"/>
      <c r="E578" t="s">
        <v>8</v>
      </c>
      <c r="N578" s="27" t="s">
        <v>7</v>
      </c>
      <c r="O578" s="27" t="s">
        <v>8</v>
      </c>
      <c r="P578" s="27" t="s">
        <v>7</v>
      </c>
      <c r="Q578" s="27" t="s">
        <v>8</v>
      </c>
      <c r="R578" s="27" t="s">
        <v>7</v>
      </c>
      <c r="S578" s="27" t="s">
        <v>8</v>
      </c>
      <c r="T578" s="27" t="s">
        <v>7</v>
      </c>
      <c r="U578" s="27" t="s">
        <v>8</v>
      </c>
      <c r="V578" s="27" t="s">
        <v>7</v>
      </c>
      <c r="Z578" s="27" t="s">
        <v>7</v>
      </c>
      <c r="AA578" s="27" t="s">
        <v>8</v>
      </c>
      <c r="AD578" s="27" t="s">
        <v>7</v>
      </c>
      <c r="AE578" s="27" t="s">
        <v>8</v>
      </c>
      <c r="AF578" s="27" t="s">
        <v>7</v>
      </c>
      <c r="AI578" s="27" t="s">
        <v>8</v>
      </c>
      <c r="AJ578" s="27" t="s">
        <v>7</v>
      </c>
      <c r="AK578" s="27" t="s">
        <v>8</v>
      </c>
      <c r="AL578" s="27" t="s">
        <v>7</v>
      </c>
      <c r="AO578" s="27" t="s">
        <v>8</v>
      </c>
      <c r="AP578" s="27" t="s">
        <v>7</v>
      </c>
      <c r="AQ578" s="27" t="s">
        <v>8</v>
      </c>
      <c r="BL578" s="27" t="s">
        <v>7</v>
      </c>
      <c r="BM578" s="27" t="s">
        <v>8</v>
      </c>
      <c r="BN578" s="27" t="s">
        <v>7</v>
      </c>
      <c r="BO578" s="27" t="s">
        <v>8</v>
      </c>
      <c r="BP578" s="27" t="s">
        <v>7</v>
      </c>
      <c r="BQ578" s="27" t="s">
        <v>8</v>
      </c>
      <c r="BR578" s="27" t="s">
        <v>7</v>
      </c>
      <c r="BS578" s="27" t="s">
        <v>8</v>
      </c>
      <c r="BX578" s="27" t="s">
        <v>7</v>
      </c>
      <c r="BY578" s="27" t="s">
        <v>8</v>
      </c>
      <c r="BZ578" s="27" t="s">
        <v>7</v>
      </c>
      <c r="FB578" s="27" t="s">
        <v>7</v>
      </c>
      <c r="FC578" s="27" t="s">
        <v>8</v>
      </c>
      <c r="FD578" s="27" t="s">
        <v>7</v>
      </c>
      <c r="FE578" s="27" t="s">
        <v>8</v>
      </c>
      <c r="FF578" s="27" t="s">
        <v>7</v>
      </c>
      <c r="FG578" s="27" t="s">
        <v>8</v>
      </c>
      <c r="FH578" s="27" t="s">
        <v>7</v>
      </c>
      <c r="FI578" s="27" t="s">
        <v>8</v>
      </c>
      <c r="FJ578" s="27" t="s">
        <v>7</v>
      </c>
      <c r="FK578" s="27" t="s">
        <v>8</v>
      </c>
      <c r="FL578" s="27" t="s">
        <v>7</v>
      </c>
      <c r="FM578" s="27" t="s">
        <v>8</v>
      </c>
      <c r="FP578" s="27" t="s">
        <v>7</v>
      </c>
      <c r="FQ578" s="27" t="s">
        <v>8</v>
      </c>
      <c r="FR578" s="27" t="s">
        <v>7</v>
      </c>
      <c r="FS578" s="27" t="s">
        <v>8</v>
      </c>
      <c r="FT578" s="27" t="s">
        <v>7</v>
      </c>
      <c r="FU578" s="27" t="s">
        <v>8</v>
      </c>
      <c r="IR578" s="27" t="s">
        <v>7</v>
      </c>
      <c r="IS578" s="27" t="s">
        <v>8</v>
      </c>
      <c r="IT578" s="27" t="s">
        <v>7</v>
      </c>
      <c r="IU578" s="27" t="s">
        <v>8</v>
      </c>
      <c r="IV578" s="27" t="s">
        <v>7</v>
      </c>
      <c r="IX578" s="27" t="s">
        <v>7</v>
      </c>
      <c r="IY578" s="27" t="s">
        <v>8</v>
      </c>
      <c r="JD578" s="27" t="s">
        <v>7</v>
      </c>
      <c r="JF578" s="27" t="s">
        <v>7</v>
      </c>
      <c r="JG578" s="27" t="s">
        <v>8</v>
      </c>
      <c r="JI578" s="27" t="s">
        <v>8</v>
      </c>
      <c r="JJ578" s="27" t="s">
        <v>7</v>
      </c>
      <c r="JK578" s="27" t="s">
        <v>8</v>
      </c>
      <c r="JL578" s="27" t="s">
        <v>7</v>
      </c>
      <c r="JM578" s="27" t="s">
        <v>8</v>
      </c>
      <c r="JN578" s="27" t="s">
        <v>7</v>
      </c>
    </row>
    <row r="579" spans="1:274" x14ac:dyDescent="0.25">
      <c r="A579" s="7">
        <v>1.1716593810022657</v>
      </c>
      <c r="B579"/>
      <c r="C579"/>
      <c r="D579"/>
      <c r="E579" t="s">
        <v>8</v>
      </c>
      <c r="N579" s="27" t="s">
        <v>7</v>
      </c>
      <c r="P579" s="27" t="s">
        <v>7</v>
      </c>
      <c r="Q579" s="27" t="s">
        <v>8</v>
      </c>
      <c r="R579" s="27" t="s">
        <v>7</v>
      </c>
      <c r="T579" s="27" t="s">
        <v>7</v>
      </c>
      <c r="U579" s="27" t="s">
        <v>8</v>
      </c>
      <c r="Z579" s="27" t="s">
        <v>7</v>
      </c>
      <c r="AA579" s="27" t="s">
        <v>8</v>
      </c>
      <c r="AD579" s="27" t="s">
        <v>7</v>
      </c>
      <c r="AF579" s="27" t="s">
        <v>7</v>
      </c>
      <c r="AG579" s="27" t="s">
        <v>8</v>
      </c>
      <c r="AI579" s="27" t="s">
        <v>8</v>
      </c>
      <c r="AJ579" s="27" t="s">
        <v>7</v>
      </c>
      <c r="AK579" s="27" t="s">
        <v>8</v>
      </c>
      <c r="AL579" s="27" t="s">
        <v>7</v>
      </c>
      <c r="AM579" s="27" t="s">
        <v>8</v>
      </c>
      <c r="AO579" s="27" t="s">
        <v>8</v>
      </c>
      <c r="AP579" s="27" t="s">
        <v>7</v>
      </c>
      <c r="AQ579" s="27" t="s">
        <v>8</v>
      </c>
      <c r="BL579" s="27" t="s">
        <v>7</v>
      </c>
      <c r="BM579" s="27" t="s">
        <v>8</v>
      </c>
      <c r="BN579" s="27" t="s">
        <v>7</v>
      </c>
      <c r="BO579" s="27" t="s">
        <v>8</v>
      </c>
      <c r="BP579" s="27" t="s">
        <v>7</v>
      </c>
      <c r="BQ579" s="27" t="s">
        <v>8</v>
      </c>
      <c r="BR579" s="27" t="s">
        <v>7</v>
      </c>
      <c r="BX579" s="27" t="s">
        <v>7</v>
      </c>
      <c r="FB579" s="27" t="s">
        <v>7</v>
      </c>
      <c r="FC579" s="27" t="s">
        <v>8</v>
      </c>
      <c r="FD579" s="27" t="s">
        <v>7</v>
      </c>
      <c r="FE579" s="27" t="s">
        <v>8</v>
      </c>
      <c r="FF579" s="27" t="s">
        <v>7</v>
      </c>
      <c r="FG579" s="27" t="s">
        <v>8</v>
      </c>
      <c r="FH579" s="27" t="s">
        <v>7</v>
      </c>
      <c r="FI579" s="27" t="s">
        <v>8</v>
      </c>
      <c r="FJ579" s="27" t="s">
        <v>7</v>
      </c>
      <c r="FK579" s="27" t="s">
        <v>8</v>
      </c>
      <c r="FL579" s="27" t="s">
        <v>7</v>
      </c>
      <c r="FP579" s="27" t="s">
        <v>7</v>
      </c>
      <c r="FQ579" s="27" t="s">
        <v>8</v>
      </c>
      <c r="FR579" s="27" t="s">
        <v>7</v>
      </c>
      <c r="FS579" s="27" t="s">
        <v>8</v>
      </c>
      <c r="FT579" s="27" t="s">
        <v>7</v>
      </c>
      <c r="IR579" s="27" t="s">
        <v>7</v>
      </c>
      <c r="IT579" s="27" t="s">
        <v>7</v>
      </c>
      <c r="IX579" s="27" t="s">
        <v>7</v>
      </c>
      <c r="IY579" s="27" t="s">
        <v>8</v>
      </c>
      <c r="JF579" s="27" t="s">
        <v>7</v>
      </c>
      <c r="JG579" s="27" t="s">
        <v>8</v>
      </c>
      <c r="JH579" s="27" t="s">
        <v>7</v>
      </c>
      <c r="JI579" s="27" t="s">
        <v>8</v>
      </c>
      <c r="JJ579" s="27" t="s">
        <v>7</v>
      </c>
      <c r="JK579" s="27" t="s">
        <v>8</v>
      </c>
      <c r="JL579" s="27" t="s">
        <v>7</v>
      </c>
      <c r="JM579" s="27" t="s">
        <v>8</v>
      </c>
      <c r="JN579" s="27" t="s">
        <v>7</v>
      </c>
    </row>
    <row r="580" spans="1:274" x14ac:dyDescent="0.25">
      <c r="A580" s="7">
        <v>1.14868566764928</v>
      </c>
      <c r="B580"/>
      <c r="C580"/>
      <c r="D580"/>
      <c r="E580" t="s">
        <v>8</v>
      </c>
      <c r="P580" s="27" t="s">
        <v>7</v>
      </c>
      <c r="Q580" s="27" t="s">
        <v>8</v>
      </c>
      <c r="T580" s="27" t="s">
        <v>7</v>
      </c>
      <c r="U580" s="27" t="s">
        <v>8</v>
      </c>
      <c r="Z580" s="27" t="s">
        <v>7</v>
      </c>
      <c r="AA580" s="27" t="s">
        <v>8</v>
      </c>
      <c r="AF580" s="27" t="s">
        <v>7</v>
      </c>
      <c r="AG580" s="27" t="s">
        <v>8</v>
      </c>
      <c r="AH580" s="27" t="s">
        <v>7</v>
      </c>
      <c r="AI580" s="27" t="s">
        <v>8</v>
      </c>
      <c r="AJ580" s="27" t="s">
        <v>7</v>
      </c>
      <c r="AK580" s="27" t="s">
        <v>8</v>
      </c>
      <c r="AL580" s="27" t="s">
        <v>7</v>
      </c>
      <c r="AM580" s="27" t="s">
        <v>8</v>
      </c>
      <c r="AN580" s="27" t="s">
        <v>7</v>
      </c>
      <c r="AO580" s="27" t="s">
        <v>8</v>
      </c>
      <c r="AP580" s="27" t="s">
        <v>7</v>
      </c>
      <c r="AQ580" s="27" t="s">
        <v>8</v>
      </c>
      <c r="BL580" s="27" t="s">
        <v>7</v>
      </c>
      <c r="BM580" s="27" t="s">
        <v>8</v>
      </c>
      <c r="BN580" s="27" t="s">
        <v>7</v>
      </c>
      <c r="BO580" s="27" t="s">
        <v>8</v>
      </c>
      <c r="BP580" s="27" t="s">
        <v>7</v>
      </c>
      <c r="BQ580" s="27" t="s">
        <v>8</v>
      </c>
      <c r="FB580" s="27" t="s">
        <v>7</v>
      </c>
      <c r="FC580" s="27" t="s">
        <v>8</v>
      </c>
      <c r="FD580" s="27" t="s">
        <v>7</v>
      </c>
      <c r="FE580" s="27" t="s">
        <v>8</v>
      </c>
      <c r="FF580" s="27" t="s">
        <v>7</v>
      </c>
      <c r="FG580" s="27" t="s">
        <v>8</v>
      </c>
      <c r="FH580" s="27" t="s">
        <v>7</v>
      </c>
      <c r="FJ580" s="27" t="s">
        <v>7</v>
      </c>
      <c r="FK580" s="27" t="s">
        <v>8</v>
      </c>
      <c r="FP580" s="27" t="s">
        <v>7</v>
      </c>
      <c r="FR580" s="27" t="s">
        <v>7</v>
      </c>
      <c r="FS580" s="27" t="s">
        <v>8</v>
      </c>
      <c r="IX580" s="27" t="s">
        <v>7</v>
      </c>
      <c r="JF580" s="27" t="s">
        <v>7</v>
      </c>
      <c r="JG580" s="27" t="s">
        <v>8</v>
      </c>
      <c r="JH580" s="27" t="s">
        <v>7</v>
      </c>
      <c r="JI580" s="27" t="s">
        <v>8</v>
      </c>
      <c r="JJ580" s="27" t="s">
        <v>7</v>
      </c>
      <c r="JL580" s="27" t="s">
        <v>7</v>
      </c>
      <c r="JM580" s="27" t="s">
        <v>8</v>
      </c>
      <c r="JN580" s="27" t="s">
        <v>7</v>
      </c>
    </row>
    <row r="581" spans="1:274" x14ac:dyDescent="0.25">
      <c r="A581" s="7">
        <v>1.1261624192640001</v>
      </c>
      <c r="B581"/>
      <c r="C581"/>
      <c r="D581"/>
      <c r="E581" t="s">
        <v>8</v>
      </c>
      <c r="P581" s="27" t="s">
        <v>7</v>
      </c>
      <c r="T581" s="27" t="s">
        <v>7</v>
      </c>
      <c r="U581" s="27" t="s">
        <v>8</v>
      </c>
      <c r="Z581" s="27" t="s">
        <v>7</v>
      </c>
      <c r="AF581" s="27" t="s">
        <v>7</v>
      </c>
      <c r="AG581" s="27" t="s">
        <v>8</v>
      </c>
      <c r="AH581" s="27" t="s">
        <v>7</v>
      </c>
      <c r="AI581" s="27" t="s">
        <v>8</v>
      </c>
      <c r="AJ581" s="27" t="s">
        <v>7</v>
      </c>
      <c r="AK581" s="27" t="s">
        <v>8</v>
      </c>
      <c r="AL581" s="27" t="s">
        <v>7</v>
      </c>
      <c r="AM581" s="27" t="s">
        <v>8</v>
      </c>
      <c r="AN581" s="27" t="s">
        <v>7</v>
      </c>
      <c r="AO581" s="27" t="s">
        <v>8</v>
      </c>
      <c r="AP581" s="27" t="s">
        <v>7</v>
      </c>
      <c r="BL581" s="27" t="s">
        <v>7</v>
      </c>
      <c r="BM581" s="27" t="s">
        <v>8</v>
      </c>
      <c r="BN581" s="27" t="s">
        <v>7</v>
      </c>
      <c r="BO581" s="27" t="s">
        <v>8</v>
      </c>
      <c r="BP581" s="27" t="s">
        <v>7</v>
      </c>
      <c r="FB581" s="27" t="s">
        <v>7</v>
      </c>
      <c r="FC581" s="27" t="s">
        <v>8</v>
      </c>
      <c r="FD581" s="27" t="s">
        <v>7</v>
      </c>
      <c r="FE581" s="27" t="s">
        <v>8</v>
      </c>
      <c r="FF581" s="27" t="s">
        <v>7</v>
      </c>
      <c r="FJ581" s="27" t="s">
        <v>7</v>
      </c>
      <c r="FR581" s="27" t="s">
        <v>7</v>
      </c>
      <c r="FS581" s="27" t="s">
        <v>8</v>
      </c>
      <c r="JF581" s="27" t="s">
        <v>7</v>
      </c>
      <c r="JG581" s="27" t="s">
        <v>8</v>
      </c>
      <c r="JH581" s="27" t="s">
        <v>7</v>
      </c>
      <c r="JI581" s="27" t="s">
        <v>8</v>
      </c>
      <c r="JL581" s="27" t="s">
        <v>7</v>
      </c>
      <c r="JM581" s="27" t="s">
        <v>8</v>
      </c>
      <c r="JN581" s="27" t="s">
        <v>7</v>
      </c>
    </row>
    <row r="582" spans="1:274" x14ac:dyDescent="0.25">
      <c r="A582" s="7">
        <v>1.1040808032</v>
      </c>
      <c r="B582"/>
      <c r="C582"/>
      <c r="D582"/>
      <c r="E582" t="s">
        <v>8</v>
      </c>
      <c r="T582" s="27" t="s">
        <v>7</v>
      </c>
      <c r="U582" s="27" t="s">
        <v>8</v>
      </c>
      <c r="AF582" s="27" t="s">
        <v>7</v>
      </c>
      <c r="AG582" s="27" t="s">
        <v>8</v>
      </c>
      <c r="AH582" s="27" t="s">
        <v>7</v>
      </c>
      <c r="AI582" s="27" t="s">
        <v>8</v>
      </c>
      <c r="AJ582" s="27" t="s">
        <v>7</v>
      </c>
      <c r="AK582" s="27" t="s">
        <v>8</v>
      </c>
      <c r="AL582" s="27" t="s">
        <v>7</v>
      </c>
      <c r="AM582" s="27" t="s">
        <v>8</v>
      </c>
      <c r="AN582" s="27" t="s">
        <v>7</v>
      </c>
      <c r="AO582" s="27" t="s">
        <v>8</v>
      </c>
      <c r="BL582" s="27" t="s">
        <v>7</v>
      </c>
      <c r="BM582" s="27" t="s">
        <v>8</v>
      </c>
      <c r="BN582" s="27" t="s">
        <v>7</v>
      </c>
      <c r="FB582" s="27" t="s">
        <v>7</v>
      </c>
      <c r="FC582" s="27" t="s">
        <v>8</v>
      </c>
      <c r="FD582" s="27" t="s">
        <v>7</v>
      </c>
      <c r="FE582" s="27" t="s">
        <v>8</v>
      </c>
      <c r="FR582" s="27" t="s">
        <v>7</v>
      </c>
      <c r="FS582" s="27" t="s">
        <v>8</v>
      </c>
      <c r="JF582" s="27" t="s">
        <v>7</v>
      </c>
      <c r="JG582" s="27" t="s">
        <v>8</v>
      </c>
      <c r="JH582" s="27" t="s">
        <v>7</v>
      </c>
      <c r="JI582" s="27" t="s">
        <v>8</v>
      </c>
      <c r="JL582" s="27" t="s">
        <v>7</v>
      </c>
      <c r="JM582" s="27" t="s">
        <v>8</v>
      </c>
      <c r="JN582" s="27" t="s">
        <v>7</v>
      </c>
    </row>
    <row r="583" spans="1:274" x14ac:dyDescent="0.25">
      <c r="A583" s="7">
        <v>1.08243216</v>
      </c>
      <c r="B583"/>
      <c r="C583"/>
      <c r="D583"/>
      <c r="E583" t="s">
        <v>8</v>
      </c>
      <c r="T583" s="27" t="s">
        <v>7</v>
      </c>
      <c r="U583" s="27" t="s">
        <v>8</v>
      </c>
      <c r="AF583" s="27" t="s">
        <v>7</v>
      </c>
      <c r="AG583" s="27" t="s">
        <v>8</v>
      </c>
      <c r="AH583" s="27" t="s">
        <v>7</v>
      </c>
      <c r="AI583" s="27" t="s">
        <v>8</v>
      </c>
      <c r="AJ583" s="27" t="s">
        <v>7</v>
      </c>
      <c r="AK583" s="27" t="s">
        <v>8</v>
      </c>
      <c r="AL583" s="27" t="s">
        <v>7</v>
      </c>
      <c r="AM583" s="27" t="s">
        <v>8</v>
      </c>
      <c r="AN583" s="27" t="s">
        <v>7</v>
      </c>
      <c r="BL583" s="27" t="s">
        <v>7</v>
      </c>
      <c r="BM583" s="27" t="s">
        <v>8</v>
      </c>
      <c r="FB583" s="27" t="s">
        <v>7</v>
      </c>
      <c r="FC583" s="27" t="s">
        <v>8</v>
      </c>
      <c r="FD583" s="27" t="s">
        <v>7</v>
      </c>
      <c r="FE583" s="27" t="s">
        <v>8</v>
      </c>
      <c r="FR583" s="18" t="s">
        <v>7</v>
      </c>
      <c r="FS583" s="27" t="s">
        <v>8</v>
      </c>
      <c r="JF583" s="27" t="s">
        <v>7</v>
      </c>
      <c r="JG583" s="27" t="s">
        <v>8</v>
      </c>
      <c r="JH583" s="27" t="s">
        <v>7</v>
      </c>
      <c r="JI583" s="27" t="s">
        <v>8</v>
      </c>
      <c r="JL583" s="27" t="s">
        <v>7</v>
      </c>
      <c r="JM583" s="27" t="s">
        <v>8</v>
      </c>
      <c r="JN583" s="27" t="s">
        <v>7</v>
      </c>
    </row>
    <row r="584" spans="1:274" x14ac:dyDescent="0.25">
      <c r="A584" s="7">
        <v>1.0612079999999999</v>
      </c>
      <c r="B584"/>
      <c r="C584"/>
      <c r="D584"/>
      <c r="E584" t="s">
        <v>8</v>
      </c>
      <c r="T584" s="27" t="s">
        <v>7</v>
      </c>
      <c r="U584" s="27" t="s">
        <v>8</v>
      </c>
      <c r="AF584" s="27" t="s">
        <v>7</v>
      </c>
      <c r="AH584" s="27" t="s">
        <v>7</v>
      </c>
      <c r="AI584" s="27" t="s">
        <v>8</v>
      </c>
      <c r="AJ584" s="27" t="s">
        <v>7</v>
      </c>
      <c r="AL584" s="27" t="s">
        <v>7</v>
      </c>
      <c r="AM584" s="27" t="s">
        <v>8</v>
      </c>
      <c r="BL584" s="27" t="s">
        <v>7</v>
      </c>
      <c r="FB584" s="27" t="s">
        <v>7</v>
      </c>
      <c r="FC584" s="27" t="s">
        <v>8</v>
      </c>
      <c r="FD584" s="27" t="s">
        <v>7</v>
      </c>
      <c r="FE584" s="27" t="s">
        <v>8</v>
      </c>
      <c r="FR584" s="27" t="s">
        <v>7</v>
      </c>
      <c r="FS584" s="27" t="s">
        <v>8</v>
      </c>
      <c r="JF584" s="27" t="s">
        <v>7</v>
      </c>
      <c r="JG584" s="27" t="s">
        <v>8</v>
      </c>
      <c r="JH584" s="27" t="s">
        <v>7</v>
      </c>
      <c r="JI584" s="27" t="s">
        <v>8</v>
      </c>
      <c r="JL584" s="27" t="s">
        <v>7</v>
      </c>
      <c r="JM584" s="27" t="s">
        <v>8</v>
      </c>
      <c r="JN584" s="27" t="s">
        <v>7</v>
      </c>
    </row>
    <row r="585" spans="1:274" x14ac:dyDescent="0.25">
      <c r="A585" s="7">
        <v>1.0404</v>
      </c>
      <c r="B585"/>
      <c r="C585"/>
      <c r="D585"/>
      <c r="E585" t="s">
        <v>8</v>
      </c>
      <c r="T585" s="27" t="s">
        <v>7</v>
      </c>
      <c r="U585" s="27" t="s">
        <v>8</v>
      </c>
      <c r="AH585" s="27" t="s">
        <v>7</v>
      </c>
      <c r="AI585" s="27" t="s">
        <v>8</v>
      </c>
      <c r="AL585" s="27" t="s">
        <v>7</v>
      </c>
      <c r="FB585" s="27" t="s">
        <v>7</v>
      </c>
      <c r="FC585" s="27" t="s">
        <v>8</v>
      </c>
      <c r="FD585" s="27" t="s">
        <v>7</v>
      </c>
      <c r="FE585" s="27" t="s">
        <v>8</v>
      </c>
      <c r="FR585" s="27" t="s">
        <v>7</v>
      </c>
      <c r="FS585" s="27" t="s">
        <v>8</v>
      </c>
      <c r="JF585" s="27" t="s">
        <v>7</v>
      </c>
      <c r="JH585" s="27" t="s">
        <v>7</v>
      </c>
      <c r="JL585" s="27" t="s">
        <v>7</v>
      </c>
      <c r="JM585" s="27" t="s">
        <v>8</v>
      </c>
      <c r="JN585" s="27" t="s">
        <v>7</v>
      </c>
    </row>
    <row r="586" spans="1:274" x14ac:dyDescent="0.25">
      <c r="A586" s="7">
        <v>1.02</v>
      </c>
      <c r="B586"/>
      <c r="C586"/>
      <c r="D586"/>
      <c r="E586" t="s">
        <v>8</v>
      </c>
      <c r="T586" s="27" t="s">
        <v>7</v>
      </c>
      <c r="U586" s="27" t="s">
        <v>8</v>
      </c>
      <c r="AH586" s="27" t="s">
        <v>7</v>
      </c>
      <c r="AI586" s="27" t="s">
        <v>8</v>
      </c>
      <c r="FB586" s="27" t="s">
        <v>7</v>
      </c>
      <c r="FC586" s="27" t="s">
        <v>8</v>
      </c>
      <c r="FD586" s="27" t="s">
        <v>7</v>
      </c>
      <c r="FE586" s="27" t="s">
        <v>8</v>
      </c>
      <c r="FR586" s="27" t="s">
        <v>7</v>
      </c>
      <c r="JL586" s="27" t="s">
        <v>7</v>
      </c>
      <c r="JM586" s="27" t="s">
        <v>8</v>
      </c>
      <c r="JN586" s="27" t="s">
        <v>7</v>
      </c>
    </row>
    <row r="587" spans="1:274" x14ac:dyDescent="0.25">
      <c r="A587" s="7">
        <v>1</v>
      </c>
      <c r="B587"/>
      <c r="C587"/>
      <c r="D587"/>
      <c r="E587" s="29" t="s">
        <v>8</v>
      </c>
      <c r="T587" s="27" t="s">
        <v>7</v>
      </c>
      <c r="U587" s="27" t="s">
        <v>8</v>
      </c>
      <c r="AH587" s="27" t="s">
        <v>7</v>
      </c>
      <c r="AI587" s="27" t="s">
        <v>8</v>
      </c>
      <c r="FB587" s="27" t="s">
        <v>7</v>
      </c>
      <c r="FC587" s="27" t="s">
        <v>8</v>
      </c>
      <c r="FD587" s="27" t="s">
        <v>7</v>
      </c>
      <c r="JL587" s="27" t="s">
        <v>7</v>
      </c>
      <c r="JM587" s="27" t="s">
        <v>8</v>
      </c>
      <c r="JN587" s="27" t="s">
        <v>7</v>
      </c>
    </row>
    <row r="588" spans="1:274" x14ac:dyDescent="0.25">
      <c r="A588" s="7">
        <v>0.98039215686274506</v>
      </c>
      <c r="B588"/>
      <c r="C588"/>
      <c r="D588"/>
      <c r="E588"/>
      <c r="T588" s="27" t="s">
        <v>7</v>
      </c>
      <c r="U588" s="27" t="s">
        <v>8</v>
      </c>
      <c r="AH588" s="27" t="s">
        <v>7</v>
      </c>
      <c r="AI588" s="27" t="s">
        <v>8</v>
      </c>
      <c r="FB588" s="27" t="s">
        <v>7</v>
      </c>
      <c r="FC588" s="27" t="s">
        <v>8</v>
      </c>
      <c r="JL588" s="27" t="s">
        <v>7</v>
      </c>
      <c r="JM588" s="27" t="s">
        <v>8</v>
      </c>
      <c r="JN588" s="27" t="s">
        <v>7</v>
      </c>
    </row>
    <row r="589" spans="1:274" x14ac:dyDescent="0.25">
      <c r="A589" s="7">
        <v>0.96116878123798544</v>
      </c>
      <c r="B589"/>
      <c r="C589"/>
      <c r="D589"/>
      <c r="E589"/>
      <c r="T589" s="27" t="s">
        <v>7</v>
      </c>
      <c r="U589" s="27" t="s">
        <v>8</v>
      </c>
      <c r="AH589" s="27" t="s">
        <v>7</v>
      </c>
      <c r="FB589" s="27" t="s">
        <v>7</v>
      </c>
      <c r="FC589" s="27" t="s">
        <v>8</v>
      </c>
      <c r="JL589" s="27" t="s">
        <v>7</v>
      </c>
      <c r="JM589" s="27" t="s">
        <v>8</v>
      </c>
      <c r="JN589" s="27" t="s">
        <v>7</v>
      </c>
    </row>
    <row r="590" spans="1:274" x14ac:dyDescent="0.25">
      <c r="A590" s="7">
        <v>0.94232233454704462</v>
      </c>
      <c r="B590"/>
      <c r="C590"/>
      <c r="D590"/>
      <c r="E590"/>
      <c r="T590" s="27" t="s">
        <v>7</v>
      </c>
      <c r="U590" s="27" t="s">
        <v>8</v>
      </c>
      <c r="FB590" s="27" t="s">
        <v>7</v>
      </c>
      <c r="FC590" s="27" t="s">
        <v>8</v>
      </c>
      <c r="JL590" s="27" t="s">
        <v>7</v>
      </c>
      <c r="JM590" s="27" t="s">
        <v>8</v>
      </c>
    </row>
    <row r="591" spans="1:274" x14ac:dyDescent="0.25">
      <c r="A591" s="7">
        <v>0.92384542602651432</v>
      </c>
      <c r="B591"/>
      <c r="C591"/>
      <c r="D591"/>
      <c r="E591"/>
      <c r="T591" s="27" t="s">
        <v>7</v>
      </c>
      <c r="FB591" s="27" t="s">
        <v>7</v>
      </c>
      <c r="JL591" s="27" t="s">
        <v>7</v>
      </c>
      <c r="JM591" s="27" t="s">
        <v>8</v>
      </c>
    </row>
    <row r="592" spans="1:274" x14ac:dyDescent="0.25">
      <c r="A592" s="7">
        <v>0.90573080982991594</v>
      </c>
      <c r="B592"/>
      <c r="C592"/>
      <c r="D592"/>
      <c r="E592"/>
      <c r="JL592" s="27" t="s">
        <v>7</v>
      </c>
      <c r="JM592" s="27" t="s">
        <v>8</v>
      </c>
    </row>
    <row r="593" spans="1:273" x14ac:dyDescent="0.25">
      <c r="A593" s="7">
        <v>0.8879713821861922</v>
      </c>
      <c r="B593"/>
      <c r="C593"/>
      <c r="D593"/>
      <c r="E593"/>
      <c r="JL593" s="27" t="s">
        <v>7</v>
      </c>
      <c r="JM593" s="27" t="s">
        <v>8</v>
      </c>
    </row>
    <row r="594" spans="1:273" x14ac:dyDescent="0.25">
      <c r="A594" s="7">
        <v>0.87056017861391399</v>
      </c>
      <c r="B594"/>
      <c r="C594"/>
      <c r="D594"/>
      <c r="E594"/>
      <c r="JL594" s="27" t="s">
        <v>7</v>
      </c>
      <c r="JM594" s="27" t="s">
        <v>8</v>
      </c>
    </row>
    <row r="595" spans="1:273" x14ac:dyDescent="0.25">
      <c r="A595" s="7">
        <v>0.85349037119011173</v>
      </c>
      <c r="B595"/>
      <c r="C595"/>
      <c r="D595"/>
      <c r="E595"/>
      <c r="JL595" s="27" t="s">
        <v>7</v>
      </c>
      <c r="JM595" s="27" t="s">
        <v>8</v>
      </c>
    </row>
    <row r="596" spans="1:273" x14ac:dyDescent="0.25">
      <c r="A596" s="7">
        <v>0.83675526587265858</v>
      </c>
      <c r="B596"/>
      <c r="C596"/>
      <c r="D596"/>
      <c r="E596"/>
      <c r="JL596" s="27" t="s">
        <v>7</v>
      </c>
      <c r="JM596" s="27" t="s">
        <v>8</v>
      </c>
    </row>
    <row r="597" spans="1:273" x14ac:dyDescent="0.25">
      <c r="A597" s="7">
        <v>0.82034829987515545</v>
      </c>
      <c r="B597"/>
      <c r="C597"/>
      <c r="D597"/>
      <c r="E597"/>
      <c r="JL597" s="27" t="s">
        <v>7</v>
      </c>
      <c r="JM597" s="27" t="s">
        <v>8</v>
      </c>
    </row>
    <row r="598" spans="1:273" x14ac:dyDescent="0.25">
      <c r="A598" s="7">
        <v>0.80426303909328967</v>
      </c>
      <c r="B598"/>
      <c r="C598"/>
      <c r="D598"/>
      <c r="E598"/>
      <c r="JL598" s="27" t="s">
        <v>7</v>
      </c>
    </row>
    <row r="599" spans="1:273" x14ac:dyDescent="0.25">
      <c r="A599" s="7">
        <v>0.78849317558165644</v>
      </c>
      <c r="B599"/>
      <c r="C599"/>
      <c r="D599"/>
      <c r="E599"/>
    </row>
    <row r="600" spans="1:273" x14ac:dyDescent="0.25">
      <c r="A600" s="7">
        <v>0.77303252508005538</v>
      </c>
      <c r="B600"/>
      <c r="C600"/>
      <c r="D600"/>
      <c r="E600"/>
    </row>
    <row r="601" spans="1:273" x14ac:dyDescent="0.25">
      <c r="A601" s="7">
        <v>0.75787502458828959</v>
      </c>
      <c r="B601"/>
      <c r="C601"/>
      <c r="D601"/>
      <c r="E601"/>
    </row>
    <row r="602" spans="1:273" x14ac:dyDescent="0.25">
      <c r="A602" s="7">
        <v>0.74301472998851925</v>
      </c>
      <c r="B602"/>
      <c r="C602"/>
      <c r="D602"/>
      <c r="E602"/>
    </row>
    <row r="603" spans="1:273" x14ac:dyDescent="0.25">
      <c r="A603" s="7">
        <v>0.72844581371423456</v>
      </c>
      <c r="B603"/>
      <c r="C603"/>
      <c r="D603"/>
      <c r="E603"/>
    </row>
    <row r="604" spans="1:273" x14ac:dyDescent="0.25">
      <c r="A604" s="7">
        <v>0.71416256246493581</v>
      </c>
      <c r="B604"/>
      <c r="C604"/>
      <c r="D604"/>
      <c r="E604"/>
    </row>
    <row r="605" spans="1:273" x14ac:dyDescent="0.25">
      <c r="A605" s="7">
        <v>0.7001593749656233</v>
      </c>
      <c r="B605"/>
      <c r="C605"/>
      <c r="D605"/>
      <c r="E605"/>
    </row>
    <row r="606" spans="1:273" x14ac:dyDescent="0.25">
      <c r="A606" s="7">
        <v>0.68643075977021883</v>
      </c>
      <c r="B606"/>
      <c r="C606"/>
      <c r="D606"/>
      <c r="E606"/>
    </row>
    <row r="607" spans="1:273" x14ac:dyDescent="0.25">
      <c r="A607" s="7">
        <v>0.67297133310805768</v>
      </c>
      <c r="B607"/>
      <c r="C607"/>
      <c r="D607"/>
      <c r="E607"/>
    </row>
    <row r="608" spans="1:273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16" operator="equal">
      <formula>$U$1</formula>
    </cfRule>
    <cfRule type="cellIs" dxfId="89" priority="917" operator="equal">
      <formula>$S$1</formula>
    </cfRule>
  </conditionalFormatting>
  <conditionalFormatting sqref="D27">
    <cfRule type="cellIs" dxfId="88" priority="914" operator="equal">
      <formula>$S$1</formula>
    </cfRule>
    <cfRule type="cellIs" dxfId="87" priority="915" operator="equal">
      <formula>$U$1</formula>
    </cfRule>
  </conditionalFormatting>
  <conditionalFormatting sqref="C164">
    <cfRule type="cellIs" dxfId="86" priority="912" operator="equal">
      <formula>$U$1</formula>
    </cfRule>
    <cfRule type="cellIs" dxfId="85" priority="913" operator="equal">
      <formula>$S$1</formula>
    </cfRule>
  </conditionalFormatting>
  <conditionalFormatting sqref="D164">
    <cfRule type="cellIs" dxfId="84" priority="910" operator="equal">
      <formula>$S$1</formula>
    </cfRule>
    <cfRule type="cellIs" dxfId="83" priority="911" operator="equal">
      <formula>$U$1</formula>
    </cfRule>
  </conditionalFormatting>
  <conditionalFormatting sqref="C55">
    <cfRule type="cellIs" dxfId="82" priority="908" operator="equal">
      <formula>$U$1</formula>
    </cfRule>
    <cfRule type="cellIs" dxfId="81" priority="909" operator="equal">
      <formula>$S$1</formula>
    </cfRule>
  </conditionalFormatting>
  <conditionalFormatting sqref="D55">
    <cfRule type="cellIs" dxfId="80" priority="906" operator="equal">
      <formula>$S$1</formula>
    </cfRule>
    <cfRule type="cellIs" dxfId="79" priority="907" operator="equal">
      <formula>$U$1</formula>
    </cfRule>
  </conditionalFormatting>
  <conditionalFormatting sqref="C89">
    <cfRule type="cellIs" dxfId="78" priority="904" operator="equal">
      <formula>$U$1</formula>
    </cfRule>
    <cfRule type="cellIs" dxfId="77" priority="905" operator="equal">
      <formula>$S$1</formula>
    </cfRule>
  </conditionalFormatting>
  <conditionalFormatting sqref="D89">
    <cfRule type="cellIs" dxfId="76" priority="902" operator="equal">
      <formula>$S$1</formula>
    </cfRule>
    <cfRule type="cellIs" dxfId="75" priority="903" operator="equal">
      <formula>$U$1</formula>
    </cfRule>
  </conditionalFormatting>
  <conditionalFormatting sqref="C136">
    <cfRule type="cellIs" dxfId="74" priority="900" operator="equal">
      <formula>$U$1</formula>
    </cfRule>
    <cfRule type="cellIs" dxfId="73" priority="901" operator="equal">
      <formula>$S$1</formula>
    </cfRule>
  </conditionalFormatting>
  <conditionalFormatting sqref="D136">
    <cfRule type="cellIs" dxfId="72" priority="898" operator="equal">
      <formula>$S$1</formula>
    </cfRule>
    <cfRule type="cellIs" dxfId="71" priority="899" operator="equal">
      <formula>$U$1</formula>
    </cfRule>
  </conditionalFormatting>
  <conditionalFormatting sqref="C1">
    <cfRule type="cellIs" dxfId="70" priority="89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N240" sqref="EN24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$A$239</v>
      </c>
      <c r="D111" s="1" t="str">
        <f>ADDRESS(C121-1,D121,1,1)</f>
        <v>$EN$239</v>
      </c>
      <c r="E111"/>
    </row>
    <row r="112" spans="1:5" x14ac:dyDescent="0.25">
      <c r="A112" s="30">
        <v>515.50191262726139</v>
      </c>
      <c r="C112" s="1" t="str">
        <f>ADDRESS(C121,1,1,1)</f>
        <v>$A$240</v>
      </c>
      <c r="D112" s="1" t="str">
        <f>ADDRESS(C121,D121-1,1,1)</f>
        <v>$EM$240</v>
      </c>
      <c r="E112"/>
    </row>
    <row r="113" spans="1:5" x14ac:dyDescent="0.25">
      <c r="A113" s="30">
        <v>490.95420250215363</v>
      </c>
      <c r="C113" s="1" t="str">
        <f>ADDRESS(C121+1,1,1,1)</f>
        <v>$A$241</v>
      </c>
      <c r="D113" s="1" t="str">
        <f>ADDRESS(C121-1,D121+1,1,1)</f>
        <v>$EO$239</v>
      </c>
    </row>
    <row r="114" spans="1:5" x14ac:dyDescent="0.25">
      <c r="A114" s="30">
        <v>467.57543095443202</v>
      </c>
      <c r="C114" s="1" t="str">
        <f>ADDRESS(C121,D121,1,1)</f>
        <v>$EN$240</v>
      </c>
      <c r="D114" s="1" t="str">
        <f>ADDRESS(C121+1,D121+1,1,1)</f>
        <v>$EO$241</v>
      </c>
    </row>
    <row r="115" spans="1:5" x14ac:dyDescent="0.25">
      <c r="A115" s="30">
        <v>445.30993424231622</v>
      </c>
      <c r="C115" s="1" t="str">
        <f>ADDRESS(C121+1,D121,1,1)</f>
        <v>$EN$241</v>
      </c>
    </row>
    <row r="116" spans="1:5" x14ac:dyDescent="0.25">
      <c r="A116" s="30">
        <v>424.10469927839637</v>
      </c>
      <c r="C116" s="1">
        <f>C117-1</f>
        <v>239</v>
      </c>
    </row>
    <row r="117" spans="1:5" x14ac:dyDescent="0.25">
      <c r="A117" s="30">
        <v>403.9092374079965</v>
      </c>
      <c r="C117" s="1">
        <f>C121</f>
        <v>240</v>
      </c>
      <c r="D117" s="1">
        <f>D121</f>
        <v>144</v>
      </c>
    </row>
    <row r="118" spans="1:5" x14ac:dyDescent="0.25">
      <c r="A118" s="30">
        <v>384.6754641980919</v>
      </c>
      <c r="C118" s="1">
        <f>C117+1</f>
        <v>241</v>
      </c>
      <c r="D118" s="1">
        <f>D117+1</f>
        <v>145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240</v>
      </c>
      <c r="D121" s="19">
        <v>144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R240</v>
      </c>
      <c r="D123" s="1" t="str">
        <f>"C"&amp;D121</f>
        <v>C144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88" x14ac:dyDescent="0.25">
      <c r="A193" s="30">
        <v>9.9059710923258422</v>
      </c>
      <c r="E193"/>
    </row>
    <row r="194" spans="1:88" x14ac:dyDescent="0.25">
      <c r="A194" s="30">
        <v>9.4342581831674686</v>
      </c>
      <c r="E194"/>
    </row>
    <row r="195" spans="1:88" x14ac:dyDescent="0.25">
      <c r="A195" s="30">
        <v>8.9850077934928265</v>
      </c>
      <c r="E195"/>
    </row>
    <row r="196" spans="1:88" x14ac:dyDescent="0.25">
      <c r="A196" s="30">
        <v>8.5571502795169767</v>
      </c>
      <c r="E196"/>
    </row>
    <row r="197" spans="1:88" x14ac:dyDescent="0.25">
      <c r="A197" s="30">
        <v>8.1496669328733109</v>
      </c>
      <c r="E197"/>
    </row>
    <row r="198" spans="1:88" x14ac:dyDescent="0.25">
      <c r="A198" s="30">
        <v>7.7615875551174378</v>
      </c>
      <c r="E198"/>
    </row>
    <row r="199" spans="1:88" x14ac:dyDescent="0.25">
      <c r="A199" s="30">
        <v>7.3919881477308929</v>
      </c>
      <c r="E199"/>
    </row>
    <row r="200" spans="1:88" x14ac:dyDescent="0.25">
      <c r="A200" s="30">
        <v>7.0399887121246598</v>
      </c>
      <c r="E200"/>
    </row>
    <row r="201" spans="1:88" x14ac:dyDescent="0.25">
      <c r="A201" s="30">
        <v>6.7047511544044376</v>
      </c>
      <c r="E201"/>
    </row>
    <row r="202" spans="1:88" x14ac:dyDescent="0.25">
      <c r="A202" s="30">
        <v>6.3854772899089882</v>
      </c>
      <c r="E202"/>
    </row>
    <row r="203" spans="1:88" x14ac:dyDescent="0.25">
      <c r="A203" s="30">
        <v>6.0814069427704647</v>
      </c>
      <c r="C203" s="7"/>
      <c r="D203"/>
      <c r="E203"/>
    </row>
    <row r="204" spans="1:88" x14ac:dyDescent="0.25">
      <c r="A204" s="30">
        <v>5.7918161359718709</v>
      </c>
      <c r="E204"/>
      <c r="CI204" s="27" t="s">
        <v>8</v>
      </c>
    </row>
    <row r="205" spans="1:88" x14ac:dyDescent="0.25">
      <c r="A205" s="30">
        <v>5.5160153675922574</v>
      </c>
      <c r="E205"/>
      <c r="CI205" s="27" t="s">
        <v>8</v>
      </c>
      <c r="CJ205" s="27" t="s">
        <v>7</v>
      </c>
    </row>
    <row r="206" spans="1:88" x14ac:dyDescent="0.25">
      <c r="A206" s="30">
        <v>5.2533479691354827</v>
      </c>
      <c r="C206"/>
      <c r="D206"/>
      <c r="E206"/>
      <c r="BY206" s="27" t="s">
        <v>8</v>
      </c>
      <c r="CI206" s="27" t="s">
        <v>8</v>
      </c>
      <c r="CJ206" s="27" t="s">
        <v>7</v>
      </c>
    </row>
    <row r="207" spans="1:88" x14ac:dyDescent="0.25">
      <c r="A207" s="30">
        <v>5.0031885420337927</v>
      </c>
      <c r="E207"/>
      <c r="BY207" s="27" t="s">
        <v>8</v>
      </c>
      <c r="BZ207" s="27" t="s">
        <v>7</v>
      </c>
      <c r="CA207" s="27" t="s">
        <v>8</v>
      </c>
      <c r="CC207" s="27" t="s">
        <v>8</v>
      </c>
      <c r="CI207" s="27" t="s">
        <v>8</v>
      </c>
      <c r="CJ207" s="27" t="s">
        <v>7</v>
      </c>
    </row>
    <row r="208" spans="1:88" x14ac:dyDescent="0.25">
      <c r="A208" s="30">
        <v>4.7649414686036122</v>
      </c>
      <c r="E208"/>
      <c r="BW208" s="27" t="s">
        <v>8</v>
      </c>
      <c r="BY208" s="27" t="s">
        <v>8</v>
      </c>
      <c r="BZ208" s="27" t="s">
        <v>7</v>
      </c>
      <c r="CA208" s="27" t="s">
        <v>8</v>
      </c>
      <c r="CB208" s="27" t="s">
        <v>7</v>
      </c>
      <c r="CC208" s="27" t="s">
        <v>8</v>
      </c>
      <c r="CD208" s="27" t="s">
        <v>7</v>
      </c>
      <c r="CI208" s="27" t="s">
        <v>8</v>
      </c>
      <c r="CJ208" s="27" t="s">
        <v>7</v>
      </c>
    </row>
    <row r="209" spans="1:130" x14ac:dyDescent="0.25">
      <c r="A209" s="30">
        <v>4.5380394939082018</v>
      </c>
      <c r="E209"/>
      <c r="BW209" s="27" t="s">
        <v>8</v>
      </c>
      <c r="BX209" s="27" t="s">
        <v>7</v>
      </c>
      <c r="BY209" s="27" t="s">
        <v>8</v>
      </c>
      <c r="BZ209" s="27" t="s">
        <v>7</v>
      </c>
      <c r="CA209" s="27" t="s">
        <v>8</v>
      </c>
      <c r="CB209" s="27" t="s">
        <v>7</v>
      </c>
      <c r="CC209" s="27" t="s">
        <v>8</v>
      </c>
      <c r="CD209" s="27" t="s">
        <v>7</v>
      </c>
      <c r="CI209" s="27" t="s">
        <v>8</v>
      </c>
      <c r="CJ209" s="27" t="s">
        <v>7</v>
      </c>
      <c r="CK209" s="27" t="s">
        <v>8</v>
      </c>
    </row>
    <row r="210" spans="1:130" x14ac:dyDescent="0.25">
      <c r="A210" s="30">
        <v>4.3219423751506678</v>
      </c>
      <c r="C210"/>
      <c r="E210"/>
      <c r="BW210" s="27" t="s">
        <v>8</v>
      </c>
      <c r="BX210" s="27" t="s">
        <v>7</v>
      </c>
      <c r="BY210" s="27" t="s">
        <v>8</v>
      </c>
      <c r="BZ210" s="27" t="s">
        <v>7</v>
      </c>
      <c r="CA210" s="27" t="s">
        <v>8</v>
      </c>
      <c r="CB210" s="27" t="s">
        <v>7</v>
      </c>
      <c r="CC210" s="27" t="s">
        <v>8</v>
      </c>
      <c r="CD210" s="27" t="s">
        <v>7</v>
      </c>
      <c r="CI210" s="27" t="s">
        <v>8</v>
      </c>
      <c r="CJ210" s="27" t="s">
        <v>7</v>
      </c>
      <c r="CK210" s="27" t="s">
        <v>8</v>
      </c>
      <c r="CL210" s="27" t="s">
        <v>7</v>
      </c>
    </row>
    <row r="211" spans="1:130" x14ac:dyDescent="0.25">
      <c r="A211" s="30">
        <v>4.1161355953815884</v>
      </c>
      <c r="E211"/>
      <c r="BQ211" s="27" t="s">
        <v>8</v>
      </c>
      <c r="BW211" s="27" t="s">
        <v>8</v>
      </c>
      <c r="BX211" s="27" t="s">
        <v>7</v>
      </c>
      <c r="BZ211" s="27" t="s">
        <v>7</v>
      </c>
      <c r="CB211" s="27" t="s">
        <v>7</v>
      </c>
      <c r="CD211" s="27" t="s">
        <v>7</v>
      </c>
      <c r="CE211" s="27" t="s">
        <v>8</v>
      </c>
      <c r="CG211" s="27" t="s">
        <v>8</v>
      </c>
      <c r="CI211" s="27" t="s">
        <v>8</v>
      </c>
      <c r="CJ211" s="27" t="s">
        <v>7</v>
      </c>
      <c r="CK211" s="27" t="s">
        <v>8</v>
      </c>
      <c r="CL211" s="27" t="s">
        <v>7</v>
      </c>
    </row>
    <row r="212" spans="1:130" x14ac:dyDescent="0.25">
      <c r="A212" s="30">
        <v>3.9201291384586554</v>
      </c>
      <c r="E212"/>
      <c r="BQ212" s="27" t="s">
        <v>8</v>
      </c>
      <c r="BR212" s="27" t="s">
        <v>7</v>
      </c>
      <c r="BS212" s="27" t="s">
        <v>8</v>
      </c>
      <c r="BU212" s="27" t="s">
        <v>8</v>
      </c>
      <c r="BW212" s="27" t="s">
        <v>8</v>
      </c>
      <c r="CD212" s="27" t="s">
        <v>7</v>
      </c>
      <c r="CE212" s="27" t="s">
        <v>8</v>
      </c>
      <c r="CF212" s="27" t="s">
        <v>7</v>
      </c>
      <c r="CG212" s="27" t="s">
        <v>8</v>
      </c>
      <c r="CH212" s="27" t="s">
        <v>7</v>
      </c>
      <c r="CI212" s="27" t="s">
        <v>8</v>
      </c>
      <c r="CJ212" s="27" t="s">
        <v>7</v>
      </c>
      <c r="CK212" s="27" t="s">
        <v>8</v>
      </c>
      <c r="CL212" s="27" t="s">
        <v>7</v>
      </c>
    </row>
    <row r="213" spans="1:130" x14ac:dyDescent="0.25">
      <c r="A213" s="30">
        <v>3.7334563223415764</v>
      </c>
      <c r="E213"/>
      <c r="BG213" s="27" t="s">
        <v>8</v>
      </c>
      <c r="BQ213" s="27" t="s">
        <v>8</v>
      </c>
      <c r="BR213" s="27" t="s">
        <v>7</v>
      </c>
      <c r="BS213" s="27" t="s">
        <v>8</v>
      </c>
      <c r="BT213" s="27" t="s">
        <v>7</v>
      </c>
      <c r="BU213" s="27" t="s">
        <v>8</v>
      </c>
      <c r="BV213" s="27" t="s">
        <v>7</v>
      </c>
      <c r="BW213" s="27" t="s">
        <v>8</v>
      </c>
      <c r="CD213" s="27" t="s">
        <v>7</v>
      </c>
      <c r="CE213" s="27" t="s">
        <v>8</v>
      </c>
      <c r="CF213" s="27" t="s">
        <v>7</v>
      </c>
      <c r="CG213" s="27" t="s">
        <v>8</v>
      </c>
      <c r="CH213" s="27" t="s">
        <v>7</v>
      </c>
      <c r="CI213" s="27" t="s">
        <v>8</v>
      </c>
      <c r="CJ213" s="27" t="s">
        <v>7</v>
      </c>
      <c r="CK213" s="27" t="s">
        <v>8</v>
      </c>
      <c r="CL213" s="27" t="s">
        <v>7</v>
      </c>
    </row>
    <row r="214" spans="1:130" x14ac:dyDescent="0.25">
      <c r="A214" s="30">
        <v>3.5556726879443583</v>
      </c>
      <c r="E214"/>
      <c r="BG214" s="27" t="s">
        <v>8</v>
      </c>
      <c r="BH214" s="27" t="s">
        <v>7</v>
      </c>
      <c r="BQ214" s="27" t="s">
        <v>8</v>
      </c>
      <c r="BR214" s="27" t="s">
        <v>7</v>
      </c>
      <c r="BS214" s="27" t="s">
        <v>8</v>
      </c>
      <c r="BT214" s="27" t="s">
        <v>7</v>
      </c>
      <c r="BU214" s="27" t="s">
        <v>8</v>
      </c>
      <c r="BV214" s="27" t="s">
        <v>7</v>
      </c>
      <c r="BW214" s="27" t="s">
        <v>8</v>
      </c>
      <c r="CD214" s="27" t="s">
        <v>7</v>
      </c>
      <c r="CF214" s="27" t="s">
        <v>7</v>
      </c>
      <c r="CG214" s="27" t="s">
        <v>8</v>
      </c>
      <c r="CH214" s="27" t="s">
        <v>7</v>
      </c>
      <c r="CI214" s="27" t="s">
        <v>8</v>
      </c>
      <c r="CJ214" s="27" t="s">
        <v>7</v>
      </c>
      <c r="CL214" s="27" t="s">
        <v>7</v>
      </c>
    </row>
    <row r="215" spans="1:130" x14ac:dyDescent="0.25">
      <c r="A215" s="30">
        <v>3.3863549408993889</v>
      </c>
      <c r="E215"/>
      <c r="BE215" s="27" t="s">
        <v>8</v>
      </c>
      <c r="BG215" s="27" t="s">
        <v>8</v>
      </c>
      <c r="BH215" s="27" t="s">
        <v>7</v>
      </c>
      <c r="BI215" s="27" t="s">
        <v>8</v>
      </c>
      <c r="BQ215" s="27" t="s">
        <v>8</v>
      </c>
      <c r="BR215" s="27" t="s">
        <v>7</v>
      </c>
      <c r="BT215" s="27" t="s">
        <v>7</v>
      </c>
      <c r="BU215" s="27" t="s">
        <v>8</v>
      </c>
      <c r="BV215" s="27" t="s">
        <v>7</v>
      </c>
      <c r="CF215" s="27" t="s">
        <v>7</v>
      </c>
      <c r="CG215" s="27" t="s">
        <v>8</v>
      </c>
      <c r="CH215" s="27" t="s">
        <v>7</v>
      </c>
      <c r="CI215" s="27" t="s">
        <v>8</v>
      </c>
      <c r="CL215" s="27" t="s">
        <v>7</v>
      </c>
    </row>
    <row r="216" spans="1:130" x14ac:dyDescent="0.25">
      <c r="A216" s="30">
        <v>3.2250999437137038</v>
      </c>
      <c r="E216"/>
      <c r="BE216" s="27" t="s">
        <v>8</v>
      </c>
      <c r="BF216" s="27" t="s">
        <v>7</v>
      </c>
      <c r="BG216" s="27" t="s">
        <v>8</v>
      </c>
      <c r="BH216" s="27" t="s">
        <v>7</v>
      </c>
      <c r="BI216" s="27" t="s">
        <v>8</v>
      </c>
      <c r="BJ216" s="27" t="s">
        <v>7</v>
      </c>
      <c r="BQ216" s="27" t="s">
        <v>8</v>
      </c>
      <c r="BT216" s="27" t="s">
        <v>7</v>
      </c>
      <c r="BU216" s="27" t="s">
        <v>8</v>
      </c>
      <c r="CF216" s="27" t="s">
        <v>7</v>
      </c>
      <c r="CH216" s="27" t="s">
        <v>7</v>
      </c>
      <c r="CI216" s="27" t="s">
        <v>8</v>
      </c>
      <c r="CL216" s="27" t="s">
        <v>7</v>
      </c>
    </row>
    <row r="217" spans="1:130" x14ac:dyDescent="0.25">
      <c r="A217" s="30">
        <v>3.0715237559178128</v>
      </c>
      <c r="E217" t="s">
        <v>8</v>
      </c>
      <c r="BE217" s="27" t="s">
        <v>8</v>
      </c>
      <c r="BF217" s="27" t="s">
        <v>7</v>
      </c>
      <c r="BG217" s="27" t="s">
        <v>8</v>
      </c>
      <c r="BH217" s="27" t="s">
        <v>7</v>
      </c>
      <c r="BI217" s="27" t="s">
        <v>8</v>
      </c>
      <c r="BJ217" s="27" t="s">
        <v>7</v>
      </c>
      <c r="BQ217" s="27" t="s">
        <v>8</v>
      </c>
      <c r="BT217" s="27" t="s">
        <v>7</v>
      </c>
      <c r="BU217" s="27" t="s">
        <v>8</v>
      </c>
      <c r="CH217" s="27" t="s">
        <v>7</v>
      </c>
      <c r="CI217" s="27" t="s">
        <v>8</v>
      </c>
      <c r="CL217" s="27" t="s">
        <v>7</v>
      </c>
    </row>
    <row r="218" spans="1:130" x14ac:dyDescent="0.25">
      <c r="A218" s="30">
        <v>2.9252607199217264</v>
      </c>
      <c r="E218" t="s">
        <v>8</v>
      </c>
      <c r="F218" s="27" t="s">
        <v>7</v>
      </c>
      <c r="K218" s="27" t="s">
        <v>8</v>
      </c>
      <c r="M218" s="27" t="s">
        <v>8</v>
      </c>
      <c r="BE218" s="27" t="s">
        <v>8</v>
      </c>
      <c r="BF218" s="27" t="s">
        <v>7</v>
      </c>
      <c r="BG218" s="27" t="s">
        <v>8</v>
      </c>
      <c r="BH218" s="27" t="s">
        <v>7</v>
      </c>
      <c r="BI218" s="27" t="s">
        <v>8</v>
      </c>
      <c r="BJ218" s="27" t="s">
        <v>7</v>
      </c>
      <c r="BQ218" s="27" t="s">
        <v>8</v>
      </c>
      <c r="BT218" s="27" t="s">
        <v>7</v>
      </c>
      <c r="BU218" s="27" t="s">
        <v>8</v>
      </c>
      <c r="CH218" s="27" t="s">
        <v>7</v>
      </c>
      <c r="CI218" s="27" t="s">
        <v>8</v>
      </c>
      <c r="CL218" s="27" t="s">
        <v>7</v>
      </c>
    </row>
    <row r="219" spans="1:130" x14ac:dyDescent="0.25">
      <c r="A219" s="30">
        <v>2.7859625904016441</v>
      </c>
      <c r="E219" t="s">
        <v>8</v>
      </c>
      <c r="F219" s="27" t="s">
        <v>7</v>
      </c>
      <c r="K219" s="27" t="s">
        <v>8</v>
      </c>
      <c r="L219" s="27" t="s">
        <v>7</v>
      </c>
      <c r="M219" s="27" t="s">
        <v>8</v>
      </c>
      <c r="N219" s="27" t="s">
        <v>7</v>
      </c>
      <c r="BE219" s="27" t="s">
        <v>8</v>
      </c>
      <c r="BF219" s="27" t="s">
        <v>7</v>
      </c>
      <c r="BG219" s="27" t="s">
        <v>8</v>
      </c>
      <c r="BH219" s="27" t="s">
        <v>7</v>
      </c>
      <c r="BJ219" s="27" t="s">
        <v>7</v>
      </c>
      <c r="BO219" s="27" t="s">
        <v>8</v>
      </c>
      <c r="BQ219" s="27" t="s">
        <v>8</v>
      </c>
      <c r="BT219" s="27" t="s">
        <v>7</v>
      </c>
      <c r="BU219" s="27" t="s">
        <v>8</v>
      </c>
      <c r="CH219" s="27" t="s">
        <v>7</v>
      </c>
      <c r="CL219" s="27" t="s">
        <v>7</v>
      </c>
    </row>
    <row r="220" spans="1:130" x14ac:dyDescent="0.25">
      <c r="A220" s="30">
        <v>2.6532977051444226</v>
      </c>
      <c r="E220" t="s">
        <v>8</v>
      </c>
      <c r="F220" s="27" t="s">
        <v>7</v>
      </c>
      <c r="K220" s="27" t="s">
        <v>8</v>
      </c>
      <c r="L220" s="27" t="s">
        <v>7</v>
      </c>
      <c r="M220" s="27" t="s">
        <v>8</v>
      </c>
      <c r="N220" s="27" t="s">
        <v>7</v>
      </c>
      <c r="BE220" s="27" t="s">
        <v>8</v>
      </c>
      <c r="BF220" s="27" t="s">
        <v>7</v>
      </c>
      <c r="BG220" s="27" t="s">
        <v>8</v>
      </c>
      <c r="BJ220" s="27" t="s">
        <v>7</v>
      </c>
      <c r="BO220" s="27" t="s">
        <v>8</v>
      </c>
      <c r="BP220" s="27" t="s">
        <v>7</v>
      </c>
      <c r="BQ220" s="27" t="s">
        <v>8</v>
      </c>
      <c r="BT220" s="27" t="s">
        <v>7</v>
      </c>
      <c r="CL220" s="27" t="s">
        <v>7</v>
      </c>
      <c r="CM220" s="27" t="s">
        <v>8</v>
      </c>
    </row>
    <row r="221" spans="1:130" x14ac:dyDescent="0.25">
      <c r="A221" s="30">
        <v>2.5269501953756404</v>
      </c>
      <c r="E221" t="s">
        <v>8</v>
      </c>
      <c r="F221" s="27" t="s">
        <v>7</v>
      </c>
      <c r="K221" s="27" t="s">
        <v>8</v>
      </c>
      <c r="L221" s="27" t="s">
        <v>7</v>
      </c>
      <c r="M221" s="27" t="s">
        <v>8</v>
      </c>
      <c r="N221" s="27" t="s">
        <v>7</v>
      </c>
      <c r="BE221" s="27" t="s">
        <v>8</v>
      </c>
      <c r="BF221" s="27" t="s">
        <v>7</v>
      </c>
      <c r="BG221" s="27" t="s">
        <v>8</v>
      </c>
      <c r="BJ221" s="27" t="s">
        <v>7</v>
      </c>
      <c r="BO221" s="27" t="s">
        <v>8</v>
      </c>
      <c r="BP221" s="27" t="s">
        <v>7</v>
      </c>
      <c r="BQ221" s="27" t="s">
        <v>8</v>
      </c>
      <c r="CL221" s="27" t="s">
        <v>7</v>
      </c>
      <c r="CM221" s="27" t="s">
        <v>8</v>
      </c>
      <c r="CN221" s="27" t="s">
        <v>7</v>
      </c>
      <c r="DI221" s="27" t="s">
        <v>8</v>
      </c>
      <c r="DK221" s="27" t="s">
        <v>8</v>
      </c>
      <c r="DM221" s="27" t="s">
        <v>8</v>
      </c>
    </row>
    <row r="222" spans="1:130" x14ac:dyDescent="0.25">
      <c r="A222" s="30">
        <v>2.4066192336910861</v>
      </c>
      <c r="E222" t="s">
        <v>8</v>
      </c>
      <c r="F222" s="27" t="s">
        <v>7</v>
      </c>
      <c r="I222" s="27" t="s">
        <v>8</v>
      </c>
      <c r="K222" s="27" t="s">
        <v>8</v>
      </c>
      <c r="L222" s="27" t="s">
        <v>7</v>
      </c>
      <c r="M222" s="27" t="s">
        <v>8</v>
      </c>
      <c r="N222" s="27" t="s">
        <v>7</v>
      </c>
      <c r="BC222" s="27" t="s">
        <v>8</v>
      </c>
      <c r="BE222" s="27" t="s">
        <v>8</v>
      </c>
      <c r="BF222" s="27" t="s">
        <v>7</v>
      </c>
      <c r="BG222" s="27" t="s">
        <v>8</v>
      </c>
      <c r="BJ222" s="27" t="s">
        <v>7</v>
      </c>
      <c r="BK222" s="27" t="s">
        <v>8</v>
      </c>
      <c r="BO222" s="27" t="s">
        <v>8</v>
      </c>
      <c r="BP222" s="27" t="s">
        <v>7</v>
      </c>
      <c r="CL222" s="27" t="s">
        <v>7</v>
      </c>
      <c r="CM222" s="27" t="s">
        <v>8</v>
      </c>
      <c r="CN222" s="27" t="s">
        <v>7</v>
      </c>
      <c r="DI222" s="27" t="s">
        <v>8</v>
      </c>
      <c r="DJ222" s="27" t="s">
        <v>7</v>
      </c>
      <c r="DK222" s="27" t="s">
        <v>8</v>
      </c>
      <c r="DL222" s="27" t="s">
        <v>7</v>
      </c>
      <c r="DM222" s="27" t="s">
        <v>8</v>
      </c>
      <c r="DN222" s="27" t="s">
        <v>7</v>
      </c>
    </row>
    <row r="223" spans="1:130" x14ac:dyDescent="0.25">
      <c r="A223" s="30">
        <v>2.2920183178010345</v>
      </c>
      <c r="E223" t="s">
        <v>8</v>
      </c>
      <c r="F223" s="27" t="s">
        <v>7</v>
      </c>
      <c r="I223" s="27" t="s">
        <v>8</v>
      </c>
      <c r="J223" s="27" t="s">
        <v>7</v>
      </c>
      <c r="K223" s="27" t="s">
        <v>8</v>
      </c>
      <c r="L223" s="27" t="s">
        <v>7</v>
      </c>
      <c r="M223" s="27" t="s">
        <v>8</v>
      </c>
      <c r="N223" s="27" t="s">
        <v>7</v>
      </c>
      <c r="AY223" s="27" t="s">
        <v>8</v>
      </c>
      <c r="BC223" s="27" t="s">
        <v>8</v>
      </c>
      <c r="BD223" s="27" t="s">
        <v>7</v>
      </c>
      <c r="BE223" s="27" t="s">
        <v>8</v>
      </c>
      <c r="BF223" s="27" t="s">
        <v>7</v>
      </c>
      <c r="BJ223" s="27" t="s">
        <v>7</v>
      </c>
      <c r="BK223" s="27" t="s">
        <v>8</v>
      </c>
      <c r="BL223" s="27" t="s">
        <v>7</v>
      </c>
      <c r="BM223" s="27" t="s">
        <v>8</v>
      </c>
      <c r="BO223" s="27" t="s">
        <v>8</v>
      </c>
      <c r="CL223" s="27" t="s">
        <v>7</v>
      </c>
      <c r="CM223" s="27" t="s">
        <v>8</v>
      </c>
      <c r="CN223" s="27" t="s">
        <v>7</v>
      </c>
      <c r="CQ223" s="27" t="s">
        <v>8</v>
      </c>
      <c r="DG223" s="27" t="s">
        <v>8</v>
      </c>
      <c r="DI223" s="27" t="s">
        <v>8</v>
      </c>
      <c r="DJ223" s="27" t="s">
        <v>7</v>
      </c>
      <c r="DK223" s="27" t="s">
        <v>8</v>
      </c>
      <c r="DL223" s="27" t="s">
        <v>7</v>
      </c>
      <c r="DM223" s="27" t="s">
        <v>8</v>
      </c>
      <c r="DN223" s="27" t="s">
        <v>7</v>
      </c>
      <c r="DY223" s="27" t="s">
        <v>8</v>
      </c>
    </row>
    <row r="224" spans="1:130" x14ac:dyDescent="0.25">
      <c r="A224" s="30">
        <v>2.1828745883819374</v>
      </c>
      <c r="E224" t="s">
        <v>8</v>
      </c>
      <c r="F224" s="27" t="s">
        <v>7</v>
      </c>
      <c r="G224" s="27" t="s">
        <v>8</v>
      </c>
      <c r="I224" s="27" t="s">
        <v>8</v>
      </c>
      <c r="J224" s="27" t="s">
        <v>7</v>
      </c>
      <c r="K224" s="27" t="s">
        <v>8</v>
      </c>
      <c r="L224" s="27" t="s">
        <v>7</v>
      </c>
      <c r="N224" s="27" t="s">
        <v>7</v>
      </c>
      <c r="AY224" s="27" t="s">
        <v>8</v>
      </c>
      <c r="AZ224" s="27" t="s">
        <v>7</v>
      </c>
      <c r="BC224" s="27" t="s">
        <v>8</v>
      </c>
      <c r="BD224" s="27" t="s">
        <v>7</v>
      </c>
      <c r="BE224" s="27" t="s">
        <v>8</v>
      </c>
      <c r="BJ224" s="27" t="s">
        <v>7</v>
      </c>
      <c r="BK224" s="27" t="s">
        <v>8</v>
      </c>
      <c r="BL224" s="27" t="s">
        <v>7</v>
      </c>
      <c r="BM224" s="27" t="s">
        <v>8</v>
      </c>
      <c r="BN224" s="27" t="s">
        <v>7</v>
      </c>
      <c r="BO224" s="27" t="s">
        <v>8</v>
      </c>
      <c r="CL224" s="27" t="s">
        <v>7</v>
      </c>
      <c r="CM224" s="27" t="s">
        <v>8</v>
      </c>
      <c r="CN224" s="27" t="s">
        <v>7</v>
      </c>
      <c r="CQ224" s="27" t="s">
        <v>8</v>
      </c>
      <c r="CR224" s="27" t="s">
        <v>7</v>
      </c>
      <c r="CS224" s="27" t="s">
        <v>8</v>
      </c>
      <c r="DE224" s="27" t="s">
        <v>8</v>
      </c>
      <c r="DG224" s="27" t="s">
        <v>8</v>
      </c>
      <c r="DH224" s="27" t="s">
        <v>7</v>
      </c>
      <c r="DI224" s="27" t="s">
        <v>8</v>
      </c>
      <c r="DJ224" s="27" t="s">
        <v>7</v>
      </c>
      <c r="DL224" s="27" t="s">
        <v>7</v>
      </c>
      <c r="DM224" s="27" t="s">
        <v>8</v>
      </c>
      <c r="DN224" s="27" t="s">
        <v>7</v>
      </c>
      <c r="DU224" s="27" t="s">
        <v>8</v>
      </c>
      <c r="DY224" s="27" t="s">
        <v>8</v>
      </c>
      <c r="DZ224" s="27" t="s">
        <v>7</v>
      </c>
    </row>
    <row r="225" spans="1:144" x14ac:dyDescent="0.25">
      <c r="A225" s="30">
        <v>2.0789281794113688</v>
      </c>
      <c r="E225" t="s">
        <v>8</v>
      </c>
      <c r="F225" s="27" t="s">
        <v>7</v>
      </c>
      <c r="G225" s="27" t="s">
        <v>8</v>
      </c>
      <c r="H225" s="27" t="s">
        <v>7</v>
      </c>
      <c r="I225" s="27" t="s">
        <v>8</v>
      </c>
      <c r="J225" s="27" t="s">
        <v>7</v>
      </c>
      <c r="N225" s="27" t="s">
        <v>7</v>
      </c>
      <c r="AW225" s="27" t="s">
        <v>8</v>
      </c>
      <c r="AY225" s="27" t="s">
        <v>8</v>
      </c>
      <c r="AZ225" s="27" t="s">
        <v>7</v>
      </c>
      <c r="BC225" s="27" t="s">
        <v>8</v>
      </c>
      <c r="BD225" s="27" t="s">
        <v>7</v>
      </c>
      <c r="BE225" s="27" t="s">
        <v>8</v>
      </c>
      <c r="BJ225" s="27" t="s">
        <v>7</v>
      </c>
      <c r="BK225" s="27" t="s">
        <v>8</v>
      </c>
      <c r="BL225" s="27" t="s">
        <v>7</v>
      </c>
      <c r="BM225" s="27" t="s">
        <v>8</v>
      </c>
      <c r="BN225" s="27" t="s">
        <v>7</v>
      </c>
      <c r="BO225" s="27" t="s">
        <v>8</v>
      </c>
      <c r="CL225" s="27" t="s">
        <v>7</v>
      </c>
      <c r="CM225" s="27" t="s">
        <v>8</v>
      </c>
      <c r="CN225" s="27" t="s">
        <v>7</v>
      </c>
      <c r="CQ225" s="27" t="s">
        <v>8</v>
      </c>
      <c r="CR225" s="27" t="s">
        <v>7</v>
      </c>
      <c r="CS225" s="27" t="s">
        <v>8</v>
      </c>
      <c r="CT225" s="27" t="s">
        <v>7</v>
      </c>
      <c r="CU225" s="27" t="s">
        <v>8</v>
      </c>
      <c r="DE225" s="27" t="s">
        <v>8</v>
      </c>
      <c r="DF225" s="27" t="s">
        <v>7</v>
      </c>
      <c r="DG225" s="27" t="s">
        <v>8</v>
      </c>
      <c r="DH225" s="27" t="s">
        <v>7</v>
      </c>
      <c r="DI225" s="27" t="s">
        <v>8</v>
      </c>
      <c r="DL225" s="27" t="s">
        <v>7</v>
      </c>
      <c r="DM225" s="27" t="s">
        <v>8</v>
      </c>
      <c r="DN225" s="27" t="s">
        <v>7</v>
      </c>
      <c r="DQ225" s="27" t="s">
        <v>8</v>
      </c>
      <c r="DS225" s="27" t="s">
        <v>8</v>
      </c>
      <c r="DU225" s="27" t="s">
        <v>8</v>
      </c>
      <c r="DV225" s="27" t="s">
        <v>7</v>
      </c>
      <c r="DY225" s="27" t="s">
        <v>8</v>
      </c>
      <c r="DZ225" s="27" t="s">
        <v>7</v>
      </c>
      <c r="EA225" s="27" t="s">
        <v>8</v>
      </c>
    </row>
    <row r="226" spans="1:144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H226" s="27" t="s">
        <v>7</v>
      </c>
      <c r="I226" s="27" t="s">
        <v>8</v>
      </c>
      <c r="N226" s="27" t="s">
        <v>7</v>
      </c>
      <c r="AE226" s="27" t="s">
        <v>8</v>
      </c>
      <c r="AW226" s="27" t="s">
        <v>8</v>
      </c>
      <c r="AX226" s="27" t="s">
        <v>7</v>
      </c>
      <c r="AY226" s="27" t="s">
        <v>8</v>
      </c>
      <c r="AZ226" s="27" t="s">
        <v>7</v>
      </c>
      <c r="BA226" s="27" t="s">
        <v>8</v>
      </c>
      <c r="BC226" s="27" t="s">
        <v>8</v>
      </c>
      <c r="BD226" s="27" t="s">
        <v>7</v>
      </c>
      <c r="BE226" s="27" t="s">
        <v>8</v>
      </c>
      <c r="BJ226" s="27" t="s">
        <v>7</v>
      </c>
      <c r="BK226" s="27" t="s">
        <v>8</v>
      </c>
      <c r="BL226" s="27" t="s">
        <v>7</v>
      </c>
      <c r="BM226" s="27" t="s">
        <v>8</v>
      </c>
      <c r="BN226" s="27" t="s">
        <v>7</v>
      </c>
      <c r="CL226" s="27" t="s">
        <v>7</v>
      </c>
      <c r="CM226" s="27" t="s">
        <v>8</v>
      </c>
      <c r="CN226" s="27" t="s">
        <v>7</v>
      </c>
      <c r="CO226" s="27" t="s">
        <v>8</v>
      </c>
      <c r="CQ226" s="27" t="s">
        <v>8</v>
      </c>
      <c r="CR226" s="27" t="s">
        <v>7</v>
      </c>
      <c r="CS226" s="27" t="s">
        <v>8</v>
      </c>
      <c r="CT226" s="27" t="s">
        <v>7</v>
      </c>
      <c r="CU226" s="27" t="s">
        <v>8</v>
      </c>
      <c r="CV226" s="27" t="s">
        <v>7</v>
      </c>
      <c r="DE226" s="27" t="s">
        <v>8</v>
      </c>
      <c r="DF226" s="27" t="s">
        <v>7</v>
      </c>
      <c r="DG226" s="27" t="s">
        <v>8</v>
      </c>
      <c r="DH226" s="27" t="s">
        <v>7</v>
      </c>
      <c r="DI226" s="27" t="s">
        <v>8</v>
      </c>
      <c r="DL226" s="27" t="s">
        <v>7</v>
      </c>
      <c r="DM226" s="27" t="s">
        <v>8</v>
      </c>
      <c r="DN226" s="27" t="s">
        <v>7</v>
      </c>
      <c r="DQ226" s="27" t="s">
        <v>8</v>
      </c>
      <c r="DR226" s="27" t="s">
        <v>7</v>
      </c>
      <c r="DS226" s="27" t="s">
        <v>8</v>
      </c>
      <c r="DT226" s="27" t="s">
        <v>7</v>
      </c>
      <c r="DU226" s="27" t="s">
        <v>8</v>
      </c>
      <c r="DV226" s="27" t="s">
        <v>7</v>
      </c>
      <c r="DW226" s="27" t="s">
        <v>8</v>
      </c>
      <c r="DY226" s="27" t="s">
        <v>8</v>
      </c>
      <c r="DZ226" s="27" t="s">
        <v>7</v>
      </c>
      <c r="EA226" s="27" t="s">
        <v>8</v>
      </c>
      <c r="EB226" s="27" t="s">
        <v>7</v>
      </c>
    </row>
    <row r="227" spans="1:144" x14ac:dyDescent="0.25">
      <c r="A227" s="30">
        <v>1.8856491423232367</v>
      </c>
      <c r="E227" t="s">
        <v>8</v>
      </c>
      <c r="F227" s="27" t="s">
        <v>7</v>
      </c>
      <c r="H227" s="27" t="s">
        <v>7</v>
      </c>
      <c r="N227" s="27" t="s">
        <v>7</v>
      </c>
      <c r="AE227" s="27" t="s">
        <v>8</v>
      </c>
      <c r="AF227" s="27" t="s">
        <v>7</v>
      </c>
      <c r="AI227" s="27" t="s">
        <v>8</v>
      </c>
      <c r="AW227" s="27" t="s">
        <v>8</v>
      </c>
      <c r="AX227" s="27" t="s">
        <v>7</v>
      </c>
      <c r="AY227" s="27" t="s">
        <v>8</v>
      </c>
      <c r="AZ227" s="27" t="s">
        <v>7</v>
      </c>
      <c r="BA227" s="27" t="s">
        <v>8</v>
      </c>
      <c r="BB227" s="27" t="s">
        <v>7</v>
      </c>
      <c r="BC227" s="27" t="s">
        <v>8</v>
      </c>
      <c r="BD227" s="27" t="s">
        <v>7</v>
      </c>
      <c r="BJ227" s="27" t="s">
        <v>7</v>
      </c>
      <c r="BL227" s="27" t="s">
        <v>7</v>
      </c>
      <c r="CL227" s="27" t="s">
        <v>7</v>
      </c>
      <c r="CM227" s="27" t="s">
        <v>8</v>
      </c>
      <c r="CN227" s="27" t="s">
        <v>7</v>
      </c>
      <c r="CO227" s="27" t="s">
        <v>8</v>
      </c>
      <c r="CP227" s="27" t="s">
        <v>7</v>
      </c>
      <c r="CQ227" s="27" t="s">
        <v>8</v>
      </c>
      <c r="CR227" s="27" t="s">
        <v>7</v>
      </c>
      <c r="CS227" s="27" t="s">
        <v>8</v>
      </c>
      <c r="CT227" s="27" t="s">
        <v>7</v>
      </c>
      <c r="CU227" s="27" t="s">
        <v>8</v>
      </c>
      <c r="CV227" s="27" t="s">
        <v>7</v>
      </c>
      <c r="DE227" s="27" t="s">
        <v>8</v>
      </c>
      <c r="DF227" s="27" t="s">
        <v>7</v>
      </c>
      <c r="DG227" s="27" t="s">
        <v>8</v>
      </c>
      <c r="DH227" s="27" t="s">
        <v>7</v>
      </c>
      <c r="DL227" s="27" t="s">
        <v>7</v>
      </c>
      <c r="DM227" s="27" t="s">
        <v>8</v>
      </c>
      <c r="DN227" s="27" t="s">
        <v>7</v>
      </c>
      <c r="DQ227" s="27" t="s">
        <v>8</v>
      </c>
      <c r="DR227" s="27" t="s">
        <v>7</v>
      </c>
      <c r="DS227" s="27" t="s">
        <v>8</v>
      </c>
      <c r="DT227" s="27" t="s">
        <v>7</v>
      </c>
      <c r="DU227" s="27" t="s">
        <v>8</v>
      </c>
      <c r="DV227" s="27" t="s">
        <v>7</v>
      </c>
      <c r="DW227" s="27" t="s">
        <v>8</v>
      </c>
      <c r="DX227" s="27" t="s">
        <v>7</v>
      </c>
      <c r="DY227" s="27" t="s">
        <v>8</v>
      </c>
      <c r="DZ227" s="27" t="s">
        <v>7</v>
      </c>
      <c r="EA227" s="27" t="s">
        <v>8</v>
      </c>
      <c r="EB227" s="27" t="s">
        <v>7</v>
      </c>
    </row>
    <row r="228" spans="1:144" x14ac:dyDescent="0.25">
      <c r="A228" s="30">
        <v>1.7958563260221301</v>
      </c>
      <c r="C228" s="7"/>
      <c r="D228"/>
      <c r="E228" t="s">
        <v>8</v>
      </c>
      <c r="N228" s="27" t="s">
        <v>7</v>
      </c>
      <c r="AE228" s="27" t="s">
        <v>8</v>
      </c>
      <c r="AF228" s="27" t="s">
        <v>7</v>
      </c>
      <c r="AG228" s="27" t="s">
        <v>8</v>
      </c>
      <c r="AI228" s="27" t="s">
        <v>8</v>
      </c>
      <c r="AJ228" s="27" t="s">
        <v>7</v>
      </c>
      <c r="AK228" s="27" t="s">
        <v>8</v>
      </c>
      <c r="AW228" s="27" t="s">
        <v>8</v>
      </c>
      <c r="AX228" s="27" t="s">
        <v>7</v>
      </c>
      <c r="AY228" s="27" t="s">
        <v>8</v>
      </c>
      <c r="AZ228" s="27" t="s">
        <v>7</v>
      </c>
      <c r="BA228" s="27" t="s">
        <v>8</v>
      </c>
      <c r="BB228" s="27" t="s">
        <v>7</v>
      </c>
      <c r="BC228" s="27" t="s">
        <v>8</v>
      </c>
      <c r="CL228" s="27" t="s">
        <v>7</v>
      </c>
      <c r="CM228" s="27" t="s">
        <v>8</v>
      </c>
      <c r="CN228" s="27" t="s">
        <v>7</v>
      </c>
      <c r="CO228" s="27" t="s">
        <v>8</v>
      </c>
      <c r="CP228" s="27" t="s">
        <v>7</v>
      </c>
      <c r="CQ228" s="27" t="s">
        <v>8</v>
      </c>
      <c r="CR228" s="27" t="s">
        <v>7</v>
      </c>
      <c r="CS228" s="27" t="s">
        <v>8</v>
      </c>
      <c r="CT228" s="27" t="s">
        <v>7</v>
      </c>
      <c r="CU228" s="27" t="s">
        <v>8</v>
      </c>
      <c r="CV228" s="27" t="s">
        <v>7</v>
      </c>
      <c r="CW228" s="27" t="s">
        <v>8</v>
      </c>
      <c r="DE228" s="27" t="s">
        <v>8</v>
      </c>
      <c r="DF228" s="27" t="s">
        <v>7</v>
      </c>
      <c r="DL228" s="27" t="s">
        <v>7</v>
      </c>
      <c r="DM228" s="27" t="s">
        <v>8</v>
      </c>
      <c r="DN228" s="27" t="s">
        <v>7</v>
      </c>
      <c r="DO228" s="27" t="s">
        <v>8</v>
      </c>
      <c r="DQ228" s="27" t="s">
        <v>8</v>
      </c>
      <c r="DR228" s="27" t="s">
        <v>7</v>
      </c>
      <c r="DS228" s="27" t="s">
        <v>8</v>
      </c>
      <c r="DT228" s="27" t="s">
        <v>7</v>
      </c>
      <c r="DU228" s="27" t="s">
        <v>8</v>
      </c>
      <c r="DV228" s="27" t="s">
        <v>7</v>
      </c>
      <c r="DW228" s="27" t="s">
        <v>8</v>
      </c>
      <c r="DX228" s="27" t="s">
        <v>7</v>
      </c>
      <c r="DY228" s="27" t="s">
        <v>8</v>
      </c>
      <c r="DZ228" s="27" t="s">
        <v>7</v>
      </c>
      <c r="EB228" s="27" t="s">
        <v>7</v>
      </c>
    </row>
    <row r="229" spans="1:144" x14ac:dyDescent="0.25">
      <c r="A229" s="30">
        <v>1.7103393581163142</v>
      </c>
      <c r="E229" t="s">
        <v>8</v>
      </c>
      <c r="N229" s="27" t="s">
        <v>7</v>
      </c>
      <c r="O229" s="27" t="s">
        <v>8</v>
      </c>
      <c r="AE229" s="27" t="s">
        <v>8</v>
      </c>
      <c r="AF229" s="27" t="s">
        <v>7</v>
      </c>
      <c r="AG229" s="27" t="s">
        <v>8</v>
      </c>
      <c r="AH229" s="27" t="s">
        <v>7</v>
      </c>
      <c r="AI229" s="27" t="s">
        <v>8</v>
      </c>
      <c r="AJ229" s="27" t="s">
        <v>7</v>
      </c>
      <c r="AK229" s="27" t="s">
        <v>8</v>
      </c>
      <c r="AL229" s="27" t="s">
        <v>7</v>
      </c>
      <c r="AU229" s="27" t="s">
        <v>8</v>
      </c>
      <c r="AW229" s="27" t="s">
        <v>8</v>
      </c>
      <c r="AX229" s="27" t="s">
        <v>7</v>
      </c>
      <c r="AY229" s="27" t="s">
        <v>8</v>
      </c>
      <c r="AZ229" s="27" t="s">
        <v>7</v>
      </c>
      <c r="BB229" s="27" t="s">
        <v>7</v>
      </c>
      <c r="CL229" s="27" t="s">
        <v>7</v>
      </c>
      <c r="CM229" s="27" t="s">
        <v>8</v>
      </c>
      <c r="CN229" s="27" t="s">
        <v>7</v>
      </c>
      <c r="CP229" s="27" t="s">
        <v>7</v>
      </c>
      <c r="CQ229" s="27" t="s">
        <v>8</v>
      </c>
      <c r="CR229" s="27" t="s">
        <v>7</v>
      </c>
      <c r="CS229" s="27" t="s">
        <v>8</v>
      </c>
      <c r="CT229" s="27" t="s">
        <v>7</v>
      </c>
      <c r="CV229" s="27" t="s">
        <v>7</v>
      </c>
      <c r="CW229" s="27" t="s">
        <v>8</v>
      </c>
      <c r="CX229" s="27" t="s">
        <v>7</v>
      </c>
      <c r="CY229" s="27" t="s">
        <v>8</v>
      </c>
      <c r="DE229" s="27" t="s">
        <v>8</v>
      </c>
      <c r="DL229" s="27" t="s">
        <v>7</v>
      </c>
      <c r="DM229" s="27" t="s">
        <v>8</v>
      </c>
      <c r="DN229" s="27" t="s">
        <v>7</v>
      </c>
      <c r="DO229" s="27" t="s">
        <v>8</v>
      </c>
      <c r="DP229" s="27" t="s">
        <v>7</v>
      </c>
      <c r="DQ229" s="27" t="s">
        <v>8</v>
      </c>
      <c r="DR229" s="27" t="s">
        <v>7</v>
      </c>
      <c r="DT229" s="27" t="s">
        <v>7</v>
      </c>
      <c r="DU229" s="27" t="s">
        <v>8</v>
      </c>
      <c r="DV229" s="27" t="s">
        <v>7</v>
      </c>
      <c r="DX229" s="27" t="s">
        <v>7</v>
      </c>
      <c r="EB229" s="27" t="s">
        <v>7</v>
      </c>
      <c r="EC229" s="27" t="s">
        <v>8</v>
      </c>
    </row>
    <row r="230" spans="1:144" x14ac:dyDescent="0.25">
      <c r="A230" s="30">
        <v>1.628894626777442</v>
      </c>
      <c r="E230" t="s">
        <v>8</v>
      </c>
      <c r="N230" s="27" t="s">
        <v>7</v>
      </c>
      <c r="O230" s="27" t="s">
        <v>8</v>
      </c>
      <c r="P230" s="27" t="s">
        <v>7</v>
      </c>
      <c r="AE230" s="27" t="s">
        <v>8</v>
      </c>
      <c r="AF230" s="27" t="s">
        <v>7</v>
      </c>
      <c r="AG230" s="27" t="s">
        <v>8</v>
      </c>
      <c r="AH230" s="27" t="s">
        <v>7</v>
      </c>
      <c r="AI230" s="27" t="s">
        <v>8</v>
      </c>
      <c r="AJ230" s="27" t="s">
        <v>7</v>
      </c>
      <c r="AK230" s="27" t="s">
        <v>8</v>
      </c>
      <c r="AL230" s="27" t="s">
        <v>7</v>
      </c>
      <c r="AS230" s="27" t="s">
        <v>8</v>
      </c>
      <c r="AU230" s="27" t="s">
        <v>8</v>
      </c>
      <c r="AV230" s="27" t="s">
        <v>7</v>
      </c>
      <c r="AW230" s="27" t="s">
        <v>8</v>
      </c>
      <c r="AX230" s="27" t="s">
        <v>7</v>
      </c>
      <c r="AY230" s="27" t="s">
        <v>8</v>
      </c>
      <c r="CL230" s="27" t="s">
        <v>7</v>
      </c>
      <c r="CM230" s="27" t="s">
        <v>8</v>
      </c>
      <c r="CP230" s="27" t="s">
        <v>7</v>
      </c>
      <c r="CQ230" s="27" t="s">
        <v>8</v>
      </c>
      <c r="CR230" s="27" t="s">
        <v>7</v>
      </c>
      <c r="CV230" s="27" t="s">
        <v>7</v>
      </c>
      <c r="CW230" s="27" t="s">
        <v>8</v>
      </c>
      <c r="CX230" s="27" t="s">
        <v>7</v>
      </c>
      <c r="CY230" s="27" t="s">
        <v>8</v>
      </c>
      <c r="CZ230" s="27" t="s">
        <v>7</v>
      </c>
      <c r="DE230" s="27" t="s">
        <v>8</v>
      </c>
      <c r="DL230" s="27" t="s">
        <v>7</v>
      </c>
      <c r="DN230" s="27" t="s">
        <v>7</v>
      </c>
      <c r="DO230" s="27" t="s">
        <v>8</v>
      </c>
      <c r="DP230" s="27" t="s">
        <v>7</v>
      </c>
      <c r="DQ230" s="27" t="s">
        <v>8</v>
      </c>
      <c r="DT230" s="27" t="s">
        <v>7</v>
      </c>
      <c r="EB230" s="27" t="s">
        <v>7</v>
      </c>
      <c r="EC230" s="27" t="s">
        <v>8</v>
      </c>
      <c r="ED230" s="27" t="s">
        <v>7</v>
      </c>
    </row>
    <row r="231" spans="1:144" x14ac:dyDescent="0.25">
      <c r="A231" s="30">
        <v>1.5513282159785162</v>
      </c>
      <c r="C231"/>
      <c r="D231"/>
      <c r="E231" t="s">
        <v>8</v>
      </c>
      <c r="N231" s="27" t="s">
        <v>7</v>
      </c>
      <c r="O231" s="27" t="s">
        <v>8</v>
      </c>
      <c r="P231" s="27" t="s">
        <v>7</v>
      </c>
      <c r="S231" s="27" t="s">
        <v>8</v>
      </c>
      <c r="AE231" s="27" t="s">
        <v>8</v>
      </c>
      <c r="AF231" s="27" t="s">
        <v>7</v>
      </c>
      <c r="AH231" s="27" t="s">
        <v>7</v>
      </c>
      <c r="AI231" s="27" t="s">
        <v>8</v>
      </c>
      <c r="AJ231" s="27" t="s">
        <v>7</v>
      </c>
      <c r="AL231" s="27" t="s">
        <v>7</v>
      </c>
      <c r="AM231" s="27" t="s">
        <v>8</v>
      </c>
      <c r="AS231" s="27" t="s">
        <v>8</v>
      </c>
      <c r="AT231" s="27" t="s">
        <v>7</v>
      </c>
      <c r="AU231" s="27" t="s">
        <v>8</v>
      </c>
      <c r="AV231" s="27" t="s">
        <v>7</v>
      </c>
      <c r="AW231" s="27" t="s">
        <v>8</v>
      </c>
      <c r="AX231" s="27" t="s">
        <v>7</v>
      </c>
      <c r="AY231" s="27" t="s">
        <v>8</v>
      </c>
      <c r="CL231" s="27" t="s">
        <v>7</v>
      </c>
      <c r="CM231" s="27" t="s">
        <v>8</v>
      </c>
      <c r="CP231" s="27" t="s">
        <v>7</v>
      </c>
      <c r="CQ231" s="27" t="s">
        <v>8</v>
      </c>
      <c r="CV231" s="27" t="s">
        <v>7</v>
      </c>
      <c r="CW231" s="27" t="s">
        <v>8</v>
      </c>
      <c r="CX231" s="27" t="s">
        <v>7</v>
      </c>
      <c r="CY231" s="27" t="s">
        <v>8</v>
      </c>
      <c r="CZ231" s="27" t="s">
        <v>7</v>
      </c>
      <c r="DC231" s="27" t="s">
        <v>8</v>
      </c>
      <c r="DE231" s="27" t="s">
        <v>8</v>
      </c>
      <c r="DN231" s="27" t="s">
        <v>7</v>
      </c>
      <c r="DO231" s="27" t="s">
        <v>8</v>
      </c>
      <c r="DP231" s="27" t="s">
        <v>7</v>
      </c>
      <c r="DQ231" s="27" t="s">
        <v>8</v>
      </c>
      <c r="EB231" s="27" t="s">
        <v>7</v>
      </c>
      <c r="EC231" s="27" t="s">
        <v>8</v>
      </c>
      <c r="ED231" s="27" t="s">
        <v>7</v>
      </c>
      <c r="EE231" s="27" t="s">
        <v>8</v>
      </c>
    </row>
    <row r="232" spans="1:144" x14ac:dyDescent="0.25">
      <c r="A232" s="30">
        <v>1.477455443789063</v>
      </c>
      <c r="E232" t="s">
        <v>8</v>
      </c>
      <c r="N232" s="27" t="s">
        <v>7</v>
      </c>
      <c r="O232" s="27" t="s">
        <v>8</v>
      </c>
      <c r="P232" s="27" t="s">
        <v>7</v>
      </c>
      <c r="Q232" s="27" t="s">
        <v>8</v>
      </c>
      <c r="S232" s="27" t="s">
        <v>8</v>
      </c>
      <c r="T232" s="27" t="s">
        <v>7</v>
      </c>
      <c r="W232" s="27" t="s">
        <v>8</v>
      </c>
      <c r="AE232" s="27" t="s">
        <v>8</v>
      </c>
      <c r="AH232" s="27" t="s">
        <v>7</v>
      </c>
      <c r="AI232" s="27" t="s">
        <v>8</v>
      </c>
      <c r="AL232" s="27" t="s">
        <v>7</v>
      </c>
      <c r="AM232" s="27" t="s">
        <v>8</v>
      </c>
      <c r="AN232" s="27" t="s">
        <v>7</v>
      </c>
      <c r="AS232" s="27" t="s">
        <v>8</v>
      </c>
      <c r="AT232" s="27" t="s">
        <v>7</v>
      </c>
      <c r="AU232" s="27" t="s">
        <v>8</v>
      </c>
      <c r="AV232" s="27" t="s">
        <v>7</v>
      </c>
      <c r="AW232" s="27" t="s">
        <v>8</v>
      </c>
      <c r="AX232" s="27" t="s">
        <v>7</v>
      </c>
      <c r="CL232" s="27" t="s">
        <v>7</v>
      </c>
      <c r="CP232" s="27" t="s">
        <v>7</v>
      </c>
      <c r="CQ232" s="27" t="s">
        <v>8</v>
      </c>
      <c r="CV232" s="27" t="s">
        <v>7</v>
      </c>
      <c r="CX232" s="27" t="s">
        <v>7</v>
      </c>
      <c r="CY232" s="27" t="s">
        <v>8</v>
      </c>
      <c r="CZ232" s="27" t="s">
        <v>7</v>
      </c>
      <c r="DC232" s="27" t="s">
        <v>8</v>
      </c>
      <c r="DD232" s="27" t="s">
        <v>7</v>
      </c>
      <c r="DE232" s="27" t="s">
        <v>8</v>
      </c>
      <c r="DN232" s="27" t="s">
        <v>7</v>
      </c>
      <c r="DO232" s="27" t="s">
        <v>8</v>
      </c>
      <c r="DP232" s="27" t="s">
        <v>7</v>
      </c>
      <c r="DQ232" s="27" t="s">
        <v>8</v>
      </c>
      <c r="EB232" s="27" t="s">
        <v>7</v>
      </c>
      <c r="EC232" s="27" t="s">
        <v>8</v>
      </c>
      <c r="ED232" s="27" t="s">
        <v>7</v>
      </c>
      <c r="EE232" s="27" t="s">
        <v>8</v>
      </c>
      <c r="EF232" s="27" t="s">
        <v>7</v>
      </c>
      <c r="EI232" s="27" t="s">
        <v>8</v>
      </c>
    </row>
    <row r="233" spans="1:144" x14ac:dyDescent="0.25">
      <c r="A233" s="30">
        <v>1.4071004226562505</v>
      </c>
      <c r="E233" t="s">
        <v>8</v>
      </c>
      <c r="N233" s="27" t="s">
        <v>7</v>
      </c>
      <c r="O233" s="27" t="s">
        <v>8</v>
      </c>
      <c r="P233" s="27" t="s">
        <v>7</v>
      </c>
      <c r="Q233" s="27" t="s">
        <v>8</v>
      </c>
      <c r="R233" s="27" t="s">
        <v>7</v>
      </c>
      <c r="S233" s="27" t="s">
        <v>8</v>
      </c>
      <c r="T233" s="27" t="s">
        <v>7</v>
      </c>
      <c r="U233" s="27" t="s">
        <v>8</v>
      </c>
      <c r="W233" s="27" t="s">
        <v>8</v>
      </c>
      <c r="X233" s="27" t="s">
        <v>7</v>
      </c>
      <c r="AC233" s="27" t="s">
        <v>8</v>
      </c>
      <c r="AE233" s="27" t="s">
        <v>8</v>
      </c>
      <c r="AH233" s="27" t="s">
        <v>7</v>
      </c>
      <c r="AI233" s="27" t="s">
        <v>8</v>
      </c>
      <c r="AL233" s="27" t="s">
        <v>7</v>
      </c>
      <c r="AM233" s="27" t="s">
        <v>8</v>
      </c>
      <c r="AN233" s="27" t="s">
        <v>7</v>
      </c>
      <c r="AS233" s="27" t="s">
        <v>8</v>
      </c>
      <c r="AT233" s="27" t="s">
        <v>7</v>
      </c>
      <c r="AU233" s="27" t="s">
        <v>8</v>
      </c>
      <c r="AV233" s="27" t="s">
        <v>7</v>
      </c>
      <c r="AW233" s="27" t="s">
        <v>8</v>
      </c>
      <c r="CP233" s="27" t="s">
        <v>7</v>
      </c>
      <c r="CQ233" s="27" t="s">
        <v>8</v>
      </c>
      <c r="CX233" s="27" t="s">
        <v>7</v>
      </c>
      <c r="CZ233" s="27" t="s">
        <v>7</v>
      </c>
      <c r="DC233" s="27" t="s">
        <v>8</v>
      </c>
      <c r="DD233" s="27" t="s">
        <v>7</v>
      </c>
      <c r="DE233" s="27" t="s">
        <v>8</v>
      </c>
      <c r="DN233" s="27" t="s">
        <v>7</v>
      </c>
      <c r="DO233" s="27" t="s">
        <v>8</v>
      </c>
      <c r="DP233" s="27" t="s">
        <v>7</v>
      </c>
      <c r="EB233" s="27" t="s">
        <v>7</v>
      </c>
      <c r="ED233" s="27" t="s">
        <v>7</v>
      </c>
      <c r="EE233" s="27" t="s">
        <v>8</v>
      </c>
      <c r="EF233" s="27" t="s">
        <v>7</v>
      </c>
      <c r="EI233" s="27" t="s">
        <v>8</v>
      </c>
      <c r="EJ233" s="27" t="s">
        <v>7</v>
      </c>
    </row>
    <row r="234" spans="1:144" x14ac:dyDescent="0.25">
      <c r="A234" s="30">
        <v>1.3400956406250004</v>
      </c>
      <c r="E234" t="s">
        <v>8</v>
      </c>
      <c r="N234" s="27" t="s">
        <v>7</v>
      </c>
      <c r="O234" s="27" t="s">
        <v>8</v>
      </c>
      <c r="P234" s="27" t="s">
        <v>7</v>
      </c>
      <c r="Q234" s="27" t="s">
        <v>8</v>
      </c>
      <c r="R234" s="27" t="s">
        <v>7</v>
      </c>
      <c r="S234" s="27" t="s">
        <v>8</v>
      </c>
      <c r="T234" s="27" t="s">
        <v>7</v>
      </c>
      <c r="U234" s="27" t="s">
        <v>8</v>
      </c>
      <c r="V234" s="27" t="s">
        <v>7</v>
      </c>
      <c r="W234" s="27" t="s">
        <v>8</v>
      </c>
      <c r="X234" s="27" t="s">
        <v>7</v>
      </c>
      <c r="AC234" s="27" t="s">
        <v>8</v>
      </c>
      <c r="AD234" s="27" t="s">
        <v>7</v>
      </c>
      <c r="AE234" s="27" t="s">
        <v>8</v>
      </c>
      <c r="AH234" s="27" t="s">
        <v>7</v>
      </c>
      <c r="AL234" s="27" t="s">
        <v>7</v>
      </c>
      <c r="AN234" s="27" t="s">
        <v>7</v>
      </c>
      <c r="AQ234" s="27" t="s">
        <v>8</v>
      </c>
      <c r="AS234" s="27" t="s">
        <v>8</v>
      </c>
      <c r="AT234" s="27" t="s">
        <v>7</v>
      </c>
      <c r="AV234" s="27" t="s">
        <v>7</v>
      </c>
      <c r="AW234" s="27" t="s">
        <v>8</v>
      </c>
      <c r="CP234" s="27" t="s">
        <v>7</v>
      </c>
      <c r="CQ234" s="27" t="s">
        <v>8</v>
      </c>
      <c r="CZ234" s="27" t="s">
        <v>7</v>
      </c>
      <c r="DC234" s="27" t="s">
        <v>8</v>
      </c>
      <c r="DD234" s="27" t="s">
        <v>7</v>
      </c>
      <c r="DE234" s="27" t="s">
        <v>8</v>
      </c>
      <c r="DN234" s="27" t="s">
        <v>7</v>
      </c>
      <c r="ED234" s="27" t="s">
        <v>7</v>
      </c>
      <c r="EF234" s="27" t="s">
        <v>7</v>
      </c>
      <c r="EG234" s="27" t="s">
        <v>8</v>
      </c>
      <c r="EI234" s="27" t="s">
        <v>8</v>
      </c>
      <c r="EJ234" s="27" t="s">
        <v>7</v>
      </c>
      <c r="EK234" s="27" t="s">
        <v>8</v>
      </c>
    </row>
    <row r="235" spans="1:144" x14ac:dyDescent="0.25">
      <c r="A235" s="30">
        <v>1.2762815625000004</v>
      </c>
      <c r="C235"/>
      <c r="E235" t="s">
        <v>8</v>
      </c>
      <c r="N235" s="27" t="s">
        <v>7</v>
      </c>
      <c r="O235" s="27" t="s">
        <v>8</v>
      </c>
      <c r="P235" s="27" t="s">
        <v>7</v>
      </c>
      <c r="Q235" s="27" t="s">
        <v>8</v>
      </c>
      <c r="R235" s="27" t="s">
        <v>7</v>
      </c>
      <c r="S235" s="27" t="s">
        <v>8</v>
      </c>
      <c r="T235" s="27" t="s">
        <v>7</v>
      </c>
      <c r="U235" s="27" t="s">
        <v>8</v>
      </c>
      <c r="V235" s="27" t="s">
        <v>7</v>
      </c>
      <c r="W235" s="27" t="s">
        <v>8</v>
      </c>
      <c r="X235" s="27" t="s">
        <v>7</v>
      </c>
      <c r="Y235" s="27" t="s">
        <v>8</v>
      </c>
      <c r="AC235" s="27" t="s">
        <v>8</v>
      </c>
      <c r="AD235" s="27" t="s">
        <v>7</v>
      </c>
      <c r="AE235" s="27" t="s">
        <v>8</v>
      </c>
      <c r="AN235" s="27" t="s">
        <v>7</v>
      </c>
      <c r="AO235" s="27" t="s">
        <v>8</v>
      </c>
      <c r="AQ235" s="27" t="s">
        <v>8</v>
      </c>
      <c r="AR235" s="27" t="s">
        <v>7</v>
      </c>
      <c r="AS235" s="27" t="s">
        <v>8</v>
      </c>
      <c r="AV235" s="27" t="s">
        <v>7</v>
      </c>
      <c r="AW235" s="27" t="s">
        <v>8</v>
      </c>
      <c r="CP235" s="27" t="s">
        <v>7</v>
      </c>
      <c r="CZ235" s="27" t="s">
        <v>7</v>
      </c>
      <c r="DC235" s="27" t="s">
        <v>8</v>
      </c>
      <c r="DD235" s="27" t="s">
        <v>7</v>
      </c>
      <c r="DE235" s="27" t="s">
        <v>8</v>
      </c>
      <c r="EF235" s="27" t="s">
        <v>7</v>
      </c>
      <c r="EG235" s="27" t="s">
        <v>8</v>
      </c>
      <c r="EH235" s="27" t="s">
        <v>7</v>
      </c>
      <c r="EI235" s="27" t="s">
        <v>8</v>
      </c>
      <c r="EJ235" s="27" t="s">
        <v>7</v>
      </c>
      <c r="EK235" s="27" t="s">
        <v>8</v>
      </c>
      <c r="EL235" s="27" t="s">
        <v>7</v>
      </c>
      <c r="EM235" s="27" t="s">
        <v>8</v>
      </c>
    </row>
    <row r="236" spans="1:144" x14ac:dyDescent="0.25">
      <c r="A236" s="30">
        <v>1.2155062500000002</v>
      </c>
      <c r="E236" t="s">
        <v>8</v>
      </c>
      <c r="N236" s="27" t="s">
        <v>7</v>
      </c>
      <c r="P236" s="27" t="s">
        <v>7</v>
      </c>
      <c r="Q236" s="27" t="s">
        <v>8</v>
      </c>
      <c r="R236" s="27" t="s">
        <v>7</v>
      </c>
      <c r="S236" s="27" t="s">
        <v>8</v>
      </c>
      <c r="T236" s="27" t="s">
        <v>7</v>
      </c>
      <c r="V236" s="27" t="s">
        <v>7</v>
      </c>
      <c r="W236" s="27" t="s">
        <v>8</v>
      </c>
      <c r="X236" s="27" t="s">
        <v>7</v>
      </c>
      <c r="Y236" s="27" t="s">
        <v>8</v>
      </c>
      <c r="Z236" s="27" t="s">
        <v>7</v>
      </c>
      <c r="AA236" s="27" t="s">
        <v>8</v>
      </c>
      <c r="AC236" s="27" t="s">
        <v>8</v>
      </c>
      <c r="AD236" s="27" t="s">
        <v>7</v>
      </c>
      <c r="AE236" s="27" t="s">
        <v>8</v>
      </c>
      <c r="AN236" s="27" t="s">
        <v>7</v>
      </c>
      <c r="AO236" s="27" t="s">
        <v>8</v>
      </c>
      <c r="AP236" s="27" t="s">
        <v>7</v>
      </c>
      <c r="AQ236" s="27" t="s">
        <v>8</v>
      </c>
      <c r="AR236" s="27" t="s">
        <v>7</v>
      </c>
      <c r="AS236" s="27" t="s">
        <v>8</v>
      </c>
      <c r="AV236" s="27" t="s">
        <v>7</v>
      </c>
      <c r="AW236" s="27" t="s">
        <v>8</v>
      </c>
      <c r="CZ236" s="27" t="s">
        <v>7</v>
      </c>
      <c r="DA236" s="27" t="s">
        <v>8</v>
      </c>
      <c r="DC236" s="27" t="s">
        <v>8</v>
      </c>
      <c r="DD236" s="27" t="s">
        <v>7</v>
      </c>
      <c r="DE236" s="27" t="s">
        <v>8</v>
      </c>
      <c r="EF236" s="27" t="s">
        <v>7</v>
      </c>
      <c r="EG236" s="27" t="s">
        <v>8</v>
      </c>
      <c r="EH236" s="27" t="s">
        <v>7</v>
      </c>
      <c r="EI236" s="27" t="s">
        <v>8</v>
      </c>
      <c r="EJ236" s="27" t="s">
        <v>7</v>
      </c>
      <c r="EK236" s="27" t="s">
        <v>8</v>
      </c>
      <c r="EL236" s="27" t="s">
        <v>7</v>
      </c>
      <c r="EM236" s="27" t="s">
        <v>8</v>
      </c>
      <c r="EN236" s="27" t="s">
        <v>7</v>
      </c>
    </row>
    <row r="237" spans="1:14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P237" s="27" t="s">
        <v>7</v>
      </c>
      <c r="R237" s="27" t="s">
        <v>7</v>
      </c>
      <c r="S237" s="27" t="s">
        <v>8</v>
      </c>
      <c r="V237" s="27" t="s">
        <v>7</v>
      </c>
      <c r="X237" s="27" t="s">
        <v>7</v>
      </c>
      <c r="Y237" s="27" t="s">
        <v>8</v>
      </c>
      <c r="Z237" s="27" t="s">
        <v>7</v>
      </c>
      <c r="AA237" s="27" t="s">
        <v>8</v>
      </c>
      <c r="AB237" s="27" t="s">
        <v>7</v>
      </c>
      <c r="AC237" s="27" t="s">
        <v>8</v>
      </c>
      <c r="AD237" s="27" t="s">
        <v>7</v>
      </c>
      <c r="AN237" s="27" t="s">
        <v>7</v>
      </c>
      <c r="AO237" s="27" t="s">
        <v>8</v>
      </c>
      <c r="AP237" s="27" t="s">
        <v>7</v>
      </c>
      <c r="AQ237" s="27" t="s">
        <v>8</v>
      </c>
      <c r="AR237" s="27" t="s">
        <v>7</v>
      </c>
      <c r="AV237" s="27" t="s">
        <v>7</v>
      </c>
      <c r="CZ237" s="27" t="s">
        <v>7</v>
      </c>
      <c r="DA237" s="27" t="s">
        <v>8</v>
      </c>
      <c r="DB237" s="27" t="s">
        <v>7</v>
      </c>
      <c r="DC237" s="27" t="s">
        <v>8</v>
      </c>
      <c r="DD237" s="27" t="s">
        <v>7</v>
      </c>
      <c r="DE237" s="27" t="s">
        <v>8</v>
      </c>
      <c r="EF237" s="27" t="s">
        <v>7</v>
      </c>
      <c r="EH237" s="27" t="s">
        <v>7</v>
      </c>
      <c r="EJ237" s="27" t="s">
        <v>7</v>
      </c>
      <c r="EK237" s="27" t="s">
        <v>8</v>
      </c>
      <c r="EL237" s="27" t="s">
        <v>7</v>
      </c>
      <c r="EM237" s="27" t="s">
        <v>8</v>
      </c>
      <c r="EN237" s="27" t="s">
        <v>7</v>
      </c>
    </row>
    <row r="238" spans="1:144" x14ac:dyDescent="0.25">
      <c r="A238" s="30">
        <v>1.1025</v>
      </c>
      <c r="E238" t="s">
        <v>8</v>
      </c>
      <c r="R238" s="27" t="s">
        <v>7</v>
      </c>
      <c r="S238" s="27" t="s">
        <v>8</v>
      </c>
      <c r="X238" s="27" t="s">
        <v>7</v>
      </c>
      <c r="Y238" s="27" t="s">
        <v>8</v>
      </c>
      <c r="Z238" s="27" t="s">
        <v>7</v>
      </c>
      <c r="AA238" s="27" t="s">
        <v>8</v>
      </c>
      <c r="AB238" s="27" t="s">
        <v>7</v>
      </c>
      <c r="AC238" s="27" t="s">
        <v>8</v>
      </c>
      <c r="AN238" s="27" t="s">
        <v>7</v>
      </c>
      <c r="AO238" s="27" t="s">
        <v>8</v>
      </c>
      <c r="AP238" s="27" t="s">
        <v>7</v>
      </c>
      <c r="CZ238" s="27" t="s">
        <v>7</v>
      </c>
      <c r="DA238" s="27" t="s">
        <v>8</v>
      </c>
      <c r="DB238" s="27" t="s">
        <v>7</v>
      </c>
      <c r="DC238" s="27" t="s">
        <v>8</v>
      </c>
      <c r="DD238" s="18" t="s">
        <v>7</v>
      </c>
      <c r="DE238" s="27" t="s">
        <v>8</v>
      </c>
      <c r="EJ238" s="27" t="s">
        <v>7</v>
      </c>
      <c r="EK238" s="27" t="s">
        <v>8</v>
      </c>
      <c r="EL238" s="27" t="s">
        <v>7</v>
      </c>
      <c r="EM238" s="27" t="s">
        <v>8</v>
      </c>
      <c r="EN238" s="27" t="s">
        <v>7</v>
      </c>
    </row>
    <row r="239" spans="1:144" x14ac:dyDescent="0.25">
      <c r="A239" s="30">
        <v>1.05</v>
      </c>
      <c r="E239" t="s">
        <v>8</v>
      </c>
      <c r="R239" s="27" t="s">
        <v>7</v>
      </c>
      <c r="S239" s="27" t="s">
        <v>8</v>
      </c>
      <c r="X239" s="27" t="s">
        <v>7</v>
      </c>
      <c r="Y239" s="27" t="s">
        <v>8</v>
      </c>
      <c r="Z239" s="27" t="s">
        <v>7</v>
      </c>
      <c r="AB239" s="27" t="s">
        <v>7</v>
      </c>
      <c r="AN239" s="27" t="s">
        <v>7</v>
      </c>
      <c r="CZ239" s="27" t="s">
        <v>7</v>
      </c>
      <c r="DA239" s="27" t="s">
        <v>8</v>
      </c>
      <c r="DB239" s="27" t="s">
        <v>7</v>
      </c>
      <c r="DC239" s="27" t="s">
        <v>8</v>
      </c>
      <c r="DD239" s="27" t="s">
        <v>7</v>
      </c>
      <c r="EJ239" s="27" t="s">
        <v>7</v>
      </c>
      <c r="EL239" s="27" t="s">
        <v>7</v>
      </c>
      <c r="EM239" s="27" t="s">
        <v>8</v>
      </c>
      <c r="EN239" s="27" t="s">
        <v>7</v>
      </c>
    </row>
    <row r="240" spans="1:144" x14ac:dyDescent="0.25">
      <c r="A240" s="30">
        <v>1</v>
      </c>
      <c r="E240" s="29" t="s">
        <v>8</v>
      </c>
      <c r="R240" s="27" t="s">
        <v>7</v>
      </c>
      <c r="S240" s="27" t="s">
        <v>8</v>
      </c>
      <c r="X240" s="27" t="s">
        <v>7</v>
      </c>
      <c r="Y240" s="27" t="s">
        <v>8</v>
      </c>
      <c r="CZ240" s="27" t="s">
        <v>7</v>
      </c>
      <c r="DA240" s="27" t="s">
        <v>8</v>
      </c>
      <c r="DB240" s="27" t="s">
        <v>7</v>
      </c>
      <c r="EL240" s="27" t="s">
        <v>7</v>
      </c>
      <c r="EM240" s="27" t="s">
        <v>8</v>
      </c>
      <c r="EN240" s="27" t="s">
        <v>7</v>
      </c>
    </row>
    <row r="241" spans="1:143" x14ac:dyDescent="0.25">
      <c r="A241" s="30">
        <v>0.952380952380952</v>
      </c>
      <c r="B241"/>
      <c r="C241"/>
      <c r="D241"/>
      <c r="E241"/>
      <c r="R241" s="27" t="s">
        <v>7</v>
      </c>
      <c r="X241" s="27" t="s">
        <v>7</v>
      </c>
      <c r="CZ241" s="27" t="s">
        <v>7</v>
      </c>
      <c r="EL241" s="27" t="s">
        <v>7</v>
      </c>
      <c r="EM241" s="27" t="s">
        <v>8</v>
      </c>
    </row>
    <row r="242" spans="1:143" x14ac:dyDescent="0.25">
      <c r="A242" s="30">
        <v>0.90702947845804915</v>
      </c>
      <c r="B242"/>
      <c r="C242"/>
      <c r="D242"/>
      <c r="E242"/>
      <c r="EL242" s="27" t="s">
        <v>7</v>
      </c>
      <c r="EM242" s="27" t="s">
        <v>8</v>
      </c>
    </row>
    <row r="243" spans="1:143" x14ac:dyDescent="0.25">
      <c r="A243" s="30">
        <v>0.86383759853147501</v>
      </c>
      <c r="B243"/>
      <c r="C243"/>
      <c r="D243"/>
      <c r="E243"/>
      <c r="EL243" s="27" t="s">
        <v>7</v>
      </c>
      <c r="EM243" s="27" t="s">
        <v>8</v>
      </c>
    </row>
    <row r="244" spans="1:143" x14ac:dyDescent="0.25">
      <c r="A244" s="30">
        <v>0.82270247479188063</v>
      </c>
      <c r="B244"/>
      <c r="C244"/>
      <c r="D244"/>
      <c r="E244"/>
      <c r="EL244" s="27" t="s">
        <v>7</v>
      </c>
    </row>
    <row r="245" spans="1:143" x14ac:dyDescent="0.25">
      <c r="A245" s="30">
        <v>0.78352616646845741</v>
      </c>
      <c r="B245"/>
      <c r="C245"/>
      <c r="D245"/>
      <c r="E245"/>
    </row>
    <row r="246" spans="1:143" x14ac:dyDescent="0.25">
      <c r="A246" s="30">
        <v>0.74621539663662584</v>
      </c>
      <c r="B246"/>
      <c r="C246"/>
      <c r="D246"/>
      <c r="E246"/>
    </row>
    <row r="247" spans="1:143" x14ac:dyDescent="0.25">
      <c r="A247" s="30">
        <v>0.71068133013011958</v>
      </c>
      <c r="B247"/>
      <c r="C247"/>
      <c r="D247"/>
      <c r="E247"/>
    </row>
    <row r="248" spans="1:143" x14ac:dyDescent="0.25">
      <c r="A248" s="30">
        <v>0.676839362028685</v>
      </c>
      <c r="B248"/>
      <c r="C248"/>
      <c r="D248"/>
      <c r="E248"/>
    </row>
    <row r="249" spans="1:143" x14ac:dyDescent="0.25">
      <c r="A249" s="30">
        <v>0.64460891621779492</v>
      </c>
      <c r="B249"/>
      <c r="C249"/>
      <c r="D249"/>
      <c r="E249"/>
    </row>
    <row r="250" spans="1:143" x14ac:dyDescent="0.25">
      <c r="A250" s="30">
        <v>0.61391325354075688</v>
      </c>
      <c r="B250"/>
      <c r="C250"/>
      <c r="D250"/>
      <c r="E250"/>
    </row>
    <row r="251" spans="1:143" x14ac:dyDescent="0.25">
      <c r="A251" s="30">
        <v>0.58467928908643485</v>
      </c>
      <c r="B251"/>
      <c r="C251"/>
      <c r="D251"/>
      <c r="E251"/>
    </row>
    <row r="252" spans="1:143" x14ac:dyDescent="0.25">
      <c r="A252" s="30">
        <v>0.55683741817755672</v>
      </c>
      <c r="B252"/>
      <c r="C252"/>
      <c r="D252"/>
      <c r="E252"/>
    </row>
    <row r="253" spans="1:143" x14ac:dyDescent="0.25">
      <c r="A253" s="30">
        <v>0.53032135064529184</v>
      </c>
      <c r="B253"/>
      <c r="C253"/>
      <c r="D253"/>
      <c r="E253"/>
    </row>
    <row r="254" spans="1:143" x14ac:dyDescent="0.25">
      <c r="A254" s="30">
        <v>0.50506795299551588</v>
      </c>
      <c r="B254"/>
      <c r="C254"/>
      <c r="D254"/>
      <c r="E254"/>
    </row>
    <row r="255" spans="1:143" x14ac:dyDescent="0.25">
      <c r="A255" s="30">
        <v>0.48101709809096732</v>
      </c>
      <c r="E255"/>
    </row>
    <row r="256" spans="1:143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31" operator="equal">
      <formula>$U$1</formula>
    </cfRule>
    <cfRule type="cellIs" dxfId="67" priority="932" operator="equal">
      <formula>$S$1</formula>
    </cfRule>
  </conditionalFormatting>
  <conditionalFormatting sqref="D136">
    <cfRule type="cellIs" dxfId="66" priority="929" operator="equal">
      <formula>$S$1</formula>
    </cfRule>
    <cfRule type="cellIs" dxfId="65" priority="930" operator="equal">
      <formula>$U$1</formula>
    </cfRule>
  </conditionalFormatting>
  <conditionalFormatting sqref="C162">
    <cfRule type="cellIs" dxfId="64" priority="927" operator="equal">
      <formula>$U$1</formula>
    </cfRule>
    <cfRule type="cellIs" dxfId="63" priority="928" operator="equal">
      <formula>$S$1</formula>
    </cfRule>
  </conditionalFormatting>
  <conditionalFormatting sqref="D162">
    <cfRule type="cellIs" dxfId="62" priority="925" operator="equal">
      <formula>$S$1</formula>
    </cfRule>
    <cfRule type="cellIs" dxfId="61" priority="926" operator="equal">
      <formula>$U$1</formula>
    </cfRule>
  </conditionalFormatting>
  <conditionalFormatting sqref="C187">
    <cfRule type="cellIs" dxfId="60" priority="923" operator="equal">
      <formula>$U$1</formula>
    </cfRule>
    <cfRule type="cellIs" dxfId="59" priority="924" operator="equal">
      <formula>$S$1</formula>
    </cfRule>
  </conditionalFormatting>
  <conditionalFormatting sqref="D187">
    <cfRule type="cellIs" dxfId="58" priority="921" operator="equal">
      <formula>$S$1</formula>
    </cfRule>
    <cfRule type="cellIs" dxfId="57" priority="922" operator="equal">
      <formula>$U$1</formula>
    </cfRule>
  </conditionalFormatting>
  <conditionalFormatting sqref="C212">
    <cfRule type="cellIs" dxfId="56" priority="919" operator="equal">
      <formula>$U$1</formula>
    </cfRule>
    <cfRule type="cellIs" dxfId="55" priority="920" operator="equal">
      <formula>$S$1</formula>
    </cfRule>
  </conditionalFormatting>
  <conditionalFormatting sqref="D212">
    <cfRule type="cellIs" dxfId="54" priority="917" operator="equal">
      <formula>$S$1</formula>
    </cfRule>
    <cfRule type="cellIs" dxfId="53" priority="918" operator="equal">
      <formula>$U$1</formula>
    </cfRule>
  </conditionalFormatting>
  <conditionalFormatting sqref="C237">
    <cfRule type="cellIs" dxfId="52" priority="915" operator="equal">
      <formula>$U$1</formula>
    </cfRule>
    <cfRule type="cellIs" dxfId="51" priority="916" operator="equal">
      <formula>$S$1</formula>
    </cfRule>
  </conditionalFormatting>
  <conditionalFormatting sqref="D237">
    <cfRule type="cellIs" dxfId="50" priority="913" operator="equal">
      <formula>$S$1</formula>
    </cfRule>
    <cfRule type="cellIs" dxfId="49" priority="914" operator="equal">
      <formula>$U$1</formula>
    </cfRule>
  </conditionalFormatting>
  <conditionalFormatting sqref="C106">
    <cfRule type="cellIs" dxfId="48" priority="911" operator="equal">
      <formula>$U$1</formula>
    </cfRule>
    <cfRule type="cellIs" dxfId="47" priority="912" operator="equal">
      <formula>$S$1</formula>
    </cfRule>
  </conditionalFormatting>
  <conditionalFormatting sqref="D106">
    <cfRule type="cellIs" dxfId="46" priority="909" operator="equal">
      <formula>$S$1</formula>
    </cfRule>
    <cfRule type="cellIs" dxfId="45" priority="910" operator="equal">
      <formula>$U$1</formula>
    </cfRule>
  </conditionalFormatting>
  <conditionalFormatting sqref="C81">
    <cfRule type="cellIs" dxfId="44" priority="907" operator="equal">
      <formula>$U$1</formula>
    </cfRule>
    <cfRule type="cellIs" dxfId="43" priority="908" operator="equal">
      <formula>$S$1</formula>
    </cfRule>
  </conditionalFormatting>
  <conditionalFormatting sqref="D81">
    <cfRule type="cellIs" dxfId="42" priority="905" operator="equal">
      <formula>$S$1</formula>
    </cfRule>
    <cfRule type="cellIs" dxfId="41" priority="906" operator="equal">
      <formula>$U$1</formula>
    </cfRule>
  </conditionalFormatting>
  <conditionalFormatting sqref="C56">
    <cfRule type="cellIs" dxfId="40" priority="903" operator="equal">
      <formula>$U$1</formula>
    </cfRule>
    <cfRule type="cellIs" dxfId="39" priority="904" operator="equal">
      <formula>$S$1</formula>
    </cfRule>
  </conditionalFormatting>
  <conditionalFormatting sqref="D56">
    <cfRule type="cellIs" dxfId="38" priority="901" operator="equal">
      <formula>$S$1</formula>
    </cfRule>
    <cfRule type="cellIs" dxfId="37" priority="902" operator="equal">
      <formula>$U$1</formula>
    </cfRule>
  </conditionalFormatting>
  <conditionalFormatting sqref="C31">
    <cfRule type="cellIs" dxfId="36" priority="899" operator="equal">
      <formula>$U$1</formula>
    </cfRule>
    <cfRule type="cellIs" dxfId="35" priority="900" operator="equal">
      <formula>$S$1</formula>
    </cfRule>
  </conditionalFormatting>
  <conditionalFormatting sqref="D31">
    <cfRule type="cellIs" dxfId="34" priority="897" operator="equal">
      <formula>$S$1</formula>
    </cfRule>
    <cfRule type="cellIs" dxfId="33" priority="89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W119" sqref="AW11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7" x14ac:dyDescent="0.25">
      <c r="A97" s="30">
        <v>9.849732675807628</v>
      </c>
      <c r="E97"/>
    </row>
    <row r="98" spans="1:47" x14ac:dyDescent="0.25">
      <c r="A98" s="30">
        <v>8.9543024325523888</v>
      </c>
      <c r="C98" s="1" t="s">
        <v>13</v>
      </c>
      <c r="E98"/>
    </row>
    <row r="99" spans="1:47" x14ac:dyDescent="0.25">
      <c r="A99" s="30">
        <v>8.140274938683989</v>
      </c>
      <c r="C99" s="1">
        <f>C88</f>
        <v>0</v>
      </c>
      <c r="E99"/>
    </row>
    <row r="100" spans="1:47" x14ac:dyDescent="0.25">
      <c r="A100" s="30">
        <v>7.4002499442581717</v>
      </c>
      <c r="C100"/>
      <c r="D100"/>
      <c r="E100"/>
    </row>
    <row r="101" spans="1:47" x14ac:dyDescent="0.25">
      <c r="A101" s="30">
        <v>6.72749994932561</v>
      </c>
      <c r="C101" s="1" t="s">
        <v>14</v>
      </c>
      <c r="E101"/>
    </row>
    <row r="102" spans="1:47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47" x14ac:dyDescent="0.25">
      <c r="A103" s="30">
        <v>5.5599173134922388</v>
      </c>
      <c r="E103"/>
      <c r="AE103" s="27" t="s">
        <v>8</v>
      </c>
    </row>
    <row r="104" spans="1:47" x14ac:dyDescent="0.25">
      <c r="A104" s="30">
        <v>5.0544702849929442</v>
      </c>
      <c r="E104"/>
      <c r="AA104" s="27" t="s">
        <v>8</v>
      </c>
      <c r="AE104" s="27" t="s">
        <v>8</v>
      </c>
      <c r="AF104" s="27" t="s">
        <v>7</v>
      </c>
    </row>
    <row r="105" spans="1:47" x14ac:dyDescent="0.25">
      <c r="A105" s="30">
        <v>4.594972986357222</v>
      </c>
      <c r="E105"/>
      <c r="AA105" s="27" t="s">
        <v>8</v>
      </c>
      <c r="AB105" s="27" t="s">
        <v>7</v>
      </c>
      <c r="AE105" s="27" t="s">
        <v>8</v>
      </c>
      <c r="AF105" s="27" t="s">
        <v>7</v>
      </c>
    </row>
    <row r="106" spans="1:47" x14ac:dyDescent="0.25">
      <c r="A106" s="30">
        <v>4.1772481694156562</v>
      </c>
      <c r="E106"/>
      <c r="Y106" s="27" t="s">
        <v>8</v>
      </c>
      <c r="AA106" s="27" t="s">
        <v>8</v>
      </c>
      <c r="AB106" s="27" t="s">
        <v>7</v>
      </c>
      <c r="AC106" s="27" t="s">
        <v>8</v>
      </c>
      <c r="AE106" s="27" t="s">
        <v>8</v>
      </c>
      <c r="AF106" s="27" t="s">
        <v>7</v>
      </c>
    </row>
    <row r="107" spans="1:47" x14ac:dyDescent="0.25">
      <c r="A107" s="30">
        <v>3.7974983358324148</v>
      </c>
      <c r="E107"/>
      <c r="Y107" s="27" t="s">
        <v>8</v>
      </c>
      <c r="Z107" s="27" t="s">
        <v>7</v>
      </c>
      <c r="AA107" s="27" t="s">
        <v>8</v>
      </c>
      <c r="AB107" s="27" t="s">
        <v>7</v>
      </c>
      <c r="AC107" s="27" t="s">
        <v>8</v>
      </c>
      <c r="AD107" s="27" t="s">
        <v>7</v>
      </c>
      <c r="AE107" s="27" t="s">
        <v>8</v>
      </c>
      <c r="AF107" s="27" t="s">
        <v>7</v>
      </c>
    </row>
    <row r="108" spans="1:47" x14ac:dyDescent="0.25">
      <c r="A108" s="30">
        <v>3.4522712143931042</v>
      </c>
      <c r="E108"/>
      <c r="W108" s="27" t="s">
        <v>8</v>
      </c>
      <c r="Y108" s="27" t="s">
        <v>8</v>
      </c>
      <c r="Z108" s="27" t="s">
        <v>7</v>
      </c>
      <c r="AA108" s="27" t="s">
        <v>8</v>
      </c>
      <c r="AB108" s="27" t="s">
        <v>7</v>
      </c>
      <c r="AC108" s="27" t="s">
        <v>8</v>
      </c>
      <c r="AD108" s="27" t="s">
        <v>7</v>
      </c>
      <c r="AE108" s="27" t="s">
        <v>8</v>
      </c>
      <c r="AF108" s="27" t="s">
        <v>7</v>
      </c>
    </row>
    <row r="109" spans="1:47" x14ac:dyDescent="0.25">
      <c r="A109" s="30">
        <v>3.1384283767210035</v>
      </c>
      <c r="E109" t="s">
        <v>8</v>
      </c>
      <c r="U109" s="27" t="s">
        <v>8</v>
      </c>
      <c r="W109" s="27" t="s">
        <v>8</v>
      </c>
      <c r="X109" s="27" t="s">
        <v>7</v>
      </c>
      <c r="Y109" s="27" t="s">
        <v>8</v>
      </c>
      <c r="Z109" s="27" t="s">
        <v>7</v>
      </c>
      <c r="AA109" s="27" t="s">
        <v>8</v>
      </c>
      <c r="AB109" s="27" t="s">
        <v>7</v>
      </c>
      <c r="AD109" s="27" t="s">
        <v>7</v>
      </c>
      <c r="AE109" s="27" t="s">
        <v>8</v>
      </c>
      <c r="AF109" s="27" t="s">
        <v>7</v>
      </c>
    </row>
    <row r="110" spans="1:47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U110" s="27" t="s">
        <v>8</v>
      </c>
      <c r="V110" s="27" t="s">
        <v>7</v>
      </c>
      <c r="W110" s="27" t="s">
        <v>8</v>
      </c>
      <c r="X110" s="27" t="s">
        <v>7</v>
      </c>
      <c r="Y110" s="27" t="s">
        <v>8</v>
      </c>
      <c r="Z110" s="27" t="s">
        <v>7</v>
      </c>
      <c r="AD110" s="27" t="s">
        <v>7</v>
      </c>
      <c r="AF110" s="27" t="s">
        <v>7</v>
      </c>
    </row>
    <row r="111" spans="1:47" x14ac:dyDescent="0.25">
      <c r="A111" s="30">
        <v>2.5937424601000023</v>
      </c>
      <c r="C111" s="1" t="str">
        <f>ADDRESS(C121-1,1,1,1)</f>
        <v>$A$118</v>
      </c>
      <c r="D111" s="1" t="str">
        <f>ADDRESS(C121-1,D121,1,1)</f>
        <v>$AW$118</v>
      </c>
      <c r="E111" t="s">
        <v>8</v>
      </c>
      <c r="F111" s="27" t="s">
        <v>7</v>
      </c>
      <c r="G111" s="27" t="s">
        <v>8</v>
      </c>
      <c r="H111" s="27" t="s">
        <v>7</v>
      </c>
      <c r="U111" s="27" t="s">
        <v>8</v>
      </c>
      <c r="V111" s="27" t="s">
        <v>7</v>
      </c>
      <c r="W111" s="27" t="s">
        <v>8</v>
      </c>
      <c r="X111" s="27" t="s">
        <v>7</v>
      </c>
      <c r="Y111" s="27" t="s">
        <v>8</v>
      </c>
      <c r="AF111" s="27" t="s">
        <v>7</v>
      </c>
      <c r="AG111" s="27" t="s">
        <v>8</v>
      </c>
    </row>
    <row r="112" spans="1:47" x14ac:dyDescent="0.25">
      <c r="A112" s="30">
        <v>2.3579476910000019</v>
      </c>
      <c r="C112" s="1" t="str">
        <f>ADDRESS(C121,1,1,1)</f>
        <v>$A$119</v>
      </c>
      <c r="D112" s="1" t="str">
        <f>ADDRESS(C121,D121-1,1,1)</f>
        <v>$AV$119</v>
      </c>
      <c r="E112" t="s">
        <v>8</v>
      </c>
      <c r="F112" s="27" t="s">
        <v>7</v>
      </c>
      <c r="G112" s="27" t="s">
        <v>8</v>
      </c>
      <c r="H112" s="27" t="s">
        <v>7</v>
      </c>
      <c r="U112" s="27" t="s">
        <v>8</v>
      </c>
      <c r="V112" s="27" t="s">
        <v>7</v>
      </c>
      <c r="X112" s="27" t="s">
        <v>7</v>
      </c>
      <c r="Y112" s="27" t="s">
        <v>8</v>
      </c>
      <c r="AF112" s="27" t="s">
        <v>7</v>
      </c>
      <c r="AG112" s="27" t="s">
        <v>8</v>
      </c>
      <c r="AH112" s="27" t="s">
        <v>7</v>
      </c>
      <c r="AI112" s="27" t="s">
        <v>8</v>
      </c>
      <c r="AO112" s="27" t="s">
        <v>8</v>
      </c>
      <c r="AQ112" s="27" t="s">
        <v>8</v>
      </c>
      <c r="AU112" s="27" t="s">
        <v>8</v>
      </c>
    </row>
    <row r="113" spans="1:49" x14ac:dyDescent="0.25">
      <c r="A113" s="30">
        <v>2.1435888100000016</v>
      </c>
      <c r="C113" s="1" t="str">
        <f>ADDRESS(C121+1,1,1,1)</f>
        <v>$A$120</v>
      </c>
      <c r="D113" s="1" t="str">
        <f>ADDRESS(C121-1,D121+1,1,1)</f>
        <v>$AX$118</v>
      </c>
      <c r="E113" s="1" t="s">
        <v>8</v>
      </c>
      <c r="F113" s="27" t="s">
        <v>7</v>
      </c>
      <c r="G113" s="27" t="s">
        <v>8</v>
      </c>
      <c r="H113" s="27" t="s">
        <v>7</v>
      </c>
      <c r="U113" s="27" t="s">
        <v>8</v>
      </c>
      <c r="X113" s="27" t="s">
        <v>7</v>
      </c>
      <c r="Y113" s="27" t="s">
        <v>8</v>
      </c>
      <c r="AF113" s="27" t="s">
        <v>7</v>
      </c>
      <c r="AG113" s="27" t="s">
        <v>8</v>
      </c>
      <c r="AH113" s="27" t="s">
        <v>7</v>
      </c>
      <c r="AI113" s="27" t="s">
        <v>8</v>
      </c>
      <c r="AJ113" s="27" t="s">
        <v>7</v>
      </c>
      <c r="AK113" s="27" t="s">
        <v>8</v>
      </c>
      <c r="AO113" s="27" t="s">
        <v>8</v>
      </c>
      <c r="AP113" s="27" t="s">
        <v>7</v>
      </c>
      <c r="AQ113" s="27" t="s">
        <v>8</v>
      </c>
      <c r="AR113" s="27" t="s">
        <v>7</v>
      </c>
      <c r="AS113" s="27" t="s">
        <v>8</v>
      </c>
      <c r="AU113" s="27" t="s">
        <v>8</v>
      </c>
      <c r="AV113" s="27" t="s">
        <v>7</v>
      </c>
    </row>
    <row r="114" spans="1:49" x14ac:dyDescent="0.25">
      <c r="A114" s="30">
        <v>1.9487171000000014</v>
      </c>
      <c r="C114" s="1" t="str">
        <f>ADDRESS(C121,D121,1,1)</f>
        <v>$AW$119</v>
      </c>
      <c r="D114" s="1" t="str">
        <f>ADDRESS(C121+1,D121+1,1,1)</f>
        <v>$AX$120</v>
      </c>
      <c r="E114" s="1" t="s">
        <v>8</v>
      </c>
      <c r="F114" s="27" t="s">
        <v>7</v>
      </c>
      <c r="H114" s="27" t="s">
        <v>7</v>
      </c>
      <c r="M114" s="27" t="s">
        <v>8</v>
      </c>
      <c r="O114" s="27" t="s">
        <v>8</v>
      </c>
      <c r="S114" s="27" t="s">
        <v>8</v>
      </c>
      <c r="U114" s="27" t="s">
        <v>8</v>
      </c>
      <c r="X114" s="27" t="s">
        <v>7</v>
      </c>
      <c r="AF114" s="27" t="s">
        <v>7</v>
      </c>
      <c r="AG114" s="27" t="s">
        <v>8</v>
      </c>
      <c r="AH114" s="27" t="s">
        <v>7</v>
      </c>
      <c r="AI114" s="27" t="s">
        <v>8</v>
      </c>
      <c r="AJ114" s="27" t="s">
        <v>7</v>
      </c>
      <c r="AK114" s="27" t="s">
        <v>8</v>
      </c>
      <c r="AL114" s="27" t="s">
        <v>7</v>
      </c>
      <c r="AO114" s="27" t="s">
        <v>8</v>
      </c>
      <c r="AP114" s="27" t="s">
        <v>7</v>
      </c>
      <c r="AQ114" s="27" t="s">
        <v>8</v>
      </c>
      <c r="AR114" s="27" t="s">
        <v>7</v>
      </c>
      <c r="AS114" s="27" t="s">
        <v>8</v>
      </c>
      <c r="AT114" s="27" t="s">
        <v>7</v>
      </c>
      <c r="AU114" s="27" t="s">
        <v>8</v>
      </c>
      <c r="AV114" s="27" t="s">
        <v>7</v>
      </c>
    </row>
    <row r="115" spans="1:49" x14ac:dyDescent="0.25">
      <c r="A115" s="30">
        <v>1.7715610000000011</v>
      </c>
      <c r="C115" s="1" t="str">
        <f>ADDRESS(C121+1,D121,1,1)</f>
        <v>$AW$120</v>
      </c>
      <c r="E115" s="1" t="s">
        <v>8</v>
      </c>
      <c r="H115" s="27" t="s">
        <v>7</v>
      </c>
      <c r="M115" s="27" t="s">
        <v>8</v>
      </c>
      <c r="N115" s="27" t="s">
        <v>7</v>
      </c>
      <c r="O115" s="27" t="s">
        <v>8</v>
      </c>
      <c r="P115" s="27" t="s">
        <v>7</v>
      </c>
      <c r="S115" s="27" t="s">
        <v>8</v>
      </c>
      <c r="T115" s="27" t="s">
        <v>7</v>
      </c>
      <c r="U115" s="27" t="s">
        <v>8</v>
      </c>
      <c r="AF115" s="27" t="s">
        <v>7</v>
      </c>
      <c r="AG115" s="27" t="s">
        <v>8</v>
      </c>
      <c r="AH115" s="27" t="s">
        <v>7</v>
      </c>
      <c r="AI115" s="27" t="s">
        <v>8</v>
      </c>
      <c r="AJ115" s="27" t="s">
        <v>7</v>
      </c>
      <c r="AK115" s="27" t="s">
        <v>8</v>
      </c>
      <c r="AL115" s="27" t="s">
        <v>7</v>
      </c>
      <c r="AO115" s="27" t="s">
        <v>8</v>
      </c>
      <c r="AP115" s="27" t="s">
        <v>7</v>
      </c>
      <c r="AR115" s="27" t="s">
        <v>7</v>
      </c>
      <c r="AS115" s="27" t="s">
        <v>8</v>
      </c>
      <c r="AT115" s="27" t="s">
        <v>7</v>
      </c>
      <c r="AU115" s="27" t="s">
        <v>8</v>
      </c>
      <c r="AV115" s="27" t="s">
        <v>7</v>
      </c>
    </row>
    <row r="116" spans="1:49" x14ac:dyDescent="0.25">
      <c r="A116" s="30">
        <v>1.6105100000000008</v>
      </c>
      <c r="C116" s="1">
        <f>C117-1</f>
        <v>118</v>
      </c>
      <c r="E116" s="1" t="s">
        <v>8</v>
      </c>
      <c r="H116" s="27" t="s">
        <v>7</v>
      </c>
      <c r="I116" s="27" t="s">
        <v>8</v>
      </c>
      <c r="K116" s="27" t="s">
        <v>8</v>
      </c>
      <c r="M116" s="27" t="s">
        <v>8</v>
      </c>
      <c r="N116" s="27" t="s">
        <v>7</v>
      </c>
      <c r="O116" s="27" t="s">
        <v>8</v>
      </c>
      <c r="P116" s="27" t="s">
        <v>7</v>
      </c>
      <c r="Q116" s="27" t="s">
        <v>8</v>
      </c>
      <c r="S116" s="27" t="s">
        <v>8</v>
      </c>
      <c r="T116" s="27" t="s">
        <v>7</v>
      </c>
      <c r="U116" s="27" t="s">
        <v>8</v>
      </c>
      <c r="AF116" s="27" t="s">
        <v>7</v>
      </c>
      <c r="AG116" s="27" t="s">
        <v>8</v>
      </c>
      <c r="AH116" s="27" t="s">
        <v>7</v>
      </c>
      <c r="AI116" s="27" t="s">
        <v>8</v>
      </c>
      <c r="AJ116" s="27" t="s">
        <v>7</v>
      </c>
      <c r="AL116" s="27" t="s">
        <v>7</v>
      </c>
      <c r="AO116" s="27" t="s">
        <v>8</v>
      </c>
      <c r="AR116" s="27" t="s">
        <v>7</v>
      </c>
      <c r="AS116" s="27" t="s">
        <v>8</v>
      </c>
      <c r="AT116" s="27" t="s">
        <v>7</v>
      </c>
      <c r="AV116" s="27" t="s">
        <v>7</v>
      </c>
    </row>
    <row r="117" spans="1:49" x14ac:dyDescent="0.25">
      <c r="A117" s="30">
        <v>1.4641000000000006</v>
      </c>
      <c r="C117" s="1">
        <f>C121</f>
        <v>119</v>
      </c>
      <c r="D117" s="1">
        <f>D121</f>
        <v>49</v>
      </c>
      <c r="E117" s="1" t="s">
        <v>8</v>
      </c>
      <c r="H117" s="27" t="s">
        <v>7</v>
      </c>
      <c r="I117" s="27" t="s">
        <v>8</v>
      </c>
      <c r="J117" s="27" t="s">
        <v>7</v>
      </c>
      <c r="K117" s="27" t="s">
        <v>8</v>
      </c>
      <c r="L117" s="27" t="s">
        <v>7</v>
      </c>
      <c r="M117" s="27" t="s">
        <v>8</v>
      </c>
      <c r="N117" s="27" t="s">
        <v>7</v>
      </c>
      <c r="O117" s="27" t="s">
        <v>8</v>
      </c>
      <c r="P117" s="27" t="s">
        <v>7</v>
      </c>
      <c r="Q117" s="27" t="s">
        <v>8</v>
      </c>
      <c r="R117" s="27" t="s">
        <v>7</v>
      </c>
      <c r="S117" s="27" t="s">
        <v>8</v>
      </c>
      <c r="T117" s="27" t="s">
        <v>7</v>
      </c>
      <c r="AF117" s="27" t="s">
        <v>7</v>
      </c>
      <c r="AH117" s="27" t="s">
        <v>7</v>
      </c>
      <c r="AI117" s="27" t="s">
        <v>8</v>
      </c>
      <c r="AL117" s="27" t="s">
        <v>7</v>
      </c>
      <c r="AM117" s="27" t="s">
        <v>8</v>
      </c>
      <c r="AO117" s="27" t="s">
        <v>8</v>
      </c>
      <c r="AR117" s="27" t="s">
        <v>7</v>
      </c>
      <c r="AS117" s="27" t="s">
        <v>8</v>
      </c>
      <c r="AV117" s="27" t="s">
        <v>7</v>
      </c>
    </row>
    <row r="118" spans="1:49" x14ac:dyDescent="0.25">
      <c r="A118" s="30">
        <v>1.3310000000000004</v>
      </c>
      <c r="C118" s="1">
        <f>C117+1</f>
        <v>120</v>
      </c>
      <c r="D118" s="1">
        <f>D117+1</f>
        <v>50</v>
      </c>
      <c r="E118" s="1" t="s">
        <v>8</v>
      </c>
      <c r="H118" s="27" t="s">
        <v>7</v>
      </c>
      <c r="I118" s="27" t="s">
        <v>8</v>
      </c>
      <c r="J118" s="27" t="s">
        <v>7</v>
      </c>
      <c r="K118" s="27" t="s">
        <v>8</v>
      </c>
      <c r="L118" s="27" t="s">
        <v>7</v>
      </c>
      <c r="M118" s="27" t="s">
        <v>8</v>
      </c>
      <c r="N118" s="27" t="s">
        <v>7</v>
      </c>
      <c r="P118" s="27" t="s">
        <v>7</v>
      </c>
      <c r="Q118" s="27" t="s">
        <v>8</v>
      </c>
      <c r="R118" s="27" t="s">
        <v>7</v>
      </c>
      <c r="S118" s="27" t="s">
        <v>8</v>
      </c>
      <c r="AH118" s="27" t="s">
        <v>7</v>
      </c>
      <c r="AL118" s="27" t="s">
        <v>7</v>
      </c>
      <c r="AM118" s="27" t="s">
        <v>8</v>
      </c>
      <c r="AN118" s="27" t="s">
        <v>7</v>
      </c>
      <c r="AO118" s="27" t="s">
        <v>8</v>
      </c>
      <c r="AR118" s="27" t="s">
        <v>7</v>
      </c>
      <c r="AV118" s="27" t="s">
        <v>7</v>
      </c>
    </row>
    <row r="119" spans="1:49" x14ac:dyDescent="0.25">
      <c r="A119" s="30">
        <v>1.2100000000000002</v>
      </c>
      <c r="E119" s="1" t="s">
        <v>8</v>
      </c>
      <c r="H119" s="27" t="s">
        <v>7</v>
      </c>
      <c r="J119" s="27" t="s">
        <v>7</v>
      </c>
      <c r="K119" s="27" t="s">
        <v>8</v>
      </c>
      <c r="L119" s="27" t="s">
        <v>7</v>
      </c>
      <c r="M119" s="27" t="s">
        <v>8</v>
      </c>
      <c r="P119" s="27" t="s">
        <v>7</v>
      </c>
      <c r="Q119" s="27" t="s">
        <v>8</v>
      </c>
      <c r="R119" s="27" t="s">
        <v>7</v>
      </c>
      <c r="AL119" s="27" t="s">
        <v>7</v>
      </c>
      <c r="AM119" s="27" t="s">
        <v>8</v>
      </c>
      <c r="AN119" s="27" t="s">
        <v>7</v>
      </c>
      <c r="AO119" s="27" t="s">
        <v>8</v>
      </c>
      <c r="AV119" s="27" t="s">
        <v>7</v>
      </c>
      <c r="AW119" s="27" t="s">
        <v>8</v>
      </c>
    </row>
    <row r="120" spans="1:49" x14ac:dyDescent="0.25">
      <c r="A120" s="30">
        <v>1.1000000000000001</v>
      </c>
      <c r="C120" s="1" t="s">
        <v>9</v>
      </c>
      <c r="E120" s="1" t="s">
        <v>8</v>
      </c>
      <c r="J120" s="27" t="s">
        <v>7</v>
      </c>
      <c r="K120" s="27" t="s">
        <v>8</v>
      </c>
      <c r="L120" s="27" t="s">
        <v>7</v>
      </c>
      <c r="M120" s="27" t="s">
        <v>8</v>
      </c>
      <c r="P120" s="27" t="s">
        <v>7</v>
      </c>
      <c r="AL120" s="27" t="s">
        <v>7</v>
      </c>
      <c r="AM120" s="27" t="s">
        <v>8</v>
      </c>
      <c r="AN120" s="18" t="s">
        <v>7</v>
      </c>
      <c r="AV120" s="27" t="s">
        <v>7</v>
      </c>
      <c r="AW120" s="27" t="s">
        <v>8</v>
      </c>
    </row>
    <row r="121" spans="1:49" x14ac:dyDescent="0.25">
      <c r="A121" s="30">
        <v>1</v>
      </c>
      <c r="C121" s="18">
        <v>119</v>
      </c>
      <c r="D121" s="19">
        <v>49</v>
      </c>
      <c r="E121" s="18" t="s">
        <v>8</v>
      </c>
      <c r="J121" s="27" t="s">
        <v>7</v>
      </c>
      <c r="L121" s="27" t="s">
        <v>7</v>
      </c>
      <c r="AL121" s="27" t="s">
        <v>7</v>
      </c>
      <c r="AV121" s="27" t="s">
        <v>7</v>
      </c>
      <c r="AW121" s="27" t="s">
        <v>8</v>
      </c>
    </row>
    <row r="122" spans="1:49" x14ac:dyDescent="0.25">
      <c r="A122" s="30">
        <v>0.90909090909090895</v>
      </c>
      <c r="C122" s="1" t="str">
        <f>INDEX(1:1048576,C117,D117)</f>
        <v>X</v>
      </c>
      <c r="AV122" s="27" t="s">
        <v>7</v>
      </c>
      <c r="AW122" s="27" t="s">
        <v>8</v>
      </c>
    </row>
    <row r="123" spans="1:49" x14ac:dyDescent="0.25">
      <c r="A123" s="30">
        <v>0.82644628099173523</v>
      </c>
      <c r="C123" s="1" t="str">
        <f>"R"&amp;C121</f>
        <v>R119</v>
      </c>
      <c r="D123" s="1" t="str">
        <f>"C"&amp;D121</f>
        <v>C49</v>
      </c>
      <c r="AV123" s="27" t="s">
        <v>7</v>
      </c>
      <c r="AW123" s="27" t="s">
        <v>8</v>
      </c>
    </row>
    <row r="124" spans="1:49" x14ac:dyDescent="0.25">
      <c r="A124" s="30">
        <v>0.75131480090157732</v>
      </c>
      <c r="C124" s="1">
        <f>SUM(C130:D130)</f>
        <v>0</v>
      </c>
      <c r="D124" s="1">
        <f>IF(C124=0,0,1)</f>
        <v>0</v>
      </c>
      <c r="AV124" s="27" t="s">
        <v>7</v>
      </c>
    </row>
    <row r="125" spans="1:49" x14ac:dyDescent="0.25">
      <c r="A125" s="30">
        <v>0.68301345536507019</v>
      </c>
    </row>
    <row r="126" spans="1:49" x14ac:dyDescent="0.25">
      <c r="A126" s="30">
        <v>0.6209213230591546</v>
      </c>
      <c r="C126" s="1" t="s">
        <v>10</v>
      </c>
    </row>
    <row r="127" spans="1:49" x14ac:dyDescent="0.25">
      <c r="A127" s="30">
        <v>0.56447393005377677</v>
      </c>
      <c r="C127" s="30">
        <v>1.2100000000000002</v>
      </c>
      <c r="D127"/>
    </row>
    <row r="128" spans="1:49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X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15" operator="equal">
      <formula>$U$1</formula>
    </cfRule>
    <cfRule type="cellIs" dxfId="30" priority="916" operator="equal">
      <formula>$S$1</formula>
    </cfRule>
  </conditionalFormatting>
  <conditionalFormatting sqref="D136">
    <cfRule type="cellIs" dxfId="29" priority="913" operator="equal">
      <formula>$S$1</formula>
    </cfRule>
    <cfRule type="cellIs" dxfId="28" priority="914" operator="equal">
      <formula>$U$1</formula>
    </cfRule>
  </conditionalFormatting>
  <conditionalFormatting sqref="C102">
    <cfRule type="cellIs" dxfId="27" priority="911" operator="equal">
      <formula>$U$1</formula>
    </cfRule>
    <cfRule type="cellIs" dxfId="26" priority="912" operator="equal">
      <formula>$S$1</formula>
    </cfRule>
  </conditionalFormatting>
  <conditionalFormatting sqref="D102">
    <cfRule type="cellIs" dxfId="25" priority="909" operator="equal">
      <formula>$S$1</formula>
    </cfRule>
    <cfRule type="cellIs" dxfId="24" priority="910" operator="equal">
      <formula>$U$1</formula>
    </cfRule>
  </conditionalFormatting>
  <conditionalFormatting sqref="C77">
    <cfRule type="cellIs" dxfId="23" priority="907" operator="equal">
      <formula>$U$1</formula>
    </cfRule>
    <cfRule type="cellIs" dxfId="22" priority="908" operator="equal">
      <formula>$S$1</formula>
    </cfRule>
  </conditionalFormatting>
  <conditionalFormatting sqref="D77">
    <cfRule type="cellIs" dxfId="21" priority="905" operator="equal">
      <formula>$S$1</formula>
    </cfRule>
    <cfRule type="cellIs" dxfId="20" priority="906" operator="equal">
      <formula>$U$1</formula>
    </cfRule>
  </conditionalFormatting>
  <conditionalFormatting sqref="C52">
    <cfRule type="cellIs" dxfId="19" priority="903" operator="equal">
      <formula>$U$1</formula>
    </cfRule>
    <cfRule type="cellIs" dxfId="18" priority="904" operator="equal">
      <formula>$S$1</formula>
    </cfRule>
  </conditionalFormatting>
  <conditionalFormatting sqref="D52">
    <cfRule type="cellIs" dxfId="17" priority="901" operator="equal">
      <formula>$S$1</formula>
    </cfRule>
    <cfRule type="cellIs" dxfId="16" priority="902" operator="equal">
      <formula>$U$1</formula>
    </cfRule>
  </conditionalFormatting>
  <conditionalFormatting sqref="C26">
    <cfRule type="cellIs" dxfId="15" priority="899" operator="equal">
      <formula>$U$1</formula>
    </cfRule>
    <cfRule type="cellIs" dxfId="14" priority="900" operator="equal">
      <formula>$S$1</formula>
    </cfRule>
  </conditionalFormatting>
  <conditionalFormatting sqref="D26">
    <cfRule type="cellIs" dxfId="13" priority="897" operator="equal">
      <formula>$S$1</formula>
    </cfRule>
    <cfRule type="cellIs" dxfId="12" priority="89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2022-01-28T01:15:52Z</dcterms:modified>
</cp:coreProperties>
</file>