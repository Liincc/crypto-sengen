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69DA011-CFE9-4D44-A626-C84446ACF77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7" i="1"/>
  <c r="Q767" i="1" s="1"/>
  <c r="R767" i="1" s="1"/>
  <c r="S767" i="1" s="1"/>
  <c r="T767" i="1" s="1"/>
  <c r="P766" i="1"/>
  <c r="Q766" i="1" s="1"/>
  <c r="P765" i="1"/>
  <c r="Q765" i="1" s="1"/>
  <c r="P764" i="1"/>
  <c r="Q764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22" i="4"/>
  <c r="C133" i="4" s="1"/>
  <c r="D136" i="4" s="1"/>
  <c r="C122" i="3"/>
  <c r="C133" i="3" s="1"/>
  <c r="C136" i="3" s="1"/>
  <c r="C118" i="3"/>
  <c r="R766" i="1"/>
  <c r="D136" i="5" l="1"/>
  <c r="C138" i="5" s="1"/>
  <c r="C136" i="4"/>
  <c r="C138" i="4" s="1"/>
  <c r="D136" i="3"/>
  <c r="C138" i="3" s="1"/>
  <c r="R765" i="1"/>
  <c r="S766" i="1"/>
  <c r="T766" i="1" s="1"/>
  <c r="R764" i="1" l="1"/>
  <c r="S765" i="1"/>
  <c r="T765" i="1" s="1"/>
  <c r="R762" i="1" l="1"/>
  <c r="S764" i="1"/>
  <c r="T764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<sst xmlns="http://schemas.openxmlformats.org/spreadsheetml/2006/main" count="8689" uniqueCount="34">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</sst>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9">
                  <c:v>43830</c:v>
                </c:pt>
                <c:pt idx="760">
                  <c:v>43829</c:v>
                </c:pt>
                <c:pt idx="761">
                  <c:v>43828</c:v>
                </c:pt>
                <c:pt idx="762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  <c:pt idx="886">
                  <c:v>43703</c:v>
                </c:pt>
                <c:pt idx="887">
                  <c:v>43702</c:v>
                </c:pt>
                <c:pt idx="888">
                  <c:v>43701</c:v>
                </c:pt>
                <c:pt idx="889">
                  <c:v>43700</c:v>
                </c:pt>
                <c:pt idx="890">
                  <c:v>43699</c:v>
                </c:pt>
                <c:pt idx="891">
                  <c:v>43698</c:v>
                </c:pt>
                <c:pt idx="892">
                  <c:v>43697</c:v>
                </c:pt>
                <c:pt idx="893">
                  <c:v>43696</c:v>
                </c:pt>
                <c:pt idx="894">
                  <c:v>43695</c:v>
                </c:pt>
                <c:pt idx="895">
                  <c:v>43694</c:v>
                </c:pt>
                <c:pt idx="896">
                  <c:v>43693</c:v>
                </c:pt>
                <c:pt idx="897">
                  <c:v>43692</c:v>
                </c:pt>
                <c:pt idx="898">
                  <c:v>43691</c:v>
                </c:pt>
                <c:pt idx="899">
                  <c:v>43690</c:v>
                </c:pt>
                <c:pt idx="900">
                  <c:v>43689</c:v>
                </c:pt>
                <c:pt idx="901">
                  <c:v>43688</c:v>
                </c:pt>
                <c:pt idx="902">
                  <c:v>43687</c:v>
                </c:pt>
                <c:pt idx="903">
                  <c:v>43686</c:v>
                </c:pt>
                <c:pt idx="904">
                  <c:v>43685</c:v>
                </c:pt>
                <c:pt idx="905">
                  <c:v>43684</c:v>
                </c:pt>
                <c:pt idx="906">
                  <c:v>43683</c:v>
                </c:pt>
                <c:pt idx="907">
                  <c:v>43682</c:v>
                </c:pt>
                <c:pt idx="908">
                  <c:v>43681</c:v>
                </c:pt>
                <c:pt idx="909">
                  <c:v>43680</c:v>
                </c:pt>
                <c:pt idx="910">
                  <c:v>43679</c:v>
                </c:pt>
                <c:pt idx="911">
                  <c:v>43678</c:v>
                </c:pt>
                <c:pt idx="912">
                  <c:v>43677</c:v>
                </c:pt>
                <c:pt idx="913">
                  <c:v>43676</c:v>
                </c:pt>
                <c:pt idx="914">
                  <c:v>43675</c:v>
                </c:pt>
                <c:pt idx="915">
                  <c:v>43674</c:v>
                </c:pt>
                <c:pt idx="916">
                  <c:v>43673</c:v>
                </c:pt>
                <c:pt idx="917">
                  <c:v>43672</c:v>
                </c:pt>
                <c:pt idx="918">
                  <c:v>43671</c:v>
                </c:pt>
                <c:pt idx="919">
                  <c:v>43670</c:v>
                </c:pt>
                <c:pt idx="920">
                  <c:v>43669</c:v>
                </c:pt>
                <c:pt idx="921">
                  <c:v>43668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0.59830000000000005</c:v>
                </c:pt>
                <c:pt idx="1">
                  <c:v>0.60289999999999999</c:v>
                </c:pt>
                <c:pt idx="2">
                  <c:v>0.55410000000000004</c:v>
                </c:pt>
                <c:pt idx="3">
                  <c:v>0.57320000000000004</c:v>
                </c:pt>
                <c:pt idx="4">
                  <c:v>0.60899999999999999</c:v>
                </c:pt>
                <c:pt idx="5">
                  <c:v>0.54820000000000002</c:v>
                </c:pt>
                <c:pt idx="6">
                  <c:v>0.63649999999999995</c:v>
                </c:pt>
                <c:pt idx="7">
                  <c:v>0.75700000000000001</c:v>
                </c:pt>
                <c:pt idx="8">
                  <c:v>0.84660000000000002</c:v>
                </c:pt>
                <c:pt idx="9">
                  <c:v>0.91539999999999999</c:v>
                </c:pt>
                <c:pt idx="10">
                  <c:v>0.94320000000000004</c:v>
                </c:pt>
                <c:pt idx="11">
                  <c:v>1.0315000000000001</c:v>
                </c:pt>
                <c:pt idx="12">
                  <c:v>0.89629999999999999</c:v>
                </c:pt>
                <c:pt idx="13">
                  <c:v>0.96050000000000002</c:v>
                </c:pt>
                <c:pt idx="14">
                  <c:v>0.84019999999999995</c:v>
                </c:pt>
                <c:pt idx="15">
                  <c:v>0.74219999999999997</c:v>
                </c:pt>
                <c:pt idx="16">
                  <c:v>0.68259999999999998</c:v>
                </c:pt>
                <c:pt idx="17">
                  <c:v>0.60170000000000001</c:v>
                </c:pt>
                <c:pt idx="18">
                  <c:v>0.66069999999999995</c:v>
                </c:pt>
                <c:pt idx="19">
                  <c:v>0.63360000000000005</c:v>
                </c:pt>
                <c:pt idx="20">
                  <c:v>0.69830000000000003</c:v>
                </c:pt>
                <c:pt idx="21">
                  <c:v>0.77859999999999996</c:v>
                </c:pt>
                <c:pt idx="22">
                  <c:v>0.7389</c:v>
                </c:pt>
                <c:pt idx="23">
                  <c:v>0.83809999999999996</c:v>
                </c:pt>
                <c:pt idx="24">
                  <c:v>0.84130000000000005</c:v>
                </c:pt>
                <c:pt idx="25">
                  <c:v>0.94350000000000001</c:v>
                </c:pt>
                <c:pt idx="26">
                  <c:v>1.0025999999999999</c:v>
                </c:pt>
                <c:pt idx="27">
                  <c:v>0.93559999999999999</c:v>
                </c:pt>
                <c:pt idx="28">
                  <c:v>0.94030000000000002</c:v>
                </c:pt>
                <c:pt idx="29">
                  <c:v>0.9819</c:v>
                </c:pt>
                <c:pt idx="30">
                  <c:v>0.78959999999999997</c:v>
                </c:pt>
                <c:pt idx="31">
                  <c:v>0.88429999999999997</c:v>
                </c:pt>
                <c:pt idx="32">
                  <c:v>0.70679999999999998</c:v>
                </c:pt>
                <c:pt idx="33">
                  <c:v>0.73540000000000005</c:v>
                </c:pt>
                <c:pt idx="34">
                  <c:v>0.76219999999999999</c:v>
                </c:pt>
                <c:pt idx="35">
                  <c:v>0.66649999999999998</c:v>
                </c:pt>
                <c:pt idx="36">
                  <c:v>0.67210000000000003</c:v>
                </c:pt>
                <c:pt idx="37">
                  <c:v>0.60199999999999998</c:v>
                </c:pt>
                <c:pt idx="38">
                  <c:v>0.53720000000000001</c:v>
                </c:pt>
                <c:pt idx="39">
                  <c:v>0.42899999999999999</c:v>
                </c:pt>
                <c:pt idx="40">
                  <c:v>0.47799999999999998</c:v>
                </c:pt>
                <c:pt idx="41">
                  <c:v>0.48259999999999997</c:v>
                </c:pt>
                <c:pt idx="42">
                  <c:v>0.59099999999999997</c:v>
                </c:pt>
                <c:pt idx="43">
                  <c:v>0.59019999999999995</c:v>
                </c:pt>
                <c:pt idx="44">
                  <c:v>0.55220000000000002</c:v>
                </c:pt>
                <c:pt idx="45">
                  <c:v>0.49120000000000003</c:v>
                </c:pt>
                <c:pt idx="46">
                  <c:v>0.42820000000000003</c:v>
                </c:pt>
                <c:pt idx="47">
                  <c:v>0.28989999999999999</c:v>
                </c:pt>
                <c:pt idx="48">
                  <c:v>0.28660000000000002</c:v>
                </c:pt>
                <c:pt idx="49">
                  <c:v>0.27939999999999998</c:v>
                </c:pt>
                <c:pt idx="50">
                  <c:v>0.32869999999999999</c:v>
                </c:pt>
                <c:pt idx="51">
                  <c:v>0.34720000000000001</c:v>
                </c:pt>
                <c:pt idx="52">
                  <c:v>0.25309999999999999</c:v>
                </c:pt>
                <c:pt idx="53">
                  <c:v>0.2218</c:v>
                </c:pt>
                <c:pt idx="54">
                  <c:v>0.2354</c:v>
                </c:pt>
                <c:pt idx="55">
                  <c:v>0.27029999999999998</c:v>
                </c:pt>
                <c:pt idx="56">
                  <c:v>0.28449999999999998</c:v>
                </c:pt>
                <c:pt idx="57">
                  <c:v>0.309</c:v>
                </c:pt>
                <c:pt idx="58">
                  <c:v>0.31890000000000002</c:v>
                </c:pt>
                <c:pt idx="59">
                  <c:v>0.3427</c:v>
                </c:pt>
                <c:pt idx="60">
                  <c:v>0.311</c:v>
                </c:pt>
                <c:pt idx="61">
                  <c:v>0.31380000000000002</c:v>
                </c:pt>
                <c:pt idx="62">
                  <c:v>0.29239999999999999</c:v>
                </c:pt>
                <c:pt idx="63">
                  <c:v>0.32700000000000001</c:v>
                </c:pt>
                <c:pt idx="64">
                  <c:v>0.32019999999999998</c:v>
                </c:pt>
                <c:pt idx="65">
                  <c:v>0.34320000000000001</c:v>
                </c:pt>
                <c:pt idx="66">
                  <c:v>0.30769999999999997</c:v>
                </c:pt>
                <c:pt idx="67">
                  <c:v>0.32550000000000001</c:v>
                </c:pt>
                <c:pt idx="68">
                  <c:v>0.35410000000000003</c:v>
                </c:pt>
                <c:pt idx="69">
                  <c:v>0.34350000000000003</c:v>
                </c:pt>
                <c:pt idx="70">
                  <c:v>0.2707</c:v>
                </c:pt>
                <c:pt idx="71">
                  <c:v>0.31480000000000002</c:v>
                </c:pt>
                <c:pt idx="72">
                  <c:v>0.29820000000000002</c:v>
                </c:pt>
                <c:pt idx="73">
                  <c:v>0.32719999999999999</c:v>
                </c:pt>
                <c:pt idx="74">
                  <c:v>0.35010000000000002</c:v>
                </c:pt>
                <c:pt idx="75">
                  <c:v>0.28360000000000002</c:v>
                </c:pt>
                <c:pt idx="76">
                  <c:v>0.30459999999999998</c:v>
                </c:pt>
                <c:pt idx="77">
                  <c:v>0.34839999999999999</c:v>
                </c:pt>
                <c:pt idx="78">
                  <c:v>0.2586</c:v>
                </c:pt>
                <c:pt idx="79">
                  <c:v>0.26029999999999998</c:v>
                </c:pt>
                <c:pt idx="80">
                  <c:v>0.26750000000000002</c:v>
                </c:pt>
                <c:pt idx="81">
                  <c:v>0.24629999999999999</c:v>
                </c:pt>
                <c:pt idx="82">
                  <c:v>0.2069</c:v>
                </c:pt>
                <c:pt idx="83">
                  <c:v>0.20849999999999999</c:v>
                </c:pt>
                <c:pt idx="84">
                  <c:v>0.18870000000000001</c:v>
                </c:pt>
                <c:pt idx="85">
                  <c:v>0.17749999999999999</c:v>
                </c:pt>
                <c:pt idx="86">
                  <c:v>0.1729</c:v>
                </c:pt>
                <c:pt idx="87">
                  <c:v>0.16900000000000001</c:v>
                </c:pt>
                <c:pt idx="88">
                  <c:v>0.17460000000000001</c:v>
                </c:pt>
                <c:pt idx="89">
                  <c:v>0.16200000000000001</c:v>
                </c:pt>
                <c:pt idx="90">
                  <c:v>0.16220000000000001</c:v>
                </c:pt>
                <c:pt idx="91">
                  <c:v>0.15790000000000001</c:v>
                </c:pt>
                <c:pt idx="92">
                  <c:v>0.15240000000000001</c:v>
                </c:pt>
                <c:pt idx="93">
                  <c:v>0.16500000000000001</c:v>
                </c:pt>
                <c:pt idx="94">
                  <c:v>0.1691</c:v>
                </c:pt>
                <c:pt idx="95">
                  <c:v>0.16839999999999999</c:v>
                </c:pt>
                <c:pt idx="96">
                  <c:v>0.17119999999999999</c:v>
                </c:pt>
                <c:pt idx="97">
                  <c:v>0.16639999999999999</c:v>
                </c:pt>
                <c:pt idx="98">
                  <c:v>0.17330000000000001</c:v>
                </c:pt>
                <c:pt idx="99">
                  <c:v>0.18060000000000001</c:v>
                </c:pt>
                <c:pt idx="100">
                  <c:v>0.17799999999999999</c:v>
                </c:pt>
                <c:pt idx="101">
                  <c:v>0.1837</c:v>
                </c:pt>
                <c:pt idx="102">
                  <c:v>0.17979999999999999</c:v>
                </c:pt>
                <c:pt idx="103">
                  <c:v>0.18129999999999999</c:v>
                </c:pt>
                <c:pt idx="104">
                  <c:v>0.16569999999999999</c:v>
                </c:pt>
                <c:pt idx="105">
                  <c:v>0.17979999999999999</c:v>
                </c:pt>
                <c:pt idx="106">
                  <c:v>0.15260000000000001</c:v>
                </c:pt>
                <c:pt idx="107">
                  <c:v>0.1497</c:v>
                </c:pt>
                <c:pt idx="108">
                  <c:v>0.15640000000000001</c:v>
                </c:pt>
                <c:pt idx="109">
                  <c:v>0.161</c:v>
                </c:pt>
                <c:pt idx="110">
                  <c:v>0.16750000000000001</c:v>
                </c:pt>
                <c:pt idx="111">
                  <c:v>0.15970000000000001</c:v>
                </c:pt>
                <c:pt idx="112">
                  <c:v>0.157</c:v>
                </c:pt>
                <c:pt idx="113">
                  <c:v>0.1573</c:v>
                </c:pt>
                <c:pt idx="114">
                  <c:v>0.15890000000000001</c:v>
                </c:pt>
                <c:pt idx="115">
                  <c:v>0.15060000000000001</c:v>
                </c:pt>
                <c:pt idx="116">
                  <c:v>0.15579999999999999</c:v>
                </c:pt>
                <c:pt idx="117">
                  <c:v>0.1573</c:v>
                </c:pt>
                <c:pt idx="118">
                  <c:v>0.14480000000000001</c:v>
                </c:pt>
                <c:pt idx="119">
                  <c:v>0.1376</c:v>
                </c:pt>
                <c:pt idx="120">
                  <c:v>0.13289999999999999</c:v>
                </c:pt>
                <c:pt idx="121">
                  <c:v>0.1323</c:v>
                </c:pt>
                <c:pt idx="122">
                  <c:v>0.14099999999999999</c:v>
                </c:pt>
                <c:pt idx="123">
                  <c:v>0.1492</c:v>
                </c:pt>
                <c:pt idx="124">
                  <c:v>0.15379999999999999</c:v>
                </c:pt>
                <c:pt idx="125">
                  <c:v>0.15140000000000001</c:v>
                </c:pt>
                <c:pt idx="126">
                  <c:v>0.153</c:v>
                </c:pt>
                <c:pt idx="127">
                  <c:v>0.14099999999999999</c:v>
                </c:pt>
                <c:pt idx="128">
                  <c:v>0.12770000000000001</c:v>
                </c:pt>
                <c:pt idx="129">
                  <c:v>0.1439</c:v>
                </c:pt>
                <c:pt idx="130">
                  <c:v>0.15529999999999999</c:v>
                </c:pt>
                <c:pt idx="131">
                  <c:v>0.15870000000000001</c:v>
                </c:pt>
                <c:pt idx="132">
                  <c:v>0.1515</c:v>
                </c:pt>
                <c:pt idx="133">
                  <c:v>0.1605</c:v>
                </c:pt>
                <c:pt idx="134">
                  <c:v>0.16850000000000001</c:v>
                </c:pt>
                <c:pt idx="135">
                  <c:v>0.16289999999999999</c:v>
                </c:pt>
                <c:pt idx="136">
                  <c:v>0.15060000000000001</c:v>
                </c:pt>
                <c:pt idx="137">
                  <c:v>0.16089999999999999</c:v>
                </c:pt>
                <c:pt idx="138">
                  <c:v>0.15129999999999999</c:v>
                </c:pt>
                <c:pt idx="139">
                  <c:v>0.1484</c:v>
                </c:pt>
                <c:pt idx="140">
                  <c:v>0.16520000000000001</c:v>
                </c:pt>
                <c:pt idx="141">
                  <c:v>0.15529999999999999</c:v>
                </c:pt>
                <c:pt idx="142">
                  <c:v>0.1595</c:v>
                </c:pt>
                <c:pt idx="143">
                  <c:v>0.18959999999999999</c:v>
                </c:pt>
                <c:pt idx="144">
                  <c:v>0.19109999999999999</c:v>
                </c:pt>
                <c:pt idx="145">
                  <c:v>0.19409999999999999</c:v>
                </c:pt>
                <c:pt idx="146">
                  <c:v>0.17680000000000001</c:v>
                </c:pt>
                <c:pt idx="147">
                  <c:v>0.17430000000000001</c:v>
                </c:pt>
                <c:pt idx="148">
                  <c:v>0.1704</c:v>
                </c:pt>
                <c:pt idx="149">
                  <c:v>0.16339999999999999</c:v>
                </c:pt>
                <c:pt idx="150">
                  <c:v>0.1671</c:v>
                </c:pt>
                <c:pt idx="151">
                  <c:v>0.17299999999999999</c:v>
                </c:pt>
                <c:pt idx="152">
                  <c:v>0.16009999999999999</c:v>
                </c:pt>
                <c:pt idx="153">
                  <c:v>0.15859999999999999</c:v>
                </c:pt>
                <c:pt idx="154">
                  <c:v>0.15</c:v>
                </c:pt>
                <c:pt idx="155">
                  <c:v>0.16300000000000001</c:v>
                </c:pt>
                <c:pt idx="156">
                  <c:v>0.15809999999999999</c:v>
                </c:pt>
                <c:pt idx="157">
                  <c:v>0.1704</c:v>
                </c:pt>
                <c:pt idx="158">
                  <c:v>0.1678</c:v>
                </c:pt>
                <c:pt idx="159">
                  <c:v>0.15920000000000001</c:v>
                </c:pt>
                <c:pt idx="160">
                  <c:v>0.15529999999999999</c:v>
                </c:pt>
                <c:pt idx="161">
                  <c:v>0.1507</c:v>
                </c:pt>
                <c:pt idx="162">
                  <c:v>0.14630000000000001</c:v>
                </c:pt>
                <c:pt idx="163">
                  <c:v>0.14610000000000001</c:v>
                </c:pt>
                <c:pt idx="164">
                  <c:v>0.1583</c:v>
                </c:pt>
                <c:pt idx="165">
                  <c:v>0.15609999999999999</c:v>
                </c:pt>
                <c:pt idx="166">
                  <c:v>0.15479999999999999</c:v>
                </c:pt>
                <c:pt idx="167">
                  <c:v>0.1608</c:v>
                </c:pt>
                <c:pt idx="168">
                  <c:v>0.13930000000000001</c:v>
                </c:pt>
                <c:pt idx="169">
                  <c:v>0.13919999999999999</c:v>
                </c:pt>
                <c:pt idx="170">
                  <c:v>0.14119999999999999</c:v>
                </c:pt>
                <c:pt idx="171">
                  <c:v>0.13009999999999999</c:v>
                </c:pt>
                <c:pt idx="172">
                  <c:v>0.1255</c:v>
                </c:pt>
                <c:pt idx="173">
                  <c:v>0.13420000000000001</c:v>
                </c:pt>
                <c:pt idx="174">
                  <c:v>0.13950000000000001</c:v>
                </c:pt>
                <c:pt idx="175">
                  <c:v>0.125</c:v>
                </c:pt>
                <c:pt idx="176">
                  <c:v>0.1128</c:v>
                </c:pt>
                <c:pt idx="177">
                  <c:v>0.1067</c:v>
                </c:pt>
                <c:pt idx="178">
                  <c:v>0.1087</c:v>
                </c:pt>
                <c:pt idx="179">
                  <c:v>0.1085</c:v>
                </c:pt>
                <c:pt idx="180">
                  <c:v>0.11269999999999999</c:v>
                </c:pt>
                <c:pt idx="181">
                  <c:v>0.1104</c:v>
                </c:pt>
                <c:pt idx="182">
                  <c:v>0.1094</c:v>
                </c:pt>
                <c:pt idx="183">
                  <c:v>0.10829999999999999</c:v>
                </c:pt>
                <c:pt idx="184">
                  <c:v>0.1105</c:v>
                </c:pt>
                <c:pt idx="185">
                  <c:v>0.1103</c:v>
                </c:pt>
                <c:pt idx="186">
                  <c:v>0.1084</c:v>
                </c:pt>
                <c:pt idx="187">
                  <c:v>0.1076</c:v>
                </c:pt>
                <c:pt idx="188">
                  <c:v>0.1032</c:v>
                </c:pt>
                <c:pt idx="189">
                  <c:v>0.10199999999999999</c:v>
                </c:pt>
                <c:pt idx="190">
                  <c:v>0.10059999999999999</c:v>
                </c:pt>
                <c:pt idx="191">
                  <c:v>9.35E-2</c:v>
                </c:pt>
                <c:pt idx="192">
                  <c:v>9.9199999999999997E-2</c:v>
                </c:pt>
                <c:pt idx="193">
                  <c:v>0.1052</c:v>
                </c:pt>
                <c:pt idx="194">
                  <c:v>0.1072</c:v>
                </c:pt>
                <c:pt idx="195">
                  <c:v>0.10630000000000001</c:v>
                </c:pt>
                <c:pt idx="196">
                  <c:v>0.1114</c:v>
                </c:pt>
                <c:pt idx="197">
                  <c:v>0.11</c:v>
                </c:pt>
                <c:pt idx="198">
                  <c:v>0.1056</c:v>
                </c:pt>
                <c:pt idx="199">
                  <c:v>0.1113</c:v>
                </c:pt>
                <c:pt idx="200">
                  <c:v>0.1158</c:v>
                </c:pt>
                <c:pt idx="201">
                  <c:v>0.1137</c:v>
                </c:pt>
                <c:pt idx="202">
                  <c:v>0.1183</c:v>
                </c:pt>
                <c:pt idx="203">
                  <c:v>0.1105</c:v>
                </c:pt>
                <c:pt idx="204">
                  <c:v>0.12130000000000001</c:v>
                </c:pt>
                <c:pt idx="205">
                  <c:v>0.1207</c:v>
                </c:pt>
                <c:pt idx="206">
                  <c:v>0.1193</c:v>
                </c:pt>
                <c:pt idx="207">
                  <c:v>0.12570000000000001</c:v>
                </c:pt>
                <c:pt idx="208">
                  <c:v>0.13170000000000001</c:v>
                </c:pt>
                <c:pt idx="209">
                  <c:v>0.1173</c:v>
                </c:pt>
                <c:pt idx="210">
                  <c:v>0.11169999999999999</c:v>
                </c:pt>
                <c:pt idx="211">
                  <c:v>0.1173</c:v>
                </c:pt>
                <c:pt idx="212">
                  <c:v>0.123</c:v>
                </c:pt>
                <c:pt idx="213">
                  <c:v>0.1164</c:v>
                </c:pt>
                <c:pt idx="214">
                  <c:v>0.1144</c:v>
                </c:pt>
                <c:pt idx="215">
                  <c:v>0.1147</c:v>
                </c:pt>
                <c:pt idx="216">
                  <c:v>0.113</c:v>
                </c:pt>
                <c:pt idx="217">
                  <c:v>0.12509999999999999</c:v>
                </c:pt>
                <c:pt idx="218">
                  <c:v>0.11849999999999999</c:v>
                </c:pt>
                <c:pt idx="219">
                  <c:v>0.1103</c:v>
                </c:pt>
                <c:pt idx="220">
                  <c:v>0.1</c:v>
                </c:pt>
                <c:pt idx="221">
                  <c:v>0.11940000000000001</c:v>
                </c:pt>
                <c:pt idx="222">
                  <c:v>0.1207</c:v>
                </c:pt>
                <c:pt idx="223">
                  <c:v>0.1196</c:v>
                </c:pt>
                <c:pt idx="224">
                  <c:v>0.1293</c:v>
                </c:pt>
                <c:pt idx="225">
                  <c:v>0.13059999999999999</c:v>
                </c:pt>
                <c:pt idx="226">
                  <c:v>0.129</c:v>
                </c:pt>
                <c:pt idx="227">
                  <c:v>0.12</c:v>
                </c:pt>
                <c:pt idx="228">
                  <c:v>0.12</c:v>
                </c:pt>
                <c:pt idx="229">
                  <c:v>0.1082</c:v>
                </c:pt>
                <c:pt idx="230">
                  <c:v>0.1145</c:v>
                </c:pt>
                <c:pt idx="231">
                  <c:v>0.1212</c:v>
                </c:pt>
                <c:pt idx="232">
                  <c:v>0.13539999999999999</c:v>
                </c:pt>
                <c:pt idx="233">
                  <c:v>0.107</c:v>
                </c:pt>
                <c:pt idx="234">
                  <c:v>0.1087</c:v>
                </c:pt>
                <c:pt idx="235">
                  <c:v>0.11890000000000001</c:v>
                </c:pt>
                <c:pt idx="236">
                  <c:v>0.1123</c:v>
                </c:pt>
                <c:pt idx="237">
                  <c:v>0.1177</c:v>
                </c:pt>
                <c:pt idx="238">
                  <c:v>0.13250000000000001</c:v>
                </c:pt>
                <c:pt idx="239">
                  <c:v>0.1305</c:v>
                </c:pt>
                <c:pt idx="240">
                  <c:v>0.1239</c:v>
                </c:pt>
                <c:pt idx="241">
                  <c:v>0.12920000000000001</c:v>
                </c:pt>
                <c:pt idx="242">
                  <c:v>0.12559999999999999</c:v>
                </c:pt>
                <c:pt idx="243">
                  <c:v>0.11169999999999999</c:v>
                </c:pt>
                <c:pt idx="244">
                  <c:v>0.1226</c:v>
                </c:pt>
                <c:pt idx="245">
                  <c:v>0.1482</c:v>
                </c:pt>
                <c:pt idx="246">
                  <c:v>0.1444</c:v>
                </c:pt>
                <c:pt idx="247">
                  <c:v>0.1323</c:v>
                </c:pt>
                <c:pt idx="248">
                  <c:v>0.12770000000000001</c:v>
                </c:pt>
                <c:pt idx="249">
                  <c:v>0.1062</c:v>
                </c:pt>
                <c:pt idx="250">
                  <c:v>0.12820000000000001</c:v>
                </c:pt>
                <c:pt idx="251">
                  <c:v>0.1358</c:v>
                </c:pt>
                <c:pt idx="252">
                  <c:v>0.15620000000000001</c:v>
                </c:pt>
                <c:pt idx="253">
                  <c:v>0.14349999999999999</c:v>
                </c:pt>
                <c:pt idx="254">
                  <c:v>0.184</c:v>
                </c:pt>
                <c:pt idx="255">
                  <c:v>0.1845</c:v>
                </c:pt>
                <c:pt idx="256">
                  <c:v>0.20050000000000001</c:v>
                </c:pt>
                <c:pt idx="257">
                  <c:v>0.19739999999999999</c:v>
                </c:pt>
                <c:pt idx="258">
                  <c:v>0.21840000000000001</c:v>
                </c:pt>
                <c:pt idx="259">
                  <c:v>0.20050000000000001</c:v>
                </c:pt>
                <c:pt idx="260">
                  <c:v>0.20300000000000001</c:v>
                </c:pt>
                <c:pt idx="261">
                  <c:v>0.25090000000000001</c:v>
                </c:pt>
                <c:pt idx="262">
                  <c:v>0.24299999999999999</c:v>
                </c:pt>
                <c:pt idx="263">
                  <c:v>0.27810000000000001</c:v>
                </c:pt>
                <c:pt idx="264">
                  <c:v>0.2727</c:v>
                </c:pt>
                <c:pt idx="265">
                  <c:v>0.28289999999999998</c:v>
                </c:pt>
                <c:pt idx="266">
                  <c:v>0.26419999999999999</c:v>
                </c:pt>
                <c:pt idx="267">
                  <c:v>0.27779999999999999</c:v>
                </c:pt>
                <c:pt idx="268">
                  <c:v>0.25159999999999999</c:v>
                </c:pt>
                <c:pt idx="269">
                  <c:v>0.28820000000000001</c:v>
                </c:pt>
                <c:pt idx="270">
                  <c:v>0.27979999999999999</c:v>
                </c:pt>
                <c:pt idx="271">
                  <c:v>0.28289999999999998</c:v>
                </c:pt>
                <c:pt idx="272">
                  <c:v>0.2732</c:v>
                </c:pt>
                <c:pt idx="273">
                  <c:v>0.27179999999999999</c:v>
                </c:pt>
                <c:pt idx="274">
                  <c:v>0.28189999999999998</c:v>
                </c:pt>
                <c:pt idx="275">
                  <c:v>0.26860000000000001</c:v>
                </c:pt>
                <c:pt idx="276">
                  <c:v>0.27079999999999999</c:v>
                </c:pt>
                <c:pt idx="277">
                  <c:v>0.2104</c:v>
                </c:pt>
                <c:pt idx="278">
                  <c:v>0.2165</c:v>
                </c:pt>
                <c:pt idx="279">
                  <c:v>0.2203</c:v>
                </c:pt>
                <c:pt idx="280">
                  <c:v>0.23960000000000001</c:v>
                </c:pt>
                <c:pt idx="281">
                  <c:v>0.26829999999999998</c:v>
                </c:pt>
                <c:pt idx="282">
                  <c:v>0.29499999999999998</c:v>
                </c:pt>
                <c:pt idx="283">
                  <c:v>0.2848</c:v>
                </c:pt>
                <c:pt idx="284">
                  <c:v>0.31950000000000001</c:v>
                </c:pt>
                <c:pt idx="285">
                  <c:v>0.35820000000000002</c:v>
                </c:pt>
                <c:pt idx="286">
                  <c:v>0.36930000000000002</c:v>
                </c:pt>
                <c:pt idx="287">
                  <c:v>0.40670000000000001</c:v>
                </c:pt>
                <c:pt idx="288">
                  <c:v>0.37840000000000001</c:v>
                </c:pt>
                <c:pt idx="289">
                  <c:v>0.35880000000000001</c:v>
                </c:pt>
                <c:pt idx="290">
                  <c:v>0.33600000000000002</c:v>
                </c:pt>
                <c:pt idx="291">
                  <c:v>0.36930000000000002</c:v>
                </c:pt>
                <c:pt idx="292">
                  <c:v>0.3795</c:v>
                </c:pt>
                <c:pt idx="293">
                  <c:v>0.39760000000000001</c:v>
                </c:pt>
                <c:pt idx="294">
                  <c:v>0.4229</c:v>
                </c:pt>
                <c:pt idx="295">
                  <c:v>0.35510000000000003</c:v>
                </c:pt>
                <c:pt idx="296">
                  <c:v>0.40870000000000001</c:v>
                </c:pt>
                <c:pt idx="297">
                  <c:v>0.39369999999999999</c:v>
                </c:pt>
                <c:pt idx="298">
                  <c:v>0.40200000000000002</c:v>
                </c:pt>
                <c:pt idx="299">
                  <c:v>0.35980000000000001</c:v>
                </c:pt>
                <c:pt idx="300">
                  <c:v>0.39500000000000002</c:v>
                </c:pt>
                <c:pt idx="301">
                  <c:v>0.39889999999999998</c:v>
                </c:pt>
                <c:pt idx="302">
                  <c:v>0.39489999999999997</c:v>
                </c:pt>
                <c:pt idx="303">
                  <c:v>0.38690000000000002</c:v>
                </c:pt>
                <c:pt idx="304">
                  <c:v>0.3906</c:v>
                </c:pt>
                <c:pt idx="305">
                  <c:v>0.35360000000000003</c:v>
                </c:pt>
                <c:pt idx="306">
                  <c:v>0.3548</c:v>
                </c:pt>
                <c:pt idx="307">
                  <c:v>0.3513</c:v>
                </c:pt>
                <c:pt idx="308">
                  <c:v>0.31590000000000001</c:v>
                </c:pt>
                <c:pt idx="309">
                  <c:v>0.32350000000000001</c:v>
                </c:pt>
                <c:pt idx="310">
                  <c:v>0.37730000000000002</c:v>
                </c:pt>
                <c:pt idx="311">
                  <c:v>0.33610000000000001</c:v>
                </c:pt>
                <c:pt idx="312">
                  <c:v>0.36969999999999997</c:v>
                </c:pt>
                <c:pt idx="313">
                  <c:v>0.37759999999999999</c:v>
                </c:pt>
                <c:pt idx="314">
                  <c:v>0.4299</c:v>
                </c:pt>
                <c:pt idx="315">
                  <c:v>0.4037</c:v>
                </c:pt>
                <c:pt idx="316">
                  <c:v>0.36980000000000002</c:v>
                </c:pt>
                <c:pt idx="317">
                  <c:v>0.3276</c:v>
                </c:pt>
                <c:pt idx="318">
                  <c:v>0.315</c:v>
                </c:pt>
                <c:pt idx="319">
                  <c:v>0.2964</c:v>
                </c:pt>
                <c:pt idx="320">
                  <c:v>0.28820000000000001</c:v>
                </c:pt>
                <c:pt idx="321">
                  <c:v>0.28260000000000002</c:v>
                </c:pt>
                <c:pt idx="322">
                  <c:v>0.2954</c:v>
                </c:pt>
                <c:pt idx="323">
                  <c:v>0.29160000000000003</c:v>
                </c:pt>
                <c:pt idx="324">
                  <c:v>0.28549999999999998</c:v>
                </c:pt>
                <c:pt idx="325">
                  <c:v>0.29339999999999999</c:v>
                </c:pt>
                <c:pt idx="326">
                  <c:v>0.2442</c:v>
                </c:pt>
                <c:pt idx="327">
                  <c:v>0.25540000000000002</c:v>
                </c:pt>
                <c:pt idx="328">
                  <c:v>0.2303</c:v>
                </c:pt>
                <c:pt idx="329">
                  <c:v>0.23039999999999999</c:v>
                </c:pt>
                <c:pt idx="330">
                  <c:v>0.2389</c:v>
                </c:pt>
                <c:pt idx="331">
                  <c:v>0.2432</c:v>
                </c:pt>
                <c:pt idx="332">
                  <c:v>0.2331</c:v>
                </c:pt>
                <c:pt idx="333">
                  <c:v>0.19009999999999999</c:v>
                </c:pt>
                <c:pt idx="334">
                  <c:v>0.20300000000000001</c:v>
                </c:pt>
                <c:pt idx="335">
                  <c:v>0.2104</c:v>
                </c:pt>
                <c:pt idx="336">
                  <c:v>0.22140000000000001</c:v>
                </c:pt>
                <c:pt idx="337">
                  <c:v>0.24049999999999999</c:v>
                </c:pt>
                <c:pt idx="338">
                  <c:v>0.18640000000000001</c:v>
                </c:pt>
                <c:pt idx="339">
                  <c:v>0.2455</c:v>
                </c:pt>
                <c:pt idx="340">
                  <c:v>0.24590000000000001</c:v>
                </c:pt>
                <c:pt idx="341">
                  <c:v>0.22470000000000001</c:v>
                </c:pt>
                <c:pt idx="342">
                  <c:v>0.23</c:v>
                </c:pt>
                <c:pt idx="343">
                  <c:v>0.24759999999999999</c:v>
                </c:pt>
                <c:pt idx="344">
                  <c:v>0.2142</c:v>
                </c:pt>
                <c:pt idx="345">
                  <c:v>0.21909999999999999</c:v>
                </c:pt>
                <c:pt idx="346">
                  <c:v>0.17469999999999999</c:v>
                </c:pt>
                <c:pt idx="347">
                  <c:v>0.191</c:v>
                </c:pt>
                <c:pt idx="348">
                  <c:v>0.1835</c:v>
                </c:pt>
                <c:pt idx="349">
                  <c:v>0.187</c:v>
                </c:pt>
                <c:pt idx="350">
                  <c:v>0.1605</c:v>
                </c:pt>
                <c:pt idx="351">
                  <c:v>0.14369999999999999</c:v>
                </c:pt>
                <c:pt idx="352">
                  <c:v>0.1227</c:v>
                </c:pt>
                <c:pt idx="353">
                  <c:v>9.8799999999999999E-2</c:v>
                </c:pt>
                <c:pt idx="354">
                  <c:v>0.10050000000000001</c:v>
                </c:pt>
                <c:pt idx="355">
                  <c:v>8.9800000000000005E-2</c:v>
                </c:pt>
                <c:pt idx="356">
                  <c:v>8.9399999999999993E-2</c:v>
                </c:pt>
                <c:pt idx="357">
                  <c:v>8.3400000000000002E-2</c:v>
                </c:pt>
                <c:pt idx="358">
                  <c:v>8.0500000000000002E-2</c:v>
                </c:pt>
                <c:pt idx="359">
                  <c:v>7.3800000000000004E-2</c:v>
                </c:pt>
                <c:pt idx="360">
                  <c:v>7.4499999999999997E-2</c:v>
                </c:pt>
                <c:pt idx="361">
                  <c:v>7.2300000000000003E-2</c:v>
                </c:pt>
                <c:pt idx="362">
                  <c:v>7.9100000000000004E-2</c:v>
                </c:pt>
                <c:pt idx="363">
                  <c:v>7.0199999999999999E-2</c:v>
                </c:pt>
                <c:pt idx="364">
                  <c:v>6.6199999999999995E-2</c:v>
                </c:pt>
                <c:pt idx="365">
                  <c:v>6.1199999999999997E-2</c:v>
                </c:pt>
                <c:pt idx="366">
                  <c:v>6.9000000000000006E-2</c:v>
                </c:pt>
                <c:pt idx="367">
                  <c:v>6.5100000000000005E-2</c:v>
                </c:pt>
                <c:pt idx="368">
                  <c:v>7.0499999999999993E-2</c:v>
                </c:pt>
                <c:pt idx="369">
                  <c:v>6.3E-2</c:v>
                </c:pt>
                <c:pt idx="370">
                  <c:v>6.0999999999999999E-2</c:v>
                </c:pt>
                <c:pt idx="371">
                  <c:v>5.8700000000000002E-2</c:v>
                </c:pt>
                <c:pt idx="372">
                  <c:v>7.0099999999999996E-2</c:v>
                </c:pt>
                <c:pt idx="373">
                  <c:v>6.7199999999999996E-2</c:v>
                </c:pt>
                <c:pt idx="374">
                  <c:v>6.5299999999999997E-2</c:v>
                </c:pt>
                <c:pt idx="375">
                  <c:v>6.0199999999999997E-2</c:v>
                </c:pt>
                <c:pt idx="376">
                  <c:v>6.2100000000000002E-2</c:v>
                </c:pt>
                <c:pt idx="377">
                  <c:v>5.8000000000000003E-2</c:v>
                </c:pt>
                <c:pt idx="378">
                  <c:v>5.8099999999999999E-2</c:v>
                </c:pt>
                <c:pt idx="379">
                  <c:v>5.6000000000000001E-2</c:v>
                </c:pt>
                <c:pt idx="380">
                  <c:v>4.9700000000000001E-2</c:v>
                </c:pt>
                <c:pt idx="381">
                  <c:v>5.0799999999999998E-2</c:v>
                </c:pt>
                <c:pt idx="382">
                  <c:v>5.7700000000000001E-2</c:v>
                </c:pt>
                <c:pt idx="383">
                  <c:v>6.1699999999999998E-2</c:v>
                </c:pt>
                <c:pt idx="384">
                  <c:v>5.7299999999999997E-2</c:v>
                </c:pt>
                <c:pt idx="385">
                  <c:v>5.4899999999999997E-2</c:v>
                </c:pt>
                <c:pt idx="386">
                  <c:v>5.1700000000000003E-2</c:v>
                </c:pt>
                <c:pt idx="387">
                  <c:v>4.7399999999999998E-2</c:v>
                </c:pt>
                <c:pt idx="388">
                  <c:v>4.9099999999999998E-2</c:v>
                </c:pt>
                <c:pt idx="389">
                  <c:v>4.7E-2</c:v>
                </c:pt>
                <c:pt idx="390">
                  <c:v>4.5499999999999999E-2</c:v>
                </c:pt>
                <c:pt idx="391">
                  <c:v>4.3799999999999999E-2</c:v>
                </c:pt>
                <c:pt idx="392">
                  <c:v>4.5100000000000001E-2</c:v>
                </c:pt>
                <c:pt idx="393">
                  <c:v>4.4200000000000003E-2</c:v>
                </c:pt>
                <c:pt idx="394">
                  <c:v>4.6100000000000002E-2</c:v>
                </c:pt>
                <c:pt idx="395">
                  <c:v>0.05</c:v>
                </c:pt>
                <c:pt idx="396">
                  <c:v>4.82E-2</c:v>
                </c:pt>
                <c:pt idx="397">
                  <c:v>4.7600000000000003E-2</c:v>
                </c:pt>
                <c:pt idx="398">
                  <c:v>4.6100000000000002E-2</c:v>
                </c:pt>
                <c:pt idx="399">
                  <c:v>4.7500000000000001E-2</c:v>
                </c:pt>
                <c:pt idx="400">
                  <c:v>4.5400000000000003E-2</c:v>
                </c:pt>
                <c:pt idx="401">
                  <c:v>5.1499999999999997E-2</c:v>
                </c:pt>
                <c:pt idx="402">
                  <c:v>5.0999999999999997E-2</c:v>
                </c:pt>
                <c:pt idx="403">
                  <c:v>5.5399999999999998E-2</c:v>
                </c:pt>
                <c:pt idx="404">
                  <c:v>5.6800000000000003E-2</c:v>
                </c:pt>
                <c:pt idx="405">
                  <c:v>5.4899999999999997E-2</c:v>
                </c:pt>
                <c:pt idx="406">
                  <c:v>5.3199999999999997E-2</c:v>
                </c:pt>
                <c:pt idx="407">
                  <c:v>5.4199999999999998E-2</c:v>
                </c:pt>
                <c:pt idx="408">
                  <c:v>5.0999999999999997E-2</c:v>
                </c:pt>
                <c:pt idx="409">
                  <c:v>5.3100000000000001E-2</c:v>
                </c:pt>
                <c:pt idx="410">
                  <c:v>5.5599999999999997E-2</c:v>
                </c:pt>
                <c:pt idx="411">
                  <c:v>5.5899999999999998E-2</c:v>
                </c:pt>
                <c:pt idx="412">
                  <c:v>5.5899999999999998E-2</c:v>
                </c:pt>
                <c:pt idx="413">
                  <c:v>6.0400000000000002E-2</c:v>
                </c:pt>
                <c:pt idx="414">
                  <c:v>5.3800000000000001E-2</c:v>
                </c:pt>
                <c:pt idx="415">
                  <c:v>4.6699999999999998E-2</c:v>
                </c:pt>
                <c:pt idx="416">
                  <c:v>5.0500000000000003E-2</c:v>
                </c:pt>
                <c:pt idx="417">
                  <c:v>4.99E-2</c:v>
                </c:pt>
                <c:pt idx="418">
                  <c:v>5.0999999999999997E-2</c:v>
                </c:pt>
                <c:pt idx="419">
                  <c:v>4.9500000000000002E-2</c:v>
                </c:pt>
                <c:pt idx="420">
                  <c:v>5.57E-2</c:v>
                </c:pt>
                <c:pt idx="421">
                  <c:v>5.16E-2</c:v>
                </c:pt>
                <c:pt idx="422">
                  <c:v>4.8599999999999997E-2</c:v>
                </c:pt>
                <c:pt idx="423">
                  <c:v>5.0299999999999997E-2</c:v>
                </c:pt>
                <c:pt idx="424">
                  <c:v>4.9599999999999998E-2</c:v>
                </c:pt>
                <c:pt idx="425">
                  <c:v>5.0099999999999999E-2</c:v>
                </c:pt>
                <c:pt idx="426">
                  <c:v>4.9500000000000002E-2</c:v>
                </c:pt>
                <c:pt idx="427">
                  <c:v>4.58E-2</c:v>
                </c:pt>
                <c:pt idx="428">
                  <c:v>5.4399999999999997E-2</c:v>
                </c:pt>
                <c:pt idx="429">
                  <c:v>5.4199999999999998E-2</c:v>
                </c:pt>
                <c:pt idx="430">
                  <c:v>5.8400000000000001E-2</c:v>
                </c:pt>
                <c:pt idx="431">
                  <c:v>5.2999999999999999E-2</c:v>
                </c:pt>
                <c:pt idx="432">
                  <c:v>4.6600000000000003E-2</c:v>
                </c:pt>
                <c:pt idx="433">
                  <c:v>4.3799999999999999E-2</c:v>
                </c:pt>
                <c:pt idx="434">
                  <c:v>4.2200000000000001E-2</c:v>
                </c:pt>
                <c:pt idx="435">
                  <c:v>4.19E-2</c:v>
                </c:pt>
                <c:pt idx="436">
                  <c:v>4.4699999999999997E-2</c:v>
                </c:pt>
                <c:pt idx="437">
                  <c:v>4.3200000000000002E-2</c:v>
                </c:pt>
                <c:pt idx="438">
                  <c:v>4.2299999999999997E-2</c:v>
                </c:pt>
                <c:pt idx="439">
                  <c:v>4.3700000000000003E-2</c:v>
                </c:pt>
                <c:pt idx="440">
                  <c:v>4.4999999999999998E-2</c:v>
                </c:pt>
                <c:pt idx="441">
                  <c:v>4.3700000000000003E-2</c:v>
                </c:pt>
                <c:pt idx="442">
                  <c:v>4.53E-2</c:v>
                </c:pt>
                <c:pt idx="443">
                  <c:v>4.6899999999999997E-2</c:v>
                </c:pt>
                <c:pt idx="444">
                  <c:v>4.6100000000000002E-2</c:v>
                </c:pt>
                <c:pt idx="445">
                  <c:v>4.8300000000000003E-2</c:v>
                </c:pt>
                <c:pt idx="446">
                  <c:v>4.5999999999999999E-2</c:v>
                </c:pt>
                <c:pt idx="447">
                  <c:v>5.04E-2</c:v>
                </c:pt>
                <c:pt idx="448">
                  <c:v>4.7899999999999998E-2</c:v>
                </c:pt>
                <c:pt idx="449">
                  <c:v>4.3299999999999998E-2</c:v>
                </c:pt>
                <c:pt idx="450">
                  <c:v>4.41E-2</c:v>
                </c:pt>
                <c:pt idx="451">
                  <c:v>4.8099999999999997E-2</c:v>
                </c:pt>
                <c:pt idx="452">
                  <c:v>5.3199999999999997E-2</c:v>
                </c:pt>
                <c:pt idx="453">
                  <c:v>4.6399999999999997E-2</c:v>
                </c:pt>
                <c:pt idx="454">
                  <c:v>4.8300000000000003E-2</c:v>
                </c:pt>
                <c:pt idx="455">
                  <c:v>4.1500000000000002E-2</c:v>
                </c:pt>
                <c:pt idx="456">
                  <c:v>3.73E-2</c:v>
                </c:pt>
                <c:pt idx="457">
                  <c:v>4.0500000000000001E-2</c:v>
                </c:pt>
                <c:pt idx="458">
                  <c:v>3.8600000000000002E-2</c:v>
                </c:pt>
                <c:pt idx="459">
                  <c:v>3.9199999999999999E-2</c:v>
                </c:pt>
                <c:pt idx="460">
                  <c:v>0.04</c:v>
                </c:pt>
                <c:pt idx="461">
                  <c:v>4.0399999999999998E-2</c:v>
                </c:pt>
                <c:pt idx="462">
                  <c:v>4.02E-2</c:v>
                </c:pt>
                <c:pt idx="463">
                  <c:v>3.8399999999999997E-2</c:v>
                </c:pt>
                <c:pt idx="464">
                  <c:v>3.6700000000000003E-2</c:v>
                </c:pt>
                <c:pt idx="465">
                  <c:v>3.9300000000000002E-2</c:v>
                </c:pt>
                <c:pt idx="466">
                  <c:v>3.9899999999999998E-2</c:v>
                </c:pt>
                <c:pt idx="467">
                  <c:v>3.95E-2</c:v>
                </c:pt>
                <c:pt idx="468">
                  <c:v>3.85E-2</c:v>
                </c:pt>
                <c:pt idx="469">
                  <c:v>4.1500000000000002E-2</c:v>
                </c:pt>
                <c:pt idx="470">
                  <c:v>4.5100000000000001E-2</c:v>
                </c:pt>
                <c:pt idx="471">
                  <c:v>4.8399999999999999E-2</c:v>
                </c:pt>
                <c:pt idx="472">
                  <c:v>5.0599999999999999E-2</c:v>
                </c:pt>
                <c:pt idx="473">
                  <c:v>4.5600000000000002E-2</c:v>
                </c:pt>
                <c:pt idx="474">
                  <c:v>3.9899999999999998E-2</c:v>
                </c:pt>
                <c:pt idx="475">
                  <c:v>3.9699999999999999E-2</c:v>
                </c:pt>
                <c:pt idx="476">
                  <c:v>3.8199999999999998E-2</c:v>
                </c:pt>
                <c:pt idx="477">
                  <c:v>3.78E-2</c:v>
                </c:pt>
                <c:pt idx="478">
                  <c:v>3.7100000000000001E-2</c:v>
                </c:pt>
                <c:pt idx="479">
                  <c:v>4.0300000000000002E-2</c:v>
                </c:pt>
                <c:pt idx="480">
                  <c:v>3.9399999999999998E-2</c:v>
                </c:pt>
                <c:pt idx="481">
                  <c:v>3.9399999999999998E-2</c:v>
                </c:pt>
                <c:pt idx="482">
                  <c:v>4.0399999999999998E-2</c:v>
                </c:pt>
                <c:pt idx="483">
                  <c:v>4.2099999999999999E-2</c:v>
                </c:pt>
                <c:pt idx="484">
                  <c:v>4.4699999999999997E-2</c:v>
                </c:pt>
                <c:pt idx="485">
                  <c:v>4.3400000000000001E-2</c:v>
                </c:pt>
                <c:pt idx="486">
                  <c:v>4.4299999999999999E-2</c:v>
                </c:pt>
                <c:pt idx="487">
                  <c:v>4.4499999999999998E-2</c:v>
                </c:pt>
                <c:pt idx="488">
                  <c:v>4.5199999999999997E-2</c:v>
                </c:pt>
                <c:pt idx="489">
                  <c:v>4.6899999999999997E-2</c:v>
                </c:pt>
                <c:pt idx="490">
                  <c:v>4.5199999999999997E-2</c:v>
                </c:pt>
                <c:pt idx="491">
                  <c:v>4.0599999999999997E-2</c:v>
                </c:pt>
                <c:pt idx="492">
                  <c:v>4.5100000000000001E-2</c:v>
                </c:pt>
                <c:pt idx="493">
                  <c:v>4.4900000000000002E-2</c:v>
                </c:pt>
                <c:pt idx="494">
                  <c:v>5.11E-2</c:v>
                </c:pt>
                <c:pt idx="495">
                  <c:v>5.5100000000000003E-2</c:v>
                </c:pt>
                <c:pt idx="496">
                  <c:v>5.5500000000000001E-2</c:v>
                </c:pt>
                <c:pt idx="497">
                  <c:v>5.3600000000000002E-2</c:v>
                </c:pt>
                <c:pt idx="498">
                  <c:v>5.5800000000000002E-2</c:v>
                </c:pt>
                <c:pt idx="499">
                  <c:v>5.4899999999999997E-2</c:v>
                </c:pt>
                <c:pt idx="500">
                  <c:v>6.0499999999999998E-2</c:v>
                </c:pt>
                <c:pt idx="501">
                  <c:v>6.0100000000000001E-2</c:v>
                </c:pt>
                <c:pt idx="502">
                  <c:v>6.7799999999999999E-2</c:v>
                </c:pt>
                <c:pt idx="503">
                  <c:v>6.4199999999999993E-2</c:v>
                </c:pt>
                <c:pt idx="504">
                  <c:v>6.4699999999999994E-2</c:v>
                </c:pt>
                <c:pt idx="505">
                  <c:v>6.1100000000000002E-2</c:v>
                </c:pt>
                <c:pt idx="506">
                  <c:v>5.9400000000000001E-2</c:v>
                </c:pt>
                <c:pt idx="507">
                  <c:v>6.0699999999999997E-2</c:v>
                </c:pt>
                <c:pt idx="508">
                  <c:v>6.3600000000000004E-2</c:v>
                </c:pt>
                <c:pt idx="509">
                  <c:v>5.6399999999999999E-2</c:v>
                </c:pt>
                <c:pt idx="510">
                  <c:v>6.6199999999999995E-2</c:v>
                </c:pt>
                <c:pt idx="511">
                  <c:v>6.3899999999999998E-2</c:v>
                </c:pt>
                <c:pt idx="512">
                  <c:v>8.9499999999999996E-2</c:v>
                </c:pt>
                <c:pt idx="513">
                  <c:v>0.1024</c:v>
                </c:pt>
                <c:pt idx="514">
                  <c:v>9.2700000000000005E-2</c:v>
                </c:pt>
                <c:pt idx="515">
                  <c:v>8.6699999999999999E-2</c:v>
                </c:pt>
                <c:pt idx="516">
                  <c:v>8.8900000000000007E-2</c:v>
                </c:pt>
                <c:pt idx="517">
                  <c:v>8.7800000000000003E-2</c:v>
                </c:pt>
                <c:pt idx="518">
                  <c:v>8.2100000000000006E-2</c:v>
                </c:pt>
                <c:pt idx="519">
                  <c:v>8.9499999999999996E-2</c:v>
                </c:pt>
                <c:pt idx="520">
                  <c:v>8.2699999999999996E-2</c:v>
                </c:pt>
                <c:pt idx="521">
                  <c:v>8.9399999999999993E-2</c:v>
                </c:pt>
                <c:pt idx="522">
                  <c:v>8.2100000000000006E-2</c:v>
                </c:pt>
                <c:pt idx="523">
                  <c:v>8.6499999999999994E-2</c:v>
                </c:pt>
                <c:pt idx="524">
                  <c:v>8.43E-2</c:v>
                </c:pt>
                <c:pt idx="525">
                  <c:v>9.5500000000000002E-2</c:v>
                </c:pt>
                <c:pt idx="526">
                  <c:v>8.4099999999999994E-2</c:v>
                </c:pt>
                <c:pt idx="527">
                  <c:v>9.6000000000000002E-2</c:v>
                </c:pt>
                <c:pt idx="528">
                  <c:v>0.10290000000000001</c:v>
                </c:pt>
                <c:pt idx="529">
                  <c:v>0.10829999999999999</c:v>
                </c:pt>
                <c:pt idx="530">
                  <c:v>0.1074</c:v>
                </c:pt>
                <c:pt idx="531">
                  <c:v>0.1162</c:v>
                </c:pt>
                <c:pt idx="532">
                  <c:v>0.1071</c:v>
                </c:pt>
                <c:pt idx="533">
                  <c:v>9.9500000000000005E-2</c:v>
                </c:pt>
                <c:pt idx="534">
                  <c:v>0.1014</c:v>
                </c:pt>
                <c:pt idx="535">
                  <c:v>8.2500000000000004E-2</c:v>
                </c:pt>
                <c:pt idx="536">
                  <c:v>8.6300000000000002E-2</c:v>
                </c:pt>
                <c:pt idx="537">
                  <c:v>8.2199999999999995E-2</c:v>
                </c:pt>
                <c:pt idx="538">
                  <c:v>8.5599999999999996E-2</c:v>
                </c:pt>
                <c:pt idx="539">
                  <c:v>8.9399999999999993E-2</c:v>
                </c:pt>
                <c:pt idx="540">
                  <c:v>7.5999999999999998E-2</c:v>
                </c:pt>
                <c:pt idx="541">
                  <c:v>5.96E-2</c:v>
                </c:pt>
                <c:pt idx="542">
                  <c:v>5.9299999999999999E-2</c:v>
                </c:pt>
                <c:pt idx="543">
                  <c:v>5.7799999999999997E-2</c:v>
                </c:pt>
                <c:pt idx="544">
                  <c:v>5.6000000000000001E-2</c:v>
                </c:pt>
                <c:pt idx="545">
                  <c:v>5.9900000000000002E-2</c:v>
                </c:pt>
                <c:pt idx="546">
                  <c:v>5.9499999999999997E-2</c:v>
                </c:pt>
                <c:pt idx="547">
                  <c:v>6.5000000000000002E-2</c:v>
                </c:pt>
                <c:pt idx="548">
                  <c:v>5.6300000000000003E-2</c:v>
                </c:pt>
                <c:pt idx="549">
                  <c:v>5.0799999999999998E-2</c:v>
                </c:pt>
                <c:pt idx="550">
                  <c:v>5.5899999999999998E-2</c:v>
                </c:pt>
                <c:pt idx="551">
                  <c:v>5.96E-2</c:v>
                </c:pt>
                <c:pt idx="552">
                  <c:v>6.13E-2</c:v>
                </c:pt>
                <c:pt idx="553">
                  <c:v>6.3100000000000003E-2</c:v>
                </c:pt>
                <c:pt idx="554">
                  <c:v>6.3799999999999996E-2</c:v>
                </c:pt>
                <c:pt idx="555">
                  <c:v>5.7299999999999997E-2</c:v>
                </c:pt>
                <c:pt idx="556">
                  <c:v>5.74E-2</c:v>
                </c:pt>
                <c:pt idx="557">
                  <c:v>5.5100000000000003E-2</c:v>
                </c:pt>
                <c:pt idx="558">
                  <c:v>5.8799999999999998E-2</c:v>
                </c:pt>
                <c:pt idx="559">
                  <c:v>6.0999999999999999E-2</c:v>
                </c:pt>
                <c:pt idx="560">
                  <c:v>5.2900000000000003E-2</c:v>
                </c:pt>
                <c:pt idx="561">
                  <c:v>5.5100000000000003E-2</c:v>
                </c:pt>
                <c:pt idx="562">
                  <c:v>3.7199999999999997E-2</c:v>
                </c:pt>
                <c:pt idx="563">
                  <c:v>3.7199999999999997E-2</c:v>
                </c:pt>
                <c:pt idx="564">
                  <c:v>3.8800000000000001E-2</c:v>
                </c:pt>
                <c:pt idx="565">
                  <c:v>3.8699999999999998E-2</c:v>
                </c:pt>
                <c:pt idx="566">
                  <c:v>3.5000000000000003E-2</c:v>
                </c:pt>
                <c:pt idx="567">
                  <c:v>3.2899999999999999E-2</c:v>
                </c:pt>
                <c:pt idx="568">
                  <c:v>3.3799999999999997E-2</c:v>
                </c:pt>
                <c:pt idx="569">
                  <c:v>3.1300000000000001E-2</c:v>
                </c:pt>
                <c:pt idx="570">
                  <c:v>3.1600000000000003E-2</c:v>
                </c:pt>
                <c:pt idx="571">
                  <c:v>3.0700000000000002E-2</c:v>
                </c:pt>
                <c:pt idx="572">
                  <c:v>3.15E-2</c:v>
                </c:pt>
                <c:pt idx="573">
                  <c:v>3.1099999999999999E-2</c:v>
                </c:pt>
                <c:pt idx="574">
                  <c:v>3.0200000000000001E-2</c:v>
                </c:pt>
                <c:pt idx="575">
                  <c:v>3.1600000000000003E-2</c:v>
                </c:pt>
                <c:pt idx="576">
                  <c:v>3.0099999999999998E-2</c:v>
                </c:pt>
                <c:pt idx="577">
                  <c:v>2.9399999999999999E-2</c:v>
                </c:pt>
                <c:pt idx="578">
                  <c:v>2.93E-2</c:v>
                </c:pt>
                <c:pt idx="579">
                  <c:v>2.8500000000000001E-2</c:v>
                </c:pt>
                <c:pt idx="580">
                  <c:v>3.2399999999999998E-2</c:v>
                </c:pt>
                <c:pt idx="581">
                  <c:v>3.2899999999999999E-2</c:v>
                </c:pt>
                <c:pt idx="582">
                  <c:v>3.3399999999999999E-2</c:v>
                </c:pt>
                <c:pt idx="583">
                  <c:v>3.5299999999999998E-2</c:v>
                </c:pt>
                <c:pt idx="584">
                  <c:v>3.4200000000000001E-2</c:v>
                </c:pt>
                <c:pt idx="585">
                  <c:v>3.3700000000000001E-2</c:v>
                </c:pt>
                <c:pt idx="586">
                  <c:v>3.61E-2</c:v>
                </c:pt>
                <c:pt idx="587">
                  <c:v>3.5299999999999998E-2</c:v>
                </c:pt>
                <c:pt idx="588">
                  <c:v>3.1300000000000001E-2</c:v>
                </c:pt>
                <c:pt idx="589">
                  <c:v>3.0099999999999998E-2</c:v>
                </c:pt>
                <c:pt idx="590">
                  <c:v>3.04E-2</c:v>
                </c:pt>
                <c:pt idx="591">
                  <c:v>2.9100000000000001E-2</c:v>
                </c:pt>
                <c:pt idx="592">
                  <c:v>2.9700000000000001E-2</c:v>
                </c:pt>
                <c:pt idx="593">
                  <c:v>3.1E-2</c:v>
                </c:pt>
                <c:pt idx="594">
                  <c:v>3.09E-2</c:v>
                </c:pt>
                <c:pt idx="595">
                  <c:v>2.87E-2</c:v>
                </c:pt>
                <c:pt idx="596">
                  <c:v>3.2000000000000001E-2</c:v>
                </c:pt>
                <c:pt idx="597">
                  <c:v>3.1899999999999998E-2</c:v>
                </c:pt>
                <c:pt idx="598">
                  <c:v>3.3399999999999999E-2</c:v>
                </c:pt>
                <c:pt idx="599">
                  <c:v>3.0300000000000001E-2</c:v>
                </c:pt>
                <c:pt idx="600">
                  <c:v>2.9399999999999999E-2</c:v>
                </c:pt>
                <c:pt idx="601">
                  <c:v>2.9399999999999999E-2</c:v>
                </c:pt>
                <c:pt idx="602">
                  <c:v>3.0800000000000001E-2</c:v>
                </c:pt>
                <c:pt idx="603">
                  <c:v>2.9600000000000001E-2</c:v>
                </c:pt>
                <c:pt idx="604">
                  <c:v>2.75E-2</c:v>
                </c:pt>
                <c:pt idx="605">
                  <c:v>2.7799999999999998E-2</c:v>
                </c:pt>
                <c:pt idx="606">
                  <c:v>2.6700000000000002E-2</c:v>
                </c:pt>
                <c:pt idx="607">
                  <c:v>2.8299999999999999E-2</c:v>
                </c:pt>
                <c:pt idx="608">
                  <c:v>2.8799999999999999E-2</c:v>
                </c:pt>
                <c:pt idx="609">
                  <c:v>2.69E-2</c:v>
                </c:pt>
                <c:pt idx="610">
                  <c:v>2.7E-2</c:v>
                </c:pt>
                <c:pt idx="611">
                  <c:v>2.7900000000000001E-2</c:v>
                </c:pt>
                <c:pt idx="612">
                  <c:v>2.7400000000000001E-2</c:v>
                </c:pt>
                <c:pt idx="613">
                  <c:v>2.8000000000000001E-2</c:v>
                </c:pt>
                <c:pt idx="614">
                  <c:v>2.2100000000000002E-2</c:v>
                </c:pt>
                <c:pt idx="615">
                  <c:v>2.2100000000000002E-2</c:v>
                </c:pt>
                <c:pt idx="616">
                  <c:v>2.0899999999999998E-2</c:v>
                </c:pt>
                <c:pt idx="617">
                  <c:v>2.1999999999999999E-2</c:v>
                </c:pt>
                <c:pt idx="618">
                  <c:v>2.2100000000000002E-2</c:v>
                </c:pt>
                <c:pt idx="619">
                  <c:v>2.1999999999999999E-2</c:v>
                </c:pt>
                <c:pt idx="620">
                  <c:v>2.0799999999999999E-2</c:v>
                </c:pt>
                <c:pt idx="621">
                  <c:v>2.1700000000000001E-2</c:v>
                </c:pt>
                <c:pt idx="622">
                  <c:v>2.06E-2</c:v>
                </c:pt>
                <c:pt idx="623">
                  <c:v>2.2100000000000002E-2</c:v>
                </c:pt>
                <c:pt idx="624">
                  <c:v>1.95E-2</c:v>
                </c:pt>
                <c:pt idx="625">
                  <c:v>1.9E-2</c:v>
                </c:pt>
                <c:pt idx="626">
                  <c:v>1.83E-2</c:v>
                </c:pt>
                <c:pt idx="627">
                  <c:v>1.89E-2</c:v>
                </c:pt>
                <c:pt idx="628">
                  <c:v>2.12E-2</c:v>
                </c:pt>
                <c:pt idx="629">
                  <c:v>2.1499999999999998E-2</c:v>
                </c:pt>
                <c:pt idx="630">
                  <c:v>2.0899999999999998E-2</c:v>
                </c:pt>
                <c:pt idx="631">
                  <c:v>2.1399999999999999E-2</c:v>
                </c:pt>
                <c:pt idx="632">
                  <c:v>2.2100000000000002E-2</c:v>
                </c:pt>
                <c:pt idx="633">
                  <c:v>2.2800000000000001E-2</c:v>
                </c:pt>
                <c:pt idx="634">
                  <c:v>2.3E-2</c:v>
                </c:pt>
                <c:pt idx="635">
                  <c:v>2.3400000000000001E-2</c:v>
                </c:pt>
                <c:pt idx="636">
                  <c:v>2.2200000000000001E-2</c:v>
                </c:pt>
                <c:pt idx="637">
                  <c:v>2.0899999999999998E-2</c:v>
                </c:pt>
                <c:pt idx="638">
                  <c:v>2.2100000000000002E-2</c:v>
                </c:pt>
                <c:pt idx="639">
                  <c:v>2.2499999999999999E-2</c:v>
                </c:pt>
                <c:pt idx="640">
                  <c:v>2.12E-2</c:v>
                </c:pt>
                <c:pt idx="641">
                  <c:v>2.1399999999999999E-2</c:v>
                </c:pt>
                <c:pt idx="642">
                  <c:v>2.06E-2</c:v>
                </c:pt>
                <c:pt idx="643">
                  <c:v>1.9599999999999999E-2</c:v>
                </c:pt>
                <c:pt idx="644">
                  <c:v>1.8800000000000001E-2</c:v>
                </c:pt>
                <c:pt idx="645">
                  <c:v>1.8499999999999999E-2</c:v>
                </c:pt>
                <c:pt idx="646">
                  <c:v>1.78E-2</c:v>
                </c:pt>
                <c:pt idx="647">
                  <c:v>1.7999999999999999E-2</c:v>
                </c:pt>
                <c:pt idx="648">
                  <c:v>1.9099999999999999E-2</c:v>
                </c:pt>
                <c:pt idx="649">
                  <c:v>1.9900000000000001E-2</c:v>
                </c:pt>
                <c:pt idx="650">
                  <c:v>1.9E-2</c:v>
                </c:pt>
                <c:pt idx="651">
                  <c:v>1.8700000000000001E-2</c:v>
                </c:pt>
                <c:pt idx="652">
                  <c:v>1.7299999999999999E-2</c:v>
                </c:pt>
                <c:pt idx="653">
                  <c:v>1.8499999999999999E-2</c:v>
                </c:pt>
                <c:pt idx="654">
                  <c:v>1.7399999999999999E-2</c:v>
                </c:pt>
                <c:pt idx="655">
                  <c:v>1.7899999999999999E-2</c:v>
                </c:pt>
                <c:pt idx="656">
                  <c:v>1.77E-2</c:v>
                </c:pt>
                <c:pt idx="657">
                  <c:v>1.7500000000000002E-2</c:v>
                </c:pt>
                <c:pt idx="658">
                  <c:v>2.0199999999999999E-2</c:v>
                </c:pt>
                <c:pt idx="659">
                  <c:v>2.0299999999999999E-2</c:v>
                </c:pt>
                <c:pt idx="660">
                  <c:v>1.9599999999999999E-2</c:v>
                </c:pt>
                <c:pt idx="661">
                  <c:v>1.9900000000000001E-2</c:v>
                </c:pt>
                <c:pt idx="662">
                  <c:v>1.8700000000000001E-2</c:v>
                </c:pt>
                <c:pt idx="663">
                  <c:v>1.8599999999999998E-2</c:v>
                </c:pt>
                <c:pt idx="664">
                  <c:v>1.84E-2</c:v>
                </c:pt>
                <c:pt idx="665">
                  <c:v>1.83E-2</c:v>
                </c:pt>
                <c:pt idx="666">
                  <c:v>1.83E-2</c:v>
                </c:pt>
                <c:pt idx="667">
                  <c:v>1.8100000000000002E-2</c:v>
                </c:pt>
                <c:pt idx="668">
                  <c:v>1.7399999999999999E-2</c:v>
                </c:pt>
                <c:pt idx="669">
                  <c:v>1.6E-2</c:v>
                </c:pt>
                <c:pt idx="670">
                  <c:v>1.7600000000000001E-2</c:v>
                </c:pt>
                <c:pt idx="671">
                  <c:v>1.8599999999999998E-2</c:v>
                </c:pt>
                <c:pt idx="672">
                  <c:v>1.7999999999999999E-2</c:v>
                </c:pt>
                <c:pt idx="673">
                  <c:v>1.7299999999999999E-2</c:v>
                </c:pt>
                <c:pt idx="674">
                  <c:v>1.72E-2</c:v>
                </c:pt>
                <c:pt idx="675">
                  <c:v>1.7399999999999999E-2</c:v>
                </c:pt>
                <c:pt idx="676">
                  <c:v>1.5699999999999999E-2</c:v>
                </c:pt>
                <c:pt idx="677">
                  <c:v>1.7399999999999999E-2</c:v>
                </c:pt>
                <c:pt idx="678">
                  <c:v>1.72E-2</c:v>
                </c:pt>
                <c:pt idx="679">
                  <c:v>1.7299999999999999E-2</c:v>
                </c:pt>
                <c:pt idx="680">
                  <c:v>1.44E-2</c:v>
                </c:pt>
                <c:pt idx="681">
                  <c:v>1.49E-2</c:v>
                </c:pt>
                <c:pt idx="682">
                  <c:v>1.41E-2</c:v>
                </c:pt>
                <c:pt idx="683">
                  <c:v>1.6E-2</c:v>
                </c:pt>
                <c:pt idx="684">
                  <c:v>1.6400000000000001E-2</c:v>
                </c:pt>
                <c:pt idx="685">
                  <c:v>1.72E-2</c:v>
                </c:pt>
                <c:pt idx="686">
                  <c:v>1.5299999999999999E-2</c:v>
                </c:pt>
                <c:pt idx="687">
                  <c:v>3.39E-2</c:v>
                </c:pt>
                <c:pt idx="688">
                  <c:v>3.39E-2</c:v>
                </c:pt>
                <c:pt idx="689">
                  <c:v>3.3399999999999999E-2</c:v>
                </c:pt>
                <c:pt idx="690">
                  <c:v>3.2500000000000001E-2</c:v>
                </c:pt>
                <c:pt idx="691">
                  <c:v>3.78E-2</c:v>
                </c:pt>
                <c:pt idx="692">
                  <c:v>4.1000000000000002E-2</c:v>
                </c:pt>
                <c:pt idx="693">
                  <c:v>4.02E-2</c:v>
                </c:pt>
                <c:pt idx="694">
                  <c:v>3.8399999999999997E-2</c:v>
                </c:pt>
                <c:pt idx="695">
                  <c:v>3.6799999999999999E-2</c:v>
                </c:pt>
                <c:pt idx="696">
                  <c:v>3.6700000000000003E-2</c:v>
                </c:pt>
                <c:pt idx="697">
                  <c:v>3.5000000000000003E-2</c:v>
                </c:pt>
                <c:pt idx="698">
                  <c:v>3.4500000000000003E-2</c:v>
                </c:pt>
                <c:pt idx="699">
                  <c:v>3.5700000000000003E-2</c:v>
                </c:pt>
                <c:pt idx="700">
                  <c:v>3.6900000000000002E-2</c:v>
                </c:pt>
                <c:pt idx="701">
                  <c:v>3.49E-2</c:v>
                </c:pt>
                <c:pt idx="702">
                  <c:v>3.7699999999999997E-2</c:v>
                </c:pt>
                <c:pt idx="703">
                  <c:v>4.4499999999999998E-2</c:v>
                </c:pt>
                <c:pt idx="704">
                  <c:v>4.4900000000000002E-2</c:v>
                </c:pt>
                <c:pt idx="705">
                  <c:v>4.0399999999999998E-2</c:v>
                </c:pt>
                <c:pt idx="706">
                  <c:v>4.0500000000000001E-2</c:v>
                </c:pt>
                <c:pt idx="707">
                  <c:v>3.9100000000000003E-2</c:v>
                </c:pt>
                <c:pt idx="708">
                  <c:v>4.07E-2</c:v>
                </c:pt>
                <c:pt idx="709">
                  <c:v>4.2799999999999998E-2</c:v>
                </c:pt>
                <c:pt idx="710">
                  <c:v>4.2200000000000001E-2</c:v>
                </c:pt>
                <c:pt idx="711">
                  <c:v>4.3499999999999997E-2</c:v>
                </c:pt>
                <c:pt idx="712">
                  <c:v>4.7300000000000002E-2</c:v>
                </c:pt>
                <c:pt idx="713">
                  <c:v>5.1700000000000003E-2</c:v>
                </c:pt>
                <c:pt idx="714">
                  <c:v>5.0099999999999999E-2</c:v>
                </c:pt>
                <c:pt idx="715">
                  <c:v>5.62E-2</c:v>
                </c:pt>
                <c:pt idx="716">
                  <c:v>5.1400000000000001E-2</c:v>
                </c:pt>
                <c:pt idx="717">
                  <c:v>4.4499999999999998E-2</c:v>
                </c:pt>
                <c:pt idx="718">
                  <c:v>4.4299999999999999E-2</c:v>
                </c:pt>
                <c:pt idx="719">
                  <c:v>4.2799999999999998E-2</c:v>
                </c:pt>
                <c:pt idx="720">
                  <c:v>4.5499999999999999E-2</c:v>
                </c:pt>
                <c:pt idx="721">
                  <c:v>4.3200000000000002E-2</c:v>
                </c:pt>
                <c:pt idx="722">
                  <c:v>4.0099999999999997E-2</c:v>
                </c:pt>
                <c:pt idx="723">
                  <c:v>4.07E-2</c:v>
                </c:pt>
                <c:pt idx="724">
                  <c:v>3.8600000000000002E-2</c:v>
                </c:pt>
                <c:pt idx="725">
                  <c:v>3.6900000000000002E-2</c:v>
                </c:pt>
                <c:pt idx="726">
                  <c:v>3.6299999999999999E-2</c:v>
                </c:pt>
                <c:pt idx="727">
                  <c:v>3.6400000000000002E-2</c:v>
                </c:pt>
                <c:pt idx="728">
                  <c:v>3.6200000000000003E-2</c:v>
                </c:pt>
                <c:pt idx="729">
                  <c:v>3.4799999999999998E-2</c:v>
                </c:pt>
                <c:pt idx="730">
                  <c:v>3.6400000000000002E-2</c:v>
                </c:pt>
                <c:pt idx="731">
                  <c:v>3.6299999999999999E-2</c:v>
                </c:pt>
                <c:pt idx="732">
                  <c:v>3.6799999999999999E-2</c:v>
                </c:pt>
                <c:pt idx="733">
                  <c:v>3.6999999999999998E-2</c:v>
                </c:pt>
                <c:pt idx="734">
                  <c:v>3.5900000000000001E-2</c:v>
                </c:pt>
                <c:pt idx="735">
                  <c:v>3.7199999999999997E-2</c:v>
                </c:pt>
                <c:pt idx="736">
                  <c:v>3.8300000000000001E-2</c:v>
                </c:pt>
                <c:pt idx="737">
                  <c:v>3.8399999999999997E-2</c:v>
                </c:pt>
                <c:pt idx="738">
                  <c:v>3.7100000000000001E-2</c:v>
                </c:pt>
                <c:pt idx="739">
                  <c:v>3.7999999999999999E-2</c:v>
                </c:pt>
                <c:pt idx="740">
                  <c:v>3.95E-2</c:v>
                </c:pt>
                <c:pt idx="741">
                  <c:v>0.04</c:v>
                </c:pt>
                <c:pt idx="742">
                  <c:v>3.8100000000000002E-2</c:v>
                </c:pt>
                <c:pt idx="743">
                  <c:v>3.8199999999999998E-2</c:v>
                </c:pt>
                <c:pt idx="744">
                  <c:v>3.8699999999999998E-2</c:v>
                </c:pt>
                <c:pt idx="745">
                  <c:v>4.0099999999999997E-2</c:v>
                </c:pt>
                <c:pt idx="746">
                  <c:v>3.61E-2</c:v>
                </c:pt>
                <c:pt idx="747">
                  <c:v>3.5499999999999997E-2</c:v>
                </c:pt>
                <c:pt idx="748">
                  <c:v>3.5499999999999997E-2</c:v>
                </c:pt>
                <c:pt idx="749">
                  <c:v>3.5999999999999997E-2</c:v>
                </c:pt>
                <c:pt idx="750">
                  <c:v>3.6400000000000002E-2</c:v>
                </c:pt>
                <c:pt idx="751">
                  <c:v>3.7900000000000003E-2</c:v>
                </c:pt>
                <c:pt idx="752">
                  <c:v>3.9E-2</c:v>
                </c:pt>
                <c:pt idx="753">
                  <c:v>3.9600000000000003E-2</c:v>
                </c:pt>
                <c:pt idx="754">
                  <c:v>3.9100000000000003E-2</c:v>
                </c:pt>
                <c:pt idx="755">
                  <c:v>3.9E-2</c:v>
                </c:pt>
                <c:pt idx="756">
                  <c:v>3.85E-2</c:v>
                </c:pt>
                <c:pt idx="757">
                  <c:v>4.2599999999999999E-2</c:v>
                </c:pt>
                <c:pt idx="759">
                  <c:v>4.3400000000000001E-2</c:v>
                </c:pt>
                <c:pt idx="760">
                  <c:v>4.3799999999999999E-2</c:v>
                </c:pt>
                <c:pt idx="761">
                  <c:v>4.4900000000000002E-2</c:v>
                </c:pt>
                <c:pt idx="762">
                  <c:v>4.7300000000000002E-2</c:v>
                </c:pt>
                <c:pt idx="763">
                  <c:v>4.7E-2</c:v>
                </c:pt>
                <c:pt idx="764">
                  <c:v>4.4999999999999998E-2</c:v>
                </c:pt>
                <c:pt idx="765">
                  <c:v>4.2299999999999997E-2</c:v>
                </c:pt>
                <c:pt idx="766">
                  <c:v>4.4900000000000002E-2</c:v>
                </c:pt>
                <c:pt idx="767">
                  <c:v>4.0300000000000002E-2</c:v>
                </c:pt>
                <c:pt idx="768">
                  <c:v>4.0500000000000001E-2</c:v>
                </c:pt>
                <c:pt idx="769">
                  <c:v>4.2000000000000003E-2</c:v>
                </c:pt>
                <c:pt idx="770">
                  <c:v>4.1399999999999999E-2</c:v>
                </c:pt>
                <c:pt idx="771">
                  <c:v>4.2999999999999997E-2</c:v>
                </c:pt>
                <c:pt idx="772">
                  <c:v>3.6799999999999999E-2</c:v>
                </c:pt>
                <c:pt idx="773">
                  <c:v>3.3500000000000002E-2</c:v>
                </c:pt>
                <c:pt idx="774">
                  <c:v>3.7999999999999999E-2</c:v>
                </c:pt>
                <c:pt idx="775">
                  <c:v>4.1700000000000001E-2</c:v>
                </c:pt>
                <c:pt idx="776">
                  <c:v>4.07E-2</c:v>
                </c:pt>
                <c:pt idx="777">
                  <c:v>4.2700000000000002E-2</c:v>
                </c:pt>
                <c:pt idx="778">
                  <c:v>4.2700000000000002E-2</c:v>
                </c:pt>
                <c:pt idx="779">
                  <c:v>4.58E-2</c:v>
                </c:pt>
                <c:pt idx="780">
                  <c:v>4.48E-2</c:v>
                </c:pt>
                <c:pt idx="781">
                  <c:v>5.0799999999999998E-2</c:v>
                </c:pt>
                <c:pt idx="782">
                  <c:v>5.3800000000000001E-2</c:v>
                </c:pt>
                <c:pt idx="783">
                  <c:v>5.4199999999999998E-2</c:v>
                </c:pt>
                <c:pt idx="784">
                  <c:v>5.7299999999999997E-2</c:v>
                </c:pt>
                <c:pt idx="785">
                  <c:v>5.04E-2</c:v>
                </c:pt>
                <c:pt idx="786">
                  <c:v>4.3099999999999999E-2</c:v>
                </c:pt>
                <c:pt idx="787">
                  <c:v>4.1500000000000002E-2</c:v>
                </c:pt>
                <c:pt idx="788">
                  <c:v>0.04</c:v>
                </c:pt>
                <c:pt idx="789">
                  <c:v>4.1799999999999997E-2</c:v>
                </c:pt>
                <c:pt idx="790">
                  <c:v>4.48E-2</c:v>
                </c:pt>
                <c:pt idx="791">
                  <c:v>4.19E-2</c:v>
                </c:pt>
                <c:pt idx="792">
                  <c:v>4.0099999999999997E-2</c:v>
                </c:pt>
                <c:pt idx="793">
                  <c:v>4.02E-2</c:v>
                </c:pt>
                <c:pt idx="794">
                  <c:v>4.0099999999999997E-2</c:v>
                </c:pt>
                <c:pt idx="795">
                  <c:v>3.4500000000000003E-2</c:v>
                </c:pt>
                <c:pt idx="796">
                  <c:v>3.49E-2</c:v>
                </c:pt>
                <c:pt idx="797">
                  <c:v>3.9100000000000003E-2</c:v>
                </c:pt>
                <c:pt idx="798">
                  <c:v>3.78E-2</c:v>
                </c:pt>
                <c:pt idx="799">
                  <c:v>4.2200000000000001E-2</c:v>
                </c:pt>
                <c:pt idx="800">
                  <c:v>4.7699999999999999E-2</c:v>
                </c:pt>
                <c:pt idx="801">
                  <c:v>4.8000000000000001E-2</c:v>
                </c:pt>
                <c:pt idx="802">
                  <c:v>0.05</c:v>
                </c:pt>
                <c:pt idx="803">
                  <c:v>5.2400000000000002E-2</c:v>
                </c:pt>
                <c:pt idx="804">
                  <c:v>5.2499999999999998E-2</c:v>
                </c:pt>
                <c:pt idx="805">
                  <c:v>5.1799999999999999E-2</c:v>
                </c:pt>
                <c:pt idx="806">
                  <c:v>5.2499999999999998E-2</c:v>
                </c:pt>
                <c:pt idx="807">
                  <c:v>5.4300000000000001E-2</c:v>
                </c:pt>
                <c:pt idx="808">
                  <c:v>5.2699999999999997E-2</c:v>
                </c:pt>
                <c:pt idx="809">
                  <c:v>5.3999999999999999E-2</c:v>
                </c:pt>
                <c:pt idx="810">
                  <c:v>5.57E-2</c:v>
                </c:pt>
                <c:pt idx="811">
                  <c:v>5.4100000000000002E-2</c:v>
                </c:pt>
                <c:pt idx="812">
                  <c:v>5.4100000000000002E-2</c:v>
                </c:pt>
                <c:pt idx="813">
                  <c:v>5.6000000000000001E-2</c:v>
                </c:pt>
                <c:pt idx="814">
                  <c:v>5.8400000000000001E-2</c:v>
                </c:pt>
                <c:pt idx="815">
                  <c:v>5.67E-2</c:v>
                </c:pt>
                <c:pt idx="816">
                  <c:v>5.7000000000000002E-2</c:v>
                </c:pt>
                <c:pt idx="817">
                  <c:v>5.9799999999999999E-2</c:v>
                </c:pt>
                <c:pt idx="818">
                  <c:v>5.67E-2</c:v>
                </c:pt>
                <c:pt idx="819">
                  <c:v>5.5800000000000002E-2</c:v>
                </c:pt>
                <c:pt idx="820">
                  <c:v>5.62E-2</c:v>
                </c:pt>
                <c:pt idx="821">
                  <c:v>5.3199999999999997E-2</c:v>
                </c:pt>
                <c:pt idx="822">
                  <c:v>5.57E-2</c:v>
                </c:pt>
                <c:pt idx="823">
                  <c:v>5.8900000000000001E-2</c:v>
                </c:pt>
                <c:pt idx="824">
                  <c:v>5.1799999999999999E-2</c:v>
                </c:pt>
                <c:pt idx="825">
                  <c:v>5.1400000000000001E-2</c:v>
                </c:pt>
                <c:pt idx="826">
                  <c:v>5.3699999999999998E-2</c:v>
                </c:pt>
                <c:pt idx="827">
                  <c:v>5.2400000000000002E-2</c:v>
                </c:pt>
                <c:pt idx="828">
                  <c:v>5.1999999999999998E-2</c:v>
                </c:pt>
                <c:pt idx="829">
                  <c:v>6.0299999999999999E-2</c:v>
                </c:pt>
                <c:pt idx="830">
                  <c:v>5.9700000000000003E-2</c:v>
                </c:pt>
                <c:pt idx="831">
                  <c:v>6.08E-2</c:v>
                </c:pt>
                <c:pt idx="832">
                  <c:v>5.96E-2</c:v>
                </c:pt>
                <c:pt idx="833">
                  <c:v>6.0400000000000002E-2</c:v>
                </c:pt>
                <c:pt idx="834">
                  <c:v>6.2799999999999995E-2</c:v>
                </c:pt>
                <c:pt idx="835">
                  <c:v>6.08E-2</c:v>
                </c:pt>
                <c:pt idx="836">
                  <c:v>6.6900000000000001E-2</c:v>
                </c:pt>
                <c:pt idx="837">
                  <c:v>7.6300000000000007E-2</c:v>
                </c:pt>
                <c:pt idx="838">
                  <c:v>7.1099999999999997E-2</c:v>
                </c:pt>
                <c:pt idx="839">
                  <c:v>7.4300000000000005E-2</c:v>
                </c:pt>
                <c:pt idx="840">
                  <c:v>6.9000000000000006E-2</c:v>
                </c:pt>
                <c:pt idx="841">
                  <c:v>6.2100000000000002E-2</c:v>
                </c:pt>
                <c:pt idx="842">
                  <c:v>6.5799999999999997E-2</c:v>
                </c:pt>
                <c:pt idx="843">
                  <c:v>6.2E-2</c:v>
                </c:pt>
                <c:pt idx="844">
                  <c:v>5.9299999999999999E-2</c:v>
                </c:pt>
                <c:pt idx="845">
                  <c:v>5.67E-2</c:v>
                </c:pt>
                <c:pt idx="846">
                  <c:v>5.9200000000000003E-2</c:v>
                </c:pt>
                <c:pt idx="847">
                  <c:v>5.9200000000000003E-2</c:v>
                </c:pt>
                <c:pt idx="848">
                  <c:v>5.8599999999999999E-2</c:v>
                </c:pt>
                <c:pt idx="849">
                  <c:v>6.0699999999999997E-2</c:v>
                </c:pt>
                <c:pt idx="850">
                  <c:v>5.96E-2</c:v>
                </c:pt>
                <c:pt idx="851">
                  <c:v>6.2E-2</c:v>
                </c:pt>
                <c:pt idx="852">
                  <c:v>6.1600000000000002E-2</c:v>
                </c:pt>
                <c:pt idx="853">
                  <c:v>5.96E-2</c:v>
                </c:pt>
                <c:pt idx="854">
                  <c:v>5.7500000000000002E-2</c:v>
                </c:pt>
                <c:pt idx="855">
                  <c:v>5.8000000000000003E-2</c:v>
                </c:pt>
                <c:pt idx="856">
                  <c:v>6.2899999999999998E-2</c:v>
                </c:pt>
                <c:pt idx="857">
                  <c:v>6.1499999999999999E-2</c:v>
                </c:pt>
                <c:pt idx="858">
                  <c:v>8.0299999999999996E-2</c:v>
                </c:pt>
                <c:pt idx="859">
                  <c:v>8.5199999999999998E-2</c:v>
                </c:pt>
                <c:pt idx="860">
                  <c:v>9.1600000000000001E-2</c:v>
                </c:pt>
                <c:pt idx="861">
                  <c:v>9.2200000000000004E-2</c:v>
                </c:pt>
                <c:pt idx="862">
                  <c:v>9.0800000000000006E-2</c:v>
                </c:pt>
                <c:pt idx="863">
                  <c:v>9.7900000000000001E-2</c:v>
                </c:pt>
                <c:pt idx="864">
                  <c:v>9.4299999999999995E-2</c:v>
                </c:pt>
                <c:pt idx="865">
                  <c:v>8.9499999999999996E-2</c:v>
                </c:pt>
                <c:pt idx="866">
                  <c:v>9.0700000000000003E-2</c:v>
                </c:pt>
                <c:pt idx="867">
                  <c:v>8.9399999999999993E-2</c:v>
                </c:pt>
                <c:pt idx="868">
                  <c:v>8.7900000000000006E-2</c:v>
                </c:pt>
                <c:pt idx="869">
                  <c:v>8.9800000000000005E-2</c:v>
                </c:pt>
                <c:pt idx="870">
                  <c:v>9.01E-2</c:v>
                </c:pt>
                <c:pt idx="871">
                  <c:v>0.1013</c:v>
                </c:pt>
                <c:pt idx="872">
                  <c:v>0.1057</c:v>
                </c:pt>
                <c:pt idx="873">
                  <c:v>0.1137</c:v>
                </c:pt>
                <c:pt idx="874">
                  <c:v>0.1065</c:v>
                </c:pt>
                <c:pt idx="875">
                  <c:v>0.10440000000000001</c:v>
                </c:pt>
                <c:pt idx="876">
                  <c:v>0.1133</c:v>
                </c:pt>
                <c:pt idx="877">
                  <c:v>0.12330000000000001</c:v>
                </c:pt>
                <c:pt idx="878">
                  <c:v>0.121</c:v>
                </c:pt>
                <c:pt idx="879">
                  <c:v>0.1308</c:v>
                </c:pt>
                <c:pt idx="880">
                  <c:v>0.1313</c:v>
                </c:pt>
                <c:pt idx="881">
                  <c:v>0.1265</c:v>
                </c:pt>
                <c:pt idx="882">
                  <c:v>0.13139999999999999</c:v>
                </c:pt>
                <c:pt idx="883">
                  <c:v>0.12379999999999999</c:v>
                </c:pt>
                <c:pt idx="884">
                  <c:v>0.14849999999999999</c:v>
                </c:pt>
                <c:pt idx="885">
                  <c:v>0.15809999999999999</c:v>
                </c:pt>
                <c:pt idx="886">
                  <c:v>0.154</c:v>
                </c:pt>
                <c:pt idx="887">
                  <c:v>0.17</c:v>
                </c:pt>
                <c:pt idx="888">
                  <c:v>0.1641</c:v>
                </c:pt>
                <c:pt idx="889">
                  <c:v>0.17080000000000001</c:v>
                </c:pt>
                <c:pt idx="890">
                  <c:v>0.17150000000000001</c:v>
                </c:pt>
                <c:pt idx="891">
                  <c:v>0.18540000000000001</c:v>
                </c:pt>
                <c:pt idx="892">
                  <c:v>0.21879999999999999</c:v>
                </c:pt>
                <c:pt idx="893">
                  <c:v>0.1978</c:v>
                </c:pt>
                <c:pt idx="894">
                  <c:v>0.217</c:v>
                </c:pt>
                <c:pt idx="895">
                  <c:v>0.2482</c:v>
                </c:pt>
                <c:pt idx="896">
                  <c:v>0.25890000000000002</c:v>
                </c:pt>
                <c:pt idx="897">
                  <c:v>0.23350000000000001</c:v>
                </c:pt>
                <c:pt idx="898">
                  <c:v>0.19719999999999999</c:v>
                </c:pt>
                <c:pt idx="899">
                  <c:v>0.16170000000000001</c:v>
                </c:pt>
                <c:pt idx="900">
                  <c:v>0.16539999999999999</c:v>
                </c:pt>
                <c:pt idx="901">
                  <c:v>0.1177</c:v>
                </c:pt>
                <c:pt idx="902">
                  <c:v>0.1158</c:v>
                </c:pt>
                <c:pt idx="903">
                  <c:v>0.1079</c:v>
                </c:pt>
                <c:pt idx="904">
                  <c:v>0.14849999999999999</c:v>
                </c:pt>
                <c:pt idx="905">
                  <c:v>0.1011</c:v>
                </c:pt>
                <c:pt idx="906">
                  <c:v>0.1046</c:v>
                </c:pt>
                <c:pt idx="907">
                  <c:v>0.1003</c:v>
                </c:pt>
                <c:pt idx="908">
                  <c:v>0.11169999999999999</c:v>
                </c:pt>
                <c:pt idx="909">
                  <c:v>0.11799999999999999</c:v>
                </c:pt>
                <c:pt idx="910">
                  <c:v>0.1331</c:v>
                </c:pt>
                <c:pt idx="911">
                  <c:v>0.123</c:v>
                </c:pt>
                <c:pt idx="912">
                  <c:v>0.14030000000000001</c:v>
                </c:pt>
                <c:pt idx="913">
                  <c:v>0.14760000000000001</c:v>
                </c:pt>
                <c:pt idx="914">
                  <c:v>0.14990000000000001</c:v>
                </c:pt>
                <c:pt idx="915">
                  <c:v>0.15759999999999999</c:v>
                </c:pt>
                <c:pt idx="916">
                  <c:v>0.16159999999999999</c:v>
                </c:pt>
                <c:pt idx="917">
                  <c:v>0.18759999999999999</c:v>
                </c:pt>
                <c:pt idx="918">
                  <c:v>0.193</c:v>
                </c:pt>
                <c:pt idx="919">
                  <c:v>0.17230000000000001</c:v>
                </c:pt>
                <c:pt idx="920">
                  <c:v>0.2114</c:v>
                </c:pt>
                <c:pt idx="921">
                  <c:v>0.29620000000000002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F-4F3D-8430-4F110438AD8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9">
                  <c:v>43830</c:v>
                </c:pt>
                <c:pt idx="760">
                  <c:v>43829</c:v>
                </c:pt>
                <c:pt idx="761">
                  <c:v>43828</c:v>
                </c:pt>
                <c:pt idx="762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  <c:pt idx="886">
                  <c:v>43703</c:v>
                </c:pt>
                <c:pt idx="887">
                  <c:v>43702</c:v>
                </c:pt>
                <c:pt idx="888">
                  <c:v>43701</c:v>
                </c:pt>
                <c:pt idx="889">
                  <c:v>43700</c:v>
                </c:pt>
                <c:pt idx="890">
                  <c:v>43699</c:v>
                </c:pt>
                <c:pt idx="891">
                  <c:v>43698</c:v>
                </c:pt>
                <c:pt idx="892">
                  <c:v>43697</c:v>
                </c:pt>
                <c:pt idx="893">
                  <c:v>43696</c:v>
                </c:pt>
                <c:pt idx="894">
                  <c:v>43695</c:v>
                </c:pt>
                <c:pt idx="895">
                  <c:v>43694</c:v>
                </c:pt>
                <c:pt idx="896">
                  <c:v>43693</c:v>
                </c:pt>
                <c:pt idx="897">
                  <c:v>43692</c:v>
                </c:pt>
                <c:pt idx="898">
                  <c:v>43691</c:v>
                </c:pt>
                <c:pt idx="899">
                  <c:v>43690</c:v>
                </c:pt>
                <c:pt idx="900">
                  <c:v>43689</c:v>
                </c:pt>
                <c:pt idx="901">
                  <c:v>43688</c:v>
                </c:pt>
                <c:pt idx="902">
                  <c:v>43687</c:v>
                </c:pt>
                <c:pt idx="903">
                  <c:v>43686</c:v>
                </c:pt>
                <c:pt idx="904">
                  <c:v>43685</c:v>
                </c:pt>
                <c:pt idx="905">
                  <c:v>43684</c:v>
                </c:pt>
                <c:pt idx="906">
                  <c:v>43683</c:v>
                </c:pt>
                <c:pt idx="907">
                  <c:v>43682</c:v>
                </c:pt>
                <c:pt idx="908">
                  <c:v>43681</c:v>
                </c:pt>
                <c:pt idx="909">
                  <c:v>43680</c:v>
                </c:pt>
                <c:pt idx="910">
                  <c:v>43679</c:v>
                </c:pt>
                <c:pt idx="911">
                  <c:v>43678</c:v>
                </c:pt>
                <c:pt idx="912">
                  <c:v>43677</c:v>
                </c:pt>
                <c:pt idx="913">
                  <c:v>43676</c:v>
                </c:pt>
                <c:pt idx="914">
                  <c:v>43675</c:v>
                </c:pt>
                <c:pt idx="915">
                  <c:v>43674</c:v>
                </c:pt>
                <c:pt idx="916">
                  <c:v>43673</c:v>
                </c:pt>
                <c:pt idx="917">
                  <c:v>43672</c:v>
                </c:pt>
                <c:pt idx="918">
                  <c:v>43671</c:v>
                </c:pt>
                <c:pt idx="919">
                  <c:v>43670</c:v>
                </c:pt>
                <c:pt idx="920">
                  <c:v>43669</c:v>
                </c:pt>
                <c:pt idx="921">
                  <c:v>43668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-8.2941128077095527</c:v>
                </c:pt>
                <c:pt idx="1">
                  <c:v>-8.2544638226349267</c:v>
                </c:pt>
                <c:pt idx="2">
                  <c:v>-8.064255435531777</c:v>
                </c:pt>
                <c:pt idx="3">
                  <c:v>-8.0952238635856091</c:v>
                </c:pt>
                <c:pt idx="4">
                  <c:v>-8.4814189426422146</c:v>
                </c:pt>
                <c:pt idx="5">
                  <c:v>-8.6573989267588516</c:v>
                </c:pt>
                <c:pt idx="6">
                  <c:v>-8.3971134585404101</c:v>
                </c:pt>
                <c:pt idx="7">
                  <c:v>-7.8914620856326083</c:v>
                </c:pt>
                <c:pt idx="8">
                  <c:v>-7.4155274552274211</c:v>
                </c:pt>
                <c:pt idx="9">
                  <c:v>-7.0043498982819123</c:v>
                </c:pt>
                <c:pt idx="10">
                  <c:v>-7.0037981713821447</c:v>
                </c:pt>
                <c:pt idx="11">
                  <c:v>-6.445403332372857</c:v>
                </c:pt>
                <c:pt idx="12">
                  <c:v>-6.8414213607574741</c:v>
                </c:pt>
                <c:pt idx="13">
                  <c:v>-6.5270286237877775</c:v>
                </c:pt>
                <c:pt idx="14">
                  <c:v>-7.1873602245340464</c:v>
                </c:pt>
                <c:pt idx="15">
                  <c:v>-7.4261177626275501</c:v>
                </c:pt>
                <c:pt idx="16">
                  <c:v>-7.7829866147756981</c:v>
                </c:pt>
                <c:pt idx="17">
                  <c:v>-8.2861585685739563</c:v>
                </c:pt>
                <c:pt idx="18">
                  <c:v>-8.1737762064890855</c:v>
                </c:pt>
                <c:pt idx="19">
                  <c:v>-8.1807099359673447</c:v>
                </c:pt>
                <c:pt idx="20">
                  <c:v>-7.8872214867365766</c:v>
                </c:pt>
                <c:pt idx="21">
                  <c:v>-7.5393481479941826</c:v>
                </c:pt>
                <c:pt idx="22">
                  <c:v>-7.7818089966336395</c:v>
                </c:pt>
                <c:pt idx="23">
                  <c:v>-7.6053487186523308</c:v>
                </c:pt>
                <c:pt idx="24">
                  <c:v>-7.2559013726205839</c:v>
                </c:pt>
                <c:pt idx="25">
                  <c:v>-7.0010519946878924</c:v>
                </c:pt>
                <c:pt idx="26">
                  <c:v>-6.9206196979301513</c:v>
                </c:pt>
                <c:pt idx="27">
                  <c:v>-7.0287176261233233</c:v>
                </c:pt>
                <c:pt idx="28">
                  <c:v>-6.8812731938752609</c:v>
                </c:pt>
                <c:pt idx="29">
                  <c:v>-6.3347687467306839</c:v>
                </c:pt>
                <c:pt idx="30">
                  <c:v>-6.4594261442592025</c:v>
                </c:pt>
                <c:pt idx="31">
                  <c:v>-5.9796795628159032</c:v>
                </c:pt>
                <c:pt idx="32">
                  <c:v>-6.3538519024277296</c:v>
                </c:pt>
                <c:pt idx="33">
                  <c:v>-6.1944776355779725</c:v>
                </c:pt>
                <c:pt idx="34">
                  <c:v>-6.1802659331794487</c:v>
                </c:pt>
                <c:pt idx="35">
                  <c:v>-6.4072280118448921</c:v>
                </c:pt>
                <c:pt idx="36">
                  <c:v>-6.2324116843056885</c:v>
                </c:pt>
                <c:pt idx="37">
                  <c:v>-6.266914850248873</c:v>
                </c:pt>
                <c:pt idx="38">
                  <c:v>-6.5176073413599855</c:v>
                </c:pt>
                <c:pt idx="39">
                  <c:v>-6.8587622569303859</c:v>
                </c:pt>
                <c:pt idx="40">
                  <c:v>-6.6935322536496296</c:v>
                </c:pt>
                <c:pt idx="41">
                  <c:v>-6.6103559017468809</c:v>
                </c:pt>
                <c:pt idx="42">
                  <c:v>-6.204277949035383</c:v>
                </c:pt>
                <c:pt idx="43">
                  <c:v>-6.1576634561050838</c:v>
                </c:pt>
                <c:pt idx="44">
                  <c:v>-5.945334683268741</c:v>
                </c:pt>
                <c:pt idx="45">
                  <c:v>-6.7471542455815623</c:v>
                </c:pt>
                <c:pt idx="46">
                  <c:v>-7.6557581333469846</c:v>
                </c:pt>
                <c:pt idx="47">
                  <c:v>-7.7630653941804271</c:v>
                </c:pt>
                <c:pt idx="48">
                  <c:v>-7.7746385208470929</c:v>
                </c:pt>
                <c:pt idx="49">
                  <c:v>-7.330839577551318</c:v>
                </c:pt>
                <c:pt idx="50">
                  <c:v>-7.0717073945634086</c:v>
                </c:pt>
                <c:pt idx="51">
                  <c:v>-6.3708223885634077</c:v>
                </c:pt>
                <c:pt idx="52">
                  <c:v>-6.5257372061607573</c:v>
                </c:pt>
                <c:pt idx="53">
                  <c:v>-6.8200351352232573</c:v>
                </c:pt>
                <c:pt idx="54">
                  <c:v>-6.7413129984036848</c:v>
                </c:pt>
                <c:pt idx="55">
                  <c:v>-6.7148998458535427</c:v>
                </c:pt>
                <c:pt idx="56">
                  <c:v>-6.7153322406320965</c:v>
                </c:pt>
                <c:pt idx="57">
                  <c:v>-6.6302245001618765</c:v>
                </c:pt>
                <c:pt idx="58">
                  <c:v>-6.5690807641344797</c:v>
                </c:pt>
                <c:pt idx="59">
                  <c:v>-6.4671049485789238</c:v>
                </c:pt>
                <c:pt idx="60">
                  <c:v>-6.5168056129425596</c:v>
                </c:pt>
                <c:pt idx="61">
                  <c:v>-6.5914605482931137</c:v>
                </c:pt>
                <c:pt idx="62">
                  <c:v>-6.5878225991806874</c:v>
                </c:pt>
                <c:pt idx="63">
                  <c:v>-6.4423597473110474</c:v>
                </c:pt>
                <c:pt idx="64">
                  <c:v>-6.4204484005398879</c:v>
                </c:pt>
                <c:pt idx="65">
                  <c:v>-6.3975290585612781</c:v>
                </c:pt>
                <c:pt idx="66">
                  <c:v>-6.4194639628603447</c:v>
                </c:pt>
                <c:pt idx="67">
                  <c:v>-6.3704545018203431</c:v>
                </c:pt>
                <c:pt idx="68">
                  <c:v>-6.2682426937466902</c:v>
                </c:pt>
                <c:pt idx="69">
                  <c:v>-5.9416006618837995</c:v>
                </c:pt>
                <c:pt idx="70">
                  <c:v>-6.1617672231494103</c:v>
                </c:pt>
                <c:pt idx="71">
                  <c:v>-5.999804294241974</c:v>
                </c:pt>
                <c:pt idx="72">
                  <c:v>-6.098539906343885</c:v>
                </c:pt>
                <c:pt idx="73">
                  <c:v>-6.0177112598202811</c:v>
                </c:pt>
                <c:pt idx="74">
                  <c:v>-5.1104599068099095</c:v>
                </c:pt>
                <c:pt idx="75">
                  <c:v>-5.3011310707614259</c:v>
                </c:pt>
                <c:pt idx="76">
                  <c:v>-5.2103787221676754</c:v>
                </c:pt>
                <c:pt idx="77">
                  <c:v>-5.0443640442033795</c:v>
                </c:pt>
                <c:pt idx="78">
                  <c:v>-5.4819747935247696</c:v>
                </c:pt>
                <c:pt idx="79">
                  <c:v>-5.1660304296076038</c:v>
                </c:pt>
                <c:pt idx="80">
                  <c:v>-5.0437458191278983</c:v>
                </c:pt>
                <c:pt idx="81">
                  <c:v>-5.0855569360145942</c:v>
                </c:pt>
                <c:pt idx="82">
                  <c:v>-5.0855569360145934</c:v>
                </c:pt>
                <c:pt idx="83">
                  <c:v>-5.1021032740791101</c:v>
                </c:pt>
                <c:pt idx="84">
                  <c:v>-5.2145614547852635</c:v>
                </c:pt>
                <c:pt idx="85">
                  <c:v>-5.286927222221161</c:v>
                </c:pt>
                <c:pt idx="86">
                  <c:v>-5.3516905130408334</c:v>
                </c:pt>
                <c:pt idx="87">
                  <c:v>-5.1840526165792946</c:v>
                </c:pt>
                <c:pt idx="88">
                  <c:v>-5.0528130007491789</c:v>
                </c:pt>
                <c:pt idx="89">
                  <c:v>-5.1404977546885728</c:v>
                </c:pt>
                <c:pt idx="90">
                  <c:v>-5.1311972728301649</c:v>
                </c:pt>
                <c:pt idx="91">
                  <c:v>-5.1012070894768717</c:v>
                </c:pt>
                <c:pt idx="92">
                  <c:v>-5.167237362204145</c:v>
                </c:pt>
                <c:pt idx="93">
                  <c:v>-4.9963258562805786</c:v>
                </c:pt>
                <c:pt idx="94">
                  <c:v>-4.9192211101868288</c:v>
                </c:pt>
                <c:pt idx="95">
                  <c:v>-4.9224413672534943</c:v>
                </c:pt>
                <c:pt idx="96">
                  <c:v>-4.7541704668076346</c:v>
                </c:pt>
                <c:pt idx="97">
                  <c:v>-4.771276267783243</c:v>
                </c:pt>
                <c:pt idx="98">
                  <c:v>-4.7056660067996372</c:v>
                </c:pt>
                <c:pt idx="99">
                  <c:v>-4.6704526633075742</c:v>
                </c:pt>
                <c:pt idx="100">
                  <c:v>-4.7136110068027204</c:v>
                </c:pt>
                <c:pt idx="101">
                  <c:v>-4.652368785423409</c:v>
                </c:pt>
                <c:pt idx="102">
                  <c:v>-4.4786494208749144</c:v>
                </c:pt>
                <c:pt idx="103">
                  <c:v>-4.2296245360961526</c:v>
                </c:pt>
                <c:pt idx="104">
                  <c:v>-4.383420869299278</c:v>
                </c:pt>
                <c:pt idx="105">
                  <c:v>-4.131936432364971</c:v>
                </c:pt>
                <c:pt idx="106">
                  <c:v>-3.9131457664921308</c:v>
                </c:pt>
                <c:pt idx="107">
                  <c:v>-3.9262528864921311</c:v>
                </c:pt>
                <c:pt idx="108">
                  <c:v>-3.9073286425896918</c:v>
                </c:pt>
                <c:pt idx="109">
                  <c:v>-3.8207538518473338</c:v>
                </c:pt>
                <c:pt idx="110">
                  <c:v>-3.5977184082473337</c:v>
                </c:pt>
                <c:pt idx="111">
                  <c:v>-3.5225953605514819</c:v>
                </c:pt>
                <c:pt idx="112">
                  <c:v>-3.5261653659752112</c:v>
                </c:pt>
                <c:pt idx="113">
                  <c:v>-3.510170055238369</c:v>
                </c:pt>
                <c:pt idx="114">
                  <c:v>-3.4770361591709529</c:v>
                </c:pt>
                <c:pt idx="115">
                  <c:v>-3.5399906238101284</c:v>
                </c:pt>
                <c:pt idx="116">
                  <c:v>-3.5302535973152835</c:v>
                </c:pt>
                <c:pt idx="117">
                  <c:v>-3.5063000339819506</c:v>
                </c:pt>
                <c:pt idx="118">
                  <c:v>-3.539466483772745</c:v>
                </c:pt>
                <c:pt idx="119">
                  <c:v>-3.6171381828381657</c:v>
                </c:pt>
                <c:pt idx="120">
                  <c:v>-3.6469167520786718</c:v>
                </c:pt>
                <c:pt idx="121">
                  <c:v>-3.6306812295434607</c:v>
                </c:pt>
                <c:pt idx="122">
                  <c:v>-3.5359866057596769</c:v>
                </c:pt>
                <c:pt idx="123">
                  <c:v>-3.4445536511328103</c:v>
                </c:pt>
                <c:pt idx="124">
                  <c:v>-3.464944121632811</c:v>
                </c:pt>
                <c:pt idx="125">
                  <c:v>-3.3545933547907052</c:v>
                </c:pt>
                <c:pt idx="126">
                  <c:v>-3.478245443957372</c:v>
                </c:pt>
                <c:pt idx="127">
                  <c:v>-3.649881788628905</c:v>
                </c:pt>
                <c:pt idx="128">
                  <c:v>-3.7181090070160012</c:v>
                </c:pt>
                <c:pt idx="129">
                  <c:v>-3.6297305598160015</c:v>
                </c:pt>
                <c:pt idx="130">
                  <c:v>-3.5967443185461607</c:v>
                </c:pt>
                <c:pt idx="131">
                  <c:v>-3.5670692411304303</c:v>
                </c:pt>
                <c:pt idx="132">
                  <c:v>-3.5768810855139916</c:v>
                </c:pt>
                <c:pt idx="133">
                  <c:v>-3.5330720673321734</c:v>
                </c:pt>
                <c:pt idx="134">
                  <c:v>-3.4718587434191299</c:v>
                </c:pt>
                <c:pt idx="135">
                  <c:v>-3.487956793568384</c:v>
                </c:pt>
                <c:pt idx="136">
                  <c:v>-3.5711170800309686</c:v>
                </c:pt>
                <c:pt idx="137">
                  <c:v>-3.5558741970309686</c:v>
                </c:pt>
                <c:pt idx="138">
                  <c:v>-3.6250719579505084</c:v>
                </c:pt>
                <c:pt idx="139">
                  <c:v>-3.5898038129198335</c:v>
                </c:pt>
                <c:pt idx="140">
                  <c:v>-3.5171869156784545</c:v>
                </c:pt>
                <c:pt idx="141">
                  <c:v>-3.5774749966620609</c:v>
                </c:pt>
                <c:pt idx="142">
                  <c:v>-3.6207756277731722</c:v>
                </c:pt>
                <c:pt idx="143">
                  <c:v>-3.5758596610959072</c:v>
                </c:pt>
                <c:pt idx="144">
                  <c:v>-3.5715976151384603</c:v>
                </c:pt>
                <c:pt idx="145">
                  <c:v>-3.4827042745819385</c:v>
                </c:pt>
                <c:pt idx="146">
                  <c:v>-3.6398318611892342</c:v>
                </c:pt>
                <c:pt idx="147">
                  <c:v>-3.6606026530939966</c:v>
                </c:pt>
                <c:pt idx="148">
                  <c:v>-3.6831303801043065</c:v>
                </c:pt>
                <c:pt idx="149">
                  <c:v>-3.7194354765472588</c:v>
                </c:pt>
                <c:pt idx="150">
                  <c:v>-3.7037820135472583</c:v>
                </c:pt>
                <c:pt idx="151">
                  <c:v>-3.6312426429183273</c:v>
                </c:pt>
                <c:pt idx="152">
                  <c:v>-3.6335889603915947</c:v>
                </c:pt>
                <c:pt idx="153">
                  <c:v>-3.5735015603915938</c:v>
                </c:pt>
                <c:pt idx="154">
                  <c:v>-3.6674828873777057</c:v>
                </c:pt>
                <c:pt idx="155">
                  <c:v>-3.6053952078604645</c:v>
                </c:pt>
                <c:pt idx="156">
                  <c:v>-3.6399215651396859</c:v>
                </c:pt>
                <c:pt idx="157">
                  <c:v>-3.5359903255359129</c:v>
                </c:pt>
                <c:pt idx="158">
                  <c:v>-3.4680741553919732</c:v>
                </c:pt>
                <c:pt idx="159">
                  <c:v>-3.4928903940849554</c:v>
                </c:pt>
                <c:pt idx="160">
                  <c:v>-3.4953821713933588</c:v>
                </c:pt>
                <c:pt idx="161">
                  <c:v>-3.5215042154446405</c:v>
                </c:pt>
                <c:pt idx="162">
                  <c:v>-3.6111317546895942</c:v>
                </c:pt>
                <c:pt idx="163">
                  <c:v>-3.6871325754950002</c:v>
                </c:pt>
                <c:pt idx="164">
                  <c:v>-3.4757879865884558</c:v>
                </c:pt>
                <c:pt idx="165">
                  <c:v>-1.8941871136589075</c:v>
                </c:pt>
                <c:pt idx="166">
                  <c:v>-1.9661315902973688</c:v>
                </c:pt>
                <c:pt idx="167">
                  <c:v>-1.7750110352562469</c:v>
                </c:pt>
                <c:pt idx="168">
                  <c:v>-2.0281565816644433</c:v>
                </c:pt>
                <c:pt idx="169">
                  <c:v>-2.0322477500669645</c:v>
                </c:pt>
                <c:pt idx="170">
                  <c:v>-1.7090888204308192</c:v>
                </c:pt>
                <c:pt idx="171">
                  <c:v>-1.7585529583373765</c:v>
                </c:pt>
                <c:pt idx="172">
                  <c:v>-1.7488688786618793</c:v>
                </c:pt>
                <c:pt idx="173">
                  <c:v>-1.6269548317969307</c:v>
                </c:pt>
                <c:pt idx="174">
                  <c:v>-1.5417248884635979</c:v>
                </c:pt>
                <c:pt idx="175">
                  <c:v>-1.3697357109692649</c:v>
                </c:pt>
                <c:pt idx="176">
                  <c:v>-1.4216199032424359</c:v>
                </c:pt>
                <c:pt idx="177">
                  <c:v>-1.4834590474131426</c:v>
                </c:pt>
                <c:pt idx="178">
                  <c:v>-1.4262525402714761</c:v>
                </c:pt>
                <c:pt idx="179">
                  <c:v>-1.4138304767825876</c:v>
                </c:pt>
                <c:pt idx="180">
                  <c:v>-1.2824640415825874</c:v>
                </c:pt>
                <c:pt idx="181">
                  <c:v>-1.3318862660566613</c:v>
                </c:pt>
                <c:pt idx="182">
                  <c:v>-1.3782182159889191</c:v>
                </c:pt>
                <c:pt idx="183">
                  <c:v>-1.4254599728746333</c:v>
                </c:pt>
                <c:pt idx="184">
                  <c:v>-1.3789378721079659</c:v>
                </c:pt>
                <c:pt idx="185">
                  <c:v>-1.3485575597561141</c:v>
                </c:pt>
                <c:pt idx="186">
                  <c:v>-1.1599063897646853</c:v>
                </c:pt>
                <c:pt idx="187">
                  <c:v>-1.1317678091246852</c:v>
                </c:pt>
                <c:pt idx="188">
                  <c:v>-1.1881338257116421</c:v>
                </c:pt>
                <c:pt idx="189">
                  <c:v>-1.2288037560908085</c:v>
                </c:pt>
                <c:pt idx="190">
                  <c:v>-1.2036313644038519</c:v>
                </c:pt>
                <c:pt idx="191">
                  <c:v>-1.2921566043772461</c:v>
                </c:pt>
                <c:pt idx="192">
                  <c:v>-1.2123969862870021</c:v>
                </c:pt>
                <c:pt idx="193">
                  <c:v>-1.1404039024094743</c:v>
                </c:pt>
                <c:pt idx="194">
                  <c:v>-1.0901036135451887</c:v>
                </c:pt>
                <c:pt idx="195">
                  <c:v>-1.0213895081065925</c:v>
                </c:pt>
                <c:pt idx="196">
                  <c:v>-0.97121052347419823</c:v>
                </c:pt>
                <c:pt idx="197">
                  <c:v>-0.99655547204827233</c:v>
                </c:pt>
                <c:pt idx="198">
                  <c:v>-1.0670802071339867</c:v>
                </c:pt>
                <c:pt idx="199">
                  <c:v>-1.0059930198762088</c:v>
                </c:pt>
                <c:pt idx="200">
                  <c:v>-0.96580976286055675</c:v>
                </c:pt>
                <c:pt idx="201">
                  <c:v>-0.97898040078648274</c:v>
                </c:pt>
                <c:pt idx="202">
                  <c:v>-0.93951918083314923</c:v>
                </c:pt>
                <c:pt idx="203">
                  <c:v>-1.0613472634222247</c:v>
                </c:pt>
                <c:pt idx="204">
                  <c:v>-0.97362929401306453</c:v>
                </c:pt>
                <c:pt idx="205">
                  <c:v>-0.92541124285706466</c:v>
                </c:pt>
                <c:pt idx="206">
                  <c:v>-0.83057170590706475</c:v>
                </c:pt>
                <c:pt idx="207">
                  <c:v>-0.80182233347765297</c:v>
                </c:pt>
                <c:pt idx="208">
                  <c:v>-0.7311226323287171</c:v>
                </c:pt>
                <c:pt idx="209">
                  <c:v>-0.90543078970808233</c:v>
                </c:pt>
                <c:pt idx="210">
                  <c:v>-1.007479262576007</c:v>
                </c:pt>
                <c:pt idx="211">
                  <c:v>-0.98737898018964332</c:v>
                </c:pt>
                <c:pt idx="212">
                  <c:v>-0.94280492036335761</c:v>
                </c:pt>
                <c:pt idx="213">
                  <c:v>-0.98578386624252423</c:v>
                </c:pt>
                <c:pt idx="214">
                  <c:v>-1.0064370850550244</c:v>
                </c:pt>
                <c:pt idx="215">
                  <c:v>-1.0116754627806881</c:v>
                </c:pt>
                <c:pt idx="216">
                  <c:v>-1.0932978765079606</c:v>
                </c:pt>
                <c:pt idx="217">
                  <c:v>-1.0302552549079604</c:v>
                </c:pt>
                <c:pt idx="218">
                  <c:v>-1.1064229237949521</c:v>
                </c:pt>
                <c:pt idx="219">
                  <c:v>-1.2236593691155628</c:v>
                </c:pt>
                <c:pt idx="220">
                  <c:v>-1.3063011179515369</c:v>
                </c:pt>
                <c:pt idx="221">
                  <c:v>-1.1554564082515371</c:v>
                </c:pt>
                <c:pt idx="222">
                  <c:v>-1.2177552561932847</c:v>
                </c:pt>
                <c:pt idx="223">
                  <c:v>-1.2013165002767558</c:v>
                </c:pt>
                <c:pt idx="224">
                  <c:v>-1.1482570607923404</c:v>
                </c:pt>
                <c:pt idx="225">
                  <c:v>-0.97253576232160821</c:v>
                </c:pt>
                <c:pt idx="226">
                  <c:v>-0.9163162271847145</c:v>
                </c:pt>
                <c:pt idx="227">
                  <c:v>-1.0398774045376555</c:v>
                </c:pt>
                <c:pt idx="228">
                  <c:v>-1.0729476682405126</c:v>
                </c:pt>
                <c:pt idx="229">
                  <c:v>-1.1503381717289052</c:v>
                </c:pt>
                <c:pt idx="230">
                  <c:v>-1.1208572590152408</c:v>
                </c:pt>
                <c:pt idx="231">
                  <c:v>-1.0290501012406137</c:v>
                </c:pt>
                <c:pt idx="232">
                  <c:v>-0.73127574251180039</c:v>
                </c:pt>
                <c:pt idx="233">
                  <c:v>-1.1367911118051812</c:v>
                </c:pt>
                <c:pt idx="234">
                  <c:v>-1.1932293621121577</c:v>
                </c:pt>
                <c:pt idx="235">
                  <c:v>-1.0782355413696292</c:v>
                </c:pt>
                <c:pt idx="236">
                  <c:v>-0.97140230094893942</c:v>
                </c:pt>
                <c:pt idx="237">
                  <c:v>-0.93576905678227273</c:v>
                </c:pt>
                <c:pt idx="238">
                  <c:v>-0.90183751503227283</c:v>
                </c:pt>
                <c:pt idx="239">
                  <c:v>-0.88837890860370161</c:v>
                </c:pt>
                <c:pt idx="240">
                  <c:v>-0.91191413139562727</c:v>
                </c:pt>
                <c:pt idx="241">
                  <c:v>-0.86083185126915673</c:v>
                </c:pt>
                <c:pt idx="242">
                  <c:v>-0.9722868084104902</c:v>
                </c:pt>
                <c:pt idx="243">
                  <c:v>-0.97228680841049009</c:v>
                </c:pt>
                <c:pt idx="244">
                  <c:v>-0.92718639544289738</c:v>
                </c:pt>
                <c:pt idx="245">
                  <c:v>-0.82931681926166556</c:v>
                </c:pt>
                <c:pt idx="246">
                  <c:v>-0.84559143168376194</c:v>
                </c:pt>
                <c:pt idx="247">
                  <c:v>-0.93881300810776191</c:v>
                </c:pt>
                <c:pt idx="248">
                  <c:v>-1.0980512791420249</c:v>
                </c:pt>
                <c:pt idx="249">
                  <c:v>-1.1746442922797606</c:v>
                </c:pt>
                <c:pt idx="250">
                  <c:v>-1.1576229654374373</c:v>
                </c:pt>
                <c:pt idx="251">
                  <c:v>-1.1618590929835106</c:v>
                </c:pt>
                <c:pt idx="252">
                  <c:v>-1.1178975744923669</c:v>
                </c:pt>
                <c:pt idx="253">
                  <c:v>-1.1889028326328135</c:v>
                </c:pt>
                <c:pt idx="254">
                  <c:v>-1.1557525178631916</c:v>
                </c:pt>
                <c:pt idx="255">
                  <c:v>-1.1381435109666398</c:v>
                </c:pt>
                <c:pt idx="256">
                  <c:v>-1.084961614838414</c:v>
                </c:pt>
                <c:pt idx="257">
                  <c:v>-1.1015203942188876</c:v>
                </c:pt>
                <c:pt idx="258">
                  <c:v>-1.0363756918684999</c:v>
                </c:pt>
                <c:pt idx="259">
                  <c:v>-1.0620956809735504</c:v>
                </c:pt>
                <c:pt idx="260">
                  <c:v>-1.0271012156527641</c:v>
                </c:pt>
                <c:pt idx="261">
                  <c:v>-0.92991987144169397</c:v>
                </c:pt>
                <c:pt idx="262">
                  <c:v>-0.98020996361781343</c:v>
                </c:pt>
                <c:pt idx="263">
                  <c:v>-0.8898991451782905</c:v>
                </c:pt>
                <c:pt idx="264">
                  <c:v>-0.92894266564960837</c:v>
                </c:pt>
                <c:pt idx="265">
                  <c:v>-0.83642692344777358</c:v>
                </c:pt>
                <c:pt idx="266">
                  <c:v>-0.8731645247477734</c:v>
                </c:pt>
                <c:pt idx="267">
                  <c:v>-0.76497209212399464</c:v>
                </c:pt>
                <c:pt idx="268">
                  <c:v>-0.85542217858122938</c:v>
                </c:pt>
                <c:pt idx="269">
                  <c:v>-0.71381022465349198</c:v>
                </c:pt>
                <c:pt idx="270">
                  <c:v>-0.61106092348985563</c:v>
                </c:pt>
                <c:pt idx="271">
                  <c:v>-0.64901294291485589</c:v>
                </c:pt>
                <c:pt idx="272">
                  <c:v>-0.75927700626174843</c:v>
                </c:pt>
                <c:pt idx="273">
                  <c:v>-0.82970207991750555</c:v>
                </c:pt>
                <c:pt idx="274">
                  <c:v>-0.88293187220128921</c:v>
                </c:pt>
                <c:pt idx="275">
                  <c:v>-1.0176428334297527</c:v>
                </c:pt>
                <c:pt idx="276">
                  <c:v>-0.99639140110349778</c:v>
                </c:pt>
                <c:pt idx="277">
                  <c:v>-1.0894797571437018</c:v>
                </c:pt>
                <c:pt idx="278">
                  <c:v>-1.0378833686733502</c:v>
                </c:pt>
                <c:pt idx="279">
                  <c:v>-0.99440275978049308</c:v>
                </c:pt>
                <c:pt idx="280">
                  <c:v>-1.0349583191372769</c:v>
                </c:pt>
                <c:pt idx="281">
                  <c:v>-0.88499500129641062</c:v>
                </c:pt>
                <c:pt idx="282">
                  <c:v>-0.78750387721307724</c:v>
                </c:pt>
                <c:pt idx="283">
                  <c:v>-0.58149045137938837</c:v>
                </c:pt>
                <c:pt idx="284">
                  <c:v>-0.32426029698061537</c:v>
                </c:pt>
                <c:pt idx="285">
                  <c:v>-0.19041025165359313</c:v>
                </c:pt>
                <c:pt idx="286">
                  <c:v>3.1760103562900814E-2</c:v>
                </c:pt>
                <c:pt idx="287">
                  <c:v>5.2431276047914172E-2</c:v>
                </c:pt>
                <c:pt idx="288">
                  <c:v>-0.34310704483682686</c:v>
                </c:pt>
                <c:pt idx="289">
                  <c:v>-0.73066967669159366</c:v>
                </c:pt>
                <c:pt idx="290">
                  <c:v>-0.89008722296877496</c:v>
                </c:pt>
                <c:pt idx="291">
                  <c:v>-0.7492348580046726</c:v>
                </c:pt>
                <c:pt idx="292">
                  <c:v>-0.76066581304710823</c:v>
                </c:pt>
                <c:pt idx="293">
                  <c:v>-0.73804042140320569</c:v>
                </c:pt>
                <c:pt idx="294">
                  <c:v>-0.42938890212024478</c:v>
                </c:pt>
                <c:pt idx="295">
                  <c:v>-0.54202095797331995</c:v>
                </c:pt>
                <c:pt idx="296">
                  <c:v>-0.45559861740665331</c:v>
                </c:pt>
                <c:pt idx="297">
                  <c:v>-0.53296455287514355</c:v>
                </c:pt>
                <c:pt idx="298">
                  <c:v>-0.48680276804498468</c:v>
                </c:pt>
                <c:pt idx="299">
                  <c:v>-0.59022025104420672</c:v>
                </c:pt>
                <c:pt idx="300">
                  <c:v>-0.50883906759028985</c:v>
                </c:pt>
                <c:pt idx="301">
                  <c:v>-0.37496108786432314</c:v>
                </c:pt>
                <c:pt idx="302">
                  <c:v>-0.42429810356961273</c:v>
                </c:pt>
                <c:pt idx="303">
                  <c:v>-0.50899640178127914</c:v>
                </c:pt>
                <c:pt idx="304">
                  <c:v>-0.42797174789880194</c:v>
                </c:pt>
                <c:pt idx="305">
                  <c:v>-0.56391265558407322</c:v>
                </c:pt>
                <c:pt idx="306">
                  <c:v>-0.60358454472486955</c:v>
                </c:pt>
                <c:pt idx="307">
                  <c:v>-0.59730411550650231</c:v>
                </c:pt>
                <c:pt idx="308">
                  <c:v>-0.6955286882880406</c:v>
                </c:pt>
                <c:pt idx="309">
                  <c:v>-0.66118550578434543</c:v>
                </c:pt>
                <c:pt idx="310">
                  <c:v>-0.49656427745716869</c:v>
                </c:pt>
                <c:pt idx="311">
                  <c:v>-0.6626911814139631</c:v>
                </c:pt>
                <c:pt idx="312">
                  <c:v>-0.56575395123930561</c:v>
                </c:pt>
                <c:pt idx="313">
                  <c:v>-0.60320152221584167</c:v>
                </c:pt>
                <c:pt idx="314">
                  <c:v>-0.41888110268343942</c:v>
                </c:pt>
                <c:pt idx="315">
                  <c:v>-0.55014772312022098</c:v>
                </c:pt>
                <c:pt idx="316">
                  <c:v>-0.79864465243862881</c:v>
                </c:pt>
                <c:pt idx="317">
                  <c:v>-0.96531824519787535</c:v>
                </c:pt>
                <c:pt idx="318">
                  <c:v>-0.98924958997283163</c:v>
                </c:pt>
                <c:pt idx="319">
                  <c:v>-1.09193269967203</c:v>
                </c:pt>
                <c:pt idx="320">
                  <c:v>-1.04554609022643</c:v>
                </c:pt>
                <c:pt idx="321">
                  <c:v>-1.0198535256085195</c:v>
                </c:pt>
                <c:pt idx="322">
                  <c:v>-0.96451180967617778</c:v>
                </c:pt>
                <c:pt idx="323">
                  <c:v>-0.88559978975964249</c:v>
                </c:pt>
                <c:pt idx="324">
                  <c:v>-0.93992042317847668</c:v>
                </c:pt>
                <c:pt idx="325">
                  <c:v>-0.92196186626055754</c:v>
                </c:pt>
                <c:pt idx="326">
                  <c:v>-1.067396431899468</c:v>
                </c:pt>
                <c:pt idx="327">
                  <c:v>-1.0130008548537826</c:v>
                </c:pt>
                <c:pt idx="328">
                  <c:v>-1.1358104505779725</c:v>
                </c:pt>
                <c:pt idx="329">
                  <c:v>-1.1810427456374322</c:v>
                </c:pt>
                <c:pt idx="330">
                  <c:v>-1.1810427456374322</c:v>
                </c:pt>
                <c:pt idx="331">
                  <c:v>-1.155143409084221</c:v>
                </c:pt>
                <c:pt idx="332">
                  <c:v>-1.1717582525780175</c:v>
                </c:pt>
                <c:pt idx="333">
                  <c:v>-1.2481748421474441</c:v>
                </c:pt>
                <c:pt idx="334">
                  <c:v>-1.2051901974660546</c:v>
                </c:pt>
                <c:pt idx="335">
                  <c:v>-1.1643402688427744</c:v>
                </c:pt>
                <c:pt idx="336">
                  <c:v>-1.1590213404863763</c:v>
                </c:pt>
                <c:pt idx="337">
                  <c:v>-0.89934609841151814</c:v>
                </c:pt>
                <c:pt idx="338">
                  <c:v>-1.0301868248397108</c:v>
                </c:pt>
                <c:pt idx="339">
                  <c:v>-0.97057966156174658</c:v>
                </c:pt>
                <c:pt idx="340">
                  <c:v>-1.082250165126815</c:v>
                </c:pt>
                <c:pt idx="341">
                  <c:v>-1.1099791815067206</c:v>
                </c:pt>
                <c:pt idx="342">
                  <c:v>-1.0247439493282262</c:v>
                </c:pt>
                <c:pt idx="343">
                  <c:v>-0.96516109292288277</c:v>
                </c:pt>
                <c:pt idx="344">
                  <c:v>-1.0144113397028824</c:v>
                </c:pt>
                <c:pt idx="345">
                  <c:v>-1.0257538629800451</c:v>
                </c:pt>
                <c:pt idx="346">
                  <c:v>-1.4218114464358889</c:v>
                </c:pt>
                <c:pt idx="347">
                  <c:v>-1.4318658259691612</c:v>
                </c:pt>
                <c:pt idx="348">
                  <c:v>-1.4272745366729205</c:v>
                </c:pt>
                <c:pt idx="349">
                  <c:v>-1.4540820548705946</c:v>
                </c:pt>
                <c:pt idx="350">
                  <c:v>-1.6086047832525689</c:v>
                </c:pt>
                <c:pt idx="351">
                  <c:v>-1.6438141295688482</c:v>
                </c:pt>
                <c:pt idx="352">
                  <c:v>-1.8245851949510077</c:v>
                </c:pt>
                <c:pt idx="353">
                  <c:v>-2.0123373440825865</c:v>
                </c:pt>
                <c:pt idx="354">
                  <c:v>-2.0196556947644044</c:v>
                </c:pt>
                <c:pt idx="355">
                  <c:v>-2.1049429481031328</c:v>
                </c:pt>
                <c:pt idx="356">
                  <c:v>-2.1546128242485878</c:v>
                </c:pt>
                <c:pt idx="357">
                  <c:v>-2.2141222562457301</c:v>
                </c:pt>
                <c:pt idx="358">
                  <c:v>-2.0768209868057301</c:v>
                </c:pt>
                <c:pt idx="359">
                  <c:v>-2.194821940098413</c:v>
                </c:pt>
                <c:pt idx="360">
                  <c:v>-2.2353372119317463</c:v>
                </c:pt>
                <c:pt idx="361">
                  <c:v>-2.3661394972843781</c:v>
                </c:pt>
                <c:pt idx="362">
                  <c:v>-1.6133851477295797</c:v>
                </c:pt>
                <c:pt idx="363">
                  <c:v>-1.7497642091841252</c:v>
                </c:pt>
                <c:pt idx="364">
                  <c:v>-1.8539126281449947</c:v>
                </c:pt>
                <c:pt idx="365">
                  <c:v>-1.8829332113783279</c:v>
                </c:pt>
                <c:pt idx="366">
                  <c:v>-1.8323111446188687</c:v>
                </c:pt>
                <c:pt idx="367">
                  <c:v>-1.8900186711643234</c:v>
                </c:pt>
                <c:pt idx="368">
                  <c:v>-1.8084977517169549</c:v>
                </c:pt>
                <c:pt idx="369">
                  <c:v>-1.9153203334569551</c:v>
                </c:pt>
                <c:pt idx="370">
                  <c:v>-1.9211836473723396</c:v>
                </c:pt>
                <c:pt idx="371">
                  <c:v>-1.9585455886700922</c:v>
                </c:pt>
                <c:pt idx="372">
                  <c:v>-1.8393905854148074</c:v>
                </c:pt>
                <c:pt idx="373">
                  <c:v>-1.8065775292148076</c:v>
                </c:pt>
                <c:pt idx="374">
                  <c:v>-1.8015135919388074</c:v>
                </c:pt>
                <c:pt idx="375">
                  <c:v>-1.8633826255274863</c:v>
                </c:pt>
                <c:pt idx="376">
                  <c:v>-1.9142831205394863</c:v>
                </c:pt>
                <c:pt idx="377">
                  <c:v>-2.0181599366713048</c:v>
                </c:pt>
                <c:pt idx="378">
                  <c:v>-2.0516775232948343</c:v>
                </c:pt>
                <c:pt idx="379">
                  <c:v>-2.0952679482829693</c:v>
                </c:pt>
                <c:pt idx="380">
                  <c:v>-2.1505259993893913</c:v>
                </c:pt>
                <c:pt idx="381">
                  <c:v>-2.1379095714893914</c:v>
                </c:pt>
                <c:pt idx="382">
                  <c:v>-2.1225064072830424</c:v>
                </c:pt>
                <c:pt idx="383">
                  <c:v>-2.1260652691671131</c:v>
                </c:pt>
                <c:pt idx="384">
                  <c:v>-2.1235572382432326</c:v>
                </c:pt>
                <c:pt idx="385">
                  <c:v>-2.1014932244699649</c:v>
                </c:pt>
                <c:pt idx="386">
                  <c:v>-2.0962574884063283</c:v>
                </c:pt>
                <c:pt idx="387">
                  <c:v>-2.1314158311985363</c:v>
                </c:pt>
                <c:pt idx="388">
                  <c:v>-2.1430933058304507</c:v>
                </c:pt>
                <c:pt idx="389">
                  <c:v>-2.1848530016304508</c:v>
                </c:pt>
                <c:pt idx="390">
                  <c:v>-2.2058868506304505</c:v>
                </c:pt>
                <c:pt idx="391">
                  <c:v>-2.2334786095404513</c:v>
                </c:pt>
                <c:pt idx="392">
                  <c:v>-2.1991600253717007</c:v>
                </c:pt>
                <c:pt idx="393">
                  <c:v>-2.2273815554605898</c:v>
                </c:pt>
                <c:pt idx="394">
                  <c:v>-2.218269550684119</c:v>
                </c:pt>
                <c:pt idx="395">
                  <c:v>-2.1672542931358434</c:v>
                </c:pt>
                <c:pt idx="396">
                  <c:v>-2.1527961526321397</c:v>
                </c:pt>
                <c:pt idx="397">
                  <c:v>-2.1502087315154728</c:v>
                </c:pt>
                <c:pt idx="398">
                  <c:v>-2.1674380653239833</c:v>
                </c:pt>
                <c:pt idx="399">
                  <c:v>-2.1262956578978298</c:v>
                </c:pt>
                <c:pt idx="400">
                  <c:v>-2.1998123849268154</c:v>
                </c:pt>
                <c:pt idx="401">
                  <c:v>-2.1819574938327562</c:v>
                </c:pt>
                <c:pt idx="402">
                  <c:v>-2.2122732977462691</c:v>
                </c:pt>
                <c:pt idx="403">
                  <c:v>-2.1564490109396757</c:v>
                </c:pt>
                <c:pt idx="404">
                  <c:v>-1.9760452382919693</c:v>
                </c:pt>
                <c:pt idx="405">
                  <c:v>-1.9536728524319695</c:v>
                </c:pt>
                <c:pt idx="406">
                  <c:v>-2.0008249020644016</c:v>
                </c:pt>
                <c:pt idx="407">
                  <c:v>-1.9920689078878056</c:v>
                </c:pt>
                <c:pt idx="408">
                  <c:v>-2.4446479826749012</c:v>
                </c:pt>
                <c:pt idx="409">
                  <c:v>-2.1286293416249014</c:v>
                </c:pt>
                <c:pt idx="410">
                  <c:v>-1.684232877024902</c:v>
                </c:pt>
                <c:pt idx="411">
                  <c:v>-1.474700887044901</c:v>
                </c:pt>
                <c:pt idx="412">
                  <c:v>-1.120803665003725</c:v>
                </c:pt>
                <c:pt idx="413">
                  <c:v>0.32548535319627464</c:v>
                </c:pt>
                <c:pt idx="414">
                  <c:v>-2.4099158975784612E-2</c:v>
                </c:pt>
                <c:pt idx="415">
                  <c:v>-0.17316786291978456</c:v>
                </c:pt>
                <c:pt idx="416">
                  <c:v>-0.12754461259720384</c:v>
                </c:pt>
                <c:pt idx="417">
                  <c:v>-0.12051156010345389</c:v>
                </c:pt>
                <c:pt idx="418">
                  <c:v>-0.11907462404234277</c:v>
                </c:pt>
                <c:pt idx="419">
                  <c:v>-0.13786847229618882</c:v>
                </c:pt>
                <c:pt idx="420">
                  <c:v>-7.3821647308688884E-2</c:v>
                </c:pt>
                <c:pt idx="421">
                  <c:v>-0.11613489874539767</c:v>
                </c:pt>
                <c:pt idx="422">
                  <c:v>-0.14335379245206437</c:v>
                </c:pt>
                <c:pt idx="423">
                  <c:v>-0.10388146860699395</c:v>
                </c:pt>
                <c:pt idx="424">
                  <c:v>-0.1130421506377631</c:v>
                </c:pt>
                <c:pt idx="425">
                  <c:v>-0.11198571488124133</c:v>
                </c:pt>
                <c:pt idx="426">
                  <c:v>-0.11769522293578673</c:v>
                </c:pt>
                <c:pt idx="427">
                  <c:v>-0.11921544437755892</c:v>
                </c:pt>
                <c:pt idx="428">
                  <c:v>-5.3048603114701789E-2</c:v>
                </c:pt>
                <c:pt idx="429">
                  <c:v>1.5073285621661872E-2</c:v>
                </c:pt>
                <c:pt idx="430">
                  <c:v>2.5868714227116479E-2</c:v>
                </c:pt>
                <c:pt idx="431">
                  <c:v>-0.1685074163753226</c:v>
                </c:pt>
                <c:pt idx="432">
                  <c:v>-0.22617102916211501</c:v>
                </c:pt>
                <c:pt idx="433">
                  <c:v>-0.23568686787567442</c:v>
                </c:pt>
                <c:pt idx="434">
                  <c:v>-0.25200238327567437</c:v>
                </c:pt>
                <c:pt idx="435">
                  <c:v>-0.25490165378871787</c:v>
                </c:pt>
                <c:pt idx="436">
                  <c:v>-0.24075999390776548</c:v>
                </c:pt>
                <c:pt idx="437">
                  <c:v>-0.25411336077835361</c:v>
                </c:pt>
                <c:pt idx="438">
                  <c:v>-0.24452357386800891</c:v>
                </c:pt>
                <c:pt idx="439">
                  <c:v>-0.2275580304791199</c:v>
                </c:pt>
                <c:pt idx="440">
                  <c:v>-0.21855639843340563</c:v>
                </c:pt>
                <c:pt idx="441">
                  <c:v>-0.22605627855754357</c:v>
                </c:pt>
                <c:pt idx="442">
                  <c:v>-0.21609319654954359</c:v>
                </c:pt>
                <c:pt idx="443">
                  <c:v>-9.4435920035459045E-2</c:v>
                </c:pt>
                <c:pt idx="444">
                  <c:v>-9.0791296018792281E-2</c:v>
                </c:pt>
                <c:pt idx="445">
                  <c:v>-6.7419548577615909E-2</c:v>
                </c:pt>
                <c:pt idx="446">
                  <c:v>-9.9173547755393804E-2</c:v>
                </c:pt>
                <c:pt idx="447">
                  <c:v>-4.7196808130190518E-2</c:v>
                </c:pt>
                <c:pt idx="448">
                  <c:v>-6.9323871663523828E-2</c:v>
                </c:pt>
                <c:pt idx="449">
                  <c:v>-9.6119562906767056E-2</c:v>
                </c:pt>
                <c:pt idx="450">
                  <c:v>-9.6119562906766987E-2</c:v>
                </c:pt>
                <c:pt idx="451">
                  <c:v>-2.5427177982442678E-2</c:v>
                </c:pt>
                <c:pt idx="452">
                  <c:v>5.1540434911675169E-2</c:v>
                </c:pt>
                <c:pt idx="453">
                  <c:v>3.1625592174875233E-2</c:v>
                </c:pt>
                <c:pt idx="454">
                  <c:v>0.1198667062372607</c:v>
                </c:pt>
                <c:pt idx="455">
                  <c:v>0.45166685865040612</c:v>
                </c:pt>
                <c:pt idx="456">
                  <c:v>0.44859505032373947</c:v>
                </c:pt>
                <c:pt idx="457">
                  <c:v>0.47297502608700476</c:v>
                </c:pt>
                <c:pt idx="458">
                  <c:v>0.47230213047121528</c:v>
                </c:pt>
                <c:pt idx="459">
                  <c:v>0.47535232527121518</c:v>
                </c:pt>
                <c:pt idx="460">
                  <c:v>0.47634476488939703</c:v>
                </c:pt>
                <c:pt idx="461">
                  <c:v>0.47822862019708928</c:v>
                </c:pt>
                <c:pt idx="462">
                  <c:v>0.48054771838280363</c:v>
                </c:pt>
                <c:pt idx="463">
                  <c:v>0.47955044792490892</c:v>
                </c:pt>
                <c:pt idx="464">
                  <c:v>0.47683510254843836</c:v>
                </c:pt>
                <c:pt idx="465">
                  <c:v>0.49527881962686976</c:v>
                </c:pt>
                <c:pt idx="466">
                  <c:v>0.49859281114994664</c:v>
                </c:pt>
                <c:pt idx="467">
                  <c:v>0.50038811601994659</c:v>
                </c:pt>
                <c:pt idx="468">
                  <c:v>0.49599712275524072</c:v>
                </c:pt>
                <c:pt idx="469">
                  <c:v>0.51511016024997758</c:v>
                </c:pt>
                <c:pt idx="470">
                  <c:v>0.54841456044997761</c:v>
                </c:pt>
                <c:pt idx="471">
                  <c:v>0.57405734928997754</c:v>
                </c:pt>
                <c:pt idx="472">
                  <c:v>0.61080840387137292</c:v>
                </c:pt>
                <c:pt idx="473">
                  <c:v>0.6330222009681471</c:v>
                </c:pt>
                <c:pt idx="474">
                  <c:v>0.59169280323214712</c:v>
                </c:pt>
                <c:pt idx="475">
                  <c:v>0.60229829918432098</c:v>
                </c:pt>
                <c:pt idx="476">
                  <c:v>0.5995011694612441</c:v>
                </c:pt>
                <c:pt idx="477">
                  <c:v>0.5789544522862442</c:v>
                </c:pt>
                <c:pt idx="478">
                  <c:v>0.57255530966124424</c:v>
                </c:pt>
                <c:pt idx="479">
                  <c:v>0.58466517791124417</c:v>
                </c:pt>
                <c:pt idx="480">
                  <c:v>0.5820330724279108</c:v>
                </c:pt>
                <c:pt idx="481">
                  <c:v>0.57994227194791081</c:v>
                </c:pt>
                <c:pt idx="482">
                  <c:v>0.58531107409076799</c:v>
                </c:pt>
                <c:pt idx="483">
                  <c:v>0.58451660122481064</c:v>
                </c:pt>
                <c:pt idx="484">
                  <c:v>0.58650960679066433</c:v>
                </c:pt>
                <c:pt idx="485">
                  <c:v>0.57662864140242898</c:v>
                </c:pt>
                <c:pt idx="486">
                  <c:v>0.5682004991699966</c:v>
                </c:pt>
                <c:pt idx="487">
                  <c:v>0.59054719636999664</c:v>
                </c:pt>
                <c:pt idx="488">
                  <c:v>0.58851056038817851</c:v>
                </c:pt>
                <c:pt idx="489">
                  <c:v>0.60294719714817857</c:v>
                </c:pt>
                <c:pt idx="490">
                  <c:v>0.58055501073438553</c:v>
                </c:pt>
                <c:pt idx="491">
                  <c:v>0.56374782682850322</c:v>
                </c:pt>
                <c:pt idx="492">
                  <c:v>0.58085000959179445</c:v>
                </c:pt>
                <c:pt idx="493">
                  <c:v>0.57589553502036583</c:v>
                </c:pt>
                <c:pt idx="494">
                  <c:v>0.59826815175720793</c:v>
                </c:pt>
                <c:pt idx="495">
                  <c:v>0.61479834430872315</c:v>
                </c:pt>
                <c:pt idx="496">
                  <c:v>0.63185692403729454</c:v>
                </c:pt>
                <c:pt idx="497">
                  <c:v>0.60537721041624182</c:v>
                </c:pt>
                <c:pt idx="498">
                  <c:v>0.62169213402137002</c:v>
                </c:pt>
                <c:pt idx="499">
                  <c:v>0.59976877434923892</c:v>
                </c:pt>
                <c:pt idx="500">
                  <c:v>0.64037708037881647</c:v>
                </c:pt>
                <c:pt idx="501">
                  <c:v>0.63843429477881652</c:v>
                </c:pt>
                <c:pt idx="502">
                  <c:v>0.66851084011214978</c:v>
                </c:pt>
                <c:pt idx="503">
                  <c:v>0.65910542869109723</c:v>
                </c:pt>
                <c:pt idx="504">
                  <c:v>0.62498814383395462</c:v>
                </c:pt>
                <c:pt idx="505">
                  <c:v>0.59034841258279191</c:v>
                </c:pt>
                <c:pt idx="506">
                  <c:v>0.6270947147205278</c:v>
                </c:pt>
                <c:pt idx="507">
                  <c:v>0.6299870996245277</c:v>
                </c:pt>
                <c:pt idx="508">
                  <c:v>0.60581191262267575</c:v>
                </c:pt>
                <c:pt idx="509">
                  <c:v>0.59044860193547577</c:v>
                </c:pt>
                <c:pt idx="510">
                  <c:v>0.61693918851748641</c:v>
                </c:pt>
                <c:pt idx="511">
                  <c:v>0.5829791277174865</c:v>
                </c:pt>
                <c:pt idx="512">
                  <c:v>0.65196600611177224</c:v>
                </c:pt>
                <c:pt idx="513">
                  <c:v>0.71756651623484924</c:v>
                </c:pt>
                <c:pt idx="514">
                  <c:v>0.69592924888484919</c:v>
                </c:pt>
                <c:pt idx="515">
                  <c:v>0.67710998915654741</c:v>
                </c:pt>
                <c:pt idx="516">
                  <c:v>0.68416505255654736</c:v>
                </c:pt>
                <c:pt idx="517">
                  <c:v>0.68838585778296235</c:v>
                </c:pt>
                <c:pt idx="518">
                  <c:v>0.66178975481153368</c:v>
                </c:pt>
                <c:pt idx="519">
                  <c:v>0.71469925256620037</c:v>
                </c:pt>
                <c:pt idx="520">
                  <c:v>0.68005764555753923</c:v>
                </c:pt>
                <c:pt idx="521">
                  <c:v>0.72876532616989875</c:v>
                </c:pt>
                <c:pt idx="522">
                  <c:v>0.69080361240082666</c:v>
                </c:pt>
                <c:pt idx="523">
                  <c:v>0.70914828405599906</c:v>
                </c:pt>
                <c:pt idx="524">
                  <c:v>0.67601720265500898</c:v>
                </c:pt>
                <c:pt idx="525">
                  <c:v>0.73713387471250902</c:v>
                </c:pt>
                <c:pt idx="526">
                  <c:v>0.66680961536990035</c:v>
                </c:pt>
                <c:pt idx="527">
                  <c:v>0.77951585745440743</c:v>
                </c:pt>
                <c:pt idx="528">
                  <c:v>1.0174809267167724</c:v>
                </c:pt>
                <c:pt idx="529">
                  <c:v>1.0790345920851931</c:v>
                </c:pt>
                <c:pt idx="530">
                  <c:v>0.9369705830670122</c:v>
                </c:pt>
                <c:pt idx="531">
                  <c:v>1.1080358108818273</c:v>
                </c:pt>
                <c:pt idx="532">
                  <c:v>1.1887271329809539</c:v>
                </c:pt>
                <c:pt idx="533">
                  <c:v>0.94551201302002696</c:v>
                </c:pt>
                <c:pt idx="534">
                  <c:v>0.94245548404369062</c:v>
                </c:pt>
                <c:pt idx="535">
                  <c:v>0.58462635789859241</c:v>
                </c:pt>
                <c:pt idx="536">
                  <c:v>0.58212905830675565</c:v>
                </c:pt>
                <c:pt idx="537">
                  <c:v>0.5385881140351767</c:v>
                </c:pt>
                <c:pt idx="538">
                  <c:v>0.57692778684286905</c:v>
                </c:pt>
                <c:pt idx="539">
                  <c:v>0.57692778684286905</c:v>
                </c:pt>
                <c:pt idx="540">
                  <c:v>0.56526059217620239</c:v>
                </c:pt>
                <c:pt idx="541">
                  <c:v>0.39200421454179379</c:v>
                </c:pt>
                <c:pt idx="542">
                  <c:v>0.37668127230179382</c:v>
                </c:pt>
                <c:pt idx="543">
                  <c:v>0.40462733423217356</c:v>
                </c:pt>
                <c:pt idx="544">
                  <c:v>0.36931374501217357</c:v>
                </c:pt>
                <c:pt idx="545">
                  <c:v>0.41039910714817351</c:v>
                </c:pt>
                <c:pt idx="546">
                  <c:v>0.40945536666099402</c:v>
                </c:pt>
                <c:pt idx="547">
                  <c:v>0.44468408631709161</c:v>
                </c:pt>
                <c:pt idx="548">
                  <c:v>0.37057756714650331</c:v>
                </c:pt>
                <c:pt idx="549">
                  <c:v>0.32910596442650325</c:v>
                </c:pt>
                <c:pt idx="550">
                  <c:v>0.31627132653684814</c:v>
                </c:pt>
                <c:pt idx="551">
                  <c:v>0.35765105211522663</c:v>
                </c:pt>
                <c:pt idx="552">
                  <c:v>0.39922975924856002</c:v>
                </c:pt>
                <c:pt idx="553">
                  <c:v>0.45643122941998854</c:v>
                </c:pt>
                <c:pt idx="554">
                  <c:v>0.57463544080946227</c:v>
                </c:pt>
                <c:pt idx="555">
                  <c:v>0.55185168496224013</c:v>
                </c:pt>
                <c:pt idx="556">
                  <c:v>0.51870605026764571</c:v>
                </c:pt>
                <c:pt idx="557">
                  <c:v>0.48897084743533803</c:v>
                </c:pt>
                <c:pt idx="558">
                  <c:v>0.57211405751752964</c:v>
                </c:pt>
                <c:pt idx="559">
                  <c:v>0.53160248448338321</c:v>
                </c:pt>
                <c:pt idx="560">
                  <c:v>0.35978933569656169</c:v>
                </c:pt>
                <c:pt idx="561">
                  <c:v>0.33122487598832645</c:v>
                </c:pt>
                <c:pt idx="562">
                  <c:v>1.8761803415882076E-2</c:v>
                </c:pt>
                <c:pt idx="563">
                  <c:v>3.1050474173457951E-2</c:v>
                </c:pt>
                <c:pt idx="564">
                  <c:v>6.4653598446185373E-2</c:v>
                </c:pt>
                <c:pt idx="565">
                  <c:v>6.4653598446185373E-2</c:v>
                </c:pt>
                <c:pt idx="566">
                  <c:v>1.4960867012223298E-2</c:v>
                </c:pt>
                <c:pt idx="567">
                  <c:v>-3.1468161916986086E-3</c:v>
                </c:pt>
                <c:pt idx="568">
                  <c:v>1.2230708695257874E-2</c:v>
                </c:pt>
                <c:pt idx="569">
                  <c:v>-5.3269943245918348E-2</c:v>
                </c:pt>
                <c:pt idx="570">
                  <c:v>-5.3269943245918348E-2</c:v>
                </c:pt>
                <c:pt idx="571">
                  <c:v>-6.5121956939251768E-2</c:v>
                </c:pt>
                <c:pt idx="572">
                  <c:v>-4.9825155408482633E-2</c:v>
                </c:pt>
                <c:pt idx="573">
                  <c:v>-4.6907903241815978E-2</c:v>
                </c:pt>
                <c:pt idx="574">
                  <c:v>-5.2457880787969716E-2</c:v>
                </c:pt>
                <c:pt idx="575">
                  <c:v>-4.3570002654636411E-2</c:v>
                </c:pt>
                <c:pt idx="576">
                  <c:v>-5.4267553036989387E-2</c:v>
                </c:pt>
                <c:pt idx="577">
                  <c:v>-5.1290422636989297E-2</c:v>
                </c:pt>
                <c:pt idx="578">
                  <c:v>-6.5726148850322574E-2</c:v>
                </c:pt>
                <c:pt idx="579">
                  <c:v>-6.5726148850322574E-2</c:v>
                </c:pt>
                <c:pt idx="580">
                  <c:v>-4.6143890259413504E-2</c:v>
                </c:pt>
                <c:pt idx="581">
                  <c:v>-5.9955558423413428E-2</c:v>
                </c:pt>
                <c:pt idx="582">
                  <c:v>-7.7503525880556173E-2</c:v>
                </c:pt>
                <c:pt idx="583">
                  <c:v>-5.9346832811325433E-2</c:v>
                </c:pt>
                <c:pt idx="584">
                  <c:v>-6.6884143385399414E-2</c:v>
                </c:pt>
                <c:pt idx="585">
                  <c:v>-6.0052760263177241E-2</c:v>
                </c:pt>
                <c:pt idx="586">
                  <c:v>-1.0584373463177244E-2</c:v>
                </c:pt>
                <c:pt idx="587">
                  <c:v>-8.0196833563177375E-2</c:v>
                </c:pt>
                <c:pt idx="588">
                  <c:v>-0.15408112323856199</c:v>
                </c:pt>
                <c:pt idx="589">
                  <c:v>-0.16379902447189543</c:v>
                </c:pt>
                <c:pt idx="590">
                  <c:v>-0.14228992939189539</c:v>
                </c:pt>
                <c:pt idx="591">
                  <c:v>-0.15821000993475254</c:v>
                </c:pt>
                <c:pt idx="592">
                  <c:v>-0.17852128397475261</c:v>
                </c:pt>
                <c:pt idx="593">
                  <c:v>-0.14775034084747993</c:v>
                </c:pt>
                <c:pt idx="594">
                  <c:v>-0.15506431921890831</c:v>
                </c:pt>
                <c:pt idx="595">
                  <c:v>-0.1907788043650622</c:v>
                </c:pt>
                <c:pt idx="596">
                  <c:v>-0.1402619293364907</c:v>
                </c:pt>
                <c:pt idx="597">
                  <c:v>-0.14026192933649076</c:v>
                </c:pt>
                <c:pt idx="598">
                  <c:v>-8.6993500936490775E-2</c:v>
                </c:pt>
                <c:pt idx="599">
                  <c:v>-0.15875155120093506</c:v>
                </c:pt>
                <c:pt idx="600">
                  <c:v>-0.18496691488275321</c:v>
                </c:pt>
                <c:pt idx="601">
                  <c:v>-0.18679348004941987</c:v>
                </c:pt>
                <c:pt idx="602">
                  <c:v>-0.14902085792941983</c:v>
                </c:pt>
                <c:pt idx="603">
                  <c:v>-0.17828000034793839</c:v>
                </c:pt>
                <c:pt idx="604">
                  <c:v>-0.22332741351890628</c:v>
                </c:pt>
                <c:pt idx="605">
                  <c:v>-0.23798844236101155</c:v>
                </c:pt>
                <c:pt idx="606">
                  <c:v>-0.24129470839579414</c:v>
                </c:pt>
                <c:pt idx="607">
                  <c:v>-0.19067324284124876</c:v>
                </c:pt>
                <c:pt idx="608">
                  <c:v>-0.13786979184410586</c:v>
                </c:pt>
                <c:pt idx="609">
                  <c:v>-0.18564705387077257</c:v>
                </c:pt>
                <c:pt idx="610">
                  <c:v>-0.20539716051077261</c:v>
                </c:pt>
                <c:pt idx="611">
                  <c:v>-0.20945455886632813</c:v>
                </c:pt>
                <c:pt idx="612">
                  <c:v>-0.15164808488469558</c:v>
                </c:pt>
                <c:pt idx="613">
                  <c:v>-9.5307180215945558E-2</c:v>
                </c:pt>
                <c:pt idx="614">
                  <c:v>-0.17857717541493542</c:v>
                </c:pt>
                <c:pt idx="615">
                  <c:v>-0.14277844723072516</c:v>
                </c:pt>
                <c:pt idx="616">
                  <c:v>-0.11326726919072537</c:v>
                </c:pt>
                <c:pt idx="617">
                  <c:v>-9.8876586278725337E-2</c:v>
                </c:pt>
                <c:pt idx="618">
                  <c:v>-0.10894469919301097</c:v>
                </c:pt>
                <c:pt idx="619">
                  <c:v>-0.14134378527762653</c:v>
                </c:pt>
                <c:pt idx="620">
                  <c:v>-0.17533954823552117</c:v>
                </c:pt>
                <c:pt idx="621">
                  <c:v>-0.13559141189552107</c:v>
                </c:pt>
                <c:pt idx="622">
                  <c:v>-0.15767920125266396</c:v>
                </c:pt>
                <c:pt idx="623">
                  <c:v>2.5257662993677574E-2</c:v>
                </c:pt>
                <c:pt idx="624">
                  <c:v>-4.6045544219655822E-2</c:v>
                </c:pt>
                <c:pt idx="625">
                  <c:v>-7.0965618450425025E-2</c:v>
                </c:pt>
                <c:pt idx="626">
                  <c:v>-8.9448700300424913E-2</c:v>
                </c:pt>
                <c:pt idx="627">
                  <c:v>-9.373860917042498E-2</c:v>
                </c:pt>
                <c:pt idx="628">
                  <c:v>-7.9220411258660264E-2</c:v>
                </c:pt>
                <c:pt idx="629">
                  <c:v>-6.7126624595023859E-2</c:v>
                </c:pt>
                <c:pt idx="630">
                  <c:v>-7.7631354228357138E-2</c:v>
                </c:pt>
                <c:pt idx="631">
                  <c:v>-5.1942859128357104E-2</c:v>
                </c:pt>
                <c:pt idx="632">
                  <c:v>-1.7374645128357111E-2</c:v>
                </c:pt>
                <c:pt idx="633">
                  <c:v>-1.5440085563651305E-2</c:v>
                </c:pt>
                <c:pt idx="634">
                  <c:v>-3.6485357563651351E-2</c:v>
                </c:pt>
                <c:pt idx="635">
                  <c:v>-2.6573621616592474E-2</c:v>
                </c:pt>
                <c:pt idx="636">
                  <c:v>-4.689938709659254E-2</c:v>
                </c:pt>
                <c:pt idx="637">
                  <c:v>-1.2229521160229118E-2</c:v>
                </c:pt>
                <c:pt idx="638">
                  <c:v>4.7215236231075361E-2</c:v>
                </c:pt>
                <c:pt idx="639">
                  <c:v>1.3494680773932087E-2</c:v>
                </c:pt>
                <c:pt idx="640">
                  <c:v>-5.0044402846067718E-2</c:v>
                </c:pt>
                <c:pt idx="641">
                  <c:v>-6.4048243646067635E-2</c:v>
                </c:pt>
                <c:pt idx="642">
                  <c:v>-9.5200133846067542E-2</c:v>
                </c:pt>
                <c:pt idx="643">
                  <c:v>-0.11004200309051197</c:v>
                </c:pt>
                <c:pt idx="644">
                  <c:v>-7.4962568250511868E-2</c:v>
                </c:pt>
                <c:pt idx="645">
                  <c:v>-7.8023221236226181E-2</c:v>
                </c:pt>
                <c:pt idx="646">
                  <c:v>-8.95782317162261E-2</c:v>
                </c:pt>
                <c:pt idx="647">
                  <c:v>-8.5304504449559379E-2</c:v>
                </c:pt>
                <c:pt idx="648">
                  <c:v>-6.3632971599559343E-2</c:v>
                </c:pt>
                <c:pt idx="649">
                  <c:v>-3.2539517599559337E-2</c:v>
                </c:pt>
                <c:pt idx="650">
                  <c:v>-4.7849897554104848E-2</c:v>
                </c:pt>
                <c:pt idx="651">
                  <c:v>-3.9951523094104817E-2</c:v>
                </c:pt>
                <c:pt idx="652">
                  <c:v>-7.0556167094104921E-2</c:v>
                </c:pt>
                <c:pt idx="653">
                  <c:v>-4.4060338994104914E-2</c:v>
                </c:pt>
                <c:pt idx="654">
                  <c:v>-5.8093107674104874E-2</c:v>
                </c:pt>
                <c:pt idx="655">
                  <c:v>-6.0627767574104853E-2</c:v>
                </c:pt>
                <c:pt idx="656">
                  <c:v>-5.6806732510468458E-2</c:v>
                </c:pt>
                <c:pt idx="657">
                  <c:v>-5.4492927710468472E-2</c:v>
                </c:pt>
                <c:pt idx="658">
                  <c:v>-2.2591815610468528E-2</c:v>
                </c:pt>
                <c:pt idx="659">
                  <c:v>-3.2626852019559373E-2</c:v>
                </c:pt>
                <c:pt idx="660">
                  <c:v>-4.0794203327251637E-2</c:v>
                </c:pt>
                <c:pt idx="661">
                  <c:v>-2.7910653564751642E-2</c:v>
                </c:pt>
                <c:pt idx="662">
                  <c:v>-6.2535163870634181E-2</c:v>
                </c:pt>
                <c:pt idx="663">
                  <c:v>-7.1623721890634234E-2</c:v>
                </c:pt>
                <c:pt idx="664">
                  <c:v>-7.6651827390634114E-2</c:v>
                </c:pt>
                <c:pt idx="665">
                  <c:v>-5.8358286090634148E-2</c:v>
                </c:pt>
                <c:pt idx="666">
                  <c:v>-2.8408671663967537E-2</c:v>
                </c:pt>
                <c:pt idx="667">
                  <c:v>-6.8536805863967543E-2</c:v>
                </c:pt>
                <c:pt idx="668">
                  <c:v>-7.6748013533198448E-2</c:v>
                </c:pt>
                <c:pt idx="669">
                  <c:v>-9.7878551817408968E-2</c:v>
                </c:pt>
                <c:pt idx="670">
                  <c:v>-7.1480453250742329E-2</c:v>
                </c:pt>
                <c:pt idx="671">
                  <c:v>-5.0860189745479317E-2</c:v>
                </c:pt>
                <c:pt idx="672">
                  <c:v>0.10163928065452092</c:v>
                </c:pt>
                <c:pt idx="673">
                  <c:v>7.6107272560403311E-2</c:v>
                </c:pt>
                <c:pt idx="674">
                  <c:v>6.1962803200403413E-2</c:v>
                </c:pt>
                <c:pt idx="675">
                  <c:v>6.1962803200403413E-2</c:v>
                </c:pt>
                <c:pt idx="676">
                  <c:v>2.1433940440403493E-2</c:v>
                </c:pt>
                <c:pt idx="677">
                  <c:v>6.7968428440403544E-2</c:v>
                </c:pt>
                <c:pt idx="678">
                  <c:v>6.2296521893035153E-2</c:v>
                </c:pt>
                <c:pt idx="679">
                  <c:v>9.4349830093035159E-2</c:v>
                </c:pt>
                <c:pt idx="680">
                  <c:v>4.8654702759701851E-2</c:v>
                </c:pt>
                <c:pt idx="681">
                  <c:v>5.5527940479701873E-2</c:v>
                </c:pt>
                <c:pt idx="682">
                  <c:v>4.4297915273819523E-2</c:v>
                </c:pt>
                <c:pt idx="683">
                  <c:v>4.5979987199460566E-2</c:v>
                </c:pt>
                <c:pt idx="684">
                  <c:v>6.2692482119460546E-2</c:v>
                </c:pt>
                <c:pt idx="685">
                  <c:v>9.545030073764231E-2</c:v>
                </c:pt>
                <c:pt idx="686">
                  <c:v>3.9066040623356585E-2</c:v>
                </c:pt>
                <c:pt idx="687">
                  <c:v>0.17592529289239212</c:v>
                </c:pt>
                <c:pt idx="688">
                  <c:v>0.19623342258484491</c:v>
                </c:pt>
                <c:pt idx="689">
                  <c:v>0.17504551673299312</c:v>
                </c:pt>
                <c:pt idx="690">
                  <c:v>0.17504551673299312</c:v>
                </c:pt>
                <c:pt idx="691">
                  <c:v>0.22390615161041244</c:v>
                </c:pt>
                <c:pt idx="692">
                  <c:v>0.247982249481841</c:v>
                </c:pt>
                <c:pt idx="693">
                  <c:v>0.24633587558184095</c:v>
                </c:pt>
                <c:pt idx="694">
                  <c:v>0.24983461048184094</c:v>
                </c:pt>
                <c:pt idx="695">
                  <c:v>0.23063546578984098</c:v>
                </c:pt>
                <c:pt idx="696">
                  <c:v>0.22122222559984095</c:v>
                </c:pt>
                <c:pt idx="697">
                  <c:v>0.21156453724984078</c:v>
                </c:pt>
                <c:pt idx="698">
                  <c:v>0.21535100259720907</c:v>
                </c:pt>
                <c:pt idx="699">
                  <c:v>0.23869990376149477</c:v>
                </c:pt>
                <c:pt idx="700">
                  <c:v>0.24740432889006606</c:v>
                </c:pt>
                <c:pt idx="701">
                  <c:v>0.24231284823072533</c:v>
                </c:pt>
                <c:pt idx="702">
                  <c:v>0.23555764045294753</c:v>
                </c:pt>
                <c:pt idx="703">
                  <c:v>0.30813183060634564</c:v>
                </c:pt>
                <c:pt idx="704">
                  <c:v>0.29594540365462157</c:v>
                </c:pt>
                <c:pt idx="705">
                  <c:v>0.2533607106395272</c:v>
                </c:pt>
                <c:pt idx="706">
                  <c:v>0.24771731638090649</c:v>
                </c:pt>
                <c:pt idx="707">
                  <c:v>0.23573497368780305</c:v>
                </c:pt>
                <c:pt idx="708">
                  <c:v>0.23723331051351729</c:v>
                </c:pt>
                <c:pt idx="709">
                  <c:v>0.26260292083238529</c:v>
                </c:pt>
                <c:pt idx="710">
                  <c:v>0.23801252863238531</c:v>
                </c:pt>
                <c:pt idx="711">
                  <c:v>0.20215380788423709</c:v>
                </c:pt>
                <c:pt idx="712">
                  <c:v>0.20478721163860614</c:v>
                </c:pt>
                <c:pt idx="713">
                  <c:v>0.23092258522448841</c:v>
                </c:pt>
                <c:pt idx="714">
                  <c:v>0.20700314075648837</c:v>
                </c:pt>
                <c:pt idx="715">
                  <c:v>0.29231672088801997</c:v>
                </c:pt>
                <c:pt idx="716">
                  <c:v>0.22287859911733032</c:v>
                </c:pt>
                <c:pt idx="717">
                  <c:v>0.12937061814924519</c:v>
                </c:pt>
                <c:pt idx="718">
                  <c:v>9.5783575093689677E-2</c:v>
                </c:pt>
                <c:pt idx="719">
                  <c:v>4.9290210713201825E-2</c:v>
                </c:pt>
                <c:pt idx="720">
                  <c:v>6.433436609320195E-2</c:v>
                </c:pt>
                <c:pt idx="721">
                  <c:v>-1.072425576798115E-3</c:v>
                </c:pt>
                <c:pt idx="722">
                  <c:v>-6.0828217381145903E-2</c:v>
                </c:pt>
                <c:pt idx="723">
                  <c:v>-3.4282455411915047E-2</c:v>
                </c:pt>
                <c:pt idx="724">
                  <c:v>-0.10417921510380698</c:v>
                </c:pt>
                <c:pt idx="725">
                  <c:v>-0.11853350644666415</c:v>
                </c:pt>
                <c:pt idx="726">
                  <c:v>-0.12131872495435653</c:v>
                </c:pt>
                <c:pt idx="727">
                  <c:v>-0.11947350312102321</c:v>
                </c:pt>
                <c:pt idx="728">
                  <c:v>-0.1350111946960233</c:v>
                </c:pt>
                <c:pt idx="729">
                  <c:v>-0.16200968085455997</c:v>
                </c:pt>
                <c:pt idx="730">
                  <c:v>-0.14943068627678216</c:v>
                </c:pt>
                <c:pt idx="731">
                  <c:v>-0.16196263515178214</c:v>
                </c:pt>
                <c:pt idx="732">
                  <c:v>-0.15221383713178208</c:v>
                </c:pt>
                <c:pt idx="733">
                  <c:v>-0.15058938942589981</c:v>
                </c:pt>
                <c:pt idx="734">
                  <c:v>-0.1534520111370109</c:v>
                </c:pt>
                <c:pt idx="735">
                  <c:v>-0.14949424378701096</c:v>
                </c:pt>
                <c:pt idx="736">
                  <c:v>-0.15653992050701093</c:v>
                </c:pt>
                <c:pt idx="737">
                  <c:v>-0.15013301175145535</c:v>
                </c:pt>
                <c:pt idx="738">
                  <c:v>-0.15840006808478865</c:v>
                </c:pt>
                <c:pt idx="739">
                  <c:v>-0.15409857752923309</c:v>
                </c:pt>
                <c:pt idx="740">
                  <c:v>-0.15143991707589974</c:v>
                </c:pt>
                <c:pt idx="741">
                  <c:v>-0.14909458432589975</c:v>
                </c:pt>
                <c:pt idx="742">
                  <c:v>-0.12848079989539135</c:v>
                </c:pt>
                <c:pt idx="743">
                  <c:v>-0.17953876688914142</c:v>
                </c:pt>
                <c:pt idx="744">
                  <c:v>-0.16133286062914126</c:v>
                </c:pt>
                <c:pt idx="745">
                  <c:v>-0.17114300309580771</c:v>
                </c:pt>
                <c:pt idx="746">
                  <c:v>-0.23514928861656242</c:v>
                </c:pt>
                <c:pt idx="747">
                  <c:v>-0.22942906955256243</c:v>
                </c:pt>
                <c:pt idx="748">
                  <c:v>-0.21875811257256228</c:v>
                </c:pt>
                <c:pt idx="749">
                  <c:v>-0.2187581125725622</c:v>
                </c:pt>
                <c:pt idx="750">
                  <c:v>-0.21029623717256218</c:v>
                </c:pt>
                <c:pt idx="751">
                  <c:v>-0.17051463477256218</c:v>
                </c:pt>
                <c:pt idx="752">
                  <c:v>-0.12299485615187274</c:v>
                </c:pt>
                <c:pt idx="753">
                  <c:v>-0.10067014909631712</c:v>
                </c:pt>
                <c:pt idx="754">
                  <c:v>-9.429807034337595E-2</c:v>
                </c:pt>
                <c:pt idx="755">
                  <c:v>-6.5314176567376092E-2</c:v>
                </c:pt>
                <c:pt idx="756">
                  <c:v>-5.6292078820007821E-2</c:v>
                </c:pt>
                <c:pt idx="757">
                  <c:v>-2.4839474321968619E-2</c:v>
                </c:pt>
                <c:pt idx="759">
                  <c:v>-3.5184798549241288E-2</c:v>
                </c:pt>
                <c:pt idx="760">
                  <c:v>-6.3964921270191974E-3</c:v>
                </c:pt>
                <c:pt idx="761">
                  <c:v>-3.1953063457692181E-3</c:v>
                </c:pt>
                <c:pt idx="762">
                  <c:v>2.6296816769230791E-2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F-4F3D-8430-4F110438A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602575"/>
        <c:axId val="795602991"/>
      </c:lineChart>
      <c:dateAx>
        <c:axId val="7956025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02991"/>
        <c:crosses val="autoZero"/>
        <c:auto val="1"/>
        <c:lblOffset val="100"/>
        <c:baseTimeUnit val="days"/>
      </c:dateAx>
      <c:valAx>
        <c:axId val="79560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0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E54022-5FB1-40D6-9F30-4C6D3B230BB1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7A88E9-AE51-4554-BA49-C761707D97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MAX(C3:C1913)</f>
        <v>1.1742999999999999</v>
      </c>
      <c r="D2" s="4">
        <f>MIN(D3:D1913)</f>
        <v>1.06E-2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0.60309999999999997</v>
      </c>
      <c r="C5">
        <v>0.61970000000000003</v>
      </c>
      <c r="D5">
        <v>0.59289999999999998</v>
      </c>
      <c r="E5">
        <v>0.59830000000000005</v>
      </c>
      <c r="F5">
        <v>6641205</v>
      </c>
      <c r="G5">
        <v>0.59830000000000005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-0.59701492537312972</v>
      </c>
      <c r="Q5">
        <f t="shared" ref="Q5" si="1">F5*P5</f>
        <v>-3964898.5074626561</v>
      </c>
      <c r="R5">
        <f t="shared" ref="R5" si="2">R6+Q5</f>
        <v>-829411280.77095532</v>
      </c>
      <c r="S5">
        <f t="shared" ref="S5" si="3">R5/100000</f>
        <v>-8294.1128077095527</v>
      </c>
      <c r="T5">
        <f t="shared" ref="T5" si="4">S5/1000</f>
        <v>-8.2941128077095527</v>
      </c>
    </row>
    <row r="6" spans="1:20" x14ac:dyDescent="0.25">
      <c r="A6" s="5">
        <v>44587</v>
      </c>
      <c r="B6">
        <v>0.55459999999999998</v>
      </c>
      <c r="C6">
        <v>0.69950000000000001</v>
      </c>
      <c r="D6">
        <v>0.53759999999999997</v>
      </c>
      <c r="E6">
        <v>0.60289999999999999</v>
      </c>
      <c r="F6">
        <v>98385744</v>
      </c>
      <c r="G6">
        <v>0.60289999999999999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-0.19332921556516358</v>
      </c>
      <c r="Q6">
        <f t="shared" ref="Q6" si="6">F6*P6</f>
        <v>-19020838.710315</v>
      </c>
      <c r="R6">
        <f t="shared" ref="R6" si="7">R7+Q6</f>
        <v>-825446382.2634927</v>
      </c>
      <c r="S6">
        <f t="shared" ref="S6" si="8">R6/100000</f>
        <v>-8254.4638226349271</v>
      </c>
      <c r="T6">
        <f t="shared" ref="T6" si="9">S6/1000</f>
        <v>-8.2544638226349267</v>
      </c>
    </row>
    <row r="7" spans="1:20" x14ac:dyDescent="0.25">
      <c r="A7" s="5">
        <v>44586</v>
      </c>
      <c r="B7">
        <v>0.57330000000000003</v>
      </c>
      <c r="C7">
        <v>0.57699999999999996</v>
      </c>
      <c r="D7">
        <v>0.52869999999999995</v>
      </c>
      <c r="E7">
        <v>0.55410000000000004</v>
      </c>
      <c r="F7">
        <v>59831003</v>
      </c>
      <c r="G7">
        <v>0.55410000000000004</v>
      </c>
      <c r="L7" t="s">
        <v>8</v>
      </c>
      <c r="M7" t="s">
        <v>7</v>
      </c>
      <c r="N7" t="s">
        <v>8</v>
      </c>
      <c r="P7">
        <f t="shared" ref="P7" si="10">IF(C7=D7,0,((E7-D7)-(C7-E7))/(C7-D7))</f>
        <v>5.1759834368533507E-2</v>
      </c>
      <c r="Q7">
        <f t="shared" ref="Q7" si="11">F7*P7</f>
        <v>3096842.8053832315</v>
      </c>
      <c r="R7">
        <f t="shared" ref="R7" si="12">R8+Q7</f>
        <v>-806425543.55317771</v>
      </c>
      <c r="S7">
        <f t="shared" ref="S7" si="13">R7/100000</f>
        <v>-8064.255435531777</v>
      </c>
      <c r="T7">
        <f t="shared" ref="T7" si="14">S7/1000</f>
        <v>-8.064255435531777</v>
      </c>
    </row>
    <row r="8" spans="1:20" x14ac:dyDescent="0.25">
      <c r="A8" s="5">
        <v>44585</v>
      </c>
      <c r="B8">
        <v>0.6089</v>
      </c>
      <c r="C8">
        <v>0.6089</v>
      </c>
      <c r="D8">
        <v>0.49759999999999999</v>
      </c>
      <c r="E8">
        <v>0.57320000000000004</v>
      </c>
      <c r="F8">
        <v>107728101</v>
      </c>
      <c r="G8">
        <v>0.57320000000000004</v>
      </c>
      <c r="L8" t="s">
        <v>7</v>
      </c>
      <c r="M8" t="s">
        <v>7</v>
      </c>
      <c r="N8" t="s">
        <v>8</v>
      </c>
      <c r="P8">
        <f t="shared" ref="P8" si="15">IF(C8=D8,0,((E8-D8)-(C8-E8))/(C8-D8))</f>
        <v>0.35849056603773671</v>
      </c>
      <c r="Q8">
        <f t="shared" ref="Q8" si="16">F8*P8</f>
        <v>38619507.905660473</v>
      </c>
      <c r="R8">
        <f t="shared" ref="R8" si="17">R9+Q8</f>
        <v>-809522386.35856092</v>
      </c>
      <c r="S8">
        <f t="shared" ref="S8" si="18">R8/100000</f>
        <v>-8095.2238635856093</v>
      </c>
      <c r="T8">
        <f t="shared" ref="T8" si="19">S8/1000</f>
        <v>-8.0952238635856091</v>
      </c>
    </row>
    <row r="9" spans="1:20" x14ac:dyDescent="0.25">
      <c r="A9" s="5">
        <v>44584</v>
      </c>
      <c r="B9">
        <v>0.54830000000000001</v>
      </c>
      <c r="C9">
        <v>0.65549999999999997</v>
      </c>
      <c r="D9">
        <v>0.53890000000000005</v>
      </c>
      <c r="E9">
        <v>0.60899999999999999</v>
      </c>
      <c r="F9">
        <v>86946043</v>
      </c>
      <c r="G9">
        <v>0.60899999999999999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0.20240137221269269</v>
      </c>
      <c r="Q9">
        <f t="shared" ref="Q9" si="21">F9*P9</f>
        <v>17597998.411663786</v>
      </c>
      <c r="R9">
        <f t="shared" ref="R9" si="22">R10+Q9</f>
        <v>-848141894.26422143</v>
      </c>
      <c r="S9">
        <f t="shared" ref="S9" si="23">R9/100000</f>
        <v>-8481.4189426422145</v>
      </c>
      <c r="T9">
        <f t="shared" ref="T9" si="24">S9/1000</f>
        <v>-8.4814189426422146</v>
      </c>
    </row>
    <row r="10" spans="1:20" x14ac:dyDescent="0.25">
      <c r="A10" s="5">
        <v>44583</v>
      </c>
      <c r="B10">
        <v>0.63580000000000003</v>
      </c>
      <c r="C10">
        <v>0.68389999999999995</v>
      </c>
      <c r="D10">
        <v>0.46050000000000002</v>
      </c>
      <c r="E10">
        <v>0.54820000000000002</v>
      </c>
      <c r="F10">
        <v>121141195</v>
      </c>
      <c r="G10">
        <v>0.54820000000000002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-0.21486123545210362</v>
      </c>
      <c r="Q10">
        <f t="shared" ref="Q10" si="26">F10*P10</f>
        <v>-26028546.821844198</v>
      </c>
      <c r="R10">
        <f t="shared" ref="R10" si="27">R11+Q10</f>
        <v>-865739892.6758852</v>
      </c>
      <c r="S10">
        <f t="shared" ref="S10" si="28">R10/100000</f>
        <v>-8657.3989267588513</v>
      </c>
      <c r="T10">
        <f t="shared" ref="T10" si="29">S10/1000</f>
        <v>-8.6573989267588516</v>
      </c>
    </row>
    <row r="11" spans="1:20" x14ac:dyDescent="0.25">
      <c r="A11" s="5">
        <v>44582</v>
      </c>
      <c r="B11">
        <v>0.75670000000000004</v>
      </c>
      <c r="C11">
        <v>0.77370000000000005</v>
      </c>
      <c r="D11">
        <v>0.60450000000000004</v>
      </c>
      <c r="E11">
        <v>0.63649999999999995</v>
      </c>
      <c r="F11">
        <v>81327198</v>
      </c>
      <c r="G11">
        <v>0.63649999999999995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-0.62174940898345255</v>
      </c>
      <c r="Q11">
        <f t="shared" ref="Q11" si="31">F11*P11</f>
        <v>-50565137.290780224</v>
      </c>
      <c r="R11">
        <f t="shared" ref="R11" si="32">R12+Q11</f>
        <v>-839711345.85404098</v>
      </c>
      <c r="S11">
        <f t="shared" ref="S11" si="33">R11/100000</f>
        <v>-8397.1134585404106</v>
      </c>
      <c r="T11">
        <f t="shared" ref="T11" si="34">S11/1000</f>
        <v>-8.3971134585404101</v>
      </c>
    </row>
    <row r="12" spans="1:20" x14ac:dyDescent="0.25">
      <c r="A12" s="5">
        <v>44581</v>
      </c>
      <c r="B12">
        <v>0.84670000000000001</v>
      </c>
      <c r="C12">
        <v>0.86890000000000001</v>
      </c>
      <c r="D12">
        <v>0.74550000000000005</v>
      </c>
      <c r="E12">
        <v>0.75700000000000001</v>
      </c>
      <c r="F12">
        <v>58496348</v>
      </c>
      <c r="G12">
        <v>0.75700000000000001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-0.81361426256077862</v>
      </c>
      <c r="Q12">
        <f t="shared" ref="Q12" si="36">F12*P12</f>
        <v>-47593463.040518679</v>
      </c>
      <c r="R12">
        <f t="shared" ref="R12" si="37">R13+Q12</f>
        <v>-789146208.56326079</v>
      </c>
      <c r="S12">
        <f t="shared" ref="S12" si="38">R12/100000</f>
        <v>-7891.4620856326083</v>
      </c>
      <c r="T12">
        <f t="shared" ref="T12" si="39">S12/1000</f>
        <v>-7.8914620856326083</v>
      </c>
    </row>
    <row r="13" spans="1:20" x14ac:dyDescent="0.25">
      <c r="A13" s="5">
        <v>44580</v>
      </c>
      <c r="B13">
        <v>0.91579999999999995</v>
      </c>
      <c r="C13">
        <v>0.97099999999999997</v>
      </c>
      <c r="D13">
        <v>0.8407</v>
      </c>
      <c r="E13">
        <v>0.84660000000000002</v>
      </c>
      <c r="F13">
        <v>45212182</v>
      </c>
      <c r="G13">
        <v>0.84660000000000002</v>
      </c>
      <c r="L13" t="s">
        <v>8</v>
      </c>
      <c r="M13" t="s">
        <v>7</v>
      </c>
      <c r="N13" t="s">
        <v>8</v>
      </c>
      <c r="P13">
        <f t="shared" ref="P13" si="40">IF(C13=D13,0,((E13-D13)-(C13-E13))/(C13-D13))</f>
        <v>-0.90943975441289304</v>
      </c>
      <c r="Q13">
        <f t="shared" ref="Q13" si="41">F13*P13</f>
        <v>-41117755.694551021</v>
      </c>
      <c r="R13">
        <f t="shared" ref="R13" si="42">R14+Q13</f>
        <v>-741552745.52274215</v>
      </c>
      <c r="S13">
        <f t="shared" ref="S13" si="43">R13/100000</f>
        <v>-7415.5274552274213</v>
      </c>
      <c r="T13">
        <f t="shared" ref="T13" si="44">S13/1000</f>
        <v>-7.4155274552274211</v>
      </c>
    </row>
    <row r="14" spans="1:20" x14ac:dyDescent="0.25">
      <c r="A14" s="5">
        <v>44579</v>
      </c>
      <c r="B14">
        <v>0.94320000000000004</v>
      </c>
      <c r="C14">
        <v>0.9798</v>
      </c>
      <c r="D14">
        <v>0.85109999999999997</v>
      </c>
      <c r="E14">
        <v>0.91539999999999999</v>
      </c>
      <c r="F14">
        <v>71007252</v>
      </c>
      <c r="G14">
        <v>0.91539999999999999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-7.7700077700069124E-4</v>
      </c>
      <c r="Q14">
        <f t="shared" ref="Q14" si="46">F14*P14</f>
        <v>-55172.689976683891</v>
      </c>
      <c r="R14">
        <f t="shared" ref="R14" si="47">R15+Q14</f>
        <v>-700434989.82819116</v>
      </c>
      <c r="S14">
        <f t="shared" ref="S14" si="48">R14/100000</f>
        <v>-7004.3498982819119</v>
      </c>
      <c r="T14">
        <f t="shared" ref="T14" si="49">S14/1000</f>
        <v>-7.0043498982819123</v>
      </c>
    </row>
    <row r="15" spans="1:20" x14ac:dyDescent="0.25">
      <c r="A15" s="5">
        <v>44578</v>
      </c>
      <c r="B15">
        <v>1.0315000000000001</v>
      </c>
      <c r="C15">
        <v>1.089</v>
      </c>
      <c r="D15">
        <v>0.92749999999999999</v>
      </c>
      <c r="E15">
        <v>0.94320000000000004</v>
      </c>
      <c r="F15">
        <v>69316500</v>
      </c>
      <c r="G15">
        <v>0.94320000000000004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-0.80557275541795603</v>
      </c>
      <c r="Q15">
        <f t="shared" ref="Q15" si="51">F15*P15</f>
        <v>-55839483.900928751</v>
      </c>
      <c r="R15">
        <f t="shared" ref="R15" si="52">R16+Q15</f>
        <v>-700379817.13821447</v>
      </c>
      <c r="S15">
        <f t="shared" ref="S15" si="53">R15/100000</f>
        <v>-7003.7981713821446</v>
      </c>
      <c r="T15">
        <f t="shared" ref="T15" si="54">S15/1000</f>
        <v>-7.0037981713821447</v>
      </c>
    </row>
    <row r="16" spans="1:20" x14ac:dyDescent="0.25">
      <c r="A16" s="5">
        <v>44577</v>
      </c>
      <c r="B16">
        <v>0.89590000000000003</v>
      </c>
      <c r="C16">
        <v>1.0571999999999999</v>
      </c>
      <c r="D16">
        <v>0.87519999999999998</v>
      </c>
      <c r="E16">
        <v>1.0315000000000001</v>
      </c>
      <c r="F16">
        <v>55187811</v>
      </c>
      <c r="G16">
        <v>1.0315000000000001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0.71758241758241936</v>
      </c>
      <c r="Q16">
        <f t="shared" ref="Q16" si="56">F16*P16</f>
        <v>39601802.838461637</v>
      </c>
      <c r="R16">
        <f t="shared" ref="R16" si="57">R17+Q16</f>
        <v>-644540333.23728573</v>
      </c>
      <c r="S16">
        <f t="shared" ref="S16" si="58">R16/100000</f>
        <v>-6445.4033323728572</v>
      </c>
      <c r="T16">
        <f t="shared" ref="T16" si="59">S16/1000</f>
        <v>-6.445403332372857</v>
      </c>
    </row>
    <row r="17" spans="1:20" x14ac:dyDescent="0.25">
      <c r="A17" s="5">
        <v>44576</v>
      </c>
      <c r="B17">
        <v>0.96150000000000002</v>
      </c>
      <c r="C17">
        <v>0.9708</v>
      </c>
      <c r="D17">
        <v>0.89159999999999995</v>
      </c>
      <c r="E17">
        <v>0.89629999999999999</v>
      </c>
      <c r="F17">
        <v>35673216</v>
      </c>
      <c r="G17">
        <v>0.89629999999999999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-0.88131313131313049</v>
      </c>
      <c r="Q17">
        <f t="shared" ref="Q17" si="61">F17*P17</f>
        <v>-31439273.696969669</v>
      </c>
      <c r="R17">
        <f t="shared" ref="R17" si="62">R18+Q17</f>
        <v>-684142136.07574737</v>
      </c>
      <c r="S17">
        <f t="shared" ref="S17" si="63">R17/100000</f>
        <v>-6841.4213607574738</v>
      </c>
      <c r="T17">
        <f t="shared" ref="T17" si="64">S17/1000</f>
        <v>-6.8414213607574741</v>
      </c>
    </row>
    <row r="18" spans="1:20" x14ac:dyDescent="0.25">
      <c r="A18" s="5">
        <v>44575</v>
      </c>
      <c r="B18">
        <v>0.84019999999999995</v>
      </c>
      <c r="C18">
        <v>0.97199999999999998</v>
      </c>
      <c r="D18">
        <v>0.81789999999999996</v>
      </c>
      <c r="E18">
        <v>0.96050000000000002</v>
      </c>
      <c r="F18">
        <v>77617925</v>
      </c>
      <c r="G18">
        <v>0.96050000000000002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0.85074626865671699</v>
      </c>
      <c r="Q18">
        <f t="shared" ref="Q18" si="66">F18*P18</f>
        <v>66033160.074626908</v>
      </c>
      <c r="R18">
        <f t="shared" ref="R18" si="67">R19+Q18</f>
        <v>-652702862.37877774</v>
      </c>
      <c r="S18">
        <f t="shared" ref="S18" si="68">R18/100000</f>
        <v>-6527.0286237877772</v>
      </c>
      <c r="T18">
        <f t="shared" ref="T18" si="69">S18/1000</f>
        <v>-6.5270286237877775</v>
      </c>
    </row>
    <row r="19" spans="1:20" x14ac:dyDescent="0.25">
      <c r="A19" s="5">
        <v>44574</v>
      </c>
      <c r="B19">
        <v>0.74129999999999996</v>
      </c>
      <c r="C19">
        <v>0.90369999999999995</v>
      </c>
      <c r="D19">
        <v>0.73899999999999999</v>
      </c>
      <c r="E19">
        <v>0.84019999999999995</v>
      </c>
      <c r="F19">
        <v>104306012</v>
      </c>
      <c r="G19">
        <v>0.84019999999999995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0.22890103217972049</v>
      </c>
      <c r="Q19">
        <f t="shared" ref="Q19" si="71">F19*P19</f>
        <v>23875753.809350312</v>
      </c>
      <c r="R19">
        <f t="shared" ref="R19" si="72">R20+Q19</f>
        <v>-718736022.45340466</v>
      </c>
      <c r="S19">
        <f t="shared" ref="S19" si="73">R19/100000</f>
        <v>-7187.3602245340462</v>
      </c>
      <c r="T19">
        <f t="shared" ref="T19" si="74">S19/1000</f>
        <v>-7.1873602245340464</v>
      </c>
    </row>
    <row r="20" spans="1:20" x14ac:dyDescent="0.25">
      <c r="A20" s="5">
        <v>44573</v>
      </c>
      <c r="B20">
        <v>0.6825</v>
      </c>
      <c r="C20">
        <v>0.76029999999999998</v>
      </c>
      <c r="D20">
        <v>0.67930000000000001</v>
      </c>
      <c r="E20">
        <v>0.74219999999999997</v>
      </c>
      <c r="F20">
        <v>64523163</v>
      </c>
      <c r="G20">
        <v>0.74219999999999997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0.55308641975308603</v>
      </c>
      <c r="Q20">
        <f t="shared" ref="Q20" si="76">F20*P20</f>
        <v>35686885.21481479</v>
      </c>
      <c r="R20">
        <f t="shared" ref="R20" si="77">R21+Q20</f>
        <v>-742611776.26275504</v>
      </c>
      <c r="S20">
        <f t="shared" ref="S20" si="78">R20/100000</f>
        <v>-7426.1177626275503</v>
      </c>
      <c r="T20">
        <f t="shared" ref="T20" si="79">S20/1000</f>
        <v>-7.4261177626275501</v>
      </c>
    </row>
    <row r="21" spans="1:20" x14ac:dyDescent="0.25">
      <c r="A21" s="5">
        <v>44572</v>
      </c>
      <c r="B21">
        <v>0.60150000000000003</v>
      </c>
      <c r="C21">
        <v>0.71</v>
      </c>
      <c r="D21">
        <v>0.5494</v>
      </c>
      <c r="E21">
        <v>0.68259999999999998</v>
      </c>
      <c r="F21">
        <v>76379410</v>
      </c>
      <c r="G21">
        <v>0.68259999999999998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0.65877957658779596</v>
      </c>
      <c r="Q21">
        <f t="shared" ref="Q21" si="81">F21*P21</f>
        <v>50317195.379825667</v>
      </c>
      <c r="R21">
        <f t="shared" ref="R21" si="82">R22+Q21</f>
        <v>-778298661.47756982</v>
      </c>
      <c r="S21">
        <f t="shared" ref="S21" si="83">R21/100000</f>
        <v>-7782.9866147756984</v>
      </c>
      <c r="T21">
        <f t="shared" ref="T21" si="84">S21/1000</f>
        <v>-7.7829866147756981</v>
      </c>
    </row>
    <row r="22" spans="1:20" x14ac:dyDescent="0.25">
      <c r="A22" s="5">
        <v>44571</v>
      </c>
      <c r="B22">
        <v>0.66059999999999997</v>
      </c>
      <c r="C22">
        <v>0.6734</v>
      </c>
      <c r="D22">
        <v>0.56499999999999995</v>
      </c>
      <c r="E22">
        <v>0.60170000000000001</v>
      </c>
      <c r="F22">
        <v>34806423</v>
      </c>
      <c r="G22">
        <v>0.60170000000000001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-0.32287822878228695</v>
      </c>
      <c r="Q22">
        <f t="shared" ref="Q22" si="86">F22*P22</f>
        <v>-11238236.208487054</v>
      </c>
      <c r="R22">
        <f t="shared" ref="R22" si="87">R23+Q22</f>
        <v>-828615856.85739553</v>
      </c>
      <c r="S22">
        <f t="shared" ref="S22" si="88">R22/100000</f>
        <v>-8286.1585685739556</v>
      </c>
      <c r="T22">
        <f t="shared" ref="T22" si="89">S22/1000</f>
        <v>-8.2861585685739563</v>
      </c>
    </row>
    <row r="23" spans="1:20" x14ac:dyDescent="0.25">
      <c r="A23" s="5">
        <v>44570</v>
      </c>
      <c r="B23">
        <v>0.63360000000000005</v>
      </c>
      <c r="C23">
        <v>0.69450000000000001</v>
      </c>
      <c r="D23">
        <v>0.62549999999999994</v>
      </c>
      <c r="E23">
        <v>0.66069999999999995</v>
      </c>
      <c r="F23">
        <v>34173381</v>
      </c>
      <c r="G23">
        <v>0.66069999999999995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2.0289855072463125E-2</v>
      </c>
      <c r="Q23">
        <f t="shared" ref="Q23" si="91">F23*P23</f>
        <v>693372.94782606501</v>
      </c>
      <c r="R23">
        <f t="shared" ref="R23" si="92">R24+Q23</f>
        <v>-817377620.6489085</v>
      </c>
      <c r="S23">
        <f t="shared" ref="S23" si="93">R23/100000</f>
        <v>-8173.7762064890849</v>
      </c>
      <c r="T23">
        <f t="shared" ref="T23" si="94">S23/1000</f>
        <v>-8.1737762064890855</v>
      </c>
    </row>
    <row r="24" spans="1:20" x14ac:dyDescent="0.25">
      <c r="A24" s="5">
        <v>44569</v>
      </c>
      <c r="B24">
        <v>0.69869999999999999</v>
      </c>
      <c r="C24">
        <v>0.77</v>
      </c>
      <c r="D24">
        <v>0.5776</v>
      </c>
      <c r="E24">
        <v>0.63360000000000005</v>
      </c>
      <c r="F24">
        <v>70232808</v>
      </c>
      <c r="G24">
        <v>0.63360000000000005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-0.4178794178794174</v>
      </c>
      <c r="Q24">
        <f t="shared" ref="Q24" si="96">F24*P24</f>
        <v>-29348844.92307689</v>
      </c>
      <c r="R24">
        <f t="shared" ref="R24" si="97">R25+Q24</f>
        <v>-818070993.59673452</v>
      </c>
      <c r="S24">
        <f t="shared" ref="S24" si="98">R24/100000</f>
        <v>-8180.7099359673448</v>
      </c>
      <c r="T24">
        <f t="shared" ref="T24" si="99">S24/1000</f>
        <v>-8.1807099359673447</v>
      </c>
    </row>
    <row r="25" spans="1:20" x14ac:dyDescent="0.25">
      <c r="A25" s="5">
        <v>44568</v>
      </c>
      <c r="B25">
        <v>0.77890000000000004</v>
      </c>
      <c r="C25">
        <v>0.78759999999999997</v>
      </c>
      <c r="D25">
        <v>0.68899999999999995</v>
      </c>
      <c r="E25">
        <v>0.69830000000000003</v>
      </c>
      <c r="F25">
        <v>42875389</v>
      </c>
      <c r="G25">
        <v>0.69830000000000003</v>
      </c>
      <c r="L25" t="s">
        <v>8</v>
      </c>
      <c r="M25" t="s">
        <v>8</v>
      </c>
      <c r="N25" t="s">
        <v>7</v>
      </c>
      <c r="P25">
        <f t="shared" ref="P25" si="100">IF(C25=D25,0,((E25-D25)-(C25-E25))/(C25-D25))</f>
        <v>-0.81135902636916668</v>
      </c>
      <c r="Q25">
        <f t="shared" ref="Q25" si="101">F25*P25</f>
        <v>-34787333.874239281</v>
      </c>
      <c r="R25">
        <f t="shared" ref="R25" si="102">R26+Q25</f>
        <v>-788722148.67365766</v>
      </c>
      <c r="S25">
        <f t="shared" ref="S25" si="103">R25/100000</f>
        <v>-7887.2214867365765</v>
      </c>
      <c r="T25">
        <f t="shared" ref="T25" si="104">S25/1000</f>
        <v>-7.8872214867365766</v>
      </c>
    </row>
    <row r="26" spans="1:20" x14ac:dyDescent="0.25">
      <c r="A26" s="5">
        <v>44567</v>
      </c>
      <c r="B26">
        <v>0.73980000000000001</v>
      </c>
      <c r="C26">
        <v>0.83499999999999996</v>
      </c>
      <c r="D26">
        <v>0.65859999999999996</v>
      </c>
      <c r="E26">
        <v>0.77859999999999996</v>
      </c>
      <c r="F26">
        <v>67248575</v>
      </c>
      <c r="G26">
        <v>0.77859999999999996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0.36054421768707479</v>
      </c>
      <c r="Q26">
        <f t="shared" ref="Q26" si="106">F26*P26</f>
        <v>24246084.863945574</v>
      </c>
      <c r="R26">
        <f t="shared" ref="R26" si="107">R27+Q26</f>
        <v>-753934814.79941833</v>
      </c>
      <c r="S26">
        <f t="shared" ref="S26" si="108">R26/100000</f>
        <v>-7539.3481479941829</v>
      </c>
      <c r="T26">
        <f t="shared" ref="T26" si="109">S26/1000</f>
        <v>-7.5393481479941826</v>
      </c>
    </row>
    <row r="27" spans="1:20" x14ac:dyDescent="0.25">
      <c r="A27" s="5">
        <v>44566</v>
      </c>
      <c r="B27">
        <v>0.8397</v>
      </c>
      <c r="C27">
        <v>0.84360000000000002</v>
      </c>
      <c r="D27">
        <v>0.68310000000000004</v>
      </c>
      <c r="E27">
        <v>0.7389</v>
      </c>
      <c r="F27">
        <v>57917944</v>
      </c>
      <c r="G27">
        <v>0.7389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-0.30467289719626206</v>
      </c>
      <c r="Q27">
        <f t="shared" ref="Q27" si="111">F27*P27</f>
        <v>-17646027.798130862</v>
      </c>
      <c r="R27">
        <f t="shared" ref="R27" si="112">R28+Q27</f>
        <v>-778180899.66336393</v>
      </c>
      <c r="S27">
        <f t="shared" ref="S27" si="113">R27/100000</f>
        <v>-7781.8089966336393</v>
      </c>
      <c r="T27">
        <f t="shared" ref="T27" si="114">S27/1000</f>
        <v>-7.7818089966336395</v>
      </c>
    </row>
    <row r="28" spans="1:20" x14ac:dyDescent="0.25">
      <c r="A28" s="5">
        <v>44565</v>
      </c>
      <c r="B28">
        <v>0.84250000000000003</v>
      </c>
      <c r="C28">
        <v>0.98</v>
      </c>
      <c r="D28">
        <v>0.79100000000000004</v>
      </c>
      <c r="E28">
        <v>0.83809999999999996</v>
      </c>
      <c r="F28">
        <v>69668300</v>
      </c>
      <c r="G28">
        <v>0.83809999999999996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-0.50158730158730225</v>
      </c>
      <c r="Q28">
        <f t="shared" ref="Q28" si="116">F28*P28</f>
        <v>-34944734.603174649</v>
      </c>
      <c r="R28">
        <f t="shared" ref="R28" si="117">R29+Q28</f>
        <v>-760534871.86523306</v>
      </c>
      <c r="S28">
        <f t="shared" ref="S28" si="118">R28/100000</f>
        <v>-7605.3487186523307</v>
      </c>
      <c r="T28">
        <f t="shared" ref="T28" si="119">S28/1000</f>
        <v>-7.6053487186523308</v>
      </c>
    </row>
    <row r="29" spans="1:20" x14ac:dyDescent="0.25">
      <c r="A29" s="5">
        <v>44564</v>
      </c>
      <c r="B29">
        <v>0.9425</v>
      </c>
      <c r="C29">
        <v>0.99</v>
      </c>
      <c r="D29">
        <v>0.78200000000000003</v>
      </c>
      <c r="E29">
        <v>0.84130000000000005</v>
      </c>
      <c r="F29">
        <v>59293815</v>
      </c>
      <c r="G29">
        <v>0.84130000000000005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-0.429807692307692</v>
      </c>
      <c r="Q29">
        <f t="shared" ref="Q29" si="121">F29*P29</f>
        <v>-25484937.793269213</v>
      </c>
      <c r="R29">
        <f t="shared" ref="R29" si="122">R30+Q29</f>
        <v>-725590137.26205838</v>
      </c>
      <c r="S29">
        <f t="shared" ref="S29" si="123">R29/100000</f>
        <v>-7255.901372620584</v>
      </c>
      <c r="T29">
        <f t="shared" ref="T29" si="124">S29/1000</f>
        <v>-7.2559013726205839</v>
      </c>
    </row>
    <row r="30" spans="1:20" x14ac:dyDescent="0.25">
      <c r="A30" s="5">
        <v>44563</v>
      </c>
      <c r="B30">
        <v>1.0022</v>
      </c>
      <c r="C30">
        <v>1.0209999999999999</v>
      </c>
      <c r="D30">
        <v>0.91120000000000001</v>
      </c>
      <c r="E30">
        <v>0.94350000000000001</v>
      </c>
      <c r="F30">
        <v>19538642</v>
      </c>
      <c r="G30">
        <v>0.94350000000000001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-0.41165755919854236</v>
      </c>
      <c r="Q30">
        <f t="shared" ref="Q30" si="126">F30*P30</f>
        <v>-8043229.6757741263</v>
      </c>
      <c r="R30">
        <f t="shared" ref="R30" si="127">R31+Q30</f>
        <v>-700105199.46878922</v>
      </c>
      <c r="S30">
        <f t="shared" ref="S30" si="128">R30/100000</f>
        <v>-7001.0519946878921</v>
      </c>
      <c r="T30">
        <f t="shared" ref="T30" si="129">S30/1000</f>
        <v>-7.0010519946878924</v>
      </c>
    </row>
    <row r="31" spans="1:20" x14ac:dyDescent="0.25">
      <c r="A31" s="5">
        <v>44562</v>
      </c>
      <c r="B31">
        <v>0.93610000000000004</v>
      </c>
      <c r="C31">
        <v>1.0425</v>
      </c>
      <c r="D31">
        <v>0.9224</v>
      </c>
      <c r="E31">
        <v>1.0025999999999999</v>
      </c>
      <c r="F31">
        <v>32214792</v>
      </c>
      <c r="G31">
        <v>1.0025999999999999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0.33555370524562778</v>
      </c>
      <c r="Q31">
        <f t="shared" ref="Q31" si="131">F31*P31</f>
        <v>10809792.819317209</v>
      </c>
      <c r="R31">
        <f t="shared" ref="R31" si="132">R32+Q31</f>
        <v>-692061969.79301512</v>
      </c>
      <c r="S31">
        <f t="shared" ref="S31" si="133">R31/100000</f>
        <v>-6920.6196979301512</v>
      </c>
      <c r="T31">
        <f t="shared" ref="T31" si="134">S31/1000</f>
        <v>-6.9206196979301513</v>
      </c>
    </row>
    <row r="32" spans="1:20" x14ac:dyDescent="0.25">
      <c r="A32" s="5">
        <v>44561</v>
      </c>
      <c r="B32">
        <v>0.94010000000000005</v>
      </c>
      <c r="C32">
        <v>1.0468999999999999</v>
      </c>
      <c r="D32">
        <v>0.8921</v>
      </c>
      <c r="E32">
        <v>0.93559999999999999</v>
      </c>
      <c r="F32">
        <v>33664304</v>
      </c>
      <c r="G32">
        <v>0.93559999999999999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-0.43798449612403101</v>
      </c>
      <c r="Q32">
        <f t="shared" ref="Q32" si="136">F32*P32</f>
        <v>-14744443.224806201</v>
      </c>
      <c r="R32">
        <f t="shared" ref="R32" si="137">R33+Q32</f>
        <v>-702871762.61233234</v>
      </c>
      <c r="S32">
        <f t="shared" ref="S32" si="138">R32/100000</f>
        <v>-7028.7176261233235</v>
      </c>
      <c r="T32">
        <f t="shared" ref="T32" si="139">S32/1000</f>
        <v>-7.0287176261233233</v>
      </c>
    </row>
    <row r="33" spans="1:20" x14ac:dyDescent="0.25">
      <c r="A33" s="5">
        <v>44560</v>
      </c>
      <c r="B33">
        <v>0.98209999999999997</v>
      </c>
      <c r="C33">
        <v>1.0866</v>
      </c>
      <c r="D33">
        <v>0.92059999999999997</v>
      </c>
      <c r="E33">
        <v>0.94030000000000002</v>
      </c>
      <c r="F33">
        <v>71658561</v>
      </c>
      <c r="G33">
        <v>0.94030000000000002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-0.762650602409638</v>
      </c>
      <c r="Q33">
        <f t="shared" ref="Q33" si="141">F33*P33</f>
        <v>-54650444.714457795</v>
      </c>
      <c r="R33">
        <f t="shared" ref="R33" si="142">R34+Q33</f>
        <v>-688127319.38752615</v>
      </c>
      <c r="S33">
        <f t="shared" ref="S33" si="143">R33/100000</f>
        <v>-6881.2731938752613</v>
      </c>
      <c r="T33">
        <f t="shared" ref="T33" si="144">S33/1000</f>
        <v>-6.8812731938752609</v>
      </c>
    </row>
    <row r="34" spans="1:20" x14ac:dyDescent="0.25">
      <c r="A34" s="5">
        <v>44559</v>
      </c>
      <c r="B34">
        <v>0.78910000000000002</v>
      </c>
      <c r="C34">
        <v>1.1742999999999999</v>
      </c>
      <c r="D34">
        <v>0.75</v>
      </c>
      <c r="E34">
        <v>0.9819</v>
      </c>
      <c r="F34">
        <v>133904136.13</v>
      </c>
      <c r="G34">
        <v>0.9819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9.3094508602404188E-2</v>
      </c>
      <c r="Q34">
        <f t="shared" ref="Q34" si="146">F34*P34</f>
        <v>12465739.752851786</v>
      </c>
      <c r="R34">
        <f t="shared" ref="R34" si="147">R35+Q34</f>
        <v>-633476874.6730684</v>
      </c>
      <c r="S34">
        <f t="shared" ref="S34" si="148">R34/100000</f>
        <v>-6334.7687467306841</v>
      </c>
      <c r="T34">
        <f t="shared" ref="T34" si="149">S34/1000</f>
        <v>-6.3347687467306839</v>
      </c>
    </row>
    <row r="35" spans="1:20" x14ac:dyDescent="0.25">
      <c r="A35" s="5">
        <v>44558</v>
      </c>
      <c r="B35">
        <v>0.88439999999999996</v>
      </c>
      <c r="C35">
        <v>0.94989999999999997</v>
      </c>
      <c r="D35">
        <v>0.74619999999999997</v>
      </c>
      <c r="E35">
        <v>0.78959999999999997</v>
      </c>
      <c r="F35">
        <v>83596560</v>
      </c>
      <c r="G35">
        <v>0.78959999999999997</v>
      </c>
      <c r="L35" t="s">
        <v>8</v>
      </c>
      <c r="M35" t="s">
        <v>7</v>
      </c>
      <c r="N35" t="s">
        <v>8</v>
      </c>
      <c r="P35">
        <f t="shared" ref="P35" si="150">IF(C35=D35,0,((E35-D35)-(C35-E35))/(C35-D35))</f>
        <v>-0.57388316151202756</v>
      </c>
      <c r="Q35">
        <f t="shared" ref="Q35" si="151">F35*P35</f>
        <v>-47974658.144329906</v>
      </c>
      <c r="R35">
        <f t="shared" ref="R35" si="152">R36+Q35</f>
        <v>-645942614.42592025</v>
      </c>
      <c r="S35">
        <f t="shared" ref="S35" si="153">R35/100000</f>
        <v>-6459.4261442592024</v>
      </c>
      <c r="T35">
        <f t="shared" ref="T35" si="154">S35/1000</f>
        <v>-6.4594261442592025</v>
      </c>
    </row>
    <row r="36" spans="1:20" x14ac:dyDescent="0.25">
      <c r="A36" s="5">
        <v>44557</v>
      </c>
      <c r="B36">
        <v>0.70609999999999995</v>
      </c>
      <c r="C36">
        <v>0.94</v>
      </c>
      <c r="D36">
        <v>0.67869999999999997</v>
      </c>
      <c r="E36">
        <v>0.88429999999999997</v>
      </c>
      <c r="F36">
        <v>65224304.43</v>
      </c>
      <c r="G36">
        <v>0.88429999999999997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0.57367011098354403</v>
      </c>
      <c r="Q36">
        <f t="shared" ref="Q36" si="156">F36*P36</f>
        <v>37417233.961182564</v>
      </c>
      <c r="R36">
        <f t="shared" ref="R36" si="157">R37+Q36</f>
        <v>-597967956.28159034</v>
      </c>
      <c r="S36">
        <f t="shared" ref="S36" si="158">R36/100000</f>
        <v>-5979.6795628159034</v>
      </c>
      <c r="T36">
        <f t="shared" ref="T36" si="159">S36/1000</f>
        <v>-5.9796795628159032</v>
      </c>
    </row>
    <row r="37" spans="1:20" x14ac:dyDescent="0.25">
      <c r="A37" s="5">
        <v>44556</v>
      </c>
      <c r="B37">
        <v>0.73640000000000005</v>
      </c>
      <c r="C37">
        <v>0.75990000000000002</v>
      </c>
      <c r="D37">
        <v>0.69799999999999995</v>
      </c>
      <c r="E37">
        <v>0.70679999999999998</v>
      </c>
      <c r="F37">
        <v>22269226</v>
      </c>
      <c r="G37">
        <v>0.70679999999999998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-0.71567043618739834</v>
      </c>
      <c r="Q37">
        <f t="shared" ref="Q37" si="161">F37*P37</f>
        <v>-15937426.684975753</v>
      </c>
      <c r="R37">
        <f t="shared" ref="R37" si="162">R38+Q37</f>
        <v>-635385190.24277294</v>
      </c>
      <c r="S37">
        <f t="shared" ref="S37" si="163">R37/100000</f>
        <v>-6353.8519024277293</v>
      </c>
      <c r="T37">
        <f t="shared" ref="T37" si="164">S37/1000</f>
        <v>-6.3538519024277296</v>
      </c>
    </row>
    <row r="38" spans="1:20" x14ac:dyDescent="0.25">
      <c r="A38" s="5">
        <v>44555</v>
      </c>
      <c r="B38">
        <v>0.76349999999999996</v>
      </c>
      <c r="C38">
        <v>0.77829999999999999</v>
      </c>
      <c r="D38">
        <v>0.69699999999999995</v>
      </c>
      <c r="E38">
        <v>0.73540000000000005</v>
      </c>
      <c r="F38">
        <v>25675809</v>
      </c>
      <c r="G38">
        <v>0.73540000000000005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-5.5350553505533029E-2</v>
      </c>
      <c r="Q38">
        <f t="shared" ref="Q38" si="166">F38*P38</f>
        <v>-1421170.2398523465</v>
      </c>
      <c r="R38">
        <f t="shared" ref="R38" si="167">R39+Q38</f>
        <v>-619447763.55779719</v>
      </c>
      <c r="S38">
        <f t="shared" ref="S38" si="168">R38/100000</f>
        <v>-6194.4776355779723</v>
      </c>
      <c r="T38">
        <f t="shared" ref="T38" si="169">S38/1000</f>
        <v>-6.1944776355779725</v>
      </c>
    </row>
    <row r="39" spans="1:20" x14ac:dyDescent="0.25">
      <c r="A39" s="5">
        <v>44554</v>
      </c>
      <c r="B39">
        <v>0.66649999999999998</v>
      </c>
      <c r="C39">
        <v>0.79990000000000006</v>
      </c>
      <c r="D39">
        <v>0.65</v>
      </c>
      <c r="E39">
        <v>0.76219999999999999</v>
      </c>
      <c r="F39">
        <v>45666598.109999999</v>
      </c>
      <c r="G39">
        <v>0.76219999999999999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0.49699799866577643</v>
      </c>
      <c r="Q39">
        <f t="shared" ref="Q39" si="171">F39*P39</f>
        <v>22696207.866544329</v>
      </c>
      <c r="R39">
        <f t="shared" ref="R39" si="172">R40+Q39</f>
        <v>-618026593.31794488</v>
      </c>
      <c r="S39">
        <f t="shared" ref="S39" si="173">R39/100000</f>
        <v>-6180.2659331794484</v>
      </c>
      <c r="T39">
        <f t="shared" ref="T39" si="174">S39/1000</f>
        <v>-6.1802659331794487</v>
      </c>
    </row>
    <row r="40" spans="1:20" x14ac:dyDescent="0.25">
      <c r="A40" s="5">
        <v>44553</v>
      </c>
      <c r="B40">
        <v>0.67120000000000002</v>
      </c>
      <c r="C40">
        <v>0.72460000000000002</v>
      </c>
      <c r="D40">
        <v>0.64170000000000005</v>
      </c>
      <c r="E40">
        <v>0.66649999999999998</v>
      </c>
      <c r="F40">
        <v>43520341</v>
      </c>
      <c r="G40">
        <v>0.66649999999999998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-0.40168878166465766</v>
      </c>
      <c r="Q40">
        <f t="shared" ref="Q40" si="176">F40*P40</f>
        <v>-17481632.753920447</v>
      </c>
      <c r="R40">
        <f t="shared" ref="R40" si="177">R41+Q40</f>
        <v>-640722801.18448925</v>
      </c>
      <c r="S40">
        <f t="shared" ref="S40" si="178">R40/100000</f>
        <v>-6407.2280118448925</v>
      </c>
      <c r="T40">
        <f t="shared" ref="T40" si="179">S40/1000</f>
        <v>-6.4072280118448921</v>
      </c>
    </row>
    <row r="41" spans="1:20" x14ac:dyDescent="0.25">
      <c r="A41" s="5">
        <v>44552</v>
      </c>
      <c r="B41">
        <v>0.60119999999999996</v>
      </c>
      <c r="C41">
        <v>0.73899999999999999</v>
      </c>
      <c r="D41">
        <v>0.59960000000000002</v>
      </c>
      <c r="E41">
        <v>0.67210000000000003</v>
      </c>
      <c r="F41">
        <v>85888238.079999998</v>
      </c>
      <c r="G41">
        <v>0.67210000000000003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4.0172166427546993E-2</v>
      </c>
      <c r="Q41">
        <f t="shared" ref="Q41" si="181">F41*P41</f>
        <v>3450316.5943185394</v>
      </c>
      <c r="R41">
        <f t="shared" ref="R41" si="182">R42+Q41</f>
        <v>-623241168.43056881</v>
      </c>
      <c r="S41">
        <f t="shared" ref="S41" si="183">R41/100000</f>
        <v>-6232.4116843056881</v>
      </c>
      <c r="T41">
        <f t="shared" ref="T41" si="184">S41/1000</f>
        <v>-6.2324116843056885</v>
      </c>
    </row>
    <row r="42" spans="1:20" x14ac:dyDescent="0.25">
      <c r="A42" s="5">
        <v>44551</v>
      </c>
      <c r="B42">
        <v>0.53720000000000001</v>
      </c>
      <c r="C42">
        <v>0.63139999999999996</v>
      </c>
      <c r="D42">
        <v>0.50719999999999998</v>
      </c>
      <c r="E42">
        <v>0.60199999999999998</v>
      </c>
      <c r="F42">
        <v>47608574</v>
      </c>
      <c r="G42">
        <v>0.60199999999999998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0.52657004830917897</v>
      </c>
      <c r="Q42">
        <f t="shared" ref="Q42" si="186">F42*P42</f>
        <v>25069249.111111123</v>
      </c>
      <c r="R42">
        <f t="shared" ref="R42" si="187">R43+Q42</f>
        <v>-626691485.02488732</v>
      </c>
      <c r="S42">
        <f t="shared" ref="S42" si="188">R42/100000</f>
        <v>-6266.9148502488733</v>
      </c>
      <c r="T42">
        <f t="shared" ref="T42" si="189">S42/1000</f>
        <v>-6.266914850248873</v>
      </c>
    </row>
    <row r="43" spans="1:20" x14ac:dyDescent="0.25">
      <c r="A43" s="5">
        <v>44550</v>
      </c>
      <c r="B43">
        <v>0.42909999999999998</v>
      </c>
      <c r="C43">
        <v>0.61899999999999999</v>
      </c>
      <c r="D43">
        <v>0.4244</v>
      </c>
      <c r="E43">
        <v>0.53720000000000001</v>
      </c>
      <c r="F43">
        <v>214157247</v>
      </c>
      <c r="G43">
        <v>0.53720000000000001</v>
      </c>
      <c r="L43" t="s">
        <v>8</v>
      </c>
      <c r="M43" t="s">
        <v>8</v>
      </c>
      <c r="N43" t="s">
        <v>8</v>
      </c>
      <c r="P43">
        <f t="shared" ref="P43" si="190">IF(C43=D43,0,((E43-D43)-(C43-E43))/(C43-D43))</f>
        <v>0.15930113052415226</v>
      </c>
      <c r="Q43">
        <f t="shared" ref="Q43" si="191">F43*P43</f>
        <v>34115491.557040118</v>
      </c>
      <c r="R43">
        <f t="shared" ref="R43" si="192">R44+Q43</f>
        <v>-651760734.13599849</v>
      </c>
      <c r="S43">
        <f t="shared" ref="S43" si="193">R43/100000</f>
        <v>-6517.6073413599852</v>
      </c>
      <c r="T43">
        <f t="shared" ref="T43" si="194">S43/1000</f>
        <v>-6.5176073413599855</v>
      </c>
    </row>
    <row r="44" spans="1:20" x14ac:dyDescent="0.25">
      <c r="A44" s="5">
        <v>44549</v>
      </c>
      <c r="B44">
        <v>0.47799999999999998</v>
      </c>
      <c r="C44">
        <v>0.47889999999999999</v>
      </c>
      <c r="D44">
        <v>0.41549999999999998</v>
      </c>
      <c r="E44">
        <v>0.42899999999999999</v>
      </c>
      <c r="F44">
        <v>28779072</v>
      </c>
      <c r="G44">
        <v>0.42899999999999999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-0.57413249211356432</v>
      </c>
      <c r="Q44">
        <f t="shared" ref="Q44" si="196">F44*P44</f>
        <v>-16523000.3280757</v>
      </c>
      <c r="R44">
        <f t="shared" ref="R44" si="197">R45+Q44</f>
        <v>-685876225.69303858</v>
      </c>
      <c r="S44">
        <f t="shared" ref="S44" si="198">R44/100000</f>
        <v>-6858.7622569303858</v>
      </c>
      <c r="T44">
        <f t="shared" ref="T44" si="199">S44/1000</f>
        <v>-6.8587622569303859</v>
      </c>
    </row>
    <row r="45" spans="1:20" x14ac:dyDescent="0.25">
      <c r="A45" s="5">
        <v>44548</v>
      </c>
      <c r="B45">
        <v>0.48270000000000002</v>
      </c>
      <c r="C45">
        <v>0.5091</v>
      </c>
      <c r="D45">
        <v>0.46179999999999999</v>
      </c>
      <c r="E45">
        <v>0.47799999999999998</v>
      </c>
      <c r="F45">
        <v>26404305</v>
      </c>
      <c r="G45">
        <v>0.47799999999999998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-0.31501057082452477</v>
      </c>
      <c r="Q45">
        <f t="shared" ref="Q45" si="201">F45*P45</f>
        <v>-8317635.1902748533</v>
      </c>
      <c r="R45">
        <f t="shared" ref="R45" si="202">R46+Q45</f>
        <v>-669353225.36496294</v>
      </c>
      <c r="S45">
        <f t="shared" ref="S45" si="203">R45/100000</f>
        <v>-6693.5322536496296</v>
      </c>
      <c r="T45">
        <f t="shared" ref="T45" si="204">S45/1000</f>
        <v>-6.6935322536496296</v>
      </c>
    </row>
    <row r="46" spans="1:20" x14ac:dyDescent="0.25">
      <c r="A46" s="5">
        <v>44547</v>
      </c>
      <c r="B46">
        <v>0.59099999999999997</v>
      </c>
      <c r="C46">
        <v>0.59750000000000003</v>
      </c>
      <c r="D46">
        <v>0.4592</v>
      </c>
      <c r="E46">
        <v>0.48259999999999997</v>
      </c>
      <c r="F46">
        <v>61377684</v>
      </c>
      <c r="G46">
        <v>0.48259999999999997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-0.66160520607375317</v>
      </c>
      <c r="Q46">
        <f t="shared" ref="Q46" si="206">F46*P46</f>
        <v>-40607795.271149702</v>
      </c>
      <c r="R46">
        <f t="shared" ref="R46" si="207">R47+Q46</f>
        <v>-661035590.1746881</v>
      </c>
      <c r="S46">
        <f t="shared" ref="S46" si="208">R46/100000</f>
        <v>-6610.3559017468806</v>
      </c>
      <c r="T46">
        <f t="shared" ref="T46" si="209">S46/1000</f>
        <v>-6.6103559017468809</v>
      </c>
    </row>
    <row r="47" spans="1:20" x14ac:dyDescent="0.25">
      <c r="A47" s="5">
        <v>44546</v>
      </c>
      <c r="B47">
        <v>0.5907</v>
      </c>
      <c r="C47">
        <v>0.62960000000000005</v>
      </c>
      <c r="D47">
        <v>0.55930000000000002</v>
      </c>
      <c r="E47">
        <v>0.59099999999999997</v>
      </c>
      <c r="F47">
        <v>47492737</v>
      </c>
      <c r="G47">
        <v>0.59099999999999997</v>
      </c>
      <c r="L47" t="s">
        <v>7</v>
      </c>
      <c r="M47" t="s">
        <v>8</v>
      </c>
      <c r="N47" t="s">
        <v>8</v>
      </c>
      <c r="P47">
        <f t="shared" ref="P47" si="210">IF(C47=D47,0,((E47-D47)-(C47-E47))/(C47-D47))</f>
        <v>-9.815078236131046E-2</v>
      </c>
      <c r="Q47">
        <f t="shared" ref="Q47" si="211">F47*P47</f>
        <v>-4661449.2930299565</v>
      </c>
      <c r="R47">
        <f t="shared" ref="R47" si="212">R48+Q47</f>
        <v>-620427794.90353835</v>
      </c>
      <c r="S47">
        <f t="shared" ref="S47" si="213">R47/100000</f>
        <v>-6204.2779490353832</v>
      </c>
      <c r="T47">
        <f t="shared" ref="T47" si="214">S47/1000</f>
        <v>-6.204277949035383</v>
      </c>
    </row>
    <row r="48" spans="1:20" x14ac:dyDescent="0.25">
      <c r="A48" s="5">
        <v>44545</v>
      </c>
      <c r="B48">
        <v>0.55300000000000005</v>
      </c>
      <c r="C48">
        <v>0.66200000000000003</v>
      </c>
      <c r="D48">
        <v>0.53569999999999995</v>
      </c>
      <c r="E48">
        <v>0.59019999999999995</v>
      </c>
      <c r="F48">
        <v>155012277.50999999</v>
      </c>
      <c r="G48">
        <v>0.59019999999999995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-0.13697545526524213</v>
      </c>
      <c r="Q48">
        <f t="shared" ref="Q48" si="216">F48*P48</f>
        <v>-21232877.283634301</v>
      </c>
      <c r="R48">
        <f t="shared" ref="R48" si="217">R49+Q48</f>
        <v>-615766345.61050844</v>
      </c>
      <c r="S48">
        <f t="shared" ref="S48" si="218">R48/100000</f>
        <v>-6157.6634561050842</v>
      </c>
      <c r="T48">
        <f t="shared" ref="T48" si="219">S48/1000</f>
        <v>-6.1576634561050838</v>
      </c>
    </row>
    <row r="49" spans="1:20" x14ac:dyDescent="0.25">
      <c r="A49" s="5">
        <v>44544</v>
      </c>
      <c r="B49">
        <v>0.49159999999999998</v>
      </c>
      <c r="C49">
        <v>0.56330000000000002</v>
      </c>
      <c r="D49">
        <v>0.44629999999999997</v>
      </c>
      <c r="E49">
        <v>0.55220000000000002</v>
      </c>
      <c r="F49">
        <v>98958743.450000003</v>
      </c>
      <c r="G49">
        <v>0.55220000000000002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0.81025641025641038</v>
      </c>
      <c r="Q49">
        <f t="shared" ref="Q49" si="221">F49*P49</f>
        <v>80181956.23128207</v>
      </c>
      <c r="R49">
        <f t="shared" ref="R49" si="222">R50+Q49</f>
        <v>-594533468.32687414</v>
      </c>
      <c r="S49">
        <f t="shared" ref="S49" si="223">R49/100000</f>
        <v>-5945.3346832687412</v>
      </c>
      <c r="T49">
        <f t="shared" ref="T49" si="224">S49/1000</f>
        <v>-5.945334683268741</v>
      </c>
    </row>
    <row r="50" spans="1:20" x14ac:dyDescent="0.25">
      <c r="A50" s="5">
        <v>44543</v>
      </c>
      <c r="B50">
        <v>0.42809999999999998</v>
      </c>
      <c r="C50">
        <v>0.53</v>
      </c>
      <c r="D50">
        <v>0.39610000000000001</v>
      </c>
      <c r="E50">
        <v>0.49120000000000003</v>
      </c>
      <c r="F50">
        <v>216096022.33000001</v>
      </c>
      <c r="G50">
        <v>0.49120000000000003</v>
      </c>
      <c r="L50" t="s">
        <v>8</v>
      </c>
      <c r="M50" t="s">
        <v>8</v>
      </c>
      <c r="N50" t="s">
        <v>8</v>
      </c>
      <c r="P50">
        <f t="shared" ref="P50" si="225">IF(C50=D50,0,((E50-D50)-(C50-E50))/(C50-D50))</f>
        <v>0.4204630321135176</v>
      </c>
      <c r="Q50">
        <f t="shared" ref="Q50" si="226">F50*P50</f>
        <v>90860388.776542217</v>
      </c>
      <c r="R50">
        <f t="shared" ref="R50" si="227">R51+Q50</f>
        <v>-674715424.55815625</v>
      </c>
      <c r="S50">
        <f t="shared" ref="S50" si="228">R50/100000</f>
        <v>-6747.1542455815625</v>
      </c>
      <c r="T50">
        <f t="shared" ref="T50" si="229">S50/1000</f>
        <v>-6.7471542455815623</v>
      </c>
    </row>
    <row r="51" spans="1:20" x14ac:dyDescent="0.25">
      <c r="A51" s="5">
        <v>44542</v>
      </c>
      <c r="B51">
        <v>0.39600000000000002</v>
      </c>
      <c r="C51">
        <v>0.4844</v>
      </c>
      <c r="D51">
        <v>0.36120000000000002</v>
      </c>
      <c r="E51">
        <v>0.42820000000000003</v>
      </c>
      <c r="F51">
        <v>122409764.20999999</v>
      </c>
      <c r="G51">
        <v>0.42820000000000003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8.7662337662337941E-2</v>
      </c>
      <c r="Q51">
        <f t="shared" ref="Q51" si="231">F51*P51</f>
        <v>10730726.083344189</v>
      </c>
      <c r="R51">
        <f t="shared" ref="R51" si="232">R52+Q51</f>
        <v>-765575813.33469844</v>
      </c>
      <c r="S51">
        <f t="shared" ref="S51" si="233">R51/100000</f>
        <v>-7655.7581333469843</v>
      </c>
      <c r="T51">
        <f t="shared" ref="T51" si="234">S51/1000</f>
        <v>-7.6557581333469846</v>
      </c>
    </row>
    <row r="52" spans="1:20" x14ac:dyDescent="0.25">
      <c r="A52" s="5">
        <v>44541</v>
      </c>
      <c r="B52">
        <v>0.28720000000000001</v>
      </c>
      <c r="C52">
        <v>0.29120000000000001</v>
      </c>
      <c r="D52">
        <v>0.2828</v>
      </c>
      <c r="E52">
        <v>0.28989999999999999</v>
      </c>
      <c r="F52">
        <v>1676108</v>
      </c>
      <c r="G52">
        <v>0.28989999999999999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0.69047619047618558</v>
      </c>
      <c r="Q52">
        <f t="shared" ref="Q52" si="236">F52*P52</f>
        <v>1157312.6666666584</v>
      </c>
      <c r="R52">
        <f t="shared" ref="R52" si="237">R53+Q52</f>
        <v>-776306539.41804266</v>
      </c>
      <c r="S52">
        <f t="shared" ref="S52" si="238">R52/100000</f>
        <v>-7763.0653941804267</v>
      </c>
      <c r="T52">
        <f t="shared" ref="T52" si="239">S52/1000</f>
        <v>-7.7630653941804271</v>
      </c>
    </row>
    <row r="53" spans="1:20" x14ac:dyDescent="0.25">
      <c r="A53" s="5">
        <v>44540</v>
      </c>
      <c r="B53">
        <v>0.2792</v>
      </c>
      <c r="C53">
        <v>0.34939999999999999</v>
      </c>
      <c r="D53">
        <v>0.27839999999999998</v>
      </c>
      <c r="E53">
        <v>0.28660000000000002</v>
      </c>
      <c r="F53">
        <v>57710119</v>
      </c>
      <c r="G53">
        <v>0.28660000000000002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-0.76901408450704112</v>
      </c>
      <c r="Q53">
        <f t="shared" ref="Q53" si="241">F53*P53</f>
        <v>-44379894.329577401</v>
      </c>
      <c r="R53">
        <f t="shared" ref="R53" si="242">R54+Q53</f>
        <v>-777463852.08470929</v>
      </c>
      <c r="S53">
        <f t="shared" ref="S53" si="243">R53/100000</f>
        <v>-7774.6385208470929</v>
      </c>
      <c r="T53">
        <f t="shared" ref="T53" si="244">S53/1000</f>
        <v>-7.7746385208470929</v>
      </c>
    </row>
    <row r="54" spans="1:20" x14ac:dyDescent="0.25">
      <c r="A54" s="5">
        <v>44539</v>
      </c>
      <c r="B54">
        <v>0.32919999999999999</v>
      </c>
      <c r="C54">
        <v>0.33450000000000002</v>
      </c>
      <c r="D54">
        <v>0.27660000000000001</v>
      </c>
      <c r="E54">
        <v>0.27939999999999998</v>
      </c>
      <c r="F54">
        <v>28687865</v>
      </c>
      <c r="G54">
        <v>0.27939999999999998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-0.90328151986183181</v>
      </c>
      <c r="Q54">
        <f t="shared" ref="Q54" si="246">F54*P54</f>
        <v>-25913218.298791051</v>
      </c>
      <c r="R54">
        <f t="shared" ref="R54" si="247">R55+Q54</f>
        <v>-733083957.75513184</v>
      </c>
      <c r="S54">
        <f t="shared" ref="S54" si="248">R54/100000</f>
        <v>-7330.8395775513181</v>
      </c>
      <c r="T54">
        <f t="shared" ref="T54" si="249">S54/1000</f>
        <v>-7.330839577551318</v>
      </c>
    </row>
    <row r="55" spans="1:20" x14ac:dyDescent="0.25">
      <c r="A55" s="5">
        <v>44538</v>
      </c>
      <c r="B55">
        <v>0.34760000000000002</v>
      </c>
      <c r="C55">
        <v>0.39</v>
      </c>
      <c r="D55">
        <v>0.32</v>
      </c>
      <c r="E55">
        <v>0.32869999999999999</v>
      </c>
      <c r="F55">
        <v>93273670</v>
      </c>
      <c r="G55">
        <v>0.32869999999999999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-0.75142857142857189</v>
      </c>
      <c r="Q55">
        <f t="shared" ref="Q55" si="251">F55*P55</f>
        <v>-70088500.600000039</v>
      </c>
      <c r="R55">
        <f t="shared" ref="R55" si="252">R56+Q55</f>
        <v>-707170739.45634079</v>
      </c>
      <c r="S55">
        <f t="shared" ref="S55" si="253">R55/100000</f>
        <v>-7071.7073945634083</v>
      </c>
      <c r="T55">
        <f t="shared" ref="T55" si="254">S55/1000</f>
        <v>-7.0717073945634086</v>
      </c>
    </row>
    <row r="56" spans="1:20" x14ac:dyDescent="0.25">
      <c r="A56" s="5">
        <v>44537</v>
      </c>
      <c r="B56">
        <v>0.25290000000000001</v>
      </c>
      <c r="C56">
        <v>0.43590000000000001</v>
      </c>
      <c r="D56">
        <v>0.251</v>
      </c>
      <c r="E56">
        <v>0.34720000000000001</v>
      </c>
      <c r="F56">
        <v>381916663.64999998</v>
      </c>
      <c r="G56">
        <v>0.34720000000000001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4.0562466197944867E-2</v>
      </c>
      <c r="Q56">
        <f t="shared" ref="Q56" si="256">F56*P56</f>
        <v>15491481.759735003</v>
      </c>
      <c r="R56">
        <f t="shared" ref="R56" si="257">R57+Q56</f>
        <v>-637082238.85634077</v>
      </c>
      <c r="S56">
        <f t="shared" ref="S56" si="258">R56/100000</f>
        <v>-6370.8223885634079</v>
      </c>
      <c r="T56">
        <f t="shared" ref="T56" si="259">S56/1000</f>
        <v>-6.3708223885634077</v>
      </c>
    </row>
    <row r="57" spans="1:20" x14ac:dyDescent="0.25">
      <c r="A57" s="5">
        <v>44536</v>
      </c>
      <c r="B57">
        <v>0.22189999999999999</v>
      </c>
      <c r="C57">
        <v>0.27</v>
      </c>
      <c r="D57">
        <v>0.18679999999999999</v>
      </c>
      <c r="E57">
        <v>0.25309999999999999</v>
      </c>
      <c r="F57">
        <v>49565967</v>
      </c>
      <c r="G57">
        <v>0.25309999999999999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0.59374999999999944</v>
      </c>
      <c r="Q57">
        <f t="shared" ref="Q57" si="261">F57*P57</f>
        <v>29429792.906249974</v>
      </c>
      <c r="R57">
        <f t="shared" ref="R57" si="262">R58+Q57</f>
        <v>-652573720.61607575</v>
      </c>
      <c r="S57">
        <f t="shared" ref="S57" si="263">R57/100000</f>
        <v>-6525.7372061607575</v>
      </c>
      <c r="T57">
        <f t="shared" ref="T57" si="264">S57/1000</f>
        <v>-6.5257372061607573</v>
      </c>
    </row>
    <row r="58" spans="1:20" x14ac:dyDescent="0.25">
      <c r="A58" s="5">
        <v>44535</v>
      </c>
      <c r="B58">
        <v>0.2351</v>
      </c>
      <c r="C58">
        <v>0.2457</v>
      </c>
      <c r="D58">
        <v>0.21299999999999999</v>
      </c>
      <c r="E58">
        <v>0.2218</v>
      </c>
      <c r="F58">
        <v>17047774</v>
      </c>
      <c r="G58">
        <v>0.2218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-0.46177370030581039</v>
      </c>
      <c r="Q58">
        <f t="shared" ref="Q58" si="266">F58*P58</f>
        <v>-7872213.6819571862</v>
      </c>
      <c r="R58">
        <f t="shared" ref="R58" si="267">R59+Q58</f>
        <v>-682003513.52232575</v>
      </c>
      <c r="S58">
        <f t="shared" ref="S58" si="268">R58/100000</f>
        <v>-6820.0351352232574</v>
      </c>
      <c r="T58">
        <f t="shared" ref="T58" si="269">S58/1000</f>
        <v>-6.8200351352232573</v>
      </c>
    </row>
    <row r="59" spans="1:20" x14ac:dyDescent="0.25">
      <c r="A59" s="5">
        <v>44534</v>
      </c>
      <c r="B59">
        <v>0.27029999999999998</v>
      </c>
      <c r="C59">
        <v>0.27389999999999998</v>
      </c>
      <c r="D59">
        <v>0.2041</v>
      </c>
      <c r="E59">
        <v>0.2354</v>
      </c>
      <c r="F59">
        <v>25606084</v>
      </c>
      <c r="G59">
        <v>0.2354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-0.10315186246418319</v>
      </c>
      <c r="Q59">
        <f t="shared" ref="Q59" si="271">F59*P59</f>
        <v>-2641315.2550143218</v>
      </c>
      <c r="R59">
        <f t="shared" ref="R59" si="272">R60+Q59</f>
        <v>-674131299.84036851</v>
      </c>
      <c r="S59">
        <f t="shared" ref="S59" si="273">R59/100000</f>
        <v>-6741.312998403685</v>
      </c>
      <c r="T59">
        <f t="shared" ref="T59" si="274">S59/1000</f>
        <v>-6.7413129984036848</v>
      </c>
    </row>
    <row r="60" spans="1:20" x14ac:dyDescent="0.25">
      <c r="A60" s="5">
        <v>44533</v>
      </c>
      <c r="B60">
        <v>0.28470000000000001</v>
      </c>
      <c r="C60">
        <v>0.29170000000000001</v>
      </c>
      <c r="D60">
        <v>0.24879999999999999</v>
      </c>
      <c r="E60">
        <v>0.27029999999999998</v>
      </c>
      <c r="F60">
        <v>18549736</v>
      </c>
      <c r="G60">
        <v>0.27029999999999998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2.3310023310014263E-3</v>
      </c>
      <c r="Q60">
        <f t="shared" ref="Q60" si="276">F60*P60</f>
        <v>43239.477855461075</v>
      </c>
      <c r="R60">
        <f t="shared" ref="R60" si="277">R61+Q60</f>
        <v>-671489984.58535421</v>
      </c>
      <c r="S60">
        <f t="shared" ref="S60" si="278">R60/100000</f>
        <v>-6714.8998458535425</v>
      </c>
      <c r="T60">
        <f t="shared" ref="T60" si="279">S60/1000</f>
        <v>-6.7148998458535427</v>
      </c>
    </row>
    <row r="61" spans="1:20" x14ac:dyDescent="0.25">
      <c r="A61" s="5">
        <v>44532</v>
      </c>
      <c r="B61">
        <v>0.309</v>
      </c>
      <c r="C61">
        <v>0.30909999999999999</v>
      </c>
      <c r="D61">
        <v>0.2772</v>
      </c>
      <c r="E61">
        <v>0.28449999999999998</v>
      </c>
      <c r="F61">
        <v>15693277</v>
      </c>
      <c r="G61">
        <v>0.28449999999999998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-0.54231974921630244</v>
      </c>
      <c r="Q61">
        <f t="shared" ref="Q61" si="281">F61*P61</f>
        <v>-8510774.0470219664</v>
      </c>
      <c r="R61">
        <f t="shared" ref="R61" si="282">R62+Q61</f>
        <v>-671533224.06320965</v>
      </c>
      <c r="S61">
        <f t="shared" ref="S61" si="283">R61/100000</f>
        <v>-6715.3322406320967</v>
      </c>
      <c r="T61">
        <f t="shared" ref="T61" si="284">S61/1000</f>
        <v>-6.7153322406320965</v>
      </c>
    </row>
    <row r="62" spans="1:20" x14ac:dyDescent="0.25">
      <c r="A62" s="5">
        <v>44531</v>
      </c>
      <c r="B62">
        <v>0.31840000000000002</v>
      </c>
      <c r="C62">
        <v>0.32850000000000001</v>
      </c>
      <c r="D62">
        <v>0.30659999999999998</v>
      </c>
      <c r="E62">
        <v>0.309</v>
      </c>
      <c r="F62">
        <v>7830689</v>
      </c>
      <c r="G62">
        <v>0.309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-0.7808219178082183</v>
      </c>
      <c r="Q62">
        <f t="shared" ref="Q62" si="286">F62*P62</f>
        <v>-6114373.6027397187</v>
      </c>
      <c r="R62">
        <f t="shared" ref="R62" si="287">R63+Q62</f>
        <v>-663022450.01618767</v>
      </c>
      <c r="S62">
        <f t="shared" ref="S62" si="288">R62/100000</f>
        <v>-6630.2245001618767</v>
      </c>
      <c r="T62">
        <f t="shared" ref="T62" si="289">S62/1000</f>
        <v>-6.6302245001618765</v>
      </c>
    </row>
    <row r="63" spans="1:20" x14ac:dyDescent="0.25">
      <c r="A63" s="5">
        <v>44530</v>
      </c>
      <c r="B63">
        <v>0.34350000000000003</v>
      </c>
      <c r="C63">
        <v>0.3463</v>
      </c>
      <c r="D63">
        <v>0.31480000000000002</v>
      </c>
      <c r="E63">
        <v>0.31890000000000002</v>
      </c>
      <c r="F63">
        <v>13786430</v>
      </c>
      <c r="G63">
        <v>0.31890000000000002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-0.73968253968253994</v>
      </c>
      <c r="Q63">
        <f t="shared" ref="Q63" si="291">F63*P63</f>
        <v>-10197581.55555556</v>
      </c>
      <c r="R63">
        <f t="shared" ref="R63" si="292">R64+Q63</f>
        <v>-656908076.41344798</v>
      </c>
      <c r="S63">
        <f t="shared" ref="S63" si="293">R63/100000</f>
        <v>-6569.08076413448</v>
      </c>
      <c r="T63">
        <f t="shared" ref="T63" si="294">S63/1000</f>
        <v>-6.5690807641344797</v>
      </c>
    </row>
    <row r="64" spans="1:20" x14ac:dyDescent="0.25">
      <c r="A64" s="5">
        <v>44529</v>
      </c>
      <c r="B64">
        <v>0.311</v>
      </c>
      <c r="C64">
        <v>0.36320000000000002</v>
      </c>
      <c r="D64">
        <v>0.30819999999999997</v>
      </c>
      <c r="E64">
        <v>0.3427</v>
      </c>
      <c r="F64">
        <v>19525261</v>
      </c>
      <c r="G64">
        <v>0.3427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0.25454545454545452</v>
      </c>
      <c r="Q64">
        <f t="shared" ref="Q64" si="296">F64*P64</f>
        <v>4970066.4363636356</v>
      </c>
      <c r="R64">
        <f t="shared" ref="R64" si="297">R65+Q64</f>
        <v>-646710494.85789239</v>
      </c>
      <c r="S64">
        <f t="shared" ref="S64" si="298">R64/100000</f>
        <v>-6467.1049485789235</v>
      </c>
      <c r="T64">
        <f t="shared" ref="T64" si="299">S64/1000</f>
        <v>-6.4671049485789238</v>
      </c>
    </row>
    <row r="65" spans="1:20" x14ac:dyDescent="0.25">
      <c r="A65" s="5">
        <v>44528</v>
      </c>
      <c r="B65">
        <v>0.31369999999999998</v>
      </c>
      <c r="C65">
        <v>0.31490000000000001</v>
      </c>
      <c r="D65">
        <v>0.2878</v>
      </c>
      <c r="E65">
        <v>0.311</v>
      </c>
      <c r="F65">
        <v>10482636</v>
      </c>
      <c r="G65">
        <v>0.311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0.71217712177121673</v>
      </c>
      <c r="Q65">
        <f t="shared" ref="Q65" si="301">F65*P65</f>
        <v>7465493.5350553403</v>
      </c>
      <c r="R65">
        <f t="shared" ref="R65" si="302">R66+Q65</f>
        <v>-651680561.29425597</v>
      </c>
      <c r="S65">
        <f t="shared" ref="S65" si="303">R65/100000</f>
        <v>-6516.8056129425595</v>
      </c>
      <c r="T65">
        <f t="shared" ref="T65" si="304">S65/1000</f>
        <v>-6.5168056129425596</v>
      </c>
    </row>
    <row r="66" spans="1:20" x14ac:dyDescent="0.25">
      <c r="A66" s="5">
        <v>44527</v>
      </c>
      <c r="B66">
        <v>0.29270000000000002</v>
      </c>
      <c r="C66">
        <v>0.33989999999999998</v>
      </c>
      <c r="D66">
        <v>0.28920000000000001</v>
      </c>
      <c r="E66">
        <v>0.31380000000000002</v>
      </c>
      <c r="F66">
        <v>12296268</v>
      </c>
      <c r="G66">
        <v>0.31380000000000002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-2.9585798816566998E-2</v>
      </c>
      <c r="Q66">
        <f t="shared" ref="Q66" si="306">F66*P66</f>
        <v>-363794.91124259064</v>
      </c>
      <c r="R66">
        <f t="shared" ref="R66" si="307">R67+Q66</f>
        <v>-659146054.82931137</v>
      </c>
      <c r="S66">
        <f t="shared" ref="S66" si="308">R66/100000</f>
        <v>-6591.4605482931138</v>
      </c>
      <c r="T66">
        <f t="shared" ref="T66" si="309">S66/1000</f>
        <v>-6.5914605482931137</v>
      </c>
    </row>
    <row r="67" spans="1:20" x14ac:dyDescent="0.25">
      <c r="A67" s="5">
        <v>44526</v>
      </c>
      <c r="B67">
        <v>0.32700000000000001</v>
      </c>
      <c r="C67">
        <v>0.34499999999999997</v>
      </c>
      <c r="D67">
        <v>0.28670000000000001</v>
      </c>
      <c r="E67">
        <v>0.29239999999999999</v>
      </c>
      <c r="F67">
        <v>18082056</v>
      </c>
      <c r="G67">
        <v>0.29239999999999999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-0.80445969125214456</v>
      </c>
      <c r="Q67">
        <f t="shared" ref="Q67" si="311">F67*P67</f>
        <v>-14546285.186963988</v>
      </c>
      <c r="R67">
        <f t="shared" ref="R67" si="312">R68+Q67</f>
        <v>-658782259.91806877</v>
      </c>
      <c r="S67">
        <f t="shared" ref="S67" si="313">R67/100000</f>
        <v>-6587.8225991806876</v>
      </c>
      <c r="T67">
        <f t="shared" ref="T67" si="314">S67/1000</f>
        <v>-6.5878225991806874</v>
      </c>
    </row>
    <row r="68" spans="1:20" x14ac:dyDescent="0.25">
      <c r="A68" s="5">
        <v>44525</v>
      </c>
      <c r="B68">
        <v>0.3196</v>
      </c>
      <c r="C68">
        <v>0.34489999999999998</v>
      </c>
      <c r="D68">
        <v>0.313</v>
      </c>
      <c r="E68">
        <v>0.32700000000000001</v>
      </c>
      <c r="F68">
        <v>17922358</v>
      </c>
      <c r="G68">
        <v>0.32700000000000001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-0.12225705329153483</v>
      </c>
      <c r="Q68">
        <f t="shared" ref="Q68" si="316">F68*P68</f>
        <v>-2191134.6771159656</v>
      </c>
      <c r="R68">
        <f t="shared" ref="R68" si="317">R69+Q68</f>
        <v>-644235974.73110473</v>
      </c>
      <c r="S68">
        <f t="shared" ref="S68" si="318">R68/100000</f>
        <v>-6442.3597473110476</v>
      </c>
      <c r="T68">
        <f t="shared" ref="T68" si="319">S68/1000</f>
        <v>-6.4423597473110474</v>
      </c>
    </row>
    <row r="69" spans="1:20" x14ac:dyDescent="0.25">
      <c r="A69" s="5">
        <v>44524</v>
      </c>
      <c r="B69">
        <v>0.34239999999999998</v>
      </c>
      <c r="C69">
        <v>0.34239999999999998</v>
      </c>
      <c r="D69">
        <v>0.30499999999999999</v>
      </c>
      <c r="E69">
        <v>0.32019999999999998</v>
      </c>
      <c r="F69">
        <v>12245477</v>
      </c>
      <c r="G69">
        <v>0.32019999999999998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-0.18716577540106974</v>
      </c>
      <c r="Q69">
        <f t="shared" ref="Q69" si="321">F69*P69</f>
        <v>-2291934.197860965</v>
      </c>
      <c r="R69">
        <f t="shared" ref="R69" si="322">R70+Q69</f>
        <v>-642044840.05398881</v>
      </c>
      <c r="S69">
        <f t="shared" ref="S69" si="323">R69/100000</f>
        <v>-6420.4484005398881</v>
      </c>
      <c r="T69">
        <f t="shared" ref="T69" si="324">S69/1000</f>
        <v>-6.4204484005398879</v>
      </c>
    </row>
    <row r="70" spans="1:20" x14ac:dyDescent="0.25">
      <c r="A70" s="5">
        <v>44523</v>
      </c>
      <c r="B70">
        <v>0.30759999999999998</v>
      </c>
      <c r="C70">
        <v>0.3836</v>
      </c>
      <c r="D70">
        <v>0.29799999999999999</v>
      </c>
      <c r="E70">
        <v>0.34320000000000001</v>
      </c>
      <c r="F70">
        <v>39117246</v>
      </c>
      <c r="G70">
        <v>0.34320000000000001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5.6074766355140492E-2</v>
      </c>
      <c r="Q70">
        <f t="shared" ref="Q70" si="326">F70*P70</f>
        <v>2193490.4299065541</v>
      </c>
      <c r="R70">
        <f t="shared" ref="R70" si="327">R71+Q70</f>
        <v>-639752905.85612786</v>
      </c>
      <c r="S70">
        <f t="shared" ref="S70" si="328">R70/100000</f>
        <v>-6397.5290585612784</v>
      </c>
      <c r="T70">
        <f t="shared" ref="T70" si="329">S70/1000</f>
        <v>-6.3975290585612781</v>
      </c>
    </row>
    <row r="71" spans="1:20" x14ac:dyDescent="0.25">
      <c r="A71" s="5">
        <v>44522</v>
      </c>
      <c r="B71">
        <v>0.3256</v>
      </c>
      <c r="C71">
        <v>0.3301</v>
      </c>
      <c r="D71">
        <v>0.29260000000000003</v>
      </c>
      <c r="E71">
        <v>0.30769999999999997</v>
      </c>
      <c r="F71">
        <v>25176093</v>
      </c>
      <c r="G71">
        <v>0.30769999999999997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-0.19466666666666901</v>
      </c>
      <c r="Q71">
        <f t="shared" ref="Q71" si="331">F71*P71</f>
        <v>-4900946.104000059</v>
      </c>
      <c r="R71">
        <f t="shared" ref="R71" si="332">R72+Q71</f>
        <v>-641946396.28603446</v>
      </c>
      <c r="S71">
        <f t="shared" ref="S71" si="333">R71/100000</f>
        <v>-6419.4639628603445</v>
      </c>
      <c r="T71">
        <f t="shared" ref="T71" si="334">S71/1000</f>
        <v>-6.4194639628603447</v>
      </c>
    </row>
    <row r="72" spans="1:20" x14ac:dyDescent="0.25">
      <c r="A72" s="5">
        <v>44521</v>
      </c>
      <c r="B72">
        <v>0.35339999999999999</v>
      </c>
      <c r="C72">
        <v>0.35709999999999997</v>
      </c>
      <c r="D72">
        <v>0.32179999999999997</v>
      </c>
      <c r="E72">
        <v>0.32550000000000001</v>
      </c>
      <c r="F72">
        <v>12932175</v>
      </c>
      <c r="G72">
        <v>0.32550000000000001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-0.79036827195467219</v>
      </c>
      <c r="Q72">
        <f t="shared" ref="Q72" si="336">F72*P72</f>
        <v>-10221180.807365412</v>
      </c>
      <c r="R72">
        <f t="shared" ref="R72" si="337">R73+Q72</f>
        <v>-637045450.18203437</v>
      </c>
      <c r="S72">
        <f t="shared" ref="S72" si="338">R72/100000</f>
        <v>-6370.4545018203435</v>
      </c>
      <c r="T72">
        <f t="shared" ref="T72" si="339">S72/1000</f>
        <v>-6.3704545018203431</v>
      </c>
    </row>
    <row r="73" spans="1:20" x14ac:dyDescent="0.25">
      <c r="A73" s="5">
        <v>44520</v>
      </c>
      <c r="B73">
        <v>0.34320000000000001</v>
      </c>
      <c r="C73">
        <v>0.40529999999999999</v>
      </c>
      <c r="D73">
        <v>0.3382</v>
      </c>
      <c r="E73">
        <v>0.35410000000000003</v>
      </c>
      <c r="F73">
        <v>62089746</v>
      </c>
      <c r="G73">
        <v>0.35410000000000003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-0.52608047690014825</v>
      </c>
      <c r="Q73">
        <f t="shared" ref="Q73" si="341">F73*P73</f>
        <v>-32664203.186289072</v>
      </c>
      <c r="R73">
        <f t="shared" ref="R73" si="342">R74+Q73</f>
        <v>-626824269.37466896</v>
      </c>
      <c r="S73">
        <f t="shared" ref="S73" si="343">R73/100000</f>
        <v>-6268.2426937466898</v>
      </c>
      <c r="T73">
        <f t="shared" ref="T73" si="344">S73/1000</f>
        <v>-6.2682426937466902</v>
      </c>
    </row>
    <row r="74" spans="1:20" x14ac:dyDescent="0.25">
      <c r="A74" s="5">
        <v>44519</v>
      </c>
      <c r="B74">
        <v>0.27100000000000002</v>
      </c>
      <c r="C74">
        <v>0.38500000000000001</v>
      </c>
      <c r="D74">
        <v>0.26490000000000002</v>
      </c>
      <c r="E74">
        <v>0.34350000000000003</v>
      </c>
      <c r="F74">
        <v>71272248</v>
      </c>
      <c r="G74">
        <v>0.34350000000000003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0.30890924229808514</v>
      </c>
      <c r="Q74">
        <f t="shared" ref="Q74" si="346">F74*P74</f>
        <v>22016656.126561213</v>
      </c>
      <c r="R74">
        <f t="shared" ref="R74" si="347">R75+Q74</f>
        <v>-594160066.18837988</v>
      </c>
      <c r="S74">
        <f t="shared" ref="S74" si="348">R74/100000</f>
        <v>-5941.6006618837991</v>
      </c>
      <c r="T74">
        <f t="shared" ref="T74" si="349">S74/1000</f>
        <v>-5.9416006618837995</v>
      </c>
    </row>
    <row r="75" spans="1:20" x14ac:dyDescent="0.25">
      <c r="A75" s="5">
        <v>44518</v>
      </c>
      <c r="B75">
        <v>0.31509999999999999</v>
      </c>
      <c r="C75">
        <v>0.32340000000000002</v>
      </c>
      <c r="D75">
        <v>0.25750000000000001</v>
      </c>
      <c r="E75">
        <v>0.2707</v>
      </c>
      <c r="F75">
        <v>27021157</v>
      </c>
      <c r="G75">
        <v>0.2707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-0.59939301972685932</v>
      </c>
      <c r="Q75">
        <f t="shared" ref="Q75" si="351">F75*P75</f>
        <v>-16196292.890743563</v>
      </c>
      <c r="R75">
        <f t="shared" ref="R75" si="352">R76+Q75</f>
        <v>-616176722.31494105</v>
      </c>
      <c r="S75">
        <f t="shared" ref="S75" si="353">R75/100000</f>
        <v>-6161.7672231494107</v>
      </c>
      <c r="T75">
        <f t="shared" ref="T75" si="354">S75/1000</f>
        <v>-6.1617672231494103</v>
      </c>
    </row>
    <row r="76" spans="1:20" x14ac:dyDescent="0.25">
      <c r="A76" s="5">
        <v>44517</v>
      </c>
      <c r="B76">
        <v>0.29859999999999998</v>
      </c>
      <c r="C76">
        <v>0.32440000000000002</v>
      </c>
      <c r="D76">
        <v>0.27729999999999999</v>
      </c>
      <c r="E76">
        <v>0.31480000000000002</v>
      </c>
      <c r="F76">
        <v>16668270</v>
      </c>
      <c r="G76">
        <v>0.31480000000000002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0.5923566878980896</v>
      </c>
      <c r="Q76">
        <f t="shared" ref="Q76" si="356">F76*P76</f>
        <v>9873561.2101910897</v>
      </c>
      <c r="R76">
        <f t="shared" ref="R76" si="357">R77+Q76</f>
        <v>-599980429.42419744</v>
      </c>
      <c r="S76">
        <f t="shared" ref="S76" si="358">R76/100000</f>
        <v>-5999.8042942419743</v>
      </c>
      <c r="T76">
        <f t="shared" ref="T76" si="359">S76/1000</f>
        <v>-5.999804294241974</v>
      </c>
    </row>
    <row r="77" spans="1:20" x14ac:dyDescent="0.25">
      <c r="A77" s="5">
        <v>44516</v>
      </c>
      <c r="B77">
        <v>0.32729999999999998</v>
      </c>
      <c r="C77">
        <v>0.32829999999999998</v>
      </c>
      <c r="D77">
        <v>0.28170000000000001</v>
      </c>
      <c r="E77">
        <v>0.29820000000000002</v>
      </c>
      <c r="F77">
        <v>27695698</v>
      </c>
      <c r="G77">
        <v>0.29820000000000002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-0.29184549356223077</v>
      </c>
      <c r="Q77">
        <f t="shared" ref="Q77" si="361">F77*P77</f>
        <v>-8082864.6523604877</v>
      </c>
      <c r="R77">
        <f t="shared" ref="R77" si="362">R78+Q77</f>
        <v>-609853990.63438857</v>
      </c>
      <c r="S77">
        <f t="shared" ref="S77" si="363">R77/100000</f>
        <v>-6098.5399063438854</v>
      </c>
      <c r="T77">
        <f t="shared" ref="T77" si="364">S77/1000</f>
        <v>-6.098539906343885</v>
      </c>
    </row>
    <row r="78" spans="1:20" x14ac:dyDescent="0.25">
      <c r="A78" s="5">
        <v>44515</v>
      </c>
      <c r="B78">
        <v>0.35070000000000001</v>
      </c>
      <c r="C78">
        <v>0.40699999999999997</v>
      </c>
      <c r="D78">
        <v>0.32600000000000001</v>
      </c>
      <c r="E78">
        <v>0.32719999999999999</v>
      </c>
      <c r="F78">
        <v>93495368.439999998</v>
      </c>
      <c r="G78">
        <v>0.32719999999999999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-0.97037037037037088</v>
      </c>
      <c r="Q78">
        <f t="shared" ref="Q78" si="366">F78*P78</f>
        <v>-90725135.301037088</v>
      </c>
      <c r="R78">
        <f t="shared" ref="R78" si="367">R79+Q78</f>
        <v>-601771125.98202813</v>
      </c>
      <c r="S78">
        <f t="shared" ref="S78" si="368">R78/100000</f>
        <v>-6017.7112598202812</v>
      </c>
      <c r="T78">
        <f t="shared" ref="T78" si="369">S78/1000</f>
        <v>-6.0177112598202811</v>
      </c>
    </row>
    <row r="79" spans="1:20" x14ac:dyDescent="0.25">
      <c r="A79" s="5">
        <v>44514</v>
      </c>
      <c r="B79">
        <v>0.2838</v>
      </c>
      <c r="C79">
        <v>0.37809999999999999</v>
      </c>
      <c r="D79">
        <v>0.27910000000000001</v>
      </c>
      <c r="E79">
        <v>0.35010000000000002</v>
      </c>
      <c r="F79">
        <v>43898709.840000004</v>
      </c>
      <c r="G79">
        <v>0.35010000000000002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0.43434343434343481</v>
      </c>
      <c r="Q79">
        <f t="shared" ref="Q79" si="371">F79*P79</f>
        <v>19067116.395151537</v>
      </c>
      <c r="R79">
        <f t="shared" ref="R79" si="372">R80+Q79</f>
        <v>-511045990.68099099</v>
      </c>
      <c r="S79">
        <f t="shared" ref="S79" si="373">R79/100000</f>
        <v>-5110.4599068099096</v>
      </c>
      <c r="T79">
        <f t="shared" ref="T79" si="374">S79/1000</f>
        <v>-5.1104599068099095</v>
      </c>
    </row>
    <row r="80" spans="1:20" x14ac:dyDescent="0.25">
      <c r="A80" s="5">
        <v>44513</v>
      </c>
      <c r="B80">
        <v>0.30430000000000001</v>
      </c>
      <c r="C80">
        <v>0.30430000000000001</v>
      </c>
      <c r="D80">
        <v>0.2787</v>
      </c>
      <c r="E80">
        <v>0.28360000000000002</v>
      </c>
      <c r="F80">
        <v>14704178</v>
      </c>
      <c r="G80">
        <v>0.28360000000000002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-0.617187499999999</v>
      </c>
      <c r="Q80">
        <f t="shared" ref="Q80" si="376">F80*P80</f>
        <v>-9075234.8593749851</v>
      </c>
      <c r="R80">
        <f t="shared" ref="R80" si="377">R81+Q80</f>
        <v>-530113107.07614255</v>
      </c>
      <c r="S80">
        <f t="shared" ref="S80" si="378">R80/100000</f>
        <v>-5301.1310707614257</v>
      </c>
      <c r="T80">
        <f t="shared" ref="T80" si="379">S80/1000</f>
        <v>-5.3011310707614259</v>
      </c>
    </row>
    <row r="81" spans="1:20" x14ac:dyDescent="0.25">
      <c r="A81" s="5">
        <v>44512</v>
      </c>
      <c r="B81">
        <v>0.34810000000000002</v>
      </c>
      <c r="C81">
        <v>0.3569</v>
      </c>
      <c r="D81">
        <v>0.28799999999999998</v>
      </c>
      <c r="E81">
        <v>0.30459999999999998</v>
      </c>
      <c r="F81">
        <v>32040367.82</v>
      </c>
      <c r="G81">
        <v>0.30459999999999998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-0.51814223512336721</v>
      </c>
      <c r="Q81">
        <f t="shared" ref="Q81" si="381">F81*P81</f>
        <v>-16601467.796429608</v>
      </c>
      <c r="R81">
        <f t="shared" ref="R81" si="382">R82+Q81</f>
        <v>-521037872.21676755</v>
      </c>
      <c r="S81">
        <f t="shared" ref="S81" si="383">R81/100000</f>
        <v>-5210.3787221676757</v>
      </c>
      <c r="T81">
        <f t="shared" ref="T81" si="384">S81/1000</f>
        <v>-5.2103787221676754</v>
      </c>
    </row>
    <row r="82" spans="1:20" x14ac:dyDescent="0.25">
      <c r="A82" s="5">
        <v>44511</v>
      </c>
      <c r="B82">
        <v>0.25900000000000001</v>
      </c>
      <c r="C82">
        <v>0.35199999999999998</v>
      </c>
      <c r="D82">
        <v>0.25850000000000001</v>
      </c>
      <c r="E82">
        <v>0.34839999999999999</v>
      </c>
      <c r="F82">
        <v>47412056.850000001</v>
      </c>
      <c r="G82">
        <v>0.34839999999999999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0.9229946524064172</v>
      </c>
      <c r="Q82">
        <f t="shared" ref="Q82" si="386">F82*P82</f>
        <v>43761074.932139046</v>
      </c>
      <c r="R82">
        <f t="shared" ref="R82" si="387">R83+Q82</f>
        <v>-504436404.42033792</v>
      </c>
      <c r="S82">
        <f t="shared" ref="S82" si="388">R82/100000</f>
        <v>-5044.3640442033793</v>
      </c>
      <c r="T82">
        <f t="shared" ref="T82" si="389">S82/1000</f>
        <v>-5.0443640442033795</v>
      </c>
    </row>
    <row r="83" spans="1:20" x14ac:dyDescent="0.25">
      <c r="A83" s="5">
        <v>44510</v>
      </c>
      <c r="B83">
        <v>0.26069999999999999</v>
      </c>
      <c r="C83">
        <v>0.30609999999999998</v>
      </c>
      <c r="D83">
        <v>0.25600000000000001</v>
      </c>
      <c r="E83">
        <v>0.2586</v>
      </c>
      <c r="F83">
        <v>35253480.25</v>
      </c>
      <c r="G83">
        <v>0.2586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-0.89620758483033958</v>
      </c>
      <c r="Q83">
        <f t="shared" ref="Q83" si="391">F83*P83</f>
        <v>-31594436.391716577</v>
      </c>
      <c r="R83">
        <f t="shared" ref="R83" si="392">R84+Q83</f>
        <v>-548197479.35247695</v>
      </c>
      <c r="S83">
        <f t="shared" ref="S83" si="393">R83/100000</f>
        <v>-5481.9747935247697</v>
      </c>
      <c r="T83">
        <f t="shared" ref="T83" si="394">S83/1000</f>
        <v>-5.4819747935247696</v>
      </c>
    </row>
    <row r="84" spans="1:20" x14ac:dyDescent="0.25">
      <c r="A84" s="5">
        <v>44509</v>
      </c>
      <c r="B84">
        <v>0.2676</v>
      </c>
      <c r="C84">
        <v>0.28270000000000001</v>
      </c>
      <c r="D84">
        <v>0.25559999999999999</v>
      </c>
      <c r="E84">
        <v>0.26029999999999998</v>
      </c>
      <c r="F84">
        <v>18722672</v>
      </c>
      <c r="G84">
        <v>0.26029999999999998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-0.65313653136531513</v>
      </c>
      <c r="Q84">
        <f t="shared" ref="Q84" si="396">F84*P84</f>
        <v>-12228461.047970507</v>
      </c>
      <c r="R84">
        <f t="shared" ref="R84" si="397">R85+Q84</f>
        <v>-516603042.96076041</v>
      </c>
      <c r="S84">
        <f t="shared" ref="S84" si="398">R84/100000</f>
        <v>-5166.0304296076038</v>
      </c>
      <c r="T84">
        <f t="shared" ref="T84" si="399">S84/1000</f>
        <v>-5.1660304296076038</v>
      </c>
    </row>
    <row r="85" spans="1:20" x14ac:dyDescent="0.25">
      <c r="A85" s="5">
        <v>44508</v>
      </c>
      <c r="B85">
        <v>0.2465</v>
      </c>
      <c r="C85">
        <v>0.28899999999999998</v>
      </c>
      <c r="D85">
        <v>0.2424</v>
      </c>
      <c r="E85">
        <v>0.26750000000000002</v>
      </c>
      <c r="F85">
        <v>54122167.969999999</v>
      </c>
      <c r="G85">
        <v>0.26750000000000002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7.7253218884121233E-2</v>
      </c>
      <c r="Q85">
        <f t="shared" ref="Q85" si="401">F85*P85</f>
        <v>4181111.6886695852</v>
      </c>
      <c r="R85">
        <f t="shared" ref="R85" si="402">R86+Q85</f>
        <v>-504374581.91278988</v>
      </c>
      <c r="S85">
        <f t="shared" ref="S85" si="403">R85/100000</f>
        <v>-5043.7458191278984</v>
      </c>
      <c r="T85">
        <f t="shared" ref="T85" si="404">S85/1000</f>
        <v>-5.0437458191278983</v>
      </c>
    </row>
    <row r="86" spans="1:20" x14ac:dyDescent="0.25">
      <c r="A86" s="5">
        <v>44507</v>
      </c>
      <c r="B86">
        <v>0.2069</v>
      </c>
      <c r="C86">
        <v>0.2868</v>
      </c>
      <c r="D86">
        <v>0.20580000000000001</v>
      </c>
      <c r="E86">
        <v>0.24629999999999999</v>
      </c>
      <c r="F86">
        <v>126508043.52</v>
      </c>
      <c r="G86">
        <v>0.24629999999999999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-3.4266142735344342E-16</v>
      </c>
      <c r="Q86">
        <f t="shared" ref="Q86" si="406">F86*P86</f>
        <v>-4.3349426764254737E-8</v>
      </c>
      <c r="R86">
        <f t="shared" ref="R86" si="407">R87+Q86</f>
        <v>-508555693.60145944</v>
      </c>
      <c r="S86">
        <f t="shared" ref="S86" si="408">R86/100000</f>
        <v>-5085.5569360145946</v>
      </c>
      <c r="T86">
        <f t="shared" ref="T86" si="409">S86/1000</f>
        <v>-5.0855569360145942</v>
      </c>
    </row>
    <row r="87" spans="1:20" x14ac:dyDescent="0.25">
      <c r="A87" s="5">
        <v>44506</v>
      </c>
      <c r="B87">
        <v>0.20860000000000001</v>
      </c>
      <c r="C87">
        <v>0.2177</v>
      </c>
      <c r="D87">
        <v>0.19289999999999999</v>
      </c>
      <c r="E87">
        <v>0.2069</v>
      </c>
      <c r="F87">
        <v>12823412</v>
      </c>
      <c r="G87">
        <v>0.2069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0.12903225806451638</v>
      </c>
      <c r="Q87">
        <f t="shared" ref="Q87" si="411">F87*P87</f>
        <v>1654633.8064516161</v>
      </c>
      <c r="R87">
        <f t="shared" ref="R87" si="412">R88+Q87</f>
        <v>-508555693.60145938</v>
      </c>
      <c r="S87">
        <f t="shared" ref="S87" si="413">R87/100000</f>
        <v>-5085.5569360145937</v>
      </c>
      <c r="T87">
        <f t="shared" ref="T87" si="414">S87/1000</f>
        <v>-5.0855569360145934</v>
      </c>
    </row>
    <row r="88" spans="1:20" x14ac:dyDescent="0.25">
      <c r="A88" s="5">
        <v>44505</v>
      </c>
      <c r="B88">
        <v>0.18859999999999999</v>
      </c>
      <c r="C88">
        <v>0.22270000000000001</v>
      </c>
      <c r="D88">
        <v>0.1837</v>
      </c>
      <c r="E88">
        <v>0.20849999999999999</v>
      </c>
      <c r="F88">
        <v>41376123.090000004</v>
      </c>
      <c r="G88">
        <v>0.20849999999999999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0.271794871794871</v>
      </c>
      <c r="Q88">
        <f t="shared" ref="Q88" si="416">F88*P88</f>
        <v>11245818.070615353</v>
      </c>
      <c r="R88">
        <f t="shared" ref="R88" si="417">R89+Q88</f>
        <v>-510210327.407911</v>
      </c>
      <c r="S88">
        <f t="shared" ref="S88" si="418">R88/100000</f>
        <v>-5102.1032740791097</v>
      </c>
      <c r="T88">
        <f t="shared" ref="T88" si="419">S88/1000</f>
        <v>-5.1021032740791101</v>
      </c>
    </row>
    <row r="89" spans="1:20" x14ac:dyDescent="0.25">
      <c r="A89" s="5">
        <v>44504</v>
      </c>
      <c r="B89">
        <v>0.1777</v>
      </c>
      <c r="C89">
        <v>0.19239999999999999</v>
      </c>
      <c r="D89">
        <v>0.17680000000000001</v>
      </c>
      <c r="E89">
        <v>0.18870000000000001</v>
      </c>
      <c r="F89">
        <v>13767146</v>
      </c>
      <c r="G89">
        <v>0.18870000000000001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0.52564102564102733</v>
      </c>
      <c r="Q89">
        <f t="shared" ref="Q89" si="421">F89*P89</f>
        <v>7236576.7435897673</v>
      </c>
      <c r="R89">
        <f t="shared" ref="R89" si="422">R90+Q89</f>
        <v>-521456145.47852635</v>
      </c>
      <c r="S89">
        <f t="shared" ref="S89" si="423">R89/100000</f>
        <v>-5214.5614547852638</v>
      </c>
      <c r="T89">
        <f t="shared" ref="T89" si="424">S89/1000</f>
        <v>-5.2145614547852635</v>
      </c>
    </row>
    <row r="90" spans="1:20" x14ac:dyDescent="0.25">
      <c r="A90" s="5">
        <v>44503</v>
      </c>
      <c r="B90">
        <v>0.17269999999999999</v>
      </c>
      <c r="C90">
        <v>0.17949999999999999</v>
      </c>
      <c r="D90">
        <v>0.1673</v>
      </c>
      <c r="E90">
        <v>0.17749999999999999</v>
      </c>
      <c r="F90">
        <v>9635514</v>
      </c>
      <c r="G90">
        <v>0.17749999999999999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0.67213114754098302</v>
      </c>
      <c r="Q90">
        <f t="shared" ref="Q90" si="426">F90*P90</f>
        <v>6476329.0819672076</v>
      </c>
      <c r="R90">
        <f t="shared" ref="R90" si="427">R91+Q90</f>
        <v>-528692722.22211611</v>
      </c>
      <c r="S90">
        <f t="shared" ref="S90" si="428">R90/100000</f>
        <v>-5286.9272222211612</v>
      </c>
      <c r="T90">
        <f t="shared" ref="T90" si="429">S90/1000</f>
        <v>-5.286927222221161</v>
      </c>
    </row>
    <row r="91" spans="1:20" x14ac:dyDescent="0.25">
      <c r="A91" s="5">
        <v>44502</v>
      </c>
      <c r="B91">
        <v>0.16900000000000001</v>
      </c>
      <c r="C91">
        <v>0.19359999999999999</v>
      </c>
      <c r="D91">
        <v>0.1676</v>
      </c>
      <c r="E91">
        <v>0.1729</v>
      </c>
      <c r="F91">
        <v>28302502</v>
      </c>
      <c r="G91">
        <v>0.1729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-0.59230769230769231</v>
      </c>
      <c r="Q91">
        <f t="shared" ref="Q91" si="431">F91*P91</f>
        <v>-16763789.646153847</v>
      </c>
      <c r="R91">
        <f t="shared" ref="R91" si="432">R92+Q91</f>
        <v>-535169051.30408335</v>
      </c>
      <c r="S91">
        <f t="shared" ref="S91" si="433">R91/100000</f>
        <v>-5351.6905130408331</v>
      </c>
      <c r="T91">
        <f t="shared" ref="T91" si="434">S91/1000</f>
        <v>-5.3516905130408334</v>
      </c>
    </row>
    <row r="92" spans="1:20" x14ac:dyDescent="0.25">
      <c r="A92" s="5">
        <v>44501</v>
      </c>
      <c r="B92">
        <v>0.17460000000000001</v>
      </c>
      <c r="C92">
        <v>0.19320000000000001</v>
      </c>
      <c r="D92">
        <v>0.1673</v>
      </c>
      <c r="E92">
        <v>0.16900000000000001</v>
      </c>
      <c r="F92">
        <v>15107138</v>
      </c>
      <c r="G92">
        <v>0.16900000000000001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-0.86872586872586821</v>
      </c>
      <c r="Q92">
        <f t="shared" ref="Q92" si="436">F92*P92</f>
        <v>-13123961.583011575</v>
      </c>
      <c r="R92">
        <f t="shared" ref="R92" si="437">R93+Q92</f>
        <v>-518405261.65792948</v>
      </c>
      <c r="S92">
        <f t="shared" ref="S92" si="438">R92/100000</f>
        <v>-5184.0526165792944</v>
      </c>
      <c r="T92">
        <f t="shared" ref="T92" si="439">S92/1000</f>
        <v>-5.1840526165792946</v>
      </c>
    </row>
    <row r="93" spans="1:20" x14ac:dyDescent="0.25">
      <c r="A93" s="5">
        <v>44500</v>
      </c>
      <c r="B93">
        <v>0.16220000000000001</v>
      </c>
      <c r="C93">
        <v>0.1799</v>
      </c>
      <c r="D93">
        <v>0.16009999999999999</v>
      </c>
      <c r="E93">
        <v>0.17460000000000001</v>
      </c>
      <c r="F93">
        <v>18871284</v>
      </c>
      <c r="G93">
        <v>0.17460000000000001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0.46464646464646503</v>
      </c>
      <c r="Q93">
        <f t="shared" ref="Q93" si="441">F93*P93</f>
        <v>8768475.393939402</v>
      </c>
      <c r="R93">
        <f t="shared" ref="R93" si="442">R94+Q93</f>
        <v>-505281300.07491791</v>
      </c>
      <c r="S93">
        <f t="shared" ref="S93" si="443">R93/100000</f>
        <v>-5052.8130007491791</v>
      </c>
      <c r="T93">
        <f t="shared" ref="T93" si="444">S93/1000</f>
        <v>-5.0528130007491789</v>
      </c>
    </row>
    <row r="94" spans="1:20" x14ac:dyDescent="0.25">
      <c r="A94" s="5">
        <v>44499</v>
      </c>
      <c r="B94">
        <v>0.16250000000000001</v>
      </c>
      <c r="C94">
        <v>0.16830000000000001</v>
      </c>
      <c r="D94">
        <v>0.157</v>
      </c>
      <c r="E94">
        <v>0.16200000000000001</v>
      </c>
      <c r="F94">
        <v>8084265</v>
      </c>
      <c r="G94">
        <v>0.16200000000000001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-0.11504424778761019</v>
      </c>
      <c r="Q94">
        <f t="shared" ref="Q94" si="446">F94*P94</f>
        <v>-930048.18584070448</v>
      </c>
      <c r="R94">
        <f t="shared" ref="R94" si="447">R95+Q94</f>
        <v>-514049775.46885729</v>
      </c>
      <c r="S94">
        <f t="shared" ref="S94" si="448">R94/100000</f>
        <v>-5140.497754688573</v>
      </c>
      <c r="T94">
        <f t="shared" ref="T94" si="449">S94/1000</f>
        <v>-5.1404977546885728</v>
      </c>
    </row>
    <row r="95" spans="1:20" x14ac:dyDescent="0.25">
      <c r="A95" s="5">
        <v>44498</v>
      </c>
      <c r="B95">
        <v>0.15759999999999999</v>
      </c>
      <c r="C95">
        <v>0.1721</v>
      </c>
      <c r="D95">
        <v>0.15540000000000001</v>
      </c>
      <c r="E95">
        <v>0.16220000000000001</v>
      </c>
      <c r="F95">
        <v>16156002</v>
      </c>
      <c r="G95">
        <v>0.16220000000000001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-0.18562874251496964</v>
      </c>
      <c r="Q95">
        <f t="shared" ref="Q95" si="451">F95*P95</f>
        <v>-2999018.3353293343</v>
      </c>
      <c r="R95">
        <f t="shared" ref="R95" si="452">R96+Q95</f>
        <v>-513119727.28301656</v>
      </c>
      <c r="S95">
        <f t="shared" ref="S95" si="453">R95/100000</f>
        <v>-5131.1972728301653</v>
      </c>
      <c r="T95">
        <f t="shared" ref="T95" si="454">S95/1000</f>
        <v>-5.1311972728301649</v>
      </c>
    </row>
    <row r="96" spans="1:20" x14ac:dyDescent="0.25">
      <c r="A96" s="5">
        <v>44497</v>
      </c>
      <c r="B96">
        <v>0.15240000000000001</v>
      </c>
      <c r="C96">
        <v>0.1583</v>
      </c>
      <c r="D96">
        <v>0.14949999999999999</v>
      </c>
      <c r="E96">
        <v>0.15790000000000001</v>
      </c>
      <c r="F96">
        <v>7263330</v>
      </c>
      <c r="G96">
        <v>0.15790000000000001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0.90909090909091284</v>
      </c>
      <c r="Q96">
        <f t="shared" ref="Q96" si="456">F96*P96</f>
        <v>6603027.2727272995</v>
      </c>
      <c r="R96">
        <f t="shared" ref="R96" si="457">R97+Q96</f>
        <v>-510120708.94768721</v>
      </c>
      <c r="S96">
        <f t="shared" ref="S96" si="458">R96/100000</f>
        <v>-5101.2070894768722</v>
      </c>
      <c r="T96">
        <f t="shared" ref="T96" si="459">S96/1000</f>
        <v>-5.1012070894768717</v>
      </c>
    </row>
    <row r="97" spans="1:20" x14ac:dyDescent="0.25">
      <c r="A97" s="5">
        <v>44496</v>
      </c>
      <c r="B97">
        <v>0.16489999999999999</v>
      </c>
      <c r="C97">
        <v>0.1661</v>
      </c>
      <c r="D97">
        <v>0.15040000000000001</v>
      </c>
      <c r="E97">
        <v>0.15240000000000001</v>
      </c>
      <c r="F97">
        <v>22934279</v>
      </c>
      <c r="G97">
        <v>0.15240000000000001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-0.74522292993630534</v>
      </c>
      <c r="Q97">
        <f t="shared" ref="Q97" si="461">F97*P97</f>
        <v>-17091150.592356678</v>
      </c>
      <c r="R97">
        <f t="shared" ref="R97" si="462">R98+Q97</f>
        <v>-516723736.22041452</v>
      </c>
      <c r="S97">
        <f t="shared" ref="S97" si="463">R97/100000</f>
        <v>-5167.237362204145</v>
      </c>
      <c r="T97">
        <f t="shared" ref="T97" si="464">S97/1000</f>
        <v>-5.167237362204145</v>
      </c>
    </row>
    <row r="98" spans="1:20" x14ac:dyDescent="0.25">
      <c r="A98" s="5">
        <v>44495</v>
      </c>
      <c r="B98">
        <v>0.16900000000000001</v>
      </c>
      <c r="C98">
        <v>0.17710000000000001</v>
      </c>
      <c r="D98">
        <v>0.1643</v>
      </c>
      <c r="E98">
        <v>0.16500000000000001</v>
      </c>
      <c r="F98">
        <v>8657375</v>
      </c>
      <c r="G98">
        <v>0.16500000000000001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-0.89062499999999911</v>
      </c>
      <c r="Q98">
        <f t="shared" ref="Q98" si="466">F98*P98</f>
        <v>-7710474.6093749925</v>
      </c>
      <c r="R98">
        <f t="shared" ref="R98" si="467">R99+Q98</f>
        <v>-499632585.62805784</v>
      </c>
      <c r="S98">
        <f t="shared" ref="S98" si="468">R98/100000</f>
        <v>-4996.3258562805786</v>
      </c>
      <c r="T98">
        <f t="shared" ref="T98" si="469">S98/1000</f>
        <v>-4.9963258562805786</v>
      </c>
    </row>
    <row r="99" spans="1:20" x14ac:dyDescent="0.25">
      <c r="A99" s="5">
        <v>44494</v>
      </c>
      <c r="B99">
        <v>0.16839999999999999</v>
      </c>
      <c r="C99">
        <v>0.17280000000000001</v>
      </c>
      <c r="D99">
        <v>0.1653</v>
      </c>
      <c r="E99">
        <v>0.1691</v>
      </c>
      <c r="F99">
        <v>24151928</v>
      </c>
      <c r="G99">
        <v>0.1691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1.3333333333331853E-2</v>
      </c>
      <c r="Q99">
        <f t="shared" ref="Q99" si="471">F99*P99</f>
        <v>322025.70666663093</v>
      </c>
      <c r="R99">
        <f t="shared" ref="R99" si="472">R100+Q99</f>
        <v>-491922111.01868284</v>
      </c>
      <c r="S99">
        <f t="shared" ref="S99" si="473">R99/100000</f>
        <v>-4919.2211101868288</v>
      </c>
      <c r="T99">
        <f t="shared" ref="T99" si="474">S99/1000</f>
        <v>-4.9192211101868288</v>
      </c>
    </row>
    <row r="100" spans="1:20" x14ac:dyDescent="0.25">
      <c r="A100" s="5">
        <v>44493</v>
      </c>
      <c r="B100">
        <v>0.17130000000000001</v>
      </c>
      <c r="C100">
        <v>0.1799</v>
      </c>
      <c r="D100">
        <v>0.16420000000000001</v>
      </c>
      <c r="E100">
        <v>0.16839999999999999</v>
      </c>
      <c r="F100">
        <v>36189769</v>
      </c>
      <c r="G100">
        <v>0.16839999999999999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-0.4649681528662441</v>
      </c>
      <c r="Q100">
        <f t="shared" ref="Q100" si="476">F100*P100</f>
        <v>-16827090.044586062</v>
      </c>
      <c r="R100">
        <f t="shared" ref="R100" si="477">R101+Q100</f>
        <v>-492244136.72534949</v>
      </c>
      <c r="S100">
        <f t="shared" ref="S100" si="478">R100/100000</f>
        <v>-4922.4413672534947</v>
      </c>
      <c r="T100">
        <f t="shared" ref="T100" si="479">S100/1000</f>
        <v>-4.9224413672534943</v>
      </c>
    </row>
    <row r="101" spans="1:20" x14ac:dyDescent="0.25">
      <c r="A101" s="5">
        <v>44492</v>
      </c>
      <c r="B101">
        <v>0.16650000000000001</v>
      </c>
      <c r="C101">
        <v>0.1739</v>
      </c>
      <c r="D101">
        <v>0.16569999999999999</v>
      </c>
      <c r="E101">
        <v>0.17119999999999999</v>
      </c>
      <c r="F101">
        <v>5009556</v>
      </c>
      <c r="G101">
        <v>0.17119999999999999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0.34146341463414542</v>
      </c>
      <c r="Q101">
        <f t="shared" ref="Q101" si="481">F101*P101</f>
        <v>1710580.097560971</v>
      </c>
      <c r="R101">
        <f t="shared" ref="R101" si="482">R102+Q101</f>
        <v>-475417046.68076342</v>
      </c>
      <c r="S101">
        <f t="shared" ref="S101" si="483">R101/100000</f>
        <v>-4754.1704668076345</v>
      </c>
      <c r="T101">
        <f t="shared" ref="T101" si="484">S101/1000</f>
        <v>-4.7541704668076346</v>
      </c>
    </row>
    <row r="102" spans="1:20" x14ac:dyDescent="0.25">
      <c r="A102" s="5">
        <v>44491</v>
      </c>
      <c r="B102">
        <v>0.1731</v>
      </c>
      <c r="C102">
        <v>0.1774</v>
      </c>
      <c r="D102">
        <v>0.16520000000000001</v>
      </c>
      <c r="E102">
        <v>0.16639999999999999</v>
      </c>
      <c r="F102">
        <v>8167808</v>
      </c>
      <c r="G102">
        <v>0.16639999999999999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-0.8032786885245935</v>
      </c>
      <c r="Q102">
        <f t="shared" ref="Q102" si="486">F102*P102</f>
        <v>-6561026.0983606828</v>
      </c>
      <c r="R102">
        <f t="shared" ref="R102" si="487">R103+Q102</f>
        <v>-477127626.77832437</v>
      </c>
      <c r="S102">
        <f t="shared" ref="S102" si="488">R102/100000</f>
        <v>-4771.2762677832434</v>
      </c>
      <c r="T102">
        <f t="shared" ref="T102" si="489">S102/1000</f>
        <v>-4.771276267783243</v>
      </c>
    </row>
    <row r="103" spans="1:20" x14ac:dyDescent="0.25">
      <c r="A103" s="5">
        <v>44490</v>
      </c>
      <c r="B103">
        <v>0.1807</v>
      </c>
      <c r="C103">
        <v>0.1812</v>
      </c>
      <c r="D103">
        <v>0.1686</v>
      </c>
      <c r="E103">
        <v>0.17330000000000001</v>
      </c>
      <c r="F103">
        <v>13865254</v>
      </c>
      <c r="G103">
        <v>0.17330000000000001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-0.25396825396825246</v>
      </c>
      <c r="Q103">
        <f t="shared" ref="Q103" si="491">F103*P103</f>
        <v>-3521334.3492063284</v>
      </c>
      <c r="R103">
        <f t="shared" ref="R103" si="492">R104+Q103</f>
        <v>-470566600.67996371</v>
      </c>
      <c r="S103">
        <f t="shared" ref="S103" si="493">R103/100000</f>
        <v>-4705.6660067996372</v>
      </c>
      <c r="T103">
        <f t="shared" ref="T103" si="494">S103/1000</f>
        <v>-4.7056660067996372</v>
      </c>
    </row>
    <row r="104" spans="1:20" x14ac:dyDescent="0.25">
      <c r="A104" s="5">
        <v>44489</v>
      </c>
      <c r="B104">
        <v>0.17799999999999999</v>
      </c>
      <c r="C104">
        <v>0.1837</v>
      </c>
      <c r="D104">
        <v>0.1734</v>
      </c>
      <c r="E104">
        <v>0.18060000000000001</v>
      </c>
      <c r="F104">
        <v>10842218</v>
      </c>
      <c r="G104">
        <v>0.18060000000000001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0.39805825242718629</v>
      </c>
      <c r="Q104">
        <f t="shared" ref="Q104" si="496">F104*P104</f>
        <v>4315834.3495145831</v>
      </c>
      <c r="R104">
        <f t="shared" ref="R104" si="497">R105+Q104</f>
        <v>-467045266.33075738</v>
      </c>
      <c r="S104">
        <f t="shared" ref="S104" si="498">R104/100000</f>
        <v>-4670.4526633075739</v>
      </c>
      <c r="T104">
        <f t="shared" ref="T104" si="499">S104/1000</f>
        <v>-4.6704526633075742</v>
      </c>
    </row>
    <row r="105" spans="1:20" x14ac:dyDescent="0.25">
      <c r="A105" s="5">
        <v>44488</v>
      </c>
      <c r="B105">
        <v>0.1835</v>
      </c>
      <c r="C105">
        <v>0.1875</v>
      </c>
      <c r="D105">
        <v>0.1759</v>
      </c>
      <c r="E105">
        <v>0.17799999999999999</v>
      </c>
      <c r="F105">
        <v>9600132</v>
      </c>
      <c r="G105">
        <v>0.17799999999999999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-0.63793103448276023</v>
      </c>
      <c r="Q105">
        <f t="shared" ref="Q105" si="501">F105*P105</f>
        <v>-6124222.1379310498</v>
      </c>
      <c r="R105">
        <f t="shared" ref="R105" si="502">R106+Q105</f>
        <v>-471361100.68027198</v>
      </c>
      <c r="S105">
        <f t="shared" ref="S105" si="503">R105/100000</f>
        <v>-4713.6110068027201</v>
      </c>
      <c r="T105">
        <f t="shared" ref="T105" si="504">S105/1000</f>
        <v>-4.7136110068027204</v>
      </c>
    </row>
    <row r="106" spans="1:20" x14ac:dyDescent="0.25">
      <c r="A106" s="5">
        <v>44487</v>
      </c>
      <c r="B106">
        <v>0.1797</v>
      </c>
      <c r="C106">
        <v>0.20830000000000001</v>
      </c>
      <c r="D106">
        <v>0.1784</v>
      </c>
      <c r="E106">
        <v>0.1837</v>
      </c>
      <c r="F106">
        <v>26913000</v>
      </c>
      <c r="G106">
        <v>0.1837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-0.64548494983277604</v>
      </c>
      <c r="Q106">
        <f t="shared" ref="Q106" si="506">F106*P106</f>
        <v>-17371936.4548495</v>
      </c>
      <c r="R106">
        <f t="shared" ref="R106" si="507">R107+Q106</f>
        <v>-465236878.54234093</v>
      </c>
      <c r="S106">
        <f t="shared" ref="S106" si="508">R106/100000</f>
        <v>-4652.3687854234095</v>
      </c>
      <c r="T106">
        <f t="shared" ref="T106" si="509">S106/1000</f>
        <v>-4.652368785423409</v>
      </c>
    </row>
    <row r="107" spans="1:20" x14ac:dyDescent="0.25">
      <c r="A107" s="5">
        <v>44486</v>
      </c>
      <c r="B107">
        <v>0.18129999999999999</v>
      </c>
      <c r="C107">
        <v>0.2074</v>
      </c>
      <c r="D107">
        <v>0.17349999999999999</v>
      </c>
      <c r="E107">
        <v>0.17979999999999999</v>
      </c>
      <c r="F107">
        <v>39633538</v>
      </c>
      <c r="G107">
        <v>0.17979999999999999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-0.62831858407079666</v>
      </c>
      <c r="Q107">
        <f t="shared" ref="Q107" si="511">F107*P107</f>
        <v>-24902488.477876116</v>
      </c>
      <c r="R107">
        <f t="shared" ref="R107" si="512">R108+Q107</f>
        <v>-447864942.08749145</v>
      </c>
      <c r="S107">
        <f t="shared" ref="S107" si="513">R107/100000</f>
        <v>-4478.6494208749145</v>
      </c>
      <c r="T107">
        <f t="shared" ref="T107" si="514">S107/1000</f>
        <v>-4.4786494208749144</v>
      </c>
    </row>
    <row r="108" spans="1:20" x14ac:dyDescent="0.25">
      <c r="A108" s="5">
        <v>44485</v>
      </c>
      <c r="B108">
        <v>0.16569999999999999</v>
      </c>
      <c r="C108">
        <v>0.19</v>
      </c>
      <c r="D108">
        <v>0.16439999999999999</v>
      </c>
      <c r="E108">
        <v>0.18129999999999999</v>
      </c>
      <c r="F108">
        <v>48014465</v>
      </c>
      <c r="G108">
        <v>0.18129999999999999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0.32031249999999928</v>
      </c>
      <c r="Q108">
        <f t="shared" ref="Q108" si="516">F108*P108</f>
        <v>15379633.320312465</v>
      </c>
      <c r="R108">
        <f t="shared" ref="R108" si="517">R109+Q108</f>
        <v>-422962453.60961533</v>
      </c>
      <c r="S108">
        <f t="shared" ref="S108" si="518">R108/100000</f>
        <v>-4229.624536096153</v>
      </c>
      <c r="T108">
        <f t="shared" ref="T108" si="519">S108/1000</f>
        <v>-4.2296245360961526</v>
      </c>
    </row>
    <row r="109" spans="1:20" x14ac:dyDescent="0.25">
      <c r="A109" s="5">
        <v>44484</v>
      </c>
      <c r="B109">
        <v>0.1799</v>
      </c>
      <c r="C109">
        <v>0.1888</v>
      </c>
      <c r="D109">
        <v>0.16139999999999999</v>
      </c>
      <c r="E109">
        <v>0.16569999999999999</v>
      </c>
      <c r="F109">
        <v>36652519</v>
      </c>
      <c r="G109">
        <v>0.16569999999999999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-0.68613138686131403</v>
      </c>
      <c r="Q109">
        <f t="shared" ref="Q109" si="521">F109*P109</f>
        <v>-25148443.693430662</v>
      </c>
      <c r="R109">
        <f t="shared" ref="R109" si="522">R110+Q109</f>
        <v>-438342086.92992777</v>
      </c>
      <c r="S109">
        <f t="shared" ref="S109" si="523">R109/100000</f>
        <v>-4383.4208692992779</v>
      </c>
      <c r="T109">
        <f t="shared" ref="T109" si="524">S109/1000</f>
        <v>-4.383420869299278</v>
      </c>
    </row>
    <row r="110" spans="1:20" x14ac:dyDescent="0.25">
      <c r="A110" s="5">
        <v>44483</v>
      </c>
      <c r="B110">
        <v>0.15279999999999999</v>
      </c>
      <c r="C110">
        <v>0.21740000000000001</v>
      </c>
      <c r="D110">
        <v>0.15260000000000001</v>
      </c>
      <c r="E110">
        <v>0.17979999999999999</v>
      </c>
      <c r="F110">
        <v>136323414.88999999</v>
      </c>
      <c r="G110">
        <v>0.17979999999999999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-0.16049382716049457</v>
      </c>
      <c r="Q110">
        <f t="shared" ref="Q110" si="526">F110*P110</f>
        <v>-21879066.587284051</v>
      </c>
      <c r="R110">
        <f t="shared" ref="R110" si="527">R111+Q110</f>
        <v>-413193643.2364971</v>
      </c>
      <c r="S110">
        <f t="shared" ref="S110" si="528">R110/100000</f>
        <v>-4131.9364323649706</v>
      </c>
      <c r="T110">
        <f t="shared" ref="T110" si="529">S110/1000</f>
        <v>-4.131936432364971</v>
      </c>
    </row>
    <row r="111" spans="1:20" x14ac:dyDescent="0.25">
      <c r="A111" s="5">
        <v>44482</v>
      </c>
      <c r="B111">
        <v>0.14940000000000001</v>
      </c>
      <c r="C111">
        <v>0.157</v>
      </c>
      <c r="D111">
        <v>0.14599999999999999</v>
      </c>
      <c r="E111">
        <v>0.15260000000000001</v>
      </c>
      <c r="F111">
        <v>6553560</v>
      </c>
      <c r="G111">
        <v>0.15260000000000001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0.20000000000000304</v>
      </c>
      <c r="Q111">
        <f t="shared" ref="Q111" si="531">F111*P111</f>
        <v>1310712.0000000198</v>
      </c>
      <c r="R111">
        <f t="shared" ref="R111" si="532">R112+Q111</f>
        <v>-391314576.64921308</v>
      </c>
      <c r="S111">
        <f t="shared" ref="S111" si="533">R111/100000</f>
        <v>-3913.1457664921309</v>
      </c>
      <c r="T111">
        <f t="shared" ref="T111" si="534">S111/1000</f>
        <v>-3.9131457664921308</v>
      </c>
    </row>
    <row r="112" spans="1:20" x14ac:dyDescent="0.25">
      <c r="A112" s="5">
        <v>44481</v>
      </c>
      <c r="B112">
        <v>0.15590000000000001</v>
      </c>
      <c r="C112">
        <v>0.1595</v>
      </c>
      <c r="D112">
        <v>0.1431</v>
      </c>
      <c r="E112">
        <v>0.1497</v>
      </c>
      <c r="F112">
        <v>9698675</v>
      </c>
      <c r="G112">
        <v>0.1497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-0.19512195121951273</v>
      </c>
      <c r="Q112">
        <f t="shared" ref="Q112" si="536">F112*P112</f>
        <v>-1892424.3902439077</v>
      </c>
      <c r="R112">
        <f t="shared" ref="R112" si="537">R113+Q112</f>
        <v>-392625288.64921308</v>
      </c>
      <c r="S112">
        <f t="shared" ref="S112" si="538">R112/100000</f>
        <v>-3926.252886492131</v>
      </c>
      <c r="T112">
        <f t="shared" ref="T112" si="539">S112/1000</f>
        <v>-3.9262528864921311</v>
      </c>
    </row>
    <row r="113" spans="1:20" x14ac:dyDescent="0.25">
      <c r="A113" s="5">
        <v>44480</v>
      </c>
      <c r="B113">
        <v>0.16089999999999999</v>
      </c>
      <c r="C113">
        <v>0.17699999999999999</v>
      </c>
      <c r="D113">
        <v>0.15409999999999999</v>
      </c>
      <c r="E113">
        <v>0.15640000000000001</v>
      </c>
      <c r="F113">
        <v>10833676</v>
      </c>
      <c r="G113">
        <v>0.15640000000000001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-0.79912663755458302</v>
      </c>
      <c r="Q113">
        <f t="shared" ref="Q113" si="541">F113*P113</f>
        <v>-8657479.0742357839</v>
      </c>
      <c r="R113">
        <f t="shared" ref="R113" si="542">R114+Q113</f>
        <v>-390732864.25896919</v>
      </c>
      <c r="S113">
        <f t="shared" ref="S113" si="543">R113/100000</f>
        <v>-3907.3286425896918</v>
      </c>
      <c r="T113">
        <f t="shared" ref="T113" si="544">S113/1000</f>
        <v>-3.9073286425896918</v>
      </c>
    </row>
    <row r="114" spans="1:20" x14ac:dyDescent="0.25">
      <c r="A114" s="5">
        <v>44479</v>
      </c>
      <c r="B114">
        <v>0.16739999999999999</v>
      </c>
      <c r="C114">
        <v>0.185</v>
      </c>
      <c r="D114">
        <v>0.16</v>
      </c>
      <c r="E114">
        <v>0.161</v>
      </c>
      <c r="F114">
        <v>24242983</v>
      </c>
      <c r="G114">
        <v>0.161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-0.91999999999999993</v>
      </c>
      <c r="Q114">
        <f t="shared" ref="Q114" si="546">F114*P114</f>
        <v>-22303544.359999999</v>
      </c>
      <c r="R114">
        <f t="shared" ref="R114" si="547">R115+Q114</f>
        <v>-382075385.18473339</v>
      </c>
      <c r="S114">
        <f t="shared" ref="S114" si="548">R114/100000</f>
        <v>-3820.7538518473339</v>
      </c>
      <c r="T114">
        <f t="shared" ref="T114" si="549">S114/1000</f>
        <v>-3.8207538518473338</v>
      </c>
    </row>
    <row r="115" spans="1:20" x14ac:dyDescent="0.25">
      <c r="A115" s="5">
        <v>44478</v>
      </c>
      <c r="B115">
        <v>0.16009999999999999</v>
      </c>
      <c r="C115">
        <v>0.18110000000000001</v>
      </c>
      <c r="D115">
        <v>0.15939999999999999</v>
      </c>
      <c r="E115">
        <v>0.16750000000000001</v>
      </c>
      <c r="F115">
        <v>29639457</v>
      </c>
      <c r="G115">
        <v>0.16750000000000001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-0.25345622119815536</v>
      </c>
      <c r="Q115">
        <f t="shared" ref="Q115" si="551">F115*P115</f>
        <v>-7512304.7695852146</v>
      </c>
      <c r="R115">
        <f t="shared" ref="R115" si="552">R116+Q115</f>
        <v>-359771840.82473338</v>
      </c>
      <c r="S115">
        <f t="shared" ref="S115" si="553">R115/100000</f>
        <v>-3597.7184082473336</v>
      </c>
      <c r="T115">
        <f t="shared" ref="T115" si="554">S115/1000</f>
        <v>-3.5977184082473337</v>
      </c>
    </row>
    <row r="116" spans="1:20" x14ac:dyDescent="0.25">
      <c r="A116" s="5">
        <v>44477</v>
      </c>
      <c r="B116">
        <v>0.157</v>
      </c>
      <c r="C116">
        <v>0.16539999999999999</v>
      </c>
      <c r="D116">
        <v>0.15359999999999999</v>
      </c>
      <c r="E116">
        <v>0.15970000000000001</v>
      </c>
      <c r="F116">
        <v>10531516</v>
      </c>
      <c r="G116">
        <v>0.15970000000000001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3.3898305084749072E-2</v>
      </c>
      <c r="Q116">
        <f t="shared" ref="Q116" si="556">F116*P116</f>
        <v>357000.54237291618</v>
      </c>
      <c r="R116">
        <f t="shared" ref="R116" si="557">R117+Q116</f>
        <v>-352259536.05514818</v>
      </c>
      <c r="S116">
        <f t="shared" ref="S116" si="558">R116/100000</f>
        <v>-3522.5953605514819</v>
      </c>
      <c r="T116">
        <f t="shared" ref="T116" si="559">S116/1000</f>
        <v>-3.5225953605514819</v>
      </c>
    </row>
    <row r="117" spans="1:20" x14ac:dyDescent="0.25">
      <c r="A117" s="5">
        <v>44476</v>
      </c>
      <c r="B117">
        <v>0.157</v>
      </c>
      <c r="C117">
        <v>0.16259999999999999</v>
      </c>
      <c r="D117">
        <v>0.15310000000000001</v>
      </c>
      <c r="E117">
        <v>0.157</v>
      </c>
      <c r="F117">
        <v>8938556</v>
      </c>
      <c r="G117">
        <v>0.157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-0.17894736842105374</v>
      </c>
      <c r="Q117">
        <f t="shared" ref="Q117" si="561">F117*P117</f>
        <v>-1599531.0736842204</v>
      </c>
      <c r="R117">
        <f t="shared" ref="R117" si="562">R118+Q117</f>
        <v>-352616536.59752113</v>
      </c>
      <c r="S117">
        <f t="shared" ref="S117" si="563">R117/100000</f>
        <v>-3526.1653659752114</v>
      </c>
      <c r="T117">
        <f t="shared" ref="T117" si="564">S117/1000</f>
        <v>-3.5261653659752112</v>
      </c>
    </row>
    <row r="118" spans="1:20" x14ac:dyDescent="0.25">
      <c r="A118" s="5">
        <v>44475</v>
      </c>
      <c r="B118">
        <v>0.15890000000000001</v>
      </c>
      <c r="C118">
        <v>0.16869999999999999</v>
      </c>
      <c r="D118">
        <v>0.15090000000000001</v>
      </c>
      <c r="E118">
        <v>0.1573</v>
      </c>
      <c r="F118">
        <v>11795667</v>
      </c>
      <c r="G118">
        <v>0.1573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-0.2808988764044949</v>
      </c>
      <c r="Q118">
        <f t="shared" ref="Q118" si="566">F118*P118</f>
        <v>-3313389.6067415792</v>
      </c>
      <c r="R118">
        <f t="shared" ref="R118" si="567">R119+Q118</f>
        <v>-351017005.52383691</v>
      </c>
      <c r="S118">
        <f t="shared" ref="S118" si="568">R118/100000</f>
        <v>-3510.1700552383691</v>
      </c>
      <c r="T118">
        <f t="shared" ref="T118" si="569">S118/1000</f>
        <v>-3.510170055238369</v>
      </c>
    </row>
    <row r="119" spans="1:20" x14ac:dyDescent="0.25">
      <c r="A119" s="5">
        <v>44474</v>
      </c>
      <c r="B119">
        <v>0.15060000000000001</v>
      </c>
      <c r="C119">
        <v>0.15939999999999999</v>
      </c>
      <c r="D119">
        <v>0.1497</v>
      </c>
      <c r="E119">
        <v>0.15890000000000001</v>
      </c>
      <c r="F119">
        <v>7019061</v>
      </c>
      <c r="G119">
        <v>0.15890000000000001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0.89690721649485083</v>
      </c>
      <c r="Q119">
        <f t="shared" ref="Q119" si="571">F119*P119</f>
        <v>6295446.4639175646</v>
      </c>
      <c r="R119">
        <f t="shared" ref="R119" si="572">R120+Q119</f>
        <v>-347703615.9170953</v>
      </c>
      <c r="S119">
        <f t="shared" ref="S119" si="573">R119/100000</f>
        <v>-3477.0361591709529</v>
      </c>
      <c r="T119">
        <f t="shared" ref="T119" si="574">S119/1000</f>
        <v>-3.4770361591709529</v>
      </c>
    </row>
    <row r="120" spans="1:20" x14ac:dyDescent="0.25">
      <c r="A120" s="5">
        <v>44473</v>
      </c>
      <c r="B120">
        <v>0.156</v>
      </c>
      <c r="C120">
        <v>0.156</v>
      </c>
      <c r="D120">
        <v>0.14630000000000001</v>
      </c>
      <c r="E120">
        <v>0.15060000000000001</v>
      </c>
      <c r="F120">
        <v>8586287</v>
      </c>
      <c r="G120">
        <v>0.15060000000000001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-0.11340206185566921</v>
      </c>
      <c r="Q120">
        <f t="shared" ref="Q120" si="576">F120*P120</f>
        <v>-973702.64948452846</v>
      </c>
      <c r="R120">
        <f t="shared" ref="R120" si="577">R121+Q120</f>
        <v>-353999062.38101286</v>
      </c>
      <c r="S120">
        <f t="shared" ref="S120" si="578">R120/100000</f>
        <v>-3539.9906238101285</v>
      </c>
      <c r="T120">
        <f t="shared" ref="T120" si="579">S120/1000</f>
        <v>-3.5399906238101284</v>
      </c>
    </row>
    <row r="121" spans="1:20" x14ac:dyDescent="0.25">
      <c r="A121" s="5">
        <v>44472</v>
      </c>
      <c r="B121">
        <v>0.1573</v>
      </c>
      <c r="C121">
        <v>0.1598</v>
      </c>
      <c r="D121">
        <v>0.15379999999999999</v>
      </c>
      <c r="E121">
        <v>0.15579999999999999</v>
      </c>
      <c r="F121">
        <v>7186069</v>
      </c>
      <c r="G121">
        <v>0.15579999999999999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-0.33333333333333331</v>
      </c>
      <c r="Q121">
        <f t="shared" ref="Q121" si="581">F121*P121</f>
        <v>-2395356.333333333</v>
      </c>
      <c r="R121">
        <f t="shared" ref="R121" si="582">R122+Q121</f>
        <v>-353025359.73152834</v>
      </c>
      <c r="S121">
        <f t="shared" ref="S121" si="583">R121/100000</f>
        <v>-3530.2535973152835</v>
      </c>
      <c r="T121">
        <f t="shared" ref="T121" si="584">S121/1000</f>
        <v>-3.5302535973152835</v>
      </c>
    </row>
    <row r="122" spans="1:20" x14ac:dyDescent="0.25">
      <c r="A122" s="5">
        <v>44471</v>
      </c>
      <c r="B122">
        <v>0.1449</v>
      </c>
      <c r="C122">
        <v>0.16650000000000001</v>
      </c>
      <c r="D122">
        <v>0.1426</v>
      </c>
      <c r="E122">
        <v>0.1573</v>
      </c>
      <c r="F122">
        <v>14412330</v>
      </c>
      <c r="G122">
        <v>0.1573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0.23012552301255129</v>
      </c>
      <c r="Q122">
        <f t="shared" ref="Q122" si="586">F122*P122</f>
        <v>3316644.9790794835</v>
      </c>
      <c r="R122">
        <f t="shared" ref="R122" si="587">R123+Q122</f>
        <v>-350630003.39819503</v>
      </c>
      <c r="S122">
        <f t="shared" ref="S122" si="588">R122/100000</f>
        <v>-3506.3000339819505</v>
      </c>
      <c r="T122">
        <f t="shared" ref="T122" si="589">S122/1000</f>
        <v>-3.5063000339819506</v>
      </c>
    </row>
    <row r="123" spans="1:20" x14ac:dyDescent="0.25">
      <c r="A123" s="5">
        <v>44470</v>
      </c>
      <c r="B123">
        <v>0.13750000000000001</v>
      </c>
      <c r="C123">
        <v>0.14630000000000001</v>
      </c>
      <c r="D123">
        <v>0.1356</v>
      </c>
      <c r="E123">
        <v>0.14480000000000001</v>
      </c>
      <c r="F123">
        <v>10793340</v>
      </c>
      <c r="G123">
        <v>0.14480000000000001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0.71962616822429926</v>
      </c>
      <c r="Q123">
        <f t="shared" ref="Q123" si="591">F123*P123</f>
        <v>7767169.9065420581</v>
      </c>
      <c r="R123">
        <f t="shared" ref="R123" si="592">R124+Q123</f>
        <v>-353946648.37727451</v>
      </c>
      <c r="S123">
        <f t="shared" ref="S123" si="593">R123/100000</f>
        <v>-3539.4664837727451</v>
      </c>
      <c r="T123">
        <f t="shared" ref="T123" si="594">S123/1000</f>
        <v>-3.539466483772745</v>
      </c>
    </row>
    <row r="124" spans="1:20" x14ac:dyDescent="0.25">
      <c r="A124" s="5">
        <v>44469</v>
      </c>
      <c r="B124">
        <v>0.13270000000000001</v>
      </c>
      <c r="C124">
        <v>0.1399</v>
      </c>
      <c r="D124">
        <v>0.13200000000000001</v>
      </c>
      <c r="E124">
        <v>0.1376</v>
      </c>
      <c r="F124">
        <v>7128809</v>
      </c>
      <c r="G124">
        <v>0.1376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0.41772151898734194</v>
      </c>
      <c r="Q124">
        <f t="shared" ref="Q124" si="596">F124*P124</f>
        <v>2977856.9240506343</v>
      </c>
      <c r="R124">
        <f t="shared" ref="R124" si="597">R125+Q124</f>
        <v>-361713818.28381658</v>
      </c>
      <c r="S124">
        <f t="shared" ref="S124" si="598">R124/100000</f>
        <v>-3617.1381828381659</v>
      </c>
      <c r="T124">
        <f t="shared" ref="T124" si="599">S124/1000</f>
        <v>-3.6171381828381657</v>
      </c>
    </row>
    <row r="125" spans="1:20" x14ac:dyDescent="0.25">
      <c r="A125" s="5">
        <v>44468</v>
      </c>
      <c r="B125">
        <v>0.1323</v>
      </c>
      <c r="C125">
        <v>0.13719999999999999</v>
      </c>
      <c r="D125">
        <v>0.13009999999999999</v>
      </c>
      <c r="E125">
        <v>0.13289999999999999</v>
      </c>
      <c r="F125">
        <v>7684814</v>
      </c>
      <c r="G125">
        <v>0.13289999999999999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-0.21126760563380315</v>
      </c>
      <c r="Q125">
        <f t="shared" ref="Q125" si="601">F125*P125</f>
        <v>-1623552.2535211293</v>
      </c>
      <c r="R125">
        <f t="shared" ref="R125" si="602">R126+Q125</f>
        <v>-364691675.20786721</v>
      </c>
      <c r="S125">
        <f t="shared" ref="S125" si="603">R125/100000</f>
        <v>-3646.9167520786718</v>
      </c>
      <c r="T125">
        <f t="shared" ref="T125" si="604">S125/1000</f>
        <v>-3.6469167520786718</v>
      </c>
    </row>
    <row r="126" spans="1:20" x14ac:dyDescent="0.25">
      <c r="A126" s="5">
        <v>44467</v>
      </c>
      <c r="B126">
        <v>0.1409</v>
      </c>
      <c r="C126">
        <v>0.14280000000000001</v>
      </c>
      <c r="D126">
        <v>0.13170000000000001</v>
      </c>
      <c r="E126">
        <v>0.1323</v>
      </c>
      <c r="F126">
        <v>10617276</v>
      </c>
      <c r="G126">
        <v>0.1323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-0.89189189189189377</v>
      </c>
      <c r="Q126">
        <f t="shared" ref="Q126" si="606">F126*P126</f>
        <v>-9469462.3783783987</v>
      </c>
      <c r="R126">
        <f t="shared" ref="R126" si="607">R127+Q126</f>
        <v>-363068122.95434606</v>
      </c>
      <c r="S126">
        <f t="shared" ref="S126" si="608">R126/100000</f>
        <v>-3630.6812295434606</v>
      </c>
      <c r="T126">
        <f t="shared" ref="T126" si="609">S126/1000</f>
        <v>-3.6306812295434607</v>
      </c>
    </row>
    <row r="127" spans="1:20" x14ac:dyDescent="0.25">
      <c r="A127" s="5">
        <v>44466</v>
      </c>
      <c r="B127">
        <v>0.14929999999999999</v>
      </c>
      <c r="C127">
        <v>0.15390000000000001</v>
      </c>
      <c r="D127">
        <v>0.14050000000000001</v>
      </c>
      <c r="E127">
        <v>0.14099999999999999</v>
      </c>
      <c r="F127">
        <v>9880658</v>
      </c>
      <c r="G127">
        <v>0.14099999999999999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-0.92537313432836221</v>
      </c>
      <c r="Q127">
        <f t="shared" ref="Q127" si="611">F127*P127</f>
        <v>-9143295.4626866076</v>
      </c>
      <c r="R127">
        <f t="shared" ref="R127" si="612">R128+Q127</f>
        <v>-353598660.57596767</v>
      </c>
      <c r="S127">
        <f t="shared" ref="S127" si="613">R127/100000</f>
        <v>-3535.9866057596769</v>
      </c>
      <c r="T127">
        <f t="shared" ref="T127" si="614">S127/1000</f>
        <v>-3.5359866057596769</v>
      </c>
    </row>
    <row r="128" spans="1:20" x14ac:dyDescent="0.25">
      <c r="A128" s="5">
        <v>44465</v>
      </c>
      <c r="B128">
        <v>0.15379999999999999</v>
      </c>
      <c r="C128">
        <v>0.15429999999999999</v>
      </c>
      <c r="D128">
        <v>0.14230000000000001</v>
      </c>
      <c r="E128">
        <v>0.1492</v>
      </c>
      <c r="F128">
        <v>13593647</v>
      </c>
      <c r="G128">
        <v>0.1492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0.14999999999999988</v>
      </c>
      <c r="Q128">
        <f t="shared" ref="Q128" si="616">F128*P128</f>
        <v>2039047.0499999984</v>
      </c>
      <c r="R128">
        <f t="shared" ref="R128" si="617">R129+Q128</f>
        <v>-344455365.11328107</v>
      </c>
      <c r="S128">
        <f t="shared" ref="S128" si="618">R128/100000</f>
        <v>-3444.5536511328105</v>
      </c>
      <c r="T128">
        <f t="shared" ref="T128" si="619">S128/1000</f>
        <v>-3.4445536511328103</v>
      </c>
    </row>
    <row r="129" spans="1:20" x14ac:dyDescent="0.25">
      <c r="A129" s="5">
        <v>44464</v>
      </c>
      <c r="B129">
        <v>0.15129999999999999</v>
      </c>
      <c r="C129">
        <v>0.16839999999999999</v>
      </c>
      <c r="D129">
        <v>0.14940000000000001</v>
      </c>
      <c r="E129">
        <v>0.15379999999999999</v>
      </c>
      <c r="F129">
        <v>20555535</v>
      </c>
      <c r="G129">
        <v>0.15379999999999999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-0.53684210526315901</v>
      </c>
      <c r="Q129">
        <f t="shared" ref="Q129" si="621">F129*P129</f>
        <v>-11035076.68421055</v>
      </c>
      <c r="R129">
        <f t="shared" ref="R129" si="622">R130+Q129</f>
        <v>-346494412.16328108</v>
      </c>
      <c r="S129">
        <f t="shared" ref="S129" si="623">R129/100000</f>
        <v>-3464.9441216328109</v>
      </c>
      <c r="T129">
        <f t="shared" ref="T129" si="624">S129/1000</f>
        <v>-3.464944121632811</v>
      </c>
    </row>
    <row r="130" spans="1:20" x14ac:dyDescent="0.25">
      <c r="A130" s="5">
        <v>44463</v>
      </c>
      <c r="B130">
        <v>0.153</v>
      </c>
      <c r="C130">
        <v>0.15590000000000001</v>
      </c>
      <c r="D130">
        <v>0.1343</v>
      </c>
      <c r="E130">
        <v>0.15140000000000001</v>
      </c>
      <c r="F130">
        <v>21197501</v>
      </c>
      <c r="G130">
        <v>0.15140000000000001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0.58333333333333315</v>
      </c>
      <c r="Q130">
        <f t="shared" ref="Q130" si="626">F130*P130</f>
        <v>12365208.916666662</v>
      </c>
      <c r="R130">
        <f t="shared" ref="R130" si="627">R131+Q130</f>
        <v>-335459335.47907054</v>
      </c>
      <c r="S130">
        <f t="shared" ref="S130" si="628">R130/100000</f>
        <v>-3354.5933547907052</v>
      </c>
      <c r="T130">
        <f t="shared" ref="T130" si="629">S130/1000</f>
        <v>-3.3545933547907052</v>
      </c>
    </row>
    <row r="131" spans="1:20" x14ac:dyDescent="0.25">
      <c r="A131" s="5">
        <v>44462</v>
      </c>
      <c r="B131">
        <v>0.14099999999999999</v>
      </c>
      <c r="C131">
        <v>0.1532</v>
      </c>
      <c r="D131">
        <v>0.13950000000000001</v>
      </c>
      <c r="E131">
        <v>0.153</v>
      </c>
      <c r="F131">
        <v>17679834</v>
      </c>
      <c r="G131">
        <v>0.153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0.97080291970802834</v>
      </c>
      <c r="Q131">
        <f t="shared" ref="Q131" si="631">F131*P131</f>
        <v>17163634.46715327</v>
      </c>
      <c r="R131">
        <f t="shared" ref="R131" si="632">R132+Q131</f>
        <v>-347824544.39573723</v>
      </c>
      <c r="S131">
        <f t="shared" ref="S131" si="633">R131/100000</f>
        <v>-3478.2454439573721</v>
      </c>
      <c r="T131">
        <f t="shared" ref="T131" si="634">S131/1000</f>
        <v>-3.478245443957372</v>
      </c>
    </row>
    <row r="132" spans="1:20" x14ac:dyDescent="0.25">
      <c r="A132" s="5">
        <v>44461</v>
      </c>
      <c r="B132">
        <v>0.1275</v>
      </c>
      <c r="C132">
        <v>0.14399999999999999</v>
      </c>
      <c r="D132">
        <v>0.12540000000000001</v>
      </c>
      <c r="E132">
        <v>0.14099999999999999</v>
      </c>
      <c r="F132">
        <v>10071637</v>
      </c>
      <c r="G132">
        <v>0.14099999999999999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0.67741935483870896</v>
      </c>
      <c r="Q132">
        <f t="shared" ref="Q132" si="636">F132*P132</f>
        <v>6822721.8387096701</v>
      </c>
      <c r="R132">
        <f t="shared" ref="R132" si="637">R133+Q132</f>
        <v>-364988178.86289048</v>
      </c>
      <c r="S132">
        <f t="shared" ref="S132" si="638">R132/100000</f>
        <v>-3649.8817886289048</v>
      </c>
      <c r="T132">
        <f t="shared" ref="T132" si="639">S132/1000</f>
        <v>-3.649881788628905</v>
      </c>
    </row>
    <row r="133" spans="1:20" x14ac:dyDescent="0.25">
      <c r="A133" s="5">
        <v>44460</v>
      </c>
      <c r="B133">
        <v>0.1343</v>
      </c>
      <c r="C133">
        <v>0.1431</v>
      </c>
      <c r="D133">
        <v>0.1255</v>
      </c>
      <c r="E133">
        <v>0.12770000000000001</v>
      </c>
      <c r="F133">
        <v>11783792.960000001</v>
      </c>
      <c r="G133">
        <v>0.12770000000000001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-0.74999999999999922</v>
      </c>
      <c r="Q133">
        <f t="shared" ref="Q133" si="641">F133*P133</f>
        <v>-8837844.7199999914</v>
      </c>
      <c r="R133">
        <f t="shared" ref="R133" si="642">R134+Q133</f>
        <v>-371810900.70160013</v>
      </c>
      <c r="S133">
        <f t="shared" ref="S133" si="643">R133/100000</f>
        <v>-3718.1090070160012</v>
      </c>
      <c r="T133">
        <f t="shared" ref="T133" si="644">S133/1000</f>
        <v>-3.7181090070160012</v>
      </c>
    </row>
    <row r="134" spans="1:20" x14ac:dyDescent="0.25">
      <c r="A134" s="5">
        <v>44459</v>
      </c>
      <c r="B134">
        <v>0.15529999999999999</v>
      </c>
      <c r="C134">
        <v>0.15540000000000001</v>
      </c>
      <c r="D134">
        <v>0.14280000000000001</v>
      </c>
      <c r="E134">
        <v>0.1439</v>
      </c>
      <c r="F134">
        <v>3996410</v>
      </c>
      <c r="G134">
        <v>0.1439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-0.82539682539682702</v>
      </c>
      <c r="Q134">
        <f t="shared" ref="Q134" si="646">F134*P134</f>
        <v>-3298624.1269841334</v>
      </c>
      <c r="R134">
        <f t="shared" ref="R134" si="647">R135+Q134</f>
        <v>-362973055.98160017</v>
      </c>
      <c r="S134">
        <f t="shared" ref="S134" si="648">R134/100000</f>
        <v>-3629.7305598160015</v>
      </c>
      <c r="T134">
        <f t="shared" ref="T134" si="649">S134/1000</f>
        <v>-3.6297305598160015</v>
      </c>
    </row>
    <row r="135" spans="1:20" x14ac:dyDescent="0.25">
      <c r="A135" s="5">
        <v>44458</v>
      </c>
      <c r="B135">
        <v>0.15870000000000001</v>
      </c>
      <c r="C135">
        <v>0.16259999999999999</v>
      </c>
      <c r="D135">
        <v>0.1537</v>
      </c>
      <c r="E135">
        <v>0.15529999999999999</v>
      </c>
      <c r="F135">
        <v>4633477</v>
      </c>
      <c r="G135">
        <v>0.15529999999999999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-0.64044943820224898</v>
      </c>
      <c r="Q135">
        <f t="shared" ref="Q135" si="651">F135*P135</f>
        <v>-2967507.7415730418</v>
      </c>
      <c r="R135">
        <f t="shared" ref="R135" si="652">R136+Q135</f>
        <v>-359674431.85461605</v>
      </c>
      <c r="S135">
        <f t="shared" ref="S135" si="653">R135/100000</f>
        <v>-3596.7443185461607</v>
      </c>
      <c r="T135">
        <f t="shared" ref="T135" si="654">S135/1000</f>
        <v>-3.5967443185461607</v>
      </c>
    </row>
    <row r="136" spans="1:20" x14ac:dyDescent="0.25">
      <c r="A136" s="5">
        <v>44457</v>
      </c>
      <c r="B136">
        <v>0.15160000000000001</v>
      </c>
      <c r="C136">
        <v>0.16470000000000001</v>
      </c>
      <c r="D136">
        <v>0.15010000000000001</v>
      </c>
      <c r="E136">
        <v>0.15870000000000001</v>
      </c>
      <c r="F136">
        <v>5509728</v>
      </c>
      <c r="G136">
        <v>0.15870000000000001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0.1780821917808213</v>
      </c>
      <c r="Q136">
        <f t="shared" ref="Q136" si="656">F136*P136</f>
        <v>981184.438356161</v>
      </c>
      <c r="R136">
        <f t="shared" ref="R136" si="657">R137+Q136</f>
        <v>-356706924.11304301</v>
      </c>
      <c r="S136">
        <f t="shared" ref="S136" si="658">R136/100000</f>
        <v>-3567.0692411304303</v>
      </c>
      <c r="T136">
        <f t="shared" ref="T136" si="659">S136/1000</f>
        <v>-3.5670692411304303</v>
      </c>
    </row>
    <row r="137" spans="1:20" x14ac:dyDescent="0.25">
      <c r="A137" s="5">
        <v>44456</v>
      </c>
      <c r="B137">
        <v>0.1603</v>
      </c>
      <c r="C137">
        <v>0.161</v>
      </c>
      <c r="D137">
        <v>0.15</v>
      </c>
      <c r="E137">
        <v>0.1515</v>
      </c>
      <c r="F137">
        <v>6023740</v>
      </c>
      <c r="G137">
        <v>0.1515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-0.72727272727272729</v>
      </c>
      <c r="Q137">
        <f t="shared" ref="Q137" si="661">F137*P137</f>
        <v>-4380901.8181818184</v>
      </c>
      <c r="R137">
        <f t="shared" ref="R137" si="662">R138+Q137</f>
        <v>-357688108.55139917</v>
      </c>
      <c r="S137">
        <f t="shared" ref="S137" si="663">R137/100000</f>
        <v>-3576.8810855139918</v>
      </c>
      <c r="T137">
        <f t="shared" ref="T137" si="664">S137/1000</f>
        <v>-3.5768810855139916</v>
      </c>
    </row>
    <row r="138" spans="1:20" x14ac:dyDescent="0.25">
      <c r="A138" s="5">
        <v>44455</v>
      </c>
      <c r="B138">
        <v>0.1686</v>
      </c>
      <c r="C138">
        <v>0.17</v>
      </c>
      <c r="D138">
        <v>0.1585</v>
      </c>
      <c r="E138">
        <v>0.1605</v>
      </c>
      <c r="F138">
        <v>9386043</v>
      </c>
      <c r="G138">
        <v>0.1605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-0.65217391304347827</v>
      </c>
      <c r="Q138">
        <f t="shared" ref="Q138" si="666">F138*P138</f>
        <v>-6121332.3913043477</v>
      </c>
      <c r="R138">
        <f t="shared" ref="R138" si="667">R139+Q138</f>
        <v>-353307206.73321736</v>
      </c>
      <c r="S138">
        <f t="shared" ref="S138" si="668">R138/100000</f>
        <v>-3533.0720673321734</v>
      </c>
      <c r="T138">
        <f t="shared" ref="T138" si="669">S138/1000</f>
        <v>-3.5330720673321734</v>
      </c>
    </row>
    <row r="139" spans="1:20" x14ac:dyDescent="0.25">
      <c r="A139" s="5">
        <v>44454</v>
      </c>
      <c r="B139">
        <v>0.16270000000000001</v>
      </c>
      <c r="C139">
        <v>0.1744</v>
      </c>
      <c r="D139">
        <v>0.161</v>
      </c>
      <c r="E139">
        <v>0.16850000000000001</v>
      </c>
      <c r="F139">
        <v>13482117</v>
      </c>
      <c r="G139">
        <v>0.16850000000000001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0.11940298507462825</v>
      </c>
      <c r="Q139">
        <f t="shared" ref="Q139" si="671">F139*P139</f>
        <v>1609805.0149253919</v>
      </c>
      <c r="R139">
        <f t="shared" ref="R139" si="672">R140+Q139</f>
        <v>-347185874.34191298</v>
      </c>
      <c r="S139">
        <f t="shared" ref="S139" si="673">R139/100000</f>
        <v>-3471.85874341913</v>
      </c>
      <c r="T139">
        <f t="shared" ref="T139" si="674">S139/1000</f>
        <v>-3.4718587434191299</v>
      </c>
    </row>
    <row r="140" spans="1:20" x14ac:dyDescent="0.25">
      <c r="A140" s="5">
        <v>44453</v>
      </c>
      <c r="B140">
        <v>0.15060000000000001</v>
      </c>
      <c r="C140">
        <v>0.1633</v>
      </c>
      <c r="D140">
        <v>0.14860000000000001</v>
      </c>
      <c r="E140">
        <v>0.16289999999999999</v>
      </c>
      <c r="F140">
        <v>8794649</v>
      </c>
      <c r="G140">
        <v>0.16289999999999999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0.94557823129251539</v>
      </c>
      <c r="Q140">
        <f t="shared" ref="Q140" si="676">F140*P140</f>
        <v>8316028.6462584892</v>
      </c>
      <c r="R140">
        <f t="shared" ref="R140" si="677">R141+Q140</f>
        <v>-348795679.35683841</v>
      </c>
      <c r="S140">
        <f t="shared" ref="S140" si="678">R140/100000</f>
        <v>-3487.956793568384</v>
      </c>
      <c r="T140">
        <f t="shared" ref="T140" si="679">S140/1000</f>
        <v>-3.487956793568384</v>
      </c>
    </row>
    <row r="141" spans="1:20" x14ac:dyDescent="0.25">
      <c r="A141" s="5">
        <v>44452</v>
      </c>
      <c r="B141">
        <v>0.16089999999999999</v>
      </c>
      <c r="C141">
        <v>0.16209999999999999</v>
      </c>
      <c r="D141">
        <v>0.1421</v>
      </c>
      <c r="E141">
        <v>0.15060000000000001</v>
      </c>
      <c r="F141">
        <v>10161922</v>
      </c>
      <c r="G141">
        <v>0.15060000000000001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-0.14999999999999883</v>
      </c>
      <c r="Q141">
        <f t="shared" ref="Q141" si="681">F141*P141</f>
        <v>-1524288.2999999882</v>
      </c>
      <c r="R141">
        <f t="shared" ref="R141" si="682">R142+Q141</f>
        <v>-357111708.00309688</v>
      </c>
      <c r="S141">
        <f t="shared" ref="S141" si="683">R141/100000</f>
        <v>-3571.1170800309687</v>
      </c>
      <c r="T141">
        <f t="shared" ref="T141" si="684">S141/1000</f>
        <v>-3.5711170800309686</v>
      </c>
    </row>
    <row r="142" spans="1:20" x14ac:dyDescent="0.25">
      <c r="A142" s="5">
        <v>44451</v>
      </c>
      <c r="B142">
        <v>0.1512</v>
      </c>
      <c r="C142">
        <v>0.1656</v>
      </c>
      <c r="D142">
        <v>0.1482</v>
      </c>
      <c r="E142">
        <v>0.16089999999999999</v>
      </c>
      <c r="F142">
        <v>15050513</v>
      </c>
      <c r="G142">
        <v>0.16089999999999999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0.45977011494252756</v>
      </c>
      <c r="Q142">
        <f t="shared" ref="Q142" si="686">F142*P142</f>
        <v>6919776.091954005</v>
      </c>
      <c r="R142">
        <f t="shared" ref="R142" si="687">R143+Q142</f>
        <v>-355587419.70309687</v>
      </c>
      <c r="S142">
        <f t="shared" ref="S142" si="688">R142/100000</f>
        <v>-3555.8741970309688</v>
      </c>
      <c r="T142">
        <f t="shared" ref="T142" si="689">S142/1000</f>
        <v>-3.5558741970309686</v>
      </c>
    </row>
    <row r="143" spans="1:20" x14ac:dyDescent="0.25">
      <c r="A143" s="5">
        <v>44450</v>
      </c>
      <c r="B143">
        <v>0.1484</v>
      </c>
      <c r="C143">
        <v>0.1623</v>
      </c>
      <c r="D143">
        <v>0.14599999999999999</v>
      </c>
      <c r="E143">
        <v>0.15129999999999999</v>
      </c>
      <c r="F143">
        <v>10085452</v>
      </c>
      <c r="G143">
        <v>0.15129999999999999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-0.34969325153374281</v>
      </c>
      <c r="Q143">
        <f t="shared" ref="Q143" si="691">F143*P143</f>
        <v>-3526814.5030674897</v>
      </c>
      <c r="R143">
        <f t="shared" ref="R143" si="692">R144+Q143</f>
        <v>-362507195.79505086</v>
      </c>
      <c r="S143">
        <f t="shared" ref="S143" si="693">R143/100000</f>
        <v>-3625.0719579505085</v>
      </c>
      <c r="T143">
        <f t="shared" ref="T143" si="694">S143/1000</f>
        <v>-3.6250719579505084</v>
      </c>
    </row>
    <row r="144" spans="1:20" x14ac:dyDescent="0.25">
      <c r="A144" s="5">
        <v>44449</v>
      </c>
      <c r="B144">
        <v>0.16520000000000001</v>
      </c>
      <c r="C144">
        <v>0.16830000000000001</v>
      </c>
      <c r="D144">
        <v>0.14219999999999999</v>
      </c>
      <c r="E144">
        <v>0.1484</v>
      </c>
      <c r="F144">
        <v>13834314</v>
      </c>
      <c r="G144">
        <v>0.1484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-0.5249042145593863</v>
      </c>
      <c r="Q144">
        <f t="shared" ref="Q144" si="696">F144*P144</f>
        <v>-7261689.7241379218</v>
      </c>
      <c r="R144">
        <f t="shared" ref="R144" si="697">R145+Q144</f>
        <v>-358980381.29198337</v>
      </c>
      <c r="S144">
        <f t="shared" ref="S144" si="698">R144/100000</f>
        <v>-3589.8038129198335</v>
      </c>
      <c r="T144">
        <f t="shared" ref="T144" si="699">S144/1000</f>
        <v>-3.5898038129198335</v>
      </c>
    </row>
    <row r="145" spans="1:20" x14ac:dyDescent="0.25">
      <c r="A145" s="5">
        <v>44448</v>
      </c>
      <c r="B145">
        <v>0.15529999999999999</v>
      </c>
      <c r="C145">
        <v>0.17</v>
      </c>
      <c r="D145">
        <v>0.1517</v>
      </c>
      <c r="E145">
        <v>0.16520000000000001</v>
      </c>
      <c r="F145">
        <v>12681286</v>
      </c>
      <c r="G145">
        <v>0.16520000000000001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0.47540983606557424</v>
      </c>
      <c r="Q145">
        <f t="shared" ref="Q145" si="701">F145*P145</f>
        <v>6028808.0983606614</v>
      </c>
      <c r="R145">
        <f t="shared" ref="R145" si="702">R146+Q145</f>
        <v>-351718691.56784546</v>
      </c>
      <c r="S145">
        <f t="shared" ref="S145" si="703">R145/100000</f>
        <v>-3517.1869156784546</v>
      </c>
      <c r="T145">
        <f t="shared" ref="T145" si="704">S145/1000</f>
        <v>-3.5171869156784545</v>
      </c>
    </row>
    <row r="146" spans="1:20" x14ac:dyDescent="0.25">
      <c r="A146" s="5">
        <v>44447</v>
      </c>
      <c r="B146">
        <v>0.15959999999999999</v>
      </c>
      <c r="C146">
        <v>0.1615</v>
      </c>
      <c r="D146">
        <v>0.14349999999999999</v>
      </c>
      <c r="E146">
        <v>0.15529999999999999</v>
      </c>
      <c r="F146">
        <v>13918060</v>
      </c>
      <c r="G146">
        <v>0.15529999999999999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0.31111111111111051</v>
      </c>
      <c r="Q146">
        <f t="shared" ref="Q146" si="706">F146*P146</f>
        <v>4330063.1111111026</v>
      </c>
      <c r="R146">
        <f t="shared" ref="R146" si="707">R147+Q146</f>
        <v>-357747499.66620612</v>
      </c>
      <c r="S146">
        <f t="shared" ref="S146" si="708">R146/100000</f>
        <v>-3577.4749966620611</v>
      </c>
      <c r="T146">
        <f t="shared" ref="T146" si="709">S146/1000</f>
        <v>-3.5774749966620609</v>
      </c>
    </row>
    <row r="147" spans="1:20" x14ac:dyDescent="0.25">
      <c r="A147" s="5">
        <v>44446</v>
      </c>
      <c r="B147">
        <v>0.18959999999999999</v>
      </c>
      <c r="C147">
        <v>0.19600000000000001</v>
      </c>
      <c r="D147">
        <v>0.1353</v>
      </c>
      <c r="E147">
        <v>0.1595</v>
      </c>
      <c r="F147">
        <v>22165846.969999999</v>
      </c>
      <c r="G147">
        <v>0.1595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-0.20263591433278427</v>
      </c>
      <c r="Q147">
        <f t="shared" ref="Q147" si="711">F147*P147</f>
        <v>-4491596.667726526</v>
      </c>
      <c r="R147">
        <f t="shared" ref="R147" si="712">R148+Q147</f>
        <v>-362077562.77731723</v>
      </c>
      <c r="S147">
        <f t="shared" ref="S147" si="713">R147/100000</f>
        <v>-3620.7756277731723</v>
      </c>
      <c r="T147">
        <f t="shared" ref="T147" si="714">S147/1000</f>
        <v>-3.6207756277731722</v>
      </c>
    </row>
    <row r="148" spans="1:20" x14ac:dyDescent="0.25">
      <c r="A148" s="5">
        <v>44445</v>
      </c>
      <c r="B148">
        <v>0.191</v>
      </c>
      <c r="C148">
        <v>0.19450000000000001</v>
      </c>
      <c r="D148">
        <v>0.18509999999999999</v>
      </c>
      <c r="E148">
        <v>0.18959999999999999</v>
      </c>
      <c r="F148">
        <v>10015808</v>
      </c>
      <c r="G148">
        <v>0.18959999999999999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-4.2553191489362832E-2</v>
      </c>
      <c r="Q148">
        <f t="shared" ref="Q148" si="716">F148*P148</f>
        <v>-426204.5957446922</v>
      </c>
      <c r="R148">
        <f t="shared" ref="R148" si="717">R149+Q148</f>
        <v>-357585966.10959071</v>
      </c>
      <c r="S148">
        <f t="shared" ref="S148" si="718">R148/100000</f>
        <v>-3575.8596610959071</v>
      </c>
      <c r="T148">
        <f t="shared" ref="T148" si="719">S148/1000</f>
        <v>-3.5758596610959072</v>
      </c>
    </row>
    <row r="149" spans="1:20" x14ac:dyDescent="0.25">
      <c r="A149" s="5">
        <v>44444</v>
      </c>
      <c r="B149">
        <v>0.19439999999999999</v>
      </c>
      <c r="C149">
        <v>0.20399999999999999</v>
      </c>
      <c r="D149">
        <v>0.18790000000000001</v>
      </c>
      <c r="E149">
        <v>0.19109999999999999</v>
      </c>
      <c r="F149">
        <v>14754461.68</v>
      </c>
      <c r="G149">
        <v>0.19109999999999999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-0.60248447204969124</v>
      </c>
      <c r="Q149">
        <f t="shared" ref="Q149" si="721">F149*P149</f>
        <v>-8889334.0556522012</v>
      </c>
      <c r="R149">
        <f t="shared" ref="R149" si="722">R150+Q149</f>
        <v>-357159761.51384604</v>
      </c>
      <c r="S149">
        <f t="shared" ref="S149" si="723">R149/100000</f>
        <v>-3571.5976151384602</v>
      </c>
      <c r="T149">
        <f t="shared" ref="T149" si="724">S149/1000</f>
        <v>-3.5715976151384603</v>
      </c>
    </row>
    <row r="150" spans="1:20" x14ac:dyDescent="0.25">
      <c r="A150" s="5">
        <v>44443</v>
      </c>
      <c r="B150">
        <v>0.1767</v>
      </c>
      <c r="C150">
        <v>0.19850000000000001</v>
      </c>
      <c r="D150">
        <v>0.17519999999999999</v>
      </c>
      <c r="E150">
        <v>0.19409999999999999</v>
      </c>
      <c r="F150">
        <v>25248777.710000001</v>
      </c>
      <c r="G150">
        <v>0.19409999999999999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0.62231759656652252</v>
      </c>
      <c r="Q150">
        <f t="shared" ref="Q150" si="726">F150*P150</f>
        <v>15712758.660729587</v>
      </c>
      <c r="R150">
        <f t="shared" ref="R150" si="727">R151+Q150</f>
        <v>-348270427.45819384</v>
      </c>
      <c r="S150">
        <f t="shared" ref="S150" si="728">R150/100000</f>
        <v>-3482.7042745819385</v>
      </c>
      <c r="T150">
        <f t="shared" ref="T150" si="729">S150/1000</f>
        <v>-3.4827042745819385</v>
      </c>
    </row>
    <row r="151" spans="1:20" x14ac:dyDescent="0.25">
      <c r="A151" s="5">
        <v>44442</v>
      </c>
      <c r="B151">
        <v>0.17399999999999999</v>
      </c>
      <c r="C151">
        <v>0.182</v>
      </c>
      <c r="D151">
        <v>0.1694</v>
      </c>
      <c r="E151">
        <v>0.17680000000000001</v>
      </c>
      <c r="F151">
        <v>11895999</v>
      </c>
      <c r="G151">
        <v>0.17680000000000001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0.1746031746031774</v>
      </c>
      <c r="Q151">
        <f t="shared" ref="Q151" si="731">F151*P151</f>
        <v>2077079.1904762236</v>
      </c>
      <c r="R151">
        <f t="shared" ref="R151" si="732">R152+Q151</f>
        <v>-363983186.11892343</v>
      </c>
      <c r="S151">
        <f t="shared" ref="S151" si="733">R151/100000</f>
        <v>-3639.8318611892341</v>
      </c>
      <c r="T151">
        <f t="shared" ref="T151" si="734">S151/1000</f>
        <v>-3.6398318611892342</v>
      </c>
    </row>
    <row r="152" spans="1:20" x14ac:dyDescent="0.25">
      <c r="A152" s="5">
        <v>44441</v>
      </c>
      <c r="B152">
        <v>0.1704</v>
      </c>
      <c r="C152">
        <v>0.17799999999999999</v>
      </c>
      <c r="D152">
        <v>0.16830000000000001</v>
      </c>
      <c r="E152">
        <v>0.17430000000000001</v>
      </c>
      <c r="F152">
        <v>9500824</v>
      </c>
      <c r="G152">
        <v>0.17430000000000001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0.23711340206185849</v>
      </c>
      <c r="Q152">
        <f t="shared" ref="Q152" si="736">F152*P152</f>
        <v>2252772.7010309547</v>
      </c>
      <c r="R152">
        <f t="shared" ref="R152" si="737">R153+Q152</f>
        <v>-366060265.30939966</v>
      </c>
      <c r="S152">
        <f t="shared" ref="S152" si="738">R152/100000</f>
        <v>-3660.6026530939967</v>
      </c>
      <c r="T152">
        <f t="shared" ref="T152" si="739">S152/1000</f>
        <v>-3.6606026530939966</v>
      </c>
    </row>
    <row r="153" spans="1:20" x14ac:dyDescent="0.25">
      <c r="A153" s="5">
        <v>44440</v>
      </c>
      <c r="B153">
        <v>0.1633</v>
      </c>
      <c r="C153">
        <v>0.1754</v>
      </c>
      <c r="D153">
        <v>0.1605</v>
      </c>
      <c r="E153">
        <v>0.1704</v>
      </c>
      <c r="F153">
        <v>11039713</v>
      </c>
      <c r="G153">
        <v>0.1704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0.32885906040268381</v>
      </c>
      <c r="Q153">
        <f t="shared" ref="Q153" si="741">F153*P153</f>
        <v>3630509.6442952938</v>
      </c>
      <c r="R153">
        <f t="shared" ref="R153" si="742">R154+Q153</f>
        <v>-368313038.01043063</v>
      </c>
      <c r="S153">
        <f t="shared" ref="S153" si="743">R153/100000</f>
        <v>-3683.1303801043064</v>
      </c>
      <c r="T153">
        <f t="shared" ref="T153" si="744">S153/1000</f>
        <v>-3.6831303801043065</v>
      </c>
    </row>
    <row r="154" spans="1:20" x14ac:dyDescent="0.25">
      <c r="A154" s="5">
        <v>44439</v>
      </c>
      <c r="B154">
        <v>0.16719999999999999</v>
      </c>
      <c r="C154">
        <v>0.16800000000000001</v>
      </c>
      <c r="D154">
        <v>0.16</v>
      </c>
      <c r="E154">
        <v>0.16339999999999999</v>
      </c>
      <c r="F154">
        <v>10435642</v>
      </c>
      <c r="G154">
        <v>0.16339999999999999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-0.15000000000000416</v>
      </c>
      <c r="Q154">
        <f t="shared" ref="Q154" si="746">F154*P154</f>
        <v>-1565346.3000000434</v>
      </c>
      <c r="R154">
        <f t="shared" ref="R154" si="747">R155+Q154</f>
        <v>-371943547.65472591</v>
      </c>
      <c r="S154">
        <f t="shared" ref="S154" si="748">R154/100000</f>
        <v>-3719.435476547259</v>
      </c>
      <c r="T154">
        <f t="shared" ref="T154" si="749">S154/1000</f>
        <v>-3.7194354765472588</v>
      </c>
    </row>
    <row r="155" spans="1:20" x14ac:dyDescent="0.25">
      <c r="A155" s="5">
        <v>44438</v>
      </c>
      <c r="B155">
        <v>0.1729</v>
      </c>
      <c r="C155">
        <v>0.1789</v>
      </c>
      <c r="D155">
        <v>0.16300000000000001</v>
      </c>
      <c r="E155">
        <v>0.1671</v>
      </c>
      <c r="F155">
        <v>14978909</v>
      </c>
      <c r="G155">
        <v>0.1671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-0.48427672955974926</v>
      </c>
      <c r="Q155">
        <f t="shared" ref="Q155" si="751">F155*P155</f>
        <v>-7253937.0628930945</v>
      </c>
      <c r="R155">
        <f t="shared" ref="R155" si="752">R156+Q155</f>
        <v>-370378201.35472584</v>
      </c>
      <c r="S155">
        <f t="shared" ref="S155" si="753">R155/100000</f>
        <v>-3703.7820135472584</v>
      </c>
      <c r="T155">
        <f t="shared" ref="T155" si="754">S155/1000</f>
        <v>-3.7037820135472583</v>
      </c>
    </row>
    <row r="156" spans="1:20" x14ac:dyDescent="0.25">
      <c r="A156" s="5">
        <v>44437</v>
      </c>
      <c r="B156">
        <v>0.16009999999999999</v>
      </c>
      <c r="C156">
        <v>0.188</v>
      </c>
      <c r="D156">
        <v>0.15770000000000001</v>
      </c>
      <c r="E156">
        <v>0.17299999999999999</v>
      </c>
      <c r="F156">
        <v>23697806.48</v>
      </c>
      <c r="G156">
        <v>0.17299999999999999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9.9009900990088134E-3</v>
      </c>
      <c r="Q156">
        <f t="shared" ref="Q156" si="756">F156*P156</f>
        <v>234631.74732670691</v>
      </c>
      <c r="R156">
        <f t="shared" ref="R156" si="757">R157+Q156</f>
        <v>-363124264.29183275</v>
      </c>
      <c r="S156">
        <f t="shared" ref="S156" si="758">R156/100000</f>
        <v>-3631.2426429183274</v>
      </c>
      <c r="T156">
        <f t="shared" ref="T156" si="759">S156/1000</f>
        <v>-3.6312426429183273</v>
      </c>
    </row>
    <row r="157" spans="1:20" x14ac:dyDescent="0.25">
      <c r="A157" s="5">
        <v>44436</v>
      </c>
      <c r="B157">
        <v>0.15859999999999999</v>
      </c>
      <c r="C157">
        <v>0.17</v>
      </c>
      <c r="D157">
        <v>0.15620000000000001</v>
      </c>
      <c r="E157">
        <v>0.16009999999999999</v>
      </c>
      <c r="F157">
        <v>13820102</v>
      </c>
      <c r="G157">
        <v>0.16009999999999999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-0.43478260869565438</v>
      </c>
      <c r="Q157">
        <f t="shared" ref="Q157" si="761">F157*P157</f>
        <v>-6008740.0000000307</v>
      </c>
      <c r="R157">
        <f t="shared" ref="R157" si="762">R158+Q157</f>
        <v>-363358896.03915948</v>
      </c>
      <c r="S157">
        <f t="shared" ref="S157" si="763">R157/100000</f>
        <v>-3633.5889603915948</v>
      </c>
      <c r="T157">
        <f t="shared" ref="T157" si="764">S157/1000</f>
        <v>-3.6335889603915947</v>
      </c>
    </row>
    <row r="158" spans="1:20" x14ac:dyDescent="0.25">
      <c r="A158" s="5">
        <v>44435</v>
      </c>
      <c r="B158">
        <v>0.15</v>
      </c>
      <c r="C158">
        <v>0.15989999999999999</v>
      </c>
      <c r="D158">
        <v>0.14549999999999999</v>
      </c>
      <c r="E158">
        <v>0.15859999999999999</v>
      </c>
      <c r="F158">
        <v>11468907.699999999</v>
      </c>
      <c r="G158">
        <v>0.15859999999999999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0.81944444444444497</v>
      </c>
      <c r="Q158">
        <f t="shared" ref="Q158" si="766">F158*P158</f>
        <v>9398132.698611116</v>
      </c>
      <c r="R158">
        <f t="shared" ref="R158" si="767">R159+Q158</f>
        <v>-357350156.03915942</v>
      </c>
      <c r="S158">
        <f t="shared" ref="S158" si="768">R158/100000</f>
        <v>-3573.501560391594</v>
      </c>
      <c r="T158">
        <f t="shared" ref="T158" si="769">S158/1000</f>
        <v>-3.5735015603915938</v>
      </c>
    </row>
    <row r="159" spans="1:20" x14ac:dyDescent="0.25">
      <c r="A159" s="5">
        <v>44434</v>
      </c>
      <c r="B159">
        <v>0.16300000000000001</v>
      </c>
      <c r="C159">
        <v>0.16470000000000001</v>
      </c>
      <c r="D159">
        <v>0.14729999999999999</v>
      </c>
      <c r="E159">
        <v>0.15</v>
      </c>
      <c r="F159">
        <v>9002713.5299999993</v>
      </c>
      <c r="G159">
        <v>0.15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-0.68965517241379271</v>
      </c>
      <c r="Q159">
        <f t="shared" ref="Q159" si="771">F159*P159</f>
        <v>-6208767.9517241335</v>
      </c>
      <c r="R159">
        <f t="shared" ref="R159" si="772">R160+Q159</f>
        <v>-366748288.73777056</v>
      </c>
      <c r="S159">
        <f t="shared" ref="S159" si="773">R159/100000</f>
        <v>-3667.4828873777055</v>
      </c>
      <c r="T159">
        <f t="shared" ref="T159" si="774">S159/1000</f>
        <v>-3.6674828873777057</v>
      </c>
    </row>
    <row r="160" spans="1:20" x14ac:dyDescent="0.25">
      <c r="A160" s="5">
        <v>44433</v>
      </c>
      <c r="B160">
        <v>0.1578</v>
      </c>
      <c r="C160">
        <v>0.16919999999999999</v>
      </c>
      <c r="D160">
        <v>0.15379999999999999</v>
      </c>
      <c r="E160">
        <v>0.16300000000000001</v>
      </c>
      <c r="F160">
        <v>17723530.07</v>
      </c>
      <c r="G160">
        <v>0.16300000000000001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0.19480519480519681</v>
      </c>
      <c r="Q160">
        <f t="shared" ref="Q160" si="776">F160*P160</f>
        <v>3452635.7279221136</v>
      </c>
      <c r="R160">
        <f t="shared" ref="R160" si="777">R161+Q160</f>
        <v>-360539520.78604645</v>
      </c>
      <c r="S160">
        <f t="shared" ref="S160" si="778">R160/100000</f>
        <v>-3605.3952078604643</v>
      </c>
      <c r="T160">
        <f t="shared" ref="T160" si="779">S160/1000</f>
        <v>-3.6053952078604645</v>
      </c>
    </row>
    <row r="161" spans="1:20" x14ac:dyDescent="0.25">
      <c r="A161" s="5">
        <v>44432</v>
      </c>
      <c r="B161">
        <v>0.1706</v>
      </c>
      <c r="C161">
        <v>0.17219999999999999</v>
      </c>
      <c r="D161">
        <v>0.15629999999999999</v>
      </c>
      <c r="E161">
        <v>0.15809999999999999</v>
      </c>
      <c r="F161">
        <v>13435013.9</v>
      </c>
      <c r="G161">
        <v>0.15809999999999999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-0.77358490566037785</v>
      </c>
      <c r="Q161">
        <f t="shared" ref="Q161" si="781">F161*P161</f>
        <v>-10393123.960377365</v>
      </c>
      <c r="R161">
        <f t="shared" ref="R161" si="782">R162+Q161</f>
        <v>-363992156.51396859</v>
      </c>
      <c r="S161">
        <f t="shared" ref="S161" si="783">R161/100000</f>
        <v>-3639.9215651396858</v>
      </c>
      <c r="T161">
        <f t="shared" ref="T161" si="784">S161/1000</f>
        <v>-3.6399215651396859</v>
      </c>
    </row>
    <row r="162" spans="1:20" x14ac:dyDescent="0.25">
      <c r="A162" s="5">
        <v>44431</v>
      </c>
      <c r="B162">
        <v>0.17369999999999999</v>
      </c>
      <c r="C162">
        <v>0.1799</v>
      </c>
      <c r="D162">
        <v>0.16669999999999999</v>
      </c>
      <c r="E162">
        <v>0.1704</v>
      </c>
      <c r="F162">
        <v>15456783.550000001</v>
      </c>
      <c r="G162">
        <v>0.1704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-0.43939393939393878</v>
      </c>
      <c r="Q162">
        <f t="shared" ref="Q162" si="786">F162*P162</f>
        <v>-6791617.0143939303</v>
      </c>
      <c r="R162">
        <f t="shared" ref="R162" si="787">R163+Q162</f>
        <v>-353599032.55359125</v>
      </c>
      <c r="S162">
        <f t="shared" ref="S162" si="788">R162/100000</f>
        <v>-3535.9903255359127</v>
      </c>
      <c r="T162">
        <f t="shared" ref="T162" si="789">S162/1000</f>
        <v>-3.5359903255359129</v>
      </c>
    </row>
    <row r="163" spans="1:20" x14ac:dyDescent="0.25">
      <c r="A163" s="5">
        <v>44430</v>
      </c>
      <c r="B163">
        <v>0.15920000000000001</v>
      </c>
      <c r="C163">
        <v>0.17</v>
      </c>
      <c r="D163">
        <v>0.15859999999999999</v>
      </c>
      <c r="E163">
        <v>0.1678</v>
      </c>
      <c r="F163">
        <v>4041501.73</v>
      </c>
      <c r="G163">
        <v>0.1678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0.6140350877192976</v>
      </c>
      <c r="Q163">
        <f t="shared" ref="Q163" si="791">F163*P163</f>
        <v>2481623.869298243</v>
      </c>
      <c r="R163">
        <f t="shared" ref="R163" si="792">R164+Q163</f>
        <v>-346807415.53919733</v>
      </c>
      <c r="S163">
        <f t="shared" ref="S163" si="793">R163/100000</f>
        <v>-3468.0741553919734</v>
      </c>
      <c r="T163">
        <f t="shared" ref="T163" si="794">S163/1000</f>
        <v>-3.4680741553919732</v>
      </c>
    </row>
    <row r="164" spans="1:20" x14ac:dyDescent="0.25">
      <c r="A164" s="5">
        <v>44429</v>
      </c>
      <c r="B164">
        <v>0.15529999999999999</v>
      </c>
      <c r="C164">
        <v>0.16500000000000001</v>
      </c>
      <c r="D164">
        <v>0.15310000000000001</v>
      </c>
      <c r="E164">
        <v>0.15920000000000001</v>
      </c>
      <c r="F164">
        <v>9884049.9900000002</v>
      </c>
      <c r="G164">
        <v>0.15920000000000001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2.5210084033613016E-2</v>
      </c>
      <c r="Q164">
        <f t="shared" ref="Q164" si="796">F164*P164</f>
        <v>249177.7308403319</v>
      </c>
      <c r="R164">
        <f t="shared" ref="R164" si="797">R165+Q164</f>
        <v>-349289039.40849555</v>
      </c>
      <c r="S164">
        <f t="shared" ref="S164" si="798">R164/100000</f>
        <v>-3492.8903940849555</v>
      </c>
      <c r="T164">
        <f t="shared" ref="T164" si="799">S164/1000</f>
        <v>-3.4928903940849554</v>
      </c>
    </row>
    <row r="165" spans="1:20" x14ac:dyDescent="0.25">
      <c r="A165" s="5">
        <v>44428</v>
      </c>
      <c r="B165">
        <v>0.1507</v>
      </c>
      <c r="C165">
        <v>0.15820000000000001</v>
      </c>
      <c r="D165">
        <v>0.15040000000000001</v>
      </c>
      <c r="E165">
        <v>0.15529999999999999</v>
      </c>
      <c r="F165">
        <v>10187597.18</v>
      </c>
      <c r="G165">
        <v>0.15529999999999999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0.25641025641025306</v>
      </c>
      <c r="Q165">
        <f t="shared" ref="Q165" si="801">F165*P165</f>
        <v>2612204.4051281707</v>
      </c>
      <c r="R165">
        <f t="shared" ref="R165" si="802">R166+Q165</f>
        <v>-349538217.13933587</v>
      </c>
      <c r="S165">
        <f t="shared" ref="S165" si="803">R165/100000</f>
        <v>-3495.3821713933589</v>
      </c>
      <c r="T165">
        <f t="shared" ref="T165" si="804">S165/1000</f>
        <v>-3.4953821713933588</v>
      </c>
    </row>
    <row r="166" spans="1:20" x14ac:dyDescent="0.25">
      <c r="A166" s="5">
        <v>44427</v>
      </c>
      <c r="B166">
        <v>0.1462</v>
      </c>
      <c r="C166">
        <v>0.1517</v>
      </c>
      <c r="D166">
        <v>0.14080000000000001</v>
      </c>
      <c r="E166">
        <v>0.1507</v>
      </c>
      <c r="F166">
        <v>10976855.93</v>
      </c>
      <c r="G166">
        <v>0.1507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0.81651376146788968</v>
      </c>
      <c r="Q166">
        <f t="shared" ref="Q166" si="806">F166*P166</f>
        <v>8962753.9244954102</v>
      </c>
      <c r="R166">
        <f t="shared" ref="R166" si="807">R167+Q166</f>
        <v>-352150421.54446405</v>
      </c>
      <c r="S166">
        <f t="shared" ref="S166" si="808">R166/100000</f>
        <v>-3521.5042154446405</v>
      </c>
      <c r="T166">
        <f t="shared" ref="T166" si="809">S166/1000</f>
        <v>-3.5215042154446405</v>
      </c>
    </row>
    <row r="167" spans="1:20" x14ac:dyDescent="0.25">
      <c r="A167" s="5">
        <v>44426</v>
      </c>
      <c r="B167">
        <v>0.14599999999999999</v>
      </c>
      <c r="C167">
        <v>0.14949999999999999</v>
      </c>
      <c r="D167">
        <v>0.1384</v>
      </c>
      <c r="E167">
        <v>0.14630000000000001</v>
      </c>
      <c r="F167">
        <v>17949130.02</v>
      </c>
      <c r="G167">
        <v>0.14630000000000001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0.42342342342342687</v>
      </c>
      <c r="Q167">
        <f t="shared" ref="Q167" si="811">F167*P167</f>
        <v>7600082.0805406021</v>
      </c>
      <c r="R167">
        <f t="shared" ref="R167" si="812">R168+Q167</f>
        <v>-361113175.46895945</v>
      </c>
      <c r="S167">
        <f t="shared" ref="S167" si="813">R167/100000</f>
        <v>-3611.1317546895943</v>
      </c>
      <c r="T167">
        <f t="shared" ref="T167" si="814">S167/1000</f>
        <v>-3.6111317546895942</v>
      </c>
    </row>
    <row r="168" spans="1:20" x14ac:dyDescent="0.25">
      <c r="A168" s="5">
        <v>44425</v>
      </c>
      <c r="B168">
        <v>0.1583</v>
      </c>
      <c r="C168">
        <v>0.17199999999999999</v>
      </c>
      <c r="D168">
        <v>0.14449999999999999</v>
      </c>
      <c r="E168">
        <v>0.14610000000000001</v>
      </c>
      <c r="F168">
        <v>23917597.510000002</v>
      </c>
      <c r="G168">
        <v>0.14610000000000001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-0.88363636363636233</v>
      </c>
      <c r="Q168">
        <f t="shared" ref="Q168" si="816">F168*P168</f>
        <v>-21134458.890654515</v>
      </c>
      <c r="R168">
        <f t="shared" ref="R168" si="817">R169+Q168</f>
        <v>-368713257.54950005</v>
      </c>
      <c r="S168">
        <f t="shared" ref="S168" si="818">R168/100000</f>
        <v>-3687.1325754950003</v>
      </c>
      <c r="T168">
        <f t="shared" ref="T168" si="819">S168/1000</f>
        <v>-3.6871325754950002</v>
      </c>
    </row>
    <row r="169" spans="1:20" x14ac:dyDescent="0.25">
      <c r="A169" s="5">
        <v>44424</v>
      </c>
      <c r="B169">
        <v>0.15590000000000001</v>
      </c>
      <c r="C169">
        <v>0.17330000000000001</v>
      </c>
      <c r="D169">
        <v>0.15570000000000001</v>
      </c>
      <c r="E169">
        <v>0.1583</v>
      </c>
      <c r="F169">
        <v>224485285.19</v>
      </c>
      <c r="G169">
        <v>0.1583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-0.70454545454545559</v>
      </c>
      <c r="Q169">
        <f t="shared" ref="Q169" si="821">F169*P169</f>
        <v>-158160087.29295477</v>
      </c>
      <c r="R169">
        <f t="shared" ref="R169" si="822">R170+Q169</f>
        <v>-347578798.65884554</v>
      </c>
      <c r="S169">
        <f t="shared" ref="S169" si="823">R169/100000</f>
        <v>-3475.7879865884556</v>
      </c>
      <c r="T169">
        <f t="shared" ref="T169" si="824">S169/1000</f>
        <v>-3.4757879865884558</v>
      </c>
    </row>
    <row r="170" spans="1:20" x14ac:dyDescent="0.25">
      <c r="A170" s="5">
        <v>44423</v>
      </c>
      <c r="B170">
        <v>0.15490000000000001</v>
      </c>
      <c r="C170">
        <v>0.15909999999999999</v>
      </c>
      <c r="D170">
        <v>0.14610000000000001</v>
      </c>
      <c r="E170">
        <v>0.15609999999999999</v>
      </c>
      <c r="F170">
        <v>13361117.09</v>
      </c>
      <c r="G170">
        <v>0.15609999999999999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0.53846153846153744</v>
      </c>
      <c r="Q170">
        <f t="shared" ref="Q170" si="826">F170*P170</f>
        <v>7194447.6638461398</v>
      </c>
      <c r="R170">
        <f t="shared" ref="R170" si="827">R171+Q170</f>
        <v>-189418711.36589074</v>
      </c>
      <c r="S170">
        <f t="shared" ref="S170" si="828">R170/100000</f>
        <v>-1894.1871136589075</v>
      </c>
      <c r="T170">
        <f t="shared" ref="T170" si="829">S170/1000</f>
        <v>-1.8941871136589075</v>
      </c>
    </row>
    <row r="171" spans="1:20" x14ac:dyDescent="0.25">
      <c r="A171" s="5">
        <v>44422</v>
      </c>
      <c r="B171">
        <v>0.1605</v>
      </c>
      <c r="C171">
        <v>0.17330000000000001</v>
      </c>
      <c r="D171">
        <v>0.15190000000000001</v>
      </c>
      <c r="E171">
        <v>0.15479999999999999</v>
      </c>
      <c r="F171">
        <v>26217819.73</v>
      </c>
      <c r="G171">
        <v>0.15479999999999999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-0.72897196261682373</v>
      </c>
      <c r="Q171">
        <f t="shared" ref="Q171" si="831">F171*P171</f>
        <v>-19112055.504112184</v>
      </c>
      <c r="R171">
        <f t="shared" ref="R171" si="832">R172+Q171</f>
        <v>-196613159.02973688</v>
      </c>
      <c r="S171">
        <f t="shared" ref="S171" si="833">R171/100000</f>
        <v>-1966.1315902973688</v>
      </c>
      <c r="T171">
        <f t="shared" ref="T171" si="834">S171/1000</f>
        <v>-1.9661315902973688</v>
      </c>
    </row>
    <row r="172" spans="1:20" x14ac:dyDescent="0.25">
      <c r="A172" s="5">
        <v>44421</v>
      </c>
      <c r="B172">
        <v>0.13930000000000001</v>
      </c>
      <c r="C172">
        <v>0.16320000000000001</v>
      </c>
      <c r="D172">
        <v>0.13880000000000001</v>
      </c>
      <c r="E172">
        <v>0.1608</v>
      </c>
      <c r="F172">
        <v>31514037.41</v>
      </c>
      <c r="G172">
        <v>0.1608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0.80327868852458917</v>
      </c>
      <c r="Q172">
        <f t="shared" ref="Q172" si="836">F172*P172</f>
        <v>25314554.640819643</v>
      </c>
      <c r="R172">
        <f t="shared" ref="R172" si="837">R173+Q172</f>
        <v>-177501103.52562469</v>
      </c>
      <c r="S172">
        <f t="shared" ref="S172" si="838">R172/100000</f>
        <v>-1775.0110352562469</v>
      </c>
      <c r="T172">
        <f t="shared" ref="T172" si="839">S172/1000</f>
        <v>-1.7750110352562469</v>
      </c>
    </row>
    <row r="173" spans="1:20" x14ac:dyDescent="0.25">
      <c r="A173" s="5">
        <v>44420</v>
      </c>
      <c r="B173">
        <v>0.13930000000000001</v>
      </c>
      <c r="C173">
        <v>0.14510000000000001</v>
      </c>
      <c r="D173">
        <v>0.13320000000000001</v>
      </c>
      <c r="E173">
        <v>0.13930000000000001</v>
      </c>
      <c r="F173">
        <v>16228301.33</v>
      </c>
      <c r="G173">
        <v>0.13930000000000001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2.5210084033613016E-2</v>
      </c>
      <c r="Q173">
        <f t="shared" ref="Q173" si="841">F173*P173</f>
        <v>409116.84025209385</v>
      </c>
      <c r="R173">
        <f t="shared" ref="R173" si="842">R174+Q173</f>
        <v>-202815658.16644433</v>
      </c>
      <c r="S173">
        <f t="shared" ref="S173" si="843">R173/100000</f>
        <v>-2028.1565816644434</v>
      </c>
      <c r="T173">
        <f t="shared" ref="T173" si="844">S173/1000</f>
        <v>-2.0281565816644433</v>
      </c>
    </row>
    <row r="174" spans="1:20" x14ac:dyDescent="0.25">
      <c r="A174" s="5">
        <v>44419</v>
      </c>
      <c r="B174">
        <v>0.14119999999999999</v>
      </c>
      <c r="C174">
        <v>0.15490000000000001</v>
      </c>
      <c r="D174">
        <v>0.13830000000000001</v>
      </c>
      <c r="E174">
        <v>0.13919999999999999</v>
      </c>
      <c r="F174">
        <v>36246204.270000003</v>
      </c>
      <c r="G174">
        <v>0.13919999999999999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-0.89156626506024295</v>
      </c>
      <c r="Q174">
        <f t="shared" ref="Q174" si="846">F174*P174</f>
        <v>-32315892.963614531</v>
      </c>
      <c r="R174">
        <f t="shared" ref="R174" si="847">R175+Q174</f>
        <v>-203224775.00669643</v>
      </c>
      <c r="S174">
        <f t="shared" ref="S174" si="848">R174/100000</f>
        <v>-2032.2477500669643</v>
      </c>
      <c r="T174">
        <f t="shared" ref="T174" si="849">S174/1000</f>
        <v>-2.0322477500669645</v>
      </c>
    </row>
    <row r="175" spans="1:20" x14ac:dyDescent="0.25">
      <c r="A175" s="5">
        <v>44418</v>
      </c>
      <c r="B175">
        <v>0.13</v>
      </c>
      <c r="C175">
        <v>0.1525</v>
      </c>
      <c r="D175">
        <v>0.12809999999999999</v>
      </c>
      <c r="E175">
        <v>0.14119999999999999</v>
      </c>
      <c r="F175">
        <v>67051386.939999998</v>
      </c>
      <c r="G175">
        <v>0.14119999999999999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7.3770491803278507E-2</v>
      </c>
      <c r="Q175">
        <f t="shared" ref="Q175" si="851">F175*P175</f>
        <v>4946413.7906557256</v>
      </c>
      <c r="R175">
        <f t="shared" ref="R175" si="852">R176+Q175</f>
        <v>-170908882.04308191</v>
      </c>
      <c r="S175">
        <f t="shared" ref="S175" si="853">R175/100000</f>
        <v>-1709.0888204308192</v>
      </c>
      <c r="T175">
        <f t="shared" ref="T175" si="854">S175/1000</f>
        <v>-1.7090888204308192</v>
      </c>
    </row>
    <row r="176" spans="1:20" x14ac:dyDescent="0.25">
      <c r="A176" s="5">
        <v>44417</v>
      </c>
      <c r="B176">
        <v>0.1258</v>
      </c>
      <c r="C176">
        <v>0.13789999999999999</v>
      </c>
      <c r="D176">
        <v>0.12280000000000001</v>
      </c>
      <c r="E176">
        <v>0.13009999999999999</v>
      </c>
      <c r="F176">
        <v>29245920.620000001</v>
      </c>
      <c r="G176">
        <v>0.13009999999999999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-3.3112582781457928E-2</v>
      </c>
      <c r="Q176">
        <f t="shared" ref="Q176" si="856">F176*P176</f>
        <v>-968407.96754969738</v>
      </c>
      <c r="R176">
        <f t="shared" ref="R176" si="857">R177+Q176</f>
        <v>-175855295.83373764</v>
      </c>
      <c r="S176">
        <f t="shared" ref="S176" si="858">R176/100000</f>
        <v>-1758.5529583373764</v>
      </c>
      <c r="T176">
        <f t="shared" ref="T176" si="859">S176/1000</f>
        <v>-1.7585529583373765</v>
      </c>
    </row>
    <row r="177" spans="1:20" x14ac:dyDescent="0.25">
      <c r="A177" s="5">
        <v>44416</v>
      </c>
      <c r="B177">
        <v>0.13389999999999999</v>
      </c>
      <c r="C177">
        <v>0.13469999999999999</v>
      </c>
      <c r="D177">
        <v>0.125</v>
      </c>
      <c r="E177">
        <v>0.1255</v>
      </c>
      <c r="F177">
        <v>13592715.57</v>
      </c>
      <c r="G177">
        <v>0.1255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-0.89690721649484517</v>
      </c>
      <c r="Q177">
        <f t="shared" ref="Q177" si="861">F177*P177</f>
        <v>-12191404.686494842</v>
      </c>
      <c r="R177">
        <f t="shared" ref="R177" si="862">R178+Q177</f>
        <v>-174886887.86618793</v>
      </c>
      <c r="S177">
        <f t="shared" ref="S177" si="863">R177/100000</f>
        <v>-1748.8688786618793</v>
      </c>
      <c r="T177">
        <f t="shared" ref="T177" si="864">S177/1000</f>
        <v>-1.7488688786618793</v>
      </c>
    </row>
    <row r="178" spans="1:20" x14ac:dyDescent="0.25">
      <c r="A178" s="5">
        <v>44415</v>
      </c>
      <c r="B178">
        <v>0.13919999999999999</v>
      </c>
      <c r="C178">
        <v>0.1416</v>
      </c>
      <c r="D178">
        <v>0.1305</v>
      </c>
      <c r="E178">
        <v>0.13420000000000001</v>
      </c>
      <c r="F178">
        <v>25568983</v>
      </c>
      <c r="G178">
        <v>0.13420000000000001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-0.33333333333333165</v>
      </c>
      <c r="Q178">
        <f t="shared" ref="Q178" si="866">F178*P178</f>
        <v>-8522994.3333332911</v>
      </c>
      <c r="R178">
        <f t="shared" ref="R178" si="867">R179+Q178</f>
        <v>-162695483.17969307</v>
      </c>
      <c r="S178">
        <f t="shared" ref="S178" si="868">R178/100000</f>
        <v>-1626.9548317969306</v>
      </c>
      <c r="T178">
        <f t="shared" ref="T178" si="869">S178/1000</f>
        <v>-1.6269548317969307</v>
      </c>
    </row>
    <row r="179" spans="1:20" x14ac:dyDescent="0.25">
      <c r="A179" s="5">
        <v>44414</v>
      </c>
      <c r="B179">
        <v>0.12479999999999999</v>
      </c>
      <c r="C179">
        <v>0.15939999999999999</v>
      </c>
      <c r="D179">
        <v>0.1241</v>
      </c>
      <c r="E179">
        <v>0.13950000000000001</v>
      </c>
      <c r="F179">
        <v>134915954.78999999</v>
      </c>
      <c r="G179">
        <v>0.13950000000000001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-0.12747875354107549</v>
      </c>
      <c r="Q179">
        <f t="shared" ref="Q179" si="871">F179*P179</f>
        <v>-17198917.749433294</v>
      </c>
      <c r="R179">
        <f t="shared" ref="R179" si="872">R180+Q179</f>
        <v>-154172488.84635979</v>
      </c>
      <c r="S179">
        <f t="shared" ref="S179" si="873">R179/100000</f>
        <v>-1541.7248884635978</v>
      </c>
      <c r="T179">
        <f t="shared" ref="T179" si="874">S179/1000</f>
        <v>-1.5417248884635979</v>
      </c>
    </row>
    <row r="180" spans="1:20" x14ac:dyDescent="0.25">
      <c r="A180" s="5">
        <v>44413</v>
      </c>
      <c r="B180">
        <v>0.1129</v>
      </c>
      <c r="C180">
        <v>0.1361</v>
      </c>
      <c r="D180">
        <v>0.1115</v>
      </c>
      <c r="E180">
        <v>0.125</v>
      </c>
      <c r="F180">
        <v>53181297.079999998</v>
      </c>
      <c r="G180">
        <v>0.125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9.7560975609756087E-2</v>
      </c>
      <c r="Q180">
        <f t="shared" ref="Q180" si="876">F180*P180</f>
        <v>5188419.2273170725</v>
      </c>
      <c r="R180">
        <f t="shared" ref="R180" si="877">R181+Q180</f>
        <v>-136973571.09692651</v>
      </c>
      <c r="S180">
        <f t="shared" ref="S180" si="878">R180/100000</f>
        <v>-1369.735710969265</v>
      </c>
      <c r="T180">
        <f t="shared" ref="T180" si="879">S180/1000</f>
        <v>-1.3697357109692649</v>
      </c>
    </row>
    <row r="181" spans="1:20" x14ac:dyDescent="0.25">
      <c r="A181" s="5">
        <v>44412</v>
      </c>
      <c r="B181">
        <v>0.1066</v>
      </c>
      <c r="C181">
        <v>0.1154</v>
      </c>
      <c r="D181">
        <v>0.1055</v>
      </c>
      <c r="E181">
        <v>0.1128</v>
      </c>
      <c r="F181">
        <v>13025692.07</v>
      </c>
      <c r="G181">
        <v>0.1128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0.47474747474747403</v>
      </c>
      <c r="Q181">
        <f t="shared" ref="Q181" si="881">F181*P181</f>
        <v>6183914.417070698</v>
      </c>
      <c r="R181">
        <f t="shared" ref="R181" si="882">R182+Q181</f>
        <v>-142161990.32424358</v>
      </c>
      <c r="S181">
        <f t="shared" ref="S181" si="883">R181/100000</f>
        <v>-1421.6199032424358</v>
      </c>
      <c r="T181">
        <f t="shared" ref="T181" si="884">S181/1000</f>
        <v>-1.4216199032424359</v>
      </c>
    </row>
    <row r="182" spans="1:20" x14ac:dyDescent="0.25">
      <c r="A182" s="5">
        <v>44411</v>
      </c>
      <c r="B182">
        <v>0.10879999999999999</v>
      </c>
      <c r="C182">
        <v>0.11020000000000001</v>
      </c>
      <c r="D182">
        <v>0.10539999999999999</v>
      </c>
      <c r="E182">
        <v>0.1067</v>
      </c>
      <c r="F182">
        <v>12481419.74</v>
      </c>
      <c r="G182">
        <v>0.1067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-0.45833333333333082</v>
      </c>
      <c r="Q182">
        <f t="shared" ref="Q182" si="886">F182*P182</f>
        <v>-5720650.7141666356</v>
      </c>
      <c r="R182">
        <f t="shared" ref="R182" si="887">R183+Q182</f>
        <v>-148345904.74131426</v>
      </c>
      <c r="S182">
        <f t="shared" ref="S182" si="888">R182/100000</f>
        <v>-1483.4590474131426</v>
      </c>
      <c r="T182">
        <f t="shared" ref="T182" si="889">S182/1000</f>
        <v>-1.4834590474131426</v>
      </c>
    </row>
    <row r="183" spans="1:20" x14ac:dyDescent="0.25">
      <c r="A183" s="5">
        <v>44410</v>
      </c>
      <c r="B183">
        <v>0.1084</v>
      </c>
      <c r="C183">
        <v>0.11070000000000001</v>
      </c>
      <c r="D183">
        <v>0.1071</v>
      </c>
      <c r="E183">
        <v>0.1087</v>
      </c>
      <c r="F183">
        <v>11179857.140000001</v>
      </c>
      <c r="G183">
        <v>0.1087</v>
      </c>
      <c r="L183" t="s">
        <v>8</v>
      </c>
      <c r="M183" t="s">
        <v>8</v>
      </c>
      <c r="N183" t="s">
        <v>7</v>
      </c>
      <c r="P183">
        <f t="shared" ref="P183" si="890">IF(C183=D183,0,((E183-D183)-(C183-E183))/(C183-D183))</f>
        <v>-0.11111111111111026</v>
      </c>
      <c r="Q183">
        <f t="shared" ref="Q183" si="891">F183*P183</f>
        <v>-1242206.3488888794</v>
      </c>
      <c r="R183">
        <f t="shared" ref="R183" si="892">R184+Q183</f>
        <v>-142625254.02714762</v>
      </c>
      <c r="S183">
        <f t="shared" ref="S183" si="893">R183/100000</f>
        <v>-1426.2525402714762</v>
      </c>
      <c r="T183">
        <f t="shared" ref="T183" si="894">S183/1000</f>
        <v>-1.4262525402714761</v>
      </c>
    </row>
    <row r="184" spans="1:20" x14ac:dyDescent="0.25">
      <c r="A184" s="5">
        <v>44409</v>
      </c>
      <c r="B184">
        <v>0.11269999999999999</v>
      </c>
      <c r="C184">
        <v>0.1154</v>
      </c>
      <c r="D184">
        <v>0.1082</v>
      </c>
      <c r="E184">
        <v>0.1085</v>
      </c>
      <c r="F184">
        <v>14330883.84</v>
      </c>
      <c r="G184">
        <v>0.1085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-0.91666666666666807</v>
      </c>
      <c r="Q184">
        <f t="shared" ref="Q184" si="896">F184*P184</f>
        <v>-13136643.52000002</v>
      </c>
      <c r="R184">
        <f t="shared" ref="R184" si="897">R185+Q184</f>
        <v>-141383047.67825875</v>
      </c>
      <c r="S184">
        <f t="shared" ref="S184" si="898">R184/100000</f>
        <v>-1413.8304767825875</v>
      </c>
      <c r="T184">
        <f t="shared" ref="T184" si="899">S184/1000</f>
        <v>-1.4138304767825876</v>
      </c>
    </row>
    <row r="185" spans="1:20" x14ac:dyDescent="0.25">
      <c r="A185" s="5">
        <v>44408</v>
      </c>
      <c r="B185">
        <v>0.1106</v>
      </c>
      <c r="C185">
        <v>0.1153</v>
      </c>
      <c r="D185">
        <v>0.1072</v>
      </c>
      <c r="E185">
        <v>0.11269999999999999</v>
      </c>
      <c r="F185">
        <v>13804138.560000001</v>
      </c>
      <c r="G185">
        <v>0.11269999999999999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0.35802469135802312</v>
      </c>
      <c r="Q185">
        <f t="shared" ref="Q185" si="901">F185*P185</f>
        <v>4942222.4474073863</v>
      </c>
      <c r="R185">
        <f t="shared" ref="R185" si="902">R186+Q185</f>
        <v>-128246404.15825874</v>
      </c>
      <c r="S185">
        <f t="shared" ref="S185" si="903">R185/100000</f>
        <v>-1282.4640415825875</v>
      </c>
      <c r="T185">
        <f t="shared" ref="T185" si="904">S185/1000</f>
        <v>-1.2824640415825874</v>
      </c>
    </row>
    <row r="186" spans="1:20" x14ac:dyDescent="0.25">
      <c r="A186" s="5">
        <v>44407</v>
      </c>
      <c r="B186">
        <v>0.1094</v>
      </c>
      <c r="C186">
        <v>0.1124</v>
      </c>
      <c r="D186">
        <v>0.1062</v>
      </c>
      <c r="E186">
        <v>0.1104</v>
      </c>
      <c r="F186">
        <v>13057185.890000001</v>
      </c>
      <c r="G186">
        <v>0.1104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0.35483870967741848</v>
      </c>
      <c r="Q186">
        <f t="shared" ref="Q186" si="906">F186*P186</f>
        <v>4633194.9932257952</v>
      </c>
      <c r="R186">
        <f t="shared" ref="R186" si="907">R187+Q186</f>
        <v>-133188626.60566612</v>
      </c>
      <c r="S186">
        <f t="shared" ref="S186" si="908">R186/100000</f>
        <v>-1331.8862660566613</v>
      </c>
      <c r="T186">
        <f t="shared" ref="T186" si="909">S186/1000</f>
        <v>-1.3318862660566613</v>
      </c>
    </row>
    <row r="187" spans="1:20" x14ac:dyDescent="0.25">
      <c r="A187" s="5">
        <v>44406</v>
      </c>
      <c r="B187">
        <v>0.1084</v>
      </c>
      <c r="C187">
        <v>0.1104</v>
      </c>
      <c r="D187">
        <v>0.1062</v>
      </c>
      <c r="E187">
        <v>0.1094</v>
      </c>
      <c r="F187">
        <v>9018880.8599999994</v>
      </c>
      <c r="G187">
        <v>0.1094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0.52380952380952284</v>
      </c>
      <c r="Q187">
        <f t="shared" ref="Q187" si="911">F187*P187</f>
        <v>4724175.6885714196</v>
      </c>
      <c r="R187">
        <f t="shared" ref="R187" si="912">R188+Q187</f>
        <v>-137821821.59889191</v>
      </c>
      <c r="S187">
        <f t="shared" ref="S187" si="913">R187/100000</f>
        <v>-1378.2182159889192</v>
      </c>
      <c r="T187">
        <f t="shared" ref="T187" si="914">S187/1000</f>
        <v>-1.3782182159889191</v>
      </c>
    </row>
    <row r="188" spans="1:20" x14ac:dyDescent="0.25">
      <c r="A188" s="5">
        <v>44405</v>
      </c>
      <c r="B188">
        <v>0.1103</v>
      </c>
      <c r="C188">
        <v>0.11070000000000001</v>
      </c>
      <c r="D188">
        <v>0.1071</v>
      </c>
      <c r="E188">
        <v>0.10829999999999999</v>
      </c>
      <c r="F188">
        <v>13956630.23</v>
      </c>
      <c r="G188">
        <v>0.10829999999999999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-0.33333333333333848</v>
      </c>
      <c r="Q188">
        <f t="shared" ref="Q188" si="916">F188*P188</f>
        <v>-4652210.0766667388</v>
      </c>
      <c r="R188">
        <f t="shared" ref="R188" si="917">R189+Q188</f>
        <v>-142545997.28746334</v>
      </c>
      <c r="S188">
        <f t="shared" ref="S188" si="918">R188/100000</f>
        <v>-1425.4599728746334</v>
      </c>
      <c r="T188">
        <f t="shared" ref="T188" si="919">S188/1000</f>
        <v>-1.4254599728746333</v>
      </c>
    </row>
    <row r="189" spans="1:20" x14ac:dyDescent="0.25">
      <c r="A189" s="5">
        <v>44404</v>
      </c>
      <c r="B189">
        <v>0.11020000000000001</v>
      </c>
      <c r="C189">
        <v>0.1169</v>
      </c>
      <c r="D189">
        <v>0.1061</v>
      </c>
      <c r="E189">
        <v>0.1105</v>
      </c>
      <c r="F189">
        <v>16405368.67</v>
      </c>
      <c r="G189">
        <v>0.1105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-0.18518518518518529</v>
      </c>
      <c r="Q189">
        <f t="shared" ref="Q189" si="921">F189*P189</f>
        <v>-3038031.2351851868</v>
      </c>
      <c r="R189">
        <f t="shared" ref="R189" si="922">R190+Q189</f>
        <v>-137893787.21079659</v>
      </c>
      <c r="S189">
        <f t="shared" ref="S189" si="923">R189/100000</f>
        <v>-1378.9378721079659</v>
      </c>
      <c r="T189">
        <f t="shared" ref="T189" si="924">S189/1000</f>
        <v>-1.3789378721079659</v>
      </c>
    </row>
    <row r="190" spans="1:20" x14ac:dyDescent="0.25">
      <c r="A190" s="5">
        <v>44403</v>
      </c>
      <c r="B190">
        <v>0.1084</v>
      </c>
      <c r="C190">
        <v>0.1216</v>
      </c>
      <c r="D190">
        <v>0.1076</v>
      </c>
      <c r="E190">
        <v>0.1103</v>
      </c>
      <c r="F190">
        <v>30710655.579999998</v>
      </c>
      <c r="G190">
        <v>0.1103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-0.6142857142857151</v>
      </c>
      <c r="Q190">
        <f t="shared" ref="Q190" si="926">F190*P190</f>
        <v>-18865116.999142881</v>
      </c>
      <c r="R190">
        <f t="shared" ref="R190" si="927">R191+Q190</f>
        <v>-134855755.97561142</v>
      </c>
      <c r="S190">
        <f t="shared" ref="S190" si="928">R190/100000</f>
        <v>-1348.5575597561142</v>
      </c>
      <c r="T190">
        <f t="shared" ref="T190" si="929">S190/1000</f>
        <v>-1.3485575597561141</v>
      </c>
    </row>
    <row r="191" spans="1:20" x14ac:dyDescent="0.25">
      <c r="A191" s="5">
        <v>44402</v>
      </c>
      <c r="B191">
        <v>0.1074</v>
      </c>
      <c r="C191">
        <v>0.115</v>
      </c>
      <c r="D191">
        <v>0.104</v>
      </c>
      <c r="E191">
        <v>0.1084</v>
      </c>
      <c r="F191">
        <v>14069290.32</v>
      </c>
      <c r="G191">
        <v>0.1084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-0.20000000000000051</v>
      </c>
      <c r="Q191">
        <f t="shared" ref="Q191" si="931">F191*P191</f>
        <v>-2813858.0640000072</v>
      </c>
      <c r="R191">
        <f t="shared" ref="R191" si="932">R192+Q191</f>
        <v>-115990638.97646853</v>
      </c>
      <c r="S191">
        <f t="shared" ref="S191" si="933">R191/100000</f>
        <v>-1159.9063897646854</v>
      </c>
      <c r="T191">
        <f t="shared" ref="T191:T197" si="934">S191/1000</f>
        <v>-1.1599063897646853</v>
      </c>
    </row>
    <row r="192" spans="1:20" x14ac:dyDescent="0.25">
      <c r="A192" s="5">
        <v>44401</v>
      </c>
      <c r="B192">
        <v>0.1033</v>
      </c>
      <c r="C192">
        <v>0.10879999999999999</v>
      </c>
      <c r="D192">
        <v>0.1019</v>
      </c>
      <c r="E192">
        <v>0.1076</v>
      </c>
      <c r="F192">
        <v>8642789.2100000009</v>
      </c>
      <c r="G192">
        <v>0.1076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0.65217391304347982</v>
      </c>
      <c r="Q192">
        <f t="shared" ref="Q192" si="936">F192*P192</f>
        <v>5636601.6586956661</v>
      </c>
      <c r="R192">
        <f t="shared" ref="R192" si="937">R193+Q192</f>
        <v>-113176780.91246852</v>
      </c>
      <c r="S192">
        <f t="shared" ref="S192" si="938">R192/100000</f>
        <v>-1131.7678091246853</v>
      </c>
      <c r="T192">
        <f t="shared" si="934"/>
        <v>-1.1317678091246852</v>
      </c>
    </row>
    <row r="193" spans="1:20" x14ac:dyDescent="0.25">
      <c r="A193" s="5">
        <v>44400</v>
      </c>
      <c r="B193">
        <v>0.1019</v>
      </c>
      <c r="C193">
        <v>0.10390000000000001</v>
      </c>
      <c r="D193">
        <v>9.9099999999999994E-2</v>
      </c>
      <c r="E193">
        <v>0.1032</v>
      </c>
      <c r="F193">
        <v>5741637.2300000004</v>
      </c>
      <c r="G193">
        <v>0.1032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0.70833333333333148</v>
      </c>
      <c r="Q193">
        <f t="shared" ref="Q193" si="940">F193*P193</f>
        <v>4066993.0379166566</v>
      </c>
      <c r="R193">
        <f t="shared" ref="R193" si="941">R194+Q193</f>
        <v>-118813382.57116419</v>
      </c>
      <c r="S193">
        <f t="shared" ref="S193" si="942">R193/100000</f>
        <v>-1188.133825711642</v>
      </c>
      <c r="T193">
        <f t="shared" si="934"/>
        <v>-1.1881338257116421</v>
      </c>
    </row>
    <row r="194" spans="1:20" x14ac:dyDescent="0.25">
      <c r="A194" s="5">
        <v>44399</v>
      </c>
      <c r="B194">
        <v>0.10059999999999999</v>
      </c>
      <c r="C194">
        <v>0.1074</v>
      </c>
      <c r="D194">
        <v>9.8199999999999996E-2</v>
      </c>
      <c r="E194">
        <v>0.10199999999999999</v>
      </c>
      <c r="F194">
        <v>14474125.220000001</v>
      </c>
      <c r="G194">
        <v>0.10199999999999999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-0.17391304347826134</v>
      </c>
      <c r="Q194">
        <f t="shared" ref="Q194" si="944">F194*P194</f>
        <v>-2517239.1686956589</v>
      </c>
      <c r="R194">
        <f t="shared" ref="R194" si="945">R195+Q194</f>
        <v>-122880375.60908085</v>
      </c>
      <c r="S194">
        <f t="shared" ref="S194" si="946">R194/100000</f>
        <v>-1228.8037560908085</v>
      </c>
      <c r="T194">
        <f t="shared" si="934"/>
        <v>-1.2288037560908085</v>
      </c>
    </row>
    <row r="195" spans="1:20" x14ac:dyDescent="0.25">
      <c r="A195" s="5">
        <v>44398</v>
      </c>
      <c r="B195">
        <v>9.35E-2</v>
      </c>
      <c r="C195">
        <v>0.1024</v>
      </c>
      <c r="D195">
        <v>9.1499999999999998E-2</v>
      </c>
      <c r="E195">
        <v>0.10059999999999999</v>
      </c>
      <c r="F195">
        <v>13218152.27</v>
      </c>
      <c r="G195">
        <v>0.10059999999999999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0.66972477064220026</v>
      </c>
      <c r="Q195">
        <f t="shared" ref="Q195" si="948">F195*P195</f>
        <v>8852523.9973394293</v>
      </c>
      <c r="R195">
        <f t="shared" ref="R195" si="949">R196+Q195</f>
        <v>-120363136.44038519</v>
      </c>
      <c r="S195">
        <f t="shared" ref="S195" si="950">R195/100000</f>
        <v>-1203.6313644038519</v>
      </c>
      <c r="T195">
        <f t="shared" si="934"/>
        <v>-1.2036313644038519</v>
      </c>
    </row>
    <row r="196" spans="1:20" x14ac:dyDescent="0.25">
      <c r="A196" s="5">
        <v>44397</v>
      </c>
      <c r="B196">
        <v>9.9199999999999997E-2</v>
      </c>
      <c r="C196">
        <v>0.1003</v>
      </c>
      <c r="D196">
        <v>9.2100000000000001E-2</v>
      </c>
      <c r="E196">
        <v>9.35E-2</v>
      </c>
      <c r="F196">
        <v>12111645.710000001</v>
      </c>
      <c r="G196">
        <v>9.35E-2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-0.65853658536585402</v>
      </c>
      <c r="Q196">
        <f t="shared" ref="Q196" si="952">F196*P196</f>
        <v>-7975961.8090243954</v>
      </c>
      <c r="R196">
        <f t="shared" ref="R196" si="953">R197+Q196</f>
        <v>-129215660.43772462</v>
      </c>
      <c r="S196">
        <f t="shared" ref="S196" si="954">R196/100000</f>
        <v>-1292.1566043772461</v>
      </c>
      <c r="T196">
        <f t="shared" si="934"/>
        <v>-1.2921566043772461</v>
      </c>
    </row>
    <row r="197" spans="1:20" x14ac:dyDescent="0.25">
      <c r="A197" s="5">
        <v>44396</v>
      </c>
      <c r="B197">
        <v>0.1051</v>
      </c>
      <c r="C197">
        <v>0.108</v>
      </c>
      <c r="D197">
        <v>9.9099999999999994E-2</v>
      </c>
      <c r="E197">
        <v>9.9199999999999997E-2</v>
      </c>
      <c r="F197">
        <v>7364809.7300000004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-0.97752808988763984</v>
      </c>
      <c r="Q197">
        <f t="shared" ref="Q197" si="956">F197*P197</f>
        <v>-7199308.3877528049</v>
      </c>
      <c r="R197">
        <f t="shared" ref="R197" si="957">R198+Q197</f>
        <v>-121239698.62870023</v>
      </c>
      <c r="S197">
        <f t="shared" ref="S197" si="958">R197/100000</f>
        <v>-1212.3969862870022</v>
      </c>
      <c r="T197">
        <f t="shared" si="934"/>
        <v>-1.2123969862870021</v>
      </c>
    </row>
    <row r="198" spans="1:20" x14ac:dyDescent="0.25">
      <c r="A198" s="5">
        <v>44395</v>
      </c>
      <c r="B198">
        <v>0.1072</v>
      </c>
      <c r="C198">
        <v>0.10970000000000001</v>
      </c>
      <c r="D198">
        <v>0.1041</v>
      </c>
      <c r="E198">
        <v>0.1052</v>
      </c>
      <c r="F198">
        <v>8284753.46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-0.60714285714285632</v>
      </c>
      <c r="Q198">
        <f t="shared" ref="Q198:Q261" si="960">F198*P198</f>
        <v>-5030028.8864285648</v>
      </c>
      <c r="R198">
        <f t="shared" ref="R198:R261" si="961">R199+Q198</f>
        <v>-114040390.24094743</v>
      </c>
      <c r="S198">
        <f t="shared" ref="S198:S261" si="962">R198/100000</f>
        <v>-1140.4039024094743</v>
      </c>
      <c r="T198">
        <f t="shared" ref="T198:T261" si="963">S198/1000</f>
        <v>-1.1404039024094743</v>
      </c>
    </row>
    <row r="199" spans="1:20" x14ac:dyDescent="0.25">
      <c r="A199" s="5">
        <v>44394</v>
      </c>
      <c r="B199">
        <v>0.10630000000000001</v>
      </c>
      <c r="C199">
        <v>0.1113</v>
      </c>
      <c r="D199">
        <v>0.1056</v>
      </c>
      <c r="E199">
        <v>0.1072</v>
      </c>
      <c r="F199">
        <v>15666816.039999999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-0.43859649122806837</v>
      </c>
      <c r="Q199">
        <f t="shared" si="960"/>
        <v>-6871410.5438596206</v>
      </c>
      <c r="R199">
        <f t="shared" si="961"/>
        <v>-109010361.35451886</v>
      </c>
      <c r="S199">
        <f t="shared" si="962"/>
        <v>-1090.1036135451886</v>
      </c>
      <c r="T199">
        <f t="shared" si="963"/>
        <v>-1.0901036135451887</v>
      </c>
    </row>
    <row r="200" spans="1:20" x14ac:dyDescent="0.25">
      <c r="A200" s="5">
        <v>44393</v>
      </c>
      <c r="B200">
        <v>0.1115</v>
      </c>
      <c r="C200">
        <v>0.112</v>
      </c>
      <c r="D200">
        <v>0.10489999999999999</v>
      </c>
      <c r="E200">
        <v>0.10630000000000001</v>
      </c>
      <c r="F200">
        <v>8285367.2300000004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-0.60563380281689838</v>
      </c>
      <c r="Q200">
        <f t="shared" si="960"/>
        <v>-5017898.4632394118</v>
      </c>
      <c r="R200">
        <f t="shared" si="961"/>
        <v>-102138950.81065924</v>
      </c>
      <c r="S200">
        <f t="shared" si="962"/>
        <v>-1021.3895081065924</v>
      </c>
      <c r="T200">
        <f t="shared" si="963"/>
        <v>-1.0213895081065925</v>
      </c>
    </row>
    <row r="201" spans="1:20" x14ac:dyDescent="0.25">
      <c r="A201" s="5">
        <v>44392</v>
      </c>
      <c r="B201">
        <v>0.1099</v>
      </c>
      <c r="C201">
        <v>0.1147</v>
      </c>
      <c r="D201">
        <v>0.1066</v>
      </c>
      <c r="E201">
        <v>0.1114</v>
      </c>
      <c r="F201">
        <v>13686272.23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0.18518518518518545</v>
      </c>
      <c r="Q201">
        <f t="shared" si="960"/>
        <v>2534494.8574074111</v>
      </c>
      <c r="R201">
        <f t="shared" si="961"/>
        <v>-97121052.347419828</v>
      </c>
      <c r="S201">
        <f t="shared" si="962"/>
        <v>-971.21052347419823</v>
      </c>
      <c r="T201">
        <f t="shared" si="963"/>
        <v>-0.97121052347419823</v>
      </c>
    </row>
    <row r="202" spans="1:20" x14ac:dyDescent="0.25">
      <c r="A202" s="5">
        <v>44391</v>
      </c>
      <c r="B202">
        <v>0.1055</v>
      </c>
      <c r="C202">
        <v>0.1124</v>
      </c>
      <c r="D202">
        <v>0.1012</v>
      </c>
      <c r="E202">
        <v>0.11</v>
      </c>
      <c r="F202">
        <v>12341828.640000001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0.57142857142857162</v>
      </c>
      <c r="Q202">
        <f t="shared" si="960"/>
        <v>7052473.508571431</v>
      </c>
      <c r="R202">
        <f t="shared" si="961"/>
        <v>-99655547.204827234</v>
      </c>
      <c r="S202">
        <f t="shared" si="962"/>
        <v>-996.55547204827235</v>
      </c>
      <c r="T202">
        <f t="shared" si="963"/>
        <v>-0.99655547204827233</v>
      </c>
    </row>
    <row r="203" spans="1:20" x14ac:dyDescent="0.25">
      <c r="A203" s="5">
        <v>44390</v>
      </c>
      <c r="B203">
        <v>0.11119999999999999</v>
      </c>
      <c r="C203">
        <v>0.11269999999999999</v>
      </c>
      <c r="D203">
        <v>0.1037</v>
      </c>
      <c r="E203">
        <v>0.1056</v>
      </c>
      <c r="F203">
        <v>10572782.41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-0.57777777777777772</v>
      </c>
      <c r="Q203">
        <f t="shared" si="960"/>
        <v>-6108718.7257777769</v>
      </c>
      <c r="R203">
        <f t="shared" si="961"/>
        <v>-106708020.71339867</v>
      </c>
      <c r="S203">
        <f t="shared" si="962"/>
        <v>-1067.0802071339867</v>
      </c>
      <c r="T203">
        <f t="shared" si="963"/>
        <v>-1.0670802071339867</v>
      </c>
    </row>
    <row r="204" spans="1:20" x14ac:dyDescent="0.25">
      <c r="A204" s="5">
        <v>44389</v>
      </c>
      <c r="B204">
        <v>0.11600000000000001</v>
      </c>
      <c r="C204">
        <v>0.11899999999999999</v>
      </c>
      <c r="D204">
        <v>0.1075</v>
      </c>
      <c r="E204">
        <v>0.1113</v>
      </c>
      <c r="F204">
        <v>11848909.119999999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-0.33913043478260885</v>
      </c>
      <c r="Q204">
        <f t="shared" si="960"/>
        <v>-4018325.7015652191</v>
      </c>
      <c r="R204">
        <f t="shared" si="961"/>
        <v>-100599301.98762089</v>
      </c>
      <c r="S204">
        <f t="shared" si="962"/>
        <v>-1005.9930198762089</v>
      </c>
      <c r="T204">
        <f t="shared" si="963"/>
        <v>-1.0059930198762088</v>
      </c>
    </row>
    <row r="205" spans="1:20" x14ac:dyDescent="0.25">
      <c r="A205" s="5">
        <v>44388</v>
      </c>
      <c r="B205">
        <v>0.1137</v>
      </c>
      <c r="C205">
        <v>0.11799999999999999</v>
      </c>
      <c r="D205">
        <v>0.11260000000000001</v>
      </c>
      <c r="E205">
        <v>0.1158</v>
      </c>
      <c r="F205">
        <v>7112144.4800000004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0.18518518518518576</v>
      </c>
      <c r="Q205">
        <f t="shared" si="960"/>
        <v>1317063.7925925967</v>
      </c>
      <c r="R205">
        <f t="shared" si="961"/>
        <v>-96580976.286055669</v>
      </c>
      <c r="S205">
        <f t="shared" si="962"/>
        <v>-965.8097628605567</v>
      </c>
      <c r="T205">
        <f t="shared" si="963"/>
        <v>-0.96580976286055675</v>
      </c>
    </row>
    <row r="206" spans="1:20" x14ac:dyDescent="0.25">
      <c r="A206" s="5">
        <v>44387</v>
      </c>
      <c r="B206">
        <v>0.11849999999999999</v>
      </c>
      <c r="C206">
        <v>0.1186</v>
      </c>
      <c r="D206">
        <v>0.11260000000000001</v>
      </c>
      <c r="E206">
        <v>0.1137</v>
      </c>
      <c r="F206">
        <v>6230718.9400000004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-0.63333333333333619</v>
      </c>
      <c r="Q206">
        <f t="shared" si="960"/>
        <v>-3946121.9953333512</v>
      </c>
      <c r="R206">
        <f t="shared" si="961"/>
        <v>-97898040.078648269</v>
      </c>
      <c r="S206">
        <f t="shared" si="962"/>
        <v>-978.98040078648273</v>
      </c>
      <c r="T206">
        <f t="shared" si="963"/>
        <v>-0.97898040078648274</v>
      </c>
    </row>
    <row r="207" spans="1:20" x14ac:dyDescent="0.25">
      <c r="A207" s="5">
        <v>44386</v>
      </c>
      <c r="B207">
        <v>0.1105</v>
      </c>
      <c r="C207">
        <v>0.1188</v>
      </c>
      <c r="D207">
        <v>0.1069</v>
      </c>
      <c r="E207">
        <v>0.1183</v>
      </c>
      <c r="F207">
        <v>13300497.09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0.91596638655462181</v>
      </c>
      <c r="Q207">
        <f t="shared" si="960"/>
        <v>12182808.258907562</v>
      </c>
      <c r="R207">
        <f t="shared" si="961"/>
        <v>-93951918.083314925</v>
      </c>
      <c r="S207">
        <f t="shared" si="962"/>
        <v>-939.51918083314922</v>
      </c>
      <c r="T207">
        <f t="shared" si="963"/>
        <v>-0.93951918083314923</v>
      </c>
    </row>
    <row r="208" spans="1:20" x14ac:dyDescent="0.25">
      <c r="A208" s="5">
        <v>44385</v>
      </c>
      <c r="B208">
        <v>0.12130000000000001</v>
      </c>
      <c r="C208">
        <v>0.1216</v>
      </c>
      <c r="D208">
        <v>0.1085</v>
      </c>
      <c r="E208">
        <v>0.1105</v>
      </c>
      <c r="F208">
        <v>12627531.859999999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-0.69465648854961803</v>
      </c>
      <c r="Q208">
        <f t="shared" si="960"/>
        <v>-8771796.940916026</v>
      </c>
      <c r="R208">
        <f t="shared" si="961"/>
        <v>-106134726.34222248</v>
      </c>
      <c r="S208">
        <f t="shared" si="962"/>
        <v>-1061.3472634222248</v>
      </c>
      <c r="T208">
        <f t="shared" si="963"/>
        <v>-1.0613472634222247</v>
      </c>
    </row>
    <row r="209" spans="1:20" x14ac:dyDescent="0.25">
      <c r="A209" s="5">
        <v>44384</v>
      </c>
      <c r="B209">
        <v>0.1206</v>
      </c>
      <c r="C209">
        <v>0.12670000000000001</v>
      </c>
      <c r="D209">
        <v>0.1192</v>
      </c>
      <c r="E209">
        <v>0.12130000000000001</v>
      </c>
      <c r="F209">
        <v>10958647.99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-0.43999999999999928</v>
      </c>
      <c r="Q209">
        <f t="shared" si="960"/>
        <v>-4821805.1155999918</v>
      </c>
      <c r="R209">
        <f t="shared" si="961"/>
        <v>-97362929.40130645</v>
      </c>
      <c r="S209">
        <f t="shared" si="962"/>
        <v>-973.62929401306451</v>
      </c>
      <c r="T209">
        <f t="shared" si="963"/>
        <v>-0.97362929401306453</v>
      </c>
    </row>
    <row r="210" spans="1:20" x14ac:dyDescent="0.25">
      <c r="A210" s="5">
        <v>44383</v>
      </c>
      <c r="B210">
        <v>0.1193</v>
      </c>
      <c r="C210">
        <v>0.12909999999999999</v>
      </c>
      <c r="D210">
        <v>0.1179</v>
      </c>
      <c r="E210">
        <v>0.1207</v>
      </c>
      <c r="F210">
        <v>18967907.390000001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-0.5</v>
      </c>
      <c r="Q210">
        <f t="shared" si="960"/>
        <v>-9483953.6950000003</v>
      </c>
      <c r="R210">
        <f t="shared" si="961"/>
        <v>-92541124.28570646</v>
      </c>
      <c r="S210">
        <f t="shared" si="962"/>
        <v>-925.41124285706462</v>
      </c>
      <c r="T210">
        <f t="shared" si="963"/>
        <v>-0.92541124285706466</v>
      </c>
    </row>
    <row r="211" spans="1:20" x14ac:dyDescent="0.25">
      <c r="A211" s="5">
        <v>44382</v>
      </c>
      <c r="B211">
        <v>0.1255</v>
      </c>
      <c r="C211">
        <v>0.1255</v>
      </c>
      <c r="D211">
        <v>0.1153</v>
      </c>
      <c r="E211">
        <v>0.1193</v>
      </c>
      <c r="F211">
        <v>13329254.49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-0.21568627450980329</v>
      </c>
      <c r="Q211">
        <f t="shared" si="960"/>
        <v>-2874937.2429411681</v>
      </c>
      <c r="R211">
        <f t="shared" si="961"/>
        <v>-83057170.590706468</v>
      </c>
      <c r="S211">
        <f t="shared" si="962"/>
        <v>-830.57170590706471</v>
      </c>
      <c r="T211">
        <f t="shared" si="963"/>
        <v>-0.83057170590706475</v>
      </c>
    </row>
    <row r="212" spans="1:20" x14ac:dyDescent="0.25">
      <c r="A212" s="5">
        <v>44381</v>
      </c>
      <c r="B212">
        <v>0.13189999999999999</v>
      </c>
      <c r="C212">
        <v>0.13239999999999999</v>
      </c>
      <c r="D212">
        <v>0.123</v>
      </c>
      <c r="E212">
        <v>0.12570000000000001</v>
      </c>
      <c r="F212">
        <v>16614429.77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-0.4255319148936148</v>
      </c>
      <c r="Q212">
        <f t="shared" si="960"/>
        <v>-7069970.1148935799</v>
      </c>
      <c r="R212">
        <f t="shared" si="961"/>
        <v>-80182233.347765297</v>
      </c>
      <c r="S212">
        <f t="shared" si="962"/>
        <v>-801.82233347765293</v>
      </c>
      <c r="T212">
        <f t="shared" si="963"/>
        <v>-0.80182233347765297</v>
      </c>
    </row>
    <row r="213" spans="1:20" x14ac:dyDescent="0.25">
      <c r="A213" s="5">
        <v>44380</v>
      </c>
      <c r="B213">
        <v>0.1174</v>
      </c>
      <c r="C213">
        <v>0.13400000000000001</v>
      </c>
      <c r="D213">
        <v>0.11509999999999999</v>
      </c>
      <c r="E213">
        <v>0.13170000000000001</v>
      </c>
      <c r="F213">
        <v>23037931.289999999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0.75661375661375718</v>
      </c>
      <c r="Q213">
        <f t="shared" si="960"/>
        <v>17430815.737936519</v>
      </c>
      <c r="R213">
        <f t="shared" si="961"/>
        <v>-73112263.232871711</v>
      </c>
      <c r="S213">
        <f t="shared" si="962"/>
        <v>-731.12263232871715</v>
      </c>
      <c r="T213">
        <f t="shared" si="963"/>
        <v>-0.7311226323287171</v>
      </c>
    </row>
    <row r="214" spans="1:20" x14ac:dyDescent="0.25">
      <c r="A214" s="5">
        <v>44379</v>
      </c>
      <c r="B214">
        <v>0.1118</v>
      </c>
      <c r="C214">
        <v>0.1187</v>
      </c>
      <c r="D214">
        <v>0.1081</v>
      </c>
      <c r="E214">
        <v>0.1173</v>
      </c>
      <c r="F214">
        <v>13868125.800000001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0.73584905660377387</v>
      </c>
      <c r="Q214">
        <f t="shared" si="960"/>
        <v>10204847.286792457</v>
      </c>
      <c r="R214">
        <f t="shared" si="961"/>
        <v>-90543078.970808238</v>
      </c>
      <c r="S214">
        <f t="shared" si="962"/>
        <v>-905.43078970808233</v>
      </c>
      <c r="T214">
        <f t="shared" si="963"/>
        <v>-0.90543078970808233</v>
      </c>
    </row>
    <row r="215" spans="1:20" x14ac:dyDescent="0.25">
      <c r="A215" s="5">
        <v>44378</v>
      </c>
      <c r="B215">
        <v>0.1171</v>
      </c>
      <c r="C215">
        <v>0.1171</v>
      </c>
      <c r="D215">
        <v>0.10829999999999999</v>
      </c>
      <c r="E215">
        <v>0.11169999999999999</v>
      </c>
      <c r="F215">
        <v>8844124.25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-0.2272727272727274</v>
      </c>
      <c r="Q215">
        <f t="shared" si="960"/>
        <v>-2010028.2386363647</v>
      </c>
      <c r="R215">
        <f t="shared" si="961"/>
        <v>-100747926.25760069</v>
      </c>
      <c r="S215">
        <f t="shared" si="962"/>
        <v>-1007.4792625760069</v>
      </c>
      <c r="T215">
        <f t="shared" si="963"/>
        <v>-1.007479262576007</v>
      </c>
    </row>
    <row r="216" spans="1:20" x14ac:dyDescent="0.25">
      <c r="A216" s="5">
        <v>44377</v>
      </c>
      <c r="B216">
        <v>0.1227</v>
      </c>
      <c r="C216">
        <v>0.129</v>
      </c>
      <c r="D216">
        <v>0.1115</v>
      </c>
      <c r="E216">
        <v>0.1173</v>
      </c>
      <c r="F216">
        <v>13221119.439999999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-0.33714285714285724</v>
      </c>
      <c r="Q216">
        <f t="shared" si="960"/>
        <v>-4457405.9826285727</v>
      </c>
      <c r="R216">
        <f t="shared" si="961"/>
        <v>-98737898.018964335</v>
      </c>
      <c r="S216">
        <f t="shared" si="962"/>
        <v>-987.37898018964336</v>
      </c>
      <c r="T216">
        <f t="shared" si="963"/>
        <v>-0.98737898018964332</v>
      </c>
    </row>
    <row r="217" spans="1:20" x14ac:dyDescent="0.25">
      <c r="A217" s="5">
        <v>44376</v>
      </c>
      <c r="B217">
        <v>0.1168</v>
      </c>
      <c r="C217">
        <v>0.1255</v>
      </c>
      <c r="D217">
        <v>0.1159</v>
      </c>
      <c r="E217">
        <v>0.123</v>
      </c>
      <c r="F217">
        <v>8969519.1400000006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0.47916666666666607</v>
      </c>
      <c r="Q217">
        <f t="shared" si="960"/>
        <v>4297894.587916662</v>
      </c>
      <c r="R217">
        <f t="shared" si="961"/>
        <v>-94280492.036335766</v>
      </c>
      <c r="S217">
        <f t="shared" si="962"/>
        <v>-942.80492036335761</v>
      </c>
      <c r="T217">
        <f t="shared" si="963"/>
        <v>-0.94280492036335761</v>
      </c>
    </row>
    <row r="218" spans="1:20" x14ac:dyDescent="0.25">
      <c r="A218" s="5">
        <v>44375</v>
      </c>
      <c r="B218">
        <v>0.1144</v>
      </c>
      <c r="C218">
        <v>0.1186</v>
      </c>
      <c r="D218">
        <v>0.11219999999999999</v>
      </c>
      <c r="E218">
        <v>0.1164</v>
      </c>
      <c r="F218">
        <v>6609030.0199999996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0.31250000000000233</v>
      </c>
      <c r="Q218">
        <f t="shared" si="960"/>
        <v>2065321.8812500152</v>
      </c>
      <c r="R218">
        <f t="shared" si="961"/>
        <v>-98578386.624252424</v>
      </c>
      <c r="S218">
        <f t="shared" si="962"/>
        <v>-985.78386624252425</v>
      </c>
      <c r="T218">
        <f t="shared" si="963"/>
        <v>-0.98578386624252423</v>
      </c>
    </row>
    <row r="219" spans="1:20" x14ac:dyDescent="0.25">
      <c r="A219" s="5">
        <v>44374</v>
      </c>
      <c r="B219">
        <v>0.1147</v>
      </c>
      <c r="C219">
        <v>0.1198</v>
      </c>
      <c r="D219">
        <v>0.1085</v>
      </c>
      <c r="E219">
        <v>0.1144</v>
      </c>
      <c r="F219">
        <v>11838733.66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4.4247787610619489E-2</v>
      </c>
      <c r="Q219">
        <f t="shared" si="960"/>
        <v>523837.77256637195</v>
      </c>
      <c r="R219">
        <f t="shared" si="961"/>
        <v>-100643708.50550243</v>
      </c>
      <c r="S219">
        <f t="shared" si="962"/>
        <v>-1006.4370850550243</v>
      </c>
      <c r="T219">
        <f t="shared" si="963"/>
        <v>-1.0064370850550244</v>
      </c>
    </row>
    <row r="220" spans="1:20" x14ac:dyDescent="0.25">
      <c r="A220" s="5">
        <v>44373</v>
      </c>
      <c r="B220">
        <v>0.1129</v>
      </c>
      <c r="C220">
        <v>0.11650000000000001</v>
      </c>
      <c r="D220">
        <v>0.1066</v>
      </c>
      <c r="E220">
        <v>0.1147</v>
      </c>
      <c r="F220">
        <v>12826379.300000001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0.63636363636363458</v>
      </c>
      <c r="Q220">
        <f t="shared" si="960"/>
        <v>8162241.3727272507</v>
      </c>
      <c r="R220">
        <f t="shared" si="961"/>
        <v>-101167546.27806881</v>
      </c>
      <c r="S220">
        <f t="shared" si="962"/>
        <v>-1011.6754627806881</v>
      </c>
      <c r="T220">
        <f t="shared" si="963"/>
        <v>-1.0116754627806881</v>
      </c>
    </row>
    <row r="221" spans="1:20" x14ac:dyDescent="0.25">
      <c r="A221" s="5">
        <v>44372</v>
      </c>
      <c r="B221">
        <v>0.12509999999999999</v>
      </c>
      <c r="C221">
        <v>0.127</v>
      </c>
      <c r="D221">
        <v>0.11020000000000001</v>
      </c>
      <c r="E221">
        <v>0.113</v>
      </c>
      <c r="F221">
        <v>9456393.2400000002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-0.66666666666666696</v>
      </c>
      <c r="Q221">
        <f t="shared" si="960"/>
        <v>-6304262.1600000029</v>
      </c>
      <c r="R221">
        <f t="shared" si="961"/>
        <v>-109329787.65079606</v>
      </c>
      <c r="S221">
        <f t="shared" si="962"/>
        <v>-1093.2978765079606</v>
      </c>
      <c r="T221">
        <f t="shared" si="963"/>
        <v>-1.0932978765079606</v>
      </c>
    </row>
    <row r="222" spans="1:20" x14ac:dyDescent="0.25">
      <c r="A222" s="5">
        <v>44371</v>
      </c>
      <c r="B222">
        <v>0.11849999999999999</v>
      </c>
      <c r="C222">
        <v>0.12670000000000001</v>
      </c>
      <c r="D222">
        <v>0.1144</v>
      </c>
      <c r="E222">
        <v>0.12509999999999999</v>
      </c>
      <c r="F222">
        <v>10295190.41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0.73983739837398088</v>
      </c>
      <c r="Q222">
        <f t="shared" si="960"/>
        <v>7616766.8886991581</v>
      </c>
      <c r="R222">
        <f t="shared" si="961"/>
        <v>-103025525.49079606</v>
      </c>
      <c r="S222">
        <f t="shared" si="962"/>
        <v>-1030.2552549079605</v>
      </c>
      <c r="T222">
        <f t="shared" si="963"/>
        <v>-1.0302552549079604</v>
      </c>
    </row>
    <row r="223" spans="1:20" x14ac:dyDescent="0.25">
      <c r="A223" s="5">
        <v>44370</v>
      </c>
      <c r="B223">
        <v>0.1108</v>
      </c>
      <c r="C223">
        <v>0.12039999999999999</v>
      </c>
      <c r="D223">
        <v>0.10730000000000001</v>
      </c>
      <c r="E223">
        <v>0.11849999999999999</v>
      </c>
      <c r="F223">
        <v>16513950.9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0.70992366412213725</v>
      </c>
      <c r="Q223">
        <f t="shared" si="960"/>
        <v>11723644.532061066</v>
      </c>
      <c r="R223">
        <f t="shared" si="961"/>
        <v>-110642292.37949522</v>
      </c>
      <c r="S223">
        <f t="shared" si="962"/>
        <v>-1106.4229237949521</v>
      </c>
      <c r="T223">
        <f t="shared" si="963"/>
        <v>-1.1064229237949521</v>
      </c>
    </row>
    <row r="224" spans="1:20" x14ac:dyDescent="0.25">
      <c r="A224" s="5">
        <v>44369</v>
      </c>
      <c r="B224">
        <v>0.1004</v>
      </c>
      <c r="C224">
        <v>0.13</v>
      </c>
      <c r="D224">
        <v>8.3299999999999999E-2</v>
      </c>
      <c r="E224">
        <v>0.1103</v>
      </c>
      <c r="F224">
        <v>52868077.68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0.15631691648822241</v>
      </c>
      <c r="Q224">
        <f t="shared" si="960"/>
        <v>8264174.8835974149</v>
      </c>
      <c r="R224">
        <f t="shared" si="961"/>
        <v>-122365936.91155629</v>
      </c>
      <c r="S224">
        <f t="shared" si="962"/>
        <v>-1223.6593691155629</v>
      </c>
      <c r="T224">
        <f t="shared" si="963"/>
        <v>-1.2236593691155628</v>
      </c>
    </row>
    <row r="225" spans="1:20" x14ac:dyDescent="0.25">
      <c r="A225" s="5">
        <v>44368</v>
      </c>
      <c r="B225">
        <v>0.1195</v>
      </c>
      <c r="C225">
        <v>0.12</v>
      </c>
      <c r="D225">
        <v>0.1</v>
      </c>
      <c r="E225">
        <v>0.1</v>
      </c>
      <c r="F225">
        <v>15084470.970000001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-1</v>
      </c>
      <c r="Q225">
        <f t="shared" si="960"/>
        <v>-15084470.970000001</v>
      </c>
      <c r="R225">
        <f t="shared" si="961"/>
        <v>-130630111.79515371</v>
      </c>
      <c r="S225">
        <f t="shared" si="962"/>
        <v>-1306.301117951537</v>
      </c>
      <c r="T225">
        <f t="shared" si="963"/>
        <v>-1.3063011179515369</v>
      </c>
    </row>
    <row r="226" spans="1:20" x14ac:dyDescent="0.25">
      <c r="A226" s="5">
        <v>44367</v>
      </c>
      <c r="B226">
        <v>0.1205</v>
      </c>
      <c r="C226">
        <v>0.12189999999999999</v>
      </c>
      <c r="D226">
        <v>0.1116</v>
      </c>
      <c r="E226">
        <v>0.11940000000000001</v>
      </c>
      <c r="F226">
        <v>12107134.6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0.51456310679611827</v>
      </c>
      <c r="Q226">
        <f t="shared" si="960"/>
        <v>6229884.7941747783</v>
      </c>
      <c r="R226">
        <f t="shared" si="961"/>
        <v>-115545640.82515371</v>
      </c>
      <c r="S226">
        <f t="shared" si="962"/>
        <v>-1155.4564082515371</v>
      </c>
      <c r="T226">
        <f t="shared" si="963"/>
        <v>-1.1554564082515371</v>
      </c>
    </row>
    <row r="227" spans="1:20" x14ac:dyDescent="0.25">
      <c r="A227" s="5">
        <v>44366</v>
      </c>
      <c r="B227">
        <v>0.11940000000000001</v>
      </c>
      <c r="C227">
        <v>0.12759999999999999</v>
      </c>
      <c r="D227">
        <v>0.11550000000000001</v>
      </c>
      <c r="E227">
        <v>0.1207</v>
      </c>
      <c r="F227">
        <v>11700526.27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-0.14049586776859466</v>
      </c>
      <c r="Q227">
        <f t="shared" si="960"/>
        <v>-1643875.5916528881</v>
      </c>
      <c r="R227">
        <f t="shared" si="961"/>
        <v>-121775525.61932848</v>
      </c>
      <c r="S227">
        <f t="shared" si="962"/>
        <v>-1217.7552561932848</v>
      </c>
      <c r="T227">
        <f t="shared" si="963"/>
        <v>-1.2177552561932847</v>
      </c>
    </row>
    <row r="228" spans="1:20" x14ac:dyDescent="0.25">
      <c r="A228" s="5">
        <v>44365</v>
      </c>
      <c r="B228">
        <v>0.1293</v>
      </c>
      <c r="C228">
        <v>0.13039999999999999</v>
      </c>
      <c r="D228">
        <v>0.115</v>
      </c>
      <c r="E228">
        <v>0.1196</v>
      </c>
      <c r="F228">
        <v>13179280.130000001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-0.40259740259740284</v>
      </c>
      <c r="Q228">
        <f t="shared" si="960"/>
        <v>-5305943.9484415622</v>
      </c>
      <c r="R228">
        <f t="shared" si="961"/>
        <v>-120131650.0276756</v>
      </c>
      <c r="S228">
        <f t="shared" si="962"/>
        <v>-1201.316500276756</v>
      </c>
      <c r="T228">
        <f t="shared" si="963"/>
        <v>-1.2013165002767558</v>
      </c>
    </row>
    <row r="229" spans="1:20" x14ac:dyDescent="0.25">
      <c r="A229" s="5">
        <v>44364</v>
      </c>
      <c r="B229">
        <v>0.1305</v>
      </c>
      <c r="C229">
        <v>0.14280000000000001</v>
      </c>
      <c r="D229">
        <v>0.12640000000000001</v>
      </c>
      <c r="E229">
        <v>0.1293</v>
      </c>
      <c r="F229">
        <v>27187068.82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-0.64634146341463583</v>
      </c>
      <c r="Q229">
        <f t="shared" si="960"/>
        <v>-17572129.847073216</v>
      </c>
      <c r="R229">
        <f t="shared" si="961"/>
        <v>-114825706.07923403</v>
      </c>
      <c r="S229">
        <f t="shared" si="962"/>
        <v>-1148.2570607923403</v>
      </c>
      <c r="T229">
        <f t="shared" si="963"/>
        <v>-1.1482570607923404</v>
      </c>
    </row>
    <row r="230" spans="1:20" x14ac:dyDescent="0.25">
      <c r="A230" s="5">
        <v>44363</v>
      </c>
      <c r="B230">
        <v>0.12870000000000001</v>
      </c>
      <c r="C230">
        <v>0.13669999999999999</v>
      </c>
      <c r="D230">
        <v>0.12640000000000001</v>
      </c>
      <c r="E230">
        <v>0.13059999999999999</v>
      </c>
      <c r="F230">
        <v>30476905.890000001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-0.18446601941747739</v>
      </c>
      <c r="Q230">
        <f t="shared" si="960"/>
        <v>-5621953.5136893718</v>
      </c>
      <c r="R230">
        <f t="shared" si="961"/>
        <v>-97253576.232160822</v>
      </c>
      <c r="S230">
        <f t="shared" si="962"/>
        <v>-972.53576232160822</v>
      </c>
      <c r="T230">
        <f t="shared" si="963"/>
        <v>-0.97253576232160821</v>
      </c>
    </row>
    <row r="231" spans="1:20" x14ac:dyDescent="0.25">
      <c r="A231" s="5">
        <v>44362</v>
      </c>
      <c r="B231">
        <v>0.1205</v>
      </c>
      <c r="C231">
        <v>0.13220000000000001</v>
      </c>
      <c r="D231">
        <v>0.1186</v>
      </c>
      <c r="E231">
        <v>0.129</v>
      </c>
      <c r="F231">
        <v>23339333.5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0.52941176470588158</v>
      </c>
      <c r="Q231">
        <f t="shared" si="960"/>
        <v>12356117.7352941</v>
      </c>
      <c r="R231">
        <f t="shared" si="961"/>
        <v>-91631622.718471453</v>
      </c>
      <c r="S231">
        <f t="shared" si="962"/>
        <v>-916.31622718471453</v>
      </c>
      <c r="T231">
        <f t="shared" si="963"/>
        <v>-0.9163162271847145</v>
      </c>
    </row>
    <row r="232" spans="1:20" x14ac:dyDescent="0.25">
      <c r="A232" s="5">
        <v>44361</v>
      </c>
      <c r="B232">
        <v>0.11990000000000001</v>
      </c>
      <c r="C232">
        <v>0.12230000000000001</v>
      </c>
      <c r="D232">
        <v>0.1153</v>
      </c>
      <c r="E232">
        <v>0.12</v>
      </c>
      <c r="F232">
        <v>9645493.5800000001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0.34285714285714047</v>
      </c>
      <c r="Q232">
        <f t="shared" si="960"/>
        <v>3307026.3702856912</v>
      </c>
      <c r="R232">
        <f t="shared" si="961"/>
        <v>-103987740.45376556</v>
      </c>
      <c r="S232">
        <f t="shared" si="962"/>
        <v>-1039.8774045376556</v>
      </c>
      <c r="T232">
        <f t="shared" si="963"/>
        <v>-1.0398774045376555</v>
      </c>
    </row>
    <row r="233" spans="1:20" x14ac:dyDescent="0.25">
      <c r="A233" s="5">
        <v>44360</v>
      </c>
      <c r="B233">
        <v>0.1082</v>
      </c>
      <c r="C233">
        <v>0.12690000000000001</v>
      </c>
      <c r="D233">
        <v>0.1045</v>
      </c>
      <c r="E233">
        <v>0.12</v>
      </c>
      <c r="F233">
        <v>20157526.489999998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0.38392857142857034</v>
      </c>
      <c r="Q233">
        <f t="shared" si="960"/>
        <v>7739050.3488392634</v>
      </c>
      <c r="R233">
        <f t="shared" si="961"/>
        <v>-107294766.82405125</v>
      </c>
      <c r="S233">
        <f t="shared" si="962"/>
        <v>-1072.9476682405125</v>
      </c>
      <c r="T233">
        <f t="shared" si="963"/>
        <v>-1.0729476682405126</v>
      </c>
    </row>
    <row r="234" spans="1:20" x14ac:dyDescent="0.25">
      <c r="A234" s="5">
        <v>44359</v>
      </c>
      <c r="B234">
        <v>0.1145</v>
      </c>
      <c r="C234">
        <v>0.1183</v>
      </c>
      <c r="D234">
        <v>0.1022</v>
      </c>
      <c r="E234">
        <v>0.1082</v>
      </c>
      <c r="F234">
        <v>11576651.09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-0.25465838509316718</v>
      </c>
      <c r="Q234">
        <f t="shared" si="960"/>
        <v>-2948091.2713664537</v>
      </c>
      <c r="R234">
        <f t="shared" si="961"/>
        <v>-115033817.17289051</v>
      </c>
      <c r="S234">
        <f t="shared" si="962"/>
        <v>-1150.3381717289051</v>
      </c>
      <c r="T234">
        <f t="shared" si="963"/>
        <v>-1.1503381717289052</v>
      </c>
    </row>
    <row r="235" spans="1:20" x14ac:dyDescent="0.25">
      <c r="A235" s="5">
        <v>44358</v>
      </c>
      <c r="B235">
        <v>0.12139999999999999</v>
      </c>
      <c r="C235">
        <v>0.1241</v>
      </c>
      <c r="D235">
        <v>0.11070000000000001</v>
      </c>
      <c r="E235">
        <v>0.1145</v>
      </c>
      <c r="F235">
        <v>21210619.210000001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-0.43283582089552253</v>
      </c>
      <c r="Q235">
        <f t="shared" si="960"/>
        <v>-9180715.7774626892</v>
      </c>
      <c r="R235">
        <f t="shared" si="961"/>
        <v>-112085725.90152407</v>
      </c>
      <c r="S235">
        <f t="shared" si="962"/>
        <v>-1120.8572590152407</v>
      </c>
      <c r="T235">
        <f t="shared" si="963"/>
        <v>-1.1208572590152408</v>
      </c>
    </row>
    <row r="236" spans="1:20" x14ac:dyDescent="0.25">
      <c r="A236" s="5">
        <v>44357</v>
      </c>
      <c r="B236">
        <v>0.13550000000000001</v>
      </c>
      <c r="C236">
        <v>0.15390000000000001</v>
      </c>
      <c r="D236">
        <v>0.11849999999999999</v>
      </c>
      <c r="E236">
        <v>0.1212</v>
      </c>
      <c r="F236">
        <v>35137374.329999998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-0.8474576271186437</v>
      </c>
      <c r="Q236">
        <f t="shared" si="960"/>
        <v>-29777435.872881342</v>
      </c>
      <c r="R236">
        <f t="shared" si="961"/>
        <v>-102905010.12406138</v>
      </c>
      <c r="S236">
        <f t="shared" si="962"/>
        <v>-1029.0501012406137</v>
      </c>
      <c r="T236">
        <f t="shared" si="963"/>
        <v>-1.0290501012406137</v>
      </c>
    </row>
    <row r="237" spans="1:20" x14ac:dyDescent="0.25">
      <c r="A237" s="5">
        <v>44356</v>
      </c>
      <c r="B237">
        <v>0.107</v>
      </c>
      <c r="C237">
        <v>0.14299999999999999</v>
      </c>
      <c r="D237">
        <v>0.1007</v>
      </c>
      <c r="E237">
        <v>0.13539999999999999</v>
      </c>
      <c r="F237">
        <v>63296310.409999996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0.64066193853427911</v>
      </c>
      <c r="Q237">
        <f t="shared" si="960"/>
        <v>40551536.929338068</v>
      </c>
      <c r="R237">
        <f t="shared" si="961"/>
        <v>-73127574.251180038</v>
      </c>
      <c r="S237">
        <f t="shared" si="962"/>
        <v>-731.27574251180033</v>
      </c>
      <c r="T237">
        <f t="shared" si="963"/>
        <v>-0.73127574251180039</v>
      </c>
    </row>
    <row r="238" spans="1:20" x14ac:dyDescent="0.25">
      <c r="A238" s="5">
        <v>44355</v>
      </c>
      <c r="B238">
        <v>0.10879999999999999</v>
      </c>
      <c r="C238">
        <v>0.11169999999999999</v>
      </c>
      <c r="D238">
        <v>9.4500000000000001E-2</v>
      </c>
      <c r="E238">
        <v>0.107</v>
      </c>
      <c r="F238">
        <v>12445357.76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0.45348837209302351</v>
      </c>
      <c r="Q238">
        <f t="shared" si="960"/>
        <v>5643825.0306976773</v>
      </c>
      <c r="R238">
        <f t="shared" si="961"/>
        <v>-113679111.18051811</v>
      </c>
      <c r="S238">
        <f t="shared" si="962"/>
        <v>-1136.7911118051811</v>
      </c>
      <c r="T238">
        <f t="shared" si="963"/>
        <v>-1.1367911118051812</v>
      </c>
    </row>
    <row r="239" spans="1:20" x14ac:dyDescent="0.25">
      <c r="A239" s="5">
        <v>44354</v>
      </c>
      <c r="B239">
        <v>0.1187</v>
      </c>
      <c r="C239">
        <v>0.12470000000000001</v>
      </c>
      <c r="D239">
        <v>0.10730000000000001</v>
      </c>
      <c r="E239">
        <v>0.1087</v>
      </c>
      <c r="F239">
        <v>13704743.02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-0.83908045977011514</v>
      </c>
      <c r="Q239">
        <f t="shared" si="960"/>
        <v>-11499382.074252876</v>
      </c>
      <c r="R239">
        <f t="shared" si="961"/>
        <v>-119322936.21121578</v>
      </c>
      <c r="S239">
        <f t="shared" si="962"/>
        <v>-1193.2293621121578</v>
      </c>
      <c r="T239">
        <f t="shared" si="963"/>
        <v>-1.1932293621121577</v>
      </c>
    </row>
    <row r="240" spans="1:20" x14ac:dyDescent="0.25">
      <c r="A240" s="5">
        <v>44353</v>
      </c>
      <c r="B240">
        <v>0.1129</v>
      </c>
      <c r="C240">
        <v>0.13289999999999999</v>
      </c>
      <c r="D240">
        <v>0.11260000000000001</v>
      </c>
      <c r="E240">
        <v>0.11890000000000001</v>
      </c>
      <c r="F240">
        <v>28165127.02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-0.37931034482758574</v>
      </c>
      <c r="Q240">
        <f t="shared" si="960"/>
        <v>-10683324.042068953</v>
      </c>
      <c r="R240">
        <f t="shared" si="961"/>
        <v>-107823554.13696291</v>
      </c>
      <c r="S240">
        <f t="shared" si="962"/>
        <v>-1078.2355413696291</v>
      </c>
      <c r="T240">
        <f t="shared" si="963"/>
        <v>-1.0782355413696292</v>
      </c>
    </row>
    <row r="241" spans="1:20" x14ac:dyDescent="0.25">
      <c r="A241" s="5">
        <v>44352</v>
      </c>
      <c r="B241">
        <v>0.1171</v>
      </c>
      <c r="C241">
        <v>0.1242</v>
      </c>
      <c r="D241">
        <v>0.1074</v>
      </c>
      <c r="E241">
        <v>0.1123</v>
      </c>
      <c r="F241">
        <v>8551978.5999999996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-0.4166666666666668</v>
      </c>
      <c r="Q241">
        <f t="shared" si="960"/>
        <v>-3563324.4166666674</v>
      </c>
      <c r="R241">
        <f t="shared" si="961"/>
        <v>-97140230.094893947</v>
      </c>
      <c r="S241">
        <f t="shared" si="962"/>
        <v>-971.40230094893946</v>
      </c>
      <c r="T241">
        <f t="shared" si="963"/>
        <v>-0.97140230094893942</v>
      </c>
    </row>
    <row r="242" spans="1:20" x14ac:dyDescent="0.25">
      <c r="A242" s="5">
        <v>44351</v>
      </c>
      <c r="B242">
        <v>0.1328</v>
      </c>
      <c r="C242">
        <v>0.13300000000000001</v>
      </c>
      <c r="D242">
        <v>0.1114</v>
      </c>
      <c r="E242">
        <v>0.1177</v>
      </c>
      <c r="F242">
        <v>8143570.0199999996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-0.41666666666666691</v>
      </c>
      <c r="Q242">
        <f t="shared" si="960"/>
        <v>-3393154.1750000017</v>
      </c>
      <c r="R242">
        <f t="shared" si="961"/>
        <v>-93576905.678227276</v>
      </c>
      <c r="S242">
        <f t="shared" si="962"/>
        <v>-935.76905678227274</v>
      </c>
      <c r="T242">
        <f t="shared" si="963"/>
        <v>-0.93576905678227273</v>
      </c>
    </row>
    <row r="243" spans="1:20" x14ac:dyDescent="0.25">
      <c r="A243" s="5">
        <v>44350</v>
      </c>
      <c r="B243">
        <v>0.13089999999999999</v>
      </c>
      <c r="C243">
        <v>0.13869999999999999</v>
      </c>
      <c r="D243">
        <v>0.1275</v>
      </c>
      <c r="E243">
        <v>0.13250000000000001</v>
      </c>
      <c r="F243">
        <v>12561366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-0.10714285714285537</v>
      </c>
      <c r="Q243">
        <f t="shared" si="960"/>
        <v>-1345860.6428571206</v>
      </c>
      <c r="R243">
        <f t="shared" si="961"/>
        <v>-90183751.503227279</v>
      </c>
      <c r="S243">
        <f t="shared" si="962"/>
        <v>-901.83751503227279</v>
      </c>
      <c r="T243">
        <f t="shared" si="963"/>
        <v>-0.90183751503227283</v>
      </c>
    </row>
    <row r="244" spans="1:20" x14ac:dyDescent="0.25">
      <c r="A244" s="5">
        <v>44349</v>
      </c>
      <c r="B244">
        <v>0.1245</v>
      </c>
      <c r="C244">
        <v>0.13669999999999999</v>
      </c>
      <c r="D244">
        <v>0.1206</v>
      </c>
      <c r="E244">
        <v>0.1305</v>
      </c>
      <c r="F244">
        <v>10241002.35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0.22981366459627486</v>
      </c>
      <c r="Q244">
        <f t="shared" si="960"/>
        <v>2353522.2791925627</v>
      </c>
      <c r="R244">
        <f t="shared" si="961"/>
        <v>-88837890.860370159</v>
      </c>
      <c r="S244">
        <f t="shared" si="962"/>
        <v>-888.37890860370157</v>
      </c>
      <c r="T244">
        <f t="shared" si="963"/>
        <v>-0.88837890860370161</v>
      </c>
    </row>
    <row r="245" spans="1:20" x14ac:dyDescent="0.25">
      <c r="A245" s="5">
        <v>44348</v>
      </c>
      <c r="B245">
        <v>0.12939999999999999</v>
      </c>
      <c r="C245">
        <v>0.13500000000000001</v>
      </c>
      <c r="D245">
        <v>0.12139999999999999</v>
      </c>
      <c r="E245">
        <v>0.1239</v>
      </c>
      <c r="F245">
        <v>8078128.0199999996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-0.63235294117647067</v>
      </c>
      <c r="Q245">
        <f t="shared" si="960"/>
        <v>-5108228.0126470588</v>
      </c>
      <c r="R245">
        <f t="shared" si="961"/>
        <v>-91191413.139562726</v>
      </c>
      <c r="S245">
        <f t="shared" si="962"/>
        <v>-911.91413139562724</v>
      </c>
      <c r="T245">
        <f t="shared" si="963"/>
        <v>-0.91191413139562727</v>
      </c>
    </row>
    <row r="246" spans="1:20" x14ac:dyDescent="0.25">
      <c r="A246" s="5">
        <v>44347</v>
      </c>
      <c r="B246">
        <v>0.12559999999999999</v>
      </c>
      <c r="C246">
        <v>0.1303</v>
      </c>
      <c r="D246">
        <v>0.1153</v>
      </c>
      <c r="E246">
        <v>0.12920000000000001</v>
      </c>
      <c r="F246">
        <v>13061127.789999999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0.85333333333333472</v>
      </c>
      <c r="Q246">
        <f t="shared" si="960"/>
        <v>11145495.71413335</v>
      </c>
      <c r="R246">
        <f t="shared" si="961"/>
        <v>-86083185.126915663</v>
      </c>
      <c r="S246">
        <f t="shared" si="962"/>
        <v>-860.83185126915669</v>
      </c>
      <c r="T246">
        <f t="shared" si="963"/>
        <v>-0.86083185126915673</v>
      </c>
    </row>
    <row r="247" spans="1:20" x14ac:dyDescent="0.25">
      <c r="A247" s="5">
        <v>44346</v>
      </c>
      <c r="B247">
        <v>0.11219999999999999</v>
      </c>
      <c r="C247">
        <v>0.14599999999999999</v>
      </c>
      <c r="D247">
        <v>0.1052</v>
      </c>
      <c r="E247">
        <v>0.12559999999999999</v>
      </c>
      <c r="F247">
        <v>23263086.690000001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-3.4014185803466813E-16</v>
      </c>
      <c r="Q247">
        <f t="shared" si="960"/>
        <v>-7.9127495303581578E-9</v>
      </c>
      <c r="R247">
        <f t="shared" si="961"/>
        <v>-97228680.841049016</v>
      </c>
      <c r="S247">
        <f t="shared" si="962"/>
        <v>-972.28680841049015</v>
      </c>
      <c r="T247">
        <f t="shared" si="963"/>
        <v>-0.9722868084104902</v>
      </c>
    </row>
    <row r="248" spans="1:20" x14ac:dyDescent="0.25">
      <c r="A248" s="5">
        <v>44345</v>
      </c>
      <c r="B248">
        <v>0.12280000000000001</v>
      </c>
      <c r="C248">
        <v>0.12720000000000001</v>
      </c>
      <c r="D248">
        <v>0.1056</v>
      </c>
      <c r="E248">
        <v>0.11169999999999999</v>
      </c>
      <c r="F248">
        <v>10363499.15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-0.4351851851851859</v>
      </c>
      <c r="Q248">
        <f t="shared" si="960"/>
        <v>-4510041.2967592664</v>
      </c>
      <c r="R248">
        <f t="shared" si="961"/>
        <v>-97228680.841049001</v>
      </c>
      <c r="S248">
        <f t="shared" si="962"/>
        <v>-972.28680841049004</v>
      </c>
      <c r="T248">
        <f t="shared" si="963"/>
        <v>-0.97228680841049009</v>
      </c>
    </row>
    <row r="249" spans="1:20" x14ac:dyDescent="0.25">
      <c r="A249" s="5">
        <v>44344</v>
      </c>
      <c r="B249">
        <v>0.1482</v>
      </c>
      <c r="C249">
        <v>0.14849999999999999</v>
      </c>
      <c r="D249">
        <v>0.1144</v>
      </c>
      <c r="E249">
        <v>0.1226</v>
      </c>
      <c r="F249">
        <v>18855099.140000001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-0.51906158357771259</v>
      </c>
      <c r="Q249">
        <f t="shared" si="960"/>
        <v>-9786957.6181231663</v>
      </c>
      <c r="R249">
        <f t="shared" si="961"/>
        <v>-92718639.544289738</v>
      </c>
      <c r="S249">
        <f t="shared" si="962"/>
        <v>-927.18639544289738</v>
      </c>
      <c r="T249">
        <f t="shared" si="963"/>
        <v>-0.92718639544289738</v>
      </c>
    </row>
    <row r="250" spans="1:20" x14ac:dyDescent="0.25">
      <c r="A250" s="5">
        <v>44343</v>
      </c>
      <c r="B250">
        <v>0.14410000000000001</v>
      </c>
      <c r="C250">
        <v>0.1651</v>
      </c>
      <c r="D250">
        <v>0.1298</v>
      </c>
      <c r="E250">
        <v>0.1482</v>
      </c>
      <c r="F250">
        <v>38299587.899999999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4.2492917847025538E-2</v>
      </c>
      <c r="Q250">
        <f t="shared" si="960"/>
        <v>1627461.2422096333</v>
      </c>
      <c r="R250">
        <f t="shared" si="961"/>
        <v>-82931681.926166564</v>
      </c>
      <c r="S250">
        <f t="shared" si="962"/>
        <v>-829.31681926166561</v>
      </c>
      <c r="T250">
        <f t="shared" si="963"/>
        <v>-0.82931681926166556</v>
      </c>
    </row>
    <row r="251" spans="1:20" x14ac:dyDescent="0.25">
      <c r="A251" s="5">
        <v>44342</v>
      </c>
      <c r="B251">
        <v>0.13300000000000001</v>
      </c>
      <c r="C251">
        <v>0.1532</v>
      </c>
      <c r="D251">
        <v>0.12570000000000001</v>
      </c>
      <c r="E251">
        <v>0.1444</v>
      </c>
      <c r="F251">
        <v>25894882.34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0.35999999999999976</v>
      </c>
      <c r="Q251">
        <f t="shared" si="960"/>
        <v>9322157.6423999947</v>
      </c>
      <c r="R251">
        <f t="shared" si="961"/>
        <v>-84559143.168376192</v>
      </c>
      <c r="S251">
        <f t="shared" si="962"/>
        <v>-845.59143168376193</v>
      </c>
      <c r="T251">
        <f t="shared" si="963"/>
        <v>-0.84559143168376194</v>
      </c>
    </row>
    <row r="252" spans="1:20" x14ac:dyDescent="0.25">
      <c r="A252" s="5">
        <v>44341</v>
      </c>
      <c r="B252">
        <v>0.12859999999999999</v>
      </c>
      <c r="C252">
        <v>0.1368</v>
      </c>
      <c r="D252">
        <v>0.11169999999999999</v>
      </c>
      <c r="E252">
        <v>0.1323</v>
      </c>
      <c r="F252">
        <v>24825345.359999999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0.64143426294820705</v>
      </c>
      <c r="Q252">
        <f t="shared" si="960"/>
        <v>15923827.103426291</v>
      </c>
      <c r="R252">
        <f t="shared" si="961"/>
        <v>-93881300.810776189</v>
      </c>
      <c r="S252">
        <f t="shared" si="962"/>
        <v>-938.8130081077619</v>
      </c>
      <c r="T252">
        <f t="shared" si="963"/>
        <v>-0.93881300810776191</v>
      </c>
    </row>
    <row r="253" spans="1:20" x14ac:dyDescent="0.25">
      <c r="A253" s="5">
        <v>44340</v>
      </c>
      <c r="B253">
        <v>0.10630000000000001</v>
      </c>
      <c r="C253">
        <v>0.13039999999999999</v>
      </c>
      <c r="D253">
        <v>0.10390000000000001</v>
      </c>
      <c r="E253">
        <v>0.12770000000000001</v>
      </c>
      <c r="F253">
        <v>9619501.6500000004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0.796226415094341</v>
      </c>
      <c r="Q253">
        <f t="shared" si="960"/>
        <v>7659301.3137735985</v>
      </c>
      <c r="R253">
        <f t="shared" si="961"/>
        <v>-109805127.91420248</v>
      </c>
      <c r="S253">
        <f t="shared" si="962"/>
        <v>-1098.0512791420249</v>
      </c>
      <c r="T253">
        <f t="shared" si="963"/>
        <v>-1.0980512791420249</v>
      </c>
    </row>
    <row r="254" spans="1:20" x14ac:dyDescent="0.25">
      <c r="A254" s="5">
        <v>44339</v>
      </c>
      <c r="B254">
        <v>0.12690000000000001</v>
      </c>
      <c r="C254">
        <v>0.13239999999999999</v>
      </c>
      <c r="D254">
        <v>8.4199999999999997E-2</v>
      </c>
      <c r="E254">
        <v>0.1062</v>
      </c>
      <c r="F254">
        <v>19533998.899999999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-8.7136929460580548E-2</v>
      </c>
      <c r="Q254">
        <f t="shared" si="960"/>
        <v>-1702132.6842323579</v>
      </c>
      <c r="R254">
        <f t="shared" si="961"/>
        <v>-117464429.22797608</v>
      </c>
      <c r="S254">
        <f t="shared" si="962"/>
        <v>-1174.6442922797607</v>
      </c>
      <c r="T254">
        <f t="shared" si="963"/>
        <v>-1.1746442922797606</v>
      </c>
    </row>
    <row r="255" spans="1:20" x14ac:dyDescent="0.25">
      <c r="A255" s="5">
        <v>44338</v>
      </c>
      <c r="B255">
        <v>0.13600000000000001</v>
      </c>
      <c r="C255">
        <v>0.13739999999999999</v>
      </c>
      <c r="D255">
        <v>0.1183</v>
      </c>
      <c r="E255">
        <v>0.12820000000000001</v>
      </c>
      <c r="F255">
        <v>11558576.59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3.6649214659686929E-2</v>
      </c>
      <c r="Q255">
        <f t="shared" si="960"/>
        <v>423612.75460734213</v>
      </c>
      <c r="R255">
        <f t="shared" si="961"/>
        <v>-115762296.54374373</v>
      </c>
      <c r="S255">
        <f t="shared" si="962"/>
        <v>-1157.6229654374372</v>
      </c>
      <c r="T255">
        <f t="shared" si="963"/>
        <v>-1.1576229654374373</v>
      </c>
    </row>
    <row r="256" spans="1:20" x14ac:dyDescent="0.25">
      <c r="A256" s="5">
        <v>44337</v>
      </c>
      <c r="B256">
        <v>0.15670000000000001</v>
      </c>
      <c r="C256">
        <v>0.16919999999999999</v>
      </c>
      <c r="D256">
        <v>0.115</v>
      </c>
      <c r="E256">
        <v>0.1358</v>
      </c>
      <c r="F256">
        <v>18910430.969999999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-0.23247232472324705</v>
      </c>
      <c r="Q256">
        <f t="shared" si="960"/>
        <v>-4396151.8491143873</v>
      </c>
      <c r="R256">
        <f t="shared" si="961"/>
        <v>-116185909.29835106</v>
      </c>
      <c r="S256">
        <f t="shared" si="962"/>
        <v>-1161.8590929835107</v>
      </c>
      <c r="T256">
        <f t="shared" si="963"/>
        <v>-1.1618590929835106</v>
      </c>
    </row>
    <row r="257" spans="1:20" x14ac:dyDescent="0.25">
      <c r="A257" s="5">
        <v>44336</v>
      </c>
      <c r="B257">
        <v>0.14369999999999999</v>
      </c>
      <c r="C257">
        <v>0.16930000000000001</v>
      </c>
      <c r="D257">
        <v>0.129</v>
      </c>
      <c r="E257">
        <v>0.15620000000000001</v>
      </c>
      <c r="F257">
        <v>20294410.66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0.34987593052109184</v>
      </c>
      <c r="Q257">
        <f t="shared" si="960"/>
        <v>7100525.8140446655</v>
      </c>
      <c r="R257">
        <f t="shared" si="961"/>
        <v>-111789757.44923668</v>
      </c>
      <c r="S257">
        <f t="shared" si="962"/>
        <v>-1117.8975744923669</v>
      </c>
      <c r="T257">
        <f t="shared" si="963"/>
        <v>-1.1178975744923669</v>
      </c>
    </row>
    <row r="258" spans="1:20" x14ac:dyDescent="0.25">
      <c r="A258" s="5">
        <v>44335</v>
      </c>
      <c r="B258">
        <v>0.18410000000000001</v>
      </c>
      <c r="C258">
        <v>0.18729999999999999</v>
      </c>
      <c r="D258">
        <v>0.1106</v>
      </c>
      <c r="E258">
        <v>0.14349999999999999</v>
      </c>
      <c r="F258">
        <v>23326872.870000001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-0.14211212516297292</v>
      </c>
      <c r="Q258">
        <f t="shared" si="960"/>
        <v>-3315031.4769621976</v>
      </c>
      <c r="R258">
        <f t="shared" si="961"/>
        <v>-118890283.26328135</v>
      </c>
      <c r="S258">
        <f t="shared" si="962"/>
        <v>-1188.9028326328134</v>
      </c>
      <c r="T258">
        <f t="shared" si="963"/>
        <v>-1.1889028326328135</v>
      </c>
    </row>
    <row r="259" spans="1:20" x14ac:dyDescent="0.25">
      <c r="A259" s="5">
        <v>44334</v>
      </c>
      <c r="B259">
        <v>0.18540000000000001</v>
      </c>
      <c r="C259">
        <v>0.193</v>
      </c>
      <c r="D259">
        <v>0.17849999999999999</v>
      </c>
      <c r="E259">
        <v>0.184</v>
      </c>
      <c r="F259">
        <v>7295160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-0.2413793103448276</v>
      </c>
      <c r="Q259">
        <f t="shared" si="960"/>
        <v>-1760900.6896551724</v>
      </c>
      <c r="R259">
        <f t="shared" si="961"/>
        <v>-115575251.78631915</v>
      </c>
      <c r="S259">
        <f t="shared" si="962"/>
        <v>-1155.7525178631915</v>
      </c>
      <c r="T259">
        <f t="shared" si="963"/>
        <v>-1.1557525178631916</v>
      </c>
    </row>
    <row r="260" spans="1:20" x14ac:dyDescent="0.25">
      <c r="A260" s="5">
        <v>44333</v>
      </c>
      <c r="B260">
        <v>0.2011</v>
      </c>
      <c r="C260">
        <v>0.20219999999999999</v>
      </c>
      <c r="D260">
        <v>0.1774</v>
      </c>
      <c r="E260">
        <v>0.1845</v>
      </c>
      <c r="F260">
        <v>12442556.83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-0.4274193548387098</v>
      </c>
      <c r="Q260">
        <f t="shared" si="960"/>
        <v>-5318189.612822582</v>
      </c>
      <c r="R260">
        <f t="shared" si="961"/>
        <v>-113814351.09666398</v>
      </c>
      <c r="S260">
        <f t="shared" si="962"/>
        <v>-1138.1435109666397</v>
      </c>
      <c r="T260">
        <f t="shared" si="963"/>
        <v>-1.1381435109666398</v>
      </c>
    </row>
    <row r="261" spans="1:20" x14ac:dyDescent="0.25">
      <c r="A261" s="5">
        <v>44332</v>
      </c>
      <c r="B261">
        <v>0.19789999999999999</v>
      </c>
      <c r="C261">
        <v>0.21510000000000001</v>
      </c>
      <c r="D261">
        <v>0.18129999999999999</v>
      </c>
      <c r="E261">
        <v>0.20050000000000001</v>
      </c>
      <c r="F261">
        <v>12167103.109999999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0.13609467455621355</v>
      </c>
      <c r="Q261">
        <f t="shared" si="960"/>
        <v>1655877.9380473436</v>
      </c>
      <c r="R261">
        <f t="shared" si="961"/>
        <v>-108496161.4838414</v>
      </c>
      <c r="S261">
        <f t="shared" si="962"/>
        <v>-1084.9616148384141</v>
      </c>
      <c r="T261">
        <f t="shared" si="963"/>
        <v>-1.084961614838414</v>
      </c>
    </row>
    <row r="262" spans="1:20" x14ac:dyDescent="0.25">
      <c r="A262" s="5">
        <v>44331</v>
      </c>
      <c r="B262">
        <v>0.21809999999999999</v>
      </c>
      <c r="C262">
        <v>0.21909999999999999</v>
      </c>
      <c r="D262">
        <v>0.1933</v>
      </c>
      <c r="E262">
        <v>0.19739999999999999</v>
      </c>
      <c r="F262">
        <v>9549621.1400000006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-0.68217054263565935</v>
      </c>
      <c r="Q262">
        <f t="shared" ref="Q262:Q325" si="965">F262*P262</f>
        <v>-6514470.2350387638</v>
      </c>
      <c r="R262">
        <f t="shared" ref="R262:R325" si="966">R263+Q262</f>
        <v>-110152039.42188875</v>
      </c>
      <c r="S262">
        <f t="shared" ref="S262:S325" si="967">R262/100000</f>
        <v>-1101.5203942188875</v>
      </c>
      <c r="T262">
        <f t="shared" ref="T262:T325" si="968">S262/1000</f>
        <v>-1.1015203942188876</v>
      </c>
    </row>
    <row r="263" spans="1:20" x14ac:dyDescent="0.25">
      <c r="A263" s="5">
        <v>44330</v>
      </c>
      <c r="B263">
        <v>0.20039999999999999</v>
      </c>
      <c r="C263">
        <v>0.22969999999999999</v>
      </c>
      <c r="D263">
        <v>0.2</v>
      </c>
      <c r="E263">
        <v>0.21840000000000001</v>
      </c>
      <c r="F263">
        <v>10758925.02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0.23905723905724002</v>
      </c>
      <c r="Q263">
        <f t="shared" si="965"/>
        <v>2571998.9105050606</v>
      </c>
      <c r="R263">
        <f t="shared" si="966"/>
        <v>-103637569.18685</v>
      </c>
      <c r="S263">
        <f t="shared" si="967"/>
        <v>-1036.3756918684999</v>
      </c>
      <c r="T263">
        <f t="shared" si="968"/>
        <v>-1.0363756918684999</v>
      </c>
    </row>
    <row r="264" spans="1:20" x14ac:dyDescent="0.25">
      <c r="A264" s="5">
        <v>44329</v>
      </c>
      <c r="B264">
        <v>0.2046</v>
      </c>
      <c r="C264">
        <v>0.22220000000000001</v>
      </c>
      <c r="D264">
        <v>0.18659999999999999</v>
      </c>
      <c r="E264">
        <v>0.20050000000000001</v>
      </c>
      <c r="F264">
        <v>15971832.890000001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-0.21910112359550474</v>
      </c>
      <c r="Q264">
        <f t="shared" si="965"/>
        <v>-3499446.5320786377</v>
      </c>
      <c r="R264">
        <f t="shared" si="966"/>
        <v>-106209568.09735505</v>
      </c>
      <c r="S264">
        <f t="shared" si="967"/>
        <v>-1062.0956809735505</v>
      </c>
      <c r="T264">
        <f t="shared" si="968"/>
        <v>-1.0620956809735504</v>
      </c>
    </row>
    <row r="265" spans="1:20" x14ac:dyDescent="0.25">
      <c r="A265" s="5">
        <v>44328</v>
      </c>
      <c r="B265">
        <v>0.25109999999999999</v>
      </c>
      <c r="C265">
        <v>0.25369999999999998</v>
      </c>
      <c r="D265">
        <v>0.19950000000000001</v>
      </c>
      <c r="E265">
        <v>0.20300000000000001</v>
      </c>
      <c r="F265">
        <v>11159383.17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-0.87084870848708473</v>
      </c>
      <c r="Q265">
        <f t="shared" si="965"/>
        <v>-9718134.4211070091</v>
      </c>
      <c r="R265">
        <f t="shared" si="966"/>
        <v>-102710121.56527641</v>
      </c>
      <c r="S265">
        <f t="shared" si="967"/>
        <v>-1027.101215652764</v>
      </c>
      <c r="T265">
        <f t="shared" si="968"/>
        <v>-1.0271012156527641</v>
      </c>
    </row>
    <row r="266" spans="1:20" x14ac:dyDescent="0.25">
      <c r="A266" s="5">
        <v>44327</v>
      </c>
      <c r="B266">
        <v>0.24299999999999999</v>
      </c>
      <c r="C266">
        <v>0.25390000000000001</v>
      </c>
      <c r="D266">
        <v>0.23380000000000001</v>
      </c>
      <c r="E266">
        <v>0.25090000000000001</v>
      </c>
      <c r="F266">
        <v>7169013.1399999997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0.70149253731343264</v>
      </c>
      <c r="Q266">
        <f t="shared" si="965"/>
        <v>5029009.2176119387</v>
      </c>
      <c r="R266">
        <f t="shared" si="966"/>
        <v>-92991987.144169405</v>
      </c>
      <c r="S266">
        <f t="shared" si="967"/>
        <v>-929.919871441694</v>
      </c>
      <c r="T266">
        <f t="shared" si="968"/>
        <v>-0.92991987144169397</v>
      </c>
    </row>
    <row r="267" spans="1:20" x14ac:dyDescent="0.25">
      <c r="A267" s="5">
        <v>44326</v>
      </c>
      <c r="B267">
        <v>0.27810000000000001</v>
      </c>
      <c r="C267">
        <v>0.2843</v>
      </c>
      <c r="D267">
        <v>0.22559999999999999</v>
      </c>
      <c r="E267">
        <v>0.24299999999999999</v>
      </c>
      <c r="F267">
        <v>22180941.600000001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-0.40715502555366273</v>
      </c>
      <c r="Q267">
        <f t="shared" si="965"/>
        <v>-9031081.8439523019</v>
      </c>
      <c r="R267">
        <f t="shared" si="966"/>
        <v>-98020996.361781344</v>
      </c>
      <c r="S267">
        <f t="shared" si="967"/>
        <v>-980.2099636178134</v>
      </c>
      <c r="T267">
        <f t="shared" si="968"/>
        <v>-0.98020996361781343</v>
      </c>
    </row>
    <row r="268" spans="1:20" x14ac:dyDescent="0.25">
      <c r="A268" s="5">
        <v>44325</v>
      </c>
      <c r="B268">
        <v>0.2727</v>
      </c>
      <c r="C268">
        <v>0.28660000000000002</v>
      </c>
      <c r="D268">
        <v>0.26079999999999998</v>
      </c>
      <c r="E268">
        <v>0.27810000000000001</v>
      </c>
      <c r="F268">
        <v>11446850.32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0.34108527131783001</v>
      </c>
      <c r="Q268">
        <f t="shared" si="965"/>
        <v>3904352.0471317894</v>
      </c>
      <c r="R268">
        <f t="shared" si="966"/>
        <v>-88989914.517829046</v>
      </c>
      <c r="S268">
        <f t="shared" si="967"/>
        <v>-889.8991451782905</v>
      </c>
      <c r="T268">
        <f t="shared" si="968"/>
        <v>-0.8898991451782905</v>
      </c>
    </row>
    <row r="269" spans="1:20" x14ac:dyDescent="0.25">
      <c r="A269" s="5">
        <v>44324</v>
      </c>
      <c r="B269">
        <v>0.28289999999999998</v>
      </c>
      <c r="C269">
        <v>0.29360000000000003</v>
      </c>
      <c r="D269">
        <v>0.27179999999999999</v>
      </c>
      <c r="E269">
        <v>0.2727</v>
      </c>
      <c r="F269">
        <v>10084215.9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-0.91743119266054951</v>
      </c>
      <c r="Q269">
        <f t="shared" si="965"/>
        <v>-9251574.2201834768</v>
      </c>
      <c r="R269">
        <f t="shared" si="966"/>
        <v>-92894266.564960837</v>
      </c>
      <c r="S269">
        <f t="shared" si="967"/>
        <v>-928.94266564960833</v>
      </c>
      <c r="T269">
        <f t="shared" si="968"/>
        <v>-0.92894266564960837</v>
      </c>
    </row>
    <row r="270" spans="1:20" x14ac:dyDescent="0.25">
      <c r="A270" s="5">
        <v>44323</v>
      </c>
      <c r="B270">
        <v>0.26479999999999998</v>
      </c>
      <c r="C270">
        <v>0.30499999999999999</v>
      </c>
      <c r="D270">
        <v>0.25540000000000002</v>
      </c>
      <c r="E270">
        <v>0.28289999999999998</v>
      </c>
      <c r="F270">
        <v>33744167.119999997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0.10887096774193473</v>
      </c>
      <c r="Q270">
        <f t="shared" si="965"/>
        <v>3673760.1299999743</v>
      </c>
      <c r="R270">
        <f t="shared" si="966"/>
        <v>-83642692.344777361</v>
      </c>
      <c r="S270">
        <f t="shared" si="967"/>
        <v>-836.42692344777356</v>
      </c>
      <c r="T270">
        <f t="shared" si="968"/>
        <v>-0.83642692344777358</v>
      </c>
    </row>
    <row r="271" spans="1:20" x14ac:dyDescent="0.25">
      <c r="A271" s="5">
        <v>44322</v>
      </c>
      <c r="B271">
        <v>0.2782</v>
      </c>
      <c r="C271">
        <v>0.29160000000000003</v>
      </c>
      <c r="D271">
        <v>0.26090000000000002</v>
      </c>
      <c r="E271">
        <v>0.26419999999999999</v>
      </c>
      <c r="F271">
        <v>13782189.550000001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-0.78501628664495315</v>
      </c>
      <c r="Q271">
        <f t="shared" si="965"/>
        <v>-10819243.262377879</v>
      </c>
      <c r="R271">
        <f t="shared" si="966"/>
        <v>-87316452.474777341</v>
      </c>
      <c r="S271">
        <f t="shared" si="967"/>
        <v>-873.16452474777338</v>
      </c>
      <c r="T271">
        <f t="shared" si="968"/>
        <v>-0.8731645247477734</v>
      </c>
    </row>
    <row r="272" spans="1:20" x14ac:dyDescent="0.25">
      <c r="A272" s="5">
        <v>44321</v>
      </c>
      <c r="B272">
        <v>0.2515</v>
      </c>
      <c r="C272">
        <v>0.28070000000000001</v>
      </c>
      <c r="D272">
        <v>0.24959999999999999</v>
      </c>
      <c r="E272">
        <v>0.27779999999999999</v>
      </c>
      <c r="F272">
        <v>11118567.939999999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0.8135048231511246</v>
      </c>
      <c r="Q272">
        <f t="shared" si="965"/>
        <v>9045008.645723464</v>
      </c>
      <c r="R272">
        <f t="shared" si="966"/>
        <v>-76497209.212399468</v>
      </c>
      <c r="S272">
        <f t="shared" si="967"/>
        <v>-764.97209212399468</v>
      </c>
      <c r="T272">
        <f t="shared" si="968"/>
        <v>-0.76497209212399464</v>
      </c>
    </row>
    <row r="273" spans="1:20" x14ac:dyDescent="0.25">
      <c r="A273" s="5">
        <v>44320</v>
      </c>
      <c r="B273">
        <v>0.28810000000000002</v>
      </c>
      <c r="C273">
        <v>0.28899999999999998</v>
      </c>
      <c r="D273">
        <v>0.24790000000000001</v>
      </c>
      <c r="E273">
        <v>0.25159999999999999</v>
      </c>
      <c r="F273">
        <v>17270775.390000001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-0.81995133819951416</v>
      </c>
      <c r="Q273">
        <f t="shared" si="965"/>
        <v>-14161195.392773736</v>
      </c>
      <c r="R273">
        <f t="shared" si="966"/>
        <v>-85542217.85812293</v>
      </c>
      <c r="S273">
        <f t="shared" si="967"/>
        <v>-855.42217858122933</v>
      </c>
      <c r="T273">
        <f t="shared" si="968"/>
        <v>-0.85542217858122938</v>
      </c>
    </row>
    <row r="274" spans="1:20" x14ac:dyDescent="0.25">
      <c r="A274" s="5">
        <v>44319</v>
      </c>
      <c r="B274">
        <v>0.27950000000000003</v>
      </c>
      <c r="C274">
        <v>0.31390000000000001</v>
      </c>
      <c r="D274">
        <v>0.2787</v>
      </c>
      <c r="E274">
        <v>0.28820000000000001</v>
      </c>
      <c r="F274">
        <v>22325774.079999998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-0.46022727272727237</v>
      </c>
      <c r="Q274">
        <f t="shared" si="965"/>
        <v>-10274930.116363628</v>
      </c>
      <c r="R274">
        <f t="shared" si="966"/>
        <v>-71381022.465349197</v>
      </c>
      <c r="S274">
        <f t="shared" si="967"/>
        <v>-713.81022465349201</v>
      </c>
      <c r="T274">
        <f t="shared" si="968"/>
        <v>-0.71381022465349198</v>
      </c>
    </row>
    <row r="275" spans="1:20" x14ac:dyDescent="0.25">
      <c r="A275" s="5">
        <v>44318</v>
      </c>
      <c r="B275">
        <v>0.28299999999999997</v>
      </c>
      <c r="C275">
        <v>0.28999999999999998</v>
      </c>
      <c r="D275">
        <v>0.26279999999999998</v>
      </c>
      <c r="E275">
        <v>0.27979999999999999</v>
      </c>
      <c r="F275">
        <v>15180807.77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0.250000000000001</v>
      </c>
      <c r="Q275">
        <f t="shared" si="965"/>
        <v>3795201.9425000153</v>
      </c>
      <c r="R275">
        <f t="shared" si="966"/>
        <v>-61106092.348985568</v>
      </c>
      <c r="S275">
        <f t="shared" si="967"/>
        <v>-611.06092348985567</v>
      </c>
      <c r="T275">
        <f t="shared" si="968"/>
        <v>-0.61106092348985563</v>
      </c>
    </row>
    <row r="276" spans="1:20" x14ac:dyDescent="0.25">
      <c r="A276" s="5">
        <v>44317</v>
      </c>
      <c r="B276">
        <v>0.27329999999999999</v>
      </c>
      <c r="C276">
        <v>0.29139999999999999</v>
      </c>
      <c r="D276">
        <v>0.25600000000000001</v>
      </c>
      <c r="E276">
        <v>0.28289999999999998</v>
      </c>
      <c r="F276">
        <v>21213846.969999999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0.51977401129943446</v>
      </c>
      <c r="Q276">
        <f t="shared" si="965"/>
        <v>11026406.334689252</v>
      </c>
      <c r="R276">
        <f t="shared" si="966"/>
        <v>-64901294.291485585</v>
      </c>
      <c r="S276">
        <f t="shared" si="967"/>
        <v>-649.0129429148559</v>
      </c>
      <c r="T276">
        <f t="shared" si="968"/>
        <v>-0.64901294291485589</v>
      </c>
    </row>
    <row r="277" spans="1:20" x14ac:dyDescent="0.25">
      <c r="A277" s="5">
        <v>44316</v>
      </c>
      <c r="B277">
        <v>0.27200000000000002</v>
      </c>
      <c r="C277">
        <v>0.27700000000000002</v>
      </c>
      <c r="D277">
        <v>0.26050000000000001</v>
      </c>
      <c r="E277">
        <v>0.2732</v>
      </c>
      <c r="F277">
        <v>13056333.880000001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0.53939393939393665</v>
      </c>
      <c r="Q277">
        <f t="shared" si="965"/>
        <v>7042507.3655757224</v>
      </c>
      <c r="R277">
        <f t="shared" si="966"/>
        <v>-75927700.626174837</v>
      </c>
      <c r="S277">
        <f t="shared" si="967"/>
        <v>-759.2770062617484</v>
      </c>
      <c r="T277">
        <f t="shared" si="968"/>
        <v>-0.75927700626174843</v>
      </c>
    </row>
    <row r="278" spans="1:20" x14ac:dyDescent="0.25">
      <c r="A278" s="5">
        <v>44315</v>
      </c>
      <c r="B278">
        <v>0.28210000000000002</v>
      </c>
      <c r="C278">
        <v>0.28999999999999998</v>
      </c>
      <c r="D278">
        <v>0.2419</v>
      </c>
      <c r="E278">
        <v>0.27179999999999999</v>
      </c>
      <c r="F278">
        <v>21883359.050000001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0.24324324324324312</v>
      </c>
      <c r="Q278">
        <f t="shared" si="965"/>
        <v>5322979.228378376</v>
      </c>
      <c r="R278">
        <f t="shared" si="966"/>
        <v>-82970207.991750553</v>
      </c>
      <c r="S278">
        <f t="shared" si="967"/>
        <v>-829.70207991750556</v>
      </c>
      <c r="T278">
        <f t="shared" si="968"/>
        <v>-0.82970207991750555</v>
      </c>
    </row>
    <row r="279" spans="1:20" x14ac:dyDescent="0.25">
      <c r="A279" s="5">
        <v>44314</v>
      </c>
      <c r="B279">
        <v>0.26860000000000001</v>
      </c>
      <c r="C279">
        <v>0.2848</v>
      </c>
      <c r="D279">
        <v>0.24510000000000001</v>
      </c>
      <c r="E279">
        <v>0.28189999999999998</v>
      </c>
      <c r="F279">
        <v>15775885.43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0.85390428211586833</v>
      </c>
      <c r="Q279">
        <f t="shared" si="965"/>
        <v>13471096.122846337</v>
      </c>
      <c r="R279">
        <f t="shared" si="966"/>
        <v>-88293187.220128924</v>
      </c>
      <c r="S279">
        <f t="shared" si="967"/>
        <v>-882.93187220128925</v>
      </c>
      <c r="T279">
        <f t="shared" si="968"/>
        <v>-0.88293187220128921</v>
      </c>
    </row>
    <row r="280" spans="1:20" x14ac:dyDescent="0.25">
      <c r="A280" s="5">
        <v>44313</v>
      </c>
      <c r="B280">
        <v>0.2707</v>
      </c>
      <c r="C280">
        <v>0.2828</v>
      </c>
      <c r="D280">
        <v>0.25690000000000002</v>
      </c>
      <c r="E280">
        <v>0.26860000000000001</v>
      </c>
      <c r="F280">
        <v>22016483.890000001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-9.6525096525096693E-2</v>
      </c>
      <c r="Q280">
        <f t="shared" si="965"/>
        <v>-2125143.2326254863</v>
      </c>
      <c r="R280">
        <f t="shared" si="966"/>
        <v>-101764283.34297526</v>
      </c>
      <c r="S280">
        <f t="shared" si="967"/>
        <v>-1017.6428334297526</v>
      </c>
      <c r="T280">
        <f t="shared" si="968"/>
        <v>-1.0176428334297527</v>
      </c>
    </row>
    <row r="281" spans="1:20" x14ac:dyDescent="0.25">
      <c r="A281" s="5">
        <v>44312</v>
      </c>
      <c r="B281">
        <v>0.21110000000000001</v>
      </c>
      <c r="C281">
        <v>0.30769999999999997</v>
      </c>
      <c r="D281">
        <v>0.2097</v>
      </c>
      <c r="E281">
        <v>0.27079999999999999</v>
      </c>
      <c r="F281">
        <v>37696937.57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0.24693877551020413</v>
      </c>
      <c r="Q281">
        <f t="shared" si="965"/>
        <v>9308835.6040204093</v>
      </c>
      <c r="R281">
        <f t="shared" si="966"/>
        <v>-99639140.110349774</v>
      </c>
      <c r="S281">
        <f t="shared" si="967"/>
        <v>-996.39140110349774</v>
      </c>
      <c r="T281">
        <f t="shared" si="968"/>
        <v>-0.99639140110349778</v>
      </c>
    </row>
    <row r="282" spans="1:20" x14ac:dyDescent="0.25">
      <c r="A282" s="5">
        <v>44311</v>
      </c>
      <c r="B282">
        <v>0.2165</v>
      </c>
      <c r="C282">
        <v>0.2399</v>
      </c>
      <c r="D282">
        <v>0.2001</v>
      </c>
      <c r="E282">
        <v>0.2104</v>
      </c>
      <c r="F282">
        <v>10695501.359999999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-0.48241206030150741</v>
      </c>
      <c r="Q282">
        <f t="shared" si="965"/>
        <v>-5159638.8470351743</v>
      </c>
      <c r="R282">
        <f t="shared" si="966"/>
        <v>-108947975.71437019</v>
      </c>
      <c r="S282">
        <f t="shared" si="967"/>
        <v>-1089.4797571437018</v>
      </c>
      <c r="T282">
        <f t="shared" si="968"/>
        <v>-1.0894797571437018</v>
      </c>
    </row>
    <row r="283" spans="1:20" x14ac:dyDescent="0.25">
      <c r="A283" s="5">
        <v>44310</v>
      </c>
      <c r="B283">
        <v>0.2205</v>
      </c>
      <c r="C283">
        <v>0.2374</v>
      </c>
      <c r="D283">
        <v>0.20660000000000001</v>
      </c>
      <c r="E283">
        <v>0.2165</v>
      </c>
      <c r="F283">
        <v>12174570.49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-0.35714285714285754</v>
      </c>
      <c r="Q283">
        <f t="shared" si="965"/>
        <v>-4348060.889285719</v>
      </c>
      <c r="R283">
        <f t="shared" si="966"/>
        <v>-103788336.86733502</v>
      </c>
      <c r="S283">
        <f t="shared" si="967"/>
        <v>-1037.8833686733501</v>
      </c>
      <c r="T283">
        <f t="shared" si="968"/>
        <v>-1.0378833686733502</v>
      </c>
    </row>
    <row r="284" spans="1:20" x14ac:dyDescent="0.25">
      <c r="A284" s="5">
        <v>44309</v>
      </c>
      <c r="B284">
        <v>0.2399</v>
      </c>
      <c r="C284">
        <v>0.24490000000000001</v>
      </c>
      <c r="D284">
        <v>0.1852</v>
      </c>
      <c r="E284">
        <v>0.2203</v>
      </c>
      <c r="F284">
        <v>23058732.32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0.1758793969849243</v>
      </c>
      <c r="Q284">
        <f t="shared" si="965"/>
        <v>4055555.9356783847</v>
      </c>
      <c r="R284">
        <f t="shared" si="966"/>
        <v>-99440275.978049308</v>
      </c>
      <c r="S284">
        <f t="shared" si="967"/>
        <v>-994.40275978049306</v>
      </c>
      <c r="T284">
        <f t="shared" si="968"/>
        <v>-0.99440275978049308</v>
      </c>
    </row>
    <row r="285" spans="1:20" x14ac:dyDescent="0.25">
      <c r="A285" s="5">
        <v>44308</v>
      </c>
      <c r="B285">
        <v>0.26889999999999997</v>
      </c>
      <c r="C285">
        <v>0.28560000000000002</v>
      </c>
      <c r="D285">
        <v>0.23250000000000001</v>
      </c>
      <c r="E285">
        <v>0.23960000000000001</v>
      </c>
      <c r="F285">
        <v>20470571.149999999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-0.73258003766478363</v>
      </c>
      <c r="Q285">
        <f t="shared" si="965"/>
        <v>-14996331.784086632</v>
      </c>
      <c r="R285">
        <f t="shared" si="966"/>
        <v>-103495831.91372769</v>
      </c>
      <c r="S285">
        <f t="shared" si="967"/>
        <v>-1034.9583191372769</v>
      </c>
      <c r="T285">
        <f t="shared" si="968"/>
        <v>-1.0349583191372769</v>
      </c>
    </row>
    <row r="286" spans="1:20" x14ac:dyDescent="0.25">
      <c r="A286" s="5">
        <v>44307</v>
      </c>
      <c r="B286">
        <v>0.29549999999999998</v>
      </c>
      <c r="C286">
        <v>0.30199999999999999</v>
      </c>
      <c r="D286">
        <v>0.26479999999999998</v>
      </c>
      <c r="E286">
        <v>0.26829999999999998</v>
      </c>
      <c r="F286">
        <v>12008840.449999999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-0.81182795698924715</v>
      </c>
      <c r="Q286">
        <f t="shared" si="965"/>
        <v>-9749112.4083333313</v>
      </c>
      <c r="R286">
        <f t="shared" si="966"/>
        <v>-88499500.129641056</v>
      </c>
      <c r="S286">
        <f t="shared" si="967"/>
        <v>-884.99500129641058</v>
      </c>
      <c r="T286">
        <f t="shared" si="968"/>
        <v>-0.88499500129641062</v>
      </c>
    </row>
    <row r="287" spans="1:20" x14ac:dyDescent="0.25">
      <c r="A287" s="5">
        <v>44306</v>
      </c>
      <c r="B287">
        <v>0.2848</v>
      </c>
      <c r="C287">
        <v>0.35389999999999999</v>
      </c>
      <c r="D287">
        <v>0.2601</v>
      </c>
      <c r="E287">
        <v>0.29499999999999998</v>
      </c>
      <c r="F287">
        <v>80516913.930000007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-0.25586353944562923</v>
      </c>
      <c r="Q287">
        <f t="shared" si="965"/>
        <v>-20601342.58336889</v>
      </c>
      <c r="R287">
        <f t="shared" si="966"/>
        <v>-78750387.721307725</v>
      </c>
      <c r="S287">
        <f t="shared" si="967"/>
        <v>-787.5038772130772</v>
      </c>
      <c r="T287">
        <f t="shared" si="968"/>
        <v>-0.78750387721307724</v>
      </c>
    </row>
    <row r="288" spans="1:20" x14ac:dyDescent="0.25">
      <c r="A288" s="5">
        <v>44305</v>
      </c>
      <c r="B288">
        <v>0.31940000000000002</v>
      </c>
      <c r="C288">
        <v>0.34189999999999998</v>
      </c>
      <c r="D288">
        <v>0.2767</v>
      </c>
      <c r="E288">
        <v>0.2848</v>
      </c>
      <c r="F288">
        <v>34227359.32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-0.75153374233128833</v>
      </c>
      <c r="Q288">
        <f t="shared" si="965"/>
        <v>-25723015.439877301</v>
      </c>
      <c r="R288">
        <f t="shared" si="966"/>
        <v>-58149045.137938835</v>
      </c>
      <c r="S288">
        <f t="shared" si="967"/>
        <v>-581.49045137938833</v>
      </c>
      <c r="T288">
        <f t="shared" si="968"/>
        <v>-0.58149045137938837</v>
      </c>
    </row>
    <row r="289" spans="1:20" x14ac:dyDescent="0.25">
      <c r="A289" s="5">
        <v>44304</v>
      </c>
      <c r="B289">
        <v>0.35820000000000002</v>
      </c>
      <c r="C289">
        <v>0.36170000000000002</v>
      </c>
      <c r="D289">
        <v>0.30359999999999998</v>
      </c>
      <c r="E289">
        <v>0.31950000000000001</v>
      </c>
      <c r="F289">
        <v>29569154.5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-0.45266781411359674</v>
      </c>
      <c r="Q289">
        <f t="shared" si="965"/>
        <v>-13385004.532702222</v>
      </c>
      <c r="R289">
        <f t="shared" si="966"/>
        <v>-32426029.698061533</v>
      </c>
      <c r="S289">
        <f t="shared" si="967"/>
        <v>-324.26029698061535</v>
      </c>
      <c r="T289">
        <f t="shared" si="968"/>
        <v>-0.32426029698061537</v>
      </c>
    </row>
    <row r="290" spans="1:20" x14ac:dyDescent="0.25">
      <c r="A290" s="5">
        <v>44303</v>
      </c>
      <c r="B290">
        <v>0.36969999999999997</v>
      </c>
      <c r="C290">
        <v>0.37590000000000001</v>
      </c>
      <c r="D290">
        <v>0.35649999999999998</v>
      </c>
      <c r="E290">
        <v>0.35820000000000002</v>
      </c>
      <c r="F290">
        <v>26938155.57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-0.82474226804123374</v>
      </c>
      <c r="Q290">
        <f t="shared" si="965"/>
        <v>-22217035.521649394</v>
      </c>
      <c r="R290">
        <f t="shared" si="966"/>
        <v>-19041025.165359311</v>
      </c>
      <c r="S290">
        <f t="shared" si="967"/>
        <v>-190.41025165359312</v>
      </c>
      <c r="T290">
        <f t="shared" si="968"/>
        <v>-0.19041025165359313</v>
      </c>
    </row>
    <row r="291" spans="1:20" x14ac:dyDescent="0.25">
      <c r="A291" s="5">
        <v>44302</v>
      </c>
      <c r="B291">
        <v>0.40660000000000002</v>
      </c>
      <c r="C291">
        <v>0.40799999999999997</v>
      </c>
      <c r="D291">
        <v>0.33460000000000001</v>
      </c>
      <c r="E291">
        <v>0.36930000000000002</v>
      </c>
      <c r="F291">
        <v>37931601.509999998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-5.4495912806538829E-2</v>
      </c>
      <c r="Q291">
        <f t="shared" si="965"/>
        <v>-2067117.2485013364</v>
      </c>
      <c r="R291">
        <f t="shared" si="966"/>
        <v>3176010.3562900815</v>
      </c>
      <c r="S291">
        <f t="shared" si="967"/>
        <v>31.760103562900817</v>
      </c>
      <c r="T291">
        <f t="shared" si="968"/>
        <v>3.1760103562900814E-2</v>
      </c>
    </row>
    <row r="292" spans="1:20" x14ac:dyDescent="0.25">
      <c r="A292" s="5">
        <v>44301</v>
      </c>
      <c r="B292">
        <v>0.37859999999999999</v>
      </c>
      <c r="C292">
        <v>0.41170000000000001</v>
      </c>
      <c r="D292">
        <v>0.375</v>
      </c>
      <c r="E292">
        <v>0.40670000000000001</v>
      </c>
      <c r="F292">
        <v>54368001.409999996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0.72752043596730231</v>
      </c>
      <c r="Q292">
        <f t="shared" si="965"/>
        <v>39553832.088474102</v>
      </c>
      <c r="R292">
        <f t="shared" si="966"/>
        <v>5243127.6047914177</v>
      </c>
      <c r="S292">
        <f t="shared" si="967"/>
        <v>52.431276047914174</v>
      </c>
      <c r="T292">
        <f t="shared" si="968"/>
        <v>5.2431276047914172E-2</v>
      </c>
    </row>
    <row r="293" spans="1:20" x14ac:dyDescent="0.25">
      <c r="A293" s="5">
        <v>44300</v>
      </c>
      <c r="B293">
        <v>0.35930000000000001</v>
      </c>
      <c r="C293">
        <v>0.38300000000000001</v>
      </c>
      <c r="D293">
        <v>0.3337</v>
      </c>
      <c r="E293">
        <v>0.37840000000000001</v>
      </c>
      <c r="F293">
        <v>47647974.439999998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0.81338742393509156</v>
      </c>
      <c r="Q293">
        <f t="shared" si="965"/>
        <v>38756263.185476683</v>
      </c>
      <c r="R293">
        <f t="shared" si="966"/>
        <v>-34310704.483682685</v>
      </c>
      <c r="S293">
        <f t="shared" si="967"/>
        <v>-343.10704483682684</v>
      </c>
      <c r="T293">
        <f t="shared" si="968"/>
        <v>-0.34310704483682686</v>
      </c>
    </row>
    <row r="294" spans="1:20" x14ac:dyDescent="0.25">
      <c r="A294" s="5">
        <v>44299</v>
      </c>
      <c r="B294">
        <v>0.3367</v>
      </c>
      <c r="C294">
        <v>0.36859999999999998</v>
      </c>
      <c r="D294">
        <v>0.32390000000000002</v>
      </c>
      <c r="E294">
        <v>0.35880000000000001</v>
      </c>
      <c r="F294">
        <v>28390296.09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0.56152125279642129</v>
      </c>
      <c r="Q294">
        <f t="shared" si="965"/>
        <v>15941754.627718141</v>
      </c>
      <c r="R294">
        <f t="shared" si="966"/>
        <v>-73066967.669159368</v>
      </c>
      <c r="S294">
        <f t="shared" si="967"/>
        <v>-730.66967669159362</v>
      </c>
      <c r="T294">
        <f t="shared" si="968"/>
        <v>-0.73066967669159366</v>
      </c>
    </row>
    <row r="295" spans="1:20" x14ac:dyDescent="0.25">
      <c r="A295" s="5">
        <v>44298</v>
      </c>
      <c r="B295">
        <v>0.36990000000000001</v>
      </c>
      <c r="C295">
        <v>0.37309999999999999</v>
      </c>
      <c r="D295">
        <v>0.33410000000000001</v>
      </c>
      <c r="E295">
        <v>0.33600000000000002</v>
      </c>
      <c r="F295">
        <v>15605801.800000001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-0.90256410256410191</v>
      </c>
      <c r="Q295">
        <f t="shared" si="965"/>
        <v>-14085236.496410247</v>
      </c>
      <c r="R295">
        <f t="shared" si="966"/>
        <v>-89008722.296877503</v>
      </c>
      <c r="S295">
        <f t="shared" si="967"/>
        <v>-890.087222968775</v>
      </c>
      <c r="T295">
        <f t="shared" si="968"/>
        <v>-0.89008722296877496</v>
      </c>
    </row>
    <row r="296" spans="1:20" x14ac:dyDescent="0.25">
      <c r="A296" s="5">
        <v>44297</v>
      </c>
      <c r="B296">
        <v>0.3795</v>
      </c>
      <c r="C296">
        <v>0.38109999999999999</v>
      </c>
      <c r="D296">
        <v>0.35399999999999998</v>
      </c>
      <c r="E296">
        <v>0.36930000000000002</v>
      </c>
      <c r="F296">
        <v>8850825.1899999995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0.12915129151291724</v>
      </c>
      <c r="Q296">
        <f t="shared" si="965"/>
        <v>1143095.5042435611</v>
      </c>
      <c r="R296">
        <f t="shared" si="966"/>
        <v>-74923485.800467253</v>
      </c>
      <c r="S296">
        <f t="shared" si="967"/>
        <v>-749.23485800467256</v>
      </c>
      <c r="T296">
        <f t="shared" si="968"/>
        <v>-0.7492348580046726</v>
      </c>
    </row>
    <row r="297" spans="1:20" x14ac:dyDescent="0.25">
      <c r="A297" s="5">
        <v>44296</v>
      </c>
      <c r="B297">
        <v>0.39750000000000002</v>
      </c>
      <c r="C297">
        <v>0.4027</v>
      </c>
      <c r="D297">
        <v>0.36170000000000002</v>
      </c>
      <c r="E297">
        <v>0.3795</v>
      </c>
      <c r="F297">
        <v>17178538.100000001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-0.13170731707317118</v>
      </c>
      <c r="Q297">
        <f t="shared" si="965"/>
        <v>-2262539.164390252</v>
      </c>
      <c r="R297">
        <f t="shared" si="966"/>
        <v>-76066581.30471082</v>
      </c>
      <c r="S297">
        <f t="shared" si="967"/>
        <v>-760.66581304710826</v>
      </c>
      <c r="T297">
        <f t="shared" si="968"/>
        <v>-0.76066581304710823</v>
      </c>
    </row>
    <row r="298" spans="1:20" x14ac:dyDescent="0.25">
      <c r="A298" s="5">
        <v>44295</v>
      </c>
      <c r="B298">
        <v>0.42259999999999998</v>
      </c>
      <c r="C298">
        <v>0.4617</v>
      </c>
      <c r="D298">
        <v>0.3901</v>
      </c>
      <c r="E298">
        <v>0.39760000000000001</v>
      </c>
      <c r="F298">
        <v>39044962.509999998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-0.79050279329608919</v>
      </c>
      <c r="Q298">
        <f t="shared" si="965"/>
        <v>-30865151.928296082</v>
      </c>
      <c r="R298">
        <f t="shared" si="966"/>
        <v>-73804042.140320569</v>
      </c>
      <c r="S298">
        <f t="shared" si="967"/>
        <v>-738.04042140320564</v>
      </c>
      <c r="T298">
        <f t="shared" si="968"/>
        <v>-0.73804042140320569</v>
      </c>
    </row>
    <row r="299" spans="1:20" x14ac:dyDescent="0.25">
      <c r="A299" s="5">
        <v>44294</v>
      </c>
      <c r="B299">
        <v>0.35499999999999998</v>
      </c>
      <c r="C299">
        <v>0.43990000000000001</v>
      </c>
      <c r="D299">
        <v>0.35210000000000002</v>
      </c>
      <c r="E299">
        <v>0.4229</v>
      </c>
      <c r="F299">
        <v>18381216.550000001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0.61275626423690166</v>
      </c>
      <c r="Q299">
        <f t="shared" si="965"/>
        <v>11263205.585307511</v>
      </c>
      <c r="R299">
        <f t="shared" si="966"/>
        <v>-42938890.21202448</v>
      </c>
      <c r="S299">
        <f t="shared" si="967"/>
        <v>-429.38890212024478</v>
      </c>
      <c r="T299">
        <f t="shared" si="968"/>
        <v>-0.42938890212024478</v>
      </c>
    </row>
    <row r="300" spans="1:20" x14ac:dyDescent="0.25">
      <c r="A300" s="5">
        <v>44293</v>
      </c>
      <c r="B300">
        <v>0.40789999999999998</v>
      </c>
      <c r="C300">
        <v>0.40870000000000001</v>
      </c>
      <c r="D300">
        <v>0.34870000000000001</v>
      </c>
      <c r="E300">
        <v>0.35510000000000003</v>
      </c>
      <c r="F300">
        <v>10985890.75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-0.78666666666666607</v>
      </c>
      <c r="Q300">
        <f t="shared" si="965"/>
        <v>-8642234.0566666592</v>
      </c>
      <c r="R300">
        <f t="shared" si="966"/>
        <v>-54202095.797331989</v>
      </c>
      <c r="S300">
        <f t="shared" si="967"/>
        <v>-542.02095797331992</v>
      </c>
      <c r="T300">
        <f t="shared" si="968"/>
        <v>-0.54202095797331995</v>
      </c>
    </row>
    <row r="301" spans="1:20" x14ac:dyDescent="0.25">
      <c r="A301" s="5">
        <v>44292</v>
      </c>
      <c r="B301">
        <v>0.39379999999999998</v>
      </c>
      <c r="C301">
        <v>0.41899999999999998</v>
      </c>
      <c r="D301">
        <v>0.37330000000000002</v>
      </c>
      <c r="E301">
        <v>0.40870000000000001</v>
      </c>
      <c r="F301">
        <v>14086148.41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0.54923413566739676</v>
      </c>
      <c r="Q301">
        <f t="shared" si="965"/>
        <v>7736593.5468490254</v>
      </c>
      <c r="R301">
        <f t="shared" si="966"/>
        <v>-45559861.740665331</v>
      </c>
      <c r="S301">
        <f t="shared" si="967"/>
        <v>-455.59861740665332</v>
      </c>
      <c r="T301">
        <f t="shared" si="968"/>
        <v>-0.45559861740665331</v>
      </c>
    </row>
    <row r="302" spans="1:20" x14ac:dyDescent="0.25">
      <c r="A302" s="5">
        <v>44291</v>
      </c>
      <c r="B302">
        <v>0.40129999999999999</v>
      </c>
      <c r="C302">
        <v>0.41460000000000002</v>
      </c>
      <c r="D302">
        <v>0.3831</v>
      </c>
      <c r="E302">
        <v>0.39369999999999999</v>
      </c>
      <c r="F302">
        <v>14117439.050000001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-0.32698412698412771</v>
      </c>
      <c r="Q302">
        <f t="shared" si="965"/>
        <v>-4616178.4830158837</v>
      </c>
      <c r="R302">
        <f t="shared" si="966"/>
        <v>-53296455.287514359</v>
      </c>
      <c r="S302">
        <f t="shared" si="967"/>
        <v>-532.96455287514357</v>
      </c>
      <c r="T302">
        <f t="shared" si="968"/>
        <v>-0.53296455287514355</v>
      </c>
    </row>
    <row r="303" spans="1:20" x14ac:dyDescent="0.25">
      <c r="A303" s="5">
        <v>44290</v>
      </c>
      <c r="B303">
        <v>0.3599</v>
      </c>
      <c r="C303">
        <v>0.40489999999999998</v>
      </c>
      <c r="D303">
        <v>0.35349999999999998</v>
      </c>
      <c r="E303">
        <v>0.40200000000000002</v>
      </c>
      <c r="F303">
        <v>11657146.109999999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0.88715953307393158</v>
      </c>
      <c r="Q303">
        <f t="shared" si="965"/>
        <v>10341748.299922198</v>
      </c>
      <c r="R303">
        <f t="shared" si="966"/>
        <v>-48680276.804498471</v>
      </c>
      <c r="S303">
        <f t="shared" si="967"/>
        <v>-486.8027680449847</v>
      </c>
      <c r="T303">
        <f t="shared" si="968"/>
        <v>-0.48680276804498468</v>
      </c>
    </row>
    <row r="304" spans="1:20" x14ac:dyDescent="0.25">
      <c r="A304" s="5">
        <v>44289</v>
      </c>
      <c r="B304">
        <v>0.39489999999999997</v>
      </c>
      <c r="C304">
        <v>0.4</v>
      </c>
      <c r="D304">
        <v>0.35659999999999997</v>
      </c>
      <c r="E304">
        <v>0.35980000000000001</v>
      </c>
      <c r="F304">
        <v>9545792.8699999992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-0.8525345622119801</v>
      </c>
      <c r="Q304">
        <f t="shared" si="965"/>
        <v>-8138118.3453916907</v>
      </c>
      <c r="R304">
        <f t="shared" si="966"/>
        <v>-59022025.104420669</v>
      </c>
      <c r="S304">
        <f t="shared" si="967"/>
        <v>-590.22025104420675</v>
      </c>
      <c r="T304">
        <f t="shared" si="968"/>
        <v>-0.59022025104420672</v>
      </c>
    </row>
    <row r="305" spans="1:20" x14ac:dyDescent="0.25">
      <c r="A305" s="5">
        <v>44288</v>
      </c>
      <c r="B305">
        <v>0.3997</v>
      </c>
      <c r="C305">
        <v>0.4299</v>
      </c>
      <c r="D305">
        <v>0.39369999999999999</v>
      </c>
      <c r="E305">
        <v>0.39500000000000002</v>
      </c>
      <c r="F305">
        <v>14423758.529999999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-0.92817679558010924</v>
      </c>
      <c r="Q305">
        <f t="shared" si="965"/>
        <v>-13387797.972596666</v>
      </c>
      <c r="R305">
        <f t="shared" si="966"/>
        <v>-50883906.759028979</v>
      </c>
      <c r="S305">
        <f t="shared" si="967"/>
        <v>-508.8390675902898</v>
      </c>
      <c r="T305">
        <f t="shared" si="968"/>
        <v>-0.50883906759028985</v>
      </c>
    </row>
    <row r="306" spans="1:20" x14ac:dyDescent="0.25">
      <c r="A306" s="5">
        <v>44287</v>
      </c>
      <c r="B306">
        <v>0.39419999999999999</v>
      </c>
      <c r="C306">
        <v>0.41</v>
      </c>
      <c r="D306">
        <v>0.37030000000000002</v>
      </c>
      <c r="E306">
        <v>0.39889999999999998</v>
      </c>
      <c r="F306">
        <v>11192454.42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0.44080604534004986</v>
      </c>
      <c r="Q306">
        <f t="shared" si="965"/>
        <v>4933701.5705289617</v>
      </c>
      <c r="R306">
        <f t="shared" si="966"/>
        <v>-37496108.786432311</v>
      </c>
      <c r="S306">
        <f t="shared" si="967"/>
        <v>-374.96108786432313</v>
      </c>
      <c r="T306">
        <f t="shared" si="968"/>
        <v>-0.37496108786432314</v>
      </c>
    </row>
    <row r="307" spans="1:20" x14ac:dyDescent="0.25">
      <c r="A307" s="5">
        <v>44286</v>
      </c>
      <c r="B307">
        <v>0.38779999999999998</v>
      </c>
      <c r="C307">
        <v>0.39700000000000002</v>
      </c>
      <c r="D307">
        <v>0.36099999999999999</v>
      </c>
      <c r="E307">
        <v>0.39489999999999997</v>
      </c>
      <c r="F307">
        <v>9588486.5899999999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0.88333333333333086</v>
      </c>
      <c r="Q307">
        <f t="shared" si="965"/>
        <v>8469829.821166642</v>
      </c>
      <c r="R307">
        <f t="shared" si="966"/>
        <v>-42429810.356961273</v>
      </c>
      <c r="S307">
        <f t="shared" si="967"/>
        <v>-424.29810356961275</v>
      </c>
      <c r="T307">
        <f t="shared" si="968"/>
        <v>-0.42429810356961273</v>
      </c>
    </row>
    <row r="308" spans="1:20" x14ac:dyDescent="0.25">
      <c r="A308" s="5">
        <v>44285</v>
      </c>
      <c r="B308">
        <v>0.39050000000000001</v>
      </c>
      <c r="C308">
        <v>0.41249999999999998</v>
      </c>
      <c r="D308">
        <v>0.37940000000000002</v>
      </c>
      <c r="E308">
        <v>0.38690000000000002</v>
      </c>
      <c r="F308">
        <v>14817215.710000001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-0.54682779456193265</v>
      </c>
      <c r="Q308">
        <f t="shared" si="965"/>
        <v>-8102465.3882477218</v>
      </c>
      <c r="R308">
        <f t="shared" si="966"/>
        <v>-50899640.178127915</v>
      </c>
      <c r="S308">
        <f t="shared" si="967"/>
        <v>-508.99640178127913</v>
      </c>
      <c r="T308">
        <f t="shared" si="968"/>
        <v>-0.50899640178127914</v>
      </c>
    </row>
    <row r="309" spans="1:20" x14ac:dyDescent="0.25">
      <c r="A309" s="5">
        <v>44284</v>
      </c>
      <c r="B309">
        <v>0.35360000000000003</v>
      </c>
      <c r="C309">
        <v>0.39760000000000001</v>
      </c>
      <c r="D309">
        <v>0.34599999999999997</v>
      </c>
      <c r="E309">
        <v>0.3906</v>
      </c>
      <c r="F309">
        <v>18655720.309999999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0.72868217054263562</v>
      </c>
      <c r="Q309">
        <f t="shared" si="965"/>
        <v>13594090.76852713</v>
      </c>
      <c r="R309">
        <f t="shared" si="966"/>
        <v>-42797174.789880194</v>
      </c>
      <c r="S309">
        <f t="shared" si="967"/>
        <v>-427.97174789880194</v>
      </c>
      <c r="T309">
        <f t="shared" si="968"/>
        <v>-0.42797174789880194</v>
      </c>
    </row>
    <row r="310" spans="1:20" x14ac:dyDescent="0.25">
      <c r="A310" s="5">
        <v>44283</v>
      </c>
      <c r="B310">
        <v>0.35510000000000003</v>
      </c>
      <c r="C310">
        <v>0.35859999999999997</v>
      </c>
      <c r="D310">
        <v>0.33850000000000002</v>
      </c>
      <c r="E310">
        <v>0.35360000000000003</v>
      </c>
      <c r="F310">
        <v>7895098.7300000004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0.50248756218905866</v>
      </c>
      <c r="Q310">
        <f t="shared" si="965"/>
        <v>3967188.9140796331</v>
      </c>
      <c r="R310">
        <f t="shared" si="966"/>
        <v>-56391265.558407322</v>
      </c>
      <c r="S310">
        <f t="shared" si="967"/>
        <v>-563.91265558407326</v>
      </c>
      <c r="T310">
        <f t="shared" si="968"/>
        <v>-0.56391265558407322</v>
      </c>
    </row>
    <row r="311" spans="1:20" x14ac:dyDescent="0.25">
      <c r="A311" s="5">
        <v>44282</v>
      </c>
      <c r="B311">
        <v>0.35170000000000001</v>
      </c>
      <c r="C311">
        <v>0.373</v>
      </c>
      <c r="D311">
        <v>0.3387</v>
      </c>
      <c r="E311">
        <v>0.3548</v>
      </c>
      <c r="F311">
        <v>10258034.390000001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-6.1224489795918102E-2</v>
      </c>
      <c r="Q311">
        <f t="shared" si="965"/>
        <v>-628042.92183673196</v>
      </c>
      <c r="R311">
        <f t="shared" si="966"/>
        <v>-60358454.472486958</v>
      </c>
      <c r="S311">
        <f t="shared" si="967"/>
        <v>-603.5845447248696</v>
      </c>
      <c r="T311">
        <f t="shared" si="968"/>
        <v>-0.60358454472486955</v>
      </c>
    </row>
    <row r="312" spans="1:20" x14ac:dyDescent="0.25">
      <c r="A312" s="5">
        <v>44281</v>
      </c>
      <c r="B312">
        <v>0.31609999999999999</v>
      </c>
      <c r="C312">
        <v>0.35510000000000003</v>
      </c>
      <c r="D312">
        <v>0.31609999999999999</v>
      </c>
      <c r="E312">
        <v>0.3513</v>
      </c>
      <c r="F312">
        <v>12199867.32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0.80512820512820404</v>
      </c>
      <c r="Q312">
        <f t="shared" si="965"/>
        <v>9822457.278153833</v>
      </c>
      <c r="R312">
        <f t="shared" si="966"/>
        <v>-59730411.550650224</v>
      </c>
      <c r="S312">
        <f t="shared" si="967"/>
        <v>-597.30411550650228</v>
      </c>
      <c r="T312">
        <f t="shared" si="968"/>
        <v>-0.59730411550650231</v>
      </c>
    </row>
    <row r="313" spans="1:20" x14ac:dyDescent="0.25">
      <c r="A313" s="5">
        <v>44280</v>
      </c>
      <c r="B313">
        <v>0.32350000000000001</v>
      </c>
      <c r="C313">
        <v>0.34210000000000002</v>
      </c>
      <c r="D313">
        <v>0.29880000000000001</v>
      </c>
      <c r="E313">
        <v>0.31590000000000001</v>
      </c>
      <c r="F313">
        <v>16341316.51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-0.21016166281755186</v>
      </c>
      <c r="Q313">
        <f t="shared" si="965"/>
        <v>-3434318.2503695134</v>
      </c>
      <c r="R313">
        <f t="shared" si="966"/>
        <v>-69552868.828804061</v>
      </c>
      <c r="S313">
        <f t="shared" si="967"/>
        <v>-695.5286882880406</v>
      </c>
      <c r="T313">
        <f t="shared" si="968"/>
        <v>-0.6955286882880406</v>
      </c>
    </row>
    <row r="314" spans="1:20" x14ac:dyDescent="0.25">
      <c r="A314" s="5">
        <v>44279</v>
      </c>
      <c r="B314">
        <v>0.37559999999999999</v>
      </c>
      <c r="C314">
        <v>0.39500000000000002</v>
      </c>
      <c r="D314">
        <v>0.31919999999999998</v>
      </c>
      <c r="E314">
        <v>0.32350000000000001</v>
      </c>
      <c r="F314">
        <v>18568882.600000001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-0.88654353562005217</v>
      </c>
      <c r="Q314">
        <f t="shared" si="965"/>
        <v>-16462122.832717668</v>
      </c>
      <c r="R314">
        <f t="shared" si="966"/>
        <v>-66118550.578434542</v>
      </c>
      <c r="S314">
        <f t="shared" si="967"/>
        <v>-661.18550578434542</v>
      </c>
      <c r="T314">
        <f t="shared" si="968"/>
        <v>-0.66118550578434543</v>
      </c>
    </row>
    <row r="315" spans="1:20" x14ac:dyDescent="0.25">
      <c r="A315" s="5">
        <v>44278</v>
      </c>
      <c r="B315">
        <v>0.33610000000000001</v>
      </c>
      <c r="C315">
        <v>0.37930000000000003</v>
      </c>
      <c r="D315">
        <v>0.32190000000000002</v>
      </c>
      <c r="E315">
        <v>0.37730000000000002</v>
      </c>
      <c r="F315">
        <v>17857086.68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0.93031358885017412</v>
      </c>
      <c r="Q315">
        <f t="shared" si="965"/>
        <v>16612690.39567944</v>
      </c>
      <c r="R315">
        <f t="shared" si="966"/>
        <v>-49656427.74571687</v>
      </c>
      <c r="S315">
        <f t="shared" si="967"/>
        <v>-496.56427745716871</v>
      </c>
      <c r="T315">
        <f t="shared" si="968"/>
        <v>-0.49656427745716869</v>
      </c>
    </row>
    <row r="316" spans="1:20" x14ac:dyDescent="0.25">
      <c r="A316" s="5">
        <v>44277</v>
      </c>
      <c r="B316">
        <v>0.37040000000000001</v>
      </c>
      <c r="C316">
        <v>0.38429999999999997</v>
      </c>
      <c r="D316">
        <v>0.32590000000000002</v>
      </c>
      <c r="E316">
        <v>0.33610000000000001</v>
      </c>
      <c r="F316">
        <v>14897721.689999999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-0.65068493150684947</v>
      </c>
      <c r="Q316">
        <f t="shared" si="965"/>
        <v>-9693723.0174657553</v>
      </c>
      <c r="R316">
        <f t="shared" si="966"/>
        <v>-66269118.141396314</v>
      </c>
      <c r="S316">
        <f t="shared" si="967"/>
        <v>-662.69118141396314</v>
      </c>
      <c r="T316">
        <f t="shared" si="968"/>
        <v>-0.6626911814139631</v>
      </c>
    </row>
    <row r="317" spans="1:20" x14ac:dyDescent="0.25">
      <c r="A317" s="5">
        <v>44276</v>
      </c>
      <c r="B317">
        <v>0.37719999999999998</v>
      </c>
      <c r="C317">
        <v>0.38200000000000001</v>
      </c>
      <c r="D317">
        <v>0.34620000000000001</v>
      </c>
      <c r="E317">
        <v>0.36969999999999997</v>
      </c>
      <c r="F317">
        <v>11969848.58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0.3128491620111713</v>
      </c>
      <c r="Q317">
        <f t="shared" si="965"/>
        <v>3744757.0976536088</v>
      </c>
      <c r="R317">
        <f t="shared" si="966"/>
        <v>-56575395.123930559</v>
      </c>
      <c r="S317">
        <f t="shared" si="967"/>
        <v>-565.75395123930559</v>
      </c>
      <c r="T317">
        <f t="shared" si="968"/>
        <v>-0.56575395123930561</v>
      </c>
    </row>
    <row r="318" spans="1:20" x14ac:dyDescent="0.25">
      <c r="A318" s="5">
        <v>44275</v>
      </c>
      <c r="B318">
        <v>0.42959999999999998</v>
      </c>
      <c r="C318">
        <v>0.43080000000000002</v>
      </c>
      <c r="D318">
        <v>0.37709999999999999</v>
      </c>
      <c r="E318">
        <v>0.37759999999999999</v>
      </c>
      <c r="F318">
        <v>18781796.07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-0.98137802607076352</v>
      </c>
      <c r="Q318">
        <f t="shared" si="965"/>
        <v>-18432041.953240223</v>
      </c>
      <c r="R318">
        <f t="shared" si="966"/>
        <v>-60320152.221584164</v>
      </c>
      <c r="S318">
        <f t="shared" si="967"/>
        <v>-603.20152221584169</v>
      </c>
      <c r="T318">
        <f t="shared" si="968"/>
        <v>-0.60320152221584167</v>
      </c>
    </row>
    <row r="319" spans="1:20" x14ac:dyDescent="0.25">
      <c r="A319" s="5">
        <v>44274</v>
      </c>
      <c r="B319">
        <v>0.40360000000000001</v>
      </c>
      <c r="C319">
        <v>0.439</v>
      </c>
      <c r="D319">
        <v>0.38679999999999998</v>
      </c>
      <c r="E319">
        <v>0.4299</v>
      </c>
      <c r="F319">
        <v>20153287.02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0.65134099616858265</v>
      </c>
      <c r="Q319">
        <f t="shared" si="965"/>
        <v>13126662.043678166</v>
      </c>
      <c r="R319">
        <f t="shared" si="966"/>
        <v>-41888110.26834394</v>
      </c>
      <c r="S319">
        <f t="shared" si="967"/>
        <v>-418.88110268343939</v>
      </c>
      <c r="T319">
        <f t="shared" si="968"/>
        <v>-0.41888110268343942</v>
      </c>
    </row>
    <row r="320" spans="1:20" x14ac:dyDescent="0.25">
      <c r="A320" s="5">
        <v>44273</v>
      </c>
      <c r="B320">
        <v>0.36980000000000002</v>
      </c>
      <c r="C320">
        <v>0.40860000000000002</v>
      </c>
      <c r="D320">
        <v>0.3483</v>
      </c>
      <c r="E320">
        <v>0.4037</v>
      </c>
      <c r="F320">
        <v>29672009.579999998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0.83747927031509073</v>
      </c>
      <c r="Q320">
        <f t="shared" si="965"/>
        <v>24849692.931840781</v>
      </c>
      <c r="R320">
        <f t="shared" si="966"/>
        <v>-55014772.312022105</v>
      </c>
      <c r="S320">
        <f t="shared" si="967"/>
        <v>-550.14772312022103</v>
      </c>
      <c r="T320">
        <f t="shared" si="968"/>
        <v>-0.55014772312022098</v>
      </c>
    </row>
    <row r="321" spans="1:20" x14ac:dyDescent="0.25">
      <c r="A321" s="5">
        <v>44272</v>
      </c>
      <c r="B321">
        <v>0.32690000000000002</v>
      </c>
      <c r="C321">
        <v>0.39489999999999997</v>
      </c>
      <c r="D321">
        <v>0.31</v>
      </c>
      <c r="E321">
        <v>0.36980000000000002</v>
      </c>
      <c r="F321">
        <v>40779792.579999998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0.40871613663133183</v>
      </c>
      <c r="Q321">
        <f t="shared" si="965"/>
        <v>16667359.275924651</v>
      </c>
      <c r="R321">
        <f t="shared" si="966"/>
        <v>-79864465.243862882</v>
      </c>
      <c r="S321">
        <f t="shared" si="967"/>
        <v>-798.64465243862878</v>
      </c>
      <c r="T321">
        <f t="shared" si="968"/>
        <v>-0.79864465243862881</v>
      </c>
    </row>
    <row r="322" spans="1:20" x14ac:dyDescent="0.25">
      <c r="A322" s="5">
        <v>44271</v>
      </c>
      <c r="B322">
        <v>0.31580000000000003</v>
      </c>
      <c r="C322">
        <v>0.35339999999999999</v>
      </c>
      <c r="D322">
        <v>0.29630000000000001</v>
      </c>
      <c r="E322">
        <v>0.3276</v>
      </c>
      <c r="F322">
        <v>24845087.030000001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9.6322241681261064E-2</v>
      </c>
      <c r="Q322">
        <f t="shared" si="965"/>
        <v>2393134.4774956247</v>
      </c>
      <c r="R322">
        <f t="shared" si="966"/>
        <v>-96531824.519787535</v>
      </c>
      <c r="S322">
        <f t="shared" si="967"/>
        <v>-965.3182451978754</v>
      </c>
      <c r="T322">
        <f t="shared" si="968"/>
        <v>-0.96531824519787535</v>
      </c>
    </row>
    <row r="323" spans="1:20" x14ac:dyDescent="0.25">
      <c r="A323" s="5">
        <v>44270</v>
      </c>
      <c r="B323">
        <v>0.29670000000000002</v>
      </c>
      <c r="C323">
        <v>0.32650000000000001</v>
      </c>
      <c r="D323">
        <v>0.27660000000000001</v>
      </c>
      <c r="E323">
        <v>0.315</v>
      </c>
      <c r="F323">
        <v>19047907.710000001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0.53907815631262479</v>
      </c>
      <c r="Q323">
        <f t="shared" si="965"/>
        <v>10268310.969919831</v>
      </c>
      <c r="R323">
        <f t="shared" si="966"/>
        <v>-98924958.997283161</v>
      </c>
      <c r="S323">
        <f t="shared" si="967"/>
        <v>-989.24958997283159</v>
      </c>
      <c r="T323">
        <f t="shared" si="968"/>
        <v>-0.98924958997283163</v>
      </c>
    </row>
    <row r="324" spans="1:20" x14ac:dyDescent="0.25">
      <c r="A324" s="5">
        <v>44269</v>
      </c>
      <c r="B324">
        <v>0.28770000000000001</v>
      </c>
      <c r="C324">
        <v>0.33</v>
      </c>
      <c r="D324">
        <v>0.28000000000000003</v>
      </c>
      <c r="E324">
        <v>0.2964</v>
      </c>
      <c r="F324">
        <v>13484479.49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-0.34400000000000103</v>
      </c>
      <c r="Q324">
        <f t="shared" si="965"/>
        <v>-4638660.9445600137</v>
      </c>
      <c r="R324">
        <f t="shared" si="966"/>
        <v>-109193269.96720299</v>
      </c>
      <c r="S324">
        <f t="shared" si="967"/>
        <v>-1091.9326996720299</v>
      </c>
      <c r="T324">
        <f t="shared" si="968"/>
        <v>-1.09193269967203</v>
      </c>
    </row>
    <row r="325" spans="1:20" x14ac:dyDescent="0.25">
      <c r="A325" s="5">
        <v>44268</v>
      </c>
      <c r="B325">
        <v>0.28339999999999999</v>
      </c>
      <c r="C325">
        <v>0.30840000000000001</v>
      </c>
      <c r="D325">
        <v>0.27489999999999998</v>
      </c>
      <c r="E325">
        <v>0.28820000000000001</v>
      </c>
      <c r="F325">
        <v>12473926.300000001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-0.20597014925373003</v>
      </c>
      <c r="Q325">
        <f t="shared" si="965"/>
        <v>-2569256.4617910287</v>
      </c>
      <c r="R325">
        <f t="shared" si="966"/>
        <v>-104554609.02264298</v>
      </c>
      <c r="S325">
        <f t="shared" si="967"/>
        <v>-1045.5460902264299</v>
      </c>
      <c r="T325">
        <f t="shared" si="968"/>
        <v>-1.04554609022643</v>
      </c>
    </row>
    <row r="326" spans="1:20" x14ac:dyDescent="0.25">
      <c r="A326" s="5">
        <v>44267</v>
      </c>
      <c r="B326">
        <v>0.2959</v>
      </c>
      <c r="C326">
        <v>0.30209999999999998</v>
      </c>
      <c r="D326">
        <v>0.2752</v>
      </c>
      <c r="E326">
        <v>0.28260000000000002</v>
      </c>
      <c r="F326">
        <v>12303240.98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-0.44981412639405033</v>
      </c>
      <c r="Q326">
        <f t="shared" ref="Q326:Q389" si="970">F326*P326</f>
        <v>-5534171.5932341795</v>
      </c>
      <c r="R326">
        <f t="shared" ref="R326:R389" si="971">R327+Q326</f>
        <v>-101985352.56085196</v>
      </c>
      <c r="S326">
        <f t="shared" ref="S326:S389" si="972">R326/100000</f>
        <v>-1019.8535256085196</v>
      </c>
      <c r="T326">
        <f t="shared" ref="T326:T389" si="973">S326/1000</f>
        <v>-1.0198535256085195</v>
      </c>
    </row>
    <row r="327" spans="1:20" x14ac:dyDescent="0.25">
      <c r="A327" s="5">
        <v>44266</v>
      </c>
      <c r="B327">
        <v>0.29220000000000002</v>
      </c>
      <c r="C327">
        <v>0.33739999999999998</v>
      </c>
      <c r="D327">
        <v>0.27389999999999998</v>
      </c>
      <c r="E327">
        <v>0.2954</v>
      </c>
      <c r="F327">
        <v>24443479.34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-0.32283464566929077</v>
      </c>
      <c r="Q327">
        <f t="shared" si="970"/>
        <v>-7891201.991653529</v>
      </c>
      <c r="R327">
        <f t="shared" si="971"/>
        <v>-96451180.96761778</v>
      </c>
      <c r="S327">
        <f t="shared" si="972"/>
        <v>-964.51180967617779</v>
      </c>
      <c r="T327">
        <f t="shared" si="973"/>
        <v>-0.96451180967617778</v>
      </c>
    </row>
    <row r="328" spans="1:20" x14ac:dyDescent="0.25">
      <c r="A328" s="5">
        <v>44265</v>
      </c>
      <c r="B328">
        <v>0.28420000000000001</v>
      </c>
      <c r="C328">
        <v>0.30880000000000002</v>
      </c>
      <c r="D328">
        <v>0.26419999999999999</v>
      </c>
      <c r="E328">
        <v>0.29160000000000003</v>
      </c>
      <c r="F328">
        <v>23751963.239999998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0.22869955156950753</v>
      </c>
      <c r="Q328">
        <f t="shared" si="970"/>
        <v>5432063.3418834265</v>
      </c>
      <c r="R328">
        <f t="shared" si="971"/>
        <v>-88559978.975964248</v>
      </c>
      <c r="S328">
        <f t="shared" si="972"/>
        <v>-885.59978975964248</v>
      </c>
      <c r="T328">
        <f t="shared" si="973"/>
        <v>-0.88559978975964249</v>
      </c>
    </row>
    <row r="329" spans="1:20" x14ac:dyDescent="0.25">
      <c r="A329" s="5">
        <v>44264</v>
      </c>
      <c r="B329">
        <v>0.29320000000000002</v>
      </c>
      <c r="C329">
        <v>0.30399999999999999</v>
      </c>
      <c r="D329">
        <v>0.26939999999999997</v>
      </c>
      <c r="E329">
        <v>0.28549999999999998</v>
      </c>
      <c r="F329">
        <v>25890252.890000001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-6.9364161849711323E-2</v>
      </c>
      <c r="Q329">
        <f t="shared" si="970"/>
        <v>-1795855.6917919163</v>
      </c>
      <c r="R329">
        <f t="shared" si="971"/>
        <v>-93992042.317847669</v>
      </c>
      <c r="S329">
        <f t="shared" si="972"/>
        <v>-939.92042317847665</v>
      </c>
      <c r="T329">
        <f t="shared" si="973"/>
        <v>-0.93992042317847668</v>
      </c>
    </row>
    <row r="330" spans="1:20" x14ac:dyDescent="0.25">
      <c r="A330" s="5">
        <v>44263</v>
      </c>
      <c r="B330">
        <v>0.2447</v>
      </c>
      <c r="C330">
        <v>0.31900000000000001</v>
      </c>
      <c r="D330">
        <v>0.2419</v>
      </c>
      <c r="E330">
        <v>0.29339999999999999</v>
      </c>
      <c r="F330">
        <v>43293455.640000001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0.33592736705577142</v>
      </c>
      <c r="Q330">
        <f t="shared" si="970"/>
        <v>14543456.563891038</v>
      </c>
      <c r="R330">
        <f t="shared" si="971"/>
        <v>-92196186.626055747</v>
      </c>
      <c r="S330">
        <f t="shared" si="972"/>
        <v>-921.96186626055749</v>
      </c>
      <c r="T330">
        <f t="shared" si="973"/>
        <v>-0.92196186626055754</v>
      </c>
    </row>
    <row r="331" spans="1:20" x14ac:dyDescent="0.25">
      <c r="A331" s="5">
        <v>44262</v>
      </c>
      <c r="B331">
        <v>0.25580000000000003</v>
      </c>
      <c r="C331">
        <v>0.25840000000000002</v>
      </c>
      <c r="D331">
        <v>0.2387</v>
      </c>
      <c r="E331">
        <v>0.2442</v>
      </c>
      <c r="F331">
        <v>12317159.4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-0.44162436548223366</v>
      </c>
      <c r="Q331">
        <f t="shared" si="970"/>
        <v>-5439557.7045685304</v>
      </c>
      <c r="R331">
        <f t="shared" si="971"/>
        <v>-106739643.18994679</v>
      </c>
      <c r="S331">
        <f t="shared" si="972"/>
        <v>-1067.3964318994679</v>
      </c>
      <c r="T331">
        <f t="shared" si="973"/>
        <v>-1.067396431899468</v>
      </c>
    </row>
    <row r="332" spans="1:20" x14ac:dyDescent="0.25">
      <c r="A332" s="5">
        <v>44261</v>
      </c>
      <c r="B332">
        <v>0.23039999999999999</v>
      </c>
      <c r="C332">
        <v>0.26379999999999998</v>
      </c>
      <c r="D332">
        <v>0.22370000000000001</v>
      </c>
      <c r="E332">
        <v>0.25540000000000002</v>
      </c>
      <c r="F332">
        <v>21135900.379999999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0.58104738154613622</v>
      </c>
      <c r="Q332">
        <f t="shared" si="970"/>
        <v>12280959.572418984</v>
      </c>
      <c r="R332">
        <f t="shared" si="971"/>
        <v>-101300085.48537825</v>
      </c>
      <c r="S332">
        <f t="shared" si="972"/>
        <v>-1013.0008548537825</v>
      </c>
      <c r="T332">
        <f t="shared" si="973"/>
        <v>-1.0130008548537826</v>
      </c>
    </row>
    <row r="333" spans="1:20" x14ac:dyDescent="0.25">
      <c r="A333" s="5">
        <v>44260</v>
      </c>
      <c r="B333">
        <v>0.23119999999999999</v>
      </c>
      <c r="C333">
        <v>0.23599999999999999</v>
      </c>
      <c r="D333">
        <v>0.21379999999999999</v>
      </c>
      <c r="E333">
        <v>0.2303</v>
      </c>
      <c r="F333">
        <v>9297749.5399999991</v>
      </c>
      <c r="G333">
        <v>0</v>
      </c>
      <c r="L333" t="s">
        <v>8</v>
      </c>
      <c r="M333" t="s">
        <v>7</v>
      </c>
      <c r="N333" t="s">
        <v>8</v>
      </c>
      <c r="P333">
        <f t="shared" si="969"/>
        <v>0.48648648648648796</v>
      </c>
      <c r="Q333">
        <f t="shared" si="970"/>
        <v>4523229.5059459591</v>
      </c>
      <c r="R333">
        <f t="shared" si="971"/>
        <v>-113581045.05779724</v>
      </c>
      <c r="S333">
        <f t="shared" si="972"/>
        <v>-1135.8104505779725</v>
      </c>
      <c r="T333">
        <f t="shared" si="973"/>
        <v>-1.1358104505779725</v>
      </c>
    </row>
    <row r="334" spans="1:20" x14ac:dyDescent="0.25">
      <c r="A334" s="5">
        <v>44259</v>
      </c>
      <c r="B334">
        <v>0.2389</v>
      </c>
      <c r="C334">
        <v>0.247</v>
      </c>
      <c r="D334">
        <v>0.21379999999999999</v>
      </c>
      <c r="E334">
        <v>0.23039999999999999</v>
      </c>
      <c r="F334">
        <v>13790775.789999999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0</v>
      </c>
      <c r="Q334">
        <f t="shared" si="970"/>
        <v>0</v>
      </c>
      <c r="R334">
        <f t="shared" si="971"/>
        <v>-118104274.5637432</v>
      </c>
      <c r="S334">
        <f t="shared" si="972"/>
        <v>-1181.0427456374321</v>
      </c>
      <c r="T334">
        <f t="shared" si="973"/>
        <v>-1.1810427456374322</v>
      </c>
    </row>
    <row r="335" spans="1:20" x14ac:dyDescent="0.25">
      <c r="A335" s="5">
        <v>44258</v>
      </c>
      <c r="B335">
        <v>0.2432</v>
      </c>
      <c r="C335">
        <v>0.25209999999999999</v>
      </c>
      <c r="D335">
        <v>0.2303</v>
      </c>
      <c r="E335">
        <v>0.2389</v>
      </c>
      <c r="F335">
        <v>12274033.41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-0.21100917431192642</v>
      </c>
      <c r="Q335">
        <f t="shared" si="970"/>
        <v>-2589933.6553210989</v>
      </c>
      <c r="R335">
        <f t="shared" si="971"/>
        <v>-118104274.5637432</v>
      </c>
      <c r="S335">
        <f t="shared" si="972"/>
        <v>-1181.0427456374321</v>
      </c>
      <c r="T335">
        <f t="shared" si="973"/>
        <v>-1.1810427456374322</v>
      </c>
    </row>
    <row r="336" spans="1:20" x14ac:dyDescent="0.25">
      <c r="A336" s="5">
        <v>44257</v>
      </c>
      <c r="B336">
        <v>0.23419999999999999</v>
      </c>
      <c r="C336">
        <v>0.26190000000000002</v>
      </c>
      <c r="D336">
        <v>0.22159999999999999</v>
      </c>
      <c r="E336">
        <v>0.2432</v>
      </c>
      <c r="F336">
        <v>23088903.199999999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7.1960297766748976E-2</v>
      </c>
      <c r="Q336">
        <f t="shared" si="970"/>
        <v>1661484.3493796433</v>
      </c>
      <c r="R336">
        <f t="shared" si="971"/>
        <v>-115514340.9084221</v>
      </c>
      <c r="S336">
        <f t="shared" si="972"/>
        <v>-1155.143409084221</v>
      </c>
      <c r="T336">
        <f t="shared" si="973"/>
        <v>-1.155143409084221</v>
      </c>
    </row>
    <row r="337" spans="1:20" x14ac:dyDescent="0.25">
      <c r="A337" s="5">
        <v>44256</v>
      </c>
      <c r="B337">
        <v>0.1905</v>
      </c>
      <c r="C337">
        <v>0.25209999999999999</v>
      </c>
      <c r="D337">
        <v>0.1893</v>
      </c>
      <c r="E337">
        <v>0.2331</v>
      </c>
      <c r="F337">
        <v>19350652.52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0.39490445859872642</v>
      </c>
      <c r="Q337">
        <f t="shared" si="970"/>
        <v>7641658.9569426812</v>
      </c>
      <c r="R337">
        <f t="shared" si="971"/>
        <v>-117175825.25780174</v>
      </c>
      <c r="S337">
        <f t="shared" si="972"/>
        <v>-1171.7582525780174</v>
      </c>
      <c r="T337">
        <f t="shared" si="973"/>
        <v>-1.1717582525780175</v>
      </c>
    </row>
    <row r="338" spans="1:20" x14ac:dyDescent="0.25">
      <c r="A338" s="5">
        <v>44255</v>
      </c>
      <c r="B338">
        <v>0.20610000000000001</v>
      </c>
      <c r="C338">
        <v>0.21709999999999999</v>
      </c>
      <c r="D338">
        <v>0.17680000000000001</v>
      </c>
      <c r="E338">
        <v>0.19009999999999999</v>
      </c>
      <c r="F338">
        <v>12644388.18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-0.33995037220843738</v>
      </c>
      <c r="Q338">
        <f t="shared" si="970"/>
        <v>-4298464.4681389658</v>
      </c>
      <c r="R338">
        <f t="shared" si="971"/>
        <v>-124817484.21474442</v>
      </c>
      <c r="S338">
        <f t="shared" si="972"/>
        <v>-1248.1748421474442</v>
      </c>
      <c r="T338">
        <f t="shared" si="973"/>
        <v>-1.2481748421474441</v>
      </c>
    </row>
    <row r="339" spans="1:20" x14ac:dyDescent="0.25">
      <c r="A339" s="5">
        <v>44254</v>
      </c>
      <c r="B339">
        <v>0.21049999999999999</v>
      </c>
      <c r="C339">
        <v>0.21779999999999999</v>
      </c>
      <c r="D339">
        <v>0.19889999999999999</v>
      </c>
      <c r="E339">
        <v>0.20300000000000001</v>
      </c>
      <c r="F339">
        <v>7215548.1399999997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-0.56613756613756394</v>
      </c>
      <c r="Q339">
        <f t="shared" si="970"/>
        <v>-4084992.8623280264</v>
      </c>
      <c r="R339">
        <f t="shared" si="971"/>
        <v>-120519019.74660546</v>
      </c>
      <c r="S339">
        <f t="shared" si="972"/>
        <v>-1205.1901974660545</v>
      </c>
      <c r="T339">
        <f t="shared" si="973"/>
        <v>-1.2051901974660546</v>
      </c>
    </row>
    <row r="340" spans="1:20" x14ac:dyDescent="0.25">
      <c r="A340" s="5">
        <v>44253</v>
      </c>
      <c r="B340">
        <v>0.22140000000000001</v>
      </c>
      <c r="C340">
        <v>0.23219999999999999</v>
      </c>
      <c r="D340">
        <v>0.19</v>
      </c>
      <c r="E340">
        <v>0.2104</v>
      </c>
      <c r="F340">
        <v>16032769.76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-3.3175355450236609E-2</v>
      </c>
      <c r="Q340">
        <f t="shared" si="970"/>
        <v>-531892.83563980472</v>
      </c>
      <c r="R340">
        <f t="shared" si="971"/>
        <v>-116434026.88427743</v>
      </c>
      <c r="S340">
        <f t="shared" si="972"/>
        <v>-1164.3402688427743</v>
      </c>
      <c r="T340">
        <f t="shared" si="973"/>
        <v>-1.1643402688427744</v>
      </c>
    </row>
    <row r="341" spans="1:20" x14ac:dyDescent="0.25">
      <c r="A341" s="5">
        <v>44252</v>
      </c>
      <c r="B341">
        <v>0.2409</v>
      </c>
      <c r="C341">
        <v>0.27300000000000002</v>
      </c>
      <c r="D341">
        <v>0.22009999999999999</v>
      </c>
      <c r="E341">
        <v>0.22140000000000001</v>
      </c>
      <c r="F341">
        <v>27309781.920000002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-0.95085066162570808</v>
      </c>
      <c r="Q341">
        <f t="shared" si="970"/>
        <v>-25967524.207485802</v>
      </c>
      <c r="R341">
        <f t="shared" si="971"/>
        <v>-115902134.04863763</v>
      </c>
      <c r="S341">
        <f t="shared" si="972"/>
        <v>-1159.0213404863762</v>
      </c>
      <c r="T341">
        <f t="shared" si="973"/>
        <v>-1.1590213404863763</v>
      </c>
    </row>
    <row r="342" spans="1:20" x14ac:dyDescent="0.25">
      <c r="A342" s="5">
        <v>44251</v>
      </c>
      <c r="B342">
        <v>0.18640000000000001</v>
      </c>
      <c r="C342">
        <v>0.28000000000000003</v>
      </c>
      <c r="D342">
        <v>0.17430000000000001</v>
      </c>
      <c r="E342">
        <v>0.24049999999999999</v>
      </c>
      <c r="F342">
        <v>51797246.380000003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0.25260170293282819</v>
      </c>
      <c r="Q342">
        <f t="shared" si="970"/>
        <v>13084072.64281927</v>
      </c>
      <c r="R342">
        <f t="shared" si="971"/>
        <v>-89934609.841151819</v>
      </c>
      <c r="S342">
        <f t="shared" si="972"/>
        <v>-899.34609841151814</v>
      </c>
      <c r="T342">
        <f t="shared" si="973"/>
        <v>-0.89934609841151814</v>
      </c>
    </row>
    <row r="343" spans="1:20" x14ac:dyDescent="0.25">
      <c r="A343" s="5">
        <v>44250</v>
      </c>
      <c r="B343">
        <v>0.24529999999999999</v>
      </c>
      <c r="C343">
        <v>0.2475</v>
      </c>
      <c r="D343">
        <v>0.1522</v>
      </c>
      <c r="E343">
        <v>0.18640000000000001</v>
      </c>
      <c r="F343">
        <v>21117333.309999999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-0.28226652675760733</v>
      </c>
      <c r="Q343">
        <f t="shared" si="970"/>
        <v>-5960716.3277964275</v>
      </c>
      <c r="R343">
        <f t="shared" si="971"/>
        <v>-103018682.48397109</v>
      </c>
      <c r="S343">
        <f t="shared" si="972"/>
        <v>-1030.1868248397109</v>
      </c>
      <c r="T343">
        <f t="shared" si="973"/>
        <v>-1.0301868248397108</v>
      </c>
    </row>
    <row r="344" spans="1:20" x14ac:dyDescent="0.25">
      <c r="A344" s="5">
        <v>44249</v>
      </c>
      <c r="B344">
        <v>0.24709999999999999</v>
      </c>
      <c r="C344">
        <v>0.26579999999999998</v>
      </c>
      <c r="D344">
        <v>0.1782</v>
      </c>
      <c r="E344">
        <v>0.2455</v>
      </c>
      <c r="F344">
        <v>20813481.09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0.53652968036529702</v>
      </c>
      <c r="Q344">
        <f t="shared" si="970"/>
        <v>11167050.356506854</v>
      </c>
      <c r="R344">
        <f t="shared" si="971"/>
        <v>-97057966.15617466</v>
      </c>
      <c r="S344">
        <f t="shared" si="972"/>
        <v>-970.57966156174655</v>
      </c>
      <c r="T344">
        <f t="shared" si="973"/>
        <v>-0.97057966156174658</v>
      </c>
    </row>
    <row r="345" spans="1:20" x14ac:dyDescent="0.25">
      <c r="A345" s="5">
        <v>44248</v>
      </c>
      <c r="B345">
        <v>0.22509999999999999</v>
      </c>
      <c r="C345">
        <v>0.2626</v>
      </c>
      <c r="D345">
        <v>0.2203</v>
      </c>
      <c r="E345">
        <v>0.24590000000000001</v>
      </c>
      <c r="F345">
        <v>13179071.83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0.2104018912529555</v>
      </c>
      <c r="Q345">
        <f t="shared" si="970"/>
        <v>2772901.6379905492</v>
      </c>
      <c r="R345">
        <f t="shared" si="971"/>
        <v>-108225016.51268151</v>
      </c>
      <c r="S345">
        <f t="shared" si="972"/>
        <v>-1082.2501651268151</v>
      </c>
      <c r="T345">
        <f t="shared" si="973"/>
        <v>-1.082250165126815</v>
      </c>
    </row>
    <row r="346" spans="1:20" x14ac:dyDescent="0.25">
      <c r="A346" s="5">
        <v>44247</v>
      </c>
      <c r="B346">
        <v>0.23</v>
      </c>
      <c r="C346">
        <v>0.2555</v>
      </c>
      <c r="D346">
        <v>0.21829999999999999</v>
      </c>
      <c r="E346">
        <v>0.22470000000000001</v>
      </c>
      <c r="F346">
        <v>12994879.66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-0.65591397849462285</v>
      </c>
      <c r="Q346">
        <f t="shared" si="970"/>
        <v>-8523523.217849452</v>
      </c>
      <c r="R346">
        <f t="shared" si="971"/>
        <v>-110997918.15067206</v>
      </c>
      <c r="S346">
        <f t="shared" si="972"/>
        <v>-1109.9791815067206</v>
      </c>
      <c r="T346">
        <f t="shared" si="973"/>
        <v>-1.1099791815067206</v>
      </c>
    </row>
    <row r="347" spans="1:20" x14ac:dyDescent="0.25">
      <c r="A347" s="5">
        <v>44246</v>
      </c>
      <c r="B347">
        <v>0.248</v>
      </c>
      <c r="C347">
        <v>0.2555</v>
      </c>
      <c r="D347">
        <v>0.2162</v>
      </c>
      <c r="E347">
        <v>0.23</v>
      </c>
      <c r="F347">
        <v>20013728.690000001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-0.2977099236641218</v>
      </c>
      <c r="Q347">
        <f t="shared" si="970"/>
        <v>-5958285.6405343451</v>
      </c>
      <c r="R347">
        <f t="shared" si="971"/>
        <v>-102474394.93282261</v>
      </c>
      <c r="S347">
        <f t="shared" si="972"/>
        <v>-1024.7439493282261</v>
      </c>
      <c r="T347">
        <f t="shared" si="973"/>
        <v>-1.0247439493282262</v>
      </c>
    </row>
    <row r="348" spans="1:20" x14ac:dyDescent="0.25">
      <c r="A348" s="5">
        <v>44245</v>
      </c>
      <c r="B348">
        <v>0.2145</v>
      </c>
      <c r="C348">
        <v>0.27</v>
      </c>
      <c r="D348">
        <v>0.214</v>
      </c>
      <c r="E348">
        <v>0.24759999999999999</v>
      </c>
      <c r="F348">
        <v>24625123.390000001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0.19999999999999921</v>
      </c>
      <c r="Q348">
        <f t="shared" si="970"/>
        <v>4925024.6779999807</v>
      </c>
      <c r="R348">
        <f t="shared" si="971"/>
        <v>-96516109.292288274</v>
      </c>
      <c r="S348">
        <f t="shared" si="972"/>
        <v>-965.16109292288274</v>
      </c>
      <c r="T348">
        <f t="shared" si="973"/>
        <v>-0.96516109292288277</v>
      </c>
    </row>
    <row r="349" spans="1:20" x14ac:dyDescent="0.25">
      <c r="A349" s="5">
        <v>44244</v>
      </c>
      <c r="B349">
        <v>0.21909999999999999</v>
      </c>
      <c r="C349">
        <v>0.2276</v>
      </c>
      <c r="D349">
        <v>0.19869999999999999</v>
      </c>
      <c r="E349">
        <v>0.2142</v>
      </c>
      <c r="F349">
        <v>15609472.51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7.2664359861592309E-2</v>
      </c>
      <c r="Q349">
        <f t="shared" si="970"/>
        <v>1134252.3277162726</v>
      </c>
      <c r="R349">
        <f t="shared" si="971"/>
        <v>-101441133.97028825</v>
      </c>
      <c r="S349">
        <f t="shared" si="972"/>
        <v>-1014.4113397028825</v>
      </c>
      <c r="T349">
        <f t="shared" si="973"/>
        <v>-1.0144113397028824</v>
      </c>
    </row>
    <row r="350" spans="1:20" x14ac:dyDescent="0.25">
      <c r="A350" s="5">
        <v>44243</v>
      </c>
      <c r="B350">
        <v>0.17480000000000001</v>
      </c>
      <c r="C350">
        <v>0.22750000000000001</v>
      </c>
      <c r="D350">
        <v>0.1736</v>
      </c>
      <c r="E350">
        <v>0.21909999999999999</v>
      </c>
      <c r="F350">
        <v>57540441.369999997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0.68831168831168765</v>
      </c>
      <c r="Q350">
        <f t="shared" si="970"/>
        <v>39605758.345584378</v>
      </c>
      <c r="R350">
        <f t="shared" si="971"/>
        <v>-102575386.29800452</v>
      </c>
      <c r="S350">
        <f t="shared" si="972"/>
        <v>-1025.7538629800451</v>
      </c>
      <c r="T350">
        <f t="shared" si="973"/>
        <v>-1.0257538629800451</v>
      </c>
    </row>
    <row r="351" spans="1:20" x14ac:dyDescent="0.25">
      <c r="A351" s="5">
        <v>44242</v>
      </c>
      <c r="B351">
        <v>0.19</v>
      </c>
      <c r="C351">
        <v>0.2</v>
      </c>
      <c r="D351">
        <v>0.14530000000000001</v>
      </c>
      <c r="E351">
        <v>0.17469999999999999</v>
      </c>
      <c r="F351">
        <v>13414013.67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7.4954296160876871E-2</v>
      </c>
      <c r="Q351">
        <f t="shared" si="970"/>
        <v>1005437.9533272309</v>
      </c>
      <c r="R351">
        <f t="shared" si="971"/>
        <v>-142181144.6435889</v>
      </c>
      <c r="S351">
        <f t="shared" si="972"/>
        <v>-1421.8114464358889</v>
      </c>
      <c r="T351">
        <f t="shared" si="973"/>
        <v>-1.4218114464358889</v>
      </c>
    </row>
    <row r="352" spans="1:20" x14ac:dyDescent="0.25">
      <c r="A352" s="5">
        <v>44241</v>
      </c>
      <c r="B352">
        <v>0.18340000000000001</v>
      </c>
      <c r="C352">
        <v>0.2114</v>
      </c>
      <c r="D352">
        <v>0.17150000000000001</v>
      </c>
      <c r="E352">
        <v>0.191</v>
      </c>
      <c r="F352">
        <v>20354715.879999999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-2.2556390977443913E-2</v>
      </c>
      <c r="Q352">
        <f t="shared" si="970"/>
        <v>-459128.92962406634</v>
      </c>
      <c r="R352">
        <f t="shared" si="971"/>
        <v>-143186582.59691614</v>
      </c>
      <c r="S352">
        <f t="shared" si="972"/>
        <v>-1431.8658259691613</v>
      </c>
      <c r="T352">
        <f t="shared" si="973"/>
        <v>-1.4318658259691612</v>
      </c>
    </row>
    <row r="353" spans="1:20" x14ac:dyDescent="0.25">
      <c r="A353" s="5">
        <v>44240</v>
      </c>
      <c r="B353">
        <v>0.1875</v>
      </c>
      <c r="C353">
        <v>0.20250000000000001</v>
      </c>
      <c r="D353">
        <v>0.1595</v>
      </c>
      <c r="E353">
        <v>0.1835</v>
      </c>
      <c r="F353">
        <v>23054465.649999999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0.11627906976744129</v>
      </c>
      <c r="Q353">
        <f t="shared" si="970"/>
        <v>2680751.8197674286</v>
      </c>
      <c r="R353">
        <f t="shared" si="971"/>
        <v>-142727453.66729206</v>
      </c>
      <c r="S353">
        <f t="shared" si="972"/>
        <v>-1427.2745366729205</v>
      </c>
      <c r="T353">
        <f t="shared" si="973"/>
        <v>-1.4272745366729205</v>
      </c>
    </row>
    <row r="354" spans="1:20" x14ac:dyDescent="0.25">
      <c r="A354" s="5">
        <v>44239</v>
      </c>
      <c r="B354">
        <v>0.1605</v>
      </c>
      <c r="C354">
        <v>0.19570000000000001</v>
      </c>
      <c r="D354">
        <v>0.14910000000000001</v>
      </c>
      <c r="E354">
        <v>0.187</v>
      </c>
      <c r="F354">
        <v>24660134.050000001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0.62660944206008529</v>
      </c>
      <c r="Q354">
        <f t="shared" si="970"/>
        <v>15452272.838197412</v>
      </c>
      <c r="R354">
        <f t="shared" si="971"/>
        <v>-145408205.48705947</v>
      </c>
      <c r="S354">
        <f t="shared" si="972"/>
        <v>-1454.0820548705947</v>
      </c>
      <c r="T354">
        <f t="shared" si="973"/>
        <v>-1.4540820548705946</v>
      </c>
    </row>
    <row r="355" spans="1:20" x14ac:dyDescent="0.25">
      <c r="A355" s="5">
        <v>44238</v>
      </c>
      <c r="B355">
        <v>0.14269999999999999</v>
      </c>
      <c r="C355">
        <v>0.18</v>
      </c>
      <c r="D355">
        <v>0.13700000000000001</v>
      </c>
      <c r="E355">
        <v>0.1605</v>
      </c>
      <c r="F355">
        <v>37850047.289999999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9.3023255813953612E-2</v>
      </c>
      <c r="Q355">
        <f t="shared" si="970"/>
        <v>3520934.6316279117</v>
      </c>
      <c r="R355">
        <f t="shared" si="971"/>
        <v>-160860478.32525688</v>
      </c>
      <c r="S355">
        <f t="shared" si="972"/>
        <v>-1608.604783252569</v>
      </c>
      <c r="T355">
        <f t="shared" si="973"/>
        <v>-1.6086047832525689</v>
      </c>
    </row>
    <row r="356" spans="1:20" x14ac:dyDescent="0.25">
      <c r="A356" s="5">
        <v>44237</v>
      </c>
      <c r="B356">
        <v>0.123</v>
      </c>
      <c r="C356">
        <v>0.15379999999999999</v>
      </c>
      <c r="D356">
        <v>0.11119999999999999</v>
      </c>
      <c r="E356">
        <v>0.14369999999999999</v>
      </c>
      <c r="F356">
        <v>34378782.969999999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0.5258215962441315</v>
      </c>
      <c r="Q356">
        <f t="shared" si="970"/>
        <v>18077106.538215965</v>
      </c>
      <c r="R356">
        <f t="shared" si="971"/>
        <v>-164381412.9568848</v>
      </c>
      <c r="S356">
        <f t="shared" si="972"/>
        <v>-1643.8141295688481</v>
      </c>
      <c r="T356">
        <f t="shared" si="973"/>
        <v>-1.6438141295688482</v>
      </c>
    </row>
    <row r="357" spans="1:20" x14ac:dyDescent="0.25">
      <c r="A357" s="5">
        <v>44236</v>
      </c>
      <c r="B357">
        <v>9.8799999999999999E-2</v>
      </c>
      <c r="C357">
        <v>0.12590000000000001</v>
      </c>
      <c r="D357">
        <v>9.5500000000000002E-2</v>
      </c>
      <c r="E357">
        <v>0.1227</v>
      </c>
      <c r="F357">
        <v>23781938.890000001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0.78947368421052588</v>
      </c>
      <c r="Q357">
        <f t="shared" si="970"/>
        <v>18775214.913157884</v>
      </c>
      <c r="R357">
        <f t="shared" si="971"/>
        <v>-182458519.49510077</v>
      </c>
      <c r="S357">
        <f t="shared" si="972"/>
        <v>-1824.5851949510077</v>
      </c>
      <c r="T357">
        <f t="shared" si="973"/>
        <v>-1.8245851949510077</v>
      </c>
    </row>
    <row r="358" spans="1:20" x14ac:dyDescent="0.25">
      <c r="A358" s="5">
        <v>44235</v>
      </c>
      <c r="B358">
        <v>0.10050000000000001</v>
      </c>
      <c r="C358">
        <v>0.10299999999999999</v>
      </c>
      <c r="D358">
        <v>9.4200000000000006E-2</v>
      </c>
      <c r="E358">
        <v>9.8799999999999999E-2</v>
      </c>
      <c r="F358">
        <v>16100371.5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4.5454545454545241E-2</v>
      </c>
      <c r="Q358">
        <f t="shared" si="970"/>
        <v>731835.06818181474</v>
      </c>
      <c r="R358">
        <f t="shared" si="971"/>
        <v>-201233734.40825865</v>
      </c>
      <c r="S358">
        <f t="shared" si="972"/>
        <v>-2012.3373440825865</v>
      </c>
      <c r="T358">
        <f t="shared" si="973"/>
        <v>-2.0123373440825865</v>
      </c>
    </row>
    <row r="359" spans="1:20" x14ac:dyDescent="0.25">
      <c r="A359" s="5">
        <v>44234</v>
      </c>
      <c r="B359">
        <v>8.9499999999999996E-2</v>
      </c>
      <c r="C359">
        <v>0.106</v>
      </c>
      <c r="D359">
        <v>8.8700000000000001E-2</v>
      </c>
      <c r="E359">
        <v>0.10050000000000001</v>
      </c>
      <c r="F359">
        <v>23420150.52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0.36416184971098353</v>
      </c>
      <c r="Q359">
        <f t="shared" si="970"/>
        <v>8528725.3338728528</v>
      </c>
      <c r="R359">
        <f t="shared" si="971"/>
        <v>-201965569.47644046</v>
      </c>
      <c r="S359">
        <f t="shared" si="972"/>
        <v>-2019.6556947644046</v>
      </c>
      <c r="T359">
        <f t="shared" si="973"/>
        <v>-2.0196556947644044</v>
      </c>
    </row>
    <row r="360" spans="1:20" x14ac:dyDescent="0.25">
      <c r="A360" s="5">
        <v>44233</v>
      </c>
      <c r="B360">
        <v>8.9399999999999993E-2</v>
      </c>
      <c r="C360">
        <v>9.35E-2</v>
      </c>
      <c r="D360">
        <v>8.2500000000000004E-2</v>
      </c>
      <c r="E360">
        <v>8.9800000000000005E-2</v>
      </c>
      <c r="F360">
        <v>15176906.6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0.32727272727272794</v>
      </c>
      <c r="Q360">
        <f t="shared" si="970"/>
        <v>4966987.6145454645</v>
      </c>
      <c r="R360">
        <f t="shared" si="971"/>
        <v>-210494294.81031331</v>
      </c>
      <c r="S360">
        <f t="shared" si="972"/>
        <v>-2104.9429481031329</v>
      </c>
      <c r="T360">
        <f t="shared" si="973"/>
        <v>-2.1049429481031328</v>
      </c>
    </row>
    <row r="361" spans="1:20" x14ac:dyDescent="0.25">
      <c r="A361" s="5">
        <v>44232</v>
      </c>
      <c r="B361">
        <v>8.3400000000000002E-2</v>
      </c>
      <c r="C361">
        <v>9.35E-2</v>
      </c>
      <c r="D361">
        <v>8.3000000000000004E-2</v>
      </c>
      <c r="E361">
        <v>8.9399999999999993E-2</v>
      </c>
      <c r="F361">
        <v>27167349.390000001</v>
      </c>
      <c r="G361">
        <v>0</v>
      </c>
      <c r="L361" t="s">
        <v>7</v>
      </c>
      <c r="M361" t="s">
        <v>8</v>
      </c>
      <c r="N361" t="s">
        <v>7</v>
      </c>
      <c r="P361">
        <f t="shared" si="969"/>
        <v>0.21904761904761749</v>
      </c>
      <c r="Q361">
        <f t="shared" si="970"/>
        <v>5950943.1997142434</v>
      </c>
      <c r="R361">
        <f t="shared" si="971"/>
        <v>-215461282.42485878</v>
      </c>
      <c r="S361">
        <f t="shared" si="972"/>
        <v>-2154.6128242485879</v>
      </c>
      <c r="T361">
        <f t="shared" si="973"/>
        <v>-2.1546128242485878</v>
      </c>
    </row>
    <row r="362" spans="1:20" x14ac:dyDescent="0.25">
      <c r="A362" s="5">
        <v>44231</v>
      </c>
      <c r="B362">
        <v>8.0500000000000002E-2</v>
      </c>
      <c r="C362">
        <v>9.3600000000000003E-2</v>
      </c>
      <c r="D362">
        <v>7.9100000000000004E-2</v>
      </c>
      <c r="E362">
        <v>8.3400000000000002E-2</v>
      </c>
      <c r="F362">
        <v>33743532.32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-0.40689655172413813</v>
      </c>
      <c r="Q362">
        <f t="shared" si="970"/>
        <v>-13730126.944000008</v>
      </c>
      <c r="R362">
        <f t="shared" si="971"/>
        <v>-221412225.62457302</v>
      </c>
      <c r="S362">
        <f t="shared" si="972"/>
        <v>-2214.1222562457301</v>
      </c>
      <c r="T362">
        <f t="shared" si="973"/>
        <v>-2.2141222562457301</v>
      </c>
    </row>
    <row r="363" spans="1:20" x14ac:dyDescent="0.25">
      <c r="A363" s="5">
        <v>44230</v>
      </c>
      <c r="B363">
        <v>7.3800000000000004E-2</v>
      </c>
      <c r="C363">
        <v>8.1299999999999997E-2</v>
      </c>
      <c r="D363">
        <v>7.3099999999999998E-2</v>
      </c>
      <c r="E363">
        <v>8.0500000000000002E-2</v>
      </c>
      <c r="F363">
        <v>14660724.5</v>
      </c>
      <c r="G363">
        <v>0</v>
      </c>
      <c r="L363" t="s">
        <v>8</v>
      </c>
      <c r="M363" t="s">
        <v>7</v>
      </c>
      <c r="N363" t="s">
        <v>7</v>
      </c>
      <c r="P363">
        <f t="shared" si="969"/>
        <v>0.80487804878048896</v>
      </c>
      <c r="Q363">
        <f t="shared" si="970"/>
        <v>11800095.32926831</v>
      </c>
      <c r="R363">
        <f t="shared" si="971"/>
        <v>-207682098.68057302</v>
      </c>
      <c r="S363">
        <f t="shared" si="972"/>
        <v>-2076.8209868057302</v>
      </c>
      <c r="T363">
        <f t="shared" si="973"/>
        <v>-2.0768209868057301</v>
      </c>
    </row>
    <row r="364" spans="1:20" x14ac:dyDescent="0.25">
      <c r="A364" s="5">
        <v>44229</v>
      </c>
      <c r="B364">
        <v>7.4300000000000005E-2</v>
      </c>
      <c r="C364">
        <v>7.5800000000000006E-2</v>
      </c>
      <c r="D364">
        <v>6.9800000000000001E-2</v>
      </c>
      <c r="E364">
        <v>7.3800000000000004E-2</v>
      </c>
      <c r="F364">
        <v>12154581.550000001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0.33333333333333331</v>
      </c>
      <c r="Q364">
        <f t="shared" si="970"/>
        <v>4051527.1833333336</v>
      </c>
      <c r="R364">
        <f t="shared" si="971"/>
        <v>-219482194.00984132</v>
      </c>
      <c r="S364">
        <f t="shared" si="972"/>
        <v>-2194.8219400984131</v>
      </c>
      <c r="T364">
        <f t="shared" si="973"/>
        <v>-2.194821940098413</v>
      </c>
    </row>
    <row r="365" spans="1:20" x14ac:dyDescent="0.25">
      <c r="A365" s="5">
        <v>44228</v>
      </c>
      <c r="B365">
        <v>7.2400000000000006E-2</v>
      </c>
      <c r="C365">
        <v>7.5399999999999995E-2</v>
      </c>
      <c r="D365">
        <v>6.9699999999999998E-2</v>
      </c>
      <c r="E365">
        <v>7.4499999999999997E-2</v>
      </c>
      <c r="F365">
        <v>19117257.09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0.68421052631578994</v>
      </c>
      <c r="Q365">
        <f t="shared" si="970"/>
        <v>13080228.535263166</v>
      </c>
      <c r="R365">
        <f t="shared" si="971"/>
        <v>-223533721.19317466</v>
      </c>
      <c r="S365">
        <f t="shared" si="972"/>
        <v>-2235.3372119317464</v>
      </c>
      <c r="T365">
        <f t="shared" si="973"/>
        <v>-2.2353372119317463</v>
      </c>
    </row>
    <row r="366" spans="1:20" x14ac:dyDescent="0.25">
      <c r="A366" s="5">
        <v>44227</v>
      </c>
      <c r="B366">
        <v>7.9100000000000004E-2</v>
      </c>
      <c r="C366">
        <v>0.1038</v>
      </c>
      <c r="D366">
        <v>7.1499999999999994E-2</v>
      </c>
      <c r="E366">
        <v>7.2300000000000003E-2</v>
      </c>
      <c r="F366">
        <v>79198584.659999996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-0.95046439628482915</v>
      </c>
      <c r="Q366">
        <f t="shared" si="970"/>
        <v>-75275434.955479831</v>
      </c>
      <c r="R366">
        <f t="shared" si="971"/>
        <v>-236613949.72843781</v>
      </c>
      <c r="S366">
        <f t="shared" si="972"/>
        <v>-2366.1394972843782</v>
      </c>
      <c r="T366">
        <f t="shared" si="973"/>
        <v>-2.3661394972843781</v>
      </c>
    </row>
    <row r="367" spans="1:20" x14ac:dyDescent="0.25">
      <c r="A367" s="5">
        <v>44226</v>
      </c>
      <c r="B367">
        <v>7.0300000000000001E-2</v>
      </c>
      <c r="C367">
        <v>7.9699999999999993E-2</v>
      </c>
      <c r="D367">
        <v>6.6500000000000004E-2</v>
      </c>
      <c r="E367">
        <v>7.9100000000000004E-2</v>
      </c>
      <c r="F367">
        <v>15001696.76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0.90909090909091061</v>
      </c>
      <c r="Q367">
        <f t="shared" si="970"/>
        <v>13637906.145454569</v>
      </c>
      <c r="R367">
        <f t="shared" si="971"/>
        <v>-161338514.77295798</v>
      </c>
      <c r="S367">
        <f t="shared" si="972"/>
        <v>-1613.3851477295798</v>
      </c>
      <c r="T367">
        <f t="shared" si="973"/>
        <v>-1.6133851477295797</v>
      </c>
    </row>
    <row r="368" spans="1:20" x14ac:dyDescent="0.25">
      <c r="A368" s="5">
        <v>44225</v>
      </c>
      <c r="B368">
        <v>6.6199999999999995E-2</v>
      </c>
      <c r="C368">
        <v>7.0800000000000002E-2</v>
      </c>
      <c r="D368">
        <v>6.3899999999999998E-2</v>
      </c>
      <c r="E368">
        <v>7.0199999999999999E-2</v>
      </c>
      <c r="F368">
        <v>12607440.189999999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0.82608695652173825</v>
      </c>
      <c r="Q368">
        <f t="shared" si="970"/>
        <v>10414841.896086944</v>
      </c>
      <c r="R368">
        <f t="shared" si="971"/>
        <v>-174976420.91841254</v>
      </c>
      <c r="S368">
        <f t="shared" si="972"/>
        <v>-1749.7642091841253</v>
      </c>
      <c r="T368">
        <f t="shared" si="973"/>
        <v>-1.7497642091841252</v>
      </c>
    </row>
    <row r="369" spans="1:20" x14ac:dyDescent="0.25">
      <c r="A369" s="5">
        <v>44224</v>
      </c>
      <c r="B369">
        <v>6.1400000000000003E-2</v>
      </c>
      <c r="C369">
        <v>6.9400000000000003E-2</v>
      </c>
      <c r="D369">
        <v>5.9799999999999999E-2</v>
      </c>
      <c r="E369">
        <v>6.6199999999999995E-2</v>
      </c>
      <c r="F369">
        <v>8706174.9700000007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0.33333333333333187</v>
      </c>
      <c r="Q369">
        <f t="shared" si="970"/>
        <v>2902058.3233333207</v>
      </c>
      <c r="R369">
        <f t="shared" si="971"/>
        <v>-185391262.81449947</v>
      </c>
      <c r="S369">
        <f t="shared" si="972"/>
        <v>-1853.9126281449946</v>
      </c>
      <c r="T369">
        <f t="shared" si="973"/>
        <v>-1.8539126281449947</v>
      </c>
    </row>
    <row r="370" spans="1:20" x14ac:dyDescent="0.25">
      <c r="A370" s="5">
        <v>44223</v>
      </c>
      <c r="B370">
        <v>6.8900000000000003E-2</v>
      </c>
      <c r="C370">
        <v>7.0199999999999999E-2</v>
      </c>
      <c r="D370">
        <v>5.91E-2</v>
      </c>
      <c r="E370">
        <v>6.1199999999999997E-2</v>
      </c>
      <c r="F370">
        <v>8143549.8700000001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-0.62162162162162204</v>
      </c>
      <c r="Q370">
        <f t="shared" si="970"/>
        <v>-5062206.6759459497</v>
      </c>
      <c r="R370">
        <f t="shared" si="971"/>
        <v>-188293321.13783279</v>
      </c>
      <c r="S370">
        <f t="shared" si="972"/>
        <v>-1882.933211378328</v>
      </c>
      <c r="T370">
        <f t="shared" si="973"/>
        <v>-1.8829332113783279</v>
      </c>
    </row>
    <row r="371" spans="1:20" x14ac:dyDescent="0.25">
      <c r="A371" s="5">
        <v>44222</v>
      </c>
      <c r="B371">
        <v>6.5100000000000005E-2</v>
      </c>
      <c r="C371">
        <v>7.0999999999999994E-2</v>
      </c>
      <c r="D371">
        <v>6.2199999999999998E-2</v>
      </c>
      <c r="E371">
        <v>6.9000000000000006E-2</v>
      </c>
      <c r="F371">
        <v>10579713.199999999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0.54545454545454797</v>
      </c>
      <c r="Q371">
        <f t="shared" si="970"/>
        <v>5770752.6545454804</v>
      </c>
      <c r="R371">
        <f t="shared" si="971"/>
        <v>-183231114.46188685</v>
      </c>
      <c r="S371">
        <f t="shared" si="972"/>
        <v>-1832.3111446188686</v>
      </c>
      <c r="T371">
        <f t="shared" si="973"/>
        <v>-1.8323111446188687</v>
      </c>
    </row>
    <row r="372" spans="1:20" x14ac:dyDescent="0.25">
      <c r="A372" s="5">
        <v>44221</v>
      </c>
      <c r="B372">
        <v>7.0499999999999993E-2</v>
      </c>
      <c r="C372">
        <v>7.3599999999999999E-2</v>
      </c>
      <c r="D372">
        <v>6.4100000000000004E-2</v>
      </c>
      <c r="E372">
        <v>6.5100000000000005E-2</v>
      </c>
      <c r="F372">
        <v>10325983.130000001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-0.78947368421052599</v>
      </c>
      <c r="Q372">
        <f t="shared" si="970"/>
        <v>-8152091.9447368393</v>
      </c>
      <c r="R372">
        <f t="shared" si="971"/>
        <v>-189001867.11643234</v>
      </c>
      <c r="S372">
        <f t="shared" si="972"/>
        <v>-1890.0186711643235</v>
      </c>
      <c r="T372">
        <f t="shared" si="973"/>
        <v>-1.8900186711643234</v>
      </c>
    </row>
    <row r="373" spans="1:20" x14ac:dyDescent="0.25">
      <c r="A373" s="5">
        <v>44220</v>
      </c>
      <c r="B373">
        <v>6.2799999999999995E-2</v>
      </c>
      <c r="C373">
        <v>7.1999999999999995E-2</v>
      </c>
      <c r="D373">
        <v>6.2E-2</v>
      </c>
      <c r="E373">
        <v>7.0499999999999993E-2</v>
      </c>
      <c r="F373">
        <v>15260368.82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0.69999999999999962</v>
      </c>
      <c r="Q373">
        <f t="shared" si="970"/>
        <v>10682258.173999995</v>
      </c>
      <c r="R373">
        <f t="shared" si="971"/>
        <v>-180849775.1716955</v>
      </c>
      <c r="S373">
        <f t="shared" si="972"/>
        <v>-1808.497751716955</v>
      </c>
      <c r="T373">
        <f t="shared" si="973"/>
        <v>-1.8084977517169549</v>
      </c>
    </row>
    <row r="374" spans="1:20" x14ac:dyDescent="0.25">
      <c r="A374" s="5">
        <v>44219</v>
      </c>
      <c r="B374">
        <v>6.0900000000000003E-2</v>
      </c>
      <c r="C374">
        <v>6.54E-2</v>
      </c>
      <c r="D374">
        <v>6.0199999999999997E-2</v>
      </c>
      <c r="E374">
        <v>6.3E-2</v>
      </c>
      <c r="F374">
        <v>7622308.0899999999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7.6923076923077746E-2</v>
      </c>
      <c r="Q374">
        <f t="shared" si="970"/>
        <v>586331.39153846784</v>
      </c>
      <c r="R374">
        <f t="shared" si="971"/>
        <v>-191532033.3456955</v>
      </c>
      <c r="S374">
        <f t="shared" si="972"/>
        <v>-1915.320333456955</v>
      </c>
      <c r="T374">
        <f t="shared" si="973"/>
        <v>-1.9153203334569551</v>
      </c>
    </row>
    <row r="375" spans="1:20" x14ac:dyDescent="0.25">
      <c r="A375" s="5">
        <v>44218</v>
      </c>
      <c r="B375">
        <v>5.8500000000000003E-2</v>
      </c>
      <c r="C375">
        <v>6.3700000000000007E-2</v>
      </c>
      <c r="D375">
        <v>5.4800000000000001E-2</v>
      </c>
      <c r="E375">
        <v>6.0999999999999999E-2</v>
      </c>
      <c r="F375">
        <v>9500607.9299999997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0.39325842696629071</v>
      </c>
      <c r="Q375">
        <f t="shared" si="970"/>
        <v>3736194.1297752671</v>
      </c>
      <c r="R375">
        <f t="shared" si="971"/>
        <v>-192118364.73723397</v>
      </c>
      <c r="S375">
        <f t="shared" si="972"/>
        <v>-1921.1836473723397</v>
      </c>
      <c r="T375">
        <f t="shared" si="973"/>
        <v>-1.9211836473723396</v>
      </c>
    </row>
    <row r="376" spans="1:20" x14ac:dyDescent="0.25">
      <c r="A376" s="5">
        <v>44217</v>
      </c>
      <c r="B376">
        <v>7.0099999999999996E-2</v>
      </c>
      <c r="C376">
        <v>7.0300000000000001E-2</v>
      </c>
      <c r="D376">
        <v>5.8000000000000003E-2</v>
      </c>
      <c r="E376">
        <v>5.8700000000000002E-2</v>
      </c>
      <c r="F376">
        <v>13445931.560000001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-0.88617886178861804</v>
      </c>
      <c r="Q376">
        <f t="shared" si="970"/>
        <v>-11915500.325528458</v>
      </c>
      <c r="R376">
        <f t="shared" si="971"/>
        <v>-195854558.86700922</v>
      </c>
      <c r="S376">
        <f t="shared" si="972"/>
        <v>-1958.5455886700922</v>
      </c>
      <c r="T376">
        <f t="shared" si="973"/>
        <v>-1.9585455886700922</v>
      </c>
    </row>
    <row r="377" spans="1:20" x14ac:dyDescent="0.25">
      <c r="A377" s="5">
        <v>44216</v>
      </c>
      <c r="B377">
        <v>6.7299999999999999E-2</v>
      </c>
      <c r="C377">
        <v>7.85E-2</v>
      </c>
      <c r="D377">
        <v>6.3500000000000001E-2</v>
      </c>
      <c r="E377">
        <v>7.0099999999999996E-2</v>
      </c>
      <c r="F377">
        <v>27344213.5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-0.12000000000000066</v>
      </c>
      <c r="Q377">
        <f t="shared" si="970"/>
        <v>-3281305.6200000183</v>
      </c>
      <c r="R377">
        <f t="shared" si="971"/>
        <v>-183939058.54148075</v>
      </c>
      <c r="S377">
        <f t="shared" si="972"/>
        <v>-1839.3905854148074</v>
      </c>
      <c r="T377">
        <f t="shared" si="973"/>
        <v>-1.8393905854148074</v>
      </c>
    </row>
    <row r="378" spans="1:20" x14ac:dyDescent="0.25">
      <c r="A378" s="5">
        <v>44215</v>
      </c>
      <c r="B378">
        <v>6.5299999999999997E-2</v>
      </c>
      <c r="C378">
        <v>7.1099999999999997E-2</v>
      </c>
      <c r="D378">
        <v>6.3600000000000004E-2</v>
      </c>
      <c r="E378">
        <v>6.7199999999999996E-2</v>
      </c>
      <c r="F378">
        <v>12659843.189999999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-4.0000000000001187E-2</v>
      </c>
      <c r="Q378">
        <f t="shared" si="970"/>
        <v>-506393.727600015</v>
      </c>
      <c r="R378">
        <f t="shared" si="971"/>
        <v>-180657752.92148075</v>
      </c>
      <c r="S378">
        <f t="shared" si="972"/>
        <v>-1806.5775292148076</v>
      </c>
      <c r="T378">
        <f t="shared" si="973"/>
        <v>-1.8065775292148076</v>
      </c>
    </row>
    <row r="379" spans="1:20" x14ac:dyDescent="0.25">
      <c r="A379" s="5">
        <v>44214</v>
      </c>
      <c r="B379">
        <v>6.0199999999999997E-2</v>
      </c>
      <c r="C379">
        <v>6.8500000000000005E-2</v>
      </c>
      <c r="D379">
        <v>5.79E-2</v>
      </c>
      <c r="E379">
        <v>6.5299999999999997E-2</v>
      </c>
      <c r="F379">
        <v>15614565.619999999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0.39622641509433831</v>
      </c>
      <c r="Q379">
        <f t="shared" si="970"/>
        <v>6186903.3588679042</v>
      </c>
      <c r="R379">
        <f t="shared" si="971"/>
        <v>-180151359.19388074</v>
      </c>
      <c r="S379">
        <f t="shared" si="972"/>
        <v>-1801.5135919388074</v>
      </c>
      <c r="T379">
        <f t="shared" si="973"/>
        <v>-1.8015135919388074</v>
      </c>
    </row>
    <row r="380" spans="1:20" x14ac:dyDescent="0.25">
      <c r="A380" s="5">
        <v>44213</v>
      </c>
      <c r="B380">
        <v>6.2100000000000002E-2</v>
      </c>
      <c r="C380">
        <v>6.2399999999999997E-2</v>
      </c>
      <c r="D380">
        <v>5.4899999999999997E-2</v>
      </c>
      <c r="E380">
        <v>6.0199999999999997E-2</v>
      </c>
      <c r="F380">
        <v>12314635.890000001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0.41333333333333316</v>
      </c>
      <c r="Q380">
        <f t="shared" si="970"/>
        <v>5090049.501199998</v>
      </c>
      <c r="R380">
        <f t="shared" si="971"/>
        <v>-186338262.55274865</v>
      </c>
      <c r="S380">
        <f t="shared" si="972"/>
        <v>-1863.3826255274864</v>
      </c>
      <c r="T380">
        <f t="shared" si="973"/>
        <v>-1.8633826255274863</v>
      </c>
    </row>
    <row r="381" spans="1:20" x14ac:dyDescent="0.25">
      <c r="A381" s="5">
        <v>44212</v>
      </c>
      <c r="B381">
        <v>5.79E-2</v>
      </c>
      <c r="C381">
        <v>6.3799999999999996E-2</v>
      </c>
      <c r="D381">
        <v>5.5E-2</v>
      </c>
      <c r="E381">
        <v>6.2100000000000002E-2</v>
      </c>
      <c r="F381">
        <v>16928073.739999998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0.61363636363636498</v>
      </c>
      <c r="Q381">
        <f t="shared" si="970"/>
        <v>10387681.613181841</v>
      </c>
      <c r="R381">
        <f t="shared" si="971"/>
        <v>-191428312.05394864</v>
      </c>
      <c r="S381">
        <f t="shared" si="972"/>
        <v>-1914.2831205394864</v>
      </c>
      <c r="T381">
        <f t="shared" si="973"/>
        <v>-1.9142831205394863</v>
      </c>
    </row>
    <row r="382" spans="1:20" x14ac:dyDescent="0.25">
      <c r="A382" s="5">
        <v>44211</v>
      </c>
      <c r="B382">
        <v>5.8099999999999999E-2</v>
      </c>
      <c r="C382">
        <v>6.2E-2</v>
      </c>
      <c r="D382">
        <v>5.1799999999999999E-2</v>
      </c>
      <c r="E382">
        <v>5.8000000000000003E-2</v>
      </c>
      <c r="F382">
        <v>15539971.98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0.21568627450980465</v>
      </c>
      <c r="Q382">
        <f t="shared" si="970"/>
        <v>3351758.6623529526</v>
      </c>
      <c r="R382">
        <f t="shared" si="971"/>
        <v>-201815993.66713047</v>
      </c>
      <c r="S382">
        <f t="shared" si="972"/>
        <v>-2018.1599366713046</v>
      </c>
      <c r="T382">
        <f t="shared" si="973"/>
        <v>-2.0181599366713048</v>
      </c>
    </row>
    <row r="383" spans="1:20" x14ac:dyDescent="0.25">
      <c r="A383" s="5">
        <v>44210</v>
      </c>
      <c r="B383">
        <v>5.6000000000000001E-2</v>
      </c>
      <c r="C383">
        <v>5.9700000000000003E-2</v>
      </c>
      <c r="D383">
        <v>5.3800000000000001E-2</v>
      </c>
      <c r="E383">
        <v>5.8099999999999999E-2</v>
      </c>
      <c r="F383">
        <v>9525315.0899999999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0.45762711864406658</v>
      </c>
      <c r="Q383">
        <f t="shared" si="970"/>
        <v>4359042.4988135472</v>
      </c>
      <c r="R383">
        <f t="shared" si="971"/>
        <v>-205167752.32948342</v>
      </c>
      <c r="S383">
        <f t="shared" si="972"/>
        <v>-2051.6775232948344</v>
      </c>
      <c r="T383">
        <f t="shared" si="973"/>
        <v>-2.0516775232948343</v>
      </c>
    </row>
    <row r="384" spans="1:20" x14ac:dyDescent="0.25">
      <c r="A384" s="5">
        <v>44209</v>
      </c>
      <c r="B384">
        <v>4.9700000000000001E-2</v>
      </c>
      <c r="C384">
        <v>5.8900000000000001E-2</v>
      </c>
      <c r="D384">
        <v>4.8000000000000001E-2</v>
      </c>
      <c r="E384">
        <v>5.6000000000000001E-2</v>
      </c>
      <c r="F384">
        <v>11810054.060000001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0.46788990825688076</v>
      </c>
      <c r="Q384">
        <f t="shared" si="970"/>
        <v>5525805.1106422022</v>
      </c>
      <c r="R384">
        <f t="shared" si="971"/>
        <v>-209526794.82829696</v>
      </c>
      <c r="S384">
        <f t="shared" si="972"/>
        <v>-2095.2679482829694</v>
      </c>
      <c r="T384">
        <f t="shared" si="973"/>
        <v>-2.0952679482829693</v>
      </c>
    </row>
    <row r="385" spans="1:20" x14ac:dyDescent="0.25">
      <c r="A385" s="5">
        <v>44208</v>
      </c>
      <c r="B385">
        <v>5.0799999999999998E-2</v>
      </c>
      <c r="C385">
        <v>5.3199999999999997E-2</v>
      </c>
      <c r="D385">
        <v>4.7600000000000003E-2</v>
      </c>
      <c r="E385">
        <v>4.9700000000000001E-2</v>
      </c>
      <c r="F385">
        <v>5046571.16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-0.25</v>
      </c>
      <c r="Q385">
        <f t="shared" si="970"/>
        <v>-1261642.79</v>
      </c>
      <c r="R385">
        <f t="shared" si="971"/>
        <v>-215052599.93893915</v>
      </c>
      <c r="S385">
        <f t="shared" si="972"/>
        <v>-2150.5259993893915</v>
      </c>
      <c r="T385">
        <f t="shared" si="973"/>
        <v>-2.1505259993893913</v>
      </c>
    </row>
    <row r="386" spans="1:20" x14ac:dyDescent="0.25">
      <c r="A386" s="5">
        <v>44207</v>
      </c>
      <c r="B386">
        <v>5.7700000000000001E-2</v>
      </c>
      <c r="C386">
        <v>5.8099999999999999E-2</v>
      </c>
      <c r="D386">
        <v>4.5499999999999999E-2</v>
      </c>
      <c r="E386">
        <v>5.0799999999999998E-2</v>
      </c>
      <c r="F386">
        <v>9703993.4499999993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-0.15873015873015886</v>
      </c>
      <c r="Q386">
        <f t="shared" si="970"/>
        <v>-1540316.4206349219</v>
      </c>
      <c r="R386">
        <f t="shared" si="971"/>
        <v>-213790957.14893916</v>
      </c>
      <c r="S386">
        <f t="shared" si="972"/>
        <v>-2137.9095714893915</v>
      </c>
      <c r="T386">
        <f t="shared" si="973"/>
        <v>-2.1379095714893914</v>
      </c>
    </row>
    <row r="387" spans="1:20" x14ac:dyDescent="0.25">
      <c r="A387" s="5">
        <v>44206</v>
      </c>
      <c r="B387">
        <v>6.2100000000000002E-2</v>
      </c>
      <c r="C387">
        <v>6.3200000000000006E-2</v>
      </c>
      <c r="D387">
        <v>5.1900000000000002E-2</v>
      </c>
      <c r="E387">
        <v>5.7700000000000001E-2</v>
      </c>
      <c r="F387">
        <v>13405046.43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2.6548672566371202E-2</v>
      </c>
      <c r="Q387">
        <f t="shared" si="970"/>
        <v>355886.1884070732</v>
      </c>
      <c r="R387">
        <f t="shared" si="971"/>
        <v>-212250640.72830424</v>
      </c>
      <c r="S387">
        <f t="shared" si="972"/>
        <v>-2122.5064072830423</v>
      </c>
      <c r="T387">
        <f t="shared" si="973"/>
        <v>-2.1225064072830424</v>
      </c>
    </row>
    <row r="388" spans="1:20" x14ac:dyDescent="0.25">
      <c r="A388" s="5">
        <v>44205</v>
      </c>
      <c r="B388">
        <v>5.7299999999999997E-2</v>
      </c>
      <c r="C388">
        <v>6.8500000000000005E-2</v>
      </c>
      <c r="D388">
        <v>5.5100000000000003E-2</v>
      </c>
      <c r="E388">
        <v>6.1699999999999998E-2</v>
      </c>
      <c r="F388">
        <v>16803807.190000001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-1.4925373134329302E-2</v>
      </c>
      <c r="Q388">
        <f t="shared" si="970"/>
        <v>-250803.09238807557</v>
      </c>
      <c r="R388">
        <f t="shared" si="971"/>
        <v>-212606526.9167113</v>
      </c>
      <c r="S388">
        <f t="shared" si="972"/>
        <v>-2126.065269167113</v>
      </c>
      <c r="T388">
        <f t="shared" si="973"/>
        <v>-2.1260652691671131</v>
      </c>
    </row>
    <row r="389" spans="1:20" x14ac:dyDescent="0.25">
      <c r="A389" s="5">
        <v>44204</v>
      </c>
      <c r="B389">
        <v>5.4899999999999997E-2</v>
      </c>
      <c r="C389">
        <v>6.3E-2</v>
      </c>
      <c r="D389">
        <v>5.2900000000000003E-2</v>
      </c>
      <c r="E389">
        <v>5.7299999999999997E-2</v>
      </c>
      <c r="F389">
        <v>17142041.469999999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-0.12871287128712969</v>
      </c>
      <c r="Q389">
        <f t="shared" si="970"/>
        <v>-2206401.3773267493</v>
      </c>
      <c r="R389">
        <f t="shared" si="971"/>
        <v>-212355723.82432324</v>
      </c>
      <c r="S389">
        <f t="shared" si="972"/>
        <v>-2123.5572382432324</v>
      </c>
      <c r="T389">
        <f t="shared" si="973"/>
        <v>-2.1235572382432326</v>
      </c>
    </row>
    <row r="390" spans="1:20" x14ac:dyDescent="0.25">
      <c r="A390" s="5">
        <v>44203</v>
      </c>
      <c r="B390">
        <v>5.1400000000000001E-2</v>
      </c>
      <c r="C390">
        <v>0.06</v>
      </c>
      <c r="D390">
        <v>5.0099999999999999E-2</v>
      </c>
      <c r="E390">
        <v>5.4899999999999997E-2</v>
      </c>
      <c r="F390">
        <v>17277929.010000002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-3.0303030303030474E-2</v>
      </c>
      <c r="Q390">
        <f t="shared" ref="Q390:Q453" si="975">F390*P390</f>
        <v>-523573.60636363935</v>
      </c>
      <c r="R390">
        <f t="shared" ref="R390:R453" si="976">R391+Q390</f>
        <v>-210149322.44699648</v>
      </c>
      <c r="S390">
        <f t="shared" ref="S390:S453" si="977">R390/100000</f>
        <v>-2101.4932244699648</v>
      </c>
      <c r="T390">
        <f t="shared" ref="T390:T453" si="978">S390/1000</f>
        <v>-2.1014932244699649</v>
      </c>
    </row>
    <row r="391" spans="1:20" x14ac:dyDescent="0.25">
      <c r="A391" s="5">
        <v>44202</v>
      </c>
      <c r="B391">
        <v>4.7600000000000003E-2</v>
      </c>
      <c r="C391">
        <v>5.4300000000000001E-2</v>
      </c>
      <c r="D391">
        <v>4.6600000000000003E-2</v>
      </c>
      <c r="E391">
        <v>5.1700000000000003E-2</v>
      </c>
      <c r="F391">
        <v>10828769.58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0.32467532467532501</v>
      </c>
      <c r="Q391">
        <f t="shared" si="975"/>
        <v>3515834.2792207827</v>
      </c>
      <c r="R391">
        <f t="shared" si="976"/>
        <v>-209625748.84063283</v>
      </c>
      <c r="S391">
        <f t="shared" si="977"/>
        <v>-2096.2574884063283</v>
      </c>
      <c r="T391">
        <f t="shared" si="978"/>
        <v>-2.0962574884063283</v>
      </c>
    </row>
    <row r="392" spans="1:20" x14ac:dyDescent="0.25">
      <c r="A392" s="5">
        <v>44201</v>
      </c>
      <c r="B392">
        <v>4.9000000000000002E-2</v>
      </c>
      <c r="C392">
        <v>4.9399999999999999E-2</v>
      </c>
      <c r="D392">
        <v>4.4699999999999997E-2</v>
      </c>
      <c r="E392">
        <v>4.7399999999999998E-2</v>
      </c>
      <c r="F392">
        <v>7840590.1100000003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0.1489361702127657</v>
      </c>
      <c r="Q392">
        <f t="shared" si="975"/>
        <v>1167747.4631914874</v>
      </c>
      <c r="R392">
        <f t="shared" si="976"/>
        <v>-213141583.11985362</v>
      </c>
      <c r="S392">
        <f t="shared" si="977"/>
        <v>-2131.4158311985361</v>
      </c>
      <c r="T392">
        <f t="shared" si="978"/>
        <v>-2.1314158311985363</v>
      </c>
    </row>
    <row r="393" spans="1:20" x14ac:dyDescent="0.25">
      <c r="A393" s="5">
        <v>44200</v>
      </c>
      <c r="B393">
        <v>4.6899999999999997E-2</v>
      </c>
      <c r="C393">
        <v>5.0500000000000003E-2</v>
      </c>
      <c r="D393">
        <v>4.3499999999999997E-2</v>
      </c>
      <c r="E393">
        <v>4.9099999999999998E-2</v>
      </c>
      <c r="F393">
        <v>6959949.2999999998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0.59999999999999876</v>
      </c>
      <c r="Q393">
        <f t="shared" si="975"/>
        <v>4175969.5799999912</v>
      </c>
      <c r="R393">
        <f t="shared" si="976"/>
        <v>-214309330.5830451</v>
      </c>
      <c r="S393">
        <f t="shared" si="977"/>
        <v>-2143.0933058304508</v>
      </c>
      <c r="T393">
        <f t="shared" si="978"/>
        <v>-2.1430933058304507</v>
      </c>
    </row>
    <row r="394" spans="1:20" x14ac:dyDescent="0.25">
      <c r="A394" s="5">
        <v>44199</v>
      </c>
      <c r="B394">
        <v>4.5499999999999999E-2</v>
      </c>
      <c r="C394">
        <v>4.7899999999999998E-2</v>
      </c>
      <c r="D394">
        <v>4.4900000000000002E-2</v>
      </c>
      <c r="E394">
        <v>4.7E-2</v>
      </c>
      <c r="F394">
        <v>5258462.25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0.40000000000000047</v>
      </c>
      <c r="Q394">
        <f t="shared" si="975"/>
        <v>2103384.9000000022</v>
      </c>
      <c r="R394">
        <f t="shared" si="976"/>
        <v>-218485300.16304508</v>
      </c>
      <c r="S394">
        <f t="shared" si="977"/>
        <v>-2184.8530016304508</v>
      </c>
      <c r="T394">
        <f t="shared" si="978"/>
        <v>-2.1848530016304508</v>
      </c>
    </row>
    <row r="395" spans="1:20" x14ac:dyDescent="0.25">
      <c r="A395" s="5">
        <v>44198</v>
      </c>
      <c r="B395">
        <v>4.3799999999999999E-2</v>
      </c>
      <c r="C395">
        <v>4.6600000000000003E-2</v>
      </c>
      <c r="D395">
        <v>4.2599999999999999E-2</v>
      </c>
      <c r="E395">
        <v>4.5499999999999999E-2</v>
      </c>
      <c r="F395">
        <v>6131501.9800000004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0.44999999999999862</v>
      </c>
      <c r="Q395">
        <f t="shared" si="975"/>
        <v>2759175.8909999919</v>
      </c>
      <c r="R395">
        <f t="shared" si="976"/>
        <v>-220588685.06304508</v>
      </c>
      <c r="S395">
        <f t="shared" si="977"/>
        <v>-2205.8868506304507</v>
      </c>
      <c r="T395">
        <f t="shared" si="978"/>
        <v>-2.2058868506304505</v>
      </c>
    </row>
    <row r="396" spans="1:20" x14ac:dyDescent="0.25">
      <c r="A396" s="5">
        <v>44197</v>
      </c>
      <c r="B396">
        <v>4.5199999999999997E-2</v>
      </c>
      <c r="C396">
        <v>4.6300000000000001E-2</v>
      </c>
      <c r="D396">
        <v>4.3099999999999999E-2</v>
      </c>
      <c r="E396">
        <v>4.3799999999999999E-2</v>
      </c>
      <c r="F396">
        <v>6101081.6299999999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-0.56250000000000067</v>
      </c>
      <c r="Q396">
        <f t="shared" si="975"/>
        <v>-3431858.4168750038</v>
      </c>
      <c r="R396">
        <f t="shared" si="976"/>
        <v>-223347860.95404509</v>
      </c>
      <c r="S396">
        <f t="shared" si="977"/>
        <v>-2233.4786095404511</v>
      </c>
      <c r="T396">
        <f t="shared" si="978"/>
        <v>-2.2334786095404513</v>
      </c>
    </row>
    <row r="397" spans="1:20" x14ac:dyDescent="0.25">
      <c r="A397" s="5">
        <v>44196</v>
      </c>
      <c r="B397">
        <v>4.3999999999999997E-2</v>
      </c>
      <c r="C397">
        <v>4.6399999999999997E-2</v>
      </c>
      <c r="D397">
        <v>4.19E-2</v>
      </c>
      <c r="E397">
        <v>4.5100000000000001E-2</v>
      </c>
      <c r="F397">
        <v>6684046.5999999996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0.42222222222222378</v>
      </c>
      <c r="Q397">
        <f t="shared" si="975"/>
        <v>2822153.0088888989</v>
      </c>
      <c r="R397">
        <f t="shared" si="976"/>
        <v>-219916002.53717008</v>
      </c>
      <c r="S397">
        <f t="shared" si="977"/>
        <v>-2199.1600253717006</v>
      </c>
      <c r="T397">
        <f t="shared" si="978"/>
        <v>-2.1991600253717007</v>
      </c>
    </row>
    <row r="398" spans="1:20" x14ac:dyDescent="0.25">
      <c r="A398" s="5">
        <v>44195</v>
      </c>
      <c r="B398">
        <v>4.6199999999999998E-2</v>
      </c>
      <c r="C398">
        <v>4.6300000000000001E-2</v>
      </c>
      <c r="D398">
        <v>4.2900000000000001E-2</v>
      </c>
      <c r="E398">
        <v>4.4200000000000003E-2</v>
      </c>
      <c r="F398">
        <v>3872602.03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-0.23529411764705738</v>
      </c>
      <c r="Q398">
        <f t="shared" si="975"/>
        <v>-911200.47764705319</v>
      </c>
      <c r="R398">
        <f t="shared" si="976"/>
        <v>-222738155.54605898</v>
      </c>
      <c r="S398">
        <f t="shared" si="977"/>
        <v>-2227.3815554605899</v>
      </c>
      <c r="T398">
        <f t="shared" si="978"/>
        <v>-2.2273815554605898</v>
      </c>
    </row>
    <row r="399" spans="1:20" x14ac:dyDescent="0.25">
      <c r="A399" s="5">
        <v>44194</v>
      </c>
      <c r="B399">
        <v>5.0299999999999997E-2</v>
      </c>
      <c r="C399">
        <v>5.0900000000000001E-2</v>
      </c>
      <c r="D399">
        <v>4.5100000000000001E-2</v>
      </c>
      <c r="E399">
        <v>4.6100000000000002E-2</v>
      </c>
      <c r="F399">
        <v>7786539.3099999996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-0.65517241379310309</v>
      </c>
      <c r="Q399">
        <f t="shared" si="975"/>
        <v>-5101525.7548275832</v>
      </c>
      <c r="R399">
        <f t="shared" si="976"/>
        <v>-221826955.06841192</v>
      </c>
      <c r="S399">
        <f t="shared" si="977"/>
        <v>-2218.2695506841192</v>
      </c>
      <c r="T399">
        <f t="shared" si="978"/>
        <v>-2.218269550684119</v>
      </c>
    </row>
    <row r="400" spans="1:20" x14ac:dyDescent="0.25">
      <c r="A400" s="5">
        <v>44193</v>
      </c>
      <c r="B400">
        <v>4.8300000000000003E-2</v>
      </c>
      <c r="C400">
        <v>5.3499999999999999E-2</v>
      </c>
      <c r="D400">
        <v>4.8099999999999997E-2</v>
      </c>
      <c r="E400">
        <v>0.05</v>
      </c>
      <c r="F400">
        <v>4879622.42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-0.29629629629629439</v>
      </c>
      <c r="Q400">
        <f t="shared" si="975"/>
        <v>-1445814.050370361</v>
      </c>
      <c r="R400">
        <f t="shared" si="976"/>
        <v>-216725429.31358433</v>
      </c>
      <c r="S400">
        <f t="shared" si="977"/>
        <v>-2167.2542931358435</v>
      </c>
      <c r="T400">
        <f t="shared" si="978"/>
        <v>-2.1672542931358434</v>
      </c>
    </row>
    <row r="401" spans="1:20" x14ac:dyDescent="0.25">
      <c r="A401" s="5">
        <v>44192</v>
      </c>
      <c r="B401">
        <v>4.7600000000000003E-2</v>
      </c>
      <c r="C401">
        <v>5.0099999999999999E-2</v>
      </c>
      <c r="D401">
        <v>4.65E-2</v>
      </c>
      <c r="E401">
        <v>4.82E-2</v>
      </c>
      <c r="F401">
        <v>4657358.01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-5.5555555555555233E-2</v>
      </c>
      <c r="Q401">
        <f t="shared" si="975"/>
        <v>-258742.11166666515</v>
      </c>
      <c r="R401">
        <f t="shared" si="976"/>
        <v>-215279615.26321396</v>
      </c>
      <c r="S401">
        <f t="shared" si="977"/>
        <v>-2152.7961526321396</v>
      </c>
      <c r="T401">
        <f t="shared" si="978"/>
        <v>-2.1527961526321397</v>
      </c>
    </row>
    <row r="402" spans="1:20" x14ac:dyDescent="0.25">
      <c r="A402" s="5">
        <v>44191</v>
      </c>
      <c r="B402">
        <v>4.6300000000000001E-2</v>
      </c>
      <c r="C402">
        <v>4.9000000000000002E-2</v>
      </c>
      <c r="D402">
        <v>4.4299999999999999E-2</v>
      </c>
      <c r="E402">
        <v>4.7600000000000003E-2</v>
      </c>
      <c r="F402">
        <v>4261993.0999999996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0.4042553191489372</v>
      </c>
      <c r="Q402">
        <f t="shared" si="975"/>
        <v>1722933.3808510681</v>
      </c>
      <c r="R402">
        <f t="shared" si="976"/>
        <v>-215020873.15154728</v>
      </c>
      <c r="S402">
        <f t="shared" si="977"/>
        <v>-2150.2087315154727</v>
      </c>
      <c r="T402">
        <f t="shared" si="978"/>
        <v>-2.1502087315154728</v>
      </c>
    </row>
    <row r="403" spans="1:20" x14ac:dyDescent="0.25">
      <c r="A403" s="5">
        <v>44190</v>
      </c>
      <c r="B403">
        <v>4.7699999999999999E-2</v>
      </c>
      <c r="C403">
        <v>5.1700000000000003E-2</v>
      </c>
      <c r="D403">
        <v>4.5199999999999997E-2</v>
      </c>
      <c r="E403">
        <v>4.6100000000000002E-2</v>
      </c>
      <c r="F403">
        <v>5689907.4100000001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-0.72307692307692184</v>
      </c>
      <c r="Q403">
        <f t="shared" si="975"/>
        <v>-4114240.7426153775</v>
      </c>
      <c r="R403">
        <f t="shared" si="976"/>
        <v>-216743806.53239834</v>
      </c>
      <c r="S403">
        <f t="shared" si="977"/>
        <v>-2167.4380653239832</v>
      </c>
      <c r="T403">
        <f t="shared" si="978"/>
        <v>-2.1674380653239833</v>
      </c>
    </row>
    <row r="404" spans="1:20" x14ac:dyDescent="0.25">
      <c r="A404" s="5">
        <v>44189</v>
      </c>
      <c r="B404">
        <v>4.5400000000000003E-2</v>
      </c>
      <c r="C404">
        <v>4.7899999999999998E-2</v>
      </c>
      <c r="D404">
        <v>4.1000000000000002E-2</v>
      </c>
      <c r="E404">
        <v>4.7500000000000001E-2</v>
      </c>
      <c r="F404">
        <v>8315826.5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0.88405797101449335</v>
      </c>
      <c r="Q404">
        <f t="shared" si="975"/>
        <v>7351672.7028985554</v>
      </c>
      <c r="R404">
        <f t="shared" si="976"/>
        <v>-212629565.78978297</v>
      </c>
      <c r="S404">
        <f t="shared" si="977"/>
        <v>-2126.2956578978296</v>
      </c>
      <c r="T404">
        <f t="shared" si="978"/>
        <v>-2.1262956578978298</v>
      </c>
    </row>
    <row r="405" spans="1:20" x14ac:dyDescent="0.25">
      <c r="A405" s="5">
        <v>44188</v>
      </c>
      <c r="B405">
        <v>5.1400000000000001E-2</v>
      </c>
      <c r="C405">
        <v>5.2200000000000003E-2</v>
      </c>
      <c r="D405">
        <v>4.2099999999999999E-2</v>
      </c>
      <c r="E405">
        <v>4.5400000000000003E-2</v>
      </c>
      <c r="F405">
        <v>5152411.43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-0.34653465346534601</v>
      </c>
      <c r="Q405">
        <f t="shared" si="975"/>
        <v>-1785489.1094059378</v>
      </c>
      <c r="R405">
        <f t="shared" si="976"/>
        <v>-219981238.49268153</v>
      </c>
      <c r="S405">
        <f t="shared" si="977"/>
        <v>-2199.8123849268154</v>
      </c>
      <c r="T405">
        <f t="shared" si="978"/>
        <v>-2.1998123849268154</v>
      </c>
    </row>
    <row r="406" spans="1:20" x14ac:dyDescent="0.25">
      <c r="A406" s="5">
        <v>44187</v>
      </c>
      <c r="B406">
        <v>5.0900000000000001E-2</v>
      </c>
      <c r="C406">
        <v>5.2400000000000002E-2</v>
      </c>
      <c r="D406">
        <v>4.87E-2</v>
      </c>
      <c r="E406">
        <v>5.1499999999999997E-2</v>
      </c>
      <c r="F406">
        <v>5903603.9199999999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0.51351351351351104</v>
      </c>
      <c r="Q406">
        <f t="shared" si="975"/>
        <v>3031580.3913513366</v>
      </c>
      <c r="R406">
        <f t="shared" si="976"/>
        <v>-218195749.3832756</v>
      </c>
      <c r="S406">
        <f t="shared" si="977"/>
        <v>-2181.957493832756</v>
      </c>
      <c r="T406">
        <f t="shared" si="978"/>
        <v>-2.1819574938327562</v>
      </c>
    </row>
    <row r="407" spans="1:20" x14ac:dyDescent="0.25">
      <c r="A407" s="5">
        <v>44186</v>
      </c>
      <c r="B407">
        <v>5.5399999999999998E-2</v>
      </c>
      <c r="C407">
        <v>5.8400000000000001E-2</v>
      </c>
      <c r="D407">
        <v>4.9299999999999997E-2</v>
      </c>
      <c r="E407">
        <v>5.0999999999999997E-2</v>
      </c>
      <c r="F407">
        <v>8912298.4199999999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-0.62637362637362648</v>
      </c>
      <c r="Q407">
        <f t="shared" si="975"/>
        <v>-5582428.6806593416</v>
      </c>
      <c r="R407">
        <f t="shared" si="976"/>
        <v>-221227329.77462694</v>
      </c>
      <c r="S407">
        <f t="shared" si="977"/>
        <v>-2212.2732977462692</v>
      </c>
      <c r="T407">
        <f t="shared" si="978"/>
        <v>-2.2122732977462691</v>
      </c>
    </row>
    <row r="408" spans="1:20" x14ac:dyDescent="0.25">
      <c r="A408" s="5">
        <v>44185</v>
      </c>
      <c r="B408">
        <v>5.6800000000000003E-2</v>
      </c>
      <c r="C408">
        <v>6.4000000000000001E-2</v>
      </c>
      <c r="D408">
        <v>5.3100000000000001E-2</v>
      </c>
      <c r="E408">
        <v>5.5399999999999998E-2</v>
      </c>
      <c r="F408">
        <v>31212716.219999999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-0.57798165137614743</v>
      </c>
      <c r="Q408">
        <f t="shared" si="975"/>
        <v>-18040377.264770661</v>
      </c>
      <c r="R408">
        <f t="shared" si="976"/>
        <v>-215644901.09396759</v>
      </c>
      <c r="S408">
        <f t="shared" si="977"/>
        <v>-2156.4490109396756</v>
      </c>
      <c r="T408">
        <f t="shared" si="978"/>
        <v>-2.1564490109396757</v>
      </c>
    </row>
    <row r="409" spans="1:20" x14ac:dyDescent="0.25">
      <c r="A409" s="5">
        <v>44184</v>
      </c>
      <c r="B409">
        <v>5.5E-2</v>
      </c>
      <c r="C409">
        <v>6.0400000000000002E-2</v>
      </c>
      <c r="D409">
        <v>5.4399999999999997E-2</v>
      </c>
      <c r="E409">
        <v>5.6800000000000003E-2</v>
      </c>
      <c r="F409">
        <v>11186192.93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-0.19999999999999862</v>
      </c>
      <c r="Q409">
        <f t="shared" si="975"/>
        <v>-2237238.5859999848</v>
      </c>
      <c r="R409">
        <f t="shared" si="976"/>
        <v>-197604523.82919693</v>
      </c>
      <c r="S409">
        <f t="shared" si="977"/>
        <v>-1976.0452382919693</v>
      </c>
      <c r="T409">
        <f t="shared" si="978"/>
        <v>-1.9760452382919693</v>
      </c>
    </row>
    <row r="410" spans="1:20" x14ac:dyDescent="0.25">
      <c r="A410" s="5">
        <v>44183</v>
      </c>
      <c r="B410">
        <v>5.3199999999999997E-2</v>
      </c>
      <c r="C410">
        <v>5.5300000000000002E-2</v>
      </c>
      <c r="D410">
        <v>5.16E-2</v>
      </c>
      <c r="E410">
        <v>5.4899999999999997E-2</v>
      </c>
      <c r="F410">
        <v>6015951.1600000001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0.78378378378378144</v>
      </c>
      <c r="Q410">
        <f t="shared" si="975"/>
        <v>4715204.9632432293</v>
      </c>
      <c r="R410">
        <f t="shared" si="976"/>
        <v>-195367285.24319693</v>
      </c>
      <c r="S410">
        <f t="shared" si="977"/>
        <v>-1953.6728524319694</v>
      </c>
      <c r="T410">
        <f t="shared" si="978"/>
        <v>-1.9536728524319695</v>
      </c>
    </row>
    <row r="411" spans="1:20" x14ac:dyDescent="0.25">
      <c r="A411" s="5">
        <v>44182</v>
      </c>
      <c r="B411">
        <v>5.4300000000000001E-2</v>
      </c>
      <c r="C411">
        <v>5.57E-2</v>
      </c>
      <c r="D411">
        <v>5.0999999999999997E-2</v>
      </c>
      <c r="E411">
        <v>5.3199999999999997E-2</v>
      </c>
      <c r="F411">
        <v>13717724.210000001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-6.3829787234042867E-2</v>
      </c>
      <c r="Q411">
        <f t="shared" si="975"/>
        <v>-875599.41765957884</v>
      </c>
      <c r="R411">
        <f t="shared" si="976"/>
        <v>-200082490.20644015</v>
      </c>
      <c r="S411">
        <f t="shared" si="977"/>
        <v>-2000.8249020644016</v>
      </c>
      <c r="T411">
        <f t="shared" si="978"/>
        <v>-2.0008249020644016</v>
      </c>
    </row>
    <row r="412" spans="1:20" x14ac:dyDescent="0.25">
      <c r="A412" s="5">
        <v>44181</v>
      </c>
      <c r="B412">
        <v>5.11E-2</v>
      </c>
      <c r="C412">
        <v>5.6500000000000002E-2</v>
      </c>
      <c r="D412">
        <v>5.0299999999999997E-2</v>
      </c>
      <c r="E412">
        <v>5.4199999999999998E-2</v>
      </c>
      <c r="F412">
        <v>175374391.47999999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0.25806451612903164</v>
      </c>
      <c r="Q412">
        <f t="shared" si="975"/>
        <v>45257907.478709564</v>
      </c>
      <c r="R412">
        <f t="shared" si="976"/>
        <v>-199206890.78878057</v>
      </c>
      <c r="S412">
        <f t="shared" si="977"/>
        <v>-1992.0689078878056</v>
      </c>
      <c r="T412">
        <f t="shared" si="978"/>
        <v>-1.9920689078878056</v>
      </c>
    </row>
    <row r="413" spans="1:20" x14ac:dyDescent="0.25">
      <c r="A413" s="5">
        <v>44180</v>
      </c>
      <c r="B413">
        <v>5.2999999999999999E-2</v>
      </c>
      <c r="C413">
        <v>5.3999999999999999E-2</v>
      </c>
      <c r="D413">
        <v>5.0799999999999998E-2</v>
      </c>
      <c r="E413">
        <v>5.0999999999999997E-2</v>
      </c>
      <c r="F413">
        <v>36116416.119999997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-0.87500000000000078</v>
      </c>
      <c r="Q413">
        <f t="shared" si="975"/>
        <v>-31601864.105000027</v>
      </c>
      <c r="R413">
        <f t="shared" si="976"/>
        <v>-244464798.26749015</v>
      </c>
      <c r="S413">
        <f t="shared" si="977"/>
        <v>-2444.6479826749014</v>
      </c>
      <c r="T413">
        <f t="shared" si="978"/>
        <v>-2.4446479826749012</v>
      </c>
    </row>
    <row r="414" spans="1:20" x14ac:dyDescent="0.25">
      <c r="A414" s="5">
        <v>44179</v>
      </c>
      <c r="B414">
        <v>5.5500000000000001E-2</v>
      </c>
      <c r="C414">
        <v>5.8099999999999999E-2</v>
      </c>
      <c r="D414">
        <v>5.2499999999999998E-2</v>
      </c>
      <c r="E414">
        <v>5.3100000000000001E-2</v>
      </c>
      <c r="F414">
        <v>56559550.039999999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-0.78571428571428459</v>
      </c>
      <c r="Q414">
        <f t="shared" si="975"/>
        <v>-44439646.459999934</v>
      </c>
      <c r="R414">
        <f t="shared" si="976"/>
        <v>-212862934.16249013</v>
      </c>
      <c r="S414">
        <f t="shared" si="977"/>
        <v>-2128.6293416249014</v>
      </c>
      <c r="T414">
        <f t="shared" si="978"/>
        <v>-2.1286293416249014</v>
      </c>
    </row>
    <row r="415" spans="1:20" x14ac:dyDescent="0.25">
      <c r="A415" s="5">
        <v>44178</v>
      </c>
      <c r="B415">
        <v>5.5899999999999998E-2</v>
      </c>
      <c r="C415">
        <v>5.6899999999999999E-2</v>
      </c>
      <c r="D415">
        <v>5.4899999999999997E-2</v>
      </c>
      <c r="E415">
        <v>5.5599999999999997E-2</v>
      </c>
      <c r="F415">
        <v>69843996.659999996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-0.30000000000000138</v>
      </c>
      <c r="Q415">
        <f t="shared" si="975"/>
        <v>-20953198.998000097</v>
      </c>
      <c r="R415">
        <f t="shared" si="976"/>
        <v>-168423287.70249018</v>
      </c>
      <c r="S415">
        <f t="shared" si="977"/>
        <v>-1684.2328770249019</v>
      </c>
      <c r="T415">
        <f t="shared" si="978"/>
        <v>-1.684232877024902</v>
      </c>
    </row>
    <row r="416" spans="1:20" x14ac:dyDescent="0.25">
      <c r="A416" s="5">
        <v>44177</v>
      </c>
      <c r="B416">
        <v>5.5899999999999998E-2</v>
      </c>
      <c r="C416">
        <v>5.8299999999999998E-2</v>
      </c>
      <c r="D416">
        <v>5.4899999999999997E-2</v>
      </c>
      <c r="E416">
        <v>5.5899999999999998E-2</v>
      </c>
      <c r="F416">
        <v>85946468.209999993</v>
      </c>
      <c r="G416">
        <v>0</v>
      </c>
      <c r="L416" t="s">
        <v>7</v>
      </c>
      <c r="M416" t="s">
        <v>8</v>
      </c>
      <c r="N416" t="s">
        <v>8</v>
      </c>
      <c r="P416">
        <f t="shared" si="974"/>
        <v>-0.41176470588235248</v>
      </c>
      <c r="Q416">
        <f t="shared" si="975"/>
        <v>-35389722.204117604</v>
      </c>
      <c r="R416">
        <f t="shared" si="976"/>
        <v>-147470088.7044901</v>
      </c>
      <c r="S416">
        <f t="shared" si="977"/>
        <v>-1474.700887044901</v>
      </c>
      <c r="T416">
        <f t="shared" si="978"/>
        <v>-1.474700887044901</v>
      </c>
    </row>
    <row r="417" spans="1:20" x14ac:dyDescent="0.25">
      <c r="A417" s="5">
        <v>44176</v>
      </c>
      <c r="B417">
        <v>6.0400000000000002E-2</v>
      </c>
      <c r="C417">
        <v>6.4000000000000001E-2</v>
      </c>
      <c r="D417">
        <v>5.5599999999999997E-2</v>
      </c>
      <c r="E417">
        <v>5.5899999999999998E-2</v>
      </c>
      <c r="F417">
        <v>155754201.96000001</v>
      </c>
      <c r="G417">
        <v>0</v>
      </c>
      <c r="L417" t="s">
        <v>7</v>
      </c>
      <c r="M417" t="s">
        <v>8</v>
      </c>
      <c r="N417" t="s">
        <v>8</v>
      </c>
      <c r="P417">
        <f t="shared" si="974"/>
        <v>-0.92857142857142827</v>
      </c>
      <c r="Q417">
        <f t="shared" si="975"/>
        <v>-144628901.81999996</v>
      </c>
      <c r="R417">
        <f t="shared" si="976"/>
        <v>-112080366.5003725</v>
      </c>
      <c r="S417">
        <f t="shared" si="977"/>
        <v>-1120.803665003725</v>
      </c>
      <c r="T417">
        <f t="shared" si="978"/>
        <v>-1.120803665003725</v>
      </c>
    </row>
    <row r="418" spans="1:20" x14ac:dyDescent="0.25">
      <c r="A418" s="5">
        <v>44175</v>
      </c>
      <c r="B418">
        <v>5.3699999999999998E-2</v>
      </c>
      <c r="C418">
        <v>6.4899999999999999E-2</v>
      </c>
      <c r="D418">
        <v>5.1299999999999998E-2</v>
      </c>
      <c r="E418">
        <v>6.0400000000000002E-2</v>
      </c>
      <c r="F418">
        <v>103355420.98999999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0.33823529411764752</v>
      </c>
      <c r="Q418">
        <f t="shared" si="975"/>
        <v>34958451.217205927</v>
      </c>
      <c r="R418">
        <f t="shared" si="976"/>
        <v>32548535.319627464</v>
      </c>
      <c r="S418">
        <f t="shared" si="977"/>
        <v>325.48535319627462</v>
      </c>
      <c r="T418">
        <f t="shared" si="978"/>
        <v>0.32548535319627464</v>
      </c>
    </row>
    <row r="419" spans="1:20" x14ac:dyDescent="0.25">
      <c r="A419" s="5">
        <v>44174</v>
      </c>
      <c r="B419">
        <v>4.6600000000000003E-2</v>
      </c>
      <c r="C419">
        <v>5.4100000000000002E-2</v>
      </c>
      <c r="D419">
        <v>4.41E-2</v>
      </c>
      <c r="E419">
        <v>5.3800000000000001E-2</v>
      </c>
      <c r="F419">
        <v>15858372.76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0.93999999999999972</v>
      </c>
      <c r="Q419">
        <f t="shared" si="975"/>
        <v>14906870.394399995</v>
      </c>
      <c r="R419">
        <f t="shared" si="976"/>
        <v>-2409915.8975784611</v>
      </c>
      <c r="S419">
        <f t="shared" si="977"/>
        <v>-24.099158975784611</v>
      </c>
      <c r="T419">
        <f t="shared" si="978"/>
        <v>-2.4099158975784612E-2</v>
      </c>
    </row>
    <row r="420" spans="1:20" x14ac:dyDescent="0.25">
      <c r="A420" s="5">
        <v>44173</v>
      </c>
      <c r="B420">
        <v>5.04E-2</v>
      </c>
      <c r="C420">
        <v>5.2299999999999999E-2</v>
      </c>
      <c r="D420">
        <v>4.6100000000000002E-2</v>
      </c>
      <c r="E420">
        <v>4.6699999999999998E-2</v>
      </c>
      <c r="F420">
        <v>5657283.04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-0.80645161290322687</v>
      </c>
      <c r="Q420">
        <f t="shared" si="975"/>
        <v>-4562325.032258071</v>
      </c>
      <c r="R420">
        <f t="shared" si="976"/>
        <v>-17316786.291978456</v>
      </c>
      <c r="S420">
        <f t="shared" si="977"/>
        <v>-173.16786291978457</v>
      </c>
      <c r="T420">
        <f t="shared" si="978"/>
        <v>-0.17316786291978456</v>
      </c>
    </row>
    <row r="421" spans="1:20" x14ac:dyDescent="0.25">
      <c r="A421" s="5">
        <v>44172</v>
      </c>
      <c r="B421">
        <v>4.9700000000000001E-2</v>
      </c>
      <c r="C421">
        <v>5.2400000000000002E-2</v>
      </c>
      <c r="D421">
        <v>4.9200000000000001E-2</v>
      </c>
      <c r="E421">
        <v>5.0500000000000003E-2</v>
      </c>
      <c r="F421">
        <v>3750961.33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-0.18749999999999878</v>
      </c>
      <c r="Q421">
        <f t="shared" si="975"/>
        <v>-703305.24937499547</v>
      </c>
      <c r="R421">
        <f t="shared" si="976"/>
        <v>-12754461.259720383</v>
      </c>
      <c r="S421">
        <f t="shared" si="977"/>
        <v>-127.54461259720384</v>
      </c>
      <c r="T421">
        <f t="shared" si="978"/>
        <v>-0.12754461259720384</v>
      </c>
    </row>
    <row r="422" spans="1:20" x14ac:dyDescent="0.25">
      <c r="A422" s="5">
        <v>44171</v>
      </c>
      <c r="B422">
        <v>5.0700000000000002E-2</v>
      </c>
      <c r="C422">
        <v>5.1799999999999999E-2</v>
      </c>
      <c r="D422">
        <v>4.82E-2</v>
      </c>
      <c r="E422">
        <v>4.99E-2</v>
      </c>
      <c r="F422">
        <v>2586484.91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-5.5555555555555233E-2</v>
      </c>
      <c r="Q422">
        <f t="shared" si="975"/>
        <v>-143693.60611111028</v>
      </c>
      <c r="R422">
        <f t="shared" si="976"/>
        <v>-12051156.010345388</v>
      </c>
      <c r="S422">
        <f t="shared" si="977"/>
        <v>-120.51156010345389</v>
      </c>
      <c r="T422">
        <f t="shared" si="978"/>
        <v>-0.12051156010345389</v>
      </c>
    </row>
    <row r="423" spans="1:20" x14ac:dyDescent="0.25">
      <c r="A423" s="5">
        <v>44170</v>
      </c>
      <c r="B423">
        <v>4.9500000000000002E-2</v>
      </c>
      <c r="C423">
        <v>5.1400000000000001E-2</v>
      </c>
      <c r="D423">
        <v>4.8800000000000003E-2</v>
      </c>
      <c r="E423">
        <v>5.0999999999999997E-2</v>
      </c>
      <c r="F423">
        <v>2714666.97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0.69230769230768863</v>
      </c>
      <c r="Q423">
        <f t="shared" si="975"/>
        <v>1879384.8253846054</v>
      </c>
      <c r="R423">
        <f t="shared" si="976"/>
        <v>-11907462.404234277</v>
      </c>
      <c r="S423">
        <f t="shared" si="977"/>
        <v>-119.07462404234278</v>
      </c>
      <c r="T423">
        <f t="shared" si="978"/>
        <v>-0.11907462404234277</v>
      </c>
    </row>
    <row r="424" spans="1:20" x14ac:dyDescent="0.25">
      <c r="A424" s="5">
        <v>44169</v>
      </c>
      <c r="B424">
        <v>5.5800000000000002E-2</v>
      </c>
      <c r="C424">
        <v>5.5800000000000002E-2</v>
      </c>
      <c r="D424">
        <v>4.9399999999999999E-2</v>
      </c>
      <c r="E424">
        <v>4.9500000000000002E-2</v>
      </c>
      <c r="F424">
        <v>6611285.1600000001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-0.96874999999999911</v>
      </c>
      <c r="Q424">
        <f t="shared" si="975"/>
        <v>-6404682.4987499947</v>
      </c>
      <c r="R424">
        <f t="shared" si="976"/>
        <v>-13786847.229618883</v>
      </c>
      <c r="S424">
        <f t="shared" si="977"/>
        <v>-137.86847229618883</v>
      </c>
      <c r="T424">
        <f t="shared" si="978"/>
        <v>-0.13786847229618882</v>
      </c>
    </row>
    <row r="425" spans="1:20" x14ac:dyDescent="0.25">
      <c r="A425" s="5">
        <v>44168</v>
      </c>
      <c r="B425">
        <v>5.1700000000000003E-2</v>
      </c>
      <c r="C425">
        <v>5.8000000000000003E-2</v>
      </c>
      <c r="D425">
        <v>5.0099999999999999E-2</v>
      </c>
      <c r="E425">
        <v>5.57E-2</v>
      </c>
      <c r="F425">
        <v>10129535.949999999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0.41772151898734122</v>
      </c>
      <c r="Q425">
        <f t="shared" si="975"/>
        <v>4231325.1436708802</v>
      </c>
      <c r="R425">
        <f t="shared" si="976"/>
        <v>-7382164.7308688881</v>
      </c>
      <c r="S425">
        <f t="shared" si="977"/>
        <v>-73.821647308688881</v>
      </c>
      <c r="T425">
        <f t="shared" si="978"/>
        <v>-7.3821647308688884E-2</v>
      </c>
    </row>
    <row r="426" spans="1:20" x14ac:dyDescent="0.25">
      <c r="A426" s="5">
        <v>44167</v>
      </c>
      <c r="B426">
        <v>4.8300000000000003E-2</v>
      </c>
      <c r="C426">
        <v>5.2999999999999999E-2</v>
      </c>
      <c r="D426">
        <v>4.7E-2</v>
      </c>
      <c r="E426">
        <v>5.16E-2</v>
      </c>
      <c r="F426">
        <v>5103542.57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0.53333333333333377</v>
      </c>
      <c r="Q426">
        <f t="shared" si="975"/>
        <v>2721889.3706666692</v>
      </c>
      <c r="R426">
        <f t="shared" si="976"/>
        <v>-11613489.874539768</v>
      </c>
      <c r="S426">
        <f t="shared" si="977"/>
        <v>-116.13489874539768</v>
      </c>
      <c r="T426">
        <f t="shared" si="978"/>
        <v>-0.11613489874539767</v>
      </c>
    </row>
    <row r="427" spans="1:20" x14ac:dyDescent="0.25">
      <c r="A427" s="5">
        <v>44166</v>
      </c>
      <c r="B427">
        <v>5.0299999999999997E-2</v>
      </c>
      <c r="C427">
        <v>5.3999999999999999E-2</v>
      </c>
      <c r="D427">
        <v>4.6899999999999997E-2</v>
      </c>
      <c r="E427">
        <v>4.8599999999999997E-2</v>
      </c>
      <c r="F427">
        <v>7574418.9000000004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-0.52112676056338036</v>
      </c>
      <c r="Q427">
        <f t="shared" si="975"/>
        <v>-3947232.3845070433</v>
      </c>
      <c r="R427">
        <f t="shared" si="976"/>
        <v>-14335379.245206438</v>
      </c>
      <c r="S427">
        <f t="shared" si="977"/>
        <v>-143.35379245206437</v>
      </c>
      <c r="T427">
        <f t="shared" si="978"/>
        <v>-0.14335379245206437</v>
      </c>
    </row>
    <row r="428" spans="1:20" x14ac:dyDescent="0.25">
      <c r="A428" s="5">
        <v>44165</v>
      </c>
      <c r="B428">
        <v>4.9700000000000001E-2</v>
      </c>
      <c r="C428">
        <v>5.1200000000000002E-2</v>
      </c>
      <c r="D428">
        <v>4.8599999999999997E-2</v>
      </c>
      <c r="E428">
        <v>5.0299999999999997E-2</v>
      </c>
      <c r="F428">
        <v>2977221.66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0.30769230769230521</v>
      </c>
      <c r="Q428">
        <f t="shared" si="975"/>
        <v>916068.2030769157</v>
      </c>
      <c r="R428">
        <f t="shared" si="976"/>
        <v>-10388146.860699395</v>
      </c>
      <c r="S428">
        <f t="shared" si="977"/>
        <v>-103.88146860699395</v>
      </c>
      <c r="T428">
        <f t="shared" si="978"/>
        <v>-0.10388146860699395</v>
      </c>
    </row>
    <row r="429" spans="1:20" x14ac:dyDescent="0.25">
      <c r="A429" s="5">
        <v>44164</v>
      </c>
      <c r="B429">
        <v>0.05</v>
      </c>
      <c r="C429">
        <v>5.0799999999999998E-2</v>
      </c>
      <c r="D429">
        <v>4.8500000000000001E-2</v>
      </c>
      <c r="E429">
        <v>4.9599999999999998E-2</v>
      </c>
      <c r="F429">
        <v>2429802.2400000002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-4.3478260869566528E-2</v>
      </c>
      <c r="Q429">
        <f t="shared" si="975"/>
        <v>-105643.57565217711</v>
      </c>
      <c r="R429">
        <f t="shared" si="976"/>
        <v>-11304215.063776311</v>
      </c>
      <c r="S429">
        <f t="shared" si="977"/>
        <v>-113.0421506377631</v>
      </c>
      <c r="T429">
        <f t="shared" si="978"/>
        <v>-0.1130421506377631</v>
      </c>
    </row>
    <row r="430" spans="1:20" x14ac:dyDescent="0.25">
      <c r="A430" s="5">
        <v>44163</v>
      </c>
      <c r="B430">
        <v>4.9599999999999998E-2</v>
      </c>
      <c r="C430">
        <v>5.2600000000000001E-2</v>
      </c>
      <c r="D430">
        <v>4.7100000000000003E-2</v>
      </c>
      <c r="E430">
        <v>5.0099999999999999E-2</v>
      </c>
      <c r="F430">
        <v>6280458.8600000003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9.090909090908976E-2</v>
      </c>
      <c r="Q430">
        <f t="shared" si="975"/>
        <v>570950.80545453832</v>
      </c>
      <c r="R430">
        <f t="shared" si="976"/>
        <v>-11198571.488124134</v>
      </c>
      <c r="S430">
        <f t="shared" si="977"/>
        <v>-111.98571488124134</v>
      </c>
      <c r="T430">
        <f t="shared" si="978"/>
        <v>-0.11198571488124133</v>
      </c>
    </row>
    <row r="431" spans="1:20" x14ac:dyDescent="0.25">
      <c r="A431" s="5">
        <v>44162</v>
      </c>
      <c r="B431">
        <v>4.58E-2</v>
      </c>
      <c r="C431">
        <v>5.3400000000000003E-2</v>
      </c>
      <c r="D431">
        <v>4.5499999999999999E-2</v>
      </c>
      <c r="E431">
        <v>4.9500000000000002E-2</v>
      </c>
      <c r="F431">
        <v>12009749.390000001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1.2658227848101621E-2</v>
      </c>
      <c r="Q431">
        <f t="shared" si="975"/>
        <v>152022.14417721945</v>
      </c>
      <c r="R431">
        <f t="shared" si="976"/>
        <v>-11769522.293578673</v>
      </c>
      <c r="S431">
        <f t="shared" si="977"/>
        <v>-117.69522293578673</v>
      </c>
      <c r="T431">
        <f t="shared" si="978"/>
        <v>-0.11769522293578673</v>
      </c>
    </row>
    <row r="432" spans="1:20" x14ac:dyDescent="0.25">
      <c r="A432" s="5">
        <v>44161</v>
      </c>
      <c r="B432">
        <v>5.4300000000000001E-2</v>
      </c>
      <c r="C432">
        <v>5.6399999999999999E-2</v>
      </c>
      <c r="D432">
        <v>4.24E-2</v>
      </c>
      <c r="E432">
        <v>4.58E-2</v>
      </c>
      <c r="F432">
        <v>12865774.689999999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-0.51428571428571423</v>
      </c>
      <c r="Q432">
        <f t="shared" si="975"/>
        <v>-6616684.1262857132</v>
      </c>
      <c r="R432">
        <f t="shared" si="976"/>
        <v>-11921544.437755892</v>
      </c>
      <c r="S432">
        <f t="shared" si="977"/>
        <v>-119.21544437755892</v>
      </c>
      <c r="T432">
        <f t="shared" si="978"/>
        <v>-0.11921544437755892</v>
      </c>
    </row>
    <row r="433" spans="1:20" x14ac:dyDescent="0.25">
      <c r="A433" s="5">
        <v>44160</v>
      </c>
      <c r="B433">
        <v>5.3999999999999999E-2</v>
      </c>
      <c r="C433">
        <v>6.3E-2</v>
      </c>
      <c r="D433">
        <v>5.1999999999999998E-2</v>
      </c>
      <c r="E433">
        <v>5.4399999999999997E-2</v>
      </c>
      <c r="F433">
        <v>12086141.550000001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-0.56363636363636382</v>
      </c>
      <c r="Q433">
        <f t="shared" si="975"/>
        <v>-6812188.8736363659</v>
      </c>
      <c r="R433">
        <f t="shared" si="976"/>
        <v>-5304860.3114701789</v>
      </c>
      <c r="S433">
        <f t="shared" si="977"/>
        <v>-53.048603114701791</v>
      </c>
      <c r="T433">
        <f t="shared" si="978"/>
        <v>-5.3048603114701789E-2</v>
      </c>
    </row>
    <row r="434" spans="1:20" x14ac:dyDescent="0.25">
      <c r="A434" s="5">
        <v>44159</v>
      </c>
      <c r="B434">
        <v>5.8500000000000003E-2</v>
      </c>
      <c r="C434">
        <v>0.06</v>
      </c>
      <c r="D434">
        <v>4.9000000000000002E-2</v>
      </c>
      <c r="E434">
        <v>5.4199999999999998E-2</v>
      </c>
      <c r="F434">
        <v>19791619.109999999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-5.4545454545454869E-2</v>
      </c>
      <c r="Q434">
        <f t="shared" si="975"/>
        <v>-1079542.8605454608</v>
      </c>
      <c r="R434">
        <f t="shared" si="976"/>
        <v>1507328.5621661872</v>
      </c>
      <c r="S434">
        <f t="shared" si="977"/>
        <v>15.073285621661872</v>
      </c>
      <c r="T434">
        <f t="shared" si="978"/>
        <v>1.5073285621661872E-2</v>
      </c>
    </row>
    <row r="435" spans="1:20" x14ac:dyDescent="0.25">
      <c r="A435" s="5">
        <v>44158</v>
      </c>
      <c r="B435">
        <v>5.3100000000000001E-2</v>
      </c>
      <c r="C435">
        <v>5.8599999999999999E-2</v>
      </c>
      <c r="D435">
        <v>5.04E-2</v>
      </c>
      <c r="E435">
        <v>5.8400000000000001E-2</v>
      </c>
      <c r="F435">
        <v>20434413.73</v>
      </c>
      <c r="G435">
        <v>0</v>
      </c>
      <c r="L435" t="s">
        <v>7</v>
      </c>
      <c r="M435" t="s">
        <v>7</v>
      </c>
      <c r="N435" t="s">
        <v>8</v>
      </c>
      <c r="P435">
        <f t="shared" si="974"/>
        <v>0.95121951219512224</v>
      </c>
      <c r="Q435">
        <f t="shared" si="975"/>
        <v>19437613.060243908</v>
      </c>
      <c r="R435">
        <f t="shared" si="976"/>
        <v>2586871.422711648</v>
      </c>
      <c r="S435">
        <f t="shared" si="977"/>
        <v>25.868714227116481</v>
      </c>
      <c r="T435">
        <f t="shared" si="978"/>
        <v>2.5868714227116479E-2</v>
      </c>
    </row>
    <row r="436" spans="1:20" x14ac:dyDescent="0.25">
      <c r="A436" s="5">
        <v>44157</v>
      </c>
      <c r="B436">
        <v>4.6899999999999997E-2</v>
      </c>
      <c r="C436">
        <v>5.9400000000000001E-2</v>
      </c>
      <c r="D436">
        <v>4.3499999999999997E-2</v>
      </c>
      <c r="E436">
        <v>5.2999999999999999E-2</v>
      </c>
      <c r="F436">
        <v>29575853.010000002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0.19496855345911934</v>
      </c>
      <c r="Q436">
        <f t="shared" si="975"/>
        <v>5766361.2786792414</v>
      </c>
      <c r="R436">
        <f t="shared" si="976"/>
        <v>-16850741.63753226</v>
      </c>
      <c r="S436">
        <f t="shared" si="977"/>
        <v>-168.50741637532261</v>
      </c>
      <c r="T436">
        <f t="shared" si="978"/>
        <v>-0.1685074163753226</v>
      </c>
    </row>
    <row r="437" spans="1:20" x14ac:dyDescent="0.25">
      <c r="A437" s="5">
        <v>44156</v>
      </c>
      <c r="B437">
        <v>4.3900000000000002E-2</v>
      </c>
      <c r="C437">
        <v>4.9200000000000001E-2</v>
      </c>
      <c r="D437">
        <v>4.3299999999999998E-2</v>
      </c>
      <c r="E437">
        <v>4.6600000000000003E-2</v>
      </c>
      <c r="F437">
        <v>8020492.6299999999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0.11864406779661117</v>
      </c>
      <c r="Q437">
        <f t="shared" si="975"/>
        <v>951583.87135594024</v>
      </c>
      <c r="R437">
        <f t="shared" si="976"/>
        <v>-22617102.916211501</v>
      </c>
      <c r="S437">
        <f t="shared" si="977"/>
        <v>-226.17102916211502</v>
      </c>
      <c r="T437">
        <f t="shared" si="978"/>
        <v>-0.22617102916211501</v>
      </c>
    </row>
    <row r="438" spans="1:20" x14ac:dyDescent="0.25">
      <c r="A438" s="5">
        <v>44155</v>
      </c>
      <c r="B438">
        <v>4.2200000000000001E-2</v>
      </c>
      <c r="C438">
        <v>4.5199999999999997E-2</v>
      </c>
      <c r="D438">
        <v>4.1000000000000002E-2</v>
      </c>
      <c r="E438">
        <v>4.3799999999999999E-2</v>
      </c>
      <c r="F438">
        <v>4894654.62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0.33333333333333331</v>
      </c>
      <c r="Q438">
        <f t="shared" si="975"/>
        <v>1631551.54</v>
      </c>
      <c r="R438">
        <f t="shared" si="976"/>
        <v>-23568686.78756744</v>
      </c>
      <c r="S438">
        <f t="shared" si="977"/>
        <v>-235.68686787567441</v>
      </c>
      <c r="T438">
        <f t="shared" si="978"/>
        <v>-0.23568686787567442</v>
      </c>
    </row>
    <row r="439" spans="1:20" x14ac:dyDescent="0.25">
      <c r="A439" s="5">
        <v>44154</v>
      </c>
      <c r="B439">
        <v>4.1799999999999997E-2</v>
      </c>
      <c r="C439">
        <v>4.3200000000000002E-2</v>
      </c>
      <c r="D439">
        <v>4.0899999999999999E-2</v>
      </c>
      <c r="E439">
        <v>4.2200000000000001E-2</v>
      </c>
      <c r="F439">
        <v>2222774.06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0.13043478260869618</v>
      </c>
      <c r="Q439">
        <f t="shared" si="975"/>
        <v>289927.05130434898</v>
      </c>
      <c r="R439">
        <f t="shared" si="976"/>
        <v>-25200238.32756744</v>
      </c>
      <c r="S439">
        <f t="shared" si="977"/>
        <v>-252.00238327567439</v>
      </c>
      <c r="T439">
        <f t="shared" si="978"/>
        <v>-0.25200238327567437</v>
      </c>
    </row>
    <row r="440" spans="1:20" x14ac:dyDescent="0.25">
      <c r="A440" s="5">
        <v>44153</v>
      </c>
      <c r="B440">
        <v>4.4600000000000001E-2</v>
      </c>
      <c r="C440">
        <v>4.58E-2</v>
      </c>
      <c r="D440">
        <v>3.95E-2</v>
      </c>
      <c r="E440">
        <v>4.19E-2</v>
      </c>
      <c r="F440">
        <v>5939497.1500000004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-0.2380952380952383</v>
      </c>
      <c r="Q440">
        <f t="shared" si="975"/>
        <v>-1414165.9880952395</v>
      </c>
      <c r="R440">
        <f t="shared" si="976"/>
        <v>-25490165.378871787</v>
      </c>
      <c r="S440">
        <f t="shared" si="977"/>
        <v>-254.90165378871788</v>
      </c>
      <c r="T440">
        <f t="shared" si="978"/>
        <v>-0.25490165378871787</v>
      </c>
    </row>
    <row r="441" spans="1:20" x14ac:dyDescent="0.25">
      <c r="A441" s="5">
        <v>44152</v>
      </c>
      <c r="B441">
        <v>4.2999999999999997E-2</v>
      </c>
      <c r="C441">
        <v>4.5999999999999999E-2</v>
      </c>
      <c r="D441">
        <v>4.2599999999999999E-2</v>
      </c>
      <c r="E441">
        <v>4.4699999999999997E-2</v>
      </c>
      <c r="F441">
        <v>5675180.9199999999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0.23529411764705738</v>
      </c>
      <c r="Q441">
        <f t="shared" si="975"/>
        <v>1335336.6870588153</v>
      </c>
      <c r="R441">
        <f t="shared" si="976"/>
        <v>-24075999.390776549</v>
      </c>
      <c r="S441">
        <f t="shared" si="977"/>
        <v>-240.75999390776548</v>
      </c>
      <c r="T441">
        <f t="shared" si="978"/>
        <v>-0.24075999390776548</v>
      </c>
    </row>
    <row r="442" spans="1:20" x14ac:dyDescent="0.25">
      <c r="A442" s="5">
        <v>44151</v>
      </c>
      <c r="B442">
        <v>4.2299999999999997E-2</v>
      </c>
      <c r="C442">
        <v>4.4999999999999998E-2</v>
      </c>
      <c r="D442">
        <v>4.2099999999999999E-2</v>
      </c>
      <c r="E442">
        <v>4.3200000000000002E-2</v>
      </c>
      <c r="F442">
        <v>3972911.72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-0.24137931034482493</v>
      </c>
      <c r="Q442">
        <f t="shared" si="975"/>
        <v>-958978.69103447231</v>
      </c>
      <c r="R442">
        <f t="shared" si="976"/>
        <v>-25411336.077835362</v>
      </c>
      <c r="S442">
        <f t="shared" si="977"/>
        <v>-254.11336077835364</v>
      </c>
      <c r="T442">
        <f t="shared" si="978"/>
        <v>-0.25411336077835361</v>
      </c>
    </row>
    <row r="443" spans="1:20" x14ac:dyDescent="0.25">
      <c r="A443" s="5">
        <v>44150</v>
      </c>
      <c r="B443">
        <v>4.3999999999999997E-2</v>
      </c>
      <c r="C443">
        <v>4.4400000000000002E-2</v>
      </c>
      <c r="D443">
        <v>4.1700000000000001E-2</v>
      </c>
      <c r="E443">
        <v>4.2299999999999997E-2</v>
      </c>
      <c r="F443">
        <v>3053797.81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-0.55555555555555836</v>
      </c>
      <c r="Q443">
        <f t="shared" si="975"/>
        <v>-1696554.3388888976</v>
      </c>
      <c r="R443">
        <f t="shared" si="976"/>
        <v>-24452357.386800889</v>
      </c>
      <c r="S443">
        <f t="shared" si="977"/>
        <v>-244.5235738680089</v>
      </c>
      <c r="T443">
        <f t="shared" si="978"/>
        <v>-0.24452357386800891</v>
      </c>
    </row>
    <row r="444" spans="1:20" x14ac:dyDescent="0.25">
      <c r="A444" s="5">
        <v>44149</v>
      </c>
      <c r="B444">
        <v>4.5100000000000001E-2</v>
      </c>
      <c r="C444">
        <v>4.6100000000000002E-2</v>
      </c>
      <c r="D444">
        <v>4.2599999999999999E-2</v>
      </c>
      <c r="E444">
        <v>4.3700000000000003E-2</v>
      </c>
      <c r="F444">
        <v>2423516.3199999998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-0.37142857142856983</v>
      </c>
      <c r="Q444">
        <f t="shared" si="975"/>
        <v>-900163.20457142463</v>
      </c>
      <c r="R444">
        <f t="shared" si="976"/>
        <v>-22755803.04791199</v>
      </c>
      <c r="S444">
        <f t="shared" si="977"/>
        <v>-227.55803047911991</v>
      </c>
      <c r="T444">
        <f t="shared" si="978"/>
        <v>-0.2275580304791199</v>
      </c>
    </row>
    <row r="445" spans="1:20" x14ac:dyDescent="0.25">
      <c r="A445" s="5">
        <v>44148</v>
      </c>
      <c r="B445">
        <v>4.3799999999999999E-2</v>
      </c>
      <c r="C445">
        <v>4.5999999999999999E-2</v>
      </c>
      <c r="D445">
        <v>4.3099999999999999E-2</v>
      </c>
      <c r="E445">
        <v>4.4999999999999998E-2</v>
      </c>
      <c r="F445">
        <v>2416628.04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0.31034482758620624</v>
      </c>
      <c r="Q445">
        <f t="shared" si="975"/>
        <v>749988.0124137915</v>
      </c>
      <c r="R445">
        <f t="shared" si="976"/>
        <v>-21855639.843340565</v>
      </c>
      <c r="S445">
        <f t="shared" si="977"/>
        <v>-218.55639843340563</v>
      </c>
      <c r="T445">
        <f t="shared" si="978"/>
        <v>-0.21855639843340563</v>
      </c>
    </row>
    <row r="446" spans="1:20" x14ac:dyDescent="0.25">
      <c r="A446" s="5">
        <v>44147</v>
      </c>
      <c r="B446">
        <v>4.53E-2</v>
      </c>
      <c r="C446">
        <v>4.7100000000000003E-2</v>
      </c>
      <c r="D446">
        <v>4.2099999999999999E-2</v>
      </c>
      <c r="E446">
        <v>4.3700000000000003E-2</v>
      </c>
      <c r="F446">
        <v>2767522.78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-0.35999999999999888</v>
      </c>
      <c r="Q446">
        <f t="shared" si="975"/>
        <v>-996308.20079999685</v>
      </c>
      <c r="R446">
        <f t="shared" si="976"/>
        <v>-22605627.855754357</v>
      </c>
      <c r="S446">
        <f t="shared" si="977"/>
        <v>-226.05627855754358</v>
      </c>
      <c r="T446">
        <f t="shared" si="978"/>
        <v>-0.22605627855754357</v>
      </c>
    </row>
    <row r="447" spans="1:20" x14ac:dyDescent="0.25">
      <c r="A447" s="5">
        <v>44146</v>
      </c>
      <c r="B447">
        <v>4.6899999999999997E-2</v>
      </c>
      <c r="C447">
        <v>5.2200000000000003E-2</v>
      </c>
      <c r="D447">
        <v>4.5100000000000001E-2</v>
      </c>
      <c r="E447">
        <v>4.53E-2</v>
      </c>
      <c r="F447">
        <v>12892039.75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-0.94366197183098632</v>
      </c>
      <c r="Q447">
        <f t="shared" si="975"/>
        <v>-12165727.651408456</v>
      </c>
      <c r="R447">
        <f t="shared" si="976"/>
        <v>-21609319.654954359</v>
      </c>
      <c r="S447">
        <f t="shared" si="977"/>
        <v>-216.09319654954359</v>
      </c>
      <c r="T447">
        <f t="shared" si="978"/>
        <v>-0.21609319654954359</v>
      </c>
    </row>
    <row r="448" spans="1:20" x14ac:dyDescent="0.25">
      <c r="A448" s="5">
        <v>44145</v>
      </c>
      <c r="B448">
        <v>4.58E-2</v>
      </c>
      <c r="C448">
        <v>5.0599999999999999E-2</v>
      </c>
      <c r="D448">
        <v>4.3400000000000001E-2</v>
      </c>
      <c r="E448">
        <v>4.6899999999999997E-2</v>
      </c>
      <c r="F448">
        <v>13120646.460000001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-2.7777777777778581E-2</v>
      </c>
      <c r="Q448">
        <f t="shared" si="975"/>
        <v>-364462.40166667721</v>
      </c>
      <c r="R448">
        <f t="shared" si="976"/>
        <v>-9443592.0035459045</v>
      </c>
      <c r="S448">
        <f t="shared" si="977"/>
        <v>-94.435920035459048</v>
      </c>
      <c r="T448">
        <f t="shared" si="978"/>
        <v>-9.4435920035459045E-2</v>
      </c>
    </row>
    <row r="449" spans="1:20" x14ac:dyDescent="0.25">
      <c r="A449" s="5">
        <v>44144</v>
      </c>
      <c r="B449">
        <v>4.8399999999999999E-2</v>
      </c>
      <c r="C449">
        <v>4.9599999999999998E-2</v>
      </c>
      <c r="D449">
        <v>4.4499999999999998E-2</v>
      </c>
      <c r="E449">
        <v>4.6100000000000002E-2</v>
      </c>
      <c r="F449">
        <v>6273469.0499999998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-0.37254901960784154</v>
      </c>
      <c r="Q449">
        <f t="shared" si="975"/>
        <v>-2337174.7441176372</v>
      </c>
      <c r="R449">
        <f t="shared" si="976"/>
        <v>-9079129.6018792279</v>
      </c>
      <c r="S449">
        <f t="shared" si="977"/>
        <v>-90.791296018792281</v>
      </c>
      <c r="T449">
        <f t="shared" si="978"/>
        <v>-9.0791296018792281E-2</v>
      </c>
    </row>
    <row r="450" spans="1:20" x14ac:dyDescent="0.25">
      <c r="A450" s="5">
        <v>44143</v>
      </c>
      <c r="B450">
        <v>4.58E-2</v>
      </c>
      <c r="C450">
        <v>4.9099999999999998E-2</v>
      </c>
      <c r="D450">
        <v>4.4600000000000001E-2</v>
      </c>
      <c r="E450">
        <v>4.8300000000000003E-2</v>
      </c>
      <c r="F450">
        <v>4927344.7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0.64444444444444637</v>
      </c>
      <c r="Q450">
        <f t="shared" si="975"/>
        <v>3175399.9177777874</v>
      </c>
      <c r="R450">
        <f t="shared" si="976"/>
        <v>-6741954.8577615917</v>
      </c>
      <c r="S450">
        <f t="shared" si="977"/>
        <v>-67.419548577615913</v>
      </c>
      <c r="T450">
        <f t="shared" si="978"/>
        <v>-6.7419548577615909E-2</v>
      </c>
    </row>
    <row r="451" spans="1:20" x14ac:dyDescent="0.25">
      <c r="A451" s="5">
        <v>44142</v>
      </c>
      <c r="B451">
        <v>5.04E-2</v>
      </c>
      <c r="C451">
        <v>5.57E-2</v>
      </c>
      <c r="D451">
        <v>4.3400000000000001E-2</v>
      </c>
      <c r="E451">
        <v>4.5999999999999999E-2</v>
      </c>
      <c r="F451">
        <v>9004421.0899999999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-0.57723577235772383</v>
      </c>
      <c r="Q451">
        <f t="shared" si="975"/>
        <v>-5197673.9625203274</v>
      </c>
      <c r="R451">
        <f t="shared" si="976"/>
        <v>-9917354.7755393796</v>
      </c>
      <c r="S451">
        <f t="shared" si="977"/>
        <v>-99.173547755393798</v>
      </c>
      <c r="T451">
        <f t="shared" si="978"/>
        <v>-9.9173547755393804E-2</v>
      </c>
    </row>
    <row r="452" spans="1:20" x14ac:dyDescent="0.25">
      <c r="A452" s="5">
        <v>44141</v>
      </c>
      <c r="B452">
        <v>4.7800000000000002E-2</v>
      </c>
      <c r="C452">
        <v>5.1200000000000002E-2</v>
      </c>
      <c r="D452">
        <v>4.6399999999999997E-2</v>
      </c>
      <c r="E452">
        <v>5.04E-2</v>
      </c>
      <c r="F452">
        <v>3319059.53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0.66666666666666619</v>
      </c>
      <c r="Q452">
        <f t="shared" si="975"/>
        <v>2212706.3533333316</v>
      </c>
      <c r="R452">
        <f t="shared" si="976"/>
        <v>-4719680.8130190521</v>
      </c>
      <c r="S452">
        <f t="shared" si="977"/>
        <v>-47.196808130190519</v>
      </c>
      <c r="T452">
        <f t="shared" si="978"/>
        <v>-4.7196808130190518E-2</v>
      </c>
    </row>
    <row r="453" spans="1:20" x14ac:dyDescent="0.25">
      <c r="A453" s="5">
        <v>44140</v>
      </c>
      <c r="B453">
        <v>4.3499999999999997E-2</v>
      </c>
      <c r="C453">
        <v>4.9200000000000001E-2</v>
      </c>
      <c r="D453">
        <v>4.1799999999999997E-2</v>
      </c>
      <c r="E453">
        <v>4.7899999999999998E-2</v>
      </c>
      <c r="F453">
        <v>4131002.4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0.64864864864864813</v>
      </c>
      <c r="Q453">
        <f t="shared" si="975"/>
        <v>2679569.1243243222</v>
      </c>
      <c r="R453">
        <f t="shared" si="976"/>
        <v>-6932387.1663523838</v>
      </c>
      <c r="S453">
        <f t="shared" si="977"/>
        <v>-69.323871663523832</v>
      </c>
      <c r="T453">
        <f t="shared" si="978"/>
        <v>-6.9323871663523828E-2</v>
      </c>
    </row>
    <row r="454" spans="1:20" x14ac:dyDescent="0.25">
      <c r="A454" s="5">
        <v>44139</v>
      </c>
      <c r="B454">
        <v>4.4200000000000003E-2</v>
      </c>
      <c r="C454">
        <v>4.4900000000000002E-2</v>
      </c>
      <c r="D454">
        <v>4.1700000000000001E-2</v>
      </c>
      <c r="E454">
        <v>4.3299999999999998E-2</v>
      </c>
      <c r="F454">
        <v>3812498.79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-2.1684043449710081E-15</v>
      </c>
      <c r="Q454">
        <f t="shared" ref="Q454:Q517" si="980">F454*P454</f>
        <v>-8.2670389414327106E-9</v>
      </c>
      <c r="R454">
        <f t="shared" ref="R454:R517" si="981">R455+Q454</f>
        <v>-9611956.2906767055</v>
      </c>
      <c r="S454">
        <f t="shared" ref="S454:S517" si="982">R454/100000</f>
        <v>-96.119562906767058</v>
      </c>
      <c r="T454">
        <f t="shared" ref="T454:T517" si="983">S454/1000</f>
        <v>-9.6119562906767056E-2</v>
      </c>
    </row>
    <row r="455" spans="1:20" x14ac:dyDescent="0.25">
      <c r="A455" s="5">
        <v>44138</v>
      </c>
      <c r="B455">
        <v>4.8399999999999999E-2</v>
      </c>
      <c r="C455">
        <v>5.1200000000000002E-2</v>
      </c>
      <c r="D455">
        <v>4.3799999999999999E-2</v>
      </c>
      <c r="E455">
        <v>4.41E-2</v>
      </c>
      <c r="F455">
        <v>7692994.8300000001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-0.91891891891891853</v>
      </c>
      <c r="Q455">
        <f t="shared" si="980"/>
        <v>-7069238.4924324295</v>
      </c>
      <c r="R455">
        <f t="shared" si="981"/>
        <v>-9611956.2906766981</v>
      </c>
      <c r="S455">
        <f t="shared" si="982"/>
        <v>-96.119562906766987</v>
      </c>
      <c r="T455">
        <f t="shared" si="983"/>
        <v>-9.6119562906766987E-2</v>
      </c>
    </row>
    <row r="456" spans="1:20" x14ac:dyDescent="0.25">
      <c r="A456" s="5">
        <v>44137</v>
      </c>
      <c r="B456">
        <v>5.33E-2</v>
      </c>
      <c r="C456">
        <v>5.3900000000000003E-2</v>
      </c>
      <c r="D456">
        <v>4.7100000000000003E-2</v>
      </c>
      <c r="E456">
        <v>4.8099999999999997E-2</v>
      </c>
      <c r="F456">
        <v>10903745.16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-0.70588235294117829</v>
      </c>
      <c r="Q456">
        <f t="shared" si="980"/>
        <v>-7696761.2894117851</v>
      </c>
      <c r="R456">
        <f t="shared" si="981"/>
        <v>-2542717.7982442677</v>
      </c>
      <c r="S456">
        <f t="shared" si="982"/>
        <v>-25.427177982442679</v>
      </c>
      <c r="T456">
        <f t="shared" si="983"/>
        <v>-2.5427177982442678E-2</v>
      </c>
    </row>
    <row r="457" spans="1:20" x14ac:dyDescent="0.25">
      <c r="A457" s="5">
        <v>44136</v>
      </c>
      <c r="B457">
        <v>4.65E-2</v>
      </c>
      <c r="C457">
        <v>5.8900000000000001E-2</v>
      </c>
      <c r="D457">
        <v>4.6399999999999997E-2</v>
      </c>
      <c r="E457">
        <v>5.3199999999999997E-2</v>
      </c>
      <c r="F457">
        <v>22630503.109999999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8.7999999999999717E-2</v>
      </c>
      <c r="Q457">
        <f t="shared" si="980"/>
        <v>1991484.2736799936</v>
      </c>
      <c r="R457">
        <f t="shared" si="981"/>
        <v>5154043.4911675174</v>
      </c>
      <c r="S457">
        <f t="shared" si="982"/>
        <v>51.54043491167517</v>
      </c>
      <c r="T457">
        <f t="shared" si="983"/>
        <v>5.1540434911675169E-2</v>
      </c>
    </row>
    <row r="458" spans="1:20" x14ac:dyDescent="0.25">
      <c r="A458" s="5">
        <v>44135</v>
      </c>
      <c r="B458">
        <v>4.82E-2</v>
      </c>
      <c r="C458">
        <v>5.4800000000000001E-2</v>
      </c>
      <c r="D458">
        <v>4.3900000000000002E-2</v>
      </c>
      <c r="E458">
        <v>4.6399999999999997E-2</v>
      </c>
      <c r="F458">
        <v>16302171.92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-0.54128440366972563</v>
      </c>
      <c r="Q458">
        <f t="shared" si="980"/>
        <v>-8824111.4062385466</v>
      </c>
      <c r="R458">
        <f t="shared" si="981"/>
        <v>3162559.2174875233</v>
      </c>
      <c r="S458">
        <f t="shared" si="982"/>
        <v>31.625592174875234</v>
      </c>
      <c r="T458">
        <f t="shared" si="983"/>
        <v>3.1625592174875233E-2</v>
      </c>
    </row>
    <row r="459" spans="1:20" x14ac:dyDescent="0.25">
      <c r="A459" s="5">
        <v>44134</v>
      </c>
      <c r="B459">
        <v>4.1500000000000002E-2</v>
      </c>
      <c r="C459">
        <v>8.2000000000000003E-2</v>
      </c>
      <c r="D459">
        <v>3.9399999999999998E-2</v>
      </c>
      <c r="E459">
        <v>4.8300000000000003E-2</v>
      </c>
      <c r="F459">
        <v>56994703.600000001</v>
      </c>
      <c r="G459">
        <v>0</v>
      </c>
      <c r="L459" t="s">
        <v>8</v>
      </c>
      <c r="M459" t="s">
        <v>8</v>
      </c>
      <c r="N459" t="s">
        <v>8</v>
      </c>
      <c r="P459">
        <f t="shared" si="979"/>
        <v>-0.58215962441314539</v>
      </c>
      <c r="Q459">
        <f t="shared" si="980"/>
        <v>-33180015.241314545</v>
      </c>
      <c r="R459">
        <f t="shared" si="981"/>
        <v>11986670.62372607</v>
      </c>
      <c r="S459">
        <f t="shared" si="982"/>
        <v>119.8667062372607</v>
      </c>
      <c r="T459">
        <f t="shared" si="983"/>
        <v>0.1198667062372607</v>
      </c>
    </row>
    <row r="460" spans="1:20" x14ac:dyDescent="0.25">
      <c r="A460" s="5">
        <v>44133</v>
      </c>
      <c r="B460">
        <v>3.7499999999999999E-2</v>
      </c>
      <c r="C460">
        <v>4.5699999999999998E-2</v>
      </c>
      <c r="D460">
        <v>3.6700000000000003E-2</v>
      </c>
      <c r="E460">
        <v>4.1500000000000002E-2</v>
      </c>
      <c r="F460">
        <v>4607712.49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6.6666666666667082E-2</v>
      </c>
      <c r="Q460">
        <f t="shared" si="980"/>
        <v>307180.83266666858</v>
      </c>
      <c r="R460">
        <f t="shared" si="981"/>
        <v>45166685.865040615</v>
      </c>
      <c r="S460">
        <f t="shared" si="982"/>
        <v>451.66685865040614</v>
      </c>
      <c r="T460">
        <f t="shared" si="983"/>
        <v>0.45166685865040612</v>
      </c>
    </row>
    <row r="461" spans="1:20" x14ac:dyDescent="0.25">
      <c r="A461" s="5">
        <v>44132</v>
      </c>
      <c r="B461">
        <v>4.0500000000000001E-2</v>
      </c>
      <c r="C461">
        <v>4.1700000000000001E-2</v>
      </c>
      <c r="D461">
        <v>3.6799999999999999E-2</v>
      </c>
      <c r="E461">
        <v>3.73E-2</v>
      </c>
      <c r="F461">
        <v>3063125.16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-0.79591836734693866</v>
      </c>
      <c r="Q461">
        <f t="shared" si="980"/>
        <v>-2437997.5763265304</v>
      </c>
      <c r="R461">
        <f t="shared" si="981"/>
        <v>44859505.03237395</v>
      </c>
      <c r="S461">
        <f t="shared" si="982"/>
        <v>448.59505032373949</v>
      </c>
      <c r="T461">
        <f t="shared" si="983"/>
        <v>0.44859505032373947</v>
      </c>
    </row>
    <row r="462" spans="1:20" x14ac:dyDescent="0.25">
      <c r="A462" s="5">
        <v>44131</v>
      </c>
      <c r="B462">
        <v>3.8600000000000002E-2</v>
      </c>
      <c r="C462">
        <v>4.3299999999999998E-2</v>
      </c>
      <c r="D462">
        <v>3.7600000000000001E-2</v>
      </c>
      <c r="E462">
        <v>4.0500000000000001E-2</v>
      </c>
      <c r="F462">
        <v>3835505.01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1.754385964912332E-2</v>
      </c>
      <c r="Q462">
        <f t="shared" si="980"/>
        <v>67289.561578949331</v>
      </c>
      <c r="R462">
        <f t="shared" si="981"/>
        <v>47297502.608700477</v>
      </c>
      <c r="S462">
        <f t="shared" si="982"/>
        <v>472.97502608700478</v>
      </c>
      <c r="T462">
        <f t="shared" si="983"/>
        <v>0.47297502608700476</v>
      </c>
    </row>
    <row r="463" spans="1:20" x14ac:dyDescent="0.25">
      <c r="A463" s="5">
        <v>44130</v>
      </c>
      <c r="B463">
        <v>3.9199999999999999E-2</v>
      </c>
      <c r="C463">
        <v>4.0099999999999997E-2</v>
      </c>
      <c r="D463">
        <v>3.7699999999999997E-2</v>
      </c>
      <c r="E463">
        <v>3.8600000000000002E-2</v>
      </c>
      <c r="F463">
        <v>1220077.92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-0.24999999999999567</v>
      </c>
      <c r="Q463">
        <f t="shared" si="980"/>
        <v>-305019.47999999468</v>
      </c>
      <c r="R463">
        <f t="shared" si="981"/>
        <v>47230213.047121525</v>
      </c>
      <c r="S463">
        <f t="shared" si="982"/>
        <v>472.30213047121526</v>
      </c>
      <c r="T463">
        <f t="shared" si="983"/>
        <v>0.47230213047121528</v>
      </c>
    </row>
    <row r="464" spans="1:20" x14ac:dyDescent="0.25">
      <c r="A464" s="5">
        <v>44129</v>
      </c>
      <c r="B464">
        <v>3.9800000000000002E-2</v>
      </c>
      <c r="C464">
        <v>4.0500000000000001E-2</v>
      </c>
      <c r="D464">
        <v>3.8300000000000001E-2</v>
      </c>
      <c r="E464">
        <v>3.9199999999999999E-2</v>
      </c>
      <c r="F464">
        <v>545841.79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-0.18181818181818382</v>
      </c>
      <c r="Q464">
        <f t="shared" si="980"/>
        <v>-99243.961818182914</v>
      </c>
      <c r="R464">
        <f t="shared" si="981"/>
        <v>47535232.527121522</v>
      </c>
      <c r="S464">
        <f t="shared" si="982"/>
        <v>475.35232527121519</v>
      </c>
      <c r="T464">
        <f t="shared" si="983"/>
        <v>0.47535232527121518</v>
      </c>
    </row>
    <row r="465" spans="1:20" x14ac:dyDescent="0.25">
      <c r="A465" s="5">
        <v>44128</v>
      </c>
      <c r="B465">
        <v>4.0300000000000002E-2</v>
      </c>
      <c r="C465">
        <v>4.0800000000000003E-2</v>
      </c>
      <c r="D465">
        <v>3.95E-2</v>
      </c>
      <c r="E465">
        <v>0.04</v>
      </c>
      <c r="F465">
        <v>816337.3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-0.23076923076923159</v>
      </c>
      <c r="Q465">
        <f t="shared" si="980"/>
        <v>-188385.53076923144</v>
      </c>
      <c r="R465">
        <f t="shared" si="981"/>
        <v>47634476.488939703</v>
      </c>
      <c r="S465">
        <f t="shared" si="982"/>
        <v>476.34476488939703</v>
      </c>
      <c r="T465">
        <f t="shared" si="983"/>
        <v>0.47634476488939703</v>
      </c>
    </row>
    <row r="466" spans="1:20" x14ac:dyDescent="0.25">
      <c r="A466" s="5">
        <v>44127</v>
      </c>
      <c r="B466">
        <v>4.02E-2</v>
      </c>
      <c r="C466">
        <v>4.2000000000000003E-2</v>
      </c>
      <c r="D466">
        <v>3.9199999999999999E-2</v>
      </c>
      <c r="E466">
        <v>4.0399999999999998E-2</v>
      </c>
      <c r="F466">
        <v>1623368.73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-0.14285714285714426</v>
      </c>
      <c r="Q466">
        <f t="shared" si="980"/>
        <v>-231909.81857143086</v>
      </c>
      <c r="R466">
        <f t="shared" si="981"/>
        <v>47822862.019708931</v>
      </c>
      <c r="S466">
        <f t="shared" si="982"/>
        <v>478.2286201970893</v>
      </c>
      <c r="T466">
        <f t="shared" si="983"/>
        <v>0.47822862019708928</v>
      </c>
    </row>
    <row r="467" spans="1:20" x14ac:dyDescent="0.25">
      <c r="A467" s="5">
        <v>44126</v>
      </c>
      <c r="B467">
        <v>3.85E-2</v>
      </c>
      <c r="C467">
        <v>4.2000000000000003E-2</v>
      </c>
      <c r="D467">
        <v>3.8199999999999998E-2</v>
      </c>
      <c r="E467">
        <v>4.02E-2</v>
      </c>
      <c r="F467">
        <v>1894813.87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5.2631578947368036E-2</v>
      </c>
      <c r="Q467">
        <f t="shared" si="980"/>
        <v>99727.045789472962</v>
      </c>
      <c r="R467">
        <f t="shared" si="981"/>
        <v>48054771.838280365</v>
      </c>
      <c r="S467">
        <f t="shared" si="982"/>
        <v>480.54771838280362</v>
      </c>
      <c r="T467">
        <f t="shared" si="983"/>
        <v>0.48054771838280363</v>
      </c>
    </row>
    <row r="468" spans="1:20" x14ac:dyDescent="0.25">
      <c r="A468" s="5">
        <v>44125</v>
      </c>
      <c r="B468">
        <v>3.6900000000000002E-2</v>
      </c>
      <c r="C468">
        <v>3.9899999999999998E-2</v>
      </c>
      <c r="D468">
        <v>3.6499999999999998E-2</v>
      </c>
      <c r="E468">
        <v>3.8399999999999997E-2</v>
      </c>
      <c r="F468">
        <v>2308043.5699999998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0.11764705882352869</v>
      </c>
      <c r="Q468">
        <f t="shared" si="980"/>
        <v>271534.53764705715</v>
      </c>
      <c r="R468">
        <f t="shared" si="981"/>
        <v>47955044.792490892</v>
      </c>
      <c r="S468">
        <f t="shared" si="982"/>
        <v>479.55044792490889</v>
      </c>
      <c r="T468">
        <f t="shared" si="983"/>
        <v>0.47955044792490892</v>
      </c>
    </row>
    <row r="469" spans="1:20" x14ac:dyDescent="0.25">
      <c r="A469" s="5">
        <v>44124</v>
      </c>
      <c r="B469">
        <v>3.9300000000000002E-2</v>
      </c>
      <c r="C469">
        <v>4.1000000000000002E-2</v>
      </c>
      <c r="D469">
        <v>3.5900000000000001E-2</v>
      </c>
      <c r="E469">
        <v>3.6700000000000003E-2</v>
      </c>
      <c r="F469">
        <v>2687513.06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-0.6862745098039208</v>
      </c>
      <c r="Q469">
        <f t="shared" si="980"/>
        <v>-1844371.7078431351</v>
      </c>
      <c r="R469">
        <f t="shared" si="981"/>
        <v>47683510.254843839</v>
      </c>
      <c r="S469">
        <f t="shared" si="982"/>
        <v>476.83510254843839</v>
      </c>
      <c r="T469">
        <f t="shared" si="983"/>
        <v>0.47683510254843836</v>
      </c>
    </row>
    <row r="470" spans="1:20" x14ac:dyDescent="0.25">
      <c r="A470" s="5">
        <v>44123</v>
      </c>
      <c r="B470">
        <v>3.9899999999999998E-2</v>
      </c>
      <c r="C470">
        <v>4.0800000000000003E-2</v>
      </c>
      <c r="D470">
        <v>3.8199999999999998E-2</v>
      </c>
      <c r="E470">
        <v>3.9300000000000002E-2</v>
      </c>
      <c r="F470">
        <v>2154094.4900000002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-0.15384615384615261</v>
      </c>
      <c r="Q470">
        <f t="shared" si="980"/>
        <v>-331399.15230768966</v>
      </c>
      <c r="R470">
        <f t="shared" si="981"/>
        <v>49527881.962686971</v>
      </c>
      <c r="S470">
        <f t="shared" si="982"/>
        <v>495.27881962686973</v>
      </c>
      <c r="T470">
        <f t="shared" si="983"/>
        <v>0.49527881962686976</v>
      </c>
    </row>
    <row r="471" spans="1:20" x14ac:dyDescent="0.25">
      <c r="A471" s="5">
        <v>44122</v>
      </c>
      <c r="B471">
        <v>3.9300000000000002E-2</v>
      </c>
      <c r="C471">
        <v>4.1000000000000002E-2</v>
      </c>
      <c r="D471">
        <v>3.9E-2</v>
      </c>
      <c r="E471">
        <v>3.9899999999999998E-2</v>
      </c>
      <c r="F471">
        <v>1795304.87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-0.10000000000000278</v>
      </c>
      <c r="Q471">
        <f t="shared" si="980"/>
        <v>-179530.487000005</v>
      </c>
      <c r="R471">
        <f t="shared" si="981"/>
        <v>49859281.11499466</v>
      </c>
      <c r="S471">
        <f t="shared" si="982"/>
        <v>498.59281114994661</v>
      </c>
      <c r="T471">
        <f t="shared" si="983"/>
        <v>0.49859281114994664</v>
      </c>
    </row>
    <row r="472" spans="1:20" x14ac:dyDescent="0.25">
      <c r="A472" s="5">
        <v>44121</v>
      </c>
      <c r="B472">
        <v>3.85E-2</v>
      </c>
      <c r="C472">
        <v>4.0099999999999997E-2</v>
      </c>
      <c r="D472">
        <v>3.8399999999999997E-2</v>
      </c>
      <c r="E472">
        <v>3.95E-2</v>
      </c>
      <c r="F472">
        <v>1492937.71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0.29411764705882787</v>
      </c>
      <c r="Q472">
        <f t="shared" si="980"/>
        <v>439099.32647059468</v>
      </c>
      <c r="R472">
        <f t="shared" si="981"/>
        <v>50038811.601994663</v>
      </c>
      <c r="S472">
        <f t="shared" si="982"/>
        <v>500.38811601994661</v>
      </c>
      <c r="T472">
        <f t="shared" si="983"/>
        <v>0.50038811601994659</v>
      </c>
    </row>
    <row r="473" spans="1:20" x14ac:dyDescent="0.25">
      <c r="A473" s="5">
        <v>44120</v>
      </c>
      <c r="B473">
        <v>4.1500000000000002E-2</v>
      </c>
      <c r="C473">
        <v>4.1500000000000002E-2</v>
      </c>
      <c r="D473">
        <v>3.7699999999999997E-2</v>
      </c>
      <c r="E473">
        <v>3.85E-2</v>
      </c>
      <c r="F473">
        <v>3301342.84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-0.5789473684210521</v>
      </c>
      <c r="Q473">
        <f t="shared" si="980"/>
        <v>-1911303.7494736824</v>
      </c>
      <c r="R473">
        <f t="shared" si="981"/>
        <v>49599712.275524072</v>
      </c>
      <c r="S473">
        <f t="shared" si="982"/>
        <v>495.9971227552407</v>
      </c>
      <c r="T473">
        <f t="shared" si="983"/>
        <v>0.49599712275524072</v>
      </c>
    </row>
    <row r="474" spans="1:20" x14ac:dyDescent="0.25">
      <c r="A474" s="5">
        <v>44119</v>
      </c>
      <c r="B474">
        <v>4.5100000000000001E-2</v>
      </c>
      <c r="C474">
        <v>4.5100000000000001E-2</v>
      </c>
      <c r="D474">
        <v>4.02E-2</v>
      </c>
      <c r="E474">
        <v>4.1500000000000002E-2</v>
      </c>
      <c r="F474">
        <v>7095285.2599999998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-0.46938775510203995</v>
      </c>
      <c r="Q474">
        <f t="shared" si="980"/>
        <v>-3330440.019999994</v>
      </c>
      <c r="R474">
        <f t="shared" si="981"/>
        <v>51511016.024997756</v>
      </c>
      <c r="S474">
        <f t="shared" si="982"/>
        <v>515.11016024997753</v>
      </c>
      <c r="T474">
        <f t="shared" si="983"/>
        <v>0.51511016024997758</v>
      </c>
    </row>
    <row r="475" spans="1:20" x14ac:dyDescent="0.25">
      <c r="A475" s="5">
        <v>44118</v>
      </c>
      <c r="B475">
        <v>4.8300000000000003E-2</v>
      </c>
      <c r="C475">
        <v>4.9200000000000001E-2</v>
      </c>
      <c r="D475">
        <v>4.3700000000000003E-2</v>
      </c>
      <c r="E475">
        <v>4.5100000000000001E-2</v>
      </c>
      <c r="F475">
        <v>5223531.0599999996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-0.49090909090909129</v>
      </c>
      <c r="Q475">
        <f t="shared" si="980"/>
        <v>-2564278.8840000019</v>
      </c>
      <c r="R475">
        <f t="shared" si="981"/>
        <v>54841456.044997752</v>
      </c>
      <c r="S475">
        <f t="shared" si="982"/>
        <v>548.41456044997756</v>
      </c>
      <c r="T475">
        <f t="shared" si="983"/>
        <v>0.54841456044997761</v>
      </c>
    </row>
    <row r="476" spans="1:20" x14ac:dyDescent="0.25">
      <c r="A476" s="5">
        <v>44117</v>
      </c>
      <c r="B476">
        <v>5.0500000000000003E-2</v>
      </c>
      <c r="C476">
        <v>5.1999999999999998E-2</v>
      </c>
      <c r="D476">
        <v>4.7699999999999999E-2</v>
      </c>
      <c r="E476">
        <v>4.8399999999999999E-2</v>
      </c>
      <c r="F476">
        <v>5449294.2999999998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-0.67441860465116299</v>
      </c>
      <c r="Q476">
        <f t="shared" si="980"/>
        <v>-3675105.458139536</v>
      </c>
      <c r="R476">
        <f t="shared" si="981"/>
        <v>57405734.928997755</v>
      </c>
      <c r="S476">
        <f t="shared" si="982"/>
        <v>574.05734928997754</v>
      </c>
      <c r="T476">
        <f t="shared" si="983"/>
        <v>0.57405734928997754</v>
      </c>
    </row>
    <row r="477" spans="1:20" x14ac:dyDescent="0.25">
      <c r="A477" s="5">
        <v>44116</v>
      </c>
      <c r="B477">
        <v>4.5600000000000002E-2</v>
      </c>
      <c r="C477">
        <v>5.74E-2</v>
      </c>
      <c r="D477">
        <v>4.4999999999999998E-2</v>
      </c>
      <c r="E477">
        <v>5.0599999999999999E-2</v>
      </c>
      <c r="F477">
        <v>22954257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-9.6774193548387066E-2</v>
      </c>
      <c r="Q477">
        <f t="shared" si="980"/>
        <v>-2221379.7096774187</v>
      </c>
      <c r="R477">
        <f t="shared" si="981"/>
        <v>61080840.387137294</v>
      </c>
      <c r="S477">
        <f t="shared" si="982"/>
        <v>610.80840387137289</v>
      </c>
      <c r="T477">
        <f t="shared" si="983"/>
        <v>0.61080840387137292</v>
      </c>
    </row>
    <row r="478" spans="1:20" x14ac:dyDescent="0.25">
      <c r="A478" s="5">
        <v>44115</v>
      </c>
      <c r="B478">
        <v>3.9600000000000003E-2</v>
      </c>
      <c r="C478">
        <v>4.7E-2</v>
      </c>
      <c r="D478">
        <v>3.95E-2</v>
      </c>
      <c r="E478">
        <v>4.5600000000000002E-2</v>
      </c>
      <c r="F478">
        <v>6595116.6600000001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0.62666666666666704</v>
      </c>
      <c r="Q478">
        <f t="shared" si="980"/>
        <v>4132939.7736000028</v>
      </c>
      <c r="R478">
        <f t="shared" si="981"/>
        <v>63302220.096814714</v>
      </c>
      <c r="S478">
        <f t="shared" si="982"/>
        <v>633.0222009681471</v>
      </c>
      <c r="T478">
        <f t="shared" si="983"/>
        <v>0.6330222009681471</v>
      </c>
    </row>
    <row r="479" spans="1:20" x14ac:dyDescent="0.25">
      <c r="A479" s="5">
        <v>44114</v>
      </c>
      <c r="B479">
        <v>4.0099999999999997E-2</v>
      </c>
      <c r="C479">
        <v>4.1500000000000002E-2</v>
      </c>
      <c r="D479">
        <v>3.9199999999999999E-2</v>
      </c>
      <c r="E479">
        <v>3.9899999999999998E-2</v>
      </c>
      <c r="F479">
        <v>2710293.41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-0.39130434782608853</v>
      </c>
      <c r="Q479">
        <f t="shared" si="980"/>
        <v>-1060549.5952173956</v>
      </c>
      <c r="R479">
        <f t="shared" si="981"/>
        <v>59169280.32321471</v>
      </c>
      <c r="S479">
        <f t="shared" si="982"/>
        <v>591.69280323214707</v>
      </c>
      <c r="T479">
        <f t="shared" si="983"/>
        <v>0.59169280323214712</v>
      </c>
    </row>
    <row r="480" spans="1:20" x14ac:dyDescent="0.25">
      <c r="A480" s="5">
        <v>44113</v>
      </c>
      <c r="B480">
        <v>3.8199999999999998E-2</v>
      </c>
      <c r="C480">
        <v>4.0800000000000003E-2</v>
      </c>
      <c r="D480">
        <v>3.8199999999999998E-2</v>
      </c>
      <c r="E480">
        <v>3.9699999999999999E-2</v>
      </c>
      <c r="F480">
        <v>1818134.32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0.15384615384615261</v>
      </c>
      <c r="Q480">
        <f t="shared" si="980"/>
        <v>279712.97230769007</v>
      </c>
      <c r="R480">
        <f t="shared" si="981"/>
        <v>60229829.918432102</v>
      </c>
      <c r="S480">
        <f t="shared" si="982"/>
        <v>602.29829918432097</v>
      </c>
      <c r="T480">
        <f t="shared" si="983"/>
        <v>0.60229829918432098</v>
      </c>
    </row>
    <row r="481" spans="1:20" x14ac:dyDescent="0.25">
      <c r="A481" s="5">
        <v>44112</v>
      </c>
      <c r="B481">
        <v>3.7999999999999999E-2</v>
      </c>
      <c r="C481">
        <v>3.8600000000000002E-2</v>
      </c>
      <c r="D481">
        <v>3.5400000000000001E-2</v>
      </c>
      <c r="E481">
        <v>3.8199999999999998E-2</v>
      </c>
      <c r="F481">
        <v>2739562.29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0.74999999999999734</v>
      </c>
      <c r="Q481">
        <f t="shared" si="980"/>
        <v>2054671.7174999928</v>
      </c>
      <c r="R481">
        <f t="shared" si="981"/>
        <v>59950116.946124412</v>
      </c>
      <c r="S481">
        <f t="shared" si="982"/>
        <v>599.5011694612441</v>
      </c>
      <c r="T481">
        <f t="shared" si="983"/>
        <v>0.5995011694612441</v>
      </c>
    </row>
    <row r="482" spans="1:20" x14ac:dyDescent="0.25">
      <c r="A482" s="5">
        <v>44111</v>
      </c>
      <c r="B482">
        <v>3.73E-2</v>
      </c>
      <c r="C482">
        <v>3.8100000000000002E-2</v>
      </c>
      <c r="D482">
        <v>3.6499999999999998E-2</v>
      </c>
      <c r="E482">
        <v>3.78E-2</v>
      </c>
      <c r="F482">
        <v>1023862.82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0.62499999999999889</v>
      </c>
      <c r="Q482">
        <f t="shared" si="980"/>
        <v>639914.26249999879</v>
      </c>
      <c r="R482">
        <f t="shared" si="981"/>
        <v>57895445.228624418</v>
      </c>
      <c r="S482">
        <f t="shared" si="982"/>
        <v>578.95445228624419</v>
      </c>
      <c r="T482">
        <f t="shared" si="983"/>
        <v>0.5789544522862442</v>
      </c>
    </row>
    <row r="483" spans="1:20" x14ac:dyDescent="0.25">
      <c r="A483" s="5">
        <v>44110</v>
      </c>
      <c r="B483">
        <v>4.0300000000000002E-2</v>
      </c>
      <c r="C483">
        <v>4.0399999999999998E-2</v>
      </c>
      <c r="D483">
        <v>3.6799999999999999E-2</v>
      </c>
      <c r="E483">
        <v>3.7100000000000001E-2</v>
      </c>
      <c r="F483">
        <v>1453184.19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-0.83333333333333237</v>
      </c>
      <c r="Q483">
        <f t="shared" si="980"/>
        <v>-1210986.8249999986</v>
      </c>
      <c r="R483">
        <f t="shared" si="981"/>
        <v>57255530.966124423</v>
      </c>
      <c r="S483">
        <f t="shared" si="982"/>
        <v>572.55530966124422</v>
      </c>
      <c r="T483">
        <f t="shared" si="983"/>
        <v>0.57255530966124424</v>
      </c>
    </row>
    <row r="484" spans="1:20" x14ac:dyDescent="0.25">
      <c r="A484" s="5">
        <v>44109</v>
      </c>
      <c r="B484">
        <v>3.9399999999999998E-2</v>
      </c>
      <c r="C484">
        <v>4.1300000000000003E-2</v>
      </c>
      <c r="D484">
        <v>3.8899999999999997E-2</v>
      </c>
      <c r="E484">
        <v>4.0300000000000002E-2</v>
      </c>
      <c r="F484">
        <v>1579263.29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0.1666666666666681</v>
      </c>
      <c r="Q484">
        <f t="shared" si="980"/>
        <v>263210.54833333561</v>
      </c>
      <c r="R484">
        <f t="shared" si="981"/>
        <v>58466517.791124418</v>
      </c>
      <c r="S484">
        <f t="shared" si="982"/>
        <v>584.6651779112442</v>
      </c>
      <c r="T484">
        <f t="shared" si="983"/>
        <v>0.58466517791124417</v>
      </c>
    </row>
    <row r="485" spans="1:20" x14ac:dyDescent="0.25">
      <c r="A485" s="5">
        <v>44108</v>
      </c>
      <c r="B485">
        <v>3.9100000000000003E-2</v>
      </c>
      <c r="C485">
        <v>4.02E-2</v>
      </c>
      <c r="D485">
        <v>3.8199999999999998E-2</v>
      </c>
      <c r="E485">
        <v>3.9399999999999998E-2</v>
      </c>
      <c r="F485">
        <v>1045400.24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0.19999999999999862</v>
      </c>
      <c r="Q485">
        <f t="shared" si="980"/>
        <v>209080.04799999855</v>
      </c>
      <c r="R485">
        <f t="shared" si="981"/>
        <v>58203307.242791086</v>
      </c>
      <c r="S485">
        <f t="shared" si="982"/>
        <v>582.03307242791084</v>
      </c>
      <c r="T485">
        <f t="shared" si="983"/>
        <v>0.5820330724279108</v>
      </c>
    </row>
    <row r="486" spans="1:20" x14ac:dyDescent="0.25">
      <c r="A486" s="5">
        <v>44107</v>
      </c>
      <c r="B486">
        <v>4.0300000000000002E-2</v>
      </c>
      <c r="C486">
        <v>4.0599999999999997E-2</v>
      </c>
      <c r="D486">
        <v>3.9199999999999999E-2</v>
      </c>
      <c r="E486">
        <v>3.9399999999999998E-2</v>
      </c>
      <c r="F486">
        <v>751632.3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-0.71428571428571574</v>
      </c>
      <c r="Q486">
        <f t="shared" si="980"/>
        <v>-536880.21428571537</v>
      </c>
      <c r="R486">
        <f t="shared" si="981"/>
        <v>57994227.194791086</v>
      </c>
      <c r="S486">
        <f t="shared" si="982"/>
        <v>579.94227194791085</v>
      </c>
      <c r="T486">
        <f t="shared" si="983"/>
        <v>0.57994227194791081</v>
      </c>
    </row>
    <row r="487" spans="1:20" x14ac:dyDescent="0.25">
      <c r="A487" s="5">
        <v>44106</v>
      </c>
      <c r="B487">
        <v>4.19E-2</v>
      </c>
      <c r="C487">
        <v>4.2700000000000002E-2</v>
      </c>
      <c r="D487">
        <v>3.7999999999999999E-2</v>
      </c>
      <c r="E487">
        <v>4.0399999999999998E-2</v>
      </c>
      <c r="F487">
        <v>3734022.47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2.1276595744679973E-2</v>
      </c>
      <c r="Q487">
        <f t="shared" si="980"/>
        <v>79447.286595741403</v>
      </c>
      <c r="R487">
        <f t="shared" si="981"/>
        <v>58531107.409076802</v>
      </c>
      <c r="S487">
        <f t="shared" si="982"/>
        <v>585.31107409076799</v>
      </c>
      <c r="T487">
        <f t="shared" si="983"/>
        <v>0.58531107409076799</v>
      </c>
    </row>
    <row r="488" spans="1:20" x14ac:dyDescent="0.25">
      <c r="A488" s="5">
        <v>44105</v>
      </c>
      <c r="B488">
        <v>4.4699999999999997E-2</v>
      </c>
      <c r="C488">
        <v>4.6399999999999997E-2</v>
      </c>
      <c r="D488">
        <v>3.8199999999999998E-2</v>
      </c>
      <c r="E488">
        <v>4.2099999999999999E-2</v>
      </c>
      <c r="F488">
        <v>4085661.41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-4.8780487804877759E-2</v>
      </c>
      <c r="Q488">
        <f t="shared" si="980"/>
        <v>-199300.55658536468</v>
      </c>
      <c r="R488">
        <f t="shared" si="981"/>
        <v>58451660.122481063</v>
      </c>
      <c r="S488">
        <f t="shared" si="982"/>
        <v>584.51660122481064</v>
      </c>
      <c r="T488">
        <f t="shared" si="983"/>
        <v>0.58451660122481064</v>
      </c>
    </row>
    <row r="489" spans="1:20" x14ac:dyDescent="0.25">
      <c r="A489" s="5">
        <v>44104</v>
      </c>
      <c r="B489">
        <v>4.3400000000000001E-2</v>
      </c>
      <c r="C489">
        <v>4.58E-2</v>
      </c>
      <c r="D489">
        <v>4.24E-2</v>
      </c>
      <c r="E489">
        <v>4.4699999999999997E-2</v>
      </c>
      <c r="F489">
        <v>2799606.86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0.35294117647058609</v>
      </c>
      <c r="Q489">
        <f t="shared" si="980"/>
        <v>988096.53882352333</v>
      </c>
      <c r="R489">
        <f t="shared" si="981"/>
        <v>58650960.679066427</v>
      </c>
      <c r="S489">
        <f t="shared" si="982"/>
        <v>586.50960679066429</v>
      </c>
      <c r="T489">
        <f t="shared" si="983"/>
        <v>0.58650960679066433</v>
      </c>
    </row>
    <row r="490" spans="1:20" x14ac:dyDescent="0.25">
      <c r="A490" s="5">
        <v>44103</v>
      </c>
      <c r="B490">
        <v>4.4200000000000003E-2</v>
      </c>
      <c r="C490">
        <v>4.4900000000000002E-2</v>
      </c>
      <c r="D490">
        <v>4.1200000000000001E-2</v>
      </c>
      <c r="E490">
        <v>4.3400000000000001E-2</v>
      </c>
      <c r="F490">
        <v>4454875.18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0.18918918918918889</v>
      </c>
      <c r="Q490">
        <f t="shared" si="980"/>
        <v>842814.2232432419</v>
      </c>
      <c r="R490">
        <f t="shared" si="981"/>
        <v>57662864.140242904</v>
      </c>
      <c r="S490">
        <f t="shared" si="982"/>
        <v>576.62864140242903</v>
      </c>
      <c r="T490">
        <f t="shared" si="983"/>
        <v>0.57662864140242898</v>
      </c>
    </row>
    <row r="491" spans="1:20" x14ac:dyDescent="0.25">
      <c r="A491" s="5">
        <v>44102</v>
      </c>
      <c r="B491">
        <v>4.4699999999999997E-2</v>
      </c>
      <c r="C491">
        <v>4.7800000000000002E-2</v>
      </c>
      <c r="D491">
        <v>4.3900000000000002E-2</v>
      </c>
      <c r="E491">
        <v>4.4299999999999999E-2</v>
      </c>
      <c r="F491">
        <v>2811358.68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-0.79487179487179616</v>
      </c>
      <c r="Q491">
        <f t="shared" si="980"/>
        <v>-2234669.7200000039</v>
      </c>
      <c r="R491">
        <f t="shared" si="981"/>
        <v>56820049.91699966</v>
      </c>
      <c r="S491">
        <f t="shared" si="982"/>
        <v>568.20049916999665</v>
      </c>
      <c r="T491">
        <f t="shared" si="983"/>
        <v>0.5682004991699966</v>
      </c>
    </row>
    <row r="492" spans="1:20" x14ac:dyDescent="0.25">
      <c r="A492" s="5">
        <v>44101</v>
      </c>
      <c r="B492">
        <v>4.5600000000000002E-2</v>
      </c>
      <c r="C492">
        <v>4.5999999999999999E-2</v>
      </c>
      <c r="D492">
        <v>4.2700000000000002E-2</v>
      </c>
      <c r="E492">
        <v>4.4499999999999998E-2</v>
      </c>
      <c r="F492">
        <v>2240299.58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9.0909090909089385E-2</v>
      </c>
      <c r="Q492">
        <f t="shared" si="980"/>
        <v>203663.59818181477</v>
      </c>
      <c r="R492">
        <f t="shared" si="981"/>
        <v>59054719.636999667</v>
      </c>
      <c r="S492">
        <f t="shared" si="982"/>
        <v>590.54719636999664</v>
      </c>
      <c r="T492">
        <f t="shared" si="983"/>
        <v>0.59054719636999664</v>
      </c>
    </row>
    <row r="493" spans="1:20" x14ac:dyDescent="0.25">
      <c r="A493" s="5">
        <v>44100</v>
      </c>
      <c r="B493">
        <v>4.6800000000000001E-2</v>
      </c>
      <c r="C493">
        <v>4.7899999999999998E-2</v>
      </c>
      <c r="D493">
        <v>4.3900000000000002E-2</v>
      </c>
      <c r="E493">
        <v>4.5199999999999997E-2</v>
      </c>
      <c r="F493">
        <v>4124753.36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-0.35000000000000164</v>
      </c>
      <c r="Q493">
        <f t="shared" si="980"/>
        <v>-1443663.6760000067</v>
      </c>
      <c r="R493">
        <f t="shared" si="981"/>
        <v>58851056.038817853</v>
      </c>
      <c r="S493">
        <f t="shared" si="982"/>
        <v>588.51056038817853</v>
      </c>
      <c r="T493">
        <f t="shared" si="983"/>
        <v>0.58851056038817851</v>
      </c>
    </row>
    <row r="494" spans="1:20" x14ac:dyDescent="0.25">
      <c r="A494" s="5">
        <v>44099</v>
      </c>
      <c r="B494">
        <v>4.5199999999999997E-2</v>
      </c>
      <c r="C494">
        <v>4.8800000000000003E-2</v>
      </c>
      <c r="D494">
        <v>4.2999999999999997E-2</v>
      </c>
      <c r="E494">
        <v>4.6899999999999997E-2</v>
      </c>
      <c r="F494">
        <v>6493734.0599999996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0.3448275862068953</v>
      </c>
      <c r="Q494">
        <f t="shared" si="980"/>
        <v>2239218.6413793019</v>
      </c>
      <c r="R494">
        <f t="shared" si="981"/>
        <v>60294719.714817859</v>
      </c>
      <c r="S494">
        <f t="shared" si="982"/>
        <v>602.94719714817859</v>
      </c>
      <c r="T494">
        <f t="shared" si="983"/>
        <v>0.60294719714817857</v>
      </c>
    </row>
    <row r="495" spans="1:20" x14ac:dyDescent="0.25">
      <c r="A495" s="5">
        <v>44098</v>
      </c>
      <c r="B495">
        <v>4.0599999999999997E-2</v>
      </c>
      <c r="C495">
        <v>4.7E-2</v>
      </c>
      <c r="D495">
        <v>4.02E-2</v>
      </c>
      <c r="E495">
        <v>4.5199999999999997E-2</v>
      </c>
      <c r="F495">
        <v>3571526.58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0.47058823529411681</v>
      </c>
      <c r="Q495">
        <f t="shared" si="980"/>
        <v>1680718.3905882323</v>
      </c>
      <c r="R495">
        <f t="shared" si="981"/>
        <v>58055501.073438555</v>
      </c>
      <c r="S495">
        <f t="shared" si="982"/>
        <v>580.55501073438552</v>
      </c>
      <c r="T495">
        <f t="shared" si="983"/>
        <v>0.58055501073438553</v>
      </c>
    </row>
    <row r="496" spans="1:20" x14ac:dyDescent="0.25">
      <c r="A496" s="5">
        <v>44097</v>
      </c>
      <c r="B496">
        <v>4.5100000000000001E-2</v>
      </c>
      <c r="C496">
        <v>4.5499999999999999E-2</v>
      </c>
      <c r="D496">
        <v>3.7600000000000001E-2</v>
      </c>
      <c r="E496">
        <v>4.0599999999999997E-2</v>
      </c>
      <c r="F496">
        <v>7110907.5700000003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-0.24050632911392486</v>
      </c>
      <c r="Q496">
        <f t="shared" si="980"/>
        <v>-1710218.2763291197</v>
      </c>
      <c r="R496">
        <f t="shared" si="981"/>
        <v>56374782.682850324</v>
      </c>
      <c r="S496">
        <f t="shared" si="982"/>
        <v>563.74782682850321</v>
      </c>
      <c r="T496">
        <f t="shared" si="983"/>
        <v>0.56374782682850322</v>
      </c>
    </row>
    <row r="497" spans="1:20" x14ac:dyDescent="0.25">
      <c r="A497" s="5">
        <v>44096</v>
      </c>
      <c r="B497">
        <v>4.4699999999999997E-2</v>
      </c>
      <c r="C497">
        <v>4.8000000000000001E-2</v>
      </c>
      <c r="D497">
        <v>4.1700000000000001E-2</v>
      </c>
      <c r="E497">
        <v>4.5100000000000001E-2</v>
      </c>
      <c r="F497">
        <v>6242637.96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7.936507936507943E-2</v>
      </c>
      <c r="Q497">
        <f t="shared" si="980"/>
        <v>495447.45714285754</v>
      </c>
      <c r="R497">
        <f t="shared" si="981"/>
        <v>58085000.959179446</v>
      </c>
      <c r="S497">
        <f t="shared" si="982"/>
        <v>580.85000959179445</v>
      </c>
      <c r="T497">
        <f t="shared" si="983"/>
        <v>0.58085000959179445</v>
      </c>
    </row>
    <row r="498" spans="1:20" x14ac:dyDescent="0.25">
      <c r="A498" s="5">
        <v>44095</v>
      </c>
      <c r="B498">
        <v>5.0999999999999997E-2</v>
      </c>
      <c r="C498">
        <v>5.3400000000000003E-2</v>
      </c>
      <c r="D498">
        <v>4.2000000000000003E-2</v>
      </c>
      <c r="E498">
        <v>4.4900000000000002E-2</v>
      </c>
      <c r="F498">
        <v>4554425.55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-0.49122807017543862</v>
      </c>
      <c r="Q498">
        <f t="shared" si="980"/>
        <v>-2237261.6736842105</v>
      </c>
      <c r="R498">
        <f t="shared" si="981"/>
        <v>57589553.502036586</v>
      </c>
      <c r="S498">
        <f t="shared" si="982"/>
        <v>575.89553502036586</v>
      </c>
      <c r="T498">
        <f t="shared" si="983"/>
        <v>0.57589553502036583</v>
      </c>
    </row>
    <row r="499" spans="1:20" x14ac:dyDescent="0.25">
      <c r="A499" s="5">
        <v>44094</v>
      </c>
      <c r="B499">
        <v>5.4899999999999997E-2</v>
      </c>
      <c r="C499">
        <v>5.5100000000000003E-2</v>
      </c>
      <c r="D499">
        <v>4.8500000000000001E-2</v>
      </c>
      <c r="E499">
        <v>5.11E-2</v>
      </c>
      <c r="F499">
        <v>7792805.0599999996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-0.21212121212121288</v>
      </c>
      <c r="Q499">
        <f t="shared" si="980"/>
        <v>-1653019.2551515209</v>
      </c>
      <c r="R499">
        <f t="shared" si="981"/>
        <v>59826815.175720796</v>
      </c>
      <c r="S499">
        <f t="shared" si="982"/>
        <v>598.26815175720799</v>
      </c>
      <c r="T499">
        <f t="shared" si="983"/>
        <v>0.59826815175720793</v>
      </c>
    </row>
    <row r="500" spans="1:20" x14ac:dyDescent="0.25">
      <c r="A500" s="5">
        <v>44093</v>
      </c>
      <c r="B500">
        <v>5.5500000000000001E-2</v>
      </c>
      <c r="C500">
        <v>5.7799999999999997E-2</v>
      </c>
      <c r="D500">
        <v>5.4300000000000001E-2</v>
      </c>
      <c r="E500">
        <v>5.5100000000000003E-2</v>
      </c>
      <c r="F500">
        <v>3142369.95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-0.54285714285714115</v>
      </c>
      <c r="Q500">
        <f t="shared" si="980"/>
        <v>-1705857.9728571377</v>
      </c>
      <c r="R500">
        <f t="shared" si="981"/>
        <v>61479834.430872314</v>
      </c>
      <c r="S500">
        <f t="shared" si="982"/>
        <v>614.79834430872313</v>
      </c>
      <c r="T500">
        <f t="shared" si="983"/>
        <v>0.61479834430872315</v>
      </c>
    </row>
    <row r="501" spans="1:20" x14ac:dyDescent="0.25">
      <c r="A501" s="5">
        <v>44092</v>
      </c>
      <c r="B501">
        <v>5.3600000000000002E-2</v>
      </c>
      <c r="C501">
        <v>5.6000000000000001E-2</v>
      </c>
      <c r="D501">
        <v>5.2200000000000003E-2</v>
      </c>
      <c r="E501">
        <v>5.5500000000000001E-2</v>
      </c>
      <c r="F501">
        <v>3593675.42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0.73684210526315752</v>
      </c>
      <c r="Q501">
        <f t="shared" si="980"/>
        <v>2647971.3621052615</v>
      </c>
      <c r="R501">
        <f t="shared" si="981"/>
        <v>63185692.403729454</v>
      </c>
      <c r="S501">
        <f t="shared" si="982"/>
        <v>631.85692403729456</v>
      </c>
      <c r="T501">
        <f t="shared" si="983"/>
        <v>0.63185692403729454</v>
      </c>
    </row>
    <row r="502" spans="1:20" x14ac:dyDescent="0.25">
      <c r="A502" s="5">
        <v>44091</v>
      </c>
      <c r="B502">
        <v>5.5800000000000002E-2</v>
      </c>
      <c r="C502">
        <v>5.9400000000000001E-2</v>
      </c>
      <c r="D502">
        <v>5.16E-2</v>
      </c>
      <c r="E502">
        <v>5.3600000000000002E-2</v>
      </c>
      <c r="F502">
        <v>3348852.74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-0.48717948717948684</v>
      </c>
      <c r="Q502">
        <f t="shared" si="980"/>
        <v>-1631492.3605128194</v>
      </c>
      <c r="R502">
        <f t="shared" si="981"/>
        <v>60537721.041624188</v>
      </c>
      <c r="S502">
        <f t="shared" si="982"/>
        <v>605.37721041624184</v>
      </c>
      <c r="T502">
        <f t="shared" si="983"/>
        <v>0.60537721041624182</v>
      </c>
    </row>
    <row r="503" spans="1:20" x14ac:dyDescent="0.25">
      <c r="A503" s="5">
        <v>44090</v>
      </c>
      <c r="B503">
        <v>5.4800000000000001E-2</v>
      </c>
      <c r="C503">
        <v>5.7099999999999998E-2</v>
      </c>
      <c r="D503">
        <v>5.0999999999999997E-2</v>
      </c>
      <c r="E503">
        <v>5.5800000000000002E-2</v>
      </c>
      <c r="F503">
        <v>3820928.4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0.57377049180328021</v>
      </c>
      <c r="Q503">
        <f t="shared" si="980"/>
        <v>2192335.9672131203</v>
      </c>
      <c r="R503">
        <f t="shared" si="981"/>
        <v>62169213.402137011</v>
      </c>
      <c r="S503">
        <f t="shared" si="982"/>
        <v>621.69213402137007</v>
      </c>
      <c r="T503">
        <f t="shared" si="983"/>
        <v>0.62169213402137002</v>
      </c>
    </row>
    <row r="504" spans="1:20" x14ac:dyDescent="0.25">
      <c r="A504" s="5">
        <v>44089</v>
      </c>
      <c r="B504">
        <v>6.0600000000000001E-2</v>
      </c>
      <c r="C504">
        <v>6.08E-2</v>
      </c>
      <c r="D504">
        <v>5.3699999999999998E-2</v>
      </c>
      <c r="E504">
        <v>5.4899999999999997E-2</v>
      </c>
      <c r="F504">
        <v>6134446.2300000004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-0.66197183098591572</v>
      </c>
      <c r="Q504">
        <f t="shared" si="980"/>
        <v>-4060830.6029577483</v>
      </c>
      <c r="R504">
        <f t="shared" si="981"/>
        <v>59976877.434923895</v>
      </c>
      <c r="S504">
        <f t="shared" si="982"/>
        <v>599.76877434923892</v>
      </c>
      <c r="T504">
        <f t="shared" si="983"/>
        <v>0.59976877434923892</v>
      </c>
    </row>
    <row r="505" spans="1:20" x14ac:dyDescent="0.25">
      <c r="A505" s="5">
        <v>44088</v>
      </c>
      <c r="B505">
        <v>5.9799999999999999E-2</v>
      </c>
      <c r="C505">
        <v>6.2600000000000003E-2</v>
      </c>
      <c r="D505">
        <v>5.8099999999999999E-2</v>
      </c>
      <c r="E505">
        <v>6.0499999999999998E-2</v>
      </c>
      <c r="F505">
        <v>2914178.4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6.6666666666665431E-2</v>
      </c>
      <c r="Q505">
        <f t="shared" si="980"/>
        <v>194278.55999999639</v>
      </c>
      <c r="R505">
        <f t="shared" si="981"/>
        <v>64037708.037881643</v>
      </c>
      <c r="S505">
        <f t="shared" si="982"/>
        <v>640.37708037881646</v>
      </c>
      <c r="T505">
        <f t="shared" si="983"/>
        <v>0.64037708037881647</v>
      </c>
    </row>
    <row r="506" spans="1:20" x14ac:dyDescent="0.25">
      <c r="A506" s="5">
        <v>44087</v>
      </c>
      <c r="B506">
        <v>6.7799999999999999E-2</v>
      </c>
      <c r="C506">
        <v>6.83E-2</v>
      </c>
      <c r="D506">
        <v>5.7500000000000002E-2</v>
      </c>
      <c r="E506">
        <v>6.0100000000000001E-2</v>
      </c>
      <c r="F506">
        <v>5800476.5999999996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-0.51851851851851871</v>
      </c>
      <c r="Q506">
        <f t="shared" si="980"/>
        <v>-3007654.5333333341</v>
      </c>
      <c r="R506">
        <f t="shared" si="981"/>
        <v>63843429.477881648</v>
      </c>
      <c r="S506">
        <f t="shared" si="982"/>
        <v>638.43429477881648</v>
      </c>
      <c r="T506">
        <f t="shared" si="983"/>
        <v>0.63843429477881652</v>
      </c>
    </row>
    <row r="507" spans="1:20" x14ac:dyDescent="0.25">
      <c r="A507" s="5">
        <v>44086</v>
      </c>
      <c r="B507">
        <v>6.4199999999999993E-2</v>
      </c>
      <c r="C507">
        <v>7.1199999999999999E-2</v>
      </c>
      <c r="D507">
        <v>6.3600000000000004E-2</v>
      </c>
      <c r="E507">
        <v>6.7799999999999999E-2</v>
      </c>
      <c r="F507">
        <v>8935140.8499999996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0.10526315789473627</v>
      </c>
      <c r="Q507">
        <f t="shared" si="980"/>
        <v>940541.14210525795</v>
      </c>
      <c r="R507">
        <f t="shared" si="981"/>
        <v>66851084.011214979</v>
      </c>
      <c r="S507">
        <f t="shared" si="982"/>
        <v>668.51084011214982</v>
      </c>
      <c r="T507">
        <f t="shared" si="983"/>
        <v>0.66851084011214978</v>
      </c>
    </row>
    <row r="508" spans="1:20" x14ac:dyDescent="0.25">
      <c r="A508" s="5">
        <v>44085</v>
      </c>
      <c r="B508">
        <v>6.4899999999999999E-2</v>
      </c>
      <c r="C508">
        <v>6.5500000000000003E-2</v>
      </c>
      <c r="D508">
        <v>5.9900000000000002E-2</v>
      </c>
      <c r="E508">
        <v>6.4199999999999993E-2</v>
      </c>
      <c r="F508">
        <v>6368559.8399999999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0.53571428571428237</v>
      </c>
      <c r="Q508">
        <f t="shared" si="980"/>
        <v>3411728.4857142642</v>
      </c>
      <c r="R508">
        <f t="shared" si="981"/>
        <v>65910542.86910972</v>
      </c>
      <c r="S508">
        <f t="shared" si="982"/>
        <v>659.10542869109725</v>
      </c>
      <c r="T508">
        <f t="shared" si="983"/>
        <v>0.65910542869109723</v>
      </c>
    </row>
    <row r="509" spans="1:20" x14ac:dyDescent="0.25">
      <c r="A509" s="5">
        <v>44084</v>
      </c>
      <c r="B509">
        <v>6.08E-2</v>
      </c>
      <c r="C509">
        <v>6.4899999999999999E-2</v>
      </c>
      <c r="D509">
        <v>6.0600000000000001E-2</v>
      </c>
      <c r="E509">
        <v>6.4699999999999994E-2</v>
      </c>
      <c r="F509">
        <v>3819252.42</v>
      </c>
      <c r="G509">
        <v>0</v>
      </c>
      <c r="L509" t="s">
        <v>7</v>
      </c>
      <c r="M509" t="s">
        <v>7</v>
      </c>
      <c r="N509" t="s">
        <v>8</v>
      </c>
      <c r="P509">
        <f t="shared" si="979"/>
        <v>0.90697674418604379</v>
      </c>
      <c r="Q509">
        <f t="shared" si="980"/>
        <v>3463973.1251162686</v>
      </c>
      <c r="R509">
        <f t="shared" si="981"/>
        <v>62498814.383395456</v>
      </c>
      <c r="S509">
        <f t="shared" si="982"/>
        <v>624.98814383395461</v>
      </c>
      <c r="T509">
        <f t="shared" si="983"/>
        <v>0.62498814383395462</v>
      </c>
    </row>
    <row r="510" spans="1:20" x14ac:dyDescent="0.25">
      <c r="A510" s="5">
        <v>44083</v>
      </c>
      <c r="B510">
        <v>5.9700000000000003E-2</v>
      </c>
      <c r="C510">
        <v>7.22E-2</v>
      </c>
      <c r="D510">
        <v>5.6300000000000003E-2</v>
      </c>
      <c r="E510">
        <v>6.1100000000000002E-2</v>
      </c>
      <c r="F510">
        <v>9274066.7300000004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-0.3962264150943397</v>
      </c>
      <c r="Q510">
        <f t="shared" si="980"/>
        <v>-3674630.2137735859</v>
      </c>
      <c r="R510">
        <f t="shared" si="981"/>
        <v>59034841.258279189</v>
      </c>
      <c r="S510">
        <f t="shared" si="982"/>
        <v>590.34841258279187</v>
      </c>
      <c r="T510">
        <f t="shared" si="983"/>
        <v>0.59034841258279191</v>
      </c>
    </row>
    <row r="511" spans="1:20" x14ac:dyDescent="0.25">
      <c r="A511" s="5">
        <v>44082</v>
      </c>
      <c r="B511">
        <v>6.0999999999999999E-2</v>
      </c>
      <c r="C511">
        <v>6.3299999999999995E-2</v>
      </c>
      <c r="D511">
        <v>5.5800000000000002E-2</v>
      </c>
      <c r="E511">
        <v>5.9400000000000001E-2</v>
      </c>
      <c r="F511">
        <v>7230962.2599999998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-3.9999999999999335E-2</v>
      </c>
      <c r="Q511">
        <f t="shared" si="980"/>
        <v>-289238.49039999518</v>
      </c>
      <c r="R511">
        <f t="shared" si="981"/>
        <v>62709471.472052775</v>
      </c>
      <c r="S511">
        <f t="shared" si="982"/>
        <v>627.0947147205278</v>
      </c>
      <c r="T511">
        <f t="shared" si="983"/>
        <v>0.6270947147205278</v>
      </c>
    </row>
    <row r="512" spans="1:20" x14ac:dyDescent="0.25">
      <c r="A512" s="5">
        <v>44081</v>
      </c>
      <c r="B512">
        <v>6.3200000000000006E-2</v>
      </c>
      <c r="C512">
        <v>6.3799999999999996E-2</v>
      </c>
      <c r="D512">
        <v>5.2999999999999999E-2</v>
      </c>
      <c r="E512">
        <v>6.0699999999999997E-2</v>
      </c>
      <c r="F512">
        <v>5675913.4699999997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0.42592592592592604</v>
      </c>
      <c r="Q512">
        <f t="shared" si="980"/>
        <v>2417518.7001851858</v>
      </c>
      <c r="R512">
        <f t="shared" si="981"/>
        <v>62998709.962452769</v>
      </c>
      <c r="S512">
        <f t="shared" si="982"/>
        <v>629.98709962452767</v>
      </c>
      <c r="T512">
        <f t="shared" si="983"/>
        <v>0.6299870996245277</v>
      </c>
    </row>
    <row r="513" spans="1:20" x14ac:dyDescent="0.25">
      <c r="A513" s="5">
        <v>44080</v>
      </c>
      <c r="B513">
        <v>5.6399999999999999E-2</v>
      </c>
      <c r="C513">
        <v>6.88E-2</v>
      </c>
      <c r="D513">
        <v>5.6300000000000003E-2</v>
      </c>
      <c r="E513">
        <v>6.3600000000000004E-2</v>
      </c>
      <c r="F513">
        <v>9144827.7899999991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0.1680000000000004</v>
      </c>
      <c r="Q513">
        <f t="shared" si="980"/>
        <v>1536331.0687200036</v>
      </c>
      <c r="R513">
        <f t="shared" si="981"/>
        <v>60581191.262267582</v>
      </c>
      <c r="S513">
        <f t="shared" si="982"/>
        <v>605.81191262267578</v>
      </c>
      <c r="T513">
        <f t="shared" si="983"/>
        <v>0.60581191262267575</v>
      </c>
    </row>
    <row r="514" spans="1:20" x14ac:dyDescent="0.25">
      <c r="A514" s="5">
        <v>44079</v>
      </c>
      <c r="B514">
        <v>6.6199999999999995E-2</v>
      </c>
      <c r="C514">
        <v>7.0099999999999996E-2</v>
      </c>
      <c r="D514">
        <v>5.1200000000000002E-2</v>
      </c>
      <c r="E514">
        <v>5.6399999999999999E-2</v>
      </c>
      <c r="F514">
        <v>5890259.8399999999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-0.44973544973544993</v>
      </c>
      <c r="Q514">
        <f t="shared" si="980"/>
        <v>-2649058.6582010593</v>
      </c>
      <c r="R514">
        <f t="shared" si="981"/>
        <v>59044860.193547577</v>
      </c>
      <c r="S514">
        <f t="shared" si="982"/>
        <v>590.44860193547572</v>
      </c>
      <c r="T514">
        <f t="shared" si="983"/>
        <v>0.59044860193547577</v>
      </c>
    </row>
    <row r="515" spans="1:20" x14ac:dyDescent="0.25">
      <c r="A515" s="5">
        <v>44078</v>
      </c>
      <c r="B515">
        <v>6.3899999999999998E-2</v>
      </c>
      <c r="C515">
        <v>6.9199999999999998E-2</v>
      </c>
      <c r="D515">
        <v>5.9200000000000003E-2</v>
      </c>
      <c r="E515">
        <v>6.6199999999999995E-2</v>
      </c>
      <c r="F515">
        <v>8490015.1999999993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0.39999999999999919</v>
      </c>
      <c r="Q515">
        <f t="shared" si="980"/>
        <v>3396006.0799999926</v>
      </c>
      <c r="R515">
        <f t="shared" si="981"/>
        <v>61693918.851748638</v>
      </c>
      <c r="S515">
        <f t="shared" si="982"/>
        <v>616.9391885174864</v>
      </c>
      <c r="T515">
        <f t="shared" si="983"/>
        <v>0.61693918851748641</v>
      </c>
    </row>
    <row r="516" spans="1:20" x14ac:dyDescent="0.25">
      <c r="A516" s="5">
        <v>44077</v>
      </c>
      <c r="B516">
        <v>8.9499999999999996E-2</v>
      </c>
      <c r="C516">
        <v>9.06E-2</v>
      </c>
      <c r="D516">
        <v>5.91E-2</v>
      </c>
      <c r="E516">
        <v>6.3899999999999998E-2</v>
      </c>
      <c r="F516">
        <v>9922770.1799999997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-0.69523809523809532</v>
      </c>
      <c r="Q516">
        <f t="shared" si="980"/>
        <v>-6898687.839428572</v>
      </c>
      <c r="R516">
        <f t="shared" si="981"/>
        <v>58297912.771748647</v>
      </c>
      <c r="S516">
        <f t="shared" si="982"/>
        <v>582.97912771748645</v>
      </c>
      <c r="T516">
        <f t="shared" si="983"/>
        <v>0.5829791277174865</v>
      </c>
    </row>
    <row r="517" spans="1:20" x14ac:dyDescent="0.25">
      <c r="A517" s="5">
        <v>44076</v>
      </c>
      <c r="B517">
        <v>0.1024</v>
      </c>
      <c r="C517">
        <v>0.1045</v>
      </c>
      <c r="D517">
        <v>8.5000000000000006E-2</v>
      </c>
      <c r="E517">
        <v>8.9499999999999996E-2</v>
      </c>
      <c r="F517">
        <v>12182951.880000001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-0.53846153846153921</v>
      </c>
      <c r="Q517">
        <f t="shared" si="980"/>
        <v>-6560051.0123077016</v>
      </c>
      <c r="R517">
        <f t="shared" si="981"/>
        <v>65196600.611177221</v>
      </c>
      <c r="S517">
        <f t="shared" si="982"/>
        <v>651.96600611177223</v>
      </c>
      <c r="T517">
        <f t="shared" si="983"/>
        <v>0.65196600611177224</v>
      </c>
    </row>
    <row r="518" spans="1:20" x14ac:dyDescent="0.25">
      <c r="A518" s="5">
        <v>44075</v>
      </c>
      <c r="B518">
        <v>9.2399999999999996E-2</v>
      </c>
      <c r="C518">
        <v>0.1116</v>
      </c>
      <c r="D518">
        <v>9.0800000000000006E-2</v>
      </c>
      <c r="E518">
        <v>0.1024</v>
      </c>
      <c r="F518">
        <v>18752298.370000001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0.11538461538461536</v>
      </c>
      <c r="Q518">
        <f t="shared" ref="Q518:Q581" si="985">F518*P518</f>
        <v>2163726.7349999999</v>
      </c>
      <c r="R518">
        <f t="shared" ref="R518:R581" si="986">R519+Q518</f>
        <v>71756651.623484924</v>
      </c>
      <c r="S518">
        <f t="shared" ref="S518:S581" si="987">R518/100000</f>
        <v>717.56651623484925</v>
      </c>
      <c r="T518">
        <f t="shared" ref="T518:T581" si="988">S518/1000</f>
        <v>0.71756651623484924</v>
      </c>
    </row>
    <row r="519" spans="1:20" x14ac:dyDescent="0.25">
      <c r="A519" s="5">
        <v>44074</v>
      </c>
      <c r="B519">
        <v>8.6699999999999999E-2</v>
      </c>
      <c r="C519">
        <v>9.6600000000000005E-2</v>
      </c>
      <c r="D519">
        <v>8.5999999999999993E-2</v>
      </c>
      <c r="E519">
        <v>9.2700000000000005E-2</v>
      </c>
      <c r="F519">
        <v>7124434.04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0.26415094339622713</v>
      </c>
      <c r="Q519">
        <f t="shared" si="985"/>
        <v>1881925.9728301938</v>
      </c>
      <c r="R519">
        <f t="shared" si="986"/>
        <v>69592924.888484925</v>
      </c>
      <c r="S519">
        <f t="shared" si="987"/>
        <v>695.92924888484924</v>
      </c>
      <c r="T519">
        <f t="shared" si="988"/>
        <v>0.69592924888484919</v>
      </c>
    </row>
    <row r="520" spans="1:20" x14ac:dyDescent="0.25">
      <c r="A520" s="5">
        <v>44073</v>
      </c>
      <c r="B520">
        <v>8.8900000000000007E-2</v>
      </c>
      <c r="C520">
        <v>8.9599999999999999E-2</v>
      </c>
      <c r="D520">
        <v>8.4900000000000003E-2</v>
      </c>
      <c r="E520">
        <v>8.6699999999999999E-2</v>
      </c>
      <c r="F520">
        <v>3014436.18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-0.23404255319149037</v>
      </c>
      <c r="Q520">
        <f t="shared" si="985"/>
        <v>-705506.34000000311</v>
      </c>
      <c r="R520">
        <f t="shared" si="986"/>
        <v>67710998.915654734</v>
      </c>
      <c r="S520">
        <f t="shared" si="987"/>
        <v>677.10998915654739</v>
      </c>
      <c r="T520">
        <f t="shared" si="988"/>
        <v>0.67710998915654741</v>
      </c>
    </row>
    <row r="521" spans="1:20" x14ac:dyDescent="0.25">
      <c r="A521" s="5">
        <v>44072</v>
      </c>
      <c r="B521">
        <v>8.7499999999999994E-2</v>
      </c>
      <c r="C521">
        <v>9.1999999999999998E-2</v>
      </c>
      <c r="D521">
        <v>8.6699999999999999E-2</v>
      </c>
      <c r="E521">
        <v>8.8900000000000007E-2</v>
      </c>
      <c r="F521">
        <v>2485585.2999999998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-0.16981132075471403</v>
      </c>
      <c r="Q521">
        <f t="shared" si="985"/>
        <v>-422080.52264150209</v>
      </c>
      <c r="R521">
        <f t="shared" si="986"/>
        <v>68416505.255654737</v>
      </c>
      <c r="S521">
        <f t="shared" si="987"/>
        <v>684.16505255654738</v>
      </c>
      <c r="T521">
        <f t="shared" si="988"/>
        <v>0.68416505255654736</v>
      </c>
    </row>
    <row r="522" spans="1:20" x14ac:dyDescent="0.25">
      <c r="A522" s="5">
        <v>44071</v>
      </c>
      <c r="B522">
        <v>8.2100000000000006E-2</v>
      </c>
      <c r="C522">
        <v>8.7999999999999995E-2</v>
      </c>
      <c r="D522">
        <v>8.1000000000000003E-2</v>
      </c>
      <c r="E522">
        <v>8.7800000000000003E-2</v>
      </c>
      <c r="F522">
        <v>2820798.8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0.94285714285714517</v>
      </c>
      <c r="Q522">
        <f t="shared" si="985"/>
        <v>2659610.2971428633</v>
      </c>
      <c r="R522">
        <f t="shared" si="986"/>
        <v>68838585.778296232</v>
      </c>
      <c r="S522">
        <f t="shared" si="987"/>
        <v>688.38585778296238</v>
      </c>
      <c r="T522">
        <f t="shared" si="988"/>
        <v>0.68838585778296235</v>
      </c>
    </row>
    <row r="523" spans="1:20" x14ac:dyDescent="0.25">
      <c r="A523" s="5">
        <v>44070</v>
      </c>
      <c r="B523">
        <v>8.9300000000000004E-2</v>
      </c>
      <c r="C523">
        <v>9.4E-2</v>
      </c>
      <c r="D523">
        <v>7.9000000000000001E-2</v>
      </c>
      <c r="E523">
        <v>8.2100000000000006E-2</v>
      </c>
      <c r="F523">
        <v>9018664.3900000006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-0.58666666666666589</v>
      </c>
      <c r="Q523">
        <f t="shared" si="985"/>
        <v>-5290949.77546666</v>
      </c>
      <c r="R523">
        <f t="shared" si="986"/>
        <v>66178975.481153376</v>
      </c>
      <c r="S523">
        <f t="shared" si="987"/>
        <v>661.78975481153373</v>
      </c>
      <c r="T523">
        <f t="shared" si="988"/>
        <v>0.66178975481153368</v>
      </c>
    </row>
    <row r="524" spans="1:20" x14ac:dyDescent="0.25">
      <c r="A524" s="5">
        <v>44069</v>
      </c>
      <c r="B524">
        <v>8.2699999999999996E-2</v>
      </c>
      <c r="C524">
        <v>9.4200000000000006E-2</v>
      </c>
      <c r="D524">
        <v>8.1500000000000003E-2</v>
      </c>
      <c r="E524">
        <v>8.9499999999999996E-2</v>
      </c>
      <c r="F524">
        <v>13331769.970000001</v>
      </c>
      <c r="G524">
        <v>0</v>
      </c>
      <c r="L524" t="s">
        <v>7</v>
      </c>
      <c r="M524" t="s">
        <v>8</v>
      </c>
      <c r="N524" t="s">
        <v>7</v>
      </c>
      <c r="P524">
        <f t="shared" si="984"/>
        <v>0.25984251968503802</v>
      </c>
      <c r="Q524">
        <f t="shared" si="985"/>
        <v>3464160.7008661241</v>
      </c>
      <c r="R524">
        <f t="shared" si="986"/>
        <v>71469925.256620035</v>
      </c>
      <c r="S524">
        <f t="shared" si="987"/>
        <v>714.69925256620036</v>
      </c>
      <c r="T524">
        <f t="shared" si="988"/>
        <v>0.71469925256620037</v>
      </c>
    </row>
    <row r="525" spans="1:20" x14ac:dyDescent="0.25">
      <c r="A525" s="5">
        <v>44068</v>
      </c>
      <c r="B525">
        <v>8.9399999999999993E-2</v>
      </c>
      <c r="C525">
        <v>9.5899999999999999E-2</v>
      </c>
      <c r="D525">
        <v>7.8100000000000003E-2</v>
      </c>
      <c r="E525">
        <v>8.2699999999999996E-2</v>
      </c>
      <c r="F525">
        <v>10081357.15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-0.48314606741573102</v>
      </c>
      <c r="Q525">
        <f t="shared" si="985"/>
        <v>-4870768.0612359624</v>
      </c>
      <c r="R525">
        <f t="shared" si="986"/>
        <v>68005764.555753917</v>
      </c>
      <c r="S525">
        <f t="shared" si="987"/>
        <v>680.05764555753922</v>
      </c>
      <c r="T525">
        <f t="shared" si="988"/>
        <v>0.68005764555753923</v>
      </c>
    </row>
    <row r="526" spans="1:20" x14ac:dyDescent="0.25">
      <c r="A526" s="5">
        <v>44067</v>
      </c>
      <c r="B526">
        <v>8.2000000000000003E-2</v>
      </c>
      <c r="C526">
        <v>9.06E-2</v>
      </c>
      <c r="D526">
        <v>8.09E-2</v>
      </c>
      <c r="E526">
        <v>8.9399999999999993E-2</v>
      </c>
      <c r="F526">
        <v>5044227.72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0.75257731958762752</v>
      </c>
      <c r="Q526">
        <f t="shared" si="985"/>
        <v>3796171.3769072094</v>
      </c>
      <c r="R526">
        <f t="shared" si="986"/>
        <v>72876532.616989881</v>
      </c>
      <c r="S526">
        <f t="shared" si="987"/>
        <v>728.7653261698988</v>
      </c>
      <c r="T526">
        <f t="shared" si="988"/>
        <v>0.72876532616989875</v>
      </c>
    </row>
    <row r="527" spans="1:20" x14ac:dyDescent="0.25">
      <c r="A527" s="5">
        <v>44066</v>
      </c>
      <c r="B527">
        <v>8.6499999999999994E-2</v>
      </c>
      <c r="C527">
        <v>8.6900000000000005E-2</v>
      </c>
      <c r="D527">
        <v>8.1100000000000005E-2</v>
      </c>
      <c r="E527">
        <v>8.2100000000000006E-2</v>
      </c>
      <c r="F527">
        <v>2799976.2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-0.65517241379310309</v>
      </c>
      <c r="Q527">
        <f t="shared" si="985"/>
        <v>-1834467.1655172405</v>
      </c>
      <c r="R527">
        <f t="shared" si="986"/>
        <v>69080361.240082666</v>
      </c>
      <c r="S527">
        <f t="shared" si="987"/>
        <v>690.80361240082664</v>
      </c>
      <c r="T527">
        <f t="shared" si="988"/>
        <v>0.69080361240082666</v>
      </c>
    </row>
    <row r="528" spans="1:20" x14ac:dyDescent="0.25">
      <c r="A528" s="5">
        <v>44065</v>
      </c>
      <c r="B528">
        <v>8.43E-2</v>
      </c>
      <c r="C528">
        <v>8.7599999999999997E-2</v>
      </c>
      <c r="D528">
        <v>7.7499999999999999E-2</v>
      </c>
      <c r="E528">
        <v>8.6499999999999994E-2</v>
      </c>
      <c r="F528">
        <v>4235745.8499999996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0.78217821782178143</v>
      </c>
      <c r="Q528">
        <f t="shared" si="985"/>
        <v>3313108.1400990062</v>
      </c>
      <c r="R528">
        <f t="shared" si="986"/>
        <v>70914828.405599907</v>
      </c>
      <c r="S528">
        <f t="shared" si="987"/>
        <v>709.14828405599906</v>
      </c>
      <c r="T528">
        <f t="shared" si="988"/>
        <v>0.70914828405599906</v>
      </c>
    </row>
    <row r="529" spans="1:20" x14ac:dyDescent="0.25">
      <c r="A529" s="5">
        <v>44064</v>
      </c>
      <c r="B529">
        <v>9.6000000000000002E-2</v>
      </c>
      <c r="C529">
        <v>9.9699999999999997E-2</v>
      </c>
      <c r="D529">
        <v>8.3699999999999997E-2</v>
      </c>
      <c r="E529">
        <v>8.43E-2</v>
      </c>
      <c r="F529">
        <v>6607207.79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-0.9249999999999996</v>
      </c>
      <c r="Q529">
        <f t="shared" si="985"/>
        <v>-6111667.2057499969</v>
      </c>
      <c r="R529">
        <f t="shared" si="986"/>
        <v>67601720.265500903</v>
      </c>
      <c r="S529">
        <f t="shared" si="987"/>
        <v>676.01720265500899</v>
      </c>
      <c r="T529">
        <f t="shared" si="988"/>
        <v>0.67601720265500898</v>
      </c>
    </row>
    <row r="530" spans="1:20" x14ac:dyDescent="0.25">
      <c r="A530" s="5">
        <v>44063</v>
      </c>
      <c r="B530">
        <v>8.3699999999999997E-2</v>
      </c>
      <c r="C530">
        <v>9.8699999999999996E-2</v>
      </c>
      <c r="D530">
        <v>7.5700000000000003E-2</v>
      </c>
      <c r="E530">
        <v>9.5500000000000002E-2</v>
      </c>
      <c r="F530">
        <v>9743722.6799999997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0.72173913043478299</v>
      </c>
      <c r="Q530">
        <f t="shared" si="985"/>
        <v>7032425.9342608731</v>
      </c>
      <c r="R530">
        <f t="shared" si="986"/>
        <v>73713387.471250907</v>
      </c>
      <c r="S530">
        <f t="shared" si="987"/>
        <v>737.13387471250905</v>
      </c>
      <c r="T530">
        <f t="shared" si="988"/>
        <v>0.73713387471250902</v>
      </c>
    </row>
    <row r="531" spans="1:20" x14ac:dyDescent="0.25">
      <c r="A531" s="5">
        <v>44062</v>
      </c>
      <c r="B531">
        <v>9.5500000000000002E-2</v>
      </c>
      <c r="C531">
        <v>9.64E-2</v>
      </c>
      <c r="D531">
        <v>8.2199999999999995E-2</v>
      </c>
      <c r="E531">
        <v>8.4099999999999994E-2</v>
      </c>
      <c r="F531">
        <v>15388736.9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-0.73239436619718334</v>
      </c>
      <c r="Q531">
        <f t="shared" si="985"/>
        <v>-11270624.208450709</v>
      </c>
      <c r="R531">
        <f t="shared" si="986"/>
        <v>66680961.536990032</v>
      </c>
      <c r="S531">
        <f t="shared" si="987"/>
        <v>666.80961536990037</v>
      </c>
      <c r="T531">
        <f t="shared" si="988"/>
        <v>0.66680961536990035</v>
      </c>
    </row>
    <row r="532" spans="1:20" x14ac:dyDescent="0.25">
      <c r="A532" s="5">
        <v>44061</v>
      </c>
      <c r="B532">
        <v>0.10299999999999999</v>
      </c>
      <c r="C532">
        <v>0.1031</v>
      </c>
      <c r="D532">
        <v>9.3799999999999994E-2</v>
      </c>
      <c r="E532">
        <v>9.6000000000000002E-2</v>
      </c>
      <c r="F532">
        <v>45164798.859999999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-0.52688172043010606</v>
      </c>
      <c r="Q532">
        <f t="shared" si="985"/>
        <v>-23796506.926236492</v>
      </c>
      <c r="R532">
        <f t="shared" si="986"/>
        <v>77951585.745440736</v>
      </c>
      <c r="S532">
        <f t="shared" si="987"/>
        <v>779.51585745440741</v>
      </c>
      <c r="T532">
        <f t="shared" si="988"/>
        <v>0.77951585745440743</v>
      </c>
    </row>
    <row r="533" spans="1:20" x14ac:dyDescent="0.25">
      <c r="A533" s="5">
        <v>44060</v>
      </c>
      <c r="B533">
        <v>0.10829999999999999</v>
      </c>
      <c r="C533">
        <v>0.11210000000000001</v>
      </c>
      <c r="D533">
        <v>9.69E-2</v>
      </c>
      <c r="E533">
        <v>0.10290000000000001</v>
      </c>
      <c r="F533">
        <v>29237991.050000001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-0.21052631578947326</v>
      </c>
      <c r="Q533">
        <f t="shared" si="985"/>
        <v>-6155366.5368420929</v>
      </c>
      <c r="R533">
        <f t="shared" si="986"/>
        <v>101748092.67167723</v>
      </c>
      <c r="S533">
        <f t="shared" si="987"/>
        <v>1017.4809267167723</v>
      </c>
      <c r="T533">
        <f t="shared" si="988"/>
        <v>1.0174809267167724</v>
      </c>
    </row>
    <row r="534" spans="1:20" x14ac:dyDescent="0.25">
      <c r="A534" s="5">
        <v>44059</v>
      </c>
      <c r="B534">
        <v>0.1076</v>
      </c>
      <c r="C534">
        <v>0.11</v>
      </c>
      <c r="D534">
        <v>0.10340000000000001</v>
      </c>
      <c r="E534">
        <v>0.10829999999999999</v>
      </c>
      <c r="F534">
        <v>29300701.859999999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0.48484848484848231</v>
      </c>
      <c r="Q534">
        <f t="shared" si="985"/>
        <v>14206400.901818108</v>
      </c>
      <c r="R534">
        <f t="shared" si="986"/>
        <v>107903459.20851932</v>
      </c>
      <c r="S534">
        <f t="shared" si="987"/>
        <v>1079.0345920851933</v>
      </c>
      <c r="T534">
        <f t="shared" si="988"/>
        <v>1.0790345920851931</v>
      </c>
    </row>
    <row r="535" spans="1:20" x14ac:dyDescent="0.25">
      <c r="A535" s="5">
        <v>44058</v>
      </c>
      <c r="B535">
        <v>0.1162</v>
      </c>
      <c r="C535">
        <v>0.1169</v>
      </c>
      <c r="D535">
        <v>0.1061</v>
      </c>
      <c r="E535">
        <v>0.1074</v>
      </c>
      <c r="F535">
        <v>22530542.199999999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-0.75925925925926019</v>
      </c>
      <c r="Q535">
        <f t="shared" si="985"/>
        <v>-17106522.781481501</v>
      </c>
      <c r="R535">
        <f t="shared" si="986"/>
        <v>93697058.306701213</v>
      </c>
      <c r="S535">
        <f t="shared" si="987"/>
        <v>936.97058306701217</v>
      </c>
      <c r="T535">
        <f t="shared" si="988"/>
        <v>0.9369705830670122</v>
      </c>
    </row>
    <row r="536" spans="1:20" x14ac:dyDescent="0.25">
      <c r="A536" s="5">
        <v>44057</v>
      </c>
      <c r="B536">
        <v>0.1074</v>
      </c>
      <c r="C536">
        <v>0.12959999999999999</v>
      </c>
      <c r="D536">
        <v>0.1067</v>
      </c>
      <c r="E536">
        <v>0.1162</v>
      </c>
      <c r="F536">
        <v>47380289.130000003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-0.17030567685589532</v>
      </c>
      <c r="Q536">
        <f t="shared" si="985"/>
        <v>-8069132.2099126698</v>
      </c>
      <c r="R536">
        <f t="shared" si="986"/>
        <v>110803581.08818272</v>
      </c>
      <c r="S536">
        <f t="shared" si="987"/>
        <v>1108.0358108818273</v>
      </c>
      <c r="T536">
        <f t="shared" si="988"/>
        <v>1.1080358108818273</v>
      </c>
    </row>
    <row r="537" spans="1:20" x14ac:dyDescent="0.25">
      <c r="A537" s="5">
        <v>44056</v>
      </c>
      <c r="B537">
        <v>9.9299999999999999E-2</v>
      </c>
      <c r="C537">
        <v>0.10970000000000001</v>
      </c>
      <c r="D537">
        <v>9.4600000000000004E-2</v>
      </c>
      <c r="E537">
        <v>0.1071</v>
      </c>
      <c r="F537">
        <v>37096447.590000004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0.65562913907284703</v>
      </c>
      <c r="Q537">
        <f t="shared" si="985"/>
        <v>24321511.996092692</v>
      </c>
      <c r="R537">
        <f t="shared" si="986"/>
        <v>118872713.29809539</v>
      </c>
      <c r="S537">
        <f t="shared" si="987"/>
        <v>1188.7271329809539</v>
      </c>
      <c r="T537">
        <f t="shared" si="988"/>
        <v>1.1887271329809539</v>
      </c>
    </row>
    <row r="538" spans="1:20" x14ac:dyDescent="0.25">
      <c r="A538" s="5">
        <v>44055</v>
      </c>
      <c r="B538">
        <v>0.1011</v>
      </c>
      <c r="C538">
        <v>0.106</v>
      </c>
      <c r="D538">
        <v>9.2899999999999996E-2</v>
      </c>
      <c r="E538">
        <v>9.9500000000000005E-2</v>
      </c>
      <c r="F538">
        <v>40040529.590000004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7.6335877862608193E-3</v>
      </c>
      <c r="Q538">
        <f t="shared" si="985"/>
        <v>305652.89763363893</v>
      </c>
      <c r="R538">
        <f t="shared" si="986"/>
        <v>94551201.302002698</v>
      </c>
      <c r="S538">
        <f t="shared" si="987"/>
        <v>945.51201302002698</v>
      </c>
      <c r="T538">
        <f t="shared" si="988"/>
        <v>0.94551201302002696</v>
      </c>
    </row>
    <row r="539" spans="1:20" x14ac:dyDescent="0.25">
      <c r="A539" s="5">
        <v>44054</v>
      </c>
      <c r="B539">
        <v>8.2900000000000001E-2</v>
      </c>
      <c r="C539">
        <v>0.1018</v>
      </c>
      <c r="D539">
        <v>8.14E-2</v>
      </c>
      <c r="E539">
        <v>0.1014</v>
      </c>
      <c r="F539">
        <v>37243439.659999996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0.96078431372549045</v>
      </c>
      <c r="Q539">
        <f t="shared" si="985"/>
        <v>35782912.614509813</v>
      </c>
      <c r="R539">
        <f t="shared" si="986"/>
        <v>94245548.404369056</v>
      </c>
      <c r="S539">
        <f t="shared" si="987"/>
        <v>942.4554840436906</v>
      </c>
      <c r="T539">
        <f t="shared" si="988"/>
        <v>0.94245548404369062</v>
      </c>
    </row>
    <row r="540" spans="1:20" x14ac:dyDescent="0.25">
      <c r="A540" s="5">
        <v>44053</v>
      </c>
      <c r="B540">
        <v>8.6300000000000002E-2</v>
      </c>
      <c r="C540">
        <v>8.7300000000000003E-2</v>
      </c>
      <c r="D540">
        <v>7.7499999999999999E-2</v>
      </c>
      <c r="E540">
        <v>8.2500000000000004E-2</v>
      </c>
      <c r="F540">
        <v>12236768</v>
      </c>
      <c r="G540">
        <v>0</v>
      </c>
      <c r="L540" t="s">
        <v>7</v>
      </c>
      <c r="M540" t="s">
        <v>7</v>
      </c>
      <c r="N540" t="s">
        <v>8</v>
      </c>
      <c r="P540">
        <f t="shared" si="984"/>
        <v>2.04081632653067E-2</v>
      </c>
      <c r="Q540">
        <f t="shared" si="985"/>
        <v>249729.95918368053</v>
      </c>
      <c r="R540">
        <f t="shared" si="986"/>
        <v>58462635.789859243</v>
      </c>
      <c r="S540">
        <f t="shared" si="987"/>
        <v>584.62635789859246</v>
      </c>
      <c r="T540">
        <f t="shared" si="988"/>
        <v>0.58462635789859241</v>
      </c>
    </row>
    <row r="541" spans="1:20" x14ac:dyDescent="0.25">
      <c r="A541" s="5">
        <v>44052</v>
      </c>
      <c r="B541">
        <v>8.2199999999999995E-2</v>
      </c>
      <c r="C541">
        <v>8.8999999999999996E-2</v>
      </c>
      <c r="D541">
        <v>7.9500000000000001E-2</v>
      </c>
      <c r="E541">
        <v>8.6300000000000002E-2</v>
      </c>
      <c r="F541">
        <v>10088755.380000001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0.43157894736842195</v>
      </c>
      <c r="Q541">
        <f t="shared" si="985"/>
        <v>4354094.427157904</v>
      </c>
      <c r="R541">
        <f t="shared" si="986"/>
        <v>58212905.830675565</v>
      </c>
      <c r="S541">
        <f t="shared" si="987"/>
        <v>582.12905830675561</v>
      </c>
      <c r="T541">
        <f t="shared" si="988"/>
        <v>0.58212905830675565</v>
      </c>
    </row>
    <row r="542" spans="1:20" x14ac:dyDescent="0.25">
      <c r="A542" s="5">
        <v>44051</v>
      </c>
      <c r="B542">
        <v>8.5099999999999995E-2</v>
      </c>
      <c r="C542">
        <v>8.8800000000000004E-2</v>
      </c>
      <c r="D542">
        <v>7.8399999999999997E-2</v>
      </c>
      <c r="E542">
        <v>8.2199999999999995E-2</v>
      </c>
      <c r="F542">
        <v>14240449.9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-0.26923076923077011</v>
      </c>
      <c r="Q542">
        <f t="shared" si="985"/>
        <v>-3833967.2807692434</v>
      </c>
      <c r="R542">
        <f t="shared" si="986"/>
        <v>53858811.403517663</v>
      </c>
      <c r="S542">
        <f t="shared" si="987"/>
        <v>538.58811403517666</v>
      </c>
      <c r="T542">
        <f t="shared" si="988"/>
        <v>0.5385881140351767</v>
      </c>
    </row>
    <row r="543" spans="1:20" x14ac:dyDescent="0.25">
      <c r="A543" s="5">
        <v>44050</v>
      </c>
      <c r="B543">
        <v>8.9599999999999999E-2</v>
      </c>
      <c r="C543">
        <v>9.1499999999999998E-2</v>
      </c>
      <c r="D543">
        <v>7.9699999999999993E-2</v>
      </c>
      <c r="E543">
        <v>8.5599999999999996E-2</v>
      </c>
      <c r="F543">
        <v>13422945.699999999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0</v>
      </c>
      <c r="Q543">
        <f t="shared" si="985"/>
        <v>0</v>
      </c>
      <c r="R543">
        <f t="shared" si="986"/>
        <v>57692778.684286907</v>
      </c>
      <c r="S543">
        <f t="shared" si="987"/>
        <v>576.92778684286907</v>
      </c>
      <c r="T543">
        <f t="shared" si="988"/>
        <v>0.57692778684286905</v>
      </c>
    </row>
    <row r="544" spans="1:20" x14ac:dyDescent="0.25">
      <c r="A544" s="5">
        <v>44049</v>
      </c>
      <c r="B544">
        <v>7.6100000000000001E-2</v>
      </c>
      <c r="C544">
        <v>0.10249999999999999</v>
      </c>
      <c r="D544">
        <v>7.5499999999999998E-2</v>
      </c>
      <c r="E544">
        <v>8.9399999999999993E-2</v>
      </c>
      <c r="F544">
        <v>39376782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2.9629629629629454E-2</v>
      </c>
      <c r="Q544">
        <f t="shared" si="985"/>
        <v>1166719.4666666598</v>
      </c>
      <c r="R544">
        <f t="shared" si="986"/>
        <v>57692778.684286907</v>
      </c>
      <c r="S544">
        <f t="shared" si="987"/>
        <v>576.92778684286907</v>
      </c>
      <c r="T544">
        <f t="shared" si="988"/>
        <v>0.57692778684286905</v>
      </c>
    </row>
    <row r="545" spans="1:20" x14ac:dyDescent="0.25">
      <c r="A545" s="5">
        <v>44048</v>
      </c>
      <c r="B545">
        <v>5.9499999999999997E-2</v>
      </c>
      <c r="C545">
        <v>7.7299999999999994E-2</v>
      </c>
      <c r="D545">
        <v>5.8700000000000002E-2</v>
      </c>
      <c r="E545">
        <v>7.5999999999999998E-2</v>
      </c>
      <c r="F545">
        <v>20141053.899999999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0.86021505376344132</v>
      </c>
      <c r="Q545">
        <f t="shared" si="985"/>
        <v>17325637.76344087</v>
      </c>
      <c r="R545">
        <f t="shared" si="986"/>
        <v>56526059.217620246</v>
      </c>
      <c r="S545">
        <f t="shared" si="987"/>
        <v>565.26059217620241</v>
      </c>
      <c r="T545">
        <f t="shared" si="988"/>
        <v>0.56526059217620239</v>
      </c>
    </row>
    <row r="546" spans="1:20" x14ac:dyDescent="0.25">
      <c r="A546" s="5">
        <v>44047</v>
      </c>
      <c r="B546">
        <v>5.9299999999999999E-2</v>
      </c>
      <c r="C546">
        <v>6.0499999999999998E-2</v>
      </c>
      <c r="D546">
        <v>5.7500000000000002E-2</v>
      </c>
      <c r="E546">
        <v>5.96E-2</v>
      </c>
      <c r="F546">
        <v>3830735.56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0.40000000000000047</v>
      </c>
      <c r="Q546">
        <f t="shared" si="985"/>
        <v>1532294.2240000018</v>
      </c>
      <c r="R546">
        <f t="shared" si="986"/>
        <v>39200421.454179376</v>
      </c>
      <c r="S546">
        <f t="shared" si="987"/>
        <v>392.00421454179377</v>
      </c>
      <c r="T546">
        <f t="shared" si="988"/>
        <v>0.39200421454179379</v>
      </c>
    </row>
    <row r="547" spans="1:20" x14ac:dyDescent="0.25">
      <c r="A547" s="5">
        <v>44046</v>
      </c>
      <c r="B547">
        <v>5.8099999999999999E-2</v>
      </c>
      <c r="C547">
        <v>6.4500000000000002E-2</v>
      </c>
      <c r="D547">
        <v>5.6599999999999998E-2</v>
      </c>
      <c r="E547">
        <v>5.9299999999999999E-2</v>
      </c>
      <c r="F547">
        <v>8830955.5700000003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-0.31645569620253178</v>
      </c>
      <c r="Q547">
        <f t="shared" si="985"/>
        <v>-2794606.193037976</v>
      </c>
      <c r="R547">
        <f t="shared" si="986"/>
        <v>37668127.230179377</v>
      </c>
      <c r="S547">
        <f t="shared" si="987"/>
        <v>376.6812723017938</v>
      </c>
      <c r="T547">
        <f t="shared" si="988"/>
        <v>0.37668127230179382</v>
      </c>
    </row>
    <row r="548" spans="1:20" x14ac:dyDescent="0.25">
      <c r="A548" s="5">
        <v>44045</v>
      </c>
      <c r="B548">
        <v>5.6000000000000001E-2</v>
      </c>
      <c r="C548">
        <v>6.0600000000000001E-2</v>
      </c>
      <c r="D548">
        <v>5.0099999999999999E-2</v>
      </c>
      <c r="E548">
        <v>5.7799999999999997E-2</v>
      </c>
      <c r="F548">
        <v>7567197.6900000004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0.46666666666666606</v>
      </c>
      <c r="Q548">
        <f t="shared" si="985"/>
        <v>3531358.9219999956</v>
      </c>
      <c r="R548">
        <f t="shared" si="986"/>
        <v>40462733.423217356</v>
      </c>
      <c r="S548">
        <f t="shared" si="987"/>
        <v>404.62733423217355</v>
      </c>
      <c r="T548">
        <f t="shared" si="988"/>
        <v>0.40462733423217356</v>
      </c>
    </row>
    <row r="549" spans="1:20" x14ac:dyDescent="0.25">
      <c r="A549" s="5">
        <v>44044</v>
      </c>
      <c r="B549">
        <v>5.9799999999999999E-2</v>
      </c>
      <c r="C549">
        <v>5.9900000000000002E-2</v>
      </c>
      <c r="D549">
        <v>5.4899999999999997E-2</v>
      </c>
      <c r="E549">
        <v>5.6000000000000001E-2</v>
      </c>
      <c r="F549">
        <v>7336671.8099999996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-0.55999999999999894</v>
      </c>
      <c r="Q549">
        <f t="shared" si="985"/>
        <v>-4108536.213599992</v>
      </c>
      <c r="R549">
        <f t="shared" si="986"/>
        <v>36931374.501217358</v>
      </c>
      <c r="S549">
        <f t="shared" si="987"/>
        <v>369.31374501217357</v>
      </c>
      <c r="T549">
        <f t="shared" si="988"/>
        <v>0.36931374501217357</v>
      </c>
    </row>
    <row r="550" spans="1:20" x14ac:dyDescent="0.25">
      <c r="A550" s="5">
        <v>44043</v>
      </c>
      <c r="B550">
        <v>5.9499999999999997E-2</v>
      </c>
      <c r="C550">
        <v>6.1800000000000001E-2</v>
      </c>
      <c r="D550">
        <v>5.79E-2</v>
      </c>
      <c r="E550">
        <v>5.9900000000000002E-2</v>
      </c>
      <c r="F550">
        <v>3680587.9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2.5641025641026372E-2</v>
      </c>
      <c r="Q550">
        <f t="shared" si="985"/>
        <v>94374.048717951402</v>
      </c>
      <c r="R550">
        <f t="shared" si="986"/>
        <v>41039910.714817353</v>
      </c>
      <c r="S550">
        <f t="shared" si="987"/>
        <v>410.39910714817353</v>
      </c>
      <c r="T550">
        <f t="shared" si="988"/>
        <v>0.41039910714817351</v>
      </c>
    </row>
    <row r="551" spans="1:20" x14ac:dyDescent="0.25">
      <c r="A551" s="5">
        <v>44042</v>
      </c>
      <c r="B551">
        <v>6.5100000000000005E-2</v>
      </c>
      <c r="C551">
        <v>6.5299999999999997E-2</v>
      </c>
      <c r="D551">
        <v>5.7099999999999998E-2</v>
      </c>
      <c r="E551">
        <v>5.9499999999999997E-2</v>
      </c>
      <c r="F551">
        <v>8496338.2699999996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-0.41463414634146351</v>
      </c>
      <c r="Q551">
        <f t="shared" si="985"/>
        <v>-3522871.9656097568</v>
      </c>
      <c r="R551">
        <f t="shared" si="986"/>
        <v>40945536.666099399</v>
      </c>
      <c r="S551">
        <f t="shared" si="987"/>
        <v>409.455366660994</v>
      </c>
      <c r="T551">
        <f t="shared" si="988"/>
        <v>0.40945536666099402</v>
      </c>
    </row>
    <row r="552" spans="1:20" x14ac:dyDescent="0.25">
      <c r="A552" s="5">
        <v>44041</v>
      </c>
      <c r="B552">
        <v>5.6300000000000003E-2</v>
      </c>
      <c r="C552">
        <v>6.7400000000000002E-2</v>
      </c>
      <c r="D552">
        <v>5.3800000000000001E-2</v>
      </c>
      <c r="E552">
        <v>6.5000000000000002E-2</v>
      </c>
      <c r="F552">
        <v>11452825.689999999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0.64705882352941191</v>
      </c>
      <c r="Q552">
        <f t="shared" si="985"/>
        <v>7410651.9170588246</v>
      </c>
      <c r="R552">
        <f t="shared" si="986"/>
        <v>44468408.631709158</v>
      </c>
      <c r="S552">
        <f t="shared" si="987"/>
        <v>444.68408631709161</v>
      </c>
      <c r="T552">
        <f t="shared" si="988"/>
        <v>0.44468408631709161</v>
      </c>
    </row>
    <row r="553" spans="1:20" x14ac:dyDescent="0.25">
      <c r="A553" s="5">
        <v>44040</v>
      </c>
      <c r="B553">
        <v>5.0599999999999999E-2</v>
      </c>
      <c r="C553">
        <v>5.8400000000000001E-2</v>
      </c>
      <c r="D553">
        <v>4.9399999999999999E-2</v>
      </c>
      <c r="E553">
        <v>5.6300000000000003E-2</v>
      </c>
      <c r="F553">
        <v>7775925.5099999998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0.53333333333333388</v>
      </c>
      <c r="Q553">
        <f t="shared" si="985"/>
        <v>4147160.2720000041</v>
      </c>
      <c r="R553">
        <f t="shared" si="986"/>
        <v>37057756.714650333</v>
      </c>
      <c r="S553">
        <f t="shared" si="987"/>
        <v>370.57756714650333</v>
      </c>
      <c r="T553">
        <f t="shared" si="988"/>
        <v>0.37057756714650331</v>
      </c>
    </row>
    <row r="554" spans="1:20" x14ac:dyDescent="0.25">
      <c r="A554" s="5">
        <v>44039</v>
      </c>
      <c r="B554">
        <v>5.6000000000000001E-2</v>
      </c>
      <c r="C554">
        <v>5.62E-2</v>
      </c>
      <c r="D554">
        <v>4.4600000000000001E-2</v>
      </c>
      <c r="E554">
        <v>5.0799999999999998E-2</v>
      </c>
      <c r="F554">
        <v>18610224.940000001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6.8965517241378893E-2</v>
      </c>
      <c r="Q554">
        <f t="shared" si="985"/>
        <v>1283463.7889655095</v>
      </c>
      <c r="R554">
        <f t="shared" si="986"/>
        <v>32910596.442650326</v>
      </c>
      <c r="S554">
        <f t="shared" si="987"/>
        <v>329.10596442650325</v>
      </c>
      <c r="T554">
        <f t="shared" si="988"/>
        <v>0.32910596442650325</v>
      </c>
    </row>
    <row r="555" spans="1:20" x14ac:dyDescent="0.25">
      <c r="A555" s="5">
        <v>44038</v>
      </c>
      <c r="B555">
        <v>5.9499999999999997E-2</v>
      </c>
      <c r="C555">
        <v>6.1400000000000003E-2</v>
      </c>
      <c r="D555">
        <v>5.3999999999999999E-2</v>
      </c>
      <c r="E555">
        <v>5.5899999999999998E-2</v>
      </c>
      <c r="F555">
        <v>8505832.4800000004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-0.48648648648648707</v>
      </c>
      <c r="Q555">
        <f t="shared" si="985"/>
        <v>-4137972.557837843</v>
      </c>
      <c r="R555">
        <f t="shared" si="986"/>
        <v>31627132.653684817</v>
      </c>
      <c r="S555">
        <f t="shared" si="987"/>
        <v>316.27132653684816</v>
      </c>
      <c r="T555">
        <f t="shared" si="988"/>
        <v>0.31627132653684814</v>
      </c>
    </row>
    <row r="556" spans="1:20" x14ac:dyDescent="0.25">
      <c r="A556" s="5">
        <v>44037</v>
      </c>
      <c r="B556">
        <v>6.1400000000000003E-2</v>
      </c>
      <c r="C556">
        <v>6.3100000000000003E-2</v>
      </c>
      <c r="D556">
        <v>5.8900000000000001E-2</v>
      </c>
      <c r="E556">
        <v>5.96E-2</v>
      </c>
      <c r="F556">
        <v>6236806.0700000003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-0.66666666666666718</v>
      </c>
      <c r="Q556">
        <f t="shared" si="985"/>
        <v>-4157870.7133333366</v>
      </c>
      <c r="R556">
        <f t="shared" si="986"/>
        <v>35765105.211522661</v>
      </c>
      <c r="S556">
        <f t="shared" si="987"/>
        <v>357.65105211522661</v>
      </c>
      <c r="T556">
        <f t="shared" si="988"/>
        <v>0.35765105211522663</v>
      </c>
    </row>
    <row r="557" spans="1:20" x14ac:dyDescent="0.25">
      <c r="A557" s="5">
        <v>44036</v>
      </c>
      <c r="B557">
        <v>6.3399999999999998E-2</v>
      </c>
      <c r="C557">
        <v>6.5000000000000002E-2</v>
      </c>
      <c r="D557">
        <v>6.08E-2</v>
      </c>
      <c r="E557">
        <v>6.13E-2</v>
      </c>
      <c r="F557">
        <v>7507692.96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-0.76190476190476186</v>
      </c>
      <c r="Q557">
        <f t="shared" si="985"/>
        <v>-5720147.0171428565</v>
      </c>
      <c r="R557">
        <f t="shared" si="986"/>
        <v>39922975.924856</v>
      </c>
      <c r="S557">
        <f t="shared" si="987"/>
        <v>399.22975924856001</v>
      </c>
      <c r="T557">
        <f t="shared" si="988"/>
        <v>0.39922975924856002</v>
      </c>
    </row>
    <row r="558" spans="1:20" x14ac:dyDescent="0.25">
      <c r="A558" s="5">
        <v>44035</v>
      </c>
      <c r="B558">
        <v>6.3700000000000007E-2</v>
      </c>
      <c r="C558">
        <v>7.3499999999999996E-2</v>
      </c>
      <c r="D558">
        <v>6.2100000000000002E-2</v>
      </c>
      <c r="E558">
        <v>6.3100000000000003E-2</v>
      </c>
      <c r="F558">
        <v>14335404.359999999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-0.82456140350877172</v>
      </c>
      <c r="Q558">
        <f t="shared" si="985"/>
        <v>-11820421.138947366</v>
      </c>
      <c r="R558">
        <f t="shared" si="986"/>
        <v>45643122.941998854</v>
      </c>
      <c r="S558">
        <f t="shared" si="987"/>
        <v>456.43122941998854</v>
      </c>
      <c r="T558">
        <f t="shared" si="988"/>
        <v>0.45643122941998854</v>
      </c>
    </row>
    <row r="559" spans="1:20" x14ac:dyDescent="0.25">
      <c r="A559" s="5">
        <v>44034</v>
      </c>
      <c r="B559">
        <v>5.7200000000000001E-2</v>
      </c>
      <c r="C559">
        <v>7.0000000000000007E-2</v>
      </c>
      <c r="D559">
        <v>5.5599999999999997E-2</v>
      </c>
      <c r="E559">
        <v>6.3799999999999996E-2</v>
      </c>
      <c r="F559">
        <v>16404304.210000001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0.13888888888888795</v>
      </c>
      <c r="Q559">
        <f t="shared" si="985"/>
        <v>2278375.5847222069</v>
      </c>
      <c r="R559">
        <f t="shared" si="986"/>
        <v>57463544.080946222</v>
      </c>
      <c r="S559">
        <f t="shared" si="987"/>
        <v>574.63544080946224</v>
      </c>
      <c r="T559">
        <f t="shared" si="988"/>
        <v>0.57463544080946227</v>
      </c>
    </row>
    <row r="560" spans="1:20" x14ac:dyDescent="0.25">
      <c r="A560" s="5">
        <v>44033</v>
      </c>
      <c r="B560">
        <v>5.74E-2</v>
      </c>
      <c r="C560">
        <v>5.8200000000000002E-2</v>
      </c>
      <c r="D560">
        <v>5.45E-2</v>
      </c>
      <c r="E560">
        <v>5.7299999999999997E-2</v>
      </c>
      <c r="F560">
        <v>6454676.2300000004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0.51351351351351104</v>
      </c>
      <c r="Q560">
        <f t="shared" si="985"/>
        <v>3314563.4694594438</v>
      </c>
      <c r="R560">
        <f t="shared" si="986"/>
        <v>55185168.496224016</v>
      </c>
      <c r="S560">
        <f t="shared" si="987"/>
        <v>551.85168496224014</v>
      </c>
      <c r="T560">
        <f t="shared" si="988"/>
        <v>0.55185168496224013</v>
      </c>
    </row>
    <row r="561" spans="1:104" x14ac:dyDescent="0.25">
      <c r="A561" s="5">
        <v>44032</v>
      </c>
      <c r="B561">
        <v>5.5100000000000003E-2</v>
      </c>
      <c r="C561">
        <v>5.9700000000000003E-2</v>
      </c>
      <c r="D561">
        <v>5.3199999999999997E-2</v>
      </c>
      <c r="E561">
        <v>5.74E-2</v>
      </c>
      <c r="F561">
        <v>10172569.390000001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0.29230769230769188</v>
      </c>
      <c r="Q561">
        <f t="shared" si="985"/>
        <v>2973520.2832307653</v>
      </c>
      <c r="R561">
        <f t="shared" si="986"/>
        <v>51870605.026764572</v>
      </c>
      <c r="S561">
        <f t="shared" si="987"/>
        <v>518.70605026764576</v>
      </c>
      <c r="T561">
        <f t="shared" si="988"/>
        <v>0.51870605026764571</v>
      </c>
      <c r="CZ561" t="s">
        <v>7</v>
      </c>
    </row>
    <row r="562" spans="1:104" x14ac:dyDescent="0.25">
      <c r="A562" s="5">
        <v>44031</v>
      </c>
      <c r="B562">
        <v>5.8700000000000002E-2</v>
      </c>
      <c r="C562">
        <v>6.1499999999999999E-2</v>
      </c>
      <c r="D562">
        <v>5.4199999999999998E-2</v>
      </c>
      <c r="E562">
        <v>5.5100000000000003E-2</v>
      </c>
      <c r="F562">
        <v>11035371.52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-0.75342465753424526</v>
      </c>
      <c r="Q562">
        <f t="shared" si="985"/>
        <v>-8314321.0082191629</v>
      </c>
      <c r="R562">
        <f t="shared" si="986"/>
        <v>48897084.743533805</v>
      </c>
      <c r="S562">
        <f t="shared" si="987"/>
        <v>488.97084743533804</v>
      </c>
      <c r="T562">
        <f t="shared" si="988"/>
        <v>0.48897084743533803</v>
      </c>
      <c r="CZ562" t="s">
        <v>7</v>
      </c>
    </row>
    <row r="563" spans="1:104" x14ac:dyDescent="0.25">
      <c r="A563" s="5">
        <v>44030</v>
      </c>
      <c r="B563">
        <v>6.0699999999999997E-2</v>
      </c>
      <c r="C563">
        <v>6.1699999999999998E-2</v>
      </c>
      <c r="D563">
        <v>5.3499999999999999E-2</v>
      </c>
      <c r="E563">
        <v>5.8799999999999998E-2</v>
      </c>
      <c r="F563">
        <v>13841454.119999999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0.29268292682926828</v>
      </c>
      <c r="Q563">
        <f t="shared" si="985"/>
        <v>4051157.3034146335</v>
      </c>
      <c r="R563">
        <f t="shared" si="986"/>
        <v>57211405.751752965</v>
      </c>
      <c r="S563">
        <f t="shared" si="987"/>
        <v>572.11405751752966</v>
      </c>
      <c r="T563">
        <f t="shared" si="988"/>
        <v>0.57211405751752964</v>
      </c>
      <c r="CZ563" t="s">
        <v>7</v>
      </c>
    </row>
    <row r="564" spans="1:104" x14ac:dyDescent="0.25">
      <c r="A564" s="5">
        <v>44029</v>
      </c>
      <c r="B564">
        <v>5.2600000000000001E-2</v>
      </c>
      <c r="C564">
        <v>6.3E-2</v>
      </c>
      <c r="D564">
        <v>5.0099999999999999E-2</v>
      </c>
      <c r="E564">
        <v>6.0999999999999999E-2</v>
      </c>
      <c r="F564">
        <v>24903254.149999999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0.68992248062015482</v>
      </c>
      <c r="Q564">
        <f t="shared" si="985"/>
        <v>17181314.878682163</v>
      </c>
      <c r="R564">
        <f t="shared" si="986"/>
        <v>53160248.44833833</v>
      </c>
      <c r="S564">
        <f t="shared" si="987"/>
        <v>531.60248448338325</v>
      </c>
      <c r="T564">
        <f t="shared" si="988"/>
        <v>0.53160248448338321</v>
      </c>
    </row>
    <row r="565" spans="1:104" x14ac:dyDescent="0.25">
      <c r="A565" s="5">
        <v>44028</v>
      </c>
      <c r="B565">
        <v>5.5300000000000002E-2</v>
      </c>
      <c r="C565">
        <v>5.6800000000000003E-2</v>
      </c>
      <c r="D565">
        <v>4.8300000000000003E-2</v>
      </c>
      <c r="E565">
        <v>5.2900000000000003E-2</v>
      </c>
      <c r="F565">
        <v>34685415.359999999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8.235294117647049E-2</v>
      </c>
      <c r="Q565">
        <f t="shared" si="985"/>
        <v>2856445.9708235259</v>
      </c>
      <c r="R565">
        <f t="shared" si="986"/>
        <v>35978933.569656171</v>
      </c>
      <c r="S565">
        <f t="shared" si="987"/>
        <v>359.78933569656169</v>
      </c>
      <c r="T565">
        <f t="shared" si="988"/>
        <v>0.35978933569656169</v>
      </c>
    </row>
    <row r="566" spans="1:104" x14ac:dyDescent="0.25">
      <c r="A566" s="5">
        <v>44027</v>
      </c>
      <c r="B566">
        <v>3.7400000000000003E-2</v>
      </c>
      <c r="C566">
        <v>5.9200000000000003E-2</v>
      </c>
      <c r="D566">
        <v>3.6700000000000003E-2</v>
      </c>
      <c r="E566">
        <v>5.5100000000000003E-2</v>
      </c>
      <c r="F566">
        <v>49163770.159999996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0.63555555555555554</v>
      </c>
      <c r="Q566">
        <f t="shared" si="985"/>
        <v>31246307.257244442</v>
      </c>
      <c r="R566">
        <f t="shared" si="986"/>
        <v>33122487.598832648</v>
      </c>
      <c r="S566">
        <f t="shared" si="987"/>
        <v>331.22487598832646</v>
      </c>
      <c r="T566">
        <f t="shared" si="988"/>
        <v>0.33122487598832645</v>
      </c>
    </row>
    <row r="567" spans="1:104" x14ac:dyDescent="0.25">
      <c r="A567" s="5">
        <v>44026</v>
      </c>
      <c r="B567">
        <v>3.7100000000000001E-2</v>
      </c>
      <c r="C567">
        <v>3.9199999999999999E-2</v>
      </c>
      <c r="D567">
        <v>3.5900000000000001E-2</v>
      </c>
      <c r="E567">
        <v>3.7199999999999997E-2</v>
      </c>
      <c r="F567">
        <v>5793230.5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-0.21212121212121415</v>
      </c>
      <c r="Q567">
        <f t="shared" si="985"/>
        <v>-1228867.0757575876</v>
      </c>
      <c r="R567">
        <f t="shared" si="986"/>
        <v>1876180.3415882073</v>
      </c>
      <c r="S567">
        <f t="shared" si="987"/>
        <v>18.761803415882074</v>
      </c>
      <c r="T567">
        <f t="shared" si="988"/>
        <v>1.8761803415882076E-2</v>
      </c>
    </row>
    <row r="568" spans="1:104" x14ac:dyDescent="0.25">
      <c r="A568" s="5">
        <v>44025</v>
      </c>
      <c r="B568">
        <v>3.8800000000000001E-2</v>
      </c>
      <c r="C568">
        <v>3.9600000000000003E-2</v>
      </c>
      <c r="D568">
        <v>3.6299999999999999E-2</v>
      </c>
      <c r="E568">
        <v>3.7199999999999997E-2</v>
      </c>
      <c r="F568">
        <v>7392687.3399999999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-0.45454545454545647</v>
      </c>
      <c r="Q568">
        <f t="shared" si="985"/>
        <v>-3360312.4272727417</v>
      </c>
      <c r="R568">
        <f t="shared" si="986"/>
        <v>3105047.4173457948</v>
      </c>
      <c r="S568">
        <f t="shared" si="987"/>
        <v>31.05047417345795</v>
      </c>
      <c r="T568">
        <f t="shared" si="988"/>
        <v>3.1050474173457951E-2</v>
      </c>
    </row>
    <row r="569" spans="1:104" x14ac:dyDescent="0.25">
      <c r="A569" s="5">
        <v>44024</v>
      </c>
      <c r="B569">
        <v>3.85E-2</v>
      </c>
      <c r="C569">
        <v>4.0300000000000002E-2</v>
      </c>
      <c r="D569">
        <v>3.73E-2</v>
      </c>
      <c r="E569">
        <v>3.8800000000000001E-2</v>
      </c>
      <c r="F569">
        <v>7046922.1200000001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0</v>
      </c>
      <c r="Q569">
        <f t="shared" si="985"/>
        <v>0</v>
      </c>
      <c r="R569">
        <f t="shared" si="986"/>
        <v>6465359.8446185365</v>
      </c>
      <c r="S569">
        <f t="shared" si="987"/>
        <v>64.65359844618537</v>
      </c>
      <c r="T569">
        <f t="shared" si="988"/>
        <v>6.4653598446185373E-2</v>
      </c>
    </row>
    <row r="570" spans="1:104" x14ac:dyDescent="0.25">
      <c r="A570" s="5">
        <v>44023</v>
      </c>
      <c r="B570">
        <v>3.5299999999999998E-2</v>
      </c>
      <c r="C570">
        <v>4.0500000000000001E-2</v>
      </c>
      <c r="D570">
        <v>3.5200000000000002E-2</v>
      </c>
      <c r="E570">
        <v>3.8699999999999998E-2</v>
      </c>
      <c r="F570">
        <v>15492439.800000001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0.32075471698113084</v>
      </c>
      <c r="Q570">
        <f t="shared" si="985"/>
        <v>4969273.1433962071</v>
      </c>
      <c r="R570">
        <f t="shared" si="986"/>
        <v>6465359.8446185365</v>
      </c>
      <c r="S570">
        <f t="shared" si="987"/>
        <v>64.65359844618537</v>
      </c>
      <c r="T570">
        <f t="shared" si="988"/>
        <v>6.4653598446185373E-2</v>
      </c>
    </row>
    <row r="571" spans="1:104" x14ac:dyDescent="0.25">
      <c r="A571" s="5">
        <v>44022</v>
      </c>
      <c r="B571">
        <v>3.3000000000000002E-2</v>
      </c>
      <c r="C571">
        <v>3.7199999999999997E-2</v>
      </c>
      <c r="D571">
        <v>3.2099999999999997E-2</v>
      </c>
      <c r="E571">
        <v>3.5000000000000003E-2</v>
      </c>
      <c r="F571">
        <v>13192740.619999999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0.13725490196078688</v>
      </c>
      <c r="Q571">
        <f t="shared" si="985"/>
        <v>1810768.3203921907</v>
      </c>
      <c r="R571">
        <f t="shared" si="986"/>
        <v>1496086.7012223299</v>
      </c>
      <c r="S571">
        <f t="shared" si="987"/>
        <v>14.960867012223298</v>
      </c>
      <c r="T571">
        <f t="shared" si="988"/>
        <v>1.4960867012223298E-2</v>
      </c>
    </row>
    <row r="572" spans="1:104" x14ac:dyDescent="0.25">
      <c r="A572" s="5">
        <v>44021</v>
      </c>
      <c r="B572">
        <v>3.3799999999999997E-2</v>
      </c>
      <c r="C572">
        <v>3.44E-2</v>
      </c>
      <c r="D572">
        <v>3.2099999999999997E-2</v>
      </c>
      <c r="E572">
        <v>3.2899999999999999E-2</v>
      </c>
      <c r="F572">
        <v>5052615.32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-0.30434782608695571</v>
      </c>
      <c r="Q572">
        <f t="shared" si="985"/>
        <v>-1537752.4886956483</v>
      </c>
      <c r="R572">
        <f t="shared" si="986"/>
        <v>-314681.61916986085</v>
      </c>
      <c r="S572">
        <f t="shared" si="987"/>
        <v>-3.1468161916986084</v>
      </c>
      <c r="T572">
        <f t="shared" si="988"/>
        <v>-3.1468161916986086E-3</v>
      </c>
    </row>
    <row r="573" spans="1:104" x14ac:dyDescent="0.25">
      <c r="A573" s="5">
        <v>44020</v>
      </c>
      <c r="B573">
        <v>3.1199999999999999E-2</v>
      </c>
      <c r="C573">
        <v>3.4000000000000002E-2</v>
      </c>
      <c r="D573">
        <v>3.0599999999999999E-2</v>
      </c>
      <c r="E573">
        <v>3.3799999999999997E-2</v>
      </c>
      <c r="F573">
        <v>7423407.2199999997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0.88235294117646734</v>
      </c>
      <c r="Q573">
        <f t="shared" si="985"/>
        <v>6550065.1941176224</v>
      </c>
      <c r="R573">
        <f t="shared" si="986"/>
        <v>1223070.8695257874</v>
      </c>
      <c r="S573">
        <f t="shared" si="987"/>
        <v>12.230708695257874</v>
      </c>
      <c r="T573">
        <f t="shared" si="988"/>
        <v>1.2230708695257874E-2</v>
      </c>
    </row>
    <row r="574" spans="1:104" x14ac:dyDescent="0.25">
      <c r="A574" s="5">
        <v>44019</v>
      </c>
      <c r="B574">
        <v>3.1600000000000003E-2</v>
      </c>
      <c r="C574">
        <v>3.1800000000000002E-2</v>
      </c>
      <c r="D574">
        <v>3.0800000000000001E-2</v>
      </c>
      <c r="E574">
        <v>3.1300000000000001E-2</v>
      </c>
      <c r="F574">
        <v>3625692.75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</v>
      </c>
      <c r="Q574">
        <f t="shared" si="985"/>
        <v>0</v>
      </c>
      <c r="R574">
        <f t="shared" si="986"/>
        <v>-5326994.324591835</v>
      </c>
      <c r="S574">
        <f t="shared" si="987"/>
        <v>-53.269943245918348</v>
      </c>
      <c r="T574">
        <f t="shared" si="988"/>
        <v>-5.3269943245918348E-2</v>
      </c>
    </row>
    <row r="575" spans="1:104" x14ac:dyDescent="0.25">
      <c r="A575" s="5">
        <v>44018</v>
      </c>
      <c r="B575">
        <v>3.09E-2</v>
      </c>
      <c r="C575">
        <v>3.2000000000000001E-2</v>
      </c>
      <c r="D575">
        <v>3.0499999999999999E-2</v>
      </c>
      <c r="E575">
        <v>3.1600000000000003E-2</v>
      </c>
      <c r="F575">
        <v>2539717.2200000002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0.46666666666667039</v>
      </c>
      <c r="Q575">
        <f t="shared" si="985"/>
        <v>1185201.3693333429</v>
      </c>
      <c r="R575">
        <f t="shared" si="986"/>
        <v>-5326994.324591835</v>
      </c>
      <c r="S575">
        <f t="shared" si="987"/>
        <v>-53.269943245918348</v>
      </c>
      <c r="T575">
        <f t="shared" si="988"/>
        <v>-5.3269943245918348E-2</v>
      </c>
    </row>
    <row r="576" spans="1:104" x14ac:dyDescent="0.25">
      <c r="A576" s="5">
        <v>44017</v>
      </c>
      <c r="B576">
        <v>3.1699999999999999E-2</v>
      </c>
      <c r="C576">
        <v>3.1699999999999999E-2</v>
      </c>
      <c r="D576">
        <v>3.04E-2</v>
      </c>
      <c r="E576">
        <v>3.0700000000000002E-2</v>
      </c>
      <c r="F576">
        <v>2840834.57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-0.53846153846153555</v>
      </c>
      <c r="Q576">
        <f t="shared" si="985"/>
        <v>-1529680.1530769146</v>
      </c>
      <c r="R576">
        <f t="shared" si="986"/>
        <v>-6512195.6939251777</v>
      </c>
      <c r="S576">
        <f t="shared" si="987"/>
        <v>-65.121956939251774</v>
      </c>
      <c r="T576">
        <f t="shared" si="988"/>
        <v>-6.5121956939251768E-2</v>
      </c>
    </row>
    <row r="577" spans="1:20" x14ac:dyDescent="0.25">
      <c r="A577" s="5">
        <v>44016</v>
      </c>
      <c r="B577">
        <v>3.1E-2</v>
      </c>
      <c r="C577">
        <v>3.2199999999999999E-2</v>
      </c>
      <c r="D577">
        <v>3.1E-2</v>
      </c>
      <c r="E577">
        <v>3.15E-2</v>
      </c>
      <c r="F577">
        <v>1750351.3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-0.16666666666666571</v>
      </c>
      <c r="Q577">
        <f t="shared" si="985"/>
        <v>-291725.21666666499</v>
      </c>
      <c r="R577">
        <f t="shared" si="986"/>
        <v>-4982515.5408482626</v>
      </c>
      <c r="S577">
        <f t="shared" si="987"/>
        <v>-49.82515540848263</v>
      </c>
      <c r="T577">
        <f t="shared" si="988"/>
        <v>-4.9825155408482633E-2</v>
      </c>
    </row>
    <row r="578" spans="1:20" x14ac:dyDescent="0.25">
      <c r="A578" s="5">
        <v>44015</v>
      </c>
      <c r="B578">
        <v>3.04E-2</v>
      </c>
      <c r="C578">
        <v>3.1600000000000003E-2</v>
      </c>
      <c r="D578">
        <v>3.0300000000000001E-2</v>
      </c>
      <c r="E578">
        <v>3.1099999999999999E-2</v>
      </c>
      <c r="F578">
        <v>2404990.27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0.23076923076922626</v>
      </c>
      <c r="Q578">
        <f t="shared" si="985"/>
        <v>554997.75461537379</v>
      </c>
      <c r="R578">
        <f t="shared" si="986"/>
        <v>-4690790.3241815977</v>
      </c>
      <c r="S578">
        <f t="shared" si="987"/>
        <v>-46.90790324181598</v>
      </c>
      <c r="T578">
        <f t="shared" si="988"/>
        <v>-4.6907903241815978E-2</v>
      </c>
    </row>
    <row r="579" spans="1:20" x14ac:dyDescent="0.25">
      <c r="A579" s="5">
        <v>44014</v>
      </c>
      <c r="B579">
        <v>3.1600000000000003E-2</v>
      </c>
      <c r="C579">
        <v>3.2000000000000001E-2</v>
      </c>
      <c r="D579">
        <v>2.93E-2</v>
      </c>
      <c r="E579">
        <v>3.0200000000000001E-2</v>
      </c>
      <c r="F579">
        <v>2666363.44</v>
      </c>
      <c r="G579">
        <v>0</v>
      </c>
      <c r="L579" t="s">
        <v>7</v>
      </c>
      <c r="M579" t="s">
        <v>8</v>
      </c>
      <c r="N579" t="s">
        <v>8</v>
      </c>
      <c r="P579">
        <f t="shared" si="984"/>
        <v>-0.33333333333333248</v>
      </c>
      <c r="Q579">
        <f t="shared" si="985"/>
        <v>-888787.81333333103</v>
      </c>
      <c r="R579">
        <f t="shared" si="986"/>
        <v>-5245788.0787969716</v>
      </c>
      <c r="S579">
        <f t="shared" si="987"/>
        <v>-52.457880787969714</v>
      </c>
      <c r="T579">
        <f t="shared" si="988"/>
        <v>-5.2457880787969716E-2</v>
      </c>
    </row>
    <row r="580" spans="1:20" x14ac:dyDescent="0.25">
      <c r="A580" s="5">
        <v>44013</v>
      </c>
      <c r="B580">
        <v>0.03</v>
      </c>
      <c r="C580">
        <v>3.2800000000000003E-2</v>
      </c>
      <c r="D580">
        <v>2.9399999999999999E-2</v>
      </c>
      <c r="E580">
        <v>3.1600000000000003E-2</v>
      </c>
      <c r="F580">
        <v>3637167.13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0.29411764705882448</v>
      </c>
      <c r="Q580">
        <f t="shared" si="985"/>
        <v>1069755.0382352977</v>
      </c>
      <c r="R580">
        <f t="shared" si="986"/>
        <v>-4357000.2654636409</v>
      </c>
      <c r="S580">
        <f t="shared" si="987"/>
        <v>-43.570002654636411</v>
      </c>
      <c r="T580">
        <f t="shared" si="988"/>
        <v>-4.3570002654636411E-2</v>
      </c>
    </row>
    <row r="581" spans="1:20" x14ac:dyDescent="0.25">
      <c r="A581" s="5">
        <v>44012</v>
      </c>
      <c r="B581">
        <v>2.98E-2</v>
      </c>
      <c r="C581">
        <v>3.1800000000000002E-2</v>
      </c>
      <c r="D581">
        <v>2.86E-2</v>
      </c>
      <c r="E581">
        <v>3.0099999999999998E-2</v>
      </c>
      <c r="F581">
        <v>4763408.6399999997</v>
      </c>
      <c r="G581">
        <v>0</v>
      </c>
      <c r="L581" t="s">
        <v>8</v>
      </c>
      <c r="M581" t="s">
        <v>8</v>
      </c>
      <c r="N581" t="s">
        <v>8</v>
      </c>
      <c r="P581">
        <f t="shared" si="984"/>
        <v>-6.2500000000001762E-2</v>
      </c>
      <c r="Q581">
        <f t="shared" si="985"/>
        <v>-297713.04000000836</v>
      </c>
      <c r="R581">
        <f t="shared" si="986"/>
        <v>-5426755.3036989383</v>
      </c>
      <c r="S581">
        <f t="shared" si="987"/>
        <v>-54.267553036989383</v>
      </c>
      <c r="T581">
        <f t="shared" si="988"/>
        <v>-5.4267553036989387E-2</v>
      </c>
    </row>
    <row r="582" spans="1:20" x14ac:dyDescent="0.25">
      <c r="A582" s="5">
        <v>44011</v>
      </c>
      <c r="B582">
        <v>2.93E-2</v>
      </c>
      <c r="C582">
        <v>2.9600000000000001E-2</v>
      </c>
      <c r="D582">
        <v>2.81E-2</v>
      </c>
      <c r="E582">
        <v>2.9399999999999999E-2</v>
      </c>
      <c r="F582">
        <v>1968508.12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0.73333333333333051</v>
      </c>
      <c r="Q582">
        <f t="shared" ref="Q582:Q645" si="990">F582*P582</f>
        <v>1443572.6213333278</v>
      </c>
      <c r="R582">
        <f t="shared" ref="R582:R645" si="991">R583+Q582</f>
        <v>-5129042.2636989299</v>
      </c>
      <c r="S582">
        <f t="shared" ref="S582:S645" si="992">R582/100000</f>
        <v>-51.290422636989298</v>
      </c>
      <c r="T582">
        <f t="shared" ref="T582:T645" si="993">S582/1000</f>
        <v>-5.1290422636989297E-2</v>
      </c>
    </row>
    <row r="583" spans="1:20" x14ac:dyDescent="0.25">
      <c r="A583" s="5">
        <v>44010</v>
      </c>
      <c r="B583">
        <v>2.8400000000000002E-2</v>
      </c>
      <c r="C583">
        <v>3.0300000000000001E-2</v>
      </c>
      <c r="D583">
        <v>2.8299999999999999E-2</v>
      </c>
      <c r="E583">
        <v>2.93E-2</v>
      </c>
      <c r="F583">
        <v>3146970.38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</v>
      </c>
      <c r="Q583">
        <f t="shared" si="990"/>
        <v>0</v>
      </c>
      <c r="R583">
        <f t="shared" si="991"/>
        <v>-6572614.885032258</v>
      </c>
      <c r="S583">
        <f t="shared" si="992"/>
        <v>-65.726148850322573</v>
      </c>
      <c r="T583">
        <f t="shared" si="993"/>
        <v>-6.5726148850322574E-2</v>
      </c>
    </row>
    <row r="584" spans="1:20" x14ac:dyDescent="0.25">
      <c r="A584" s="5">
        <v>44009</v>
      </c>
      <c r="B584">
        <v>3.2399999999999998E-2</v>
      </c>
      <c r="C584">
        <v>3.2500000000000001E-2</v>
      </c>
      <c r="D584">
        <v>2.7E-2</v>
      </c>
      <c r="E584">
        <v>2.8500000000000001E-2</v>
      </c>
      <c r="F584">
        <v>4308096.8899999997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-0.4545454545454542</v>
      </c>
      <c r="Q584">
        <f t="shared" si="990"/>
        <v>-1958225.8590909075</v>
      </c>
      <c r="R584">
        <f t="shared" si="991"/>
        <v>-6572614.885032258</v>
      </c>
      <c r="S584">
        <f t="shared" si="992"/>
        <v>-65.726148850322573</v>
      </c>
      <c r="T584">
        <f t="shared" si="993"/>
        <v>-6.5726148850322574E-2</v>
      </c>
    </row>
    <row r="585" spans="1:20" x14ac:dyDescent="0.25">
      <c r="A585" s="5">
        <v>44008</v>
      </c>
      <c r="B585">
        <v>3.2899999999999999E-2</v>
      </c>
      <c r="C585">
        <v>3.32E-2</v>
      </c>
      <c r="D585">
        <v>3.0700000000000002E-2</v>
      </c>
      <c r="E585">
        <v>3.2399999999999998E-2</v>
      </c>
      <c r="F585">
        <v>3836574.49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0.35999999999999799</v>
      </c>
      <c r="Q585">
        <f t="shared" si="990"/>
        <v>1381166.8163999924</v>
      </c>
      <c r="R585">
        <f t="shared" si="991"/>
        <v>-4614389.0259413505</v>
      </c>
      <c r="S585">
        <f t="shared" si="992"/>
        <v>-46.143890259413503</v>
      </c>
      <c r="T585">
        <f t="shared" si="993"/>
        <v>-4.6143890259413504E-2</v>
      </c>
    </row>
    <row r="586" spans="1:20" x14ac:dyDescent="0.25">
      <c r="A586" s="5">
        <v>44007</v>
      </c>
      <c r="B586">
        <v>3.3399999999999999E-2</v>
      </c>
      <c r="C586">
        <v>3.4000000000000002E-2</v>
      </c>
      <c r="D586">
        <v>3.1199999999999999E-2</v>
      </c>
      <c r="E586">
        <v>3.2899999999999999E-2</v>
      </c>
      <c r="F586">
        <v>8189051.4800000004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0.21428571428571269</v>
      </c>
      <c r="Q586">
        <f t="shared" si="990"/>
        <v>1754796.7457142728</v>
      </c>
      <c r="R586">
        <f t="shared" si="991"/>
        <v>-5995555.8423413429</v>
      </c>
      <c r="S586">
        <f t="shared" si="992"/>
        <v>-59.955558423413429</v>
      </c>
      <c r="T586">
        <f t="shared" si="993"/>
        <v>-5.9955558423413428E-2</v>
      </c>
    </row>
    <row r="587" spans="1:20" x14ac:dyDescent="0.25">
      <c r="A587" s="5">
        <v>44006</v>
      </c>
      <c r="B587">
        <v>3.5200000000000002E-2</v>
      </c>
      <c r="C587">
        <v>3.5799999999999998E-2</v>
      </c>
      <c r="D587">
        <v>3.1899999999999998E-2</v>
      </c>
      <c r="E587">
        <v>3.3399999999999999E-2</v>
      </c>
      <c r="F587">
        <v>7867900.3300000001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-0.23076923076923023</v>
      </c>
      <c r="Q587">
        <f t="shared" si="990"/>
        <v>-1815669.3069230728</v>
      </c>
      <c r="R587">
        <f t="shared" si="991"/>
        <v>-7750352.5880556162</v>
      </c>
      <c r="S587">
        <f t="shared" si="992"/>
        <v>-77.503525880556168</v>
      </c>
      <c r="T587">
        <f t="shared" si="993"/>
        <v>-7.7503525880556173E-2</v>
      </c>
    </row>
    <row r="588" spans="1:20" x14ac:dyDescent="0.25">
      <c r="A588" s="5">
        <v>44005</v>
      </c>
      <c r="B588">
        <v>3.4200000000000001E-2</v>
      </c>
      <c r="C588">
        <v>3.6400000000000002E-2</v>
      </c>
      <c r="D588">
        <v>3.3700000000000001E-2</v>
      </c>
      <c r="E588">
        <v>3.5299999999999998E-2</v>
      </c>
      <c r="F588">
        <v>4070147.71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0.1851851851851827</v>
      </c>
      <c r="Q588">
        <f t="shared" si="990"/>
        <v>753731.05740739731</v>
      </c>
      <c r="R588">
        <f t="shared" si="991"/>
        <v>-5934683.2811325435</v>
      </c>
      <c r="S588">
        <f t="shared" si="992"/>
        <v>-59.346832811325434</v>
      </c>
      <c r="T588">
        <f t="shared" si="993"/>
        <v>-5.9346832811325433E-2</v>
      </c>
    </row>
    <row r="589" spans="1:20" x14ac:dyDescent="0.25">
      <c r="A589" s="5">
        <v>44004</v>
      </c>
      <c r="B589">
        <v>3.3700000000000001E-2</v>
      </c>
      <c r="C589">
        <v>3.5200000000000002E-2</v>
      </c>
      <c r="D589">
        <v>3.3399999999999999E-2</v>
      </c>
      <c r="E589">
        <v>3.4200000000000001E-2</v>
      </c>
      <c r="F589">
        <v>6148244.8099999996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-0.11111111111111026</v>
      </c>
      <c r="Q589">
        <f t="shared" si="990"/>
        <v>-683138.31222221698</v>
      </c>
      <c r="R589">
        <f t="shared" si="991"/>
        <v>-6688414.3385399412</v>
      </c>
      <c r="S589">
        <f t="shared" si="992"/>
        <v>-66.884143385399412</v>
      </c>
      <c r="T589">
        <f t="shared" si="993"/>
        <v>-6.6884143385399414E-2</v>
      </c>
    </row>
    <row r="590" spans="1:20" x14ac:dyDescent="0.25">
      <c r="A590" s="5">
        <v>44003</v>
      </c>
      <c r="B590">
        <v>3.61E-2</v>
      </c>
      <c r="C590">
        <v>3.6499999999999998E-2</v>
      </c>
      <c r="D590">
        <v>3.3700000000000001E-2</v>
      </c>
      <c r="E590">
        <v>3.3700000000000001E-2</v>
      </c>
      <c r="F590">
        <v>4946838.68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-1</v>
      </c>
      <c r="Q590">
        <f t="shared" si="990"/>
        <v>-4946838.68</v>
      </c>
      <c r="R590">
        <f t="shared" si="991"/>
        <v>-6005276.026317724</v>
      </c>
      <c r="S590">
        <f t="shared" si="992"/>
        <v>-60.052760263177241</v>
      </c>
      <c r="T590">
        <f t="shared" si="993"/>
        <v>-6.0052760263177241E-2</v>
      </c>
    </row>
    <row r="591" spans="1:20" x14ac:dyDescent="0.25">
      <c r="A591" s="5">
        <v>44002</v>
      </c>
      <c r="B591">
        <v>3.5299999999999998E-2</v>
      </c>
      <c r="C591">
        <v>3.6499999999999998E-2</v>
      </c>
      <c r="D591">
        <v>3.3399999999999999E-2</v>
      </c>
      <c r="E591">
        <v>3.61E-2</v>
      </c>
      <c r="F591">
        <v>9382548.9700000007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0.74193548387096919</v>
      </c>
      <c r="Q591">
        <f t="shared" si="990"/>
        <v>6961246.0100000137</v>
      </c>
      <c r="R591">
        <f t="shared" si="991"/>
        <v>-1058437.3463177243</v>
      </c>
      <c r="S591">
        <f t="shared" si="992"/>
        <v>-10.584373463177243</v>
      </c>
      <c r="T591">
        <f t="shared" si="993"/>
        <v>-1.0584373463177244E-2</v>
      </c>
    </row>
    <row r="592" spans="1:20" x14ac:dyDescent="0.25">
      <c r="A592" s="5">
        <v>44001</v>
      </c>
      <c r="B592">
        <v>3.15E-2</v>
      </c>
      <c r="C592">
        <v>3.6999999999999998E-2</v>
      </c>
      <c r="D592">
        <v>3.0499999999999999E-2</v>
      </c>
      <c r="E592">
        <v>3.5299999999999998E-2</v>
      </c>
      <c r="F592">
        <v>15491867.189999999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0.47692307692307678</v>
      </c>
      <c r="Q592">
        <f t="shared" si="990"/>
        <v>7388428.9675384592</v>
      </c>
      <c r="R592">
        <f t="shared" si="991"/>
        <v>-8019683.3563177381</v>
      </c>
      <c r="S592">
        <f t="shared" si="992"/>
        <v>-80.196833563177378</v>
      </c>
      <c r="T592">
        <f t="shared" si="993"/>
        <v>-8.0196833563177375E-2</v>
      </c>
    </row>
    <row r="593" spans="1:20" x14ac:dyDescent="0.25">
      <c r="A593" s="5">
        <v>44000</v>
      </c>
      <c r="B593">
        <v>3.0099999999999998E-2</v>
      </c>
      <c r="C593">
        <v>3.2899999999999999E-2</v>
      </c>
      <c r="D593">
        <v>2.93E-2</v>
      </c>
      <c r="E593">
        <v>3.1300000000000001E-2</v>
      </c>
      <c r="F593">
        <v>8746111.1099999994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0.1111111111111124</v>
      </c>
      <c r="Q593">
        <f t="shared" si="990"/>
        <v>971790.12333334447</v>
      </c>
      <c r="R593">
        <f t="shared" si="991"/>
        <v>-15408112.323856197</v>
      </c>
      <c r="S593">
        <f t="shared" si="992"/>
        <v>-154.08112323856199</v>
      </c>
      <c r="T593">
        <f t="shared" si="993"/>
        <v>-0.15408112323856199</v>
      </c>
    </row>
    <row r="594" spans="1:20" x14ac:dyDescent="0.25">
      <c r="A594" s="5">
        <v>43999</v>
      </c>
      <c r="B594">
        <v>3.0300000000000001E-2</v>
      </c>
      <c r="C594">
        <v>3.15E-2</v>
      </c>
      <c r="D594">
        <v>2.9499999999999998E-2</v>
      </c>
      <c r="E594">
        <v>3.0099999999999998E-2</v>
      </c>
      <c r="F594">
        <v>5377273.7699999996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-0.40000000000000069</v>
      </c>
      <c r="Q594">
        <f t="shared" si="990"/>
        <v>-2150909.5080000036</v>
      </c>
      <c r="R594">
        <f t="shared" si="991"/>
        <v>-16379902.447189542</v>
      </c>
      <c r="S594">
        <f t="shared" si="992"/>
        <v>-163.79902447189542</v>
      </c>
      <c r="T594">
        <f t="shared" si="993"/>
        <v>-0.16379902447189543</v>
      </c>
    </row>
    <row r="595" spans="1:20" x14ac:dyDescent="0.25">
      <c r="A595" s="5">
        <v>43998</v>
      </c>
      <c r="B595">
        <v>2.9100000000000001E-2</v>
      </c>
      <c r="C595">
        <v>3.1E-2</v>
      </c>
      <c r="D595">
        <v>2.8899999999999999E-2</v>
      </c>
      <c r="E595">
        <v>3.04E-2</v>
      </c>
      <c r="F595">
        <v>3714685.46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0.42857142857142905</v>
      </c>
      <c r="Q595">
        <f t="shared" si="990"/>
        <v>1592008.054285716</v>
      </c>
      <c r="R595">
        <f t="shared" si="991"/>
        <v>-14228992.939189538</v>
      </c>
      <c r="S595">
        <f t="shared" si="992"/>
        <v>-142.28992939189538</v>
      </c>
      <c r="T595">
        <f t="shared" si="993"/>
        <v>-0.14228992939189539</v>
      </c>
    </row>
    <row r="596" spans="1:20" x14ac:dyDescent="0.25">
      <c r="A596" s="5">
        <v>43997</v>
      </c>
      <c r="B596">
        <v>2.9700000000000001E-2</v>
      </c>
      <c r="C596">
        <v>0.03</v>
      </c>
      <c r="D596">
        <v>2.7E-2</v>
      </c>
      <c r="E596">
        <v>2.9100000000000001E-2</v>
      </c>
      <c r="F596">
        <v>5077818.51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0.40000000000000113</v>
      </c>
      <c r="Q596">
        <f t="shared" si="990"/>
        <v>2031127.4040000057</v>
      </c>
      <c r="R596">
        <f t="shared" si="991"/>
        <v>-15821000.993475255</v>
      </c>
      <c r="S596">
        <f t="shared" si="992"/>
        <v>-158.21000993475255</v>
      </c>
      <c r="T596">
        <f t="shared" si="993"/>
        <v>-0.15821000993475254</v>
      </c>
    </row>
    <row r="597" spans="1:20" x14ac:dyDescent="0.25">
      <c r="A597" s="5">
        <v>43996</v>
      </c>
      <c r="B597">
        <v>3.1E-2</v>
      </c>
      <c r="C597">
        <v>3.1600000000000003E-2</v>
      </c>
      <c r="D597">
        <v>2.9399999999999999E-2</v>
      </c>
      <c r="E597">
        <v>2.9700000000000001E-2</v>
      </c>
      <c r="F597">
        <v>4231004.68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-0.72727272727272629</v>
      </c>
      <c r="Q597">
        <f t="shared" si="990"/>
        <v>-3077094.3127272683</v>
      </c>
      <c r="R597">
        <f t="shared" si="991"/>
        <v>-17852128.397475261</v>
      </c>
      <c r="S597">
        <f t="shared" si="992"/>
        <v>-178.52128397475261</v>
      </c>
      <c r="T597">
        <f t="shared" si="993"/>
        <v>-0.17852128397475261</v>
      </c>
    </row>
    <row r="598" spans="1:20" x14ac:dyDescent="0.25">
      <c r="A598" s="5">
        <v>43995</v>
      </c>
      <c r="B598">
        <v>3.1E-2</v>
      </c>
      <c r="C598">
        <v>3.1600000000000003E-2</v>
      </c>
      <c r="D598">
        <v>3.0200000000000001E-2</v>
      </c>
      <c r="E598">
        <v>3.1E-2</v>
      </c>
      <c r="F598">
        <v>5119784.8600000003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0.14285714285713932</v>
      </c>
      <c r="Q598">
        <f t="shared" si="990"/>
        <v>731397.8371428391</v>
      </c>
      <c r="R598">
        <f t="shared" si="991"/>
        <v>-14775034.084747992</v>
      </c>
      <c r="S598">
        <f t="shared" si="992"/>
        <v>-147.75034084747992</v>
      </c>
      <c r="T598">
        <f t="shared" si="993"/>
        <v>-0.14775034084747993</v>
      </c>
    </row>
    <row r="599" spans="1:20" x14ac:dyDescent="0.25">
      <c r="A599" s="5">
        <v>43994</v>
      </c>
      <c r="B599">
        <v>2.86E-2</v>
      </c>
      <c r="C599">
        <v>3.1099999999999999E-2</v>
      </c>
      <c r="D599">
        <v>2.8500000000000001E-2</v>
      </c>
      <c r="E599">
        <v>3.09E-2</v>
      </c>
      <c r="F599">
        <v>4220802.79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0.84615384615384692</v>
      </c>
      <c r="Q599">
        <f t="shared" si="990"/>
        <v>3571448.5146153881</v>
      </c>
      <c r="R599">
        <f t="shared" si="991"/>
        <v>-15506431.921890831</v>
      </c>
      <c r="S599">
        <f t="shared" si="992"/>
        <v>-155.06431921890831</v>
      </c>
      <c r="T599">
        <f t="shared" si="993"/>
        <v>-0.15506431921890831</v>
      </c>
    </row>
    <row r="600" spans="1:20" x14ac:dyDescent="0.25">
      <c r="A600" s="5">
        <v>43993</v>
      </c>
      <c r="B600">
        <v>3.2000000000000001E-2</v>
      </c>
      <c r="C600">
        <v>3.2599999999999997E-2</v>
      </c>
      <c r="D600">
        <v>2.8400000000000002E-2</v>
      </c>
      <c r="E600">
        <v>2.87E-2</v>
      </c>
      <c r="F600">
        <v>5893635.4199999999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-0.85714285714285787</v>
      </c>
      <c r="Q600">
        <f t="shared" si="990"/>
        <v>-5051687.5028571468</v>
      </c>
      <c r="R600">
        <f t="shared" si="991"/>
        <v>-19077880.436506219</v>
      </c>
      <c r="S600">
        <f t="shared" si="992"/>
        <v>-190.7788043650622</v>
      </c>
      <c r="T600">
        <f t="shared" si="993"/>
        <v>-0.1907788043650622</v>
      </c>
    </row>
    <row r="601" spans="1:20" x14ac:dyDescent="0.25">
      <c r="A601" s="5">
        <v>43992</v>
      </c>
      <c r="B601">
        <v>3.1800000000000002E-2</v>
      </c>
      <c r="C601">
        <v>3.3599999999999998E-2</v>
      </c>
      <c r="D601">
        <v>3.04E-2</v>
      </c>
      <c r="E601">
        <v>3.2000000000000001E-2</v>
      </c>
      <c r="F601">
        <v>7369088.2999999998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1.084202172485505E-15</v>
      </c>
      <c r="Q601">
        <f t="shared" si="990"/>
        <v>7.9895815440975176E-9</v>
      </c>
      <c r="R601">
        <f t="shared" si="991"/>
        <v>-14026192.933649071</v>
      </c>
      <c r="S601">
        <f t="shared" si="992"/>
        <v>-140.26192933649071</v>
      </c>
      <c r="T601">
        <f t="shared" si="993"/>
        <v>-0.1402619293364907</v>
      </c>
    </row>
    <row r="602" spans="1:20" x14ac:dyDescent="0.25">
      <c r="A602" s="5">
        <v>43991</v>
      </c>
      <c r="B602">
        <v>3.3599999999999998E-2</v>
      </c>
      <c r="C602">
        <v>3.44E-2</v>
      </c>
      <c r="D602">
        <v>3.1399999999999997E-2</v>
      </c>
      <c r="E602">
        <v>3.1899999999999998E-2</v>
      </c>
      <c r="F602">
        <v>7990264.2599999998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-0.66666666666666663</v>
      </c>
      <c r="Q602">
        <f t="shared" si="990"/>
        <v>-5326842.84</v>
      </c>
      <c r="R602">
        <f t="shared" si="991"/>
        <v>-14026192.933649078</v>
      </c>
      <c r="S602">
        <f t="shared" si="992"/>
        <v>-140.26192933649077</v>
      </c>
      <c r="T602">
        <f t="shared" si="993"/>
        <v>-0.14026192933649076</v>
      </c>
    </row>
    <row r="603" spans="1:20" x14ac:dyDescent="0.25">
      <c r="A603" s="5">
        <v>43990</v>
      </c>
      <c r="B603">
        <v>3.0499999999999999E-2</v>
      </c>
      <c r="C603">
        <v>3.4500000000000003E-2</v>
      </c>
      <c r="D603">
        <v>0.03</v>
      </c>
      <c r="E603">
        <v>3.3399999999999999E-2</v>
      </c>
      <c r="F603">
        <v>14039618.529999999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0.51111111111110985</v>
      </c>
      <c r="Q603">
        <f t="shared" si="990"/>
        <v>7175805.0264444267</v>
      </c>
      <c r="R603">
        <f t="shared" si="991"/>
        <v>-8699350.0936490782</v>
      </c>
      <c r="S603">
        <f t="shared" si="992"/>
        <v>-86.993500936490776</v>
      </c>
      <c r="T603">
        <f t="shared" si="993"/>
        <v>-8.6993500936490775E-2</v>
      </c>
    </row>
    <row r="604" spans="1:20" x14ac:dyDescent="0.25">
      <c r="A604" s="5">
        <v>43989</v>
      </c>
      <c r="B604">
        <v>2.9399999999999999E-2</v>
      </c>
      <c r="C604">
        <v>3.0700000000000002E-2</v>
      </c>
      <c r="D604">
        <v>2.8500000000000001E-2</v>
      </c>
      <c r="E604">
        <v>3.0300000000000001E-2</v>
      </c>
      <c r="F604">
        <v>4119557.15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0.63636363636363547</v>
      </c>
      <c r="Q604">
        <f t="shared" si="990"/>
        <v>2621536.3681818144</v>
      </c>
      <c r="R604">
        <f t="shared" si="991"/>
        <v>-15875155.120093506</v>
      </c>
      <c r="S604">
        <f t="shared" si="992"/>
        <v>-158.75155120093507</v>
      </c>
      <c r="T604">
        <f t="shared" si="993"/>
        <v>-0.15875155120093506</v>
      </c>
    </row>
    <row r="605" spans="1:20" x14ac:dyDescent="0.25">
      <c r="A605" s="5">
        <v>43988</v>
      </c>
      <c r="B605">
        <v>2.93E-2</v>
      </c>
      <c r="C605">
        <v>2.98E-2</v>
      </c>
      <c r="D605">
        <v>2.8899999999999999E-2</v>
      </c>
      <c r="E605">
        <v>2.9399999999999999E-2</v>
      </c>
      <c r="F605">
        <v>1643908.65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0.11111111111111026</v>
      </c>
      <c r="Q605">
        <f t="shared" si="990"/>
        <v>182656.51666666527</v>
      </c>
      <c r="R605">
        <f t="shared" si="991"/>
        <v>-18496691.488275319</v>
      </c>
      <c r="S605">
        <f t="shared" si="992"/>
        <v>-184.9669148827532</v>
      </c>
      <c r="T605">
        <f t="shared" si="993"/>
        <v>-0.18496691488275321</v>
      </c>
    </row>
    <row r="606" spans="1:20" x14ac:dyDescent="0.25">
      <c r="A606" s="5">
        <v>43987</v>
      </c>
      <c r="B606">
        <v>3.0800000000000001E-2</v>
      </c>
      <c r="C606">
        <v>3.1800000000000002E-2</v>
      </c>
      <c r="D606">
        <v>2.8799999999999999E-2</v>
      </c>
      <c r="E606">
        <v>2.9399999999999999E-2</v>
      </c>
      <c r="F606">
        <v>6295437.0199999996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-0.60000000000000042</v>
      </c>
      <c r="Q606">
        <f t="shared" si="990"/>
        <v>-3777262.2120000026</v>
      </c>
      <c r="R606">
        <f t="shared" si="991"/>
        <v>-18679348.004941985</v>
      </c>
      <c r="S606">
        <f t="shared" si="992"/>
        <v>-186.79348004941986</v>
      </c>
      <c r="T606">
        <f t="shared" si="993"/>
        <v>-0.18679348004941987</v>
      </c>
    </row>
    <row r="607" spans="1:20" x14ac:dyDescent="0.25">
      <c r="A607" s="5">
        <v>43986</v>
      </c>
      <c r="B607">
        <v>2.9499999999999998E-2</v>
      </c>
      <c r="C607">
        <v>3.15E-2</v>
      </c>
      <c r="D607">
        <v>2.8799999999999999E-2</v>
      </c>
      <c r="E607">
        <v>3.0800000000000001E-2</v>
      </c>
      <c r="F607">
        <v>6076898.8099999996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0.48148148148148223</v>
      </c>
      <c r="Q607">
        <f t="shared" si="990"/>
        <v>2925914.241851856</v>
      </c>
      <c r="R607">
        <f t="shared" si="991"/>
        <v>-14902085.792941984</v>
      </c>
      <c r="S607">
        <f t="shared" si="992"/>
        <v>-149.02085792941983</v>
      </c>
      <c r="T607">
        <f t="shared" si="993"/>
        <v>-0.14902085792941983</v>
      </c>
    </row>
    <row r="608" spans="1:20" x14ac:dyDescent="0.25">
      <c r="A608" s="5">
        <v>43985</v>
      </c>
      <c r="B608">
        <v>2.7199999999999998E-2</v>
      </c>
      <c r="C608">
        <v>3.0099999999999998E-2</v>
      </c>
      <c r="D608">
        <v>2.7E-2</v>
      </c>
      <c r="E608">
        <v>2.9600000000000001E-2</v>
      </c>
      <c r="F608">
        <v>6649856.2300000004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0.67741935483871152</v>
      </c>
      <c r="Q608">
        <f t="shared" si="990"/>
        <v>4504741.3170967866</v>
      </c>
      <c r="R608">
        <f t="shared" si="991"/>
        <v>-17828000.034793839</v>
      </c>
      <c r="S608">
        <f t="shared" si="992"/>
        <v>-178.2800003479384</v>
      </c>
      <c r="T608">
        <f t="shared" si="993"/>
        <v>-0.17828000034793839</v>
      </c>
    </row>
    <row r="609" spans="1:20" x14ac:dyDescent="0.25">
      <c r="A609" s="5">
        <v>43984</v>
      </c>
      <c r="B609">
        <v>2.7900000000000001E-2</v>
      </c>
      <c r="C609">
        <v>2.8899999999999999E-2</v>
      </c>
      <c r="D609">
        <v>2.5100000000000001E-2</v>
      </c>
      <c r="E609">
        <v>2.75E-2</v>
      </c>
      <c r="F609">
        <v>5571190.96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0.26315789473684248</v>
      </c>
      <c r="Q609">
        <f t="shared" si="990"/>
        <v>1466102.8842105283</v>
      </c>
      <c r="R609">
        <f t="shared" si="991"/>
        <v>-22332741.351890627</v>
      </c>
      <c r="S609">
        <f t="shared" si="992"/>
        <v>-223.32741351890627</v>
      </c>
      <c r="T609">
        <f t="shared" si="993"/>
        <v>-0.22332741351890628</v>
      </c>
    </row>
    <row r="610" spans="1:20" x14ac:dyDescent="0.25">
      <c r="A610" s="5">
        <v>43983</v>
      </c>
      <c r="B610">
        <v>2.6599999999999999E-2</v>
      </c>
      <c r="C610">
        <v>2.8899999999999999E-2</v>
      </c>
      <c r="D610">
        <v>2.6599999999999999E-2</v>
      </c>
      <c r="E610">
        <v>2.7799999999999998E-2</v>
      </c>
      <c r="F610">
        <v>7604411.8799999999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4.3478260869564953E-2</v>
      </c>
      <c r="Q610">
        <f t="shared" si="990"/>
        <v>330626.60347825882</v>
      </c>
      <c r="R610">
        <f t="shared" si="991"/>
        <v>-23798844.236101154</v>
      </c>
      <c r="S610">
        <f t="shared" si="992"/>
        <v>-237.98844236101155</v>
      </c>
      <c r="T610">
        <f t="shared" si="993"/>
        <v>-0.23798844236101155</v>
      </c>
    </row>
    <row r="611" spans="1:20" x14ac:dyDescent="0.25">
      <c r="A611" s="5">
        <v>43982</v>
      </c>
      <c r="B611">
        <v>2.81E-2</v>
      </c>
      <c r="C611">
        <v>2.8500000000000001E-2</v>
      </c>
      <c r="D611">
        <v>2.63E-2</v>
      </c>
      <c r="E611">
        <v>2.6700000000000002E-2</v>
      </c>
      <c r="F611">
        <v>7954801.7300000004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-0.63636363636363547</v>
      </c>
      <c r="Q611">
        <f t="shared" si="990"/>
        <v>-5062146.5554545382</v>
      </c>
      <c r="R611">
        <f t="shared" si="991"/>
        <v>-24129470.839579415</v>
      </c>
      <c r="S611">
        <f t="shared" si="992"/>
        <v>-241.29470839579415</v>
      </c>
      <c r="T611">
        <f t="shared" si="993"/>
        <v>-0.24129470839579414</v>
      </c>
    </row>
    <row r="612" spans="1:20" x14ac:dyDescent="0.25">
      <c r="A612" s="5">
        <v>43981</v>
      </c>
      <c r="B612">
        <v>2.8799999999999999E-2</v>
      </c>
      <c r="C612">
        <v>3.0700000000000002E-2</v>
      </c>
      <c r="D612">
        <v>2.7199999999999998E-2</v>
      </c>
      <c r="E612">
        <v>2.8299999999999999E-2</v>
      </c>
      <c r="F612">
        <v>14216313.73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-0.37142857142857183</v>
      </c>
      <c r="Q612">
        <f t="shared" si="990"/>
        <v>-5280345.0997142913</v>
      </c>
      <c r="R612">
        <f t="shared" si="991"/>
        <v>-19067324.284124877</v>
      </c>
      <c r="S612">
        <f t="shared" si="992"/>
        <v>-190.67324284124876</v>
      </c>
      <c r="T612">
        <f t="shared" si="993"/>
        <v>-0.19067324284124876</v>
      </c>
    </row>
    <row r="613" spans="1:20" x14ac:dyDescent="0.25">
      <c r="A613" s="5">
        <v>43980</v>
      </c>
      <c r="B613">
        <v>2.6700000000000002E-2</v>
      </c>
      <c r="C613">
        <v>2.9499999999999998E-2</v>
      </c>
      <c r="D613">
        <v>2.6499999999999999E-2</v>
      </c>
      <c r="E613">
        <v>2.8799999999999999E-2</v>
      </c>
      <c r="F613">
        <v>8958236.6300000008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0.53333333333333377</v>
      </c>
      <c r="Q613">
        <f t="shared" si="990"/>
        <v>4777726.202666671</v>
      </c>
      <c r="R613">
        <f t="shared" si="991"/>
        <v>-13786979.184410587</v>
      </c>
      <c r="S613">
        <f t="shared" si="992"/>
        <v>-137.86979184410586</v>
      </c>
      <c r="T613">
        <f t="shared" si="993"/>
        <v>-0.13786979184410586</v>
      </c>
    </row>
    <row r="614" spans="1:20" x14ac:dyDescent="0.25">
      <c r="A614" s="5">
        <v>43979</v>
      </c>
      <c r="B614">
        <v>2.6800000000000001E-2</v>
      </c>
      <c r="C614">
        <v>2.7199999999999998E-2</v>
      </c>
      <c r="D614">
        <v>2.5700000000000001E-2</v>
      </c>
      <c r="E614">
        <v>2.69E-2</v>
      </c>
      <c r="F614">
        <v>3291684.44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0.60000000000000187</v>
      </c>
      <c r="Q614">
        <f t="shared" si="990"/>
        <v>1975010.6640000062</v>
      </c>
      <c r="R614">
        <f t="shared" si="991"/>
        <v>-18564705.387077257</v>
      </c>
      <c r="S614">
        <f t="shared" si="992"/>
        <v>-185.64705387077257</v>
      </c>
      <c r="T614">
        <f t="shared" si="993"/>
        <v>-0.18564705387077257</v>
      </c>
    </row>
    <row r="615" spans="1:20" x14ac:dyDescent="0.25">
      <c r="A615" s="5">
        <v>43978</v>
      </c>
      <c r="B615">
        <v>2.7900000000000001E-2</v>
      </c>
      <c r="C615">
        <v>2.8299999999999999E-2</v>
      </c>
      <c r="D615">
        <v>2.5600000000000001E-2</v>
      </c>
      <c r="E615">
        <v>2.7E-2</v>
      </c>
      <c r="F615">
        <v>10954975.560000001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3.7037037037036848E-2</v>
      </c>
      <c r="Q615">
        <f t="shared" si="990"/>
        <v>405739.83555555349</v>
      </c>
      <c r="R615">
        <f t="shared" si="991"/>
        <v>-20539716.051077262</v>
      </c>
      <c r="S615">
        <f t="shared" si="992"/>
        <v>-205.39716051077261</v>
      </c>
      <c r="T615">
        <f t="shared" si="993"/>
        <v>-0.20539716051077261</v>
      </c>
    </row>
    <row r="616" spans="1:20" x14ac:dyDescent="0.25">
      <c r="A616" s="5">
        <v>43977</v>
      </c>
      <c r="B616">
        <v>2.75E-2</v>
      </c>
      <c r="C616">
        <v>3.1199999999999999E-2</v>
      </c>
      <c r="D616">
        <v>2.63E-2</v>
      </c>
      <c r="E616">
        <v>2.7900000000000001E-2</v>
      </c>
      <c r="F616">
        <v>16661866.029999999</v>
      </c>
      <c r="G616">
        <v>0</v>
      </c>
      <c r="L616" t="s">
        <v>8</v>
      </c>
      <c r="M616" t="s">
        <v>7</v>
      </c>
      <c r="N616" t="s">
        <v>8</v>
      </c>
      <c r="P616">
        <f t="shared" si="989"/>
        <v>-0.34693877551020352</v>
      </c>
      <c r="Q616">
        <f t="shared" si="990"/>
        <v>-5780647.3981632553</v>
      </c>
      <c r="R616">
        <f t="shared" si="991"/>
        <v>-20945455.886632815</v>
      </c>
      <c r="S616">
        <f t="shared" si="992"/>
        <v>-209.45455886632814</v>
      </c>
      <c r="T616">
        <f t="shared" si="993"/>
        <v>-0.20945455886632813</v>
      </c>
    </row>
    <row r="617" spans="1:20" x14ac:dyDescent="0.25">
      <c r="A617" s="5">
        <v>43976</v>
      </c>
      <c r="B617">
        <v>2.8000000000000001E-2</v>
      </c>
      <c r="C617">
        <v>2.93E-2</v>
      </c>
      <c r="D617">
        <v>2.6100000000000002E-2</v>
      </c>
      <c r="E617">
        <v>2.7400000000000001E-2</v>
      </c>
      <c r="F617">
        <v>30048482.489999998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-0.18750000000000006</v>
      </c>
      <c r="Q617">
        <f t="shared" si="990"/>
        <v>-5634090.4668750018</v>
      </c>
      <c r="R617">
        <f t="shared" si="991"/>
        <v>-15164808.488469558</v>
      </c>
      <c r="S617">
        <f t="shared" si="992"/>
        <v>-151.64808488469558</v>
      </c>
      <c r="T617">
        <f t="shared" si="993"/>
        <v>-0.15164808488469558</v>
      </c>
    </row>
    <row r="618" spans="1:20" x14ac:dyDescent="0.25">
      <c r="A618" s="5">
        <v>43975</v>
      </c>
      <c r="B618">
        <v>2.2100000000000002E-2</v>
      </c>
      <c r="C618">
        <v>3.2000000000000001E-2</v>
      </c>
      <c r="D618">
        <v>2.2100000000000002E-2</v>
      </c>
      <c r="E618">
        <v>2.8000000000000001E-2</v>
      </c>
      <c r="F618">
        <v>43388050.130000003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0.19191919191919182</v>
      </c>
      <c r="Q618">
        <f t="shared" si="990"/>
        <v>8326999.5198989864</v>
      </c>
      <c r="R618">
        <f t="shared" si="991"/>
        <v>-9530718.021594556</v>
      </c>
      <c r="S618">
        <f t="shared" si="992"/>
        <v>-95.307180215945564</v>
      </c>
      <c r="T618">
        <f t="shared" si="993"/>
        <v>-9.5307180215945558E-2</v>
      </c>
    </row>
    <row r="619" spans="1:20" x14ac:dyDescent="0.25">
      <c r="A619" s="5">
        <v>43974</v>
      </c>
      <c r="B619">
        <v>2.2200000000000001E-2</v>
      </c>
      <c r="C619">
        <v>2.3400000000000001E-2</v>
      </c>
      <c r="D619">
        <v>2.1499999999999998E-2</v>
      </c>
      <c r="E619">
        <v>2.2100000000000002E-2</v>
      </c>
      <c r="F619">
        <v>9716797.6500000004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-0.36842105263157626</v>
      </c>
      <c r="Q619">
        <f t="shared" si="990"/>
        <v>-3579872.8184210267</v>
      </c>
      <c r="R619">
        <f t="shared" si="991"/>
        <v>-17857717.541493542</v>
      </c>
      <c r="S619">
        <f t="shared" si="992"/>
        <v>-178.57717541493543</v>
      </c>
      <c r="T619">
        <f t="shared" si="993"/>
        <v>-0.17857717541493542</v>
      </c>
    </row>
    <row r="620" spans="1:20" x14ac:dyDescent="0.25">
      <c r="A620" s="5">
        <v>43973</v>
      </c>
      <c r="B620">
        <v>2.0799999999999999E-2</v>
      </c>
      <c r="C620">
        <v>2.4799999999999999E-2</v>
      </c>
      <c r="D620">
        <v>2.0299999999999999E-2</v>
      </c>
      <c r="E620">
        <v>2.2100000000000002E-2</v>
      </c>
      <c r="F620">
        <v>14755589.02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-0.19999999999999876</v>
      </c>
      <c r="Q620">
        <f t="shared" si="990"/>
        <v>-2951117.8039999818</v>
      </c>
      <c r="R620">
        <f t="shared" si="991"/>
        <v>-14277844.723072518</v>
      </c>
      <c r="S620">
        <f t="shared" si="992"/>
        <v>-142.77844723072516</v>
      </c>
      <c r="T620">
        <f t="shared" si="993"/>
        <v>-0.14277844723072516</v>
      </c>
    </row>
    <row r="621" spans="1:20" x14ac:dyDescent="0.25">
      <c r="A621" s="5">
        <v>43972</v>
      </c>
      <c r="B621">
        <v>2.1999999999999999E-2</v>
      </c>
      <c r="C621">
        <v>2.2599999999999999E-2</v>
      </c>
      <c r="D621">
        <v>2.01E-2</v>
      </c>
      <c r="E621">
        <v>2.0899999999999998E-2</v>
      </c>
      <c r="F621">
        <v>3997411.92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-0.36000000000000076</v>
      </c>
      <c r="Q621">
        <f t="shared" si="990"/>
        <v>-1439068.2912000031</v>
      </c>
      <c r="R621">
        <f t="shared" si="991"/>
        <v>-11326726.919072537</v>
      </c>
      <c r="S621">
        <f t="shared" si="992"/>
        <v>-113.26726919072537</v>
      </c>
      <c r="T621">
        <f t="shared" si="993"/>
        <v>-0.11326726919072537</v>
      </c>
    </row>
    <row r="622" spans="1:20" x14ac:dyDescent="0.25">
      <c r="A622" s="5">
        <v>43971</v>
      </c>
      <c r="B622">
        <v>2.2100000000000002E-2</v>
      </c>
      <c r="C622">
        <v>2.29E-2</v>
      </c>
      <c r="D622">
        <v>2.0799999999999999E-2</v>
      </c>
      <c r="E622">
        <v>2.1999999999999999E-2</v>
      </c>
      <c r="F622">
        <v>7047679.04</v>
      </c>
      <c r="G622">
        <v>0</v>
      </c>
      <c r="L622" t="s">
        <v>8</v>
      </c>
      <c r="M622" t="s">
        <v>7</v>
      </c>
      <c r="N622" t="s">
        <v>8</v>
      </c>
      <c r="P622">
        <f t="shared" si="989"/>
        <v>0.14285714285714191</v>
      </c>
      <c r="Q622">
        <f t="shared" si="990"/>
        <v>1006811.2914285647</v>
      </c>
      <c r="R622">
        <f t="shared" si="991"/>
        <v>-9887658.6278725341</v>
      </c>
      <c r="S622">
        <f t="shared" si="992"/>
        <v>-98.876586278725341</v>
      </c>
      <c r="T622">
        <f t="shared" si="993"/>
        <v>-9.8876586278725337E-2</v>
      </c>
    </row>
    <row r="623" spans="1:20" x14ac:dyDescent="0.25">
      <c r="A623" s="5">
        <v>43970</v>
      </c>
      <c r="B623">
        <v>2.23E-2</v>
      </c>
      <c r="C623">
        <v>2.24E-2</v>
      </c>
      <c r="D623">
        <v>2.1100000000000001E-2</v>
      </c>
      <c r="E623">
        <v>2.2100000000000002E-2</v>
      </c>
      <c r="F623">
        <v>6016973.1299999999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0.53846153846154088</v>
      </c>
      <c r="Q623">
        <f t="shared" si="990"/>
        <v>3239908.6084615528</v>
      </c>
      <c r="R623">
        <f t="shared" si="991"/>
        <v>-10894469.919301098</v>
      </c>
      <c r="S623">
        <f t="shared" si="992"/>
        <v>-108.94469919301098</v>
      </c>
      <c r="T623">
        <f t="shared" si="993"/>
        <v>-0.10894469919301097</v>
      </c>
    </row>
    <row r="624" spans="1:20" x14ac:dyDescent="0.25">
      <c r="A624" s="5">
        <v>43969</v>
      </c>
      <c r="B624">
        <v>2.07E-2</v>
      </c>
      <c r="C624">
        <v>2.24E-2</v>
      </c>
      <c r="D624">
        <v>2.0500000000000001E-2</v>
      </c>
      <c r="E624">
        <v>2.1999999999999999E-2</v>
      </c>
      <c r="F624">
        <v>5871995.4199999999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0.57894736842105132</v>
      </c>
      <c r="Q624">
        <f t="shared" si="990"/>
        <v>3399576.2957894658</v>
      </c>
      <c r="R624">
        <f t="shared" si="991"/>
        <v>-14134378.527762651</v>
      </c>
      <c r="S624">
        <f t="shared" si="992"/>
        <v>-141.34378527762652</v>
      </c>
      <c r="T624">
        <f t="shared" si="993"/>
        <v>-0.14134378527762653</v>
      </c>
    </row>
    <row r="625" spans="1:20" x14ac:dyDescent="0.25">
      <c r="A625" s="5">
        <v>43968</v>
      </c>
      <c r="B625">
        <v>2.1700000000000001E-2</v>
      </c>
      <c r="C625">
        <v>2.2100000000000002E-2</v>
      </c>
      <c r="D625">
        <v>2.06E-2</v>
      </c>
      <c r="E625">
        <v>2.0799999999999999E-2</v>
      </c>
      <c r="F625">
        <v>5420200.4100000001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-0.73333333333333517</v>
      </c>
      <c r="Q625">
        <f t="shared" si="990"/>
        <v>-3974813.6340000099</v>
      </c>
      <c r="R625">
        <f t="shared" si="991"/>
        <v>-17533954.823552117</v>
      </c>
      <c r="S625">
        <f t="shared" si="992"/>
        <v>-175.33954823552116</v>
      </c>
      <c r="T625">
        <f t="shared" si="993"/>
        <v>-0.17533954823552117</v>
      </c>
    </row>
    <row r="626" spans="1:20" x14ac:dyDescent="0.25">
      <c r="A626" s="5">
        <v>43967</v>
      </c>
      <c r="B626">
        <v>2.0799999999999999E-2</v>
      </c>
      <c r="C626">
        <v>2.2499999999999999E-2</v>
      </c>
      <c r="D626">
        <v>2.0400000000000001E-2</v>
      </c>
      <c r="E626">
        <v>2.1700000000000001E-2</v>
      </c>
      <c r="F626">
        <v>9276871.5299999993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0.23809523809523855</v>
      </c>
      <c r="Q626">
        <f t="shared" si="990"/>
        <v>2208778.93571429</v>
      </c>
      <c r="R626">
        <f t="shared" si="991"/>
        <v>-13559141.189552108</v>
      </c>
      <c r="S626">
        <f t="shared" si="992"/>
        <v>-135.59141189552108</v>
      </c>
      <c r="T626">
        <f t="shared" si="993"/>
        <v>-0.13559141189552107</v>
      </c>
    </row>
    <row r="627" spans="1:20" x14ac:dyDescent="0.25">
      <c r="A627" s="5">
        <v>43966</v>
      </c>
      <c r="B627">
        <v>2.2100000000000002E-2</v>
      </c>
      <c r="C627">
        <v>2.46E-2</v>
      </c>
      <c r="D627">
        <v>2.0500000000000001E-2</v>
      </c>
      <c r="E627">
        <v>2.06E-2</v>
      </c>
      <c r="F627">
        <v>19231824.190000001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-0.95121951219512224</v>
      </c>
      <c r="Q627">
        <f t="shared" si="990"/>
        <v>-18293686.424634155</v>
      </c>
      <c r="R627">
        <f t="shared" si="991"/>
        <v>-15767920.125266397</v>
      </c>
      <c r="S627">
        <f t="shared" si="992"/>
        <v>-157.67920125266397</v>
      </c>
      <c r="T627">
        <f t="shared" si="993"/>
        <v>-0.15767920125266396</v>
      </c>
    </row>
    <row r="628" spans="1:20" x14ac:dyDescent="0.25">
      <c r="A628" s="5">
        <v>43965</v>
      </c>
      <c r="B628">
        <v>1.95E-2</v>
      </c>
      <c r="C628">
        <v>2.23E-2</v>
      </c>
      <c r="D628">
        <v>1.9300000000000001E-2</v>
      </c>
      <c r="E628">
        <v>2.2100000000000002E-2</v>
      </c>
      <c r="F628">
        <v>8227293.1399999997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0.86666666666666747</v>
      </c>
      <c r="Q628">
        <f t="shared" si="990"/>
        <v>7130320.7213333398</v>
      </c>
      <c r="R628">
        <f t="shared" si="991"/>
        <v>2525766.2993677575</v>
      </c>
      <c r="S628">
        <f t="shared" si="992"/>
        <v>25.257662993677574</v>
      </c>
      <c r="T628">
        <f t="shared" si="993"/>
        <v>2.5257662993677574E-2</v>
      </c>
    </row>
    <row r="629" spans="1:20" x14ac:dyDescent="0.25">
      <c r="A629" s="5">
        <v>43964</v>
      </c>
      <c r="B629">
        <v>1.9099999999999999E-2</v>
      </c>
      <c r="C629">
        <v>1.9900000000000001E-2</v>
      </c>
      <c r="D629">
        <v>1.8599999999999998E-2</v>
      </c>
      <c r="E629">
        <v>1.95E-2</v>
      </c>
      <c r="F629">
        <v>6479219.2999999998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0.38461538461538419</v>
      </c>
      <c r="Q629">
        <f t="shared" si="990"/>
        <v>2492007.4230769202</v>
      </c>
      <c r="R629">
        <f t="shared" si="991"/>
        <v>-4604554.4219655823</v>
      </c>
      <c r="S629">
        <f t="shared" si="992"/>
        <v>-46.045544219655824</v>
      </c>
      <c r="T629">
        <f t="shared" si="993"/>
        <v>-4.6045544219655822E-2</v>
      </c>
    </row>
    <row r="630" spans="1:20" x14ac:dyDescent="0.25">
      <c r="A630" s="5">
        <v>43963</v>
      </c>
      <c r="B630">
        <v>1.8100000000000002E-2</v>
      </c>
      <c r="C630">
        <v>1.9300000000000001E-2</v>
      </c>
      <c r="D630">
        <v>1.8100000000000002E-2</v>
      </c>
      <c r="E630">
        <v>1.9E-2</v>
      </c>
      <c r="F630">
        <v>3696616.37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0.49999999999999711</v>
      </c>
      <c r="Q630">
        <f t="shared" si="990"/>
        <v>1848308.1849999893</v>
      </c>
      <c r="R630">
        <f t="shared" si="991"/>
        <v>-7096561.8450425025</v>
      </c>
      <c r="S630">
        <f t="shared" si="992"/>
        <v>-70.965618450425026</v>
      </c>
      <c r="T630">
        <f t="shared" si="993"/>
        <v>-7.0965618450425025E-2</v>
      </c>
    </row>
    <row r="631" spans="1:20" x14ac:dyDescent="0.25">
      <c r="A631" s="5">
        <v>43962</v>
      </c>
      <c r="B631">
        <v>1.9E-2</v>
      </c>
      <c r="C631">
        <v>1.9199999999999998E-2</v>
      </c>
      <c r="D631">
        <v>1.72E-2</v>
      </c>
      <c r="E631">
        <v>1.83E-2</v>
      </c>
      <c r="F631">
        <v>4289908.87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0.10000000000000121</v>
      </c>
      <c r="Q631">
        <f t="shared" si="990"/>
        <v>428990.88700000523</v>
      </c>
      <c r="R631">
        <f t="shared" si="991"/>
        <v>-8944870.0300424919</v>
      </c>
      <c r="S631">
        <f t="shared" si="992"/>
        <v>-89.448700300424917</v>
      </c>
      <c r="T631">
        <f t="shared" si="993"/>
        <v>-8.9448700300424913E-2</v>
      </c>
    </row>
    <row r="632" spans="1:20" x14ac:dyDescent="0.25">
      <c r="A632" s="5">
        <v>43961</v>
      </c>
      <c r="B632">
        <v>2.1100000000000001E-2</v>
      </c>
      <c r="C632">
        <v>2.1100000000000001E-2</v>
      </c>
      <c r="D632">
        <v>1.77E-2</v>
      </c>
      <c r="E632">
        <v>1.89E-2</v>
      </c>
      <c r="F632">
        <v>4936187.29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-0.29411764705882376</v>
      </c>
      <c r="Q632">
        <f t="shared" si="990"/>
        <v>-1451819.7911764719</v>
      </c>
      <c r="R632">
        <f t="shared" si="991"/>
        <v>-9373860.9170424975</v>
      </c>
      <c r="S632">
        <f t="shared" si="992"/>
        <v>-93.738609170424979</v>
      </c>
      <c r="T632">
        <f t="shared" si="993"/>
        <v>-9.373860917042498E-2</v>
      </c>
    </row>
    <row r="633" spans="1:20" x14ac:dyDescent="0.25">
      <c r="A633" s="5">
        <v>43960</v>
      </c>
      <c r="B633">
        <v>2.1499999999999998E-2</v>
      </c>
      <c r="C633">
        <v>2.2100000000000002E-2</v>
      </c>
      <c r="D633">
        <v>2.1000000000000001E-2</v>
      </c>
      <c r="E633">
        <v>2.12E-2</v>
      </c>
      <c r="F633">
        <v>1900452.19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-0.63636363636363869</v>
      </c>
      <c r="Q633">
        <f t="shared" si="990"/>
        <v>-1209378.6663636407</v>
      </c>
      <c r="R633">
        <f t="shared" si="991"/>
        <v>-7922041.1258660257</v>
      </c>
      <c r="S633">
        <f t="shared" si="992"/>
        <v>-79.220411258660263</v>
      </c>
      <c r="T633">
        <f t="shared" si="993"/>
        <v>-7.9220411258660264E-2</v>
      </c>
    </row>
    <row r="634" spans="1:20" x14ac:dyDescent="0.25">
      <c r="A634" s="5">
        <v>43959</v>
      </c>
      <c r="B634">
        <v>2.0899999999999998E-2</v>
      </c>
      <c r="C634">
        <v>2.1999999999999999E-2</v>
      </c>
      <c r="D634">
        <v>2.0500000000000001E-2</v>
      </c>
      <c r="E634">
        <v>2.1499999999999998E-2</v>
      </c>
      <c r="F634">
        <v>3151418.89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0.33333333333333182</v>
      </c>
      <c r="Q634">
        <f t="shared" si="990"/>
        <v>1050472.9633333285</v>
      </c>
      <c r="R634">
        <f t="shared" si="991"/>
        <v>-6712662.459502385</v>
      </c>
      <c r="S634">
        <f t="shared" si="992"/>
        <v>-67.126624595023856</v>
      </c>
      <c r="T634">
        <f t="shared" si="993"/>
        <v>-6.7126624595023859E-2</v>
      </c>
    </row>
    <row r="635" spans="1:20" x14ac:dyDescent="0.25">
      <c r="A635" s="5">
        <v>43958</v>
      </c>
      <c r="B635">
        <v>2.1399999999999999E-2</v>
      </c>
      <c r="C635">
        <v>2.24E-2</v>
      </c>
      <c r="D635">
        <v>2.0299999999999999E-2</v>
      </c>
      <c r="E635">
        <v>2.0899999999999998E-2</v>
      </c>
      <c r="F635">
        <v>5993982.1900000004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-0.42857142857142905</v>
      </c>
      <c r="Q635">
        <f t="shared" si="990"/>
        <v>-2568849.510000003</v>
      </c>
      <c r="R635">
        <f t="shared" si="991"/>
        <v>-7763135.4228357133</v>
      </c>
      <c r="S635">
        <f t="shared" si="992"/>
        <v>-77.631354228357139</v>
      </c>
      <c r="T635">
        <f t="shared" si="993"/>
        <v>-7.7631354228357138E-2</v>
      </c>
    </row>
    <row r="636" spans="1:20" x14ac:dyDescent="0.25">
      <c r="A636" s="5">
        <v>43957</v>
      </c>
      <c r="B636">
        <v>2.2100000000000002E-2</v>
      </c>
      <c r="C636">
        <v>2.2499999999999999E-2</v>
      </c>
      <c r="D636">
        <v>2.1399999999999999E-2</v>
      </c>
      <c r="E636">
        <v>2.1399999999999999E-2</v>
      </c>
      <c r="F636">
        <v>3456821.4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-1</v>
      </c>
      <c r="Q636">
        <f t="shared" si="990"/>
        <v>-3456821.4</v>
      </c>
      <c r="R636">
        <f t="shared" si="991"/>
        <v>-5194285.9128357107</v>
      </c>
      <c r="S636">
        <f t="shared" si="992"/>
        <v>-51.942859128357107</v>
      </c>
      <c r="T636">
        <f t="shared" si="993"/>
        <v>-5.1942859128357104E-2</v>
      </c>
    </row>
    <row r="637" spans="1:20" x14ac:dyDescent="0.25">
      <c r="A637" s="5">
        <v>43956</v>
      </c>
      <c r="B637">
        <v>2.2800000000000001E-2</v>
      </c>
      <c r="C637">
        <v>2.3E-2</v>
      </c>
      <c r="D637">
        <v>2.1299999999999999E-2</v>
      </c>
      <c r="E637">
        <v>2.2100000000000002E-2</v>
      </c>
      <c r="F637">
        <v>3288751.26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-5.8823529411762304E-2</v>
      </c>
      <c r="Q637">
        <f t="shared" si="990"/>
        <v>-193455.95647058034</v>
      </c>
      <c r="R637">
        <f t="shared" si="991"/>
        <v>-1737464.5128357108</v>
      </c>
      <c r="S637">
        <f t="shared" si="992"/>
        <v>-17.374645128357109</v>
      </c>
      <c r="T637">
        <f t="shared" si="993"/>
        <v>-1.7374645128357111E-2</v>
      </c>
    </row>
    <row r="638" spans="1:20" x14ac:dyDescent="0.25">
      <c r="A638" s="5">
        <v>43955</v>
      </c>
      <c r="B638">
        <v>2.3E-2</v>
      </c>
      <c r="C638">
        <v>2.3E-2</v>
      </c>
      <c r="D638">
        <v>2.1600000000000001E-2</v>
      </c>
      <c r="E638">
        <v>2.2800000000000001E-2</v>
      </c>
      <c r="F638">
        <v>2946338.08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0.71428571428571574</v>
      </c>
      <c r="Q638">
        <f t="shared" si="990"/>
        <v>2104527.2000000044</v>
      </c>
      <c r="R638">
        <f t="shared" si="991"/>
        <v>-1544008.5563651305</v>
      </c>
      <c r="S638">
        <f t="shared" si="992"/>
        <v>-15.440085563651305</v>
      </c>
      <c r="T638">
        <f t="shared" si="993"/>
        <v>-1.5440085563651305E-2</v>
      </c>
    </row>
    <row r="639" spans="1:20" x14ac:dyDescent="0.25">
      <c r="A639" s="5">
        <v>43954</v>
      </c>
      <c r="B639">
        <v>2.3599999999999999E-2</v>
      </c>
      <c r="C639">
        <v>2.4E-2</v>
      </c>
      <c r="D639">
        <v>2.23E-2</v>
      </c>
      <c r="E639">
        <v>2.3E-2</v>
      </c>
      <c r="F639">
        <v>5616650.3700000001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-0.17647058823529507</v>
      </c>
      <c r="Q639">
        <f t="shared" si="990"/>
        <v>-991173.59470588772</v>
      </c>
      <c r="R639">
        <f t="shared" si="991"/>
        <v>-3648535.7563651348</v>
      </c>
      <c r="S639">
        <f t="shared" si="992"/>
        <v>-36.485357563651348</v>
      </c>
      <c r="T639">
        <f t="shared" si="993"/>
        <v>-3.6485357563651351E-2</v>
      </c>
    </row>
    <row r="640" spans="1:20" x14ac:dyDescent="0.25">
      <c r="A640" s="5">
        <v>43953</v>
      </c>
      <c r="B640">
        <v>2.2200000000000001E-2</v>
      </c>
      <c r="C640">
        <v>2.4199999999999999E-2</v>
      </c>
      <c r="D640">
        <v>2.2200000000000001E-2</v>
      </c>
      <c r="E640">
        <v>2.3400000000000001E-2</v>
      </c>
      <c r="F640">
        <v>10162882.74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0.2000000000000007</v>
      </c>
      <c r="Q640">
        <f t="shared" si="990"/>
        <v>2032576.5480000072</v>
      </c>
      <c r="R640">
        <f t="shared" si="991"/>
        <v>-2657362.1616592472</v>
      </c>
      <c r="S640">
        <f t="shared" si="992"/>
        <v>-26.573621616592472</v>
      </c>
      <c r="T640">
        <f t="shared" si="993"/>
        <v>-2.6573621616592474E-2</v>
      </c>
    </row>
    <row r="641" spans="1:20" x14ac:dyDescent="0.25">
      <c r="A641" s="5">
        <v>43952</v>
      </c>
      <c r="B641">
        <v>2.0899999999999998E-2</v>
      </c>
      <c r="C641">
        <v>2.4199999999999999E-2</v>
      </c>
      <c r="D641">
        <v>2.0899999999999998E-2</v>
      </c>
      <c r="E641">
        <v>2.2200000000000001E-2</v>
      </c>
      <c r="F641">
        <v>16344365.369999999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-0.21212121212121079</v>
      </c>
      <c r="Q641">
        <f t="shared" si="990"/>
        <v>-3466986.5936363419</v>
      </c>
      <c r="R641">
        <f t="shared" si="991"/>
        <v>-4689938.7096592542</v>
      </c>
      <c r="S641">
        <f t="shared" si="992"/>
        <v>-46.899387096592541</v>
      </c>
      <c r="T641">
        <f t="shared" si="993"/>
        <v>-4.689938709659254E-2</v>
      </c>
    </row>
    <row r="642" spans="1:20" x14ac:dyDescent="0.25">
      <c r="A642" s="5">
        <v>43951</v>
      </c>
      <c r="B642">
        <v>2.2100000000000002E-2</v>
      </c>
      <c r="C642">
        <v>2.29E-2</v>
      </c>
      <c r="D642">
        <v>2.06E-2</v>
      </c>
      <c r="E642">
        <v>2.0899999999999998E-2</v>
      </c>
      <c r="F642">
        <v>8042526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-0.73913043478261031</v>
      </c>
      <c r="Q642">
        <f t="shared" si="990"/>
        <v>-5944475.7391304476</v>
      </c>
      <c r="R642">
        <f t="shared" si="991"/>
        <v>-1222952.1160229119</v>
      </c>
      <c r="S642">
        <f t="shared" si="992"/>
        <v>-12.229521160229119</v>
      </c>
      <c r="T642">
        <f t="shared" si="993"/>
        <v>-1.2229521160229118E-2</v>
      </c>
    </row>
    <row r="643" spans="1:20" x14ac:dyDescent="0.25">
      <c r="A643" s="5">
        <v>43950</v>
      </c>
      <c r="B643">
        <v>2.2499999999999999E-2</v>
      </c>
      <c r="C643">
        <v>2.2599999999999999E-2</v>
      </c>
      <c r="D643">
        <v>2.12E-2</v>
      </c>
      <c r="E643">
        <v>2.2100000000000002E-2</v>
      </c>
      <c r="F643">
        <v>11802194.41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0.28571428571428925</v>
      </c>
      <c r="Q643">
        <f t="shared" si="990"/>
        <v>3372055.5457143276</v>
      </c>
      <c r="R643">
        <f t="shared" si="991"/>
        <v>4721523.6231075358</v>
      </c>
      <c r="S643">
        <f t="shared" si="992"/>
        <v>47.215236231075359</v>
      </c>
      <c r="T643">
        <f t="shared" si="993"/>
        <v>4.7215236231075361E-2</v>
      </c>
    </row>
    <row r="644" spans="1:20" x14ac:dyDescent="0.25">
      <c r="A644" s="5">
        <v>43949</v>
      </c>
      <c r="B644">
        <v>2.1100000000000001E-2</v>
      </c>
      <c r="C644">
        <v>2.3300000000000001E-2</v>
      </c>
      <c r="D644">
        <v>2.0799999999999999E-2</v>
      </c>
      <c r="E644">
        <v>2.2499999999999999E-2</v>
      </c>
      <c r="F644">
        <v>17649745.449999999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0.35999999999999888</v>
      </c>
      <c r="Q644">
        <f t="shared" si="990"/>
        <v>6353908.3619999802</v>
      </c>
      <c r="R644">
        <f t="shared" si="991"/>
        <v>1349468.0773932086</v>
      </c>
      <c r="S644">
        <f t="shared" si="992"/>
        <v>13.494680773932087</v>
      </c>
      <c r="T644">
        <f t="shared" si="993"/>
        <v>1.3494680773932087E-2</v>
      </c>
    </row>
    <row r="645" spans="1:20" x14ac:dyDescent="0.25">
      <c r="A645" s="5">
        <v>43948</v>
      </c>
      <c r="B645">
        <v>2.1499999999999998E-2</v>
      </c>
      <c r="C645">
        <v>2.1600000000000001E-2</v>
      </c>
      <c r="D645">
        <v>2.0400000000000001E-2</v>
      </c>
      <c r="E645">
        <v>2.12E-2</v>
      </c>
      <c r="F645">
        <v>4201152.24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0.33333333333333143</v>
      </c>
      <c r="Q645">
        <f t="shared" si="990"/>
        <v>1400384.0799999922</v>
      </c>
      <c r="R645">
        <f t="shared" si="991"/>
        <v>-5004440.2846067715</v>
      </c>
      <c r="S645">
        <f t="shared" si="992"/>
        <v>-50.044402846067719</v>
      </c>
      <c r="T645">
        <f t="shared" si="993"/>
        <v>-5.0044402846067718E-2</v>
      </c>
    </row>
    <row r="646" spans="1:20" x14ac:dyDescent="0.25">
      <c r="A646" s="5">
        <v>43947</v>
      </c>
      <c r="B646">
        <v>2.0500000000000001E-2</v>
      </c>
      <c r="C646">
        <v>2.1700000000000001E-2</v>
      </c>
      <c r="D646">
        <v>1.9900000000000001E-2</v>
      </c>
      <c r="E646">
        <v>2.1399999999999999E-2</v>
      </c>
      <c r="F646">
        <v>4672783.53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0.66666666666666474</v>
      </c>
      <c r="Q646">
        <f t="shared" ref="Q646:Q709" si="995">F646*P646</f>
        <v>3115189.0199999912</v>
      </c>
      <c r="R646">
        <f t="shared" ref="R646:R709" si="996">R647+Q646</f>
        <v>-6404824.3646067632</v>
      </c>
      <c r="S646">
        <f t="shared" ref="S646:S709" si="997">R646/100000</f>
        <v>-64.048243646067633</v>
      </c>
      <c r="T646">
        <f t="shared" ref="T646:T709" si="998">S646/1000</f>
        <v>-6.4048243646067635E-2</v>
      </c>
    </row>
    <row r="647" spans="1:20" x14ac:dyDescent="0.25">
      <c r="A647" s="5">
        <v>43946</v>
      </c>
      <c r="B647">
        <v>1.9599999999999999E-2</v>
      </c>
      <c r="C647">
        <v>2.1100000000000001E-2</v>
      </c>
      <c r="D647">
        <v>1.9300000000000001E-2</v>
      </c>
      <c r="E647">
        <v>2.06E-2</v>
      </c>
      <c r="F647">
        <v>3339420.58</v>
      </c>
      <c r="G647">
        <v>0</v>
      </c>
      <c r="L647" t="s">
        <v>7</v>
      </c>
      <c r="M647" t="s">
        <v>8</v>
      </c>
      <c r="N647" t="s">
        <v>7</v>
      </c>
      <c r="P647">
        <f t="shared" si="994"/>
        <v>0.44444444444444381</v>
      </c>
      <c r="Q647">
        <f t="shared" si="995"/>
        <v>1484186.9244444424</v>
      </c>
      <c r="R647">
        <f t="shared" si="996"/>
        <v>-9520013.3846067544</v>
      </c>
      <c r="S647">
        <f t="shared" si="997"/>
        <v>-95.200133846067544</v>
      </c>
      <c r="T647">
        <f t="shared" si="998"/>
        <v>-9.5200133846067542E-2</v>
      </c>
    </row>
    <row r="648" spans="1:20" x14ac:dyDescent="0.25">
      <c r="A648" s="5">
        <v>43945</v>
      </c>
      <c r="B648">
        <v>1.8800000000000001E-2</v>
      </c>
      <c r="C648">
        <v>2.1700000000000001E-2</v>
      </c>
      <c r="D648">
        <v>1.8700000000000001E-2</v>
      </c>
      <c r="E648">
        <v>1.9599999999999999E-2</v>
      </c>
      <c r="F648">
        <v>8769858.7100000009</v>
      </c>
      <c r="G648">
        <v>0</v>
      </c>
      <c r="L648" t="s">
        <v>8</v>
      </c>
      <c r="M648" t="s">
        <v>8</v>
      </c>
      <c r="N648" t="s">
        <v>7</v>
      </c>
      <c r="P648">
        <f t="shared" si="994"/>
        <v>-0.40000000000000113</v>
      </c>
      <c r="Q648">
        <f t="shared" si="995"/>
        <v>-3507943.4840000104</v>
      </c>
      <c r="R648">
        <f t="shared" si="996"/>
        <v>-11004200.309051197</v>
      </c>
      <c r="S648">
        <f t="shared" si="997"/>
        <v>-110.04200309051197</v>
      </c>
      <c r="T648">
        <f t="shared" si="998"/>
        <v>-0.11004200309051197</v>
      </c>
    </row>
    <row r="649" spans="1:20" x14ac:dyDescent="0.25">
      <c r="A649" s="5">
        <v>43944</v>
      </c>
      <c r="B649">
        <v>1.8499999999999999E-2</v>
      </c>
      <c r="C649">
        <v>1.9400000000000001E-2</v>
      </c>
      <c r="D649">
        <v>1.7999999999999999E-2</v>
      </c>
      <c r="E649">
        <v>1.8800000000000001E-2</v>
      </c>
      <c r="F649">
        <v>2142457.09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0.14285714285714426</v>
      </c>
      <c r="Q649">
        <f t="shared" si="995"/>
        <v>306065.29857143154</v>
      </c>
      <c r="R649">
        <f t="shared" si="996"/>
        <v>-7496256.8250511866</v>
      </c>
      <c r="S649">
        <f t="shared" si="997"/>
        <v>-74.962568250511865</v>
      </c>
      <c r="T649">
        <f t="shared" si="998"/>
        <v>-7.4962568250511868E-2</v>
      </c>
    </row>
    <row r="650" spans="1:20" x14ac:dyDescent="0.25">
      <c r="A650" s="5">
        <v>43943</v>
      </c>
      <c r="B650">
        <v>1.77E-2</v>
      </c>
      <c r="C650">
        <v>1.8700000000000001E-2</v>
      </c>
      <c r="D650">
        <v>1.77E-2</v>
      </c>
      <c r="E650">
        <v>1.8499999999999999E-2</v>
      </c>
      <c r="F650">
        <v>1925835.08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0.59999999999999587</v>
      </c>
      <c r="Q650">
        <f t="shared" si="995"/>
        <v>1155501.047999992</v>
      </c>
      <c r="R650">
        <f t="shared" si="996"/>
        <v>-7802322.1236226177</v>
      </c>
      <c r="S650">
        <f t="shared" si="997"/>
        <v>-78.023221236226178</v>
      </c>
      <c r="T650">
        <f t="shared" si="998"/>
        <v>-7.8023221236226181E-2</v>
      </c>
    </row>
    <row r="651" spans="1:20" x14ac:dyDescent="0.25">
      <c r="A651" s="5">
        <v>43942</v>
      </c>
      <c r="B651">
        <v>1.78E-2</v>
      </c>
      <c r="C651">
        <v>1.8200000000000001E-2</v>
      </c>
      <c r="D651">
        <v>1.7600000000000001E-2</v>
      </c>
      <c r="E651">
        <v>1.78E-2</v>
      </c>
      <c r="F651">
        <v>1282118.18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-0.3333333333333372</v>
      </c>
      <c r="Q651">
        <f t="shared" si="995"/>
        <v>-427372.72666667163</v>
      </c>
      <c r="R651">
        <f t="shared" si="996"/>
        <v>-8957823.1716226097</v>
      </c>
      <c r="S651">
        <f t="shared" si="997"/>
        <v>-89.578231716226099</v>
      </c>
      <c r="T651">
        <f t="shared" si="998"/>
        <v>-8.95782317162261E-2</v>
      </c>
    </row>
    <row r="652" spans="1:20" x14ac:dyDescent="0.25">
      <c r="A652" s="5">
        <v>43941</v>
      </c>
      <c r="B652">
        <v>1.9099999999999999E-2</v>
      </c>
      <c r="C652">
        <v>1.9800000000000002E-2</v>
      </c>
      <c r="D652">
        <v>1.7399999999999999E-2</v>
      </c>
      <c r="E652">
        <v>1.7999999999999999E-2</v>
      </c>
      <c r="F652">
        <v>4334306.57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-0.50000000000000078</v>
      </c>
      <c r="Q652">
        <f t="shared" si="995"/>
        <v>-2167153.2850000034</v>
      </c>
      <c r="R652">
        <f t="shared" si="996"/>
        <v>-8530450.4449559376</v>
      </c>
      <c r="S652">
        <f t="shared" si="997"/>
        <v>-85.304504449559374</v>
      </c>
      <c r="T652">
        <f t="shared" si="998"/>
        <v>-8.5304504449559379E-2</v>
      </c>
    </row>
    <row r="653" spans="1:20" x14ac:dyDescent="0.25">
      <c r="A653" s="5">
        <v>43940</v>
      </c>
      <c r="B653">
        <v>1.9900000000000001E-2</v>
      </c>
      <c r="C653">
        <v>2.0299999999999999E-2</v>
      </c>
      <c r="D653">
        <v>1.9099999999999999E-2</v>
      </c>
      <c r="E653">
        <v>1.9099999999999999E-2</v>
      </c>
      <c r="F653">
        <v>3109345.4</v>
      </c>
      <c r="G653">
        <v>0</v>
      </c>
      <c r="L653" t="s">
        <v>8</v>
      </c>
      <c r="M653" t="s">
        <v>8</v>
      </c>
      <c r="N653" t="s">
        <v>7</v>
      </c>
      <c r="P653">
        <f t="shared" si="994"/>
        <v>-1</v>
      </c>
      <c r="Q653">
        <f t="shared" si="995"/>
        <v>-3109345.4</v>
      </c>
      <c r="R653">
        <f t="shared" si="996"/>
        <v>-6363297.1599559337</v>
      </c>
      <c r="S653">
        <f t="shared" si="997"/>
        <v>-63.63297159955934</v>
      </c>
      <c r="T653">
        <f t="shared" si="998"/>
        <v>-6.3632971599559343E-2</v>
      </c>
    </row>
    <row r="654" spans="1:20" x14ac:dyDescent="0.25">
      <c r="A654" s="5">
        <v>43939</v>
      </c>
      <c r="B654">
        <v>1.9099999999999999E-2</v>
      </c>
      <c r="C654">
        <v>2.01E-2</v>
      </c>
      <c r="D654">
        <v>1.9E-2</v>
      </c>
      <c r="E654">
        <v>1.9900000000000001E-2</v>
      </c>
      <c r="F654">
        <v>2405916.85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0.63636363636363869</v>
      </c>
      <c r="Q654">
        <f t="shared" si="995"/>
        <v>1531037.9954545512</v>
      </c>
      <c r="R654">
        <f t="shared" si="996"/>
        <v>-3253951.7599559338</v>
      </c>
      <c r="S654">
        <f t="shared" si="997"/>
        <v>-32.539517599559339</v>
      </c>
      <c r="T654">
        <f t="shared" si="998"/>
        <v>-3.2539517599559337E-2</v>
      </c>
    </row>
    <row r="655" spans="1:20" x14ac:dyDescent="0.25">
      <c r="A655" s="5">
        <v>43938</v>
      </c>
      <c r="B655">
        <v>1.8700000000000001E-2</v>
      </c>
      <c r="C655">
        <v>1.9900000000000001E-2</v>
      </c>
      <c r="D655">
        <v>1.84E-2</v>
      </c>
      <c r="E655">
        <v>1.9E-2</v>
      </c>
      <c r="F655">
        <v>3949187.23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-0.20000000000000093</v>
      </c>
      <c r="Q655">
        <f t="shared" si="995"/>
        <v>-789837.44600000361</v>
      </c>
      <c r="R655">
        <f t="shared" si="996"/>
        <v>-4784989.755410485</v>
      </c>
      <c r="S655">
        <f t="shared" si="997"/>
        <v>-47.849897554104849</v>
      </c>
      <c r="T655">
        <f t="shared" si="998"/>
        <v>-4.7849897554104848E-2</v>
      </c>
    </row>
    <row r="656" spans="1:20" x14ac:dyDescent="0.25">
      <c r="A656" s="5">
        <v>43937</v>
      </c>
      <c r="B656">
        <v>1.72E-2</v>
      </c>
      <c r="C656">
        <v>1.9099999999999999E-2</v>
      </c>
      <c r="D656">
        <v>1.6899999999999998E-2</v>
      </c>
      <c r="E656">
        <v>1.8700000000000001E-2</v>
      </c>
      <c r="F656">
        <v>4809301.2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0.63636363636363869</v>
      </c>
      <c r="Q656">
        <f t="shared" si="995"/>
        <v>3060464.4000000111</v>
      </c>
      <c r="R656">
        <f t="shared" si="996"/>
        <v>-3995152.3094104812</v>
      </c>
      <c r="S656">
        <f t="shared" si="997"/>
        <v>-39.951523094104815</v>
      </c>
      <c r="T656">
        <f t="shared" si="998"/>
        <v>-3.9951523094104817E-2</v>
      </c>
    </row>
    <row r="657" spans="1:20" x14ac:dyDescent="0.25">
      <c r="A657" s="5">
        <v>43936</v>
      </c>
      <c r="B657">
        <v>1.84E-2</v>
      </c>
      <c r="C657">
        <v>1.8499999999999999E-2</v>
      </c>
      <c r="D657">
        <v>1.7299999999999999E-2</v>
      </c>
      <c r="E657">
        <v>1.7299999999999999E-2</v>
      </c>
      <c r="F657">
        <v>2649582.81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-1</v>
      </c>
      <c r="Q657">
        <f t="shared" si="995"/>
        <v>-2649582.81</v>
      </c>
      <c r="R657">
        <f t="shared" si="996"/>
        <v>-7055616.7094104923</v>
      </c>
      <c r="S657">
        <f t="shared" si="997"/>
        <v>-70.556167094104921</v>
      </c>
      <c r="T657">
        <f t="shared" si="998"/>
        <v>-7.0556167094104921E-2</v>
      </c>
    </row>
    <row r="658" spans="1:20" x14ac:dyDescent="0.25">
      <c r="A658" s="5">
        <v>43935</v>
      </c>
      <c r="B658">
        <v>1.7500000000000002E-2</v>
      </c>
      <c r="C658">
        <v>1.8800000000000001E-2</v>
      </c>
      <c r="D658">
        <v>1.7299999999999999E-2</v>
      </c>
      <c r="E658">
        <v>1.8499999999999999E-2</v>
      </c>
      <c r="F658">
        <v>2338794.7799999998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0.5999999999999982</v>
      </c>
      <c r="Q658">
        <f t="shared" si="995"/>
        <v>1403276.8679999956</v>
      </c>
      <c r="R658">
        <f t="shared" si="996"/>
        <v>-4406033.8994104918</v>
      </c>
      <c r="S658">
        <f t="shared" si="997"/>
        <v>-44.060338994104917</v>
      </c>
      <c r="T658">
        <f t="shared" si="998"/>
        <v>-4.4060338994104914E-2</v>
      </c>
    </row>
    <row r="659" spans="1:20" x14ac:dyDescent="0.25">
      <c r="A659" s="5">
        <v>43934</v>
      </c>
      <c r="B659">
        <v>1.7899999999999999E-2</v>
      </c>
      <c r="C659">
        <v>1.7899999999999999E-2</v>
      </c>
      <c r="D659">
        <v>1.6799999999999999E-2</v>
      </c>
      <c r="E659">
        <v>1.7399999999999999E-2</v>
      </c>
      <c r="F659">
        <v>2788125.89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9.0909090909090329E-2</v>
      </c>
      <c r="Q659">
        <f t="shared" si="995"/>
        <v>253465.98999999839</v>
      </c>
      <c r="R659">
        <f t="shared" si="996"/>
        <v>-5809310.7674104869</v>
      </c>
      <c r="S659">
        <f t="shared" si="997"/>
        <v>-58.093107674104871</v>
      </c>
      <c r="T659">
        <f t="shared" si="998"/>
        <v>-5.8093107674104874E-2</v>
      </c>
    </row>
    <row r="660" spans="1:20" x14ac:dyDescent="0.25">
      <c r="A660" s="5">
        <v>43933</v>
      </c>
      <c r="B660">
        <v>1.77E-2</v>
      </c>
      <c r="C660">
        <v>1.8599999999999998E-2</v>
      </c>
      <c r="D660">
        <v>1.7500000000000002E-2</v>
      </c>
      <c r="E660">
        <v>1.7899999999999999E-2</v>
      </c>
      <c r="F660">
        <v>1401046.19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-0.27272727272727504</v>
      </c>
      <c r="Q660">
        <f t="shared" si="995"/>
        <v>-382103.50636363961</v>
      </c>
      <c r="R660">
        <f t="shared" si="996"/>
        <v>-6062776.7574104853</v>
      </c>
      <c r="S660">
        <f t="shared" si="997"/>
        <v>-60.627767574104851</v>
      </c>
      <c r="T660">
        <f t="shared" si="998"/>
        <v>-6.0627767574104853E-2</v>
      </c>
    </row>
    <row r="661" spans="1:20" x14ac:dyDescent="0.25">
      <c r="A661" s="5">
        <v>43932</v>
      </c>
      <c r="B661">
        <v>1.77E-2</v>
      </c>
      <c r="C661">
        <v>1.8200000000000001E-2</v>
      </c>
      <c r="D661">
        <v>1.7299999999999999E-2</v>
      </c>
      <c r="E661">
        <v>1.77E-2</v>
      </c>
      <c r="F661">
        <v>2082424.32</v>
      </c>
      <c r="G661">
        <v>0</v>
      </c>
      <c r="L661" t="s">
        <v>8</v>
      </c>
      <c r="M661" t="s">
        <v>7</v>
      </c>
      <c r="N661" t="s">
        <v>7</v>
      </c>
      <c r="P661">
        <f t="shared" si="994"/>
        <v>-0.11111111111111026</v>
      </c>
      <c r="Q661">
        <f t="shared" si="995"/>
        <v>-231380.47999999824</v>
      </c>
      <c r="R661">
        <f t="shared" si="996"/>
        <v>-5680673.2510468457</v>
      </c>
      <c r="S661">
        <f t="shared" si="997"/>
        <v>-56.806732510468457</v>
      </c>
      <c r="T661">
        <f t="shared" si="998"/>
        <v>-5.6806732510468458E-2</v>
      </c>
    </row>
    <row r="662" spans="1:20" x14ac:dyDescent="0.25">
      <c r="A662" s="5">
        <v>43931</v>
      </c>
      <c r="B662">
        <v>2.0199999999999999E-2</v>
      </c>
      <c r="C662">
        <v>2.0199999999999999E-2</v>
      </c>
      <c r="D662">
        <v>1.66E-2</v>
      </c>
      <c r="E662">
        <v>1.7500000000000002E-2</v>
      </c>
      <c r="F662">
        <v>6380222.4199999999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-0.49999999999999906</v>
      </c>
      <c r="Q662">
        <f t="shared" si="995"/>
        <v>-3190111.2099999939</v>
      </c>
      <c r="R662">
        <f t="shared" si="996"/>
        <v>-5449292.7710468471</v>
      </c>
      <c r="S662">
        <f t="shared" si="997"/>
        <v>-54.492927710468472</v>
      </c>
      <c r="T662">
        <f t="shared" si="998"/>
        <v>-5.4492927710468472E-2</v>
      </c>
    </row>
    <row r="663" spans="1:20" x14ac:dyDescent="0.25">
      <c r="A663" s="5">
        <v>43930</v>
      </c>
      <c r="B663">
        <v>2.0400000000000001E-2</v>
      </c>
      <c r="C663">
        <v>2.0500000000000001E-2</v>
      </c>
      <c r="D663">
        <v>1.9400000000000001E-2</v>
      </c>
      <c r="E663">
        <v>2.0199999999999999E-2</v>
      </c>
      <c r="F663">
        <v>2207708.0099999998</v>
      </c>
      <c r="G663">
        <v>0</v>
      </c>
      <c r="L663" t="s">
        <v>7</v>
      </c>
      <c r="M663" t="s">
        <v>8</v>
      </c>
      <c r="N663" t="s">
        <v>7</v>
      </c>
      <c r="P663">
        <f t="shared" si="994"/>
        <v>0.4545454545454517</v>
      </c>
      <c r="Q663">
        <f t="shared" si="995"/>
        <v>1003503.6409090845</v>
      </c>
      <c r="R663">
        <f t="shared" si="996"/>
        <v>-2259181.5610468527</v>
      </c>
      <c r="S663">
        <f t="shared" si="997"/>
        <v>-22.591815610468526</v>
      </c>
      <c r="T663">
        <f t="shared" si="998"/>
        <v>-2.2591815610468528E-2</v>
      </c>
    </row>
    <row r="664" spans="1:20" x14ac:dyDescent="0.25">
      <c r="A664" s="5">
        <v>43929</v>
      </c>
      <c r="B664">
        <v>1.95E-2</v>
      </c>
      <c r="C664">
        <v>2.07E-2</v>
      </c>
      <c r="D664">
        <v>1.9400000000000001E-2</v>
      </c>
      <c r="E664">
        <v>2.0299999999999999E-2</v>
      </c>
      <c r="F664">
        <v>2123511.34</v>
      </c>
      <c r="G664">
        <v>0</v>
      </c>
      <c r="L664" t="s">
        <v>7</v>
      </c>
      <c r="M664" t="s">
        <v>8</v>
      </c>
      <c r="N664" t="s">
        <v>7</v>
      </c>
      <c r="P664">
        <f t="shared" si="994"/>
        <v>0.38461538461538258</v>
      </c>
      <c r="Q664">
        <f t="shared" si="995"/>
        <v>816735.13076922635</v>
      </c>
      <c r="R664">
        <f t="shared" si="996"/>
        <v>-3262685.2019559373</v>
      </c>
      <c r="S664">
        <f t="shared" si="997"/>
        <v>-32.626852019559372</v>
      </c>
      <c r="T664">
        <f t="shared" si="998"/>
        <v>-3.2626852019559373E-2</v>
      </c>
    </row>
    <row r="665" spans="1:20" x14ac:dyDescent="0.25">
      <c r="A665" s="5">
        <v>43928</v>
      </c>
      <c r="B665">
        <v>0.02</v>
      </c>
      <c r="C665">
        <v>2.07E-2</v>
      </c>
      <c r="D665">
        <v>1.9099999999999999E-2</v>
      </c>
      <c r="E665">
        <v>1.9599999999999999E-2</v>
      </c>
      <c r="F665">
        <v>3435613.27</v>
      </c>
      <c r="G665">
        <v>0</v>
      </c>
      <c r="L665" t="s">
        <v>8</v>
      </c>
      <c r="M665" t="s">
        <v>8</v>
      </c>
      <c r="N665" t="s">
        <v>7</v>
      </c>
      <c r="P665">
        <f t="shared" si="994"/>
        <v>-0.37499999999999972</v>
      </c>
      <c r="Q665">
        <f t="shared" si="995"/>
        <v>-1288354.9762499991</v>
      </c>
      <c r="R665">
        <f t="shared" si="996"/>
        <v>-4079420.3327251635</v>
      </c>
      <c r="S665">
        <f t="shared" si="997"/>
        <v>-40.794203327251637</v>
      </c>
      <c r="T665">
        <f t="shared" si="998"/>
        <v>-4.0794203327251637E-2</v>
      </c>
    </row>
    <row r="666" spans="1:20" x14ac:dyDescent="0.25">
      <c r="A666" s="5">
        <v>43927</v>
      </c>
      <c r="B666">
        <v>1.8599999999999998E-2</v>
      </c>
      <c r="C666">
        <v>2.0299999999999999E-2</v>
      </c>
      <c r="D666">
        <v>1.8599999999999998E-2</v>
      </c>
      <c r="E666">
        <v>1.9900000000000001E-2</v>
      </c>
      <c r="F666">
        <v>6540185.2800000003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0.52941176470588525</v>
      </c>
      <c r="Q666">
        <f t="shared" si="995"/>
        <v>3462451.0305882543</v>
      </c>
      <c r="R666">
        <f t="shared" si="996"/>
        <v>-2791065.3564751642</v>
      </c>
      <c r="S666">
        <f t="shared" si="997"/>
        <v>-27.910653564751641</v>
      </c>
      <c r="T666">
        <f t="shared" si="998"/>
        <v>-2.7910653564751642E-2</v>
      </c>
    </row>
    <row r="667" spans="1:20" x14ac:dyDescent="0.25">
      <c r="A667" s="5">
        <v>43926</v>
      </c>
      <c r="B667">
        <v>1.8599999999999998E-2</v>
      </c>
      <c r="C667">
        <v>1.8800000000000001E-2</v>
      </c>
      <c r="D667">
        <v>1.83E-2</v>
      </c>
      <c r="E667">
        <v>1.8700000000000001E-2</v>
      </c>
      <c r="F667">
        <v>1514759.67</v>
      </c>
      <c r="G667">
        <v>0</v>
      </c>
      <c r="L667" t="s">
        <v>7</v>
      </c>
      <c r="M667" t="s">
        <v>8</v>
      </c>
      <c r="N667" t="s">
        <v>7</v>
      </c>
      <c r="P667">
        <f t="shared" si="994"/>
        <v>0.60000000000000275</v>
      </c>
      <c r="Q667">
        <f t="shared" si="995"/>
        <v>908855.8020000041</v>
      </c>
      <c r="R667">
        <f t="shared" si="996"/>
        <v>-6253516.3870634185</v>
      </c>
      <c r="S667">
        <f t="shared" si="997"/>
        <v>-62.535163870634186</v>
      </c>
      <c r="T667">
        <f t="shared" si="998"/>
        <v>-6.2535163870634181E-2</v>
      </c>
    </row>
    <row r="668" spans="1:20" x14ac:dyDescent="0.25">
      <c r="A668" s="5">
        <v>43925</v>
      </c>
      <c r="B668">
        <v>1.84E-2</v>
      </c>
      <c r="C668">
        <v>1.8800000000000001E-2</v>
      </c>
      <c r="D668">
        <v>1.8200000000000001E-2</v>
      </c>
      <c r="E668">
        <v>1.8599999999999998E-2</v>
      </c>
      <c r="F668">
        <v>1508431.65</v>
      </c>
      <c r="G668">
        <v>0</v>
      </c>
      <c r="L668" t="s">
        <v>7</v>
      </c>
      <c r="M668" t="s">
        <v>8</v>
      </c>
      <c r="N668" t="s">
        <v>7</v>
      </c>
      <c r="P668">
        <f t="shared" si="994"/>
        <v>0.3333333333333256</v>
      </c>
      <c r="Q668">
        <f t="shared" si="995"/>
        <v>502810.54999998829</v>
      </c>
      <c r="R668">
        <f t="shared" si="996"/>
        <v>-7162372.1890634224</v>
      </c>
      <c r="S668">
        <f t="shared" si="997"/>
        <v>-71.623721890634229</v>
      </c>
      <c r="T668">
        <f t="shared" si="998"/>
        <v>-7.1623721890634234E-2</v>
      </c>
    </row>
    <row r="669" spans="1:20" x14ac:dyDescent="0.25">
      <c r="A669" s="5">
        <v>43924</v>
      </c>
      <c r="B669">
        <v>1.83E-2</v>
      </c>
      <c r="C669">
        <v>1.9599999999999999E-2</v>
      </c>
      <c r="D669">
        <v>1.7999999999999999E-2</v>
      </c>
      <c r="E669">
        <v>1.84E-2</v>
      </c>
      <c r="F669">
        <v>3658708.26</v>
      </c>
      <c r="G669">
        <v>0</v>
      </c>
      <c r="L669" t="s">
        <v>8</v>
      </c>
      <c r="M669" t="s">
        <v>8</v>
      </c>
      <c r="N669" t="s">
        <v>7</v>
      </c>
      <c r="P669">
        <f t="shared" si="994"/>
        <v>-0.49999999999999889</v>
      </c>
      <c r="Q669">
        <f t="shared" si="995"/>
        <v>-1829354.1299999959</v>
      </c>
      <c r="R669">
        <f t="shared" si="996"/>
        <v>-7665182.739063411</v>
      </c>
      <c r="S669">
        <f t="shared" si="997"/>
        <v>-76.651827390634111</v>
      </c>
      <c r="T669">
        <f t="shared" si="998"/>
        <v>-7.6651827390634114E-2</v>
      </c>
    </row>
    <row r="670" spans="1:20" x14ac:dyDescent="0.25">
      <c r="A670" s="5">
        <v>43923</v>
      </c>
      <c r="B670">
        <v>1.8200000000000001E-2</v>
      </c>
      <c r="C670">
        <v>1.9400000000000001E-2</v>
      </c>
      <c r="D670">
        <v>1.7899999999999999E-2</v>
      </c>
      <c r="E670">
        <v>1.83E-2</v>
      </c>
      <c r="F670">
        <v>6417774.5199999996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-0.46666666666666573</v>
      </c>
      <c r="Q670">
        <f t="shared" si="995"/>
        <v>-2994961.4426666605</v>
      </c>
      <c r="R670">
        <f t="shared" si="996"/>
        <v>-5835828.6090634149</v>
      </c>
      <c r="S670">
        <f t="shared" si="997"/>
        <v>-58.358286090634145</v>
      </c>
      <c r="T670">
        <f t="shared" si="998"/>
        <v>-5.8358286090634148E-2</v>
      </c>
    </row>
    <row r="671" spans="1:20" x14ac:dyDescent="0.25">
      <c r="A671" s="5">
        <v>43922</v>
      </c>
      <c r="B671">
        <v>1.8100000000000002E-2</v>
      </c>
      <c r="C671">
        <v>1.83E-2</v>
      </c>
      <c r="D671">
        <v>1.7100000000000001E-2</v>
      </c>
      <c r="E671">
        <v>1.83E-2</v>
      </c>
      <c r="F671">
        <v>4012813.42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1</v>
      </c>
      <c r="Q671">
        <f t="shared" si="995"/>
        <v>4012813.42</v>
      </c>
      <c r="R671">
        <f t="shared" si="996"/>
        <v>-2840867.1663967539</v>
      </c>
      <c r="S671">
        <f t="shared" si="997"/>
        <v>-28.408671663967539</v>
      </c>
      <c r="T671">
        <f t="shared" si="998"/>
        <v>-2.8408671663967537E-2</v>
      </c>
    </row>
    <row r="672" spans="1:20" x14ac:dyDescent="0.25">
      <c r="A672" s="5">
        <v>43921</v>
      </c>
      <c r="B672">
        <v>1.7399999999999999E-2</v>
      </c>
      <c r="C672">
        <v>1.8599999999999998E-2</v>
      </c>
      <c r="D672">
        <v>1.7299999999999999E-2</v>
      </c>
      <c r="E672">
        <v>1.8100000000000002E-2</v>
      </c>
      <c r="F672">
        <v>3558189.99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0.23076923076923486</v>
      </c>
      <c r="Q672">
        <f t="shared" si="995"/>
        <v>821120.76692309149</v>
      </c>
      <c r="R672">
        <f t="shared" si="996"/>
        <v>-6853680.5863967538</v>
      </c>
      <c r="S672">
        <f t="shared" si="997"/>
        <v>-68.536805863967544</v>
      </c>
      <c r="T672">
        <f t="shared" si="998"/>
        <v>-6.8536805863967543E-2</v>
      </c>
    </row>
    <row r="673" spans="1:20" x14ac:dyDescent="0.25">
      <c r="A673" s="5">
        <v>43920</v>
      </c>
      <c r="B673">
        <v>1.61E-2</v>
      </c>
      <c r="C673">
        <v>1.7999999999999999E-2</v>
      </c>
      <c r="D673">
        <v>1.61E-2</v>
      </c>
      <c r="E673">
        <v>1.7399999999999999E-2</v>
      </c>
      <c r="F673">
        <v>5735431.8200000003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0.36842105263157876</v>
      </c>
      <c r="Q673">
        <f t="shared" si="995"/>
        <v>2113053.8284210516</v>
      </c>
      <c r="R673">
        <f t="shared" si="996"/>
        <v>-7674801.3533198452</v>
      </c>
      <c r="S673">
        <f t="shared" si="997"/>
        <v>-76.748013533198446</v>
      </c>
      <c r="T673">
        <f t="shared" si="998"/>
        <v>-7.6748013533198448E-2</v>
      </c>
    </row>
    <row r="674" spans="1:20" x14ac:dyDescent="0.25">
      <c r="A674" s="5">
        <v>43919</v>
      </c>
      <c r="B674">
        <v>1.7600000000000001E-2</v>
      </c>
      <c r="C674">
        <v>1.77E-2</v>
      </c>
      <c r="D674">
        <v>1.5599999999999999E-2</v>
      </c>
      <c r="E674">
        <v>1.6E-2</v>
      </c>
      <c r="F674">
        <v>4264308.2300000004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-0.61904761904761829</v>
      </c>
      <c r="Q674">
        <f t="shared" si="995"/>
        <v>-2639809.8566666637</v>
      </c>
      <c r="R674">
        <f t="shared" si="996"/>
        <v>-9787855.1817408968</v>
      </c>
      <c r="S674">
        <f t="shared" si="997"/>
        <v>-97.878551817408962</v>
      </c>
      <c r="T674">
        <f t="shared" si="998"/>
        <v>-9.7878551817408968E-2</v>
      </c>
    </row>
    <row r="675" spans="1:20" x14ac:dyDescent="0.25">
      <c r="A675" s="5">
        <v>43918</v>
      </c>
      <c r="B675">
        <v>1.8499999999999999E-2</v>
      </c>
      <c r="C675">
        <v>1.8700000000000001E-2</v>
      </c>
      <c r="D675">
        <v>1.6799999999999999E-2</v>
      </c>
      <c r="E675">
        <v>1.7600000000000001E-2</v>
      </c>
      <c r="F675">
        <v>13059500.220000001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-0.15789473684210412</v>
      </c>
      <c r="Q675">
        <f t="shared" si="995"/>
        <v>-2062026.350526301</v>
      </c>
      <c r="R675">
        <f t="shared" si="996"/>
        <v>-7148045.3250742331</v>
      </c>
      <c r="S675">
        <f t="shared" si="997"/>
        <v>-71.480453250742329</v>
      </c>
      <c r="T675">
        <f t="shared" si="998"/>
        <v>-7.1480453250742329E-2</v>
      </c>
    </row>
    <row r="676" spans="1:20" x14ac:dyDescent="0.25">
      <c r="A676" s="5">
        <v>43917</v>
      </c>
      <c r="B676">
        <v>1.8100000000000002E-2</v>
      </c>
      <c r="C676">
        <v>2.2800000000000001E-2</v>
      </c>
      <c r="D676">
        <v>1.7600000000000001E-2</v>
      </c>
      <c r="E676">
        <v>1.8599999999999998E-2</v>
      </c>
      <c r="F676">
        <v>24781163.940000001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-0.61538461538461631</v>
      </c>
      <c r="Q676">
        <f t="shared" si="995"/>
        <v>-15249947.040000023</v>
      </c>
      <c r="R676">
        <f t="shared" si="996"/>
        <v>-5086018.9745479319</v>
      </c>
      <c r="S676">
        <f t="shared" si="997"/>
        <v>-50.860189745479317</v>
      </c>
      <c r="T676">
        <f t="shared" si="998"/>
        <v>-5.0860189745479317E-2</v>
      </c>
    </row>
    <row r="677" spans="1:20" x14ac:dyDescent="0.25">
      <c r="A677" s="5">
        <v>43916</v>
      </c>
      <c r="B677">
        <v>1.7500000000000002E-2</v>
      </c>
      <c r="C677">
        <v>1.84E-2</v>
      </c>
      <c r="D677">
        <v>1.67E-2</v>
      </c>
      <c r="E677">
        <v>1.7999999999999999E-2</v>
      </c>
      <c r="F677">
        <v>4822712.6399999997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0.52941176470588114</v>
      </c>
      <c r="Q677">
        <f t="shared" si="995"/>
        <v>2553200.8094117586</v>
      </c>
      <c r="R677">
        <f t="shared" si="996"/>
        <v>10163928.065452091</v>
      </c>
      <c r="S677">
        <f t="shared" si="997"/>
        <v>101.63928065452092</v>
      </c>
      <c r="T677">
        <f t="shared" si="998"/>
        <v>0.10163928065452092</v>
      </c>
    </row>
    <row r="678" spans="1:20" x14ac:dyDescent="0.25">
      <c r="A678" s="5">
        <v>43915</v>
      </c>
      <c r="B678">
        <v>1.7100000000000001E-2</v>
      </c>
      <c r="C678">
        <v>1.7500000000000002E-2</v>
      </c>
      <c r="D678">
        <v>1.6500000000000001E-2</v>
      </c>
      <c r="E678">
        <v>1.7299999999999999E-2</v>
      </c>
      <c r="F678">
        <v>2357411.56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0.59999999999999587</v>
      </c>
      <c r="Q678">
        <f t="shared" si="995"/>
        <v>1414446.9359999902</v>
      </c>
      <c r="R678">
        <f t="shared" si="996"/>
        <v>7610727.2560403319</v>
      </c>
      <c r="S678">
        <f t="shared" si="997"/>
        <v>76.107272560403317</v>
      </c>
      <c r="T678">
        <f t="shared" si="998"/>
        <v>7.6107272560403311E-2</v>
      </c>
    </row>
    <row r="679" spans="1:20" x14ac:dyDescent="0.25">
      <c r="A679" s="5">
        <v>43914</v>
      </c>
      <c r="B679">
        <v>1.7399999999999999E-2</v>
      </c>
      <c r="C679">
        <v>1.78E-2</v>
      </c>
      <c r="D679">
        <v>1.66E-2</v>
      </c>
      <c r="E679">
        <v>1.72E-2</v>
      </c>
      <c r="F679">
        <v>2932917.62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</v>
      </c>
      <c r="Q679">
        <f t="shared" si="995"/>
        <v>0</v>
      </c>
      <c r="R679">
        <f t="shared" si="996"/>
        <v>6196280.3200403415</v>
      </c>
      <c r="S679">
        <f t="shared" si="997"/>
        <v>61.962803200403414</v>
      </c>
      <c r="T679">
        <f t="shared" si="998"/>
        <v>6.1962803200403413E-2</v>
      </c>
    </row>
    <row r="680" spans="1:20" x14ac:dyDescent="0.25">
      <c r="A680" s="5">
        <v>43913</v>
      </c>
      <c r="B680">
        <v>1.5599999999999999E-2</v>
      </c>
      <c r="C680">
        <v>1.77E-2</v>
      </c>
      <c r="D680">
        <v>1.52E-2</v>
      </c>
      <c r="E680">
        <v>1.7399999999999999E-2</v>
      </c>
      <c r="F680">
        <v>5332745.0999999996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0.75999999999999868</v>
      </c>
      <c r="Q680">
        <f t="shared" si="995"/>
        <v>4052886.2759999926</v>
      </c>
      <c r="R680">
        <f t="shared" si="996"/>
        <v>6196280.3200403415</v>
      </c>
      <c r="S680">
        <f t="shared" si="997"/>
        <v>61.962803200403414</v>
      </c>
      <c r="T680">
        <f t="shared" si="998"/>
        <v>6.1962803200403413E-2</v>
      </c>
    </row>
    <row r="681" spans="1:20" x14ac:dyDescent="0.25">
      <c r="A681" s="5">
        <v>43912</v>
      </c>
      <c r="B681">
        <v>1.72E-2</v>
      </c>
      <c r="C681">
        <v>1.8800000000000001E-2</v>
      </c>
      <c r="D681">
        <v>1.52E-2</v>
      </c>
      <c r="E681">
        <v>1.5699999999999999E-2</v>
      </c>
      <c r="F681">
        <v>6443236.7999999998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-0.72222222222222299</v>
      </c>
      <c r="Q681">
        <f t="shared" si="995"/>
        <v>-4653448.8000000045</v>
      </c>
      <c r="R681">
        <f t="shared" si="996"/>
        <v>2143394.0440403493</v>
      </c>
      <c r="S681">
        <f t="shared" si="997"/>
        <v>21.433940440403493</v>
      </c>
      <c r="T681">
        <f t="shared" si="998"/>
        <v>2.1433940440403493E-2</v>
      </c>
    </row>
    <row r="682" spans="1:20" x14ac:dyDescent="0.25">
      <c r="A682" s="5">
        <v>43911</v>
      </c>
      <c r="B682">
        <v>1.7299999999999999E-2</v>
      </c>
      <c r="C682">
        <v>1.8200000000000001E-2</v>
      </c>
      <c r="D682">
        <v>1.6299999999999999E-2</v>
      </c>
      <c r="E682">
        <v>1.7399999999999999E-2</v>
      </c>
      <c r="F682">
        <v>3592207.48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0.15789473684210412</v>
      </c>
      <c r="Q682">
        <f t="shared" si="995"/>
        <v>567190.65473683795</v>
      </c>
      <c r="R682">
        <f t="shared" si="996"/>
        <v>6796842.8440403538</v>
      </c>
      <c r="S682">
        <f t="shared" si="997"/>
        <v>67.968428440403542</v>
      </c>
      <c r="T682">
        <f t="shared" si="998"/>
        <v>6.7968428440403544E-2</v>
      </c>
    </row>
    <row r="683" spans="1:20" x14ac:dyDescent="0.25">
      <c r="A683" s="5">
        <v>43910</v>
      </c>
      <c r="B683">
        <v>1.7399999999999999E-2</v>
      </c>
      <c r="C683">
        <v>1.9599999999999999E-2</v>
      </c>
      <c r="D683">
        <v>1.6E-2</v>
      </c>
      <c r="E683">
        <v>1.72E-2</v>
      </c>
      <c r="F683">
        <v>9615992.4600000009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-0.33333333333333331</v>
      </c>
      <c r="Q683">
        <f t="shared" si="995"/>
        <v>-3205330.8200000003</v>
      </c>
      <c r="R683">
        <f t="shared" si="996"/>
        <v>6229652.1893035155</v>
      </c>
      <c r="S683">
        <f t="shared" si="997"/>
        <v>62.296521893035155</v>
      </c>
      <c r="T683">
        <f t="shared" si="998"/>
        <v>6.2296521893035153E-2</v>
      </c>
    </row>
    <row r="684" spans="1:20" x14ac:dyDescent="0.25">
      <c r="A684" s="5">
        <v>43909</v>
      </c>
      <c r="B684">
        <v>1.4500000000000001E-2</v>
      </c>
      <c r="C684">
        <v>1.84E-2</v>
      </c>
      <c r="D684">
        <v>1.4500000000000001E-2</v>
      </c>
      <c r="E684">
        <v>1.7299999999999999E-2</v>
      </c>
      <c r="F684">
        <v>10482999.800000001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0.43589743589743563</v>
      </c>
      <c r="Q684">
        <f t="shared" si="995"/>
        <v>4569512.7333333306</v>
      </c>
      <c r="R684">
        <f t="shared" si="996"/>
        <v>9434983.0093035158</v>
      </c>
      <c r="S684">
        <f t="shared" si="997"/>
        <v>94.349830093035152</v>
      </c>
      <c r="T684">
        <f t="shared" si="998"/>
        <v>9.4349830093035159E-2</v>
      </c>
    </row>
    <row r="685" spans="1:20" x14ac:dyDescent="0.25">
      <c r="A685" s="5">
        <v>43908</v>
      </c>
      <c r="B685">
        <v>1.49E-2</v>
      </c>
      <c r="C685">
        <v>1.4999999999999999E-2</v>
      </c>
      <c r="D685">
        <v>1.4E-2</v>
      </c>
      <c r="E685">
        <v>1.44E-2</v>
      </c>
      <c r="F685">
        <v>3436618.86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-0.2000000000000007</v>
      </c>
      <c r="Q685">
        <f t="shared" si="995"/>
        <v>-687323.77200000244</v>
      </c>
      <c r="R685">
        <f t="shared" si="996"/>
        <v>4865470.2759701852</v>
      </c>
      <c r="S685">
        <f t="shared" si="997"/>
        <v>48.654702759701848</v>
      </c>
      <c r="T685">
        <f t="shared" si="998"/>
        <v>4.8654702759701851E-2</v>
      </c>
    </row>
    <row r="686" spans="1:20" x14ac:dyDescent="0.25">
      <c r="A686" s="5">
        <v>43907</v>
      </c>
      <c r="B686">
        <v>1.41E-2</v>
      </c>
      <c r="C686">
        <v>1.55E-2</v>
      </c>
      <c r="D686">
        <v>1.38E-2</v>
      </c>
      <c r="E686">
        <v>1.49E-2</v>
      </c>
      <c r="F686">
        <v>3818208.57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0.29411764705882376</v>
      </c>
      <c r="Q686">
        <f t="shared" si="995"/>
        <v>1123002.5205882362</v>
      </c>
      <c r="R686">
        <f t="shared" si="996"/>
        <v>5552794.0479701879</v>
      </c>
      <c r="S686">
        <f t="shared" si="997"/>
        <v>55.527940479701876</v>
      </c>
      <c r="T686">
        <f t="shared" si="998"/>
        <v>5.5527940479701873E-2</v>
      </c>
    </row>
    <row r="687" spans="1:20" x14ac:dyDescent="0.25">
      <c r="A687" s="5">
        <v>43906</v>
      </c>
      <c r="B687">
        <v>1.6E-2</v>
      </c>
      <c r="C687">
        <v>1.61E-2</v>
      </c>
      <c r="D687">
        <v>1.2200000000000001E-2</v>
      </c>
      <c r="E687">
        <v>1.41E-2</v>
      </c>
      <c r="F687">
        <v>6560080.5099999998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-2.5641025641025939E-2</v>
      </c>
      <c r="Q687">
        <f t="shared" si="995"/>
        <v>-168207.19256410451</v>
      </c>
      <c r="R687">
        <f t="shared" si="996"/>
        <v>4429791.5273819519</v>
      </c>
      <c r="S687">
        <f t="shared" si="997"/>
        <v>44.29791527381952</v>
      </c>
      <c r="T687">
        <f t="shared" si="998"/>
        <v>4.4297915273819523E-2</v>
      </c>
    </row>
    <row r="688" spans="1:20" x14ac:dyDescent="0.25">
      <c r="A688" s="5">
        <v>43905</v>
      </c>
      <c r="B688">
        <v>1.6400000000000001E-2</v>
      </c>
      <c r="C688">
        <v>1.7399999999999999E-2</v>
      </c>
      <c r="D688">
        <v>1.54E-2</v>
      </c>
      <c r="E688">
        <v>1.6E-2</v>
      </c>
      <c r="F688">
        <v>4178123.73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-0.39999999999999963</v>
      </c>
      <c r="Q688">
        <f t="shared" si="995"/>
        <v>-1671249.4919999985</v>
      </c>
      <c r="R688">
        <f t="shared" si="996"/>
        <v>4597998.7199460566</v>
      </c>
      <c r="S688">
        <f t="shared" si="997"/>
        <v>45.979987199460567</v>
      </c>
      <c r="T688">
        <f t="shared" si="998"/>
        <v>4.5979987199460566E-2</v>
      </c>
    </row>
    <row r="689" spans="1:20" x14ac:dyDescent="0.25">
      <c r="A689" s="5">
        <v>43904</v>
      </c>
      <c r="B689">
        <v>1.7399999999999999E-2</v>
      </c>
      <c r="C689">
        <v>1.83E-2</v>
      </c>
      <c r="D689">
        <v>1.61E-2</v>
      </c>
      <c r="E689">
        <v>1.6400000000000001E-2</v>
      </c>
      <c r="F689">
        <v>4504200.0599999996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-0.72727272727272585</v>
      </c>
      <c r="Q689">
        <f t="shared" si="995"/>
        <v>-3275781.8618181753</v>
      </c>
      <c r="R689">
        <f t="shared" si="996"/>
        <v>6269248.2119460553</v>
      </c>
      <c r="S689">
        <f t="shared" si="997"/>
        <v>62.69248211946055</v>
      </c>
      <c r="T689">
        <f t="shared" si="998"/>
        <v>6.2692482119460546E-2</v>
      </c>
    </row>
    <row r="690" spans="1:20" x14ac:dyDescent="0.25">
      <c r="A690" s="5">
        <v>43903</v>
      </c>
      <c r="B690">
        <v>1.54E-2</v>
      </c>
      <c r="C690">
        <v>1.9E-2</v>
      </c>
      <c r="D690">
        <v>1.06E-2</v>
      </c>
      <c r="E690">
        <v>1.72E-2</v>
      </c>
      <c r="F690">
        <v>9867245.5199999996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0.57142857142857151</v>
      </c>
      <c r="Q690">
        <f t="shared" si="995"/>
        <v>5638426.0114285722</v>
      </c>
      <c r="R690">
        <f t="shared" si="996"/>
        <v>9545030.0737642311</v>
      </c>
      <c r="S690">
        <f t="shared" si="997"/>
        <v>95.450300737642308</v>
      </c>
      <c r="T690">
        <f t="shared" si="998"/>
        <v>9.545030073764231E-2</v>
      </c>
    </row>
    <row r="691" spans="1:20" x14ac:dyDescent="0.25">
      <c r="A691" s="5">
        <v>43902</v>
      </c>
      <c r="B691">
        <v>3.39E-2</v>
      </c>
      <c r="C691">
        <v>3.4299999999999997E-2</v>
      </c>
      <c r="D691">
        <v>1.46E-2</v>
      </c>
      <c r="E691">
        <v>1.5299999999999999E-2</v>
      </c>
      <c r="F691">
        <v>14732935.9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-0.92893401015228427</v>
      </c>
      <c r="Q691">
        <f t="shared" si="995"/>
        <v>-13685925.226903554</v>
      </c>
      <c r="R691">
        <f t="shared" si="996"/>
        <v>3906604.0623356588</v>
      </c>
      <c r="S691">
        <f t="shared" si="997"/>
        <v>39.066040623356585</v>
      </c>
      <c r="T691">
        <f t="shared" si="998"/>
        <v>3.9066040623356585E-2</v>
      </c>
    </row>
    <row r="692" spans="1:20" x14ac:dyDescent="0.25">
      <c r="A692" s="5">
        <v>43901</v>
      </c>
      <c r="B692">
        <v>3.39E-2</v>
      </c>
      <c r="C692">
        <v>3.6999999999999998E-2</v>
      </c>
      <c r="D692">
        <v>3.1699999999999999E-2</v>
      </c>
      <c r="E692">
        <v>3.39E-2</v>
      </c>
      <c r="F692">
        <v>11959231.93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-0.16981132075471664</v>
      </c>
      <c r="Q692">
        <f t="shared" si="995"/>
        <v>-2030812.969245279</v>
      </c>
      <c r="R692">
        <f t="shared" si="996"/>
        <v>17592529.289239213</v>
      </c>
      <c r="S692">
        <f t="shared" si="997"/>
        <v>175.92529289239212</v>
      </c>
      <c r="T692">
        <f t="shared" si="998"/>
        <v>0.17592529289239212</v>
      </c>
    </row>
    <row r="693" spans="1:20" x14ac:dyDescent="0.25">
      <c r="A693" s="5">
        <v>43900</v>
      </c>
      <c r="B693">
        <v>3.3500000000000002E-2</v>
      </c>
      <c r="C693">
        <v>3.4700000000000002E-2</v>
      </c>
      <c r="D693">
        <v>3.2000000000000001E-2</v>
      </c>
      <c r="E693">
        <v>3.39E-2</v>
      </c>
      <c r="F693">
        <v>5200667.8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0.40740740740740605</v>
      </c>
      <c r="Q693">
        <f t="shared" si="995"/>
        <v>2118790.5851851781</v>
      </c>
      <c r="R693">
        <f t="shared" si="996"/>
        <v>19623342.25848449</v>
      </c>
      <c r="S693">
        <f t="shared" si="997"/>
        <v>196.2334225848449</v>
      </c>
      <c r="T693">
        <f t="shared" si="998"/>
        <v>0.19623342258484491</v>
      </c>
    </row>
    <row r="694" spans="1:20" x14ac:dyDescent="0.25">
      <c r="A694" s="5">
        <v>43899</v>
      </c>
      <c r="B694">
        <v>3.2500000000000001E-2</v>
      </c>
      <c r="C694">
        <v>3.56E-2</v>
      </c>
      <c r="D694">
        <v>3.1199999999999999E-2</v>
      </c>
      <c r="E694">
        <v>3.3399999999999999E-2</v>
      </c>
      <c r="F694">
        <v>5182043.59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</v>
      </c>
      <c r="Q694">
        <f t="shared" si="995"/>
        <v>0</v>
      </c>
      <c r="R694">
        <f t="shared" si="996"/>
        <v>17504551.673299313</v>
      </c>
      <c r="S694">
        <f t="shared" si="997"/>
        <v>175.04551673299312</v>
      </c>
      <c r="T694">
        <f t="shared" si="998"/>
        <v>0.17504551673299312</v>
      </c>
    </row>
    <row r="695" spans="1:20" x14ac:dyDescent="0.25">
      <c r="A695" s="5">
        <v>43898</v>
      </c>
      <c r="B695">
        <v>3.7499999999999999E-2</v>
      </c>
      <c r="C695">
        <v>3.8399999999999997E-2</v>
      </c>
      <c r="D695">
        <v>3.2199999999999999E-2</v>
      </c>
      <c r="E695">
        <v>3.2500000000000001E-2</v>
      </c>
      <c r="F695">
        <v>5409570.29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-0.90322580645161232</v>
      </c>
      <c r="Q695">
        <f t="shared" si="995"/>
        <v>-4886063.4877419323</v>
      </c>
      <c r="R695">
        <f t="shared" si="996"/>
        <v>17504551.673299313</v>
      </c>
      <c r="S695">
        <f t="shared" si="997"/>
        <v>175.04551673299312</v>
      </c>
      <c r="T695">
        <f t="shared" si="998"/>
        <v>0.17504551673299312</v>
      </c>
    </row>
    <row r="696" spans="1:20" x14ac:dyDescent="0.25">
      <c r="A696" s="5">
        <v>43897</v>
      </c>
      <c r="B696">
        <v>4.1000000000000002E-2</v>
      </c>
      <c r="C696">
        <v>4.1200000000000001E-2</v>
      </c>
      <c r="D696">
        <v>3.6999999999999998E-2</v>
      </c>
      <c r="E696">
        <v>3.78E-2</v>
      </c>
      <c r="F696">
        <v>3889215.81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-0.61904761904761829</v>
      </c>
      <c r="Q696">
        <f t="shared" si="995"/>
        <v>-2407609.7871428542</v>
      </c>
      <c r="R696">
        <f t="shared" si="996"/>
        <v>22390615.161041245</v>
      </c>
      <c r="S696">
        <f t="shared" si="997"/>
        <v>223.90615161041245</v>
      </c>
      <c r="T696">
        <f t="shared" si="998"/>
        <v>0.22390615161041244</v>
      </c>
    </row>
    <row r="697" spans="1:20" x14ac:dyDescent="0.25">
      <c r="A697" s="5">
        <v>43896</v>
      </c>
      <c r="B697">
        <v>4.0599999999999997E-2</v>
      </c>
      <c r="C697">
        <v>4.19E-2</v>
      </c>
      <c r="D697">
        <v>0.04</v>
      </c>
      <c r="E697">
        <v>4.1000000000000002E-2</v>
      </c>
      <c r="F697">
        <v>3128110.41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5.2631578947369959E-2</v>
      </c>
      <c r="Q697">
        <f t="shared" si="995"/>
        <v>164637.39000000482</v>
      </c>
      <c r="R697">
        <f t="shared" si="996"/>
        <v>24798224.948184099</v>
      </c>
      <c r="S697">
        <f t="shared" si="997"/>
        <v>247.982249481841</v>
      </c>
      <c r="T697">
        <f t="shared" si="998"/>
        <v>0.247982249481841</v>
      </c>
    </row>
    <row r="698" spans="1:20" x14ac:dyDescent="0.25">
      <c r="A698" s="5">
        <v>43895</v>
      </c>
      <c r="B698">
        <v>3.8399999999999997E-2</v>
      </c>
      <c r="C698">
        <v>4.2200000000000001E-2</v>
      </c>
      <c r="D698">
        <v>3.8399999999999997E-2</v>
      </c>
      <c r="E698">
        <v>4.02E-2</v>
      </c>
      <c r="F698">
        <v>6647596.3099999996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-5.2631578947368036E-2</v>
      </c>
      <c r="Q698">
        <f t="shared" si="995"/>
        <v>-349873.48999999743</v>
      </c>
      <c r="R698">
        <f t="shared" si="996"/>
        <v>24633587.558184095</v>
      </c>
      <c r="S698">
        <f t="shared" si="997"/>
        <v>246.33587558184095</v>
      </c>
      <c r="T698">
        <f t="shared" si="998"/>
        <v>0.24633587558184095</v>
      </c>
    </row>
    <row r="699" spans="1:20" x14ac:dyDescent="0.25">
      <c r="A699" s="5">
        <v>43894</v>
      </c>
      <c r="B699">
        <v>3.6900000000000002E-2</v>
      </c>
      <c r="C699">
        <v>3.9E-2</v>
      </c>
      <c r="D699">
        <v>3.6499999999999998E-2</v>
      </c>
      <c r="E699">
        <v>3.8399999999999997E-2</v>
      </c>
      <c r="F699">
        <v>3692143.21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0.5199999999999978</v>
      </c>
      <c r="Q699">
        <f t="shared" si="995"/>
        <v>1919914.4691999918</v>
      </c>
      <c r="R699">
        <f t="shared" si="996"/>
        <v>24983461.048184093</v>
      </c>
      <c r="S699">
        <f t="shared" si="997"/>
        <v>249.83461048184094</v>
      </c>
      <c r="T699">
        <f t="shared" si="998"/>
        <v>0.24983461048184094</v>
      </c>
    </row>
    <row r="700" spans="1:20" x14ac:dyDescent="0.25">
      <c r="A700" s="5">
        <v>43893</v>
      </c>
      <c r="B700">
        <v>3.6700000000000003E-2</v>
      </c>
      <c r="C700">
        <v>3.7499999999999999E-2</v>
      </c>
      <c r="D700">
        <v>3.5499999999999997E-2</v>
      </c>
      <c r="E700">
        <v>3.6799999999999999E-2</v>
      </c>
      <c r="F700">
        <v>3137746.73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0.30000000000000138</v>
      </c>
      <c r="Q700">
        <f t="shared" si="995"/>
        <v>941324.01900000428</v>
      </c>
      <c r="R700">
        <f t="shared" si="996"/>
        <v>23063546.5789841</v>
      </c>
      <c r="S700">
        <f t="shared" si="997"/>
        <v>230.63546578984099</v>
      </c>
      <c r="T700">
        <f t="shared" si="998"/>
        <v>0.23063546578984098</v>
      </c>
    </row>
    <row r="701" spans="1:20" x14ac:dyDescent="0.25">
      <c r="A701" s="5">
        <v>43892</v>
      </c>
      <c r="B701">
        <v>3.5200000000000002E-2</v>
      </c>
      <c r="C701">
        <v>3.7999999999999999E-2</v>
      </c>
      <c r="D701">
        <v>3.4799999999999998E-2</v>
      </c>
      <c r="E701">
        <v>3.6700000000000003E-2</v>
      </c>
      <c r="F701">
        <v>5150767.12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0.18750000000000311</v>
      </c>
      <c r="Q701">
        <f t="shared" si="995"/>
        <v>965768.83500001603</v>
      </c>
      <c r="R701">
        <f t="shared" si="996"/>
        <v>22122222.559984095</v>
      </c>
      <c r="S701">
        <f t="shared" si="997"/>
        <v>221.22222559984095</v>
      </c>
      <c r="T701">
        <f t="shared" si="998"/>
        <v>0.22122222559984095</v>
      </c>
    </row>
    <row r="702" spans="1:20" x14ac:dyDescent="0.25">
      <c r="A702" s="5">
        <v>43891</v>
      </c>
      <c r="B702">
        <v>3.4500000000000003E-2</v>
      </c>
      <c r="C702">
        <v>3.6999999999999998E-2</v>
      </c>
      <c r="D702">
        <v>3.32E-2</v>
      </c>
      <c r="E702">
        <v>3.5000000000000003E-2</v>
      </c>
      <c r="F702">
        <v>7194284.1600000001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-5.2631578947366309E-2</v>
      </c>
      <c r="Q702">
        <f t="shared" si="995"/>
        <v>-378646.5347368269</v>
      </c>
      <c r="R702">
        <f t="shared" si="996"/>
        <v>21156453.72498408</v>
      </c>
      <c r="S702">
        <f t="shared" si="997"/>
        <v>211.56453724984078</v>
      </c>
      <c r="T702">
        <f t="shared" si="998"/>
        <v>0.21156453724984078</v>
      </c>
    </row>
    <row r="703" spans="1:20" x14ac:dyDescent="0.25">
      <c r="A703" s="5">
        <v>43890</v>
      </c>
      <c r="B703">
        <v>3.5799999999999998E-2</v>
      </c>
      <c r="C703">
        <v>3.6999999999999998E-2</v>
      </c>
      <c r="D703">
        <v>3.4200000000000001E-2</v>
      </c>
      <c r="E703">
        <v>3.4500000000000003E-2</v>
      </c>
      <c r="F703">
        <v>2971678.33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-0.78571428571428426</v>
      </c>
      <c r="Q703">
        <f t="shared" si="995"/>
        <v>-2334890.1164285671</v>
      </c>
      <c r="R703">
        <f t="shared" si="996"/>
        <v>21535100.259720907</v>
      </c>
      <c r="S703">
        <f t="shared" si="997"/>
        <v>215.35100259720906</v>
      </c>
      <c r="T703">
        <f t="shared" si="998"/>
        <v>0.21535100259720907</v>
      </c>
    </row>
    <row r="704" spans="1:20" x14ac:dyDescent="0.25">
      <c r="A704" s="5">
        <v>43889</v>
      </c>
      <c r="B704">
        <v>3.7499999999999999E-2</v>
      </c>
      <c r="C704">
        <v>3.85E-2</v>
      </c>
      <c r="D704">
        <v>3.3599999999999998E-2</v>
      </c>
      <c r="E704">
        <v>3.5700000000000003E-2</v>
      </c>
      <c r="F704">
        <v>6093097.5899999999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-0.14285714285714124</v>
      </c>
      <c r="Q704">
        <f t="shared" si="995"/>
        <v>-870442.51285713294</v>
      </c>
      <c r="R704">
        <f t="shared" si="996"/>
        <v>23869990.376149476</v>
      </c>
      <c r="S704">
        <f t="shared" si="997"/>
        <v>238.69990376149477</v>
      </c>
      <c r="T704">
        <f t="shared" si="998"/>
        <v>0.23869990376149477</v>
      </c>
    </row>
    <row r="705" spans="1:20" x14ac:dyDescent="0.25">
      <c r="A705" s="5">
        <v>43888</v>
      </c>
      <c r="B705">
        <v>3.44E-2</v>
      </c>
      <c r="C705">
        <v>4.1200000000000001E-2</v>
      </c>
      <c r="D705">
        <v>3.2099999999999997E-2</v>
      </c>
      <c r="E705">
        <v>3.6900000000000002E-2</v>
      </c>
      <c r="F705">
        <v>9266494.8000000007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5.4945054945055735E-2</v>
      </c>
      <c r="Q705">
        <f t="shared" si="995"/>
        <v>509148.0659340733</v>
      </c>
      <c r="R705">
        <f t="shared" si="996"/>
        <v>24740432.889006607</v>
      </c>
      <c r="S705">
        <f t="shared" si="997"/>
        <v>247.40432889006607</v>
      </c>
      <c r="T705">
        <f t="shared" si="998"/>
        <v>0.24740432889006606</v>
      </c>
    </row>
    <row r="706" spans="1:20" x14ac:dyDescent="0.25">
      <c r="A706" s="5">
        <v>43887</v>
      </c>
      <c r="B706">
        <v>3.7499999999999999E-2</v>
      </c>
      <c r="C706">
        <v>3.78E-2</v>
      </c>
      <c r="D706">
        <v>3.15E-2</v>
      </c>
      <c r="E706">
        <v>3.49E-2</v>
      </c>
      <c r="F706">
        <v>8511561.8000000007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7.936507936507943E-2</v>
      </c>
      <c r="Q706">
        <f t="shared" si="995"/>
        <v>675520.77777777833</v>
      </c>
      <c r="R706">
        <f t="shared" si="996"/>
        <v>24231284.823072534</v>
      </c>
      <c r="S706">
        <f t="shared" si="997"/>
        <v>242.31284823072534</v>
      </c>
      <c r="T706">
        <f t="shared" si="998"/>
        <v>0.24231284823072533</v>
      </c>
    </row>
    <row r="707" spans="1:20" x14ac:dyDescent="0.25">
      <c r="A707" s="5">
        <v>43886</v>
      </c>
      <c r="B707">
        <v>4.4299999999999999E-2</v>
      </c>
      <c r="C707">
        <v>4.6199999999999998E-2</v>
      </c>
      <c r="D707">
        <v>3.5900000000000001E-2</v>
      </c>
      <c r="E707">
        <v>3.7699999999999997E-2</v>
      </c>
      <c r="F707">
        <v>11156927.74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-0.65048543689320448</v>
      </c>
      <c r="Q707">
        <f t="shared" si="995"/>
        <v>-7257419.0153398123</v>
      </c>
      <c r="R707">
        <f t="shared" si="996"/>
        <v>23555764.045294754</v>
      </c>
      <c r="S707">
        <f t="shared" si="997"/>
        <v>235.55764045294754</v>
      </c>
      <c r="T707">
        <f t="shared" si="998"/>
        <v>0.23555764045294753</v>
      </c>
    </row>
    <row r="708" spans="1:20" x14ac:dyDescent="0.25">
      <c r="A708" s="5">
        <v>43885</v>
      </c>
      <c r="B708">
        <v>4.4600000000000001E-2</v>
      </c>
      <c r="C708">
        <v>4.7E-2</v>
      </c>
      <c r="D708">
        <v>4.1200000000000001E-2</v>
      </c>
      <c r="E708">
        <v>4.4499999999999998E-2</v>
      </c>
      <c r="F708">
        <v>8835159.5399999991</v>
      </c>
      <c r="G708">
        <v>0</v>
      </c>
      <c r="L708" t="s">
        <v>8</v>
      </c>
      <c r="M708" t="s">
        <v>8</v>
      </c>
      <c r="N708" t="s">
        <v>7</v>
      </c>
      <c r="P708">
        <f t="shared" si="994"/>
        <v>0.13793103448275779</v>
      </c>
      <c r="Q708">
        <f t="shared" si="995"/>
        <v>1218642.6951724063</v>
      </c>
      <c r="R708">
        <f t="shared" si="996"/>
        <v>30813183.060634568</v>
      </c>
      <c r="S708">
        <f t="shared" si="997"/>
        <v>308.13183060634566</v>
      </c>
      <c r="T708">
        <f t="shared" si="998"/>
        <v>0.30813183060634564</v>
      </c>
    </row>
    <row r="709" spans="1:20" x14ac:dyDescent="0.25">
      <c r="A709" s="5">
        <v>43884</v>
      </c>
      <c r="B709">
        <v>4.0599999999999997E-2</v>
      </c>
      <c r="C709">
        <v>4.5699999999999998E-2</v>
      </c>
      <c r="D709">
        <v>4.0399999999999998E-2</v>
      </c>
      <c r="E709">
        <v>4.4900000000000002E-2</v>
      </c>
      <c r="F709">
        <v>6099969.54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0.69811320754717154</v>
      </c>
      <c r="Q709">
        <f t="shared" si="995"/>
        <v>4258469.3015094446</v>
      </c>
      <c r="R709">
        <f t="shared" si="996"/>
        <v>29594540.365462162</v>
      </c>
      <c r="S709">
        <f t="shared" si="997"/>
        <v>295.9454036546216</v>
      </c>
      <c r="T709">
        <f t="shared" si="998"/>
        <v>0.29594540365462157</v>
      </c>
    </row>
    <row r="710" spans="1:20" x14ac:dyDescent="0.25">
      <c r="A710" s="5">
        <v>43883</v>
      </c>
      <c r="B710">
        <v>4.0399999999999998E-2</v>
      </c>
      <c r="C710">
        <v>4.1599999999999998E-2</v>
      </c>
      <c r="D710">
        <v>3.8699999999999998E-2</v>
      </c>
      <c r="E710">
        <v>4.0399999999999998E-2</v>
      </c>
      <c r="F710">
        <v>3273168.67</v>
      </c>
      <c r="G710">
        <v>0</v>
      </c>
      <c r="L710" t="s">
        <v>7</v>
      </c>
      <c r="M710" t="s">
        <v>7</v>
      </c>
      <c r="N710" t="s">
        <v>7</v>
      </c>
      <c r="P710">
        <f t="shared" ref="P710:P767" si="999">IF(C710=D710,0,((E710-D710)-(C710-E710))/(C710-D710))</f>
        <v>0.17241379310344845</v>
      </c>
      <c r="Q710">
        <f t="shared" ref="Q710:Q767" si="1000">F710*P710</f>
        <v>564339.42586206959</v>
      </c>
      <c r="R710">
        <f t="shared" ref="R710:R767" si="1001">R711+Q710</f>
        <v>25336071.063952718</v>
      </c>
      <c r="S710">
        <f t="shared" ref="S710:S767" si="1002">R710/100000</f>
        <v>253.36071063952718</v>
      </c>
      <c r="T710">
        <f t="shared" ref="T710:T767" si="1003">S710/1000</f>
        <v>0.2533607106395272</v>
      </c>
    </row>
    <row r="711" spans="1:20" x14ac:dyDescent="0.25">
      <c r="A711" s="5">
        <v>43882</v>
      </c>
      <c r="B711">
        <v>3.8899999999999997E-2</v>
      </c>
      <c r="C711">
        <v>4.1500000000000002E-2</v>
      </c>
      <c r="D711">
        <v>3.8600000000000002E-2</v>
      </c>
      <c r="E711">
        <v>4.0500000000000001E-2</v>
      </c>
      <c r="F711">
        <v>3860977.09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0.31034482758620624</v>
      </c>
      <c r="Q711">
        <f t="shared" si="1000"/>
        <v>1198234.2693103421</v>
      </c>
      <c r="R711">
        <f t="shared" si="1001"/>
        <v>24771731.638090648</v>
      </c>
      <c r="S711">
        <f t="shared" si="1002"/>
        <v>247.71731638090648</v>
      </c>
      <c r="T711">
        <f t="shared" si="1003"/>
        <v>0.24771731638090649</v>
      </c>
    </row>
    <row r="712" spans="1:20" x14ac:dyDescent="0.25">
      <c r="A712" s="5">
        <v>43881</v>
      </c>
      <c r="B712">
        <v>4.07E-2</v>
      </c>
      <c r="C712">
        <v>4.0899999999999999E-2</v>
      </c>
      <c r="D712">
        <v>3.7400000000000003E-2</v>
      </c>
      <c r="E712">
        <v>3.9100000000000003E-2</v>
      </c>
      <c r="F712">
        <v>5244178.8899999997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-2.8571428571427439E-2</v>
      </c>
      <c r="Q712">
        <f t="shared" si="1000"/>
        <v>-149833.68257142263</v>
      </c>
      <c r="R712">
        <f t="shared" si="1001"/>
        <v>23573497.368780307</v>
      </c>
      <c r="S712">
        <f t="shared" si="1002"/>
        <v>235.73497368780306</v>
      </c>
      <c r="T712">
        <f t="shared" si="1003"/>
        <v>0.23573497368780305</v>
      </c>
    </row>
    <row r="713" spans="1:20" x14ac:dyDescent="0.25">
      <c r="A713" s="5">
        <v>43880</v>
      </c>
      <c r="B713">
        <v>4.2799999999999998E-2</v>
      </c>
      <c r="C713">
        <v>4.4900000000000002E-2</v>
      </c>
      <c r="D713">
        <v>3.9600000000000003E-2</v>
      </c>
      <c r="E713">
        <v>4.07E-2</v>
      </c>
      <c r="F713">
        <v>4337384.99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-0.58490566037735958</v>
      </c>
      <c r="Q713">
        <f t="shared" si="1000"/>
        <v>-2536961.0318867974</v>
      </c>
      <c r="R713">
        <f t="shared" si="1001"/>
        <v>23723331.05135173</v>
      </c>
      <c r="S713">
        <f t="shared" si="1002"/>
        <v>237.2333105135173</v>
      </c>
      <c r="T713">
        <f t="shared" si="1003"/>
        <v>0.23723331051351729</v>
      </c>
    </row>
    <row r="714" spans="1:20" x14ac:dyDescent="0.25">
      <c r="A714" s="5">
        <v>43879</v>
      </c>
      <c r="B714">
        <v>4.2200000000000001E-2</v>
      </c>
      <c r="C714">
        <v>4.3299999999999998E-2</v>
      </c>
      <c r="D714">
        <v>4.1200000000000001E-2</v>
      </c>
      <c r="E714">
        <v>4.2799999999999998E-2</v>
      </c>
      <c r="F714">
        <v>4694529.42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0.52380952380952284</v>
      </c>
      <c r="Q714">
        <f t="shared" si="1000"/>
        <v>2459039.2199999955</v>
      </c>
      <c r="R714">
        <f t="shared" si="1001"/>
        <v>26260292.083238527</v>
      </c>
      <c r="S714">
        <f t="shared" si="1002"/>
        <v>262.60292083238528</v>
      </c>
      <c r="T714">
        <f t="shared" si="1003"/>
        <v>0.26260292083238529</v>
      </c>
    </row>
    <row r="715" spans="1:20" x14ac:dyDescent="0.25">
      <c r="A715" s="5">
        <v>43878</v>
      </c>
      <c r="B715">
        <v>4.2900000000000001E-2</v>
      </c>
      <c r="C715">
        <v>4.3499999999999997E-2</v>
      </c>
      <c r="D715">
        <v>3.8100000000000002E-2</v>
      </c>
      <c r="E715">
        <v>4.2200000000000001E-2</v>
      </c>
      <c r="F715">
        <v>6915610.4299999997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0.51851851851851971</v>
      </c>
      <c r="Q715">
        <f t="shared" si="1000"/>
        <v>3585872.074814823</v>
      </c>
      <c r="R715">
        <f t="shared" si="1001"/>
        <v>23801252.863238532</v>
      </c>
      <c r="S715">
        <f t="shared" si="1002"/>
        <v>238.01252863238531</v>
      </c>
      <c r="T715">
        <f t="shared" si="1003"/>
        <v>0.23801252863238531</v>
      </c>
    </row>
    <row r="716" spans="1:20" x14ac:dyDescent="0.25">
      <c r="A716" s="5">
        <v>43877</v>
      </c>
      <c r="B716">
        <v>4.6899999999999997E-2</v>
      </c>
      <c r="C716">
        <v>4.8800000000000003E-2</v>
      </c>
      <c r="D716">
        <v>3.85E-2</v>
      </c>
      <c r="E716">
        <v>4.3499999999999997E-2</v>
      </c>
      <c r="F716">
        <v>9041352.8900000006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-2.9126213592233833E-2</v>
      </c>
      <c r="Q716">
        <f t="shared" si="1000"/>
        <v>-263340.37543690065</v>
      </c>
      <c r="R716">
        <f t="shared" si="1001"/>
        <v>20215380.78842371</v>
      </c>
      <c r="S716">
        <f t="shared" si="1002"/>
        <v>202.1538078842371</v>
      </c>
      <c r="T716">
        <f t="shared" si="1003"/>
        <v>0.20215380788423709</v>
      </c>
    </row>
    <row r="717" spans="1:20" x14ac:dyDescent="0.25">
      <c r="A717" s="5">
        <v>43876</v>
      </c>
      <c r="B717">
        <v>5.1700000000000003E-2</v>
      </c>
      <c r="C717">
        <v>5.2999999999999999E-2</v>
      </c>
      <c r="D717">
        <v>4.4499999999999998E-2</v>
      </c>
      <c r="E717">
        <v>4.7300000000000002E-2</v>
      </c>
      <c r="F717">
        <v>7660368.1200000001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-0.34117647058823442</v>
      </c>
      <c r="Q717">
        <f t="shared" si="1000"/>
        <v>-2613537.3585882285</v>
      </c>
      <c r="R717">
        <f t="shared" si="1001"/>
        <v>20478721.163860612</v>
      </c>
      <c r="S717">
        <f t="shared" si="1002"/>
        <v>204.78721163860612</v>
      </c>
      <c r="T717">
        <f t="shared" si="1003"/>
        <v>0.20478721163860614</v>
      </c>
    </row>
    <row r="718" spans="1:20" x14ac:dyDescent="0.25">
      <c r="A718" s="5">
        <v>43875</v>
      </c>
      <c r="B718">
        <v>5.0099999999999999E-2</v>
      </c>
      <c r="C718">
        <v>5.33E-2</v>
      </c>
      <c r="D718">
        <v>4.8300000000000003E-2</v>
      </c>
      <c r="E718">
        <v>5.1700000000000003E-2</v>
      </c>
      <c r="F718">
        <v>6644290.1299999999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0.36000000000000076</v>
      </c>
      <c r="Q718">
        <f t="shared" si="1000"/>
        <v>2391944.4468000052</v>
      </c>
      <c r="R718">
        <f t="shared" si="1001"/>
        <v>23092258.522448841</v>
      </c>
      <c r="S718">
        <f t="shared" si="1002"/>
        <v>230.92258522448842</v>
      </c>
      <c r="T718">
        <f t="shared" si="1003"/>
        <v>0.23092258522448841</v>
      </c>
    </row>
    <row r="719" spans="1:20" x14ac:dyDescent="0.25">
      <c r="A719" s="5">
        <v>43874</v>
      </c>
      <c r="B719">
        <v>5.5899999999999998E-2</v>
      </c>
      <c r="C719">
        <v>5.8099999999999999E-2</v>
      </c>
      <c r="D719">
        <v>4.7E-2</v>
      </c>
      <c r="E719">
        <v>5.0099999999999999E-2</v>
      </c>
      <c r="F719">
        <v>19326137.539999999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-0.44144144144144165</v>
      </c>
      <c r="Q719">
        <f t="shared" si="1000"/>
        <v>-8531358.0131531563</v>
      </c>
      <c r="R719">
        <f t="shared" si="1001"/>
        <v>20700314.075648837</v>
      </c>
      <c r="S719">
        <f t="shared" si="1002"/>
        <v>207.00314075648836</v>
      </c>
      <c r="T719">
        <f t="shared" si="1003"/>
        <v>0.20700314075648837</v>
      </c>
    </row>
    <row r="720" spans="1:20" x14ac:dyDescent="0.25">
      <c r="A720" s="5">
        <v>43873</v>
      </c>
      <c r="B720">
        <v>5.1400000000000001E-2</v>
      </c>
      <c r="C720">
        <v>6.0299999999999999E-2</v>
      </c>
      <c r="D720">
        <v>4.87E-2</v>
      </c>
      <c r="E720">
        <v>5.62E-2</v>
      </c>
      <c r="F720">
        <v>23690653.309999999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0.2931034482758621</v>
      </c>
      <c r="Q720">
        <f t="shared" si="1000"/>
        <v>6943812.1770689655</v>
      </c>
      <c r="R720">
        <f t="shared" si="1001"/>
        <v>29231672.088801995</v>
      </c>
      <c r="S720">
        <f t="shared" si="1002"/>
        <v>292.31672088801997</v>
      </c>
      <c r="T720">
        <f t="shared" si="1003"/>
        <v>0.29231672088801997</v>
      </c>
    </row>
    <row r="721" spans="1:20" x14ac:dyDescent="0.25">
      <c r="A721" s="5">
        <v>43872</v>
      </c>
      <c r="B721">
        <v>4.48E-2</v>
      </c>
      <c r="C721">
        <v>5.28E-2</v>
      </c>
      <c r="D721">
        <v>4.3400000000000001E-2</v>
      </c>
      <c r="E721">
        <v>5.1400000000000001E-2</v>
      </c>
      <c r="F721">
        <v>13317803.35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0.70212765957446832</v>
      </c>
      <c r="Q721">
        <f t="shared" si="1000"/>
        <v>9350798.0968085136</v>
      </c>
      <c r="R721">
        <f t="shared" si="1001"/>
        <v>22287859.911733031</v>
      </c>
      <c r="S721">
        <f t="shared" si="1002"/>
        <v>222.87859911733031</v>
      </c>
      <c r="T721">
        <f t="shared" si="1003"/>
        <v>0.22287859911733032</v>
      </c>
    </row>
    <row r="722" spans="1:20" x14ac:dyDescent="0.25">
      <c r="A722" s="5">
        <v>43871</v>
      </c>
      <c r="B722">
        <v>4.4299999999999999E-2</v>
      </c>
      <c r="C722">
        <v>4.5499999999999999E-2</v>
      </c>
      <c r="D722">
        <v>4.1000000000000002E-2</v>
      </c>
      <c r="E722">
        <v>4.4499999999999998E-2</v>
      </c>
      <c r="F722">
        <v>6045667.75</v>
      </c>
      <c r="G722">
        <v>0</v>
      </c>
      <c r="L722" t="s">
        <v>7</v>
      </c>
      <c r="M722" t="s">
        <v>8</v>
      </c>
      <c r="N722" t="s">
        <v>7</v>
      </c>
      <c r="P722">
        <f t="shared" si="999"/>
        <v>0.55555555555555491</v>
      </c>
      <c r="Q722">
        <f t="shared" si="1000"/>
        <v>3358704.3055555518</v>
      </c>
      <c r="R722">
        <f t="shared" si="1001"/>
        <v>12937061.81492452</v>
      </c>
      <c r="S722">
        <f t="shared" si="1002"/>
        <v>129.37061814924519</v>
      </c>
      <c r="T722">
        <f t="shared" si="1003"/>
        <v>0.12937061814924519</v>
      </c>
    </row>
    <row r="723" spans="1:20" x14ac:dyDescent="0.25">
      <c r="A723" s="5">
        <v>43870</v>
      </c>
      <c r="B723">
        <v>4.2500000000000003E-2</v>
      </c>
      <c r="C723">
        <v>4.4999999999999998E-2</v>
      </c>
      <c r="D723">
        <v>4.0899999999999999E-2</v>
      </c>
      <c r="E723">
        <v>4.4299999999999999E-2</v>
      </c>
      <c r="F723">
        <v>7060103.4800000004</v>
      </c>
      <c r="G723">
        <v>0</v>
      </c>
      <c r="L723" t="s">
        <v>8</v>
      </c>
      <c r="M723" t="s">
        <v>8</v>
      </c>
      <c r="N723" t="s">
        <v>7</v>
      </c>
      <c r="P723">
        <f t="shared" si="999"/>
        <v>0.65853658536585402</v>
      </c>
      <c r="Q723">
        <f t="shared" si="1000"/>
        <v>4649336.4380487837</v>
      </c>
      <c r="R723">
        <f t="shared" si="1001"/>
        <v>9578357.5093689673</v>
      </c>
      <c r="S723">
        <f t="shared" si="1002"/>
        <v>95.783575093689677</v>
      </c>
      <c r="T723">
        <f t="shared" si="1003"/>
        <v>9.5783575093689677E-2</v>
      </c>
    </row>
    <row r="724" spans="1:20" x14ac:dyDescent="0.25">
      <c r="A724" s="5">
        <v>43869</v>
      </c>
      <c r="B724">
        <v>4.5499999999999999E-2</v>
      </c>
      <c r="C724">
        <v>4.58E-2</v>
      </c>
      <c r="D724">
        <v>4.0800000000000003E-2</v>
      </c>
      <c r="E724">
        <v>4.2799999999999998E-2</v>
      </c>
      <c r="F724">
        <v>7522077.6900000004</v>
      </c>
      <c r="G724">
        <v>0</v>
      </c>
      <c r="L724" t="s">
        <v>7</v>
      </c>
      <c r="M724" t="s">
        <v>8</v>
      </c>
      <c r="N724" t="s">
        <v>7</v>
      </c>
      <c r="P724">
        <f t="shared" si="999"/>
        <v>-0.20000000000000168</v>
      </c>
      <c r="Q724">
        <f t="shared" si="1000"/>
        <v>-1504415.5380000127</v>
      </c>
      <c r="R724">
        <f t="shared" si="1001"/>
        <v>4929021.0713201826</v>
      </c>
      <c r="S724">
        <f t="shared" si="1002"/>
        <v>49.290210713201823</v>
      </c>
      <c r="T724">
        <f t="shared" si="1003"/>
        <v>4.9290210713201825E-2</v>
      </c>
    </row>
    <row r="725" spans="1:20" x14ac:dyDescent="0.25">
      <c r="A725" s="5">
        <v>43868</v>
      </c>
      <c r="B725">
        <v>4.3200000000000002E-2</v>
      </c>
      <c r="C725">
        <v>4.6399999999999997E-2</v>
      </c>
      <c r="D725">
        <v>4.24E-2</v>
      </c>
      <c r="E725">
        <v>4.5499999999999999E-2</v>
      </c>
      <c r="F725">
        <v>11892143.939999999</v>
      </c>
      <c r="G725">
        <v>0</v>
      </c>
      <c r="L725" t="s">
        <v>8</v>
      </c>
      <c r="M725" t="s">
        <v>8</v>
      </c>
      <c r="N725" t="s">
        <v>7</v>
      </c>
      <c r="P725">
        <f t="shared" si="999"/>
        <v>0.5500000000000006</v>
      </c>
      <c r="Q725">
        <f t="shared" si="1000"/>
        <v>6540679.1670000069</v>
      </c>
      <c r="R725">
        <f t="shared" si="1001"/>
        <v>6433436.6093201954</v>
      </c>
      <c r="S725">
        <f t="shared" si="1002"/>
        <v>64.33436609320195</v>
      </c>
      <c r="T725">
        <f t="shared" si="1003"/>
        <v>6.433436609320195E-2</v>
      </c>
    </row>
    <row r="726" spans="1:20" x14ac:dyDescent="0.25">
      <c r="A726" s="5">
        <v>43867</v>
      </c>
      <c r="B726">
        <v>4.02E-2</v>
      </c>
      <c r="C726">
        <v>4.4200000000000003E-2</v>
      </c>
      <c r="D726">
        <v>3.9600000000000003E-2</v>
      </c>
      <c r="E726">
        <v>4.3200000000000002E-2</v>
      </c>
      <c r="F726">
        <v>10572178.550000001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0.56521739130434745</v>
      </c>
      <c r="Q726">
        <f t="shared" si="1000"/>
        <v>5975579.1804347793</v>
      </c>
      <c r="R726">
        <f t="shared" si="1001"/>
        <v>-107242.55767981149</v>
      </c>
      <c r="S726">
        <f t="shared" si="1002"/>
        <v>-1.072425576798115</v>
      </c>
      <c r="T726">
        <f t="shared" si="1003"/>
        <v>-1.072425576798115E-3</v>
      </c>
    </row>
    <row r="727" spans="1:20" x14ac:dyDescent="0.25">
      <c r="A727" s="5">
        <v>43866</v>
      </c>
      <c r="B727">
        <v>4.0599999999999997E-2</v>
      </c>
      <c r="C727">
        <v>4.2000000000000003E-2</v>
      </c>
      <c r="D727">
        <v>3.9399999999999998E-2</v>
      </c>
      <c r="E727">
        <v>4.0099999999999997E-2</v>
      </c>
      <c r="F727">
        <v>5751581.7599999998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-0.46153846153846317</v>
      </c>
      <c r="Q727">
        <f t="shared" si="1000"/>
        <v>-2654576.1969230864</v>
      </c>
      <c r="R727">
        <f t="shared" si="1001"/>
        <v>-6082821.7381145908</v>
      </c>
      <c r="S727">
        <f t="shared" si="1002"/>
        <v>-60.828217381145905</v>
      </c>
      <c r="T727">
        <f t="shared" si="1003"/>
        <v>-6.0828217381145903E-2</v>
      </c>
    </row>
    <row r="728" spans="1:20" x14ac:dyDescent="0.25">
      <c r="A728" s="5">
        <v>43865</v>
      </c>
      <c r="B728">
        <v>3.8800000000000001E-2</v>
      </c>
      <c r="C728">
        <v>4.0899999999999999E-2</v>
      </c>
      <c r="D728">
        <v>3.7199999999999997E-2</v>
      </c>
      <c r="E728">
        <v>4.07E-2</v>
      </c>
      <c r="F728">
        <v>7836909.4199999999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0.89189189189189255</v>
      </c>
      <c r="Q728">
        <f t="shared" si="1000"/>
        <v>6989675.969189194</v>
      </c>
      <c r="R728">
        <f t="shared" si="1001"/>
        <v>-3428245.5411915043</v>
      </c>
      <c r="S728">
        <f t="shared" si="1002"/>
        <v>-34.282455411915045</v>
      </c>
      <c r="T728">
        <f t="shared" si="1003"/>
        <v>-3.4282455411915047E-2</v>
      </c>
    </row>
    <row r="729" spans="1:20" x14ac:dyDescent="0.25">
      <c r="A729" s="5">
        <v>43864</v>
      </c>
      <c r="B729">
        <v>3.6799999999999999E-2</v>
      </c>
      <c r="C729">
        <v>3.9600000000000003E-2</v>
      </c>
      <c r="D729">
        <v>3.6799999999999999E-2</v>
      </c>
      <c r="E729">
        <v>3.8600000000000002E-2</v>
      </c>
      <c r="F729">
        <v>5024001.97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0.28571428571428609</v>
      </c>
      <c r="Q729">
        <f t="shared" si="1000"/>
        <v>1435429.1342857161</v>
      </c>
      <c r="R729">
        <f t="shared" si="1001"/>
        <v>-10417921.510380698</v>
      </c>
      <c r="S729">
        <f t="shared" si="1002"/>
        <v>-104.17921510380698</v>
      </c>
      <c r="T729">
        <f t="shared" si="1003"/>
        <v>-0.10417921510380698</v>
      </c>
    </row>
    <row r="730" spans="1:20" x14ac:dyDescent="0.25">
      <c r="A730" s="5">
        <v>43863</v>
      </c>
      <c r="B730">
        <v>3.6200000000000003E-2</v>
      </c>
      <c r="C730">
        <v>3.8100000000000002E-2</v>
      </c>
      <c r="D730">
        <v>3.5499999999999997E-2</v>
      </c>
      <c r="E730">
        <v>3.6900000000000002E-2</v>
      </c>
      <c r="F730">
        <v>3620784.06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7.6923076923078981E-2</v>
      </c>
      <c r="Q730">
        <f t="shared" si="1000"/>
        <v>278521.8507692382</v>
      </c>
      <c r="R730">
        <f t="shared" si="1001"/>
        <v>-11853350.644666415</v>
      </c>
      <c r="S730">
        <f t="shared" si="1002"/>
        <v>-118.53350644666415</v>
      </c>
      <c r="T730">
        <f t="shared" si="1003"/>
        <v>-0.11853350644666415</v>
      </c>
    </row>
    <row r="731" spans="1:20" x14ac:dyDescent="0.25">
      <c r="A731" s="5">
        <v>43862</v>
      </c>
      <c r="B731">
        <v>3.6400000000000002E-2</v>
      </c>
      <c r="C731">
        <v>3.73E-2</v>
      </c>
      <c r="D731">
        <v>3.5499999999999997E-2</v>
      </c>
      <c r="E731">
        <v>3.6299999999999999E-2</v>
      </c>
      <c r="F731">
        <v>1660699.65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-0.11111111111111026</v>
      </c>
      <c r="Q731">
        <f t="shared" si="1000"/>
        <v>-184522.18333333189</v>
      </c>
      <c r="R731">
        <f t="shared" si="1001"/>
        <v>-12131872.495435653</v>
      </c>
      <c r="S731">
        <f t="shared" si="1002"/>
        <v>-121.31872495435653</v>
      </c>
      <c r="T731">
        <f t="shared" si="1003"/>
        <v>-0.12131872495435653</v>
      </c>
    </row>
    <row r="732" spans="1:20" x14ac:dyDescent="0.25">
      <c r="A732" s="5">
        <v>43861</v>
      </c>
      <c r="B732">
        <v>3.6400000000000002E-2</v>
      </c>
      <c r="C732">
        <v>3.6499999999999998E-2</v>
      </c>
      <c r="D732">
        <v>3.49E-2</v>
      </c>
      <c r="E732">
        <v>3.6400000000000002E-2</v>
      </c>
      <c r="F732">
        <v>1775736.18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0.87500000000000488</v>
      </c>
      <c r="Q732">
        <f t="shared" si="1000"/>
        <v>1553769.1575000086</v>
      </c>
      <c r="R732">
        <f t="shared" si="1001"/>
        <v>-11947350.312102322</v>
      </c>
      <c r="S732">
        <f t="shared" si="1002"/>
        <v>-119.47350312102321</v>
      </c>
      <c r="T732">
        <f t="shared" si="1003"/>
        <v>-0.11947350312102321</v>
      </c>
    </row>
    <row r="733" spans="1:20" x14ac:dyDescent="0.25">
      <c r="A733" s="5">
        <v>43860</v>
      </c>
      <c r="B733">
        <v>3.4700000000000002E-2</v>
      </c>
      <c r="C733">
        <v>3.6999999999999998E-2</v>
      </c>
      <c r="D733">
        <v>3.2899999999999999E-2</v>
      </c>
      <c r="E733">
        <v>3.6200000000000003E-2</v>
      </c>
      <c r="F733">
        <v>4427751.7300000004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0.60975609756097793</v>
      </c>
      <c r="Q733">
        <f t="shared" si="1000"/>
        <v>2699848.6158536691</v>
      </c>
      <c r="R733">
        <f t="shared" si="1001"/>
        <v>-13501119.46960233</v>
      </c>
      <c r="S733">
        <f t="shared" si="1002"/>
        <v>-135.0111946960233</v>
      </c>
      <c r="T733">
        <f t="shared" si="1003"/>
        <v>-0.1350111946960233</v>
      </c>
    </row>
    <row r="734" spans="1:20" x14ac:dyDescent="0.25">
      <c r="A734" s="5">
        <v>43859</v>
      </c>
      <c r="B734">
        <v>3.6299999999999999E-2</v>
      </c>
      <c r="C734">
        <v>3.6499999999999998E-2</v>
      </c>
      <c r="D734">
        <v>3.4700000000000002E-2</v>
      </c>
      <c r="E734">
        <v>3.4799999999999998E-2</v>
      </c>
      <c r="F734">
        <v>1415136.89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-0.88888888888889317</v>
      </c>
      <c r="Q734">
        <f t="shared" si="1000"/>
        <v>-1257899.4577777837</v>
      </c>
      <c r="R734">
        <f t="shared" si="1001"/>
        <v>-16200968.085455999</v>
      </c>
      <c r="S734">
        <f t="shared" si="1002"/>
        <v>-162.00968085455997</v>
      </c>
      <c r="T734">
        <f t="shared" si="1003"/>
        <v>-0.16200968085455997</v>
      </c>
    </row>
    <row r="735" spans="1:20" x14ac:dyDescent="0.25">
      <c r="A735" s="5">
        <v>43858</v>
      </c>
      <c r="B735">
        <v>3.6299999999999999E-2</v>
      </c>
      <c r="C735">
        <v>3.6700000000000003E-2</v>
      </c>
      <c r="D735">
        <v>3.5099999999999999E-2</v>
      </c>
      <c r="E735">
        <v>3.6400000000000002E-2</v>
      </c>
      <c r="F735">
        <v>2005111.82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0.62499999999999889</v>
      </c>
      <c r="Q735">
        <f t="shared" si="1000"/>
        <v>1253194.8874999979</v>
      </c>
      <c r="R735">
        <f t="shared" si="1001"/>
        <v>-14943068.627678216</v>
      </c>
      <c r="S735">
        <f t="shared" si="1002"/>
        <v>-149.43068627678215</v>
      </c>
      <c r="T735">
        <f t="shared" si="1003"/>
        <v>-0.14943068627678216</v>
      </c>
    </row>
    <row r="736" spans="1:20" x14ac:dyDescent="0.25">
      <c r="A736" s="5">
        <v>43857</v>
      </c>
      <c r="B736">
        <v>3.6799999999999999E-2</v>
      </c>
      <c r="C736">
        <v>3.7100000000000001E-2</v>
      </c>
      <c r="D736">
        <v>3.61E-2</v>
      </c>
      <c r="E736">
        <v>3.6299999999999999E-2</v>
      </c>
      <c r="F736">
        <v>1624799.67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-0.60000000000000275</v>
      </c>
      <c r="Q736">
        <f t="shared" si="1000"/>
        <v>-974879.80200000445</v>
      </c>
      <c r="R736">
        <f t="shared" si="1001"/>
        <v>-16196263.515178213</v>
      </c>
      <c r="S736">
        <f t="shared" si="1002"/>
        <v>-161.96263515178214</v>
      </c>
      <c r="T736">
        <f t="shared" si="1003"/>
        <v>-0.16196263515178214</v>
      </c>
    </row>
    <row r="737" spans="1:20" x14ac:dyDescent="0.25">
      <c r="A737" s="5">
        <v>43856</v>
      </c>
      <c r="B737">
        <v>3.6799999999999999E-2</v>
      </c>
      <c r="C737">
        <v>3.7699999999999997E-2</v>
      </c>
      <c r="D737">
        <v>3.5999999999999997E-2</v>
      </c>
      <c r="E737">
        <v>3.6799999999999999E-2</v>
      </c>
      <c r="F737">
        <v>2761561.1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-5.8823529411762304E-2</v>
      </c>
      <c r="Q737">
        <f t="shared" si="1000"/>
        <v>-162444.77058822865</v>
      </c>
      <c r="R737">
        <f t="shared" si="1001"/>
        <v>-15221383.713178208</v>
      </c>
      <c r="S737">
        <f t="shared" si="1002"/>
        <v>-152.21383713178207</v>
      </c>
      <c r="T737">
        <f t="shared" si="1003"/>
        <v>-0.15221383713178208</v>
      </c>
    </row>
    <row r="738" spans="1:20" x14ac:dyDescent="0.25">
      <c r="A738" s="5">
        <v>43855</v>
      </c>
      <c r="B738">
        <v>3.5900000000000001E-2</v>
      </c>
      <c r="C738">
        <v>3.8199999999999998E-2</v>
      </c>
      <c r="D738">
        <v>3.5499999999999997E-2</v>
      </c>
      <c r="E738">
        <v>3.6999999999999998E-2</v>
      </c>
      <c r="F738">
        <v>2576359.54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0.11111111111111169</v>
      </c>
      <c r="Q738">
        <f t="shared" si="1000"/>
        <v>286262.17111111258</v>
      </c>
      <c r="R738">
        <f t="shared" si="1001"/>
        <v>-15058938.94258998</v>
      </c>
      <c r="S738">
        <f t="shared" si="1002"/>
        <v>-150.58938942589981</v>
      </c>
      <c r="T738">
        <f t="shared" si="1003"/>
        <v>-0.15058938942589981</v>
      </c>
    </row>
    <row r="739" spans="1:20" x14ac:dyDescent="0.25">
      <c r="A739" s="5">
        <v>43854</v>
      </c>
      <c r="B739">
        <v>3.7199999999999997E-2</v>
      </c>
      <c r="C739">
        <v>3.73E-2</v>
      </c>
      <c r="D739">
        <v>3.49E-2</v>
      </c>
      <c r="E739">
        <v>3.5900000000000001E-2</v>
      </c>
      <c r="F739">
        <v>2374660.41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-0.16666666666666571</v>
      </c>
      <c r="Q739">
        <f t="shared" si="1000"/>
        <v>-395776.73499999777</v>
      </c>
      <c r="R739">
        <f t="shared" si="1001"/>
        <v>-15345201.113701092</v>
      </c>
      <c r="S739">
        <f t="shared" si="1002"/>
        <v>-153.45201113701091</v>
      </c>
      <c r="T739">
        <f t="shared" si="1003"/>
        <v>-0.1534520111370109</v>
      </c>
    </row>
    <row r="740" spans="1:20" x14ac:dyDescent="0.25">
      <c r="A740" s="5">
        <v>43853</v>
      </c>
      <c r="B740">
        <v>3.8399999999999997E-2</v>
      </c>
      <c r="C740">
        <v>3.8399999999999997E-2</v>
      </c>
      <c r="D740">
        <v>3.5400000000000001E-2</v>
      </c>
      <c r="E740">
        <v>3.7199999999999997E-2</v>
      </c>
      <c r="F740">
        <v>3522838.36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0.19999999999999907</v>
      </c>
      <c r="Q740">
        <f t="shared" si="1000"/>
        <v>704567.67199999664</v>
      </c>
      <c r="R740">
        <f t="shared" si="1001"/>
        <v>-14949424.378701095</v>
      </c>
      <c r="S740">
        <f t="shared" si="1002"/>
        <v>-149.49424378701096</v>
      </c>
      <c r="T740">
        <f t="shared" si="1003"/>
        <v>-0.14949424378701096</v>
      </c>
    </row>
    <row r="741" spans="1:20" x14ac:dyDescent="0.25">
      <c r="A741" s="5">
        <v>43852</v>
      </c>
      <c r="B741">
        <v>3.8199999999999998E-2</v>
      </c>
      <c r="C741">
        <v>3.9600000000000003E-2</v>
      </c>
      <c r="D741">
        <v>3.78E-2</v>
      </c>
      <c r="E741">
        <v>3.8300000000000001E-2</v>
      </c>
      <c r="F741">
        <v>1441554.47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-0.44444444444444486</v>
      </c>
      <c r="Q741">
        <f t="shared" si="1000"/>
        <v>-640690.87555555615</v>
      </c>
      <c r="R741">
        <f t="shared" si="1001"/>
        <v>-15653992.050701091</v>
      </c>
      <c r="S741">
        <f t="shared" si="1002"/>
        <v>-156.53992050701092</v>
      </c>
      <c r="T741">
        <f t="shared" si="1003"/>
        <v>-0.15653992050701093</v>
      </c>
    </row>
    <row r="742" spans="1:20" x14ac:dyDescent="0.25">
      <c r="A742" s="5">
        <v>43851</v>
      </c>
      <c r="B742">
        <v>3.6999999999999998E-2</v>
      </c>
      <c r="C742">
        <v>3.9199999999999999E-2</v>
      </c>
      <c r="D742">
        <v>3.6799999999999999E-2</v>
      </c>
      <c r="E742">
        <v>3.8399999999999997E-2</v>
      </c>
      <c r="F742">
        <v>2480116.9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0.33333333333333143</v>
      </c>
      <c r="Q742">
        <f t="shared" si="1000"/>
        <v>826705.63333332853</v>
      </c>
      <c r="R742">
        <f t="shared" si="1001"/>
        <v>-15013301.175145535</v>
      </c>
      <c r="S742">
        <f t="shared" si="1002"/>
        <v>-150.13301175145534</v>
      </c>
      <c r="T742">
        <f t="shared" si="1003"/>
        <v>-0.15013301175145535</v>
      </c>
    </row>
    <row r="743" spans="1:20" x14ac:dyDescent="0.25">
      <c r="A743" s="5">
        <v>43850</v>
      </c>
      <c r="B743">
        <v>3.8199999999999998E-2</v>
      </c>
      <c r="C743">
        <v>3.8199999999999998E-2</v>
      </c>
      <c r="D743">
        <v>3.6400000000000002E-2</v>
      </c>
      <c r="E743">
        <v>3.7100000000000001E-2</v>
      </c>
      <c r="F743">
        <v>1935670.75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-0.22222222222222138</v>
      </c>
      <c r="Q743">
        <f t="shared" si="1000"/>
        <v>-430149.05555555393</v>
      </c>
      <c r="R743">
        <f t="shared" si="1001"/>
        <v>-15840006.808478864</v>
      </c>
      <c r="S743">
        <f t="shared" si="1002"/>
        <v>-158.40006808478864</v>
      </c>
      <c r="T743">
        <f t="shared" si="1003"/>
        <v>-0.15840006808478865</v>
      </c>
    </row>
    <row r="744" spans="1:20" x14ac:dyDescent="0.25">
      <c r="A744" s="5">
        <v>43849</v>
      </c>
      <c r="B744">
        <v>3.9399999999999998E-2</v>
      </c>
      <c r="C744">
        <v>3.9699999999999999E-2</v>
      </c>
      <c r="D744">
        <v>3.6700000000000003E-2</v>
      </c>
      <c r="E744">
        <v>3.7999999999999999E-2</v>
      </c>
      <c r="F744">
        <v>1993995.34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-0.13333333333333502</v>
      </c>
      <c r="Q744">
        <f t="shared" si="1000"/>
        <v>-265866.04533333669</v>
      </c>
      <c r="R744">
        <f t="shared" si="1001"/>
        <v>-15409857.75292331</v>
      </c>
      <c r="S744">
        <f t="shared" si="1002"/>
        <v>-154.0985775292331</v>
      </c>
      <c r="T744">
        <f t="shared" si="1003"/>
        <v>-0.15409857752923309</v>
      </c>
    </row>
    <row r="745" spans="1:20" x14ac:dyDescent="0.25">
      <c r="A745" s="5">
        <v>43848</v>
      </c>
      <c r="B745">
        <v>0.04</v>
      </c>
      <c r="C745">
        <v>4.0399999999999998E-2</v>
      </c>
      <c r="D745">
        <v>3.8800000000000001E-2</v>
      </c>
      <c r="E745">
        <v>3.95E-2</v>
      </c>
      <c r="F745">
        <v>1876266.2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-0.12499999999999946</v>
      </c>
      <c r="Q745">
        <f t="shared" si="1000"/>
        <v>-234533.27499999898</v>
      </c>
      <c r="R745">
        <f t="shared" si="1001"/>
        <v>-15143991.707589973</v>
      </c>
      <c r="S745">
        <f t="shared" si="1002"/>
        <v>-151.43991707589973</v>
      </c>
      <c r="T745">
        <f t="shared" si="1003"/>
        <v>-0.15143991707589974</v>
      </c>
    </row>
    <row r="746" spans="1:20" x14ac:dyDescent="0.25">
      <c r="A746" s="5">
        <v>43847</v>
      </c>
      <c r="B746">
        <v>3.7999999999999999E-2</v>
      </c>
      <c r="C746">
        <v>4.36E-2</v>
      </c>
      <c r="D746">
        <v>3.7699999999999997E-2</v>
      </c>
      <c r="E746">
        <v>0.04</v>
      </c>
      <c r="F746">
        <v>9355486.7799999993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-0.22033898305084662</v>
      </c>
      <c r="Q746">
        <f t="shared" si="1000"/>
        <v>-2061378.4430508395</v>
      </c>
      <c r="R746">
        <f t="shared" si="1001"/>
        <v>-14909458.432589974</v>
      </c>
      <c r="S746">
        <f t="shared" si="1002"/>
        <v>-149.09458432589975</v>
      </c>
      <c r="T746">
        <f t="shared" si="1003"/>
        <v>-0.14909458432589975</v>
      </c>
    </row>
    <row r="747" spans="1:20" x14ac:dyDescent="0.25">
      <c r="A747" s="5">
        <v>43846</v>
      </c>
      <c r="B747">
        <v>3.8300000000000001E-2</v>
      </c>
      <c r="C747">
        <v>3.8800000000000001E-2</v>
      </c>
      <c r="D747">
        <v>3.56E-2</v>
      </c>
      <c r="E747">
        <v>3.8100000000000002E-2</v>
      </c>
      <c r="F747">
        <v>9076971.9100000001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0.56250000000000067</v>
      </c>
      <c r="Q747">
        <f t="shared" si="1000"/>
        <v>5105796.6993750064</v>
      </c>
      <c r="R747">
        <f t="shared" si="1001"/>
        <v>-12848079.989539135</v>
      </c>
      <c r="S747">
        <f t="shared" si="1002"/>
        <v>-128.48079989539136</v>
      </c>
      <c r="T747">
        <f t="shared" si="1003"/>
        <v>-0.12848079989539135</v>
      </c>
    </row>
    <row r="748" spans="1:20" x14ac:dyDescent="0.25">
      <c r="A748" s="5">
        <v>43845</v>
      </c>
      <c r="B748">
        <v>3.8600000000000002E-2</v>
      </c>
      <c r="C748">
        <v>3.9399999999999998E-2</v>
      </c>
      <c r="D748">
        <v>3.7900000000000003E-2</v>
      </c>
      <c r="E748">
        <v>3.8199999999999998E-2</v>
      </c>
      <c r="F748">
        <v>3034317.71</v>
      </c>
      <c r="G748">
        <v>0</v>
      </c>
      <c r="L748" t="s">
        <v>7</v>
      </c>
      <c r="M748" t="s">
        <v>7</v>
      </c>
      <c r="N748" t="s">
        <v>7</v>
      </c>
      <c r="P748">
        <f t="shared" si="999"/>
        <v>-0.60000000000000553</v>
      </c>
      <c r="Q748">
        <f t="shared" si="1000"/>
        <v>-1820590.6260000167</v>
      </c>
      <c r="R748">
        <f t="shared" si="1001"/>
        <v>-17953876.688914143</v>
      </c>
      <c r="S748">
        <f t="shared" si="1002"/>
        <v>-179.53876688914141</v>
      </c>
      <c r="T748">
        <f t="shared" si="1003"/>
        <v>-0.17953876688914142</v>
      </c>
    </row>
    <row r="749" spans="1:20" x14ac:dyDescent="0.25">
      <c r="A749" s="5">
        <v>43844</v>
      </c>
      <c r="B749">
        <v>4.0300000000000002E-2</v>
      </c>
      <c r="C749">
        <v>4.0300000000000002E-2</v>
      </c>
      <c r="D749">
        <v>3.6700000000000003E-2</v>
      </c>
      <c r="E749">
        <v>3.8699999999999998E-2</v>
      </c>
      <c r="F749">
        <v>8829128.2200000007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0.11111111111110854</v>
      </c>
      <c r="Q749">
        <f t="shared" si="1000"/>
        <v>981014.246666644</v>
      </c>
      <c r="R749">
        <f t="shared" si="1001"/>
        <v>-16133286.062914126</v>
      </c>
      <c r="S749">
        <f t="shared" si="1002"/>
        <v>-161.33286062914127</v>
      </c>
      <c r="T749">
        <f t="shared" si="1003"/>
        <v>-0.16133286062914126</v>
      </c>
    </row>
    <row r="750" spans="1:20" x14ac:dyDescent="0.25">
      <c r="A750" s="5">
        <v>43843</v>
      </c>
      <c r="B750">
        <v>3.61E-2</v>
      </c>
      <c r="C750">
        <v>4.0599999999999997E-2</v>
      </c>
      <c r="D750">
        <v>3.5299999999999998E-2</v>
      </c>
      <c r="E750">
        <v>4.0099999999999997E-2</v>
      </c>
      <c r="F750">
        <v>7889146.8200000003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0.81132075471698095</v>
      </c>
      <c r="Q750">
        <f t="shared" si="1000"/>
        <v>6400628.5520754708</v>
      </c>
      <c r="R750">
        <f t="shared" si="1001"/>
        <v>-17114300.309580769</v>
      </c>
      <c r="S750">
        <f t="shared" si="1002"/>
        <v>-171.1430030958077</v>
      </c>
      <c r="T750">
        <f t="shared" si="1003"/>
        <v>-0.17114300309580771</v>
      </c>
    </row>
    <row r="751" spans="1:20" x14ac:dyDescent="0.25">
      <c r="A751" s="5">
        <v>43842</v>
      </c>
      <c r="B751">
        <v>3.56E-2</v>
      </c>
      <c r="C751">
        <v>3.7699999999999997E-2</v>
      </c>
      <c r="D751">
        <v>3.5200000000000002E-2</v>
      </c>
      <c r="E751">
        <v>3.61E-2</v>
      </c>
      <c r="F751">
        <v>2042935.38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-0.28000000000000025</v>
      </c>
      <c r="Q751">
        <f t="shared" si="1000"/>
        <v>-572021.90640000044</v>
      </c>
      <c r="R751">
        <f t="shared" si="1001"/>
        <v>-23514928.861656241</v>
      </c>
      <c r="S751">
        <f t="shared" si="1002"/>
        <v>-235.14928861656242</v>
      </c>
      <c r="T751">
        <f t="shared" si="1003"/>
        <v>-0.23514928861656242</v>
      </c>
    </row>
    <row r="752" spans="1:20" x14ac:dyDescent="0.25">
      <c r="A752" s="5">
        <v>43841</v>
      </c>
      <c r="B752">
        <v>3.5299999999999998E-2</v>
      </c>
      <c r="C752">
        <v>3.6700000000000003E-2</v>
      </c>
      <c r="D752">
        <v>3.5200000000000002E-2</v>
      </c>
      <c r="E752">
        <v>3.5499999999999997E-2</v>
      </c>
      <c r="F752">
        <v>1778492.83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-0.60000000000000742</v>
      </c>
      <c r="Q752">
        <f t="shared" si="1000"/>
        <v>-1067095.6980000131</v>
      </c>
      <c r="R752">
        <f t="shared" si="1001"/>
        <v>-22942906.955256242</v>
      </c>
      <c r="S752">
        <f t="shared" si="1002"/>
        <v>-229.42906955256242</v>
      </c>
      <c r="T752">
        <f t="shared" si="1003"/>
        <v>-0.22942906955256243</v>
      </c>
    </row>
    <row r="753" spans="1:20" x14ac:dyDescent="0.25">
      <c r="A753" s="5">
        <v>43840</v>
      </c>
      <c r="B753">
        <v>3.5900000000000001E-2</v>
      </c>
      <c r="C753">
        <v>3.6400000000000002E-2</v>
      </c>
      <c r="D753">
        <v>3.4599999999999999E-2</v>
      </c>
      <c r="E753">
        <v>3.5499999999999997E-2</v>
      </c>
      <c r="F753">
        <v>1636761.7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-3.8549410577262316E-15</v>
      </c>
      <c r="Q753">
        <f t="shared" si="1000"/>
        <v>-6.3096198790437849E-9</v>
      </c>
      <c r="R753">
        <f t="shared" si="1001"/>
        <v>-21875811.257256228</v>
      </c>
      <c r="S753">
        <f t="shared" si="1002"/>
        <v>-218.75811257256228</v>
      </c>
      <c r="T753">
        <f t="shared" si="1003"/>
        <v>-0.21875811257256228</v>
      </c>
    </row>
    <row r="754" spans="1:20" x14ac:dyDescent="0.25">
      <c r="A754" s="5">
        <v>43839</v>
      </c>
      <c r="B754">
        <v>3.6400000000000002E-2</v>
      </c>
      <c r="C754">
        <v>3.7199999999999997E-2</v>
      </c>
      <c r="D754">
        <v>3.56E-2</v>
      </c>
      <c r="E754">
        <v>3.5999999999999997E-2</v>
      </c>
      <c r="F754">
        <v>1692375.08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-0.50000000000000222</v>
      </c>
      <c r="Q754">
        <f t="shared" si="1000"/>
        <v>-846187.54000000376</v>
      </c>
      <c r="R754">
        <f t="shared" si="1001"/>
        <v>-21875811.257256221</v>
      </c>
      <c r="S754">
        <f t="shared" si="1002"/>
        <v>-218.7581125725622</v>
      </c>
      <c r="T754">
        <f t="shared" si="1003"/>
        <v>-0.2187581125725622</v>
      </c>
    </row>
    <row r="755" spans="1:20" x14ac:dyDescent="0.25">
      <c r="A755" s="5">
        <v>43838</v>
      </c>
      <c r="B755">
        <v>3.7999999999999999E-2</v>
      </c>
      <c r="C755">
        <v>3.8300000000000001E-2</v>
      </c>
      <c r="D755">
        <v>3.6400000000000002E-2</v>
      </c>
      <c r="E755">
        <v>3.6400000000000002E-2</v>
      </c>
      <c r="F755">
        <v>3978160.24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-1</v>
      </c>
      <c r="Q755">
        <f t="shared" si="1000"/>
        <v>-3978160.24</v>
      </c>
      <c r="R755">
        <f t="shared" si="1001"/>
        <v>-21029623.717256218</v>
      </c>
      <c r="S755">
        <f t="shared" si="1002"/>
        <v>-210.29623717256217</v>
      </c>
      <c r="T755">
        <f t="shared" si="1003"/>
        <v>-0.21029623717256218</v>
      </c>
    </row>
    <row r="756" spans="1:20" x14ac:dyDescent="0.25">
      <c r="A756" s="5">
        <v>43837</v>
      </c>
      <c r="B756">
        <v>3.9399999999999998E-2</v>
      </c>
      <c r="C756">
        <v>4.0599999999999997E-2</v>
      </c>
      <c r="D756">
        <v>3.7699999999999997E-2</v>
      </c>
      <c r="E756">
        <v>3.7900000000000003E-2</v>
      </c>
      <c r="F756">
        <v>5512294.3200000003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-0.86206896551723744</v>
      </c>
      <c r="Q756">
        <f t="shared" si="1000"/>
        <v>-4751977.8620689437</v>
      </c>
      <c r="R756">
        <f t="shared" si="1001"/>
        <v>-17051463.477256216</v>
      </c>
      <c r="S756">
        <f t="shared" si="1002"/>
        <v>-170.51463477256218</v>
      </c>
      <c r="T756">
        <f t="shared" si="1003"/>
        <v>-0.17051463477256218</v>
      </c>
    </row>
    <row r="757" spans="1:20" x14ac:dyDescent="0.25">
      <c r="A757" s="5">
        <v>43836</v>
      </c>
      <c r="B757">
        <v>3.9899999999999998E-2</v>
      </c>
      <c r="C757">
        <v>4.0399999999999998E-2</v>
      </c>
      <c r="D757">
        <v>3.8600000000000002E-2</v>
      </c>
      <c r="E757">
        <v>3.9E-2</v>
      </c>
      <c r="F757">
        <v>4018447.27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-0.55555555555555725</v>
      </c>
      <c r="Q757">
        <f t="shared" si="1000"/>
        <v>-2232470.7055555624</v>
      </c>
      <c r="R757">
        <f t="shared" si="1001"/>
        <v>-12299485.615187274</v>
      </c>
      <c r="S757">
        <f t="shared" si="1002"/>
        <v>-122.99485615187274</v>
      </c>
      <c r="T757">
        <f t="shared" si="1003"/>
        <v>-0.12299485615187274</v>
      </c>
    </row>
    <row r="758" spans="1:20" x14ac:dyDescent="0.25">
      <c r="A758" s="5">
        <v>43835</v>
      </c>
      <c r="B758">
        <v>3.9399999999999998E-2</v>
      </c>
      <c r="C758">
        <v>4.0800000000000003E-2</v>
      </c>
      <c r="D758">
        <v>3.9100000000000003E-2</v>
      </c>
      <c r="E758">
        <v>3.9600000000000003E-2</v>
      </c>
      <c r="F758">
        <v>1547504.84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-0.41176470588235248</v>
      </c>
      <c r="Q758">
        <f t="shared" si="1000"/>
        <v>-637207.87529411691</v>
      </c>
      <c r="R758">
        <f t="shared" si="1001"/>
        <v>-10067014.909631712</v>
      </c>
      <c r="S758">
        <f t="shared" si="1002"/>
        <v>-100.67014909631712</v>
      </c>
      <c r="T758">
        <f t="shared" si="1003"/>
        <v>-0.10067014909631712</v>
      </c>
    </row>
    <row r="759" spans="1:20" x14ac:dyDescent="0.25">
      <c r="A759" s="5">
        <v>43834</v>
      </c>
      <c r="B759">
        <v>3.9100000000000003E-2</v>
      </c>
      <c r="C759">
        <v>4.1200000000000001E-2</v>
      </c>
      <c r="D759">
        <v>3.8699999999999998E-2</v>
      </c>
      <c r="E759">
        <v>3.9100000000000003E-2</v>
      </c>
      <c r="F759">
        <v>4262337.32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-0.67999999999999672</v>
      </c>
      <c r="Q759">
        <f t="shared" si="1000"/>
        <v>-2898389.3775999863</v>
      </c>
      <c r="R759">
        <f t="shared" si="1001"/>
        <v>-9429807.0343375951</v>
      </c>
      <c r="S759">
        <f t="shared" si="1002"/>
        <v>-94.298070343375954</v>
      </c>
      <c r="T759">
        <f t="shared" si="1003"/>
        <v>-9.429807034337595E-2</v>
      </c>
    </row>
    <row r="760" spans="1:20" x14ac:dyDescent="0.25">
      <c r="A760" s="5">
        <v>43833</v>
      </c>
      <c r="B760">
        <v>3.8399999999999997E-2</v>
      </c>
      <c r="C760">
        <v>4.0099999999999997E-2</v>
      </c>
      <c r="D760">
        <v>3.8199999999999998E-2</v>
      </c>
      <c r="E760">
        <v>3.9E-2</v>
      </c>
      <c r="F760">
        <v>5713995.2400000002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-0.15789473684210256</v>
      </c>
      <c r="Q760">
        <f t="shared" si="1000"/>
        <v>-902209.77473682666</v>
      </c>
      <c r="R760">
        <f t="shared" si="1001"/>
        <v>-6531417.6567376088</v>
      </c>
      <c r="S760">
        <f t="shared" si="1002"/>
        <v>-65.314176567376094</v>
      </c>
      <c r="T760">
        <f t="shared" si="1003"/>
        <v>-6.5314176567376092E-2</v>
      </c>
    </row>
    <row r="761" spans="1:20" x14ac:dyDescent="0.25">
      <c r="A761" s="5">
        <v>43832</v>
      </c>
      <c r="B761">
        <v>4.2599999999999999E-2</v>
      </c>
      <c r="C761">
        <v>4.2599999999999999E-2</v>
      </c>
      <c r="D761">
        <v>3.7499999999999999E-2</v>
      </c>
      <c r="E761">
        <v>3.85E-2</v>
      </c>
      <c r="F761">
        <v>5174460.74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-0.60784313725490169</v>
      </c>
      <c r="Q761">
        <f t="shared" si="1000"/>
        <v>-3145260.4498039205</v>
      </c>
      <c r="R761">
        <f t="shared" si="1001"/>
        <v>-5629207.8820007825</v>
      </c>
      <c r="S761">
        <f t="shared" si="1002"/>
        <v>-56.292078820007823</v>
      </c>
      <c r="T761">
        <f t="shared" si="1003"/>
        <v>-5.6292078820007821E-2</v>
      </c>
    </row>
    <row r="762" spans="1:20" x14ac:dyDescent="0.25">
      <c r="A762" s="5">
        <v>43831</v>
      </c>
      <c r="B762">
        <v>4.3099999999999999E-2</v>
      </c>
      <c r="C762">
        <v>4.3200000000000002E-2</v>
      </c>
      <c r="D762">
        <v>4.1000000000000002E-2</v>
      </c>
      <c r="E762">
        <v>4.2599999999999999E-2</v>
      </c>
      <c r="F762">
        <v>2275971.33</v>
      </c>
      <c r="G762">
        <v>0</v>
      </c>
      <c r="P762">
        <f t="shared" si="999"/>
        <v>0.4545454545454517</v>
      </c>
      <c r="Q762">
        <f t="shared" si="1000"/>
        <v>1034532.4227272663</v>
      </c>
      <c r="R762">
        <f>R764+Q762</f>
        <v>-2483947.4321968621</v>
      </c>
      <c r="S762">
        <f t="shared" si="1002"/>
        <v>-24.83947432196862</v>
      </c>
      <c r="T762">
        <f t="shared" si="1003"/>
        <v>-2.4839474321968619E-2</v>
      </c>
    </row>
    <row r="763" spans="1:20" x14ac:dyDescent="0.25">
      <c r="A763" s="5"/>
      <c r="C763"/>
      <c r="D763"/>
    </row>
    <row r="764" spans="1:20" x14ac:dyDescent="0.25">
      <c r="A764" s="5">
        <v>43830</v>
      </c>
      <c r="B764">
        <v>4.3799999999999999E-2</v>
      </c>
      <c r="C764">
        <v>4.5699999999999998E-2</v>
      </c>
      <c r="D764">
        <v>4.2999999999999997E-2</v>
      </c>
      <c r="E764">
        <v>4.3400000000000001E-2</v>
      </c>
      <c r="F764">
        <v>4090969.86</v>
      </c>
      <c r="G764">
        <v>0</v>
      </c>
      <c r="P764">
        <f t="shared" si="999"/>
        <v>-0.7037037037037005</v>
      </c>
      <c r="Q764">
        <f t="shared" si="1000"/>
        <v>-2878830.6422222089</v>
      </c>
      <c r="R764">
        <f t="shared" si="1001"/>
        <v>-3518479.8549241284</v>
      </c>
      <c r="S764">
        <f t="shared" si="1002"/>
        <v>-35.184798549241286</v>
      </c>
      <c r="T764">
        <f t="shared" si="1003"/>
        <v>-3.5184798549241288E-2</v>
      </c>
    </row>
    <row r="765" spans="1:20" x14ac:dyDescent="0.25">
      <c r="A765" s="5">
        <v>43829</v>
      </c>
      <c r="B765">
        <v>4.4900000000000002E-2</v>
      </c>
      <c r="C765">
        <v>4.5499999999999999E-2</v>
      </c>
      <c r="D765">
        <v>4.2299999999999997E-2</v>
      </c>
      <c r="E765">
        <v>4.3799999999999999E-2</v>
      </c>
      <c r="F765">
        <v>5121897.25</v>
      </c>
      <c r="G765">
        <v>0</v>
      </c>
      <c r="P765">
        <f t="shared" si="999"/>
        <v>-6.2499999999999591E-2</v>
      </c>
      <c r="Q765">
        <f t="shared" si="1000"/>
        <v>-320118.5781249979</v>
      </c>
      <c r="R765">
        <f t="shared" si="1001"/>
        <v>-639649.21270191972</v>
      </c>
      <c r="S765">
        <f t="shared" si="1002"/>
        <v>-6.3964921270191972</v>
      </c>
      <c r="T765">
        <f t="shared" si="1003"/>
        <v>-6.3964921270191974E-3</v>
      </c>
    </row>
    <row r="766" spans="1:20" x14ac:dyDescent="0.25">
      <c r="A766" s="5">
        <v>43828</v>
      </c>
      <c r="B766">
        <v>4.7300000000000002E-2</v>
      </c>
      <c r="C766">
        <v>4.82E-2</v>
      </c>
      <c r="D766">
        <v>4.4200000000000003E-2</v>
      </c>
      <c r="E766">
        <v>4.4900000000000002E-2</v>
      </c>
      <c r="F766">
        <v>4537249.71</v>
      </c>
      <c r="G766">
        <v>0</v>
      </c>
      <c r="P766">
        <f t="shared" si="999"/>
        <v>-0.65000000000000013</v>
      </c>
      <c r="Q766">
        <f t="shared" si="1000"/>
        <v>-2949212.3115000008</v>
      </c>
      <c r="R766">
        <f t="shared" si="1001"/>
        <v>-319530.63457692182</v>
      </c>
      <c r="S766">
        <f t="shared" si="1002"/>
        <v>-3.1953063457692181</v>
      </c>
      <c r="T766">
        <f t="shared" si="1003"/>
        <v>-3.1953063457692181E-3</v>
      </c>
    </row>
    <row r="767" spans="1:20" x14ac:dyDescent="0.25">
      <c r="A767" s="5">
        <v>43827</v>
      </c>
      <c r="B767">
        <v>4.6899999999999997E-2</v>
      </c>
      <c r="C767">
        <v>4.8500000000000001E-2</v>
      </c>
      <c r="D767">
        <v>4.4600000000000001E-2</v>
      </c>
      <c r="E767">
        <v>4.7300000000000002E-2</v>
      </c>
      <c r="F767">
        <v>6837172.3600000003</v>
      </c>
      <c r="G767">
        <v>0</v>
      </c>
      <c r="P767">
        <f t="shared" si="999"/>
        <v>0.38461538461538491</v>
      </c>
      <c r="Q767">
        <f t="shared" si="1000"/>
        <v>2629681.676923079</v>
      </c>
      <c r="R767">
        <f t="shared" si="1001"/>
        <v>2629681.676923079</v>
      </c>
      <c r="S767">
        <f t="shared" si="1002"/>
        <v>26.296816769230791</v>
      </c>
      <c r="T767">
        <f t="shared" si="1003"/>
        <v>2.6296816769230791E-2</v>
      </c>
    </row>
    <row r="768" spans="1:20" x14ac:dyDescent="0.25">
      <c r="A768" s="5">
        <v>43826</v>
      </c>
      <c r="B768">
        <v>4.53E-2</v>
      </c>
      <c r="C768">
        <v>4.9000000000000002E-2</v>
      </c>
      <c r="D768">
        <v>4.4600000000000001E-2</v>
      </c>
      <c r="E768">
        <v>4.7E-2</v>
      </c>
      <c r="F768">
        <v>8715503.0199999996</v>
      </c>
      <c r="G768">
        <v>0</v>
      </c>
    </row>
    <row r="769" spans="1:7" x14ac:dyDescent="0.25">
      <c r="A769" s="5">
        <v>43825</v>
      </c>
      <c r="B769">
        <v>4.2299999999999997E-2</v>
      </c>
      <c r="C769">
        <v>4.7399999999999998E-2</v>
      </c>
      <c r="D769">
        <v>4.2200000000000001E-2</v>
      </c>
      <c r="E769">
        <v>4.4999999999999998E-2</v>
      </c>
      <c r="F769">
        <v>8328406.5999999996</v>
      </c>
      <c r="G769">
        <v>0</v>
      </c>
    </row>
    <row r="770" spans="1:7" x14ac:dyDescent="0.25">
      <c r="A770" s="5">
        <v>43824</v>
      </c>
      <c r="B770">
        <v>4.4900000000000002E-2</v>
      </c>
      <c r="C770">
        <v>4.4900000000000002E-2</v>
      </c>
      <c r="D770">
        <v>4.0099999999999997E-2</v>
      </c>
      <c r="E770">
        <v>4.2299999999999997E-2</v>
      </c>
      <c r="F770">
        <v>5145560.41</v>
      </c>
      <c r="G770">
        <v>0</v>
      </c>
    </row>
    <row r="771" spans="1:7" x14ac:dyDescent="0.25">
      <c r="A771" s="5">
        <v>43823</v>
      </c>
      <c r="B771">
        <v>4.0500000000000001E-2</v>
      </c>
      <c r="C771">
        <v>4.7300000000000002E-2</v>
      </c>
      <c r="D771">
        <v>4.0399999999999998E-2</v>
      </c>
      <c r="E771">
        <v>4.4900000000000002E-2</v>
      </c>
      <c r="F771">
        <v>8526092.1400000006</v>
      </c>
      <c r="G771">
        <v>0</v>
      </c>
    </row>
    <row r="772" spans="1:7" x14ac:dyDescent="0.25">
      <c r="A772" s="5">
        <v>43822</v>
      </c>
      <c r="B772">
        <v>4.0500000000000001E-2</v>
      </c>
      <c r="C772">
        <v>4.3200000000000002E-2</v>
      </c>
      <c r="D772">
        <v>3.9699999999999999E-2</v>
      </c>
      <c r="E772">
        <v>4.0300000000000002E-2</v>
      </c>
      <c r="F772">
        <v>2992609.17</v>
      </c>
      <c r="G772">
        <v>0</v>
      </c>
    </row>
    <row r="773" spans="1:7" x14ac:dyDescent="0.25">
      <c r="A773" s="5">
        <v>43821</v>
      </c>
      <c r="B773">
        <v>4.2200000000000001E-2</v>
      </c>
      <c r="C773">
        <v>4.24E-2</v>
      </c>
      <c r="D773">
        <v>3.8300000000000001E-2</v>
      </c>
      <c r="E773">
        <v>4.0500000000000001E-2</v>
      </c>
      <c r="F773">
        <v>5481863.2800000003</v>
      </c>
      <c r="G773">
        <v>0</v>
      </c>
    </row>
    <row r="774" spans="1:7" x14ac:dyDescent="0.25">
      <c r="A774" s="5">
        <v>43820</v>
      </c>
      <c r="B774">
        <v>4.1099999999999998E-2</v>
      </c>
      <c r="C774">
        <v>4.3799999999999999E-2</v>
      </c>
      <c r="D774">
        <v>3.9600000000000003E-2</v>
      </c>
      <c r="E774">
        <v>4.2000000000000003E-2</v>
      </c>
      <c r="F774">
        <v>5261706.5599999996</v>
      </c>
      <c r="G774">
        <v>0</v>
      </c>
    </row>
    <row r="775" spans="1:7" x14ac:dyDescent="0.25">
      <c r="A775" s="5">
        <v>43819</v>
      </c>
      <c r="B775">
        <v>4.2999999999999997E-2</v>
      </c>
      <c r="C775">
        <v>4.4200000000000003E-2</v>
      </c>
      <c r="D775">
        <v>4.07E-2</v>
      </c>
      <c r="E775">
        <v>4.1399999999999999E-2</v>
      </c>
      <c r="F775">
        <v>6685195.1600000001</v>
      </c>
      <c r="G775">
        <v>0</v>
      </c>
    </row>
    <row r="776" spans="1:7" x14ac:dyDescent="0.25">
      <c r="A776" s="5">
        <v>43818</v>
      </c>
      <c r="B776">
        <v>3.73E-2</v>
      </c>
      <c r="C776">
        <v>4.48E-2</v>
      </c>
      <c r="D776">
        <v>3.6299999999999999E-2</v>
      </c>
      <c r="E776">
        <v>4.2999999999999997E-2</v>
      </c>
      <c r="F776">
        <v>7545103.4199999999</v>
      </c>
      <c r="G776">
        <v>0</v>
      </c>
    </row>
    <row r="777" spans="1:7" x14ac:dyDescent="0.25">
      <c r="A777" s="5">
        <v>43817</v>
      </c>
      <c r="B777">
        <v>3.3500000000000002E-2</v>
      </c>
      <c r="C777">
        <v>3.9E-2</v>
      </c>
      <c r="D777">
        <v>3.1600000000000003E-2</v>
      </c>
      <c r="E777">
        <v>3.6799999999999999E-2</v>
      </c>
      <c r="F777">
        <v>4692989.0999999996</v>
      </c>
      <c r="G777">
        <v>0</v>
      </c>
    </row>
    <row r="778" spans="1:7" x14ac:dyDescent="0.25">
      <c r="A778" s="5">
        <v>43816</v>
      </c>
      <c r="B778">
        <v>3.7999999999999999E-2</v>
      </c>
      <c r="C778">
        <v>3.7999999999999999E-2</v>
      </c>
      <c r="D778">
        <v>3.2800000000000003E-2</v>
      </c>
      <c r="E778">
        <v>3.3500000000000002E-2</v>
      </c>
      <c r="F778">
        <v>2620098.81</v>
      </c>
      <c r="G778">
        <v>0</v>
      </c>
    </row>
    <row r="779" spans="1:7" x14ac:dyDescent="0.25">
      <c r="A779" s="5">
        <v>43815</v>
      </c>
      <c r="B779">
        <v>4.1799999999999997E-2</v>
      </c>
      <c r="C779">
        <v>4.1799999999999997E-2</v>
      </c>
      <c r="D779">
        <v>3.73E-2</v>
      </c>
      <c r="E779">
        <v>3.7999999999999999E-2</v>
      </c>
      <c r="F779">
        <v>3548974</v>
      </c>
      <c r="G779">
        <v>0</v>
      </c>
    </row>
    <row r="780" spans="1:7" x14ac:dyDescent="0.25">
      <c r="A780" s="5">
        <v>43814</v>
      </c>
      <c r="B780">
        <v>4.0500000000000001E-2</v>
      </c>
      <c r="C780">
        <v>4.2900000000000001E-2</v>
      </c>
      <c r="D780">
        <v>0.04</v>
      </c>
      <c r="E780">
        <v>4.1700000000000001E-2</v>
      </c>
      <c r="F780">
        <v>1305722.68</v>
      </c>
      <c r="G780">
        <v>0</v>
      </c>
    </row>
    <row r="781" spans="1:7" x14ac:dyDescent="0.25">
      <c r="A781" s="5">
        <v>43813</v>
      </c>
      <c r="B781">
        <v>4.2799999999999998E-2</v>
      </c>
      <c r="C781">
        <v>4.3799999999999999E-2</v>
      </c>
      <c r="D781">
        <v>3.9800000000000002E-2</v>
      </c>
      <c r="E781">
        <v>4.07E-2</v>
      </c>
      <c r="F781">
        <v>2723085.67</v>
      </c>
      <c r="G781">
        <v>0</v>
      </c>
    </row>
    <row r="782" spans="1:7" x14ac:dyDescent="0.25">
      <c r="A782" s="5">
        <v>43812</v>
      </c>
      <c r="B782">
        <v>4.2599999999999999E-2</v>
      </c>
      <c r="C782">
        <v>4.5199999999999997E-2</v>
      </c>
      <c r="D782">
        <v>4.24E-2</v>
      </c>
      <c r="E782">
        <v>4.2700000000000002E-2</v>
      </c>
      <c r="F782">
        <v>2255267.91</v>
      </c>
      <c r="G782">
        <v>0</v>
      </c>
    </row>
    <row r="783" spans="1:7" x14ac:dyDescent="0.25">
      <c r="A783" s="5">
        <v>43811</v>
      </c>
      <c r="B783">
        <v>4.6100000000000002E-2</v>
      </c>
      <c r="C783">
        <v>4.6300000000000001E-2</v>
      </c>
      <c r="D783">
        <v>4.1200000000000001E-2</v>
      </c>
      <c r="E783">
        <v>4.2700000000000002E-2</v>
      </c>
      <c r="F783">
        <v>5069147.82</v>
      </c>
      <c r="G783">
        <v>0</v>
      </c>
    </row>
    <row r="784" spans="1:7" x14ac:dyDescent="0.25">
      <c r="A784" s="5">
        <v>43810</v>
      </c>
      <c r="B784">
        <v>4.4999999999999998E-2</v>
      </c>
      <c r="C784">
        <v>4.82E-2</v>
      </c>
      <c r="D784">
        <v>4.3900000000000002E-2</v>
      </c>
      <c r="E784">
        <v>4.58E-2</v>
      </c>
      <c r="F784">
        <v>4394633.6100000003</v>
      </c>
      <c r="G784">
        <v>0</v>
      </c>
    </row>
    <row r="785" spans="1:7" x14ac:dyDescent="0.25">
      <c r="A785" s="5">
        <v>43809</v>
      </c>
      <c r="B785">
        <v>5.0999999999999997E-2</v>
      </c>
      <c r="C785">
        <v>5.1200000000000002E-2</v>
      </c>
      <c r="D785">
        <v>4.2900000000000001E-2</v>
      </c>
      <c r="E785">
        <v>4.48E-2</v>
      </c>
      <c r="F785">
        <v>9872367.1300000008</v>
      </c>
      <c r="G785">
        <v>0</v>
      </c>
    </row>
    <row r="786" spans="1:7" x14ac:dyDescent="0.25">
      <c r="A786" s="5">
        <v>43808</v>
      </c>
      <c r="B786">
        <v>5.3999999999999999E-2</v>
      </c>
      <c r="C786">
        <v>0.06</v>
      </c>
      <c r="D786">
        <v>5.0799999999999998E-2</v>
      </c>
      <c r="E786">
        <v>5.0799999999999998E-2</v>
      </c>
      <c r="F786">
        <v>8926549.3200000003</v>
      </c>
      <c r="G786">
        <v>0</v>
      </c>
    </row>
    <row r="787" spans="1:7" x14ac:dyDescent="0.25">
      <c r="A787" s="5">
        <v>43807</v>
      </c>
      <c r="B787">
        <v>5.4199999999999998E-2</v>
      </c>
      <c r="C787">
        <v>5.5800000000000002E-2</v>
      </c>
      <c r="D787">
        <v>5.16E-2</v>
      </c>
      <c r="E787">
        <v>5.3800000000000001E-2</v>
      </c>
      <c r="F787">
        <v>3727994.6</v>
      </c>
      <c r="G787">
        <v>0</v>
      </c>
    </row>
    <row r="788" spans="1:7" x14ac:dyDescent="0.25">
      <c r="A788" s="5">
        <v>43806</v>
      </c>
      <c r="B788">
        <v>5.7299999999999997E-2</v>
      </c>
      <c r="C788">
        <v>6.0600000000000001E-2</v>
      </c>
      <c r="D788">
        <v>5.2600000000000001E-2</v>
      </c>
      <c r="E788">
        <v>5.4199999999999998E-2</v>
      </c>
      <c r="F788">
        <v>7055462.1299999999</v>
      </c>
      <c r="G788">
        <v>0</v>
      </c>
    </row>
    <row r="789" spans="1:7" x14ac:dyDescent="0.25">
      <c r="A789" s="5">
        <v>43805</v>
      </c>
      <c r="B789">
        <v>5.04E-2</v>
      </c>
      <c r="C789">
        <v>5.9900000000000002E-2</v>
      </c>
      <c r="D789">
        <v>4.87E-2</v>
      </c>
      <c r="E789">
        <v>5.7299999999999997E-2</v>
      </c>
      <c r="F789">
        <v>11745363.67</v>
      </c>
      <c r="G789">
        <v>0</v>
      </c>
    </row>
    <row r="790" spans="1:7" x14ac:dyDescent="0.25">
      <c r="A790" s="5">
        <v>43804</v>
      </c>
      <c r="B790">
        <v>4.2999999999999997E-2</v>
      </c>
      <c r="C790">
        <v>5.1799999999999999E-2</v>
      </c>
      <c r="D790">
        <v>4.1799999999999997E-2</v>
      </c>
      <c r="E790">
        <v>5.04E-2</v>
      </c>
      <c r="F790">
        <v>8911299.9100000001</v>
      </c>
      <c r="G790">
        <v>0</v>
      </c>
    </row>
    <row r="791" spans="1:7" x14ac:dyDescent="0.25">
      <c r="A791" s="5">
        <v>43803</v>
      </c>
      <c r="B791">
        <v>4.1300000000000003E-2</v>
      </c>
      <c r="C791">
        <v>4.8099999999999997E-2</v>
      </c>
      <c r="D791">
        <v>3.8899999999999997E-2</v>
      </c>
      <c r="E791">
        <v>4.3099999999999999E-2</v>
      </c>
      <c r="F791">
        <v>7601747.9100000001</v>
      </c>
      <c r="G791">
        <v>0</v>
      </c>
    </row>
    <row r="792" spans="1:7" x14ac:dyDescent="0.25">
      <c r="A792" s="5">
        <v>43802</v>
      </c>
      <c r="B792">
        <v>4.02E-2</v>
      </c>
      <c r="C792">
        <v>4.3099999999999999E-2</v>
      </c>
      <c r="D792">
        <v>4.02E-2</v>
      </c>
      <c r="E792">
        <v>4.1500000000000002E-2</v>
      </c>
      <c r="F792">
        <v>4142932.42</v>
      </c>
      <c r="G792">
        <v>0</v>
      </c>
    </row>
    <row r="793" spans="1:7" x14ac:dyDescent="0.25">
      <c r="A793" s="5">
        <v>43801</v>
      </c>
      <c r="B793">
        <v>4.2000000000000003E-2</v>
      </c>
      <c r="C793">
        <v>4.2099999999999999E-2</v>
      </c>
      <c r="D793">
        <v>3.95E-2</v>
      </c>
      <c r="E793">
        <v>0.04</v>
      </c>
      <c r="F793">
        <v>4497074.9800000004</v>
      </c>
      <c r="G793">
        <v>0</v>
      </c>
    </row>
    <row r="794" spans="1:7" x14ac:dyDescent="0.25">
      <c r="A794" s="5">
        <v>43800</v>
      </c>
      <c r="B794">
        <v>4.48E-2</v>
      </c>
      <c r="C794">
        <v>4.48E-2</v>
      </c>
      <c r="D794">
        <v>4.1300000000000003E-2</v>
      </c>
      <c r="E794">
        <v>4.1799999999999997E-2</v>
      </c>
      <c r="F794">
        <v>5612282</v>
      </c>
      <c r="G794">
        <v>0</v>
      </c>
    </row>
    <row r="795" spans="1:7" x14ac:dyDescent="0.25">
      <c r="A795" s="5">
        <v>43799</v>
      </c>
      <c r="B795">
        <v>4.1799999999999997E-2</v>
      </c>
      <c r="C795">
        <v>4.7800000000000002E-2</v>
      </c>
      <c r="D795">
        <v>4.1200000000000001E-2</v>
      </c>
      <c r="E795">
        <v>4.48E-2</v>
      </c>
      <c r="F795">
        <v>7518499.3799999999</v>
      </c>
      <c r="G795">
        <v>0</v>
      </c>
    </row>
    <row r="796" spans="1:7" x14ac:dyDescent="0.25">
      <c r="A796" s="5">
        <v>43798</v>
      </c>
      <c r="B796">
        <v>4.02E-2</v>
      </c>
      <c r="C796">
        <v>4.4400000000000002E-2</v>
      </c>
      <c r="D796">
        <v>3.9800000000000002E-2</v>
      </c>
      <c r="E796">
        <v>4.19E-2</v>
      </c>
      <c r="F796">
        <v>2598604.25</v>
      </c>
      <c r="G796">
        <v>0</v>
      </c>
    </row>
    <row r="797" spans="1:7" x14ac:dyDescent="0.25">
      <c r="A797" s="5">
        <v>43797</v>
      </c>
      <c r="B797">
        <v>4.0399999999999998E-2</v>
      </c>
      <c r="C797">
        <v>4.2999999999999997E-2</v>
      </c>
      <c r="D797">
        <v>3.9E-2</v>
      </c>
      <c r="E797">
        <v>4.0099999999999997E-2</v>
      </c>
      <c r="F797">
        <v>3887264.2</v>
      </c>
      <c r="G797">
        <v>0</v>
      </c>
    </row>
    <row r="798" spans="1:7" x14ac:dyDescent="0.25">
      <c r="A798" s="5">
        <v>43796</v>
      </c>
      <c r="B798">
        <v>4.0099999999999997E-2</v>
      </c>
      <c r="C798">
        <v>4.1300000000000003E-2</v>
      </c>
      <c r="D798">
        <v>3.5999999999999997E-2</v>
      </c>
      <c r="E798">
        <v>4.02E-2</v>
      </c>
      <c r="F798">
        <v>5444909.6399999997</v>
      </c>
      <c r="G798">
        <v>0</v>
      </c>
    </row>
    <row r="799" spans="1:7" x14ac:dyDescent="0.25">
      <c r="A799" s="5">
        <v>43795</v>
      </c>
      <c r="B799">
        <v>3.44E-2</v>
      </c>
      <c r="C799">
        <v>4.6600000000000003E-2</v>
      </c>
      <c r="D799">
        <v>3.44E-2</v>
      </c>
      <c r="E799">
        <v>4.0099999999999997E-2</v>
      </c>
      <c r="F799">
        <v>8423141.4800000004</v>
      </c>
      <c r="G799">
        <v>0</v>
      </c>
    </row>
    <row r="800" spans="1:7" x14ac:dyDescent="0.25">
      <c r="A800" s="5">
        <v>43794</v>
      </c>
      <c r="B800">
        <v>3.5099999999999999E-2</v>
      </c>
      <c r="C800">
        <v>3.5799999999999998E-2</v>
      </c>
      <c r="D800">
        <v>3.1199999999999999E-2</v>
      </c>
      <c r="E800">
        <v>3.4500000000000003E-2</v>
      </c>
      <c r="F800">
        <v>4587144.09</v>
      </c>
      <c r="G800">
        <v>0</v>
      </c>
    </row>
    <row r="801" spans="1:7" x14ac:dyDescent="0.25">
      <c r="A801" s="5">
        <v>43793</v>
      </c>
      <c r="B801">
        <v>3.9100000000000003E-2</v>
      </c>
      <c r="C801">
        <v>3.9100000000000003E-2</v>
      </c>
      <c r="D801">
        <v>3.4799999999999998E-2</v>
      </c>
      <c r="E801">
        <v>3.49E-2</v>
      </c>
      <c r="F801">
        <v>2797103.58</v>
      </c>
      <c r="G801">
        <v>0</v>
      </c>
    </row>
    <row r="802" spans="1:7" x14ac:dyDescent="0.25">
      <c r="A802" s="5">
        <v>43792</v>
      </c>
      <c r="B802">
        <v>3.8199999999999998E-2</v>
      </c>
      <c r="C802">
        <v>3.9399999999999998E-2</v>
      </c>
      <c r="D802">
        <v>3.6700000000000003E-2</v>
      </c>
      <c r="E802">
        <v>3.9100000000000003E-2</v>
      </c>
      <c r="F802">
        <v>1610341.06</v>
      </c>
      <c r="G802">
        <v>0</v>
      </c>
    </row>
    <row r="803" spans="1:7" x14ac:dyDescent="0.25">
      <c r="A803" s="5">
        <v>43791</v>
      </c>
      <c r="B803">
        <v>4.2599999999999999E-2</v>
      </c>
      <c r="C803">
        <v>4.3900000000000002E-2</v>
      </c>
      <c r="D803">
        <v>3.4599999999999999E-2</v>
      </c>
      <c r="E803">
        <v>3.78E-2</v>
      </c>
      <c r="F803">
        <v>5579563.1100000003</v>
      </c>
      <c r="G803">
        <v>0</v>
      </c>
    </row>
    <row r="804" spans="1:7" x14ac:dyDescent="0.25">
      <c r="A804" s="5">
        <v>43790</v>
      </c>
      <c r="B804">
        <v>4.7899999999999998E-2</v>
      </c>
      <c r="C804">
        <v>4.8399999999999999E-2</v>
      </c>
      <c r="D804">
        <v>4.0099999999999997E-2</v>
      </c>
      <c r="E804">
        <v>4.2200000000000001E-2</v>
      </c>
      <c r="F804">
        <v>4068851.36</v>
      </c>
      <c r="G804">
        <v>0</v>
      </c>
    </row>
    <row r="805" spans="1:7" x14ac:dyDescent="0.25">
      <c r="A805" s="5">
        <v>43789</v>
      </c>
      <c r="B805">
        <v>4.7899999999999998E-2</v>
      </c>
      <c r="C805">
        <v>4.9500000000000002E-2</v>
      </c>
      <c r="D805">
        <v>4.6899999999999997E-2</v>
      </c>
      <c r="E805">
        <v>4.7699999999999999E-2</v>
      </c>
      <c r="F805">
        <v>882622.02</v>
      </c>
      <c r="G805">
        <v>0</v>
      </c>
    </row>
    <row r="806" spans="1:7" x14ac:dyDescent="0.25">
      <c r="A806" s="5">
        <v>43788</v>
      </c>
      <c r="B806">
        <v>0.05</v>
      </c>
      <c r="C806">
        <v>0.05</v>
      </c>
      <c r="D806">
        <v>4.6100000000000002E-2</v>
      </c>
      <c r="E806">
        <v>4.8000000000000001E-2</v>
      </c>
      <c r="F806">
        <v>1916171.34</v>
      </c>
      <c r="G806">
        <v>0</v>
      </c>
    </row>
    <row r="807" spans="1:7" x14ac:dyDescent="0.25">
      <c r="A807" s="5">
        <v>43787</v>
      </c>
      <c r="B807">
        <v>5.2200000000000003E-2</v>
      </c>
      <c r="C807">
        <v>5.2999999999999999E-2</v>
      </c>
      <c r="D807">
        <v>4.9399999999999999E-2</v>
      </c>
      <c r="E807">
        <v>0.05</v>
      </c>
      <c r="F807">
        <v>1750975.79</v>
      </c>
      <c r="G807">
        <v>0</v>
      </c>
    </row>
    <row r="808" spans="1:7" x14ac:dyDescent="0.25">
      <c r="A808" s="5">
        <v>43786</v>
      </c>
      <c r="B808">
        <v>5.2600000000000001E-2</v>
      </c>
      <c r="C808">
        <v>5.3199999999999997E-2</v>
      </c>
      <c r="D808">
        <v>5.1900000000000002E-2</v>
      </c>
      <c r="E808">
        <v>5.2400000000000002E-2</v>
      </c>
      <c r="F808">
        <v>1109915.0900000001</v>
      </c>
      <c r="G808">
        <v>0</v>
      </c>
    </row>
    <row r="809" spans="1:7" x14ac:dyDescent="0.25">
      <c r="A809" s="5">
        <v>43785</v>
      </c>
      <c r="B809">
        <v>5.16E-2</v>
      </c>
      <c r="C809">
        <v>5.4899999999999997E-2</v>
      </c>
      <c r="D809">
        <v>5.1299999999999998E-2</v>
      </c>
      <c r="E809">
        <v>5.2499999999999998E-2</v>
      </c>
      <c r="F809">
        <v>1424983.35</v>
      </c>
      <c r="G809">
        <v>0</v>
      </c>
    </row>
    <row r="810" spans="1:7" x14ac:dyDescent="0.25">
      <c r="A810" s="5">
        <v>43784</v>
      </c>
      <c r="B810">
        <v>5.2900000000000003E-2</v>
      </c>
      <c r="C810">
        <v>5.3499999999999999E-2</v>
      </c>
      <c r="D810">
        <v>5.0700000000000002E-2</v>
      </c>
      <c r="E810">
        <v>5.1799999999999999E-2</v>
      </c>
      <c r="F810">
        <v>1736676.54</v>
      </c>
      <c r="G810">
        <v>0</v>
      </c>
    </row>
    <row r="811" spans="1:7" x14ac:dyDescent="0.25">
      <c r="A811" s="5">
        <v>43783</v>
      </c>
      <c r="B811">
        <v>5.4399999999999997E-2</v>
      </c>
      <c r="C811">
        <v>5.5E-2</v>
      </c>
      <c r="D811">
        <v>5.2200000000000003E-2</v>
      </c>
      <c r="E811">
        <v>5.2499999999999998E-2</v>
      </c>
      <c r="F811">
        <v>1632628.06</v>
      </c>
      <c r="G811">
        <v>0</v>
      </c>
    </row>
    <row r="812" spans="1:7" x14ac:dyDescent="0.25">
      <c r="A812" s="5">
        <v>43782</v>
      </c>
      <c r="B812">
        <v>5.2999999999999999E-2</v>
      </c>
      <c r="C812">
        <v>5.5500000000000001E-2</v>
      </c>
      <c r="D812">
        <v>5.1400000000000001E-2</v>
      </c>
      <c r="E812">
        <v>5.4300000000000001E-2</v>
      </c>
      <c r="F812">
        <v>2579414.73</v>
      </c>
      <c r="G812">
        <v>0</v>
      </c>
    </row>
    <row r="813" spans="1:7" x14ac:dyDescent="0.25">
      <c r="A813" s="5">
        <v>43781</v>
      </c>
      <c r="B813">
        <v>5.4399999999999997E-2</v>
      </c>
      <c r="C813">
        <v>5.5E-2</v>
      </c>
      <c r="D813">
        <v>5.2400000000000002E-2</v>
      </c>
      <c r="E813">
        <v>5.2699999999999997E-2</v>
      </c>
      <c r="F813">
        <v>2190870.67</v>
      </c>
      <c r="G813">
        <v>0</v>
      </c>
    </row>
    <row r="814" spans="1:7" x14ac:dyDescent="0.25">
      <c r="A814" s="5">
        <v>43780</v>
      </c>
      <c r="B814">
        <v>5.6000000000000001E-2</v>
      </c>
      <c r="C814">
        <v>5.6099999999999997E-2</v>
      </c>
      <c r="D814">
        <v>5.2900000000000003E-2</v>
      </c>
      <c r="E814">
        <v>5.3999999999999999E-2</v>
      </c>
      <c r="F814">
        <v>3815550.87</v>
      </c>
      <c r="G814">
        <v>0</v>
      </c>
    </row>
    <row r="815" spans="1:7" x14ac:dyDescent="0.25">
      <c r="A815" s="5">
        <v>43779</v>
      </c>
      <c r="B815">
        <v>5.4100000000000002E-2</v>
      </c>
      <c r="C815">
        <v>5.7299999999999997E-2</v>
      </c>
      <c r="D815">
        <v>5.4100000000000002E-2</v>
      </c>
      <c r="E815">
        <v>5.57E-2</v>
      </c>
      <c r="F815">
        <v>2619476.12</v>
      </c>
      <c r="G815">
        <v>0</v>
      </c>
    </row>
    <row r="816" spans="1:7" x14ac:dyDescent="0.25">
      <c r="A816" s="5">
        <v>43778</v>
      </c>
      <c r="B816">
        <v>5.4100000000000002E-2</v>
      </c>
      <c r="C816">
        <v>5.5399999999999998E-2</v>
      </c>
      <c r="D816">
        <v>5.3600000000000002E-2</v>
      </c>
      <c r="E816">
        <v>5.4100000000000002E-2</v>
      </c>
      <c r="F816">
        <v>636414.18000000005</v>
      </c>
      <c r="G816">
        <v>0</v>
      </c>
    </row>
    <row r="817" spans="1:7" x14ac:dyDescent="0.25">
      <c r="A817" s="5">
        <v>43777</v>
      </c>
      <c r="B817">
        <v>5.6300000000000003E-2</v>
      </c>
      <c r="C817">
        <v>5.7299999999999997E-2</v>
      </c>
      <c r="D817">
        <v>5.2699999999999997E-2</v>
      </c>
      <c r="E817">
        <v>5.4100000000000002E-2</v>
      </c>
      <c r="F817">
        <v>2183242.89</v>
      </c>
      <c r="G817">
        <v>0</v>
      </c>
    </row>
    <row r="818" spans="1:7" x14ac:dyDescent="0.25">
      <c r="A818" s="5">
        <v>43776</v>
      </c>
      <c r="B818">
        <v>5.8400000000000001E-2</v>
      </c>
      <c r="C818">
        <v>5.8599999999999999E-2</v>
      </c>
      <c r="D818">
        <v>5.57E-2</v>
      </c>
      <c r="E818">
        <v>5.6000000000000001E-2</v>
      </c>
      <c r="F818">
        <v>2379346.4</v>
      </c>
      <c r="G818">
        <v>0</v>
      </c>
    </row>
    <row r="819" spans="1:7" x14ac:dyDescent="0.25">
      <c r="A819" s="5">
        <v>43775</v>
      </c>
      <c r="B819">
        <v>5.7099999999999998E-2</v>
      </c>
      <c r="C819">
        <v>6.13E-2</v>
      </c>
      <c r="D819">
        <v>5.6300000000000003E-2</v>
      </c>
      <c r="E819">
        <v>5.8400000000000001E-2</v>
      </c>
      <c r="F819">
        <v>5740496.0199999996</v>
      </c>
      <c r="G819">
        <v>0</v>
      </c>
    </row>
    <row r="820" spans="1:7" x14ac:dyDescent="0.25">
      <c r="A820" s="5">
        <v>43774</v>
      </c>
      <c r="B820">
        <v>5.6800000000000003E-2</v>
      </c>
      <c r="C820">
        <v>5.7799999999999997E-2</v>
      </c>
      <c r="D820">
        <v>5.62E-2</v>
      </c>
      <c r="E820">
        <v>5.67E-2</v>
      </c>
      <c r="F820">
        <v>5034688.79</v>
      </c>
      <c r="G820">
        <v>0</v>
      </c>
    </row>
    <row r="821" spans="1:7" x14ac:dyDescent="0.25">
      <c r="A821" s="5">
        <v>43773</v>
      </c>
      <c r="B821">
        <v>5.9799999999999999E-2</v>
      </c>
      <c r="C821">
        <v>6.25E-2</v>
      </c>
      <c r="D821">
        <v>5.4699999999999999E-2</v>
      </c>
      <c r="E821">
        <v>5.7000000000000002E-2</v>
      </c>
      <c r="F821">
        <v>8382144.8300000001</v>
      </c>
      <c r="G821">
        <v>0</v>
      </c>
    </row>
    <row r="822" spans="1:7" x14ac:dyDescent="0.25">
      <c r="A822" s="5">
        <v>43772</v>
      </c>
      <c r="B822">
        <v>5.6800000000000003E-2</v>
      </c>
      <c r="C822">
        <v>6.2600000000000003E-2</v>
      </c>
      <c r="D822">
        <v>5.6399999999999999E-2</v>
      </c>
      <c r="E822">
        <v>5.9799999999999999E-2</v>
      </c>
      <c r="F822">
        <v>7288479.2999999998</v>
      </c>
      <c r="G822">
        <v>0</v>
      </c>
    </row>
    <row r="823" spans="1:7" x14ac:dyDescent="0.25">
      <c r="A823" s="5">
        <v>43771</v>
      </c>
      <c r="B823">
        <v>5.5800000000000002E-2</v>
      </c>
      <c r="C823">
        <v>5.8400000000000001E-2</v>
      </c>
      <c r="D823">
        <v>5.5E-2</v>
      </c>
      <c r="E823">
        <v>5.67E-2</v>
      </c>
      <c r="F823">
        <v>3084289.38</v>
      </c>
      <c r="G823">
        <v>0</v>
      </c>
    </row>
    <row r="824" spans="1:7" x14ac:dyDescent="0.25">
      <c r="A824" s="5">
        <v>43770</v>
      </c>
      <c r="B824">
        <v>5.6099999999999997E-2</v>
      </c>
      <c r="C824">
        <v>5.7500000000000002E-2</v>
      </c>
      <c r="D824">
        <v>5.3100000000000001E-2</v>
      </c>
      <c r="E824">
        <v>5.5800000000000002E-2</v>
      </c>
      <c r="F824">
        <v>5178920.59</v>
      </c>
      <c r="G824">
        <v>0</v>
      </c>
    </row>
    <row r="825" spans="1:7" x14ac:dyDescent="0.25">
      <c r="A825" s="5">
        <v>43769</v>
      </c>
      <c r="B825">
        <v>5.3100000000000001E-2</v>
      </c>
      <c r="C825">
        <v>5.7500000000000002E-2</v>
      </c>
      <c r="D825">
        <v>5.1200000000000002E-2</v>
      </c>
      <c r="E825">
        <v>5.62E-2</v>
      </c>
      <c r="F825">
        <v>5218848.43</v>
      </c>
      <c r="G825">
        <v>0</v>
      </c>
    </row>
    <row r="826" spans="1:7" x14ac:dyDescent="0.25">
      <c r="A826" s="5">
        <v>43768</v>
      </c>
      <c r="B826">
        <v>5.5899999999999998E-2</v>
      </c>
      <c r="C826">
        <v>5.5899999999999998E-2</v>
      </c>
      <c r="D826">
        <v>5.1499999999999997E-2</v>
      </c>
      <c r="E826">
        <v>5.3199999999999997E-2</v>
      </c>
      <c r="F826">
        <v>3413533.03</v>
      </c>
      <c r="G826">
        <v>0</v>
      </c>
    </row>
    <row r="827" spans="1:7" x14ac:dyDescent="0.25">
      <c r="A827" s="5">
        <v>43767</v>
      </c>
      <c r="B827">
        <v>5.8599999999999999E-2</v>
      </c>
      <c r="C827">
        <v>6.0900000000000003E-2</v>
      </c>
      <c r="D827">
        <v>5.3999999999999999E-2</v>
      </c>
      <c r="E827">
        <v>5.57E-2</v>
      </c>
      <c r="F827">
        <v>8338969.4800000004</v>
      </c>
      <c r="G827">
        <v>0</v>
      </c>
    </row>
    <row r="828" spans="1:7" x14ac:dyDescent="0.25">
      <c r="A828" s="5">
        <v>43766</v>
      </c>
      <c r="B828">
        <v>5.1799999999999999E-2</v>
      </c>
      <c r="C828">
        <v>6.5500000000000003E-2</v>
      </c>
      <c r="D828">
        <v>5.0900000000000001E-2</v>
      </c>
      <c r="E828">
        <v>5.8900000000000001E-2</v>
      </c>
      <c r="F828">
        <v>9571688.0600000005</v>
      </c>
      <c r="G828">
        <v>0</v>
      </c>
    </row>
    <row r="829" spans="1:7" x14ac:dyDescent="0.25">
      <c r="A829" s="5">
        <v>43765</v>
      </c>
      <c r="B829">
        <v>5.1299999999999998E-2</v>
      </c>
      <c r="C829">
        <v>5.3999999999999999E-2</v>
      </c>
      <c r="D829">
        <v>4.9099999999999998E-2</v>
      </c>
      <c r="E829">
        <v>5.1799999999999999E-2</v>
      </c>
      <c r="F829">
        <v>6665025.9000000004</v>
      </c>
      <c r="G829">
        <v>0</v>
      </c>
    </row>
    <row r="830" spans="1:7" x14ac:dyDescent="0.25">
      <c r="A830" s="5">
        <v>43764</v>
      </c>
      <c r="B830">
        <v>5.3999999999999999E-2</v>
      </c>
      <c r="C830">
        <v>5.4800000000000001E-2</v>
      </c>
      <c r="D830">
        <v>5.0200000000000002E-2</v>
      </c>
      <c r="E830">
        <v>5.1400000000000001E-2</v>
      </c>
      <c r="F830">
        <v>8214306.1299999999</v>
      </c>
      <c r="G830">
        <v>0</v>
      </c>
    </row>
    <row r="831" spans="1:7" x14ac:dyDescent="0.25">
      <c r="A831" s="5">
        <v>43763</v>
      </c>
      <c r="B831">
        <v>5.1900000000000002E-2</v>
      </c>
      <c r="C831">
        <v>5.5399999999999998E-2</v>
      </c>
      <c r="D831">
        <v>5.1200000000000002E-2</v>
      </c>
      <c r="E831">
        <v>5.3699999999999998E-2</v>
      </c>
      <c r="F831">
        <v>5079212.8899999997</v>
      </c>
      <c r="G831">
        <v>0</v>
      </c>
    </row>
    <row r="832" spans="1:7" x14ac:dyDescent="0.25">
      <c r="A832" s="5">
        <v>43762</v>
      </c>
      <c r="B832">
        <v>5.2400000000000002E-2</v>
      </c>
      <c r="C832">
        <v>5.33E-2</v>
      </c>
      <c r="D832">
        <v>5.0200000000000002E-2</v>
      </c>
      <c r="E832">
        <v>5.2400000000000002E-2</v>
      </c>
      <c r="F832">
        <v>1660397.45</v>
      </c>
      <c r="G832">
        <v>0</v>
      </c>
    </row>
    <row r="833" spans="1:7" x14ac:dyDescent="0.25">
      <c r="A833" s="5">
        <v>43761</v>
      </c>
      <c r="B833">
        <v>6.0400000000000002E-2</v>
      </c>
      <c r="C833">
        <v>6.08E-2</v>
      </c>
      <c r="D833">
        <v>5.0799999999999998E-2</v>
      </c>
      <c r="E833">
        <v>5.1999999999999998E-2</v>
      </c>
      <c r="F833">
        <v>4426189.08</v>
      </c>
      <c r="G833">
        <v>0</v>
      </c>
    </row>
    <row r="834" spans="1:7" x14ac:dyDescent="0.25">
      <c r="A834" s="5">
        <v>43760</v>
      </c>
      <c r="B834">
        <v>0.06</v>
      </c>
      <c r="C834">
        <v>6.2600000000000003E-2</v>
      </c>
      <c r="D834">
        <v>5.9400000000000001E-2</v>
      </c>
      <c r="E834">
        <v>6.0299999999999999E-2</v>
      </c>
      <c r="F834">
        <v>1800186.23</v>
      </c>
      <c r="G834">
        <v>0</v>
      </c>
    </row>
    <row r="835" spans="1:7" x14ac:dyDescent="0.25">
      <c r="A835" s="5">
        <v>43759</v>
      </c>
      <c r="B835">
        <v>6.0999999999999999E-2</v>
      </c>
      <c r="C835">
        <v>6.1800000000000001E-2</v>
      </c>
      <c r="D835">
        <v>5.9499999999999997E-2</v>
      </c>
      <c r="E835">
        <v>5.9700000000000003E-2</v>
      </c>
      <c r="F835">
        <v>2108768.36</v>
      </c>
      <c r="G835">
        <v>0</v>
      </c>
    </row>
    <row r="836" spans="1:7" x14ac:dyDescent="0.25">
      <c r="A836" s="5">
        <v>43758</v>
      </c>
      <c r="B836">
        <v>5.9700000000000003E-2</v>
      </c>
      <c r="C836">
        <v>6.1499999999999999E-2</v>
      </c>
      <c r="D836">
        <v>5.8000000000000003E-2</v>
      </c>
      <c r="E836">
        <v>6.08E-2</v>
      </c>
      <c r="F836">
        <v>2491085.94</v>
      </c>
      <c r="G836">
        <v>0</v>
      </c>
    </row>
    <row r="837" spans="1:7" x14ac:dyDescent="0.25">
      <c r="A837" s="5">
        <v>43757</v>
      </c>
      <c r="B837">
        <v>5.96E-2</v>
      </c>
      <c r="C837">
        <v>6.3200000000000006E-2</v>
      </c>
      <c r="D837">
        <v>5.8000000000000003E-2</v>
      </c>
      <c r="E837">
        <v>5.96E-2</v>
      </c>
      <c r="F837">
        <v>3918177.58</v>
      </c>
      <c r="G837">
        <v>0</v>
      </c>
    </row>
    <row r="838" spans="1:7" x14ac:dyDescent="0.25">
      <c r="A838" s="5">
        <v>43756</v>
      </c>
      <c r="B838">
        <v>6.2799999999999995E-2</v>
      </c>
      <c r="C838">
        <v>6.3100000000000003E-2</v>
      </c>
      <c r="D838">
        <v>5.67E-2</v>
      </c>
      <c r="E838">
        <v>6.0400000000000002E-2</v>
      </c>
      <c r="F838">
        <v>3360290.49</v>
      </c>
      <c r="G838">
        <v>0</v>
      </c>
    </row>
    <row r="839" spans="1:7" x14ac:dyDescent="0.25">
      <c r="A839" s="5">
        <v>43755</v>
      </c>
      <c r="B839">
        <v>6.0699999999999997E-2</v>
      </c>
      <c r="C839">
        <v>6.4199999999999993E-2</v>
      </c>
      <c r="D839">
        <v>5.9400000000000001E-2</v>
      </c>
      <c r="E839">
        <v>6.2799999999999995E-2</v>
      </c>
      <c r="F839">
        <v>3787553.01</v>
      </c>
      <c r="G839">
        <v>0</v>
      </c>
    </row>
    <row r="840" spans="1:7" x14ac:dyDescent="0.25">
      <c r="A840" s="5">
        <v>43754</v>
      </c>
      <c r="B840">
        <v>6.7000000000000004E-2</v>
      </c>
      <c r="C840">
        <v>6.83E-2</v>
      </c>
      <c r="D840">
        <v>5.8299999999999998E-2</v>
      </c>
      <c r="E840">
        <v>6.08E-2</v>
      </c>
      <c r="F840">
        <v>7032413.2699999996</v>
      </c>
      <c r="G840">
        <v>0</v>
      </c>
    </row>
    <row r="841" spans="1:7" x14ac:dyDescent="0.25">
      <c r="A841" s="5">
        <v>43753</v>
      </c>
      <c r="B841">
        <v>7.6300000000000007E-2</v>
      </c>
      <c r="C841">
        <v>7.7600000000000002E-2</v>
      </c>
      <c r="D841">
        <v>6.6500000000000004E-2</v>
      </c>
      <c r="E841">
        <v>6.6900000000000001E-2</v>
      </c>
      <c r="F841">
        <v>7318448.2400000002</v>
      </c>
      <c r="G841">
        <v>0</v>
      </c>
    </row>
    <row r="842" spans="1:7" x14ac:dyDescent="0.25">
      <c r="A842" s="5">
        <v>43752</v>
      </c>
      <c r="B842">
        <v>7.0400000000000004E-2</v>
      </c>
      <c r="C842">
        <v>7.7100000000000002E-2</v>
      </c>
      <c r="D842">
        <v>6.93E-2</v>
      </c>
      <c r="E842">
        <v>7.6300000000000007E-2</v>
      </c>
      <c r="F842">
        <v>4981938.7</v>
      </c>
      <c r="G842">
        <v>0</v>
      </c>
    </row>
    <row r="843" spans="1:7" x14ac:dyDescent="0.25">
      <c r="A843" s="5">
        <v>43751</v>
      </c>
      <c r="B843">
        <v>7.4499999999999997E-2</v>
      </c>
      <c r="C843">
        <v>7.9799999999999996E-2</v>
      </c>
      <c r="D843">
        <v>6.8400000000000002E-2</v>
      </c>
      <c r="E843">
        <v>7.1099999999999997E-2</v>
      </c>
      <c r="F843">
        <v>5858866</v>
      </c>
      <c r="G843">
        <v>0</v>
      </c>
    </row>
    <row r="844" spans="1:7" x14ac:dyDescent="0.25">
      <c r="A844" s="5">
        <v>43750</v>
      </c>
      <c r="B844">
        <v>6.8900000000000003E-2</v>
      </c>
      <c r="C844">
        <v>7.7899999999999997E-2</v>
      </c>
      <c r="D844">
        <v>6.6500000000000004E-2</v>
      </c>
      <c r="E844">
        <v>7.4300000000000005E-2</v>
      </c>
      <c r="F844">
        <v>13356957.810000001</v>
      </c>
      <c r="G844">
        <v>0</v>
      </c>
    </row>
    <row r="845" spans="1:7" x14ac:dyDescent="0.25">
      <c r="A845" s="5">
        <v>43749</v>
      </c>
      <c r="B845">
        <v>6.2199999999999998E-2</v>
      </c>
      <c r="C845">
        <v>7.1999999999999995E-2</v>
      </c>
      <c r="D845">
        <v>6.0699999999999997E-2</v>
      </c>
      <c r="E845">
        <v>6.9000000000000006E-2</v>
      </c>
      <c r="F845">
        <v>10860862.699999999</v>
      </c>
      <c r="G845">
        <v>0</v>
      </c>
    </row>
    <row r="846" spans="1:7" x14ac:dyDescent="0.25">
      <c r="A846" s="5">
        <v>43748</v>
      </c>
      <c r="B846">
        <v>6.5799999999999997E-2</v>
      </c>
      <c r="C846">
        <v>6.6500000000000004E-2</v>
      </c>
      <c r="D846">
        <v>6.0199999999999997E-2</v>
      </c>
      <c r="E846">
        <v>6.2100000000000002E-2</v>
      </c>
      <c r="F846">
        <v>3928314.29</v>
      </c>
      <c r="G846">
        <v>0</v>
      </c>
    </row>
    <row r="847" spans="1:7" x14ac:dyDescent="0.25">
      <c r="A847" s="5">
        <v>43747</v>
      </c>
      <c r="B847">
        <v>6.2E-2</v>
      </c>
      <c r="C847">
        <v>6.8000000000000005E-2</v>
      </c>
      <c r="D847">
        <v>6.0699999999999997E-2</v>
      </c>
      <c r="E847">
        <v>6.5799999999999997E-2</v>
      </c>
      <c r="F847">
        <v>5300236.24</v>
      </c>
      <c r="G847">
        <v>0</v>
      </c>
    </row>
    <row r="848" spans="1:7" x14ac:dyDescent="0.25">
      <c r="A848" s="5">
        <v>43746</v>
      </c>
      <c r="B848">
        <v>5.9499999999999997E-2</v>
      </c>
      <c r="C848">
        <v>6.2300000000000001E-2</v>
      </c>
      <c r="D848">
        <v>5.8900000000000001E-2</v>
      </c>
      <c r="E848">
        <v>6.2E-2</v>
      </c>
      <c r="F848">
        <v>2110709.02</v>
      </c>
      <c r="G848">
        <v>0</v>
      </c>
    </row>
    <row r="849" spans="1:7" x14ac:dyDescent="0.25">
      <c r="A849" s="5">
        <v>43745</v>
      </c>
      <c r="B849">
        <v>5.6300000000000003E-2</v>
      </c>
      <c r="C849">
        <v>5.9900000000000002E-2</v>
      </c>
      <c r="D849">
        <v>5.5899999999999998E-2</v>
      </c>
      <c r="E849">
        <v>5.9299999999999999E-2</v>
      </c>
      <c r="F849">
        <v>1710778.36</v>
      </c>
      <c r="G849">
        <v>0</v>
      </c>
    </row>
    <row r="850" spans="1:7" x14ac:dyDescent="0.25">
      <c r="A850" s="5">
        <v>43744</v>
      </c>
      <c r="B850">
        <v>5.9299999999999999E-2</v>
      </c>
      <c r="C850">
        <v>5.9400000000000001E-2</v>
      </c>
      <c r="D850">
        <v>5.5500000000000001E-2</v>
      </c>
      <c r="E850">
        <v>5.67E-2</v>
      </c>
      <c r="F850">
        <v>1360508.3</v>
      </c>
      <c r="G850">
        <v>0</v>
      </c>
    </row>
    <row r="851" spans="1:7" x14ac:dyDescent="0.25">
      <c r="A851" s="5">
        <v>43743</v>
      </c>
      <c r="B851">
        <v>5.9200000000000003E-2</v>
      </c>
      <c r="C851">
        <v>5.9700000000000003E-2</v>
      </c>
      <c r="D851">
        <v>5.7299999999999997E-2</v>
      </c>
      <c r="E851">
        <v>5.9200000000000003E-2</v>
      </c>
      <c r="F851">
        <v>1484569.17</v>
      </c>
      <c r="G851">
        <v>0</v>
      </c>
    </row>
    <row r="852" spans="1:7" x14ac:dyDescent="0.25">
      <c r="A852" s="5">
        <v>43742</v>
      </c>
      <c r="B852">
        <v>5.8500000000000003E-2</v>
      </c>
      <c r="C852">
        <v>6.0600000000000001E-2</v>
      </c>
      <c r="D852">
        <v>5.7700000000000001E-2</v>
      </c>
      <c r="E852">
        <v>5.9200000000000003E-2</v>
      </c>
      <c r="F852">
        <v>1783546.76</v>
      </c>
      <c r="G852">
        <v>0</v>
      </c>
    </row>
    <row r="853" spans="1:7" x14ac:dyDescent="0.25">
      <c r="A853" s="5">
        <v>43741</v>
      </c>
      <c r="B853">
        <v>6.0699999999999997E-2</v>
      </c>
      <c r="C853">
        <v>6.2399999999999997E-2</v>
      </c>
      <c r="D853">
        <v>5.7299999999999997E-2</v>
      </c>
      <c r="E853">
        <v>5.8599999999999999E-2</v>
      </c>
      <c r="F853">
        <v>2454856.1</v>
      </c>
      <c r="G853">
        <v>0</v>
      </c>
    </row>
    <row r="854" spans="1:7" x14ac:dyDescent="0.25">
      <c r="A854" s="5">
        <v>43740</v>
      </c>
      <c r="B854">
        <v>5.96E-2</v>
      </c>
      <c r="C854">
        <v>6.1699999999999998E-2</v>
      </c>
      <c r="D854">
        <v>5.91E-2</v>
      </c>
      <c r="E854">
        <v>6.0699999999999997E-2</v>
      </c>
      <c r="F854">
        <v>1535526.09</v>
      </c>
      <c r="G854">
        <v>0</v>
      </c>
    </row>
    <row r="855" spans="1:7" x14ac:dyDescent="0.25">
      <c r="A855" s="5">
        <v>43739</v>
      </c>
      <c r="B855">
        <v>6.1800000000000001E-2</v>
      </c>
      <c r="C855">
        <v>6.4899999999999999E-2</v>
      </c>
      <c r="D855">
        <v>5.9299999999999999E-2</v>
      </c>
      <c r="E855">
        <v>5.96E-2</v>
      </c>
      <c r="F855">
        <v>3556816.6</v>
      </c>
      <c r="G855">
        <v>0</v>
      </c>
    </row>
    <row r="856" spans="1:7" x14ac:dyDescent="0.25">
      <c r="A856" s="5">
        <v>43738</v>
      </c>
      <c r="B856">
        <v>6.1800000000000001E-2</v>
      </c>
      <c r="C856">
        <v>6.4500000000000002E-2</v>
      </c>
      <c r="D856">
        <v>5.7000000000000002E-2</v>
      </c>
      <c r="E856">
        <v>6.2E-2</v>
      </c>
      <c r="F856">
        <v>5956483.0899999999</v>
      </c>
      <c r="G856">
        <v>0</v>
      </c>
    </row>
    <row r="857" spans="1:7" x14ac:dyDescent="0.25">
      <c r="A857" s="5">
        <v>43737</v>
      </c>
      <c r="B857">
        <v>5.9799999999999999E-2</v>
      </c>
      <c r="C857">
        <v>6.4500000000000002E-2</v>
      </c>
      <c r="D857">
        <v>5.8900000000000001E-2</v>
      </c>
      <c r="E857">
        <v>6.1600000000000002E-2</v>
      </c>
      <c r="F857">
        <v>6937436.3899999997</v>
      </c>
      <c r="G857">
        <v>0</v>
      </c>
    </row>
    <row r="858" spans="1:7" x14ac:dyDescent="0.25">
      <c r="A858" s="5">
        <v>43736</v>
      </c>
      <c r="B858">
        <v>5.7200000000000001E-2</v>
      </c>
      <c r="C858">
        <v>6.0999999999999999E-2</v>
      </c>
      <c r="D858">
        <v>5.7099999999999998E-2</v>
      </c>
      <c r="E858">
        <v>5.96E-2</v>
      </c>
      <c r="F858">
        <v>2909268.83</v>
      </c>
      <c r="G858">
        <v>0</v>
      </c>
    </row>
    <row r="859" spans="1:7" x14ac:dyDescent="0.25">
      <c r="A859" s="5">
        <v>43735</v>
      </c>
      <c r="B859">
        <v>5.74E-2</v>
      </c>
      <c r="C859">
        <v>5.8700000000000002E-2</v>
      </c>
      <c r="D859">
        <v>5.4800000000000001E-2</v>
      </c>
      <c r="E859">
        <v>5.7500000000000002E-2</v>
      </c>
      <c r="F859">
        <v>2913244.03</v>
      </c>
      <c r="G859">
        <v>0</v>
      </c>
    </row>
    <row r="860" spans="1:7" x14ac:dyDescent="0.25">
      <c r="A860" s="5">
        <v>43734</v>
      </c>
      <c r="B860">
        <v>6.2399999999999997E-2</v>
      </c>
      <c r="C860">
        <v>6.5699999999999995E-2</v>
      </c>
      <c r="D860">
        <v>5.2999999999999999E-2</v>
      </c>
      <c r="E860">
        <v>5.8000000000000003E-2</v>
      </c>
      <c r="F860">
        <v>6401770.2300000004</v>
      </c>
      <c r="G860">
        <v>0</v>
      </c>
    </row>
    <row r="861" spans="1:7" x14ac:dyDescent="0.25">
      <c r="A861" s="5">
        <v>43733</v>
      </c>
      <c r="B861">
        <v>6.1199999999999997E-2</v>
      </c>
      <c r="C861">
        <v>6.5000000000000002E-2</v>
      </c>
      <c r="D861">
        <v>5.8000000000000003E-2</v>
      </c>
      <c r="E861">
        <v>6.2899999999999998E-2</v>
      </c>
      <c r="F861">
        <v>3823057.22</v>
      </c>
      <c r="G861">
        <v>0</v>
      </c>
    </row>
    <row r="862" spans="1:7" x14ac:dyDescent="0.25">
      <c r="A862" s="5">
        <v>43732</v>
      </c>
      <c r="B862">
        <v>8.0299999999999996E-2</v>
      </c>
      <c r="C862">
        <v>8.6699999999999999E-2</v>
      </c>
      <c r="D862">
        <v>5.6399999999999999E-2</v>
      </c>
      <c r="E862">
        <v>6.1499999999999999E-2</v>
      </c>
      <c r="F862">
        <v>6267320.0199999996</v>
      </c>
      <c r="G862">
        <v>0</v>
      </c>
    </row>
    <row r="863" spans="1:7" x14ac:dyDescent="0.25">
      <c r="A863" s="5">
        <v>43731</v>
      </c>
      <c r="B863">
        <v>8.5599999999999996E-2</v>
      </c>
      <c r="C863">
        <v>9.11E-2</v>
      </c>
      <c r="D863">
        <v>7.9500000000000001E-2</v>
      </c>
      <c r="E863">
        <v>8.0299999999999996E-2</v>
      </c>
      <c r="F863">
        <v>3385900.88</v>
      </c>
      <c r="G863">
        <v>0</v>
      </c>
    </row>
    <row r="864" spans="1:7" x14ac:dyDescent="0.25">
      <c r="A864" s="5">
        <v>43730</v>
      </c>
      <c r="B864">
        <v>9.1600000000000001E-2</v>
      </c>
      <c r="C864">
        <v>9.2299999999999993E-2</v>
      </c>
      <c r="D864">
        <v>8.3599999999999994E-2</v>
      </c>
      <c r="E864">
        <v>8.5199999999999998E-2</v>
      </c>
      <c r="F864">
        <v>3724748.37</v>
      </c>
      <c r="G864">
        <v>0</v>
      </c>
    </row>
    <row r="865" spans="1:7" x14ac:dyDescent="0.25">
      <c r="A865" s="5">
        <v>43729</v>
      </c>
      <c r="B865">
        <v>9.2600000000000002E-2</v>
      </c>
      <c r="C865">
        <v>9.6100000000000005E-2</v>
      </c>
      <c r="D865">
        <v>9.06E-2</v>
      </c>
      <c r="E865">
        <v>9.1600000000000001E-2</v>
      </c>
      <c r="F865">
        <v>1924593.34</v>
      </c>
      <c r="G865">
        <v>0</v>
      </c>
    </row>
    <row r="866" spans="1:7" x14ac:dyDescent="0.25">
      <c r="A866" s="5">
        <v>43728</v>
      </c>
      <c r="B866">
        <v>9.0800000000000006E-2</v>
      </c>
      <c r="C866">
        <v>9.7500000000000003E-2</v>
      </c>
      <c r="D866">
        <v>8.9700000000000002E-2</v>
      </c>
      <c r="E866">
        <v>9.2200000000000004E-2</v>
      </c>
      <c r="F866">
        <v>3303342.58</v>
      </c>
      <c r="G866">
        <v>0</v>
      </c>
    </row>
    <row r="867" spans="1:7" x14ac:dyDescent="0.25">
      <c r="A867" s="5">
        <v>43727</v>
      </c>
      <c r="B867">
        <v>9.7900000000000001E-2</v>
      </c>
      <c r="C867">
        <v>9.8299999999999998E-2</v>
      </c>
      <c r="D867">
        <v>8.6300000000000002E-2</v>
      </c>
      <c r="E867">
        <v>9.0800000000000006E-2</v>
      </c>
      <c r="F867">
        <v>5636049.7400000002</v>
      </c>
      <c r="G867">
        <v>0</v>
      </c>
    </row>
    <row r="868" spans="1:7" x14ac:dyDescent="0.25">
      <c r="A868" s="5">
        <v>43726</v>
      </c>
      <c r="B868">
        <v>9.4E-2</v>
      </c>
      <c r="C868">
        <v>0.10100000000000001</v>
      </c>
      <c r="D868">
        <v>9.3299999999999994E-2</v>
      </c>
      <c r="E868">
        <v>9.7900000000000001E-2</v>
      </c>
      <c r="F868">
        <v>6273897.5599999996</v>
      </c>
      <c r="G868">
        <v>0</v>
      </c>
    </row>
    <row r="869" spans="1:7" x14ac:dyDescent="0.25">
      <c r="A869" s="5">
        <v>43725</v>
      </c>
      <c r="B869">
        <v>8.9399999999999993E-2</v>
      </c>
      <c r="C869">
        <v>0.1013</v>
      </c>
      <c r="D869">
        <v>8.8200000000000001E-2</v>
      </c>
      <c r="E869">
        <v>9.4299999999999995E-2</v>
      </c>
      <c r="F869">
        <v>7710485.0700000003</v>
      </c>
      <c r="G869">
        <v>0</v>
      </c>
    </row>
    <row r="870" spans="1:7" x14ac:dyDescent="0.25">
      <c r="A870" s="5">
        <v>43724</v>
      </c>
      <c r="B870">
        <v>9.0399999999999994E-2</v>
      </c>
      <c r="C870">
        <v>9.5899999999999999E-2</v>
      </c>
      <c r="D870">
        <v>8.7099999999999997E-2</v>
      </c>
      <c r="E870">
        <v>8.9499999999999996E-2</v>
      </c>
      <c r="F870">
        <v>5402461.6699999999</v>
      </c>
      <c r="G870">
        <v>0</v>
      </c>
    </row>
    <row r="871" spans="1:7" x14ac:dyDescent="0.25">
      <c r="A871" s="5">
        <v>43723</v>
      </c>
      <c r="B871">
        <v>8.9399999999999993E-2</v>
      </c>
      <c r="C871">
        <v>9.1499999999999998E-2</v>
      </c>
      <c r="D871">
        <v>8.8099999999999998E-2</v>
      </c>
      <c r="E871">
        <v>9.0700000000000003E-2</v>
      </c>
      <c r="F871">
        <v>2084433.99</v>
      </c>
      <c r="G871">
        <v>0</v>
      </c>
    </row>
    <row r="872" spans="1:7" x14ac:dyDescent="0.25">
      <c r="A872" s="5">
        <v>43722</v>
      </c>
      <c r="B872">
        <v>8.7599999999999997E-2</v>
      </c>
      <c r="C872">
        <v>9.2999999999999999E-2</v>
      </c>
      <c r="D872">
        <v>8.5400000000000004E-2</v>
      </c>
      <c r="E872">
        <v>8.9399999999999993E-2</v>
      </c>
      <c r="F872">
        <v>3745402.67</v>
      </c>
      <c r="G872">
        <v>0</v>
      </c>
    </row>
    <row r="873" spans="1:7" x14ac:dyDescent="0.25">
      <c r="A873" s="5">
        <v>43721</v>
      </c>
      <c r="B873">
        <v>8.9899999999999994E-2</v>
      </c>
      <c r="C873">
        <v>9.8699999999999996E-2</v>
      </c>
      <c r="D873">
        <v>8.6699999999999999E-2</v>
      </c>
      <c r="E873">
        <v>8.7900000000000006E-2</v>
      </c>
      <c r="F873">
        <v>7238833.3600000003</v>
      </c>
      <c r="G873">
        <v>0</v>
      </c>
    </row>
    <row r="874" spans="1:7" x14ac:dyDescent="0.25">
      <c r="A874" s="5">
        <v>43720</v>
      </c>
      <c r="B874">
        <v>8.9800000000000005E-2</v>
      </c>
      <c r="C874">
        <v>9.2600000000000002E-2</v>
      </c>
      <c r="D874">
        <v>8.5099999999999995E-2</v>
      </c>
      <c r="E874">
        <v>8.9800000000000005E-2</v>
      </c>
      <c r="F874">
        <v>4844857.55</v>
      </c>
      <c r="G874">
        <v>0</v>
      </c>
    </row>
    <row r="875" spans="1:7" x14ac:dyDescent="0.25">
      <c r="A875" s="5">
        <v>43719</v>
      </c>
      <c r="B875">
        <v>0.1014</v>
      </c>
      <c r="C875">
        <v>0.10290000000000001</v>
      </c>
      <c r="D875">
        <v>8.8400000000000006E-2</v>
      </c>
      <c r="E875">
        <v>9.01E-2</v>
      </c>
      <c r="F875">
        <v>7742874.25</v>
      </c>
      <c r="G875">
        <v>0</v>
      </c>
    </row>
    <row r="876" spans="1:7" x14ac:dyDescent="0.25">
      <c r="A876" s="5">
        <v>43718</v>
      </c>
      <c r="B876">
        <v>0.10630000000000001</v>
      </c>
      <c r="C876">
        <v>0.1082</v>
      </c>
      <c r="D876">
        <v>0.1009</v>
      </c>
      <c r="E876">
        <v>0.1013</v>
      </c>
      <c r="F876">
        <v>6918844.1399999997</v>
      </c>
      <c r="G876">
        <v>0</v>
      </c>
    </row>
    <row r="877" spans="1:7" x14ac:dyDescent="0.25">
      <c r="A877" s="5">
        <v>43717</v>
      </c>
      <c r="B877">
        <v>0.11409999999999999</v>
      </c>
      <c r="C877">
        <v>0.115</v>
      </c>
      <c r="D877">
        <v>0.10440000000000001</v>
      </c>
      <c r="E877">
        <v>0.1057</v>
      </c>
      <c r="F877">
        <v>6289724.6200000001</v>
      </c>
      <c r="G877">
        <v>0</v>
      </c>
    </row>
    <row r="878" spans="1:7" x14ac:dyDescent="0.25">
      <c r="A878" s="5">
        <v>43716</v>
      </c>
      <c r="B878">
        <v>0.10630000000000001</v>
      </c>
      <c r="C878">
        <v>0.1167</v>
      </c>
      <c r="D878">
        <v>0.1062</v>
      </c>
      <c r="E878">
        <v>0.1137</v>
      </c>
      <c r="F878">
        <v>7106496.29</v>
      </c>
      <c r="G878">
        <v>0</v>
      </c>
    </row>
    <row r="879" spans="1:7" x14ac:dyDescent="0.25">
      <c r="A879" s="5">
        <v>43715</v>
      </c>
      <c r="B879">
        <v>0.105</v>
      </c>
      <c r="C879">
        <v>0.10979999999999999</v>
      </c>
      <c r="D879">
        <v>0.1031</v>
      </c>
      <c r="E879">
        <v>0.1065</v>
      </c>
      <c r="F879">
        <v>3730782.64</v>
      </c>
      <c r="G879">
        <v>0</v>
      </c>
    </row>
    <row r="880" spans="1:7" x14ac:dyDescent="0.25">
      <c r="A880" s="5">
        <v>43714</v>
      </c>
      <c r="B880">
        <v>0.1133</v>
      </c>
      <c r="C880">
        <v>0.1145</v>
      </c>
      <c r="D880">
        <v>0.1013</v>
      </c>
      <c r="E880">
        <v>0.10440000000000001</v>
      </c>
      <c r="F880">
        <v>10891783.310000001</v>
      </c>
      <c r="G880">
        <v>0</v>
      </c>
    </row>
    <row r="881" spans="1:7" x14ac:dyDescent="0.25">
      <c r="A881" s="5">
        <v>43713</v>
      </c>
      <c r="B881">
        <v>0.12330000000000001</v>
      </c>
      <c r="C881">
        <v>0.1265</v>
      </c>
      <c r="D881">
        <v>0.11210000000000001</v>
      </c>
      <c r="E881">
        <v>0.1133</v>
      </c>
      <c r="F881">
        <v>5943547.1900000004</v>
      </c>
      <c r="G881">
        <v>0</v>
      </c>
    </row>
    <row r="882" spans="1:7" x14ac:dyDescent="0.25">
      <c r="A882" s="5">
        <v>43712</v>
      </c>
      <c r="B882">
        <v>0.12089999999999999</v>
      </c>
      <c r="C882">
        <v>0.13020000000000001</v>
      </c>
      <c r="D882">
        <v>0.1166</v>
      </c>
      <c r="E882">
        <v>0.12330000000000001</v>
      </c>
      <c r="F882">
        <v>11117041.1</v>
      </c>
      <c r="G882">
        <v>0</v>
      </c>
    </row>
    <row r="883" spans="1:7" x14ac:dyDescent="0.25">
      <c r="A883" s="5">
        <v>43711</v>
      </c>
      <c r="B883">
        <v>0.1308</v>
      </c>
      <c r="C883">
        <v>0.1313</v>
      </c>
      <c r="D883">
        <v>0.12</v>
      </c>
      <c r="E883">
        <v>0.121</v>
      </c>
      <c r="F883">
        <v>8936956.4399999995</v>
      </c>
      <c r="G883">
        <v>0</v>
      </c>
    </row>
    <row r="884" spans="1:7" x14ac:dyDescent="0.25">
      <c r="A884" s="5">
        <v>43710</v>
      </c>
      <c r="B884">
        <v>0.13139999999999999</v>
      </c>
      <c r="C884">
        <v>0.1394</v>
      </c>
      <c r="D884">
        <v>0.128</v>
      </c>
      <c r="E884">
        <v>0.1308</v>
      </c>
      <c r="F884">
        <v>7654188.96</v>
      </c>
      <c r="G884">
        <v>0</v>
      </c>
    </row>
    <row r="885" spans="1:7" x14ac:dyDescent="0.25">
      <c r="A885" s="5">
        <v>43709</v>
      </c>
      <c r="B885">
        <v>0.12720000000000001</v>
      </c>
      <c r="C885">
        <v>0.13220000000000001</v>
      </c>
      <c r="D885">
        <v>0.1237</v>
      </c>
      <c r="E885">
        <v>0.1313</v>
      </c>
      <c r="F885">
        <v>2781431.05</v>
      </c>
      <c r="G885">
        <v>0</v>
      </c>
    </row>
    <row r="886" spans="1:7" x14ac:dyDescent="0.25">
      <c r="A886" s="5">
        <v>43708</v>
      </c>
      <c r="B886">
        <v>0.13139999999999999</v>
      </c>
      <c r="C886">
        <v>0.1358</v>
      </c>
      <c r="D886">
        <v>0.123</v>
      </c>
      <c r="E886">
        <v>0.1265</v>
      </c>
      <c r="F886">
        <v>4316708.7300000004</v>
      </c>
      <c r="G886">
        <v>0</v>
      </c>
    </row>
    <row r="887" spans="1:7" x14ac:dyDescent="0.25">
      <c r="A887" s="5">
        <v>43707</v>
      </c>
      <c r="B887">
        <v>0.12479999999999999</v>
      </c>
      <c r="C887">
        <v>0.13800000000000001</v>
      </c>
      <c r="D887">
        <v>0.122</v>
      </c>
      <c r="E887">
        <v>0.13139999999999999</v>
      </c>
      <c r="F887">
        <v>6292092.6600000001</v>
      </c>
      <c r="G887">
        <v>0</v>
      </c>
    </row>
    <row r="888" spans="1:7" x14ac:dyDescent="0.25">
      <c r="A888" s="5">
        <v>43706</v>
      </c>
      <c r="B888">
        <v>0.14849999999999999</v>
      </c>
      <c r="C888">
        <v>0.14860000000000001</v>
      </c>
      <c r="D888">
        <v>0.12379999999999999</v>
      </c>
      <c r="E888">
        <v>0.12379999999999999</v>
      </c>
      <c r="F888">
        <v>7426542.6500000004</v>
      </c>
      <c r="G888">
        <v>0</v>
      </c>
    </row>
    <row r="889" spans="1:7" x14ac:dyDescent="0.25">
      <c r="A889" s="5">
        <v>43705</v>
      </c>
      <c r="B889">
        <v>0.15890000000000001</v>
      </c>
      <c r="C889">
        <v>0.17449999999999999</v>
      </c>
      <c r="D889">
        <v>0.14660000000000001</v>
      </c>
      <c r="E889">
        <v>0.14849999999999999</v>
      </c>
      <c r="F889">
        <v>16257071.5</v>
      </c>
      <c r="G889">
        <v>0</v>
      </c>
    </row>
    <row r="890" spans="1:7" x14ac:dyDescent="0.25">
      <c r="A890" s="5">
        <v>43704</v>
      </c>
      <c r="B890">
        <v>0.15459999999999999</v>
      </c>
      <c r="C890">
        <v>0.17199999999999999</v>
      </c>
      <c r="D890">
        <v>0.1492</v>
      </c>
      <c r="E890">
        <v>0.15809999999999999</v>
      </c>
      <c r="F890">
        <v>16838418.420000002</v>
      </c>
      <c r="G890">
        <v>0</v>
      </c>
    </row>
    <row r="891" spans="1:7" x14ac:dyDescent="0.25">
      <c r="A891" s="5">
        <v>43703</v>
      </c>
      <c r="B891">
        <v>0.1714</v>
      </c>
      <c r="C891">
        <v>0.17480000000000001</v>
      </c>
      <c r="D891">
        <v>0.15210000000000001</v>
      </c>
      <c r="E891">
        <v>0.154</v>
      </c>
      <c r="F891">
        <v>11295863.77</v>
      </c>
      <c r="G891">
        <v>0</v>
      </c>
    </row>
    <row r="892" spans="1:7" x14ac:dyDescent="0.25">
      <c r="A892" s="5">
        <v>43702</v>
      </c>
      <c r="B892">
        <v>0.16309999999999999</v>
      </c>
      <c r="C892">
        <v>0.1918</v>
      </c>
      <c r="D892">
        <v>0.16</v>
      </c>
      <c r="E892">
        <v>0.17</v>
      </c>
      <c r="F892">
        <v>22973922.73</v>
      </c>
      <c r="G892">
        <v>0</v>
      </c>
    </row>
    <row r="893" spans="1:7" x14ac:dyDescent="0.25">
      <c r="A893" s="5">
        <v>43701</v>
      </c>
      <c r="B893">
        <v>0.17080000000000001</v>
      </c>
      <c r="C893">
        <v>0.18079999999999999</v>
      </c>
      <c r="D893">
        <v>0.154</v>
      </c>
      <c r="E893">
        <v>0.1641</v>
      </c>
      <c r="F893">
        <v>14948738.119999999</v>
      </c>
      <c r="G893">
        <v>0</v>
      </c>
    </row>
    <row r="894" spans="1:7" x14ac:dyDescent="0.25">
      <c r="A894" s="5">
        <v>43700</v>
      </c>
      <c r="B894">
        <v>0.17150000000000001</v>
      </c>
      <c r="C894">
        <v>0.18360000000000001</v>
      </c>
      <c r="D894">
        <v>0.16350000000000001</v>
      </c>
      <c r="E894">
        <v>0.17080000000000001</v>
      </c>
      <c r="F894">
        <v>11425192.800000001</v>
      </c>
      <c r="G894">
        <v>0</v>
      </c>
    </row>
    <row r="895" spans="1:7" x14ac:dyDescent="0.25">
      <c r="A895" s="5">
        <v>43699</v>
      </c>
      <c r="B895">
        <v>0.18540000000000001</v>
      </c>
      <c r="C895">
        <v>0.18540000000000001</v>
      </c>
      <c r="D895">
        <v>0.1615</v>
      </c>
      <c r="E895">
        <v>0.17150000000000001</v>
      </c>
      <c r="F895">
        <v>18439595.18</v>
      </c>
      <c r="G895">
        <v>0</v>
      </c>
    </row>
    <row r="896" spans="1:7" x14ac:dyDescent="0.25">
      <c r="A896" s="5">
        <v>43698</v>
      </c>
      <c r="B896">
        <v>0.21879999999999999</v>
      </c>
      <c r="C896">
        <v>0.22220000000000001</v>
      </c>
      <c r="D896">
        <v>0.18010000000000001</v>
      </c>
      <c r="E896">
        <v>0.18540000000000001</v>
      </c>
      <c r="F896">
        <v>21087001.719999999</v>
      </c>
      <c r="G896">
        <v>0</v>
      </c>
    </row>
    <row r="897" spans="1:7" x14ac:dyDescent="0.25">
      <c r="A897" s="5">
        <v>43697</v>
      </c>
      <c r="B897">
        <v>0.19789999999999999</v>
      </c>
      <c r="C897">
        <v>0.22720000000000001</v>
      </c>
      <c r="D897">
        <v>0.19550000000000001</v>
      </c>
      <c r="E897">
        <v>0.21879999999999999</v>
      </c>
      <c r="F897">
        <v>30073625.010000002</v>
      </c>
      <c r="G897">
        <v>0</v>
      </c>
    </row>
    <row r="898" spans="1:7" x14ac:dyDescent="0.25">
      <c r="A898" s="5">
        <v>43696</v>
      </c>
      <c r="B898">
        <v>0.21709999999999999</v>
      </c>
      <c r="C898">
        <v>0.22239999999999999</v>
      </c>
      <c r="D898">
        <v>0.19339999999999999</v>
      </c>
      <c r="E898">
        <v>0.1978</v>
      </c>
      <c r="F898">
        <v>24540810.989999998</v>
      </c>
      <c r="G898">
        <v>0</v>
      </c>
    </row>
    <row r="899" spans="1:7" x14ac:dyDescent="0.25">
      <c r="A899" s="5">
        <v>43695</v>
      </c>
      <c r="B899">
        <v>0.2495</v>
      </c>
      <c r="C899">
        <v>0.25600000000000001</v>
      </c>
      <c r="D899">
        <v>0.21240000000000001</v>
      </c>
      <c r="E899">
        <v>0.217</v>
      </c>
      <c r="F899">
        <v>25082408.539999999</v>
      </c>
      <c r="G899">
        <v>0</v>
      </c>
    </row>
    <row r="900" spans="1:7" x14ac:dyDescent="0.25">
      <c r="A900" s="5">
        <v>43694</v>
      </c>
      <c r="B900">
        <v>0.25800000000000001</v>
      </c>
      <c r="C900">
        <v>0.28520000000000001</v>
      </c>
      <c r="D900">
        <v>0.23899999999999999</v>
      </c>
      <c r="E900">
        <v>0.2482</v>
      </c>
      <c r="F900">
        <v>34264625.960000001</v>
      </c>
      <c r="G900">
        <v>0</v>
      </c>
    </row>
    <row r="901" spans="1:7" x14ac:dyDescent="0.25">
      <c r="A901" s="5">
        <v>43693</v>
      </c>
      <c r="B901">
        <v>0.23449999999999999</v>
      </c>
      <c r="C901">
        <v>0.2666</v>
      </c>
      <c r="D901">
        <v>0.20200000000000001</v>
      </c>
      <c r="E901">
        <v>0.25890000000000002</v>
      </c>
      <c r="F901">
        <v>44703113.75</v>
      </c>
      <c r="G901">
        <v>0</v>
      </c>
    </row>
    <row r="902" spans="1:7" x14ac:dyDescent="0.25">
      <c r="A902" s="5">
        <v>43692</v>
      </c>
      <c r="B902">
        <v>0.1986</v>
      </c>
      <c r="C902">
        <v>0.27410000000000001</v>
      </c>
      <c r="D902">
        <v>0.1958</v>
      </c>
      <c r="E902">
        <v>0.23350000000000001</v>
      </c>
      <c r="F902">
        <v>52989156.299999997</v>
      </c>
      <c r="G902">
        <v>0</v>
      </c>
    </row>
    <row r="903" spans="1:7" x14ac:dyDescent="0.25">
      <c r="A903" s="5">
        <v>43691</v>
      </c>
      <c r="B903">
        <v>0.16159999999999999</v>
      </c>
      <c r="C903">
        <v>0.2233</v>
      </c>
      <c r="D903">
        <v>0.14899999999999999</v>
      </c>
      <c r="E903">
        <v>0.19719999999999999</v>
      </c>
      <c r="F903">
        <v>42170552.850000001</v>
      </c>
      <c r="G903">
        <v>0</v>
      </c>
    </row>
    <row r="904" spans="1:7" x14ac:dyDescent="0.25">
      <c r="A904" s="5">
        <v>43690</v>
      </c>
      <c r="B904">
        <v>0.16470000000000001</v>
      </c>
      <c r="C904">
        <v>0.1769</v>
      </c>
      <c r="D904">
        <v>0.14399999999999999</v>
      </c>
      <c r="E904">
        <v>0.16170000000000001</v>
      </c>
      <c r="F904">
        <v>23512201.879999999</v>
      </c>
      <c r="G904">
        <v>0</v>
      </c>
    </row>
    <row r="905" spans="1:7" x14ac:dyDescent="0.25">
      <c r="A905" s="5">
        <v>43689</v>
      </c>
      <c r="B905">
        <v>0.1178</v>
      </c>
      <c r="C905">
        <v>0.16650000000000001</v>
      </c>
      <c r="D905">
        <v>0.1178</v>
      </c>
      <c r="E905">
        <v>0.16539999999999999</v>
      </c>
      <c r="F905">
        <v>22421577.440000001</v>
      </c>
      <c r="G905">
        <v>0</v>
      </c>
    </row>
    <row r="906" spans="1:7" x14ac:dyDescent="0.25">
      <c r="A906" s="5">
        <v>43688</v>
      </c>
      <c r="B906">
        <v>0.1158</v>
      </c>
      <c r="C906">
        <v>0.1462</v>
      </c>
      <c r="D906">
        <v>0.1149</v>
      </c>
      <c r="E906">
        <v>0.1177</v>
      </c>
      <c r="F906">
        <v>19809380.530000001</v>
      </c>
      <c r="G906">
        <v>0</v>
      </c>
    </row>
    <row r="907" spans="1:7" x14ac:dyDescent="0.25">
      <c r="A907" s="5">
        <v>43687</v>
      </c>
      <c r="B907">
        <v>0.1085</v>
      </c>
      <c r="C907">
        <v>0.1207</v>
      </c>
      <c r="D907">
        <v>0.10150000000000001</v>
      </c>
      <c r="E907">
        <v>0.1158</v>
      </c>
      <c r="F907">
        <v>8258069.2000000002</v>
      </c>
      <c r="G907">
        <v>0</v>
      </c>
    </row>
    <row r="908" spans="1:7" x14ac:dyDescent="0.25">
      <c r="A908" s="5">
        <v>43686</v>
      </c>
      <c r="B908">
        <v>0.1479</v>
      </c>
      <c r="C908">
        <v>0.1479</v>
      </c>
      <c r="D908">
        <v>0.1071</v>
      </c>
      <c r="E908">
        <v>0.1079</v>
      </c>
      <c r="F908">
        <v>17865580.260000002</v>
      </c>
      <c r="G908">
        <v>0</v>
      </c>
    </row>
    <row r="909" spans="1:7" x14ac:dyDescent="0.25">
      <c r="A909" s="5">
        <v>43685</v>
      </c>
      <c r="B909">
        <v>0.1012</v>
      </c>
      <c r="C909">
        <v>0.17599999999999999</v>
      </c>
      <c r="D909">
        <v>0.1012</v>
      </c>
      <c r="E909">
        <v>0.14849999999999999</v>
      </c>
      <c r="F909">
        <v>62941272.549999997</v>
      </c>
      <c r="G909">
        <v>0</v>
      </c>
    </row>
    <row r="910" spans="1:7" x14ac:dyDescent="0.25">
      <c r="A910" s="5">
        <v>43684</v>
      </c>
      <c r="B910">
        <v>0.1051</v>
      </c>
      <c r="C910">
        <v>0.108</v>
      </c>
      <c r="D910">
        <v>9.7100000000000006E-2</v>
      </c>
      <c r="E910">
        <v>0.1011</v>
      </c>
      <c r="F910">
        <v>6130613.5800000001</v>
      </c>
      <c r="G910">
        <v>0</v>
      </c>
    </row>
    <row r="911" spans="1:7" x14ac:dyDescent="0.25">
      <c r="A911" s="5">
        <v>43683</v>
      </c>
      <c r="B911">
        <v>0.1004</v>
      </c>
      <c r="C911">
        <v>0.12659999999999999</v>
      </c>
      <c r="D911">
        <v>0.1</v>
      </c>
      <c r="E911">
        <v>0.1046</v>
      </c>
      <c r="F911">
        <v>8749026.0500000007</v>
      </c>
      <c r="G911">
        <v>0</v>
      </c>
    </row>
    <row r="912" spans="1:7" x14ac:dyDescent="0.25">
      <c r="A912" s="5">
        <v>43682</v>
      </c>
      <c r="B912">
        <v>0.1116</v>
      </c>
      <c r="C912">
        <v>0.11310000000000001</v>
      </c>
      <c r="D912">
        <v>9.8400000000000001E-2</v>
      </c>
      <c r="E912">
        <v>0.1003</v>
      </c>
      <c r="F912">
        <v>4638215.57</v>
      </c>
      <c r="G912">
        <v>0</v>
      </c>
    </row>
    <row r="913" spans="1:7" x14ac:dyDescent="0.25">
      <c r="A913" s="5">
        <v>43681</v>
      </c>
      <c r="B913">
        <v>0.11799999999999999</v>
      </c>
      <c r="C913">
        <v>0.1197</v>
      </c>
      <c r="D913">
        <v>0.1105</v>
      </c>
      <c r="E913">
        <v>0.11169999999999999</v>
      </c>
      <c r="F913">
        <v>2233792.38</v>
      </c>
      <c r="G913">
        <v>0</v>
      </c>
    </row>
    <row r="914" spans="1:7" x14ac:dyDescent="0.25">
      <c r="A914" s="5">
        <v>43680</v>
      </c>
      <c r="B914">
        <v>0.13300000000000001</v>
      </c>
      <c r="C914">
        <v>0.13730000000000001</v>
      </c>
      <c r="D914">
        <v>0.1163</v>
      </c>
      <c r="E914">
        <v>0.11799999999999999</v>
      </c>
      <c r="F914">
        <v>3238782.44</v>
      </c>
      <c r="G914">
        <v>0</v>
      </c>
    </row>
    <row r="915" spans="1:7" x14ac:dyDescent="0.25">
      <c r="A915" s="5">
        <v>43679</v>
      </c>
      <c r="B915">
        <v>0.123</v>
      </c>
      <c r="C915">
        <v>0.14799999999999999</v>
      </c>
      <c r="D915">
        <v>0.1206</v>
      </c>
      <c r="E915">
        <v>0.1331</v>
      </c>
      <c r="F915">
        <v>5387825.7999999998</v>
      </c>
      <c r="G915">
        <v>0</v>
      </c>
    </row>
    <row r="916" spans="1:7" x14ac:dyDescent="0.25">
      <c r="A916" s="5">
        <v>43678</v>
      </c>
      <c r="B916">
        <v>0.14030000000000001</v>
      </c>
      <c r="C916">
        <v>0.14180000000000001</v>
      </c>
      <c r="D916">
        <v>0.1186</v>
      </c>
      <c r="E916">
        <v>0.123</v>
      </c>
      <c r="F916">
        <v>3355648.64</v>
      </c>
      <c r="G916">
        <v>0</v>
      </c>
    </row>
    <row r="917" spans="1:7" x14ac:dyDescent="0.25">
      <c r="A917" s="5">
        <v>43677</v>
      </c>
      <c r="B917">
        <v>0.14760000000000001</v>
      </c>
      <c r="C917">
        <v>0.1527</v>
      </c>
      <c r="D917">
        <v>0.13550000000000001</v>
      </c>
      <c r="E917">
        <v>0.14030000000000001</v>
      </c>
      <c r="F917">
        <v>1974010.76</v>
      </c>
      <c r="G917">
        <v>0</v>
      </c>
    </row>
    <row r="918" spans="1:7" x14ac:dyDescent="0.25">
      <c r="A918" s="5">
        <v>43676</v>
      </c>
      <c r="B918">
        <v>0.14979999999999999</v>
      </c>
      <c r="C918">
        <v>0.15939999999999999</v>
      </c>
      <c r="D918">
        <v>0.14199999999999999</v>
      </c>
      <c r="E918">
        <v>0.14760000000000001</v>
      </c>
      <c r="F918">
        <v>2738581.08</v>
      </c>
      <c r="G918">
        <v>0</v>
      </c>
    </row>
    <row r="919" spans="1:7" x14ac:dyDescent="0.25">
      <c r="A919" s="5">
        <v>43675</v>
      </c>
      <c r="B919">
        <v>0.15759999999999999</v>
      </c>
      <c r="C919">
        <v>0.159</v>
      </c>
      <c r="D919">
        <v>0.1472</v>
      </c>
      <c r="E919">
        <v>0.14990000000000001</v>
      </c>
      <c r="F919">
        <v>1547377.16</v>
      </c>
      <c r="G919">
        <v>0</v>
      </c>
    </row>
    <row r="920" spans="1:7" x14ac:dyDescent="0.25">
      <c r="A920" s="5">
        <v>43674</v>
      </c>
      <c r="B920">
        <v>0.16159999999999999</v>
      </c>
      <c r="C920">
        <v>0.1706</v>
      </c>
      <c r="D920">
        <v>0.1515</v>
      </c>
      <c r="E920">
        <v>0.15759999999999999</v>
      </c>
      <c r="F920">
        <v>1765397.45</v>
      </c>
      <c r="G920">
        <v>0</v>
      </c>
    </row>
    <row r="921" spans="1:7" x14ac:dyDescent="0.25">
      <c r="A921" s="5">
        <v>43673</v>
      </c>
      <c r="B921">
        <v>0.18790000000000001</v>
      </c>
      <c r="C921">
        <v>0.19259999999999999</v>
      </c>
      <c r="D921">
        <v>0.1588</v>
      </c>
      <c r="E921">
        <v>0.16159999999999999</v>
      </c>
      <c r="F921">
        <v>3676859</v>
      </c>
      <c r="G921">
        <v>0</v>
      </c>
    </row>
    <row r="922" spans="1:7" x14ac:dyDescent="0.25">
      <c r="A922" s="5">
        <v>43672</v>
      </c>
      <c r="B922">
        <v>0.19289999999999999</v>
      </c>
      <c r="C922">
        <v>0.21199999999999999</v>
      </c>
      <c r="D922">
        <v>0.18310000000000001</v>
      </c>
      <c r="E922">
        <v>0.18759999999999999</v>
      </c>
      <c r="F922">
        <v>6203041.1699999999</v>
      </c>
      <c r="G922">
        <v>0</v>
      </c>
    </row>
    <row r="923" spans="1:7" x14ac:dyDescent="0.25">
      <c r="A923" s="5">
        <v>43671</v>
      </c>
      <c r="B923">
        <v>0.1711</v>
      </c>
      <c r="C923">
        <v>0.20050000000000001</v>
      </c>
      <c r="D923">
        <v>0.17019999999999999</v>
      </c>
      <c r="E923">
        <v>0.193</v>
      </c>
      <c r="F923">
        <v>5122187.54</v>
      </c>
      <c r="G923">
        <v>0</v>
      </c>
    </row>
    <row r="924" spans="1:7" x14ac:dyDescent="0.25">
      <c r="A924" s="5">
        <v>43670</v>
      </c>
      <c r="B924">
        <v>0.214</v>
      </c>
      <c r="C924">
        <v>0.22339999999999999</v>
      </c>
      <c r="D924">
        <v>0.17080000000000001</v>
      </c>
      <c r="E924">
        <v>0.17230000000000001</v>
      </c>
      <c r="F924">
        <v>5576418.0099999998</v>
      </c>
      <c r="G924">
        <v>0</v>
      </c>
    </row>
    <row r="925" spans="1:7" x14ac:dyDescent="0.25">
      <c r="A925" s="5">
        <v>43669</v>
      </c>
      <c r="B925">
        <v>0.29620000000000002</v>
      </c>
      <c r="C925">
        <v>0.30470000000000003</v>
      </c>
      <c r="D925">
        <v>0.21</v>
      </c>
      <c r="E925">
        <v>0.2114</v>
      </c>
      <c r="F925">
        <v>7079094.0700000003</v>
      </c>
      <c r="G925">
        <v>0</v>
      </c>
    </row>
    <row r="926" spans="1:7" x14ac:dyDescent="0.25">
      <c r="A926" s="5">
        <v>43668</v>
      </c>
      <c r="B926">
        <v>0.61199999999999999</v>
      </c>
      <c r="C926">
        <v>0.66700000000000004</v>
      </c>
      <c r="D926">
        <v>0.26679999999999998</v>
      </c>
      <c r="E926">
        <v>0.29620000000000002</v>
      </c>
      <c r="F926">
        <v>15731187.49</v>
      </c>
      <c r="G926">
        <v>0</v>
      </c>
    </row>
    <row r="927" spans="1:7" x14ac:dyDescent="0.25">
      <c r="A927" s="5"/>
      <c r="C927" s="4"/>
      <c r="D927" s="4"/>
    </row>
    <row r="928" spans="1:7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  <c r="C953" s="4"/>
      <c r="D953" s="4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  <c r="C1716"/>
      <c r="D1716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J613" sqref="OJ61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$A$612</v>
      </c>
      <c r="D111" s="1" t="str">
        <f>ADDRESS(C121-1,D121,1,1)</f>
        <v>$OJ$612</v>
      </c>
      <c r="E111"/>
    </row>
    <row r="112" spans="1:5" x14ac:dyDescent="0.25">
      <c r="A112" s="7">
        <v>12164.144957890772</v>
      </c>
      <c r="C112" s="1" t="str">
        <f>ADDRESS(C121,1,1,1)</f>
        <v>$A$613</v>
      </c>
      <c r="D112" s="1" t="str">
        <f>ADDRESS(C121,D121-1,1,1)</f>
        <v>$OI$613</v>
      </c>
      <c r="E112"/>
    </row>
    <row r="113" spans="1:5" x14ac:dyDescent="0.25">
      <c r="A113" s="7">
        <v>11925.63231165762</v>
      </c>
      <c r="C113" s="1" t="str">
        <f>ADDRESS(C121+1,1,1,1)</f>
        <v>$A$614</v>
      </c>
      <c r="D113" s="1" t="str">
        <f>ADDRESS(C121-1,D121+1,1,1)</f>
        <v>$OK$612</v>
      </c>
    </row>
    <row r="114" spans="1:5" x14ac:dyDescent="0.25">
      <c r="A114" s="7">
        <v>11691.796383978059</v>
      </c>
      <c r="C114" s="1" t="str">
        <f>ADDRESS(C121,D121,1,1)</f>
        <v>$OJ$613</v>
      </c>
      <c r="D114" s="1" t="str">
        <f>ADDRESS(C121+1,D121+1,1,1)</f>
        <v>$OK$614</v>
      </c>
    </row>
    <row r="115" spans="1:5" x14ac:dyDescent="0.25">
      <c r="A115" s="7">
        <v>11462.545474488292</v>
      </c>
      <c r="C115" s="1" t="str">
        <f>ADDRESS(C121+1,D121,1,1)</f>
        <v>$OJ$614</v>
      </c>
    </row>
    <row r="116" spans="1:5" x14ac:dyDescent="0.25">
      <c r="A116" s="7">
        <v>11237.789680870874</v>
      </c>
      <c r="C116" s="1">
        <f>C117-1</f>
        <v>612</v>
      </c>
    </row>
    <row r="117" spans="1:5" x14ac:dyDescent="0.25">
      <c r="A117" s="7">
        <v>11017.440863598895</v>
      </c>
      <c r="C117" s="1">
        <f>C121</f>
        <v>613</v>
      </c>
      <c r="D117" s="1">
        <f>D121</f>
        <v>400</v>
      </c>
    </row>
    <row r="118" spans="1:5" x14ac:dyDescent="0.25">
      <c r="A118" s="7">
        <v>10801.412611371465</v>
      </c>
      <c r="C118" s="1">
        <f>C117+1</f>
        <v>614</v>
      </c>
      <c r="D118" s="1">
        <f>D117+1</f>
        <v>401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613</v>
      </c>
      <c r="D121" s="19">
        <v>400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R613</v>
      </c>
      <c r="D123" s="1" t="str">
        <f>"C"&amp;D121</f>
        <v>C400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0.59757928483164646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396" x14ac:dyDescent="0.25">
      <c r="A577" s="7">
        <v>1.2189944199947573</v>
      </c>
      <c r="B577"/>
      <c r="C577"/>
      <c r="D577"/>
      <c r="E577"/>
    </row>
    <row r="578" spans="1:396" x14ac:dyDescent="0.25">
      <c r="A578" s="7">
        <v>1.1950925686223111</v>
      </c>
      <c r="B578"/>
      <c r="C578"/>
      <c r="D578"/>
      <c r="E578"/>
    </row>
    <row r="579" spans="1:396" x14ac:dyDescent="0.25">
      <c r="A579" s="7">
        <v>1.1716593810022657</v>
      </c>
      <c r="B579"/>
      <c r="C579"/>
      <c r="D579"/>
      <c r="E579"/>
      <c r="NQ579" s="27" t="s">
        <v>8</v>
      </c>
    </row>
    <row r="580" spans="1:396" x14ac:dyDescent="0.25">
      <c r="A580" s="7">
        <v>1.14868566764928</v>
      </c>
      <c r="B580"/>
      <c r="C580"/>
      <c r="D580"/>
      <c r="E580"/>
      <c r="NQ580" s="27" t="s">
        <v>8</v>
      </c>
      <c r="NR580" s="27" t="s">
        <v>7</v>
      </c>
    </row>
    <row r="581" spans="1:396" x14ac:dyDescent="0.25">
      <c r="A581" s="7">
        <v>1.1261624192640001</v>
      </c>
      <c r="B581"/>
      <c r="C581"/>
      <c r="D581"/>
      <c r="E581"/>
      <c r="NQ581" s="27" t="s">
        <v>8</v>
      </c>
      <c r="NR581" s="27" t="s">
        <v>7</v>
      </c>
    </row>
    <row r="582" spans="1:396" x14ac:dyDescent="0.25">
      <c r="A582" s="7">
        <v>1.1040808032</v>
      </c>
      <c r="B582"/>
      <c r="C582"/>
      <c r="D582"/>
      <c r="E582"/>
      <c r="NQ582" s="27" t="s">
        <v>8</v>
      </c>
      <c r="NR582" s="27" t="s">
        <v>7</v>
      </c>
    </row>
    <row r="583" spans="1:396" x14ac:dyDescent="0.25">
      <c r="A583" s="7">
        <v>1.08243216</v>
      </c>
      <c r="B583"/>
      <c r="C583"/>
      <c r="D583"/>
      <c r="E583"/>
      <c r="NQ583" s="27" t="s">
        <v>8</v>
      </c>
      <c r="NR583" s="27" t="s">
        <v>7</v>
      </c>
      <c r="OC583" s="27" t="s">
        <v>8</v>
      </c>
    </row>
    <row r="584" spans="1:396" x14ac:dyDescent="0.25">
      <c r="A584" s="7">
        <v>1.0612079999999999</v>
      </c>
      <c r="B584"/>
      <c r="C584"/>
      <c r="D584"/>
      <c r="E584"/>
      <c r="NQ584" s="27" t="s">
        <v>8</v>
      </c>
      <c r="NR584" s="27" t="s">
        <v>7</v>
      </c>
      <c r="OC584" s="27" t="s">
        <v>8</v>
      </c>
      <c r="OD584" s="27" t="s">
        <v>7</v>
      </c>
    </row>
    <row r="585" spans="1:396" x14ac:dyDescent="0.25">
      <c r="A585" s="7">
        <v>1.0404</v>
      </c>
      <c r="B585"/>
      <c r="C585"/>
      <c r="D585"/>
      <c r="E585"/>
      <c r="NQ585" s="27" t="s">
        <v>8</v>
      </c>
      <c r="NR585" s="27" t="s">
        <v>7</v>
      </c>
      <c r="NS585" s="27" t="s">
        <v>8</v>
      </c>
      <c r="OC585" s="27" t="s">
        <v>8</v>
      </c>
      <c r="OD585" s="27" t="s">
        <v>7</v>
      </c>
    </row>
    <row r="586" spans="1:396" x14ac:dyDescent="0.25">
      <c r="A586" s="7">
        <v>1.02</v>
      </c>
      <c r="B586"/>
      <c r="C586"/>
      <c r="D586"/>
      <c r="E586"/>
      <c r="NQ586" s="27" t="s">
        <v>8</v>
      </c>
      <c r="NR586" s="27" t="s">
        <v>7</v>
      </c>
      <c r="NS586" s="27" t="s">
        <v>8</v>
      </c>
      <c r="NT586" s="27" t="s">
        <v>7</v>
      </c>
      <c r="OC586" s="27" t="s">
        <v>8</v>
      </c>
      <c r="OD586" s="27" t="s">
        <v>7</v>
      </c>
    </row>
    <row r="587" spans="1:396" x14ac:dyDescent="0.25">
      <c r="A587" s="7">
        <v>1</v>
      </c>
      <c r="B587"/>
      <c r="C587"/>
      <c r="D587"/>
      <c r="E587" s="29" t="s">
        <v>8</v>
      </c>
      <c r="NQ587" s="27" t="s">
        <v>8</v>
      </c>
      <c r="NR587" s="27" t="s">
        <v>7</v>
      </c>
      <c r="NS587" s="27" t="s">
        <v>8</v>
      </c>
      <c r="NT587" s="27" t="s">
        <v>7</v>
      </c>
      <c r="OC587" s="27" t="s">
        <v>8</v>
      </c>
      <c r="OD587" s="27" t="s">
        <v>7</v>
      </c>
    </row>
    <row r="588" spans="1:396" x14ac:dyDescent="0.25">
      <c r="A588" s="7">
        <v>0.98039215686274506</v>
      </c>
      <c r="B588"/>
      <c r="C588"/>
      <c r="D588"/>
      <c r="E588"/>
      <c r="F588" s="27" t="s">
        <v>7</v>
      </c>
      <c r="NQ588" s="27" t="s">
        <v>8</v>
      </c>
      <c r="NR588" s="27" t="s">
        <v>7</v>
      </c>
      <c r="NS588" s="27" t="s">
        <v>8</v>
      </c>
      <c r="NT588" s="27" t="s">
        <v>7</v>
      </c>
      <c r="OC588" s="27" t="s">
        <v>8</v>
      </c>
      <c r="OD588" s="27" t="s">
        <v>7</v>
      </c>
    </row>
    <row r="589" spans="1:396" x14ac:dyDescent="0.25">
      <c r="A589" s="7">
        <v>0.96116878123798544</v>
      </c>
      <c r="B589"/>
      <c r="C589"/>
      <c r="D589"/>
      <c r="E589"/>
      <c r="F589" s="27" t="s">
        <v>7</v>
      </c>
      <c r="NQ589" s="27" t="s">
        <v>8</v>
      </c>
      <c r="NR589" s="27" t="s">
        <v>7</v>
      </c>
      <c r="NS589" s="27" t="s">
        <v>8</v>
      </c>
      <c r="NT589" s="27" t="s">
        <v>7</v>
      </c>
      <c r="NU589" s="27" t="s">
        <v>8</v>
      </c>
      <c r="OA589" s="27" t="s">
        <v>8</v>
      </c>
      <c r="OC589" s="27" t="s">
        <v>8</v>
      </c>
      <c r="OD589" s="27" t="s">
        <v>7</v>
      </c>
      <c r="OE589" s="27" t="s">
        <v>8</v>
      </c>
    </row>
    <row r="590" spans="1:396" x14ac:dyDescent="0.25">
      <c r="A590" s="7">
        <v>0.94232233454704462</v>
      </c>
      <c r="B590"/>
      <c r="C590"/>
      <c r="D590"/>
      <c r="E590"/>
      <c r="F590" s="27" t="s">
        <v>7</v>
      </c>
      <c r="NQ590" s="27" t="s">
        <v>8</v>
      </c>
      <c r="NR590" s="27" t="s">
        <v>7</v>
      </c>
      <c r="NS590" s="27" t="s">
        <v>8</v>
      </c>
      <c r="NT590" s="27" t="s">
        <v>7</v>
      </c>
      <c r="NU590" s="27" t="s">
        <v>8</v>
      </c>
      <c r="NV590" s="27" t="s">
        <v>7</v>
      </c>
      <c r="OA590" s="27" t="s">
        <v>8</v>
      </c>
      <c r="OB590" s="27" t="s">
        <v>7</v>
      </c>
      <c r="OC590" s="27" t="s">
        <v>8</v>
      </c>
      <c r="OD590" s="27" t="s">
        <v>7</v>
      </c>
      <c r="OE590" s="27" t="s">
        <v>8</v>
      </c>
      <c r="OF590" s="27" t="s">
        <v>7</v>
      </c>
    </row>
    <row r="591" spans="1:396" x14ac:dyDescent="0.25">
      <c r="A591" s="7">
        <v>0.92384542602651432</v>
      </c>
      <c r="B591"/>
      <c r="C591"/>
      <c r="D591"/>
      <c r="E591"/>
      <c r="F591" s="27" t="s">
        <v>7</v>
      </c>
      <c r="NQ591" s="27" t="s">
        <v>8</v>
      </c>
      <c r="NR591" s="27" t="s">
        <v>7</v>
      </c>
      <c r="NS591" s="27" t="s">
        <v>8</v>
      </c>
      <c r="NT591" s="27" t="s">
        <v>7</v>
      </c>
      <c r="NU591" s="27" t="s">
        <v>8</v>
      </c>
      <c r="NV591" s="27" t="s">
        <v>7</v>
      </c>
      <c r="OA591" s="27" t="s">
        <v>8</v>
      </c>
      <c r="OB591" s="27" t="s">
        <v>7</v>
      </c>
      <c r="OC591" s="27" t="s">
        <v>8</v>
      </c>
      <c r="OD591" s="27" t="s">
        <v>7</v>
      </c>
      <c r="OE591" s="27" t="s">
        <v>8</v>
      </c>
      <c r="OF591" s="27" t="s">
        <v>7</v>
      </c>
    </row>
    <row r="592" spans="1:396" x14ac:dyDescent="0.25">
      <c r="A592" s="7">
        <v>0.90573080982991594</v>
      </c>
      <c r="B592"/>
      <c r="C592"/>
      <c r="D592"/>
      <c r="E592"/>
      <c r="F592" s="27" t="s">
        <v>7</v>
      </c>
      <c r="NQ592" s="27" t="s">
        <v>8</v>
      </c>
      <c r="NR592" s="27" t="s">
        <v>7</v>
      </c>
      <c r="NT592" s="27" t="s">
        <v>7</v>
      </c>
      <c r="NU592" s="27" t="s">
        <v>8</v>
      </c>
      <c r="NV592" s="27" t="s">
        <v>7</v>
      </c>
      <c r="OA592" s="27" t="s">
        <v>8</v>
      </c>
      <c r="OB592" s="27" t="s">
        <v>7</v>
      </c>
      <c r="OC592" s="27" t="s">
        <v>8</v>
      </c>
      <c r="OD592" s="27" t="s">
        <v>7</v>
      </c>
      <c r="OE592" s="27" t="s">
        <v>8</v>
      </c>
      <c r="OF592" s="27" t="s">
        <v>7</v>
      </c>
    </row>
    <row r="593" spans="1:400" x14ac:dyDescent="0.25">
      <c r="A593" s="7">
        <v>0.8879713821861922</v>
      </c>
      <c r="B593"/>
      <c r="C593"/>
      <c r="D593"/>
      <c r="E593"/>
      <c r="F593" s="27" t="s">
        <v>7</v>
      </c>
      <c r="NQ593" s="27" t="s">
        <v>8</v>
      </c>
      <c r="NT593" s="27" t="s">
        <v>7</v>
      </c>
      <c r="NU593" s="27" t="s">
        <v>8</v>
      </c>
      <c r="NV593" s="27" t="s">
        <v>7</v>
      </c>
      <c r="OA593" s="27" t="s">
        <v>8</v>
      </c>
      <c r="OB593" s="27" t="s">
        <v>7</v>
      </c>
      <c r="OD593" s="27" t="s">
        <v>7</v>
      </c>
      <c r="OE593" s="27" t="s">
        <v>8</v>
      </c>
      <c r="OF593" s="27" t="s">
        <v>7</v>
      </c>
    </row>
    <row r="594" spans="1:400" x14ac:dyDescent="0.25">
      <c r="A594" s="7">
        <v>0.87056017861391399</v>
      </c>
      <c r="B594"/>
      <c r="C594"/>
      <c r="D594"/>
      <c r="E594"/>
      <c r="F594" s="27" t="s">
        <v>7</v>
      </c>
      <c r="NQ594" s="27" t="s">
        <v>8</v>
      </c>
      <c r="NT594" s="27" t="s">
        <v>7</v>
      </c>
      <c r="NU594" s="27" t="s">
        <v>8</v>
      </c>
      <c r="NV594" s="27" t="s">
        <v>7</v>
      </c>
      <c r="OA594" s="27" t="s">
        <v>8</v>
      </c>
      <c r="OD594" s="27" t="s">
        <v>7</v>
      </c>
      <c r="OE594" s="27" t="s">
        <v>8</v>
      </c>
      <c r="OF594" s="27" t="s">
        <v>7</v>
      </c>
    </row>
    <row r="595" spans="1:400" x14ac:dyDescent="0.25">
      <c r="A595" s="7">
        <v>0.85349037119011173</v>
      </c>
      <c r="B595"/>
      <c r="C595"/>
      <c r="D595"/>
      <c r="E595"/>
      <c r="F595" s="27" t="s">
        <v>7</v>
      </c>
      <c r="NQ595" s="27" t="s">
        <v>8</v>
      </c>
      <c r="NT595" s="27" t="s">
        <v>7</v>
      </c>
      <c r="NU595" s="27" t="s">
        <v>8</v>
      </c>
      <c r="NV595" s="27" t="s">
        <v>7</v>
      </c>
      <c r="OA595" s="27" t="s">
        <v>8</v>
      </c>
      <c r="OD595" s="27" t="s">
        <v>7</v>
      </c>
      <c r="OF595" s="27" t="s">
        <v>7</v>
      </c>
    </row>
    <row r="596" spans="1:400" x14ac:dyDescent="0.25">
      <c r="A596" s="7">
        <v>0.83675526587265858</v>
      </c>
      <c r="B596"/>
      <c r="C596"/>
      <c r="D596"/>
      <c r="E596"/>
      <c r="F596" s="27" t="s">
        <v>7</v>
      </c>
      <c r="NQ596" s="27" t="s">
        <v>8</v>
      </c>
      <c r="NT596" s="27" t="s">
        <v>7</v>
      </c>
      <c r="NU596" s="27" t="s">
        <v>8</v>
      </c>
      <c r="NV596" s="27" t="s">
        <v>7</v>
      </c>
      <c r="OA596" s="27" t="s">
        <v>8</v>
      </c>
      <c r="OF596" s="27" t="s">
        <v>7</v>
      </c>
    </row>
    <row r="597" spans="1:400" x14ac:dyDescent="0.25">
      <c r="A597" s="7">
        <v>0.82034829987515545</v>
      </c>
      <c r="B597"/>
      <c r="C597"/>
      <c r="D597"/>
      <c r="E597"/>
      <c r="F597" s="27" t="s">
        <v>7</v>
      </c>
      <c r="NQ597" s="27" t="s">
        <v>8</v>
      </c>
      <c r="NT597" s="27" t="s">
        <v>7</v>
      </c>
      <c r="NU597" s="27" t="s">
        <v>8</v>
      </c>
      <c r="NV597" s="27" t="s">
        <v>7</v>
      </c>
      <c r="OA597" s="27" t="s">
        <v>8</v>
      </c>
      <c r="OF597" s="27" t="s">
        <v>7</v>
      </c>
    </row>
    <row r="598" spans="1:400" x14ac:dyDescent="0.25">
      <c r="A598" s="7">
        <v>0.80426303909328967</v>
      </c>
      <c r="B598"/>
      <c r="C598"/>
      <c r="D598"/>
      <c r="E598"/>
      <c r="F598" s="27" t="s">
        <v>7</v>
      </c>
      <c r="NQ598" s="27" t="s">
        <v>8</v>
      </c>
      <c r="NT598" s="27" t="s">
        <v>7</v>
      </c>
      <c r="NU598" s="27" t="s">
        <v>8</v>
      </c>
      <c r="NV598" s="27" t="s">
        <v>7</v>
      </c>
      <c r="OA598" s="27" t="s">
        <v>8</v>
      </c>
      <c r="OF598" s="27" t="s">
        <v>7</v>
      </c>
    </row>
    <row r="599" spans="1:400" x14ac:dyDescent="0.25">
      <c r="A599" s="7">
        <v>0.78849317558165644</v>
      </c>
      <c r="B599"/>
      <c r="C599"/>
      <c r="D599"/>
      <c r="E599"/>
      <c r="F599" s="27" t="s">
        <v>7</v>
      </c>
      <c r="NO599" s="27" t="s">
        <v>8</v>
      </c>
      <c r="NQ599" s="27" t="s">
        <v>8</v>
      </c>
      <c r="NT599" s="27" t="s">
        <v>7</v>
      </c>
      <c r="NV599" s="27" t="s">
        <v>7</v>
      </c>
      <c r="OA599" s="27" t="s">
        <v>8</v>
      </c>
      <c r="OF599" s="27" t="s">
        <v>7</v>
      </c>
    </row>
    <row r="600" spans="1:400" x14ac:dyDescent="0.25">
      <c r="A600" s="7">
        <v>0.77303252508005538</v>
      </c>
      <c r="B600"/>
      <c r="C600"/>
      <c r="D600"/>
      <c r="E600"/>
      <c r="F600" s="27" t="s">
        <v>7</v>
      </c>
      <c r="NO600" s="27" t="s">
        <v>8</v>
      </c>
      <c r="NP600" s="27" t="s">
        <v>7</v>
      </c>
      <c r="NQ600" s="27" t="s">
        <v>8</v>
      </c>
      <c r="NV600" s="27" t="s">
        <v>7</v>
      </c>
      <c r="NW600" s="27" t="s">
        <v>8</v>
      </c>
      <c r="OA600" s="27" t="s">
        <v>8</v>
      </c>
      <c r="OF600" s="27" t="s">
        <v>7</v>
      </c>
    </row>
    <row r="601" spans="1:400" x14ac:dyDescent="0.25">
      <c r="A601" s="7">
        <v>0.75787502458828959</v>
      </c>
      <c r="B601"/>
      <c r="C601"/>
      <c r="D601"/>
      <c r="E601"/>
      <c r="F601" s="27" t="s">
        <v>7</v>
      </c>
      <c r="NO601" s="27" t="s">
        <v>8</v>
      </c>
      <c r="NP601" s="27" t="s">
        <v>7</v>
      </c>
      <c r="NQ601" s="27" t="s">
        <v>8</v>
      </c>
      <c r="NV601" s="27" t="s">
        <v>7</v>
      </c>
      <c r="NW601" s="27" t="s">
        <v>8</v>
      </c>
      <c r="NX601" s="27" t="s">
        <v>7</v>
      </c>
      <c r="OA601" s="27" t="s">
        <v>8</v>
      </c>
      <c r="OF601" s="27" t="s">
        <v>7</v>
      </c>
    </row>
    <row r="602" spans="1:400" x14ac:dyDescent="0.25">
      <c r="A602" s="7">
        <v>0.74301472998851925</v>
      </c>
      <c r="B602"/>
      <c r="C602"/>
      <c r="D602"/>
      <c r="E602"/>
      <c r="F602" s="27" t="s">
        <v>7</v>
      </c>
      <c r="NO602" s="27" t="s">
        <v>8</v>
      </c>
      <c r="NP602" s="27" t="s">
        <v>7</v>
      </c>
      <c r="NQ602" s="27" t="s">
        <v>8</v>
      </c>
      <c r="NV602" s="27" t="s">
        <v>7</v>
      </c>
      <c r="NW602" s="27" t="s">
        <v>8</v>
      </c>
      <c r="NX602" s="27" t="s">
        <v>7</v>
      </c>
      <c r="OA602" s="27" t="s">
        <v>8</v>
      </c>
      <c r="OF602" s="27" t="s">
        <v>7</v>
      </c>
    </row>
    <row r="603" spans="1:400" x14ac:dyDescent="0.25">
      <c r="A603" s="7">
        <v>0.72844581371423456</v>
      </c>
      <c r="B603"/>
      <c r="C603"/>
      <c r="D603"/>
      <c r="E603"/>
      <c r="F603" s="27" t="s">
        <v>7</v>
      </c>
      <c r="NM603" s="27" t="s">
        <v>8</v>
      </c>
      <c r="NO603" s="27" t="s">
        <v>8</v>
      </c>
      <c r="NP603" s="27" t="s">
        <v>7</v>
      </c>
      <c r="NQ603" s="27" t="s">
        <v>8</v>
      </c>
      <c r="NV603" s="27" t="s">
        <v>7</v>
      </c>
      <c r="NW603" s="27" t="s">
        <v>8</v>
      </c>
      <c r="NX603" s="27" t="s">
        <v>7</v>
      </c>
      <c r="OA603" s="27" t="s">
        <v>8</v>
      </c>
      <c r="OF603" s="27" t="s">
        <v>7</v>
      </c>
    </row>
    <row r="604" spans="1:400" x14ac:dyDescent="0.25">
      <c r="A604" s="7">
        <v>0.71416256246493581</v>
      </c>
      <c r="B604"/>
      <c r="C604"/>
      <c r="D604"/>
      <c r="E604"/>
      <c r="F604" s="27" t="s">
        <v>7</v>
      </c>
      <c r="NM604" s="27" t="s">
        <v>8</v>
      </c>
      <c r="NN604" s="27" t="s">
        <v>7</v>
      </c>
      <c r="NO604" s="27" t="s">
        <v>8</v>
      </c>
      <c r="NP604" s="27" t="s">
        <v>7</v>
      </c>
      <c r="NQ604" s="27" t="s">
        <v>8</v>
      </c>
      <c r="NV604" s="27" t="s">
        <v>7</v>
      </c>
      <c r="NW604" s="27" t="s">
        <v>8</v>
      </c>
      <c r="NX604" s="27" t="s">
        <v>7</v>
      </c>
      <c r="OA604" s="27" t="s">
        <v>8</v>
      </c>
      <c r="OF604" s="27" t="s">
        <v>7</v>
      </c>
    </row>
    <row r="605" spans="1:400" x14ac:dyDescent="0.25">
      <c r="A605" s="7">
        <v>0.7001593749656233</v>
      </c>
      <c r="B605"/>
      <c r="C605"/>
      <c r="D605"/>
      <c r="E605"/>
      <c r="F605" s="27" t="s">
        <v>7</v>
      </c>
      <c r="NM605" s="27" t="s">
        <v>8</v>
      </c>
      <c r="NN605" s="27" t="s">
        <v>7</v>
      </c>
      <c r="NO605" s="27" t="s">
        <v>8</v>
      </c>
      <c r="NP605" s="27" t="s">
        <v>7</v>
      </c>
      <c r="NV605" s="27" t="s">
        <v>7</v>
      </c>
      <c r="NW605" s="27" t="s">
        <v>8</v>
      </c>
      <c r="NX605" s="27" t="s">
        <v>7</v>
      </c>
      <c r="OA605" s="27" t="s">
        <v>8</v>
      </c>
      <c r="OF605" s="27" t="s">
        <v>7</v>
      </c>
    </row>
    <row r="606" spans="1:400" x14ac:dyDescent="0.25">
      <c r="A606" s="7">
        <v>0.68643075977021883</v>
      </c>
      <c r="B606"/>
      <c r="C606"/>
      <c r="D606"/>
      <c r="E606"/>
      <c r="F606" s="27" t="s">
        <v>7</v>
      </c>
      <c r="NM606" s="27" t="s">
        <v>8</v>
      </c>
      <c r="NN606" s="27" t="s">
        <v>7</v>
      </c>
      <c r="NO606" s="27" t="s">
        <v>8</v>
      </c>
      <c r="NV606" s="27" t="s">
        <v>7</v>
      </c>
      <c r="NW606" s="27" t="s">
        <v>8</v>
      </c>
      <c r="NX606" s="27" t="s">
        <v>7</v>
      </c>
      <c r="NY606" s="27" t="s">
        <v>8</v>
      </c>
      <c r="OA606" s="27" t="s">
        <v>8</v>
      </c>
      <c r="OF606" s="27" t="s">
        <v>7</v>
      </c>
      <c r="OI606" s="27" t="s">
        <v>8</v>
      </c>
    </row>
    <row r="607" spans="1:400" x14ac:dyDescent="0.25">
      <c r="A607" s="7">
        <v>0.67297133310805768</v>
      </c>
      <c r="B607"/>
      <c r="C607"/>
      <c r="D607"/>
      <c r="E607"/>
      <c r="F607" s="27" t="s">
        <v>7</v>
      </c>
      <c r="NM607" s="27" t="s">
        <v>8</v>
      </c>
      <c r="NN607" s="27" t="s">
        <v>7</v>
      </c>
      <c r="NO607" s="27" t="s">
        <v>8</v>
      </c>
      <c r="NV607" s="27" t="s">
        <v>7</v>
      </c>
      <c r="NW607" s="27" t="s">
        <v>8</v>
      </c>
      <c r="NX607" s="27" t="s">
        <v>7</v>
      </c>
      <c r="NY607" s="27" t="s">
        <v>8</v>
      </c>
      <c r="NZ607" s="27" t="s">
        <v>7</v>
      </c>
      <c r="OA607" s="27" t="s">
        <v>8</v>
      </c>
      <c r="OF607" s="27" t="s">
        <v>7</v>
      </c>
      <c r="OI607" s="27" t="s">
        <v>8</v>
      </c>
      <c r="OJ607" s="27" t="s">
        <v>7</v>
      </c>
    </row>
    <row r="608" spans="1:400" x14ac:dyDescent="0.25">
      <c r="A608" s="7">
        <v>0.65977581677260566</v>
      </c>
      <c r="B608"/>
      <c r="C608"/>
      <c r="D608"/>
      <c r="E608"/>
      <c r="F608" s="27" t="s">
        <v>7</v>
      </c>
      <c r="NI608" s="27" t="s">
        <v>8</v>
      </c>
      <c r="NM608" s="27" t="s">
        <v>8</v>
      </c>
      <c r="NN608" s="27" t="s">
        <v>7</v>
      </c>
      <c r="NO608" s="27" t="s">
        <v>8</v>
      </c>
      <c r="NV608" s="27" t="s">
        <v>7</v>
      </c>
      <c r="NX608" s="27" t="s">
        <v>7</v>
      </c>
      <c r="NY608" s="27" t="s">
        <v>8</v>
      </c>
      <c r="NZ608" s="27" t="s">
        <v>7</v>
      </c>
      <c r="OA608" s="27" t="s">
        <v>8</v>
      </c>
      <c r="OF608" s="27" t="s">
        <v>7</v>
      </c>
      <c r="OI608" s="27" t="s">
        <v>8</v>
      </c>
      <c r="OJ608" s="27" t="s">
        <v>7</v>
      </c>
    </row>
    <row r="609" spans="1:400" x14ac:dyDescent="0.25">
      <c r="A609" s="7">
        <v>0.64683903605157422</v>
      </c>
      <c r="B609"/>
      <c r="C609"/>
      <c r="D609"/>
      <c r="E609"/>
      <c r="F609" s="27" t="s">
        <v>7</v>
      </c>
      <c r="NI609" s="27" t="s">
        <v>8</v>
      </c>
      <c r="NJ609" s="27" t="s">
        <v>7</v>
      </c>
      <c r="NM609" s="27" t="s">
        <v>8</v>
      </c>
      <c r="NN609" s="27" t="s">
        <v>7</v>
      </c>
      <c r="NX609" s="27" t="s">
        <v>7</v>
      </c>
      <c r="NY609" s="27" t="s">
        <v>8</v>
      </c>
      <c r="NZ609" s="27" t="s">
        <v>7</v>
      </c>
      <c r="OA609" s="27" t="s">
        <v>8</v>
      </c>
      <c r="OF609" s="27" t="s">
        <v>7</v>
      </c>
      <c r="OG609" s="27" t="s">
        <v>8</v>
      </c>
      <c r="OI609" s="27" t="s">
        <v>8</v>
      </c>
      <c r="OJ609" s="27" t="s">
        <v>7</v>
      </c>
    </row>
    <row r="610" spans="1:400" x14ac:dyDescent="0.25">
      <c r="A610" s="7">
        <v>0.63415591769762181</v>
      </c>
      <c r="B610"/>
      <c r="C610"/>
      <c r="D610"/>
      <c r="E610"/>
      <c r="F610" s="27" t="s">
        <v>7</v>
      </c>
      <c r="NI610" s="27" t="s">
        <v>8</v>
      </c>
      <c r="NJ610" s="27" t="s">
        <v>7</v>
      </c>
      <c r="NM610" s="27" t="s">
        <v>8</v>
      </c>
      <c r="NX610" s="27" t="s">
        <v>7</v>
      </c>
      <c r="NY610" s="27" t="s">
        <v>8</v>
      </c>
      <c r="NZ610" s="27" t="s">
        <v>7</v>
      </c>
      <c r="OA610" s="27" t="s">
        <v>8</v>
      </c>
      <c r="OF610" s="27" t="s">
        <v>7</v>
      </c>
      <c r="OG610" s="27" t="s">
        <v>8</v>
      </c>
      <c r="OH610" s="27" t="s">
        <v>7</v>
      </c>
      <c r="OI610" s="27" t="s">
        <v>8</v>
      </c>
      <c r="OJ610" s="27" t="s">
        <v>7</v>
      </c>
    </row>
    <row r="611" spans="1:400" x14ac:dyDescent="0.25">
      <c r="A611" s="7">
        <v>0.62172148793884496</v>
      </c>
      <c r="B611"/>
      <c r="C611"/>
      <c r="D611"/>
      <c r="E611"/>
      <c r="F611" s="27" t="s">
        <v>7</v>
      </c>
      <c r="NI611" s="27" t="s">
        <v>8</v>
      </c>
      <c r="NJ611" s="27" t="s">
        <v>7</v>
      </c>
      <c r="NM611" s="27" t="s">
        <v>8</v>
      </c>
      <c r="NX611" s="27" t="s">
        <v>7</v>
      </c>
      <c r="NY611" s="27" t="s">
        <v>8</v>
      </c>
      <c r="NZ611" s="27" t="s">
        <v>7</v>
      </c>
      <c r="OA611" s="27" t="s">
        <v>8</v>
      </c>
      <c r="OF611" s="27" t="s">
        <v>7</v>
      </c>
      <c r="OG611" s="27" t="s">
        <v>8</v>
      </c>
      <c r="OH611" s="27" t="s">
        <v>7</v>
      </c>
      <c r="OI611" s="27" t="s">
        <v>8</v>
      </c>
      <c r="OJ611" s="27" t="s">
        <v>7</v>
      </c>
    </row>
    <row r="612" spans="1:400" x14ac:dyDescent="0.25">
      <c r="A612" s="7">
        <v>0.60953087052827937</v>
      </c>
      <c r="B612"/>
      <c r="C612"/>
      <c r="D612"/>
      <c r="E612"/>
      <c r="F612" s="27" t="s">
        <v>7</v>
      </c>
      <c r="NI612" s="27" t="s">
        <v>8</v>
      </c>
      <c r="NJ612" s="27" t="s">
        <v>7</v>
      </c>
      <c r="NM612" s="27" t="s">
        <v>8</v>
      </c>
      <c r="NX612" s="27" t="s">
        <v>7</v>
      </c>
      <c r="NY612" s="27" t="s">
        <v>8</v>
      </c>
      <c r="NZ612" s="27" t="s">
        <v>7</v>
      </c>
      <c r="OA612" s="27" t="s">
        <v>8</v>
      </c>
      <c r="OF612" s="27" t="s">
        <v>7</v>
      </c>
      <c r="OG612" s="27" t="s">
        <v>8</v>
      </c>
      <c r="OH612" s="27" t="s">
        <v>7</v>
      </c>
      <c r="OI612" s="27" t="s">
        <v>8</v>
      </c>
      <c r="OJ612" s="27" t="s">
        <v>7</v>
      </c>
    </row>
    <row r="613" spans="1:400" x14ac:dyDescent="0.25">
      <c r="A613" s="7">
        <v>0.59757928483164646</v>
      </c>
      <c r="B613"/>
      <c r="C613"/>
      <c r="D613"/>
      <c r="E613"/>
      <c r="F613" s="27" t="s">
        <v>7</v>
      </c>
      <c r="NI613" s="27" t="s">
        <v>8</v>
      </c>
      <c r="NJ613" s="27" t="s">
        <v>7</v>
      </c>
      <c r="NM613" s="27" t="s">
        <v>8</v>
      </c>
      <c r="NX613" s="27" t="s">
        <v>7</v>
      </c>
      <c r="NY613" s="27" t="s">
        <v>8</v>
      </c>
      <c r="NZ613" s="27" t="s">
        <v>7</v>
      </c>
      <c r="OA613" s="27" t="s">
        <v>8</v>
      </c>
      <c r="OF613" s="27" t="s">
        <v>7</v>
      </c>
      <c r="OG613" s="27" t="s">
        <v>8</v>
      </c>
      <c r="OH613" s="27" t="s">
        <v>7</v>
      </c>
      <c r="OI613" s="27" t="s">
        <v>8</v>
      </c>
      <c r="OJ613" s="27" t="s">
        <v>7</v>
      </c>
    </row>
    <row r="614" spans="1:400" x14ac:dyDescent="0.25">
      <c r="A614" s="7">
        <v>0.58586204395259456</v>
      </c>
      <c r="B614"/>
      <c r="C614"/>
      <c r="D614"/>
      <c r="E614"/>
      <c r="F614" s="27" t="s">
        <v>7</v>
      </c>
      <c r="NI614" s="27" t="s">
        <v>8</v>
      </c>
      <c r="NJ614" s="27" t="s">
        <v>7</v>
      </c>
      <c r="NM614" s="27" t="s">
        <v>8</v>
      </c>
      <c r="NX614" s="27" t="s">
        <v>7</v>
      </c>
      <c r="NZ614" s="27" t="s">
        <v>7</v>
      </c>
      <c r="OA614" s="27" t="s">
        <v>8</v>
      </c>
      <c r="OF614" s="27" t="s">
        <v>7</v>
      </c>
      <c r="OG614" s="27" t="s">
        <v>8</v>
      </c>
      <c r="OH614" s="27" t="s">
        <v>7</v>
      </c>
      <c r="OI614" s="27" t="s">
        <v>8</v>
      </c>
    </row>
    <row r="615" spans="1:400" x14ac:dyDescent="0.25">
      <c r="A615" s="7">
        <v>0.57437455289470052</v>
      </c>
      <c r="B615"/>
      <c r="C615"/>
      <c r="D615"/>
      <c r="E615"/>
      <c r="F615" s="27" t="s">
        <v>7</v>
      </c>
      <c r="NI615" s="27" t="s">
        <v>8</v>
      </c>
      <c r="NJ615" s="27" t="s">
        <v>7</v>
      </c>
      <c r="NM615" s="27" t="s">
        <v>8</v>
      </c>
      <c r="NZ615" s="27" t="s">
        <v>7</v>
      </c>
      <c r="OA615" s="27" t="s">
        <v>8</v>
      </c>
      <c r="OF615" s="27" t="s">
        <v>7</v>
      </c>
      <c r="OG615" s="27" t="s">
        <v>8</v>
      </c>
      <c r="OH615" s="27" t="s">
        <v>7</v>
      </c>
      <c r="OI615" s="27" t="s">
        <v>8</v>
      </c>
    </row>
    <row r="616" spans="1:400" x14ac:dyDescent="0.25">
      <c r="A616" s="7">
        <v>0.56311230675951029</v>
      </c>
      <c r="B616"/>
      <c r="C616"/>
      <c r="D616"/>
      <c r="E616"/>
      <c r="F616" s="27" t="s">
        <v>7</v>
      </c>
      <c r="NI616" s="27" t="s">
        <v>8</v>
      </c>
      <c r="NJ616" s="27" t="s">
        <v>7</v>
      </c>
      <c r="NM616" s="27" t="s">
        <v>8</v>
      </c>
      <c r="NZ616" s="27" t="s">
        <v>7</v>
      </c>
      <c r="OA616" s="27" t="s">
        <v>8</v>
      </c>
      <c r="OF616" s="27" t="s">
        <v>7</v>
      </c>
      <c r="OG616" s="27" t="s">
        <v>8</v>
      </c>
      <c r="OH616" s="27" t="s">
        <v>7</v>
      </c>
      <c r="OI616" s="27" t="s">
        <v>8</v>
      </c>
    </row>
    <row r="617" spans="1:400" x14ac:dyDescent="0.25">
      <c r="A617" s="7">
        <v>0.55207088897991208</v>
      </c>
      <c r="B617"/>
      <c r="C617"/>
      <c r="D617"/>
      <c r="E617"/>
      <c r="F617" s="27" t="s">
        <v>7</v>
      </c>
      <c r="NI617" s="27" t="s">
        <v>8</v>
      </c>
      <c r="NJ617" s="27" t="s">
        <v>7</v>
      </c>
      <c r="NM617" s="27" t="s">
        <v>8</v>
      </c>
      <c r="NZ617" s="27" t="s">
        <v>7</v>
      </c>
      <c r="OF617" s="27" t="s">
        <v>7</v>
      </c>
      <c r="OG617" s="27" t="s">
        <v>8</v>
      </c>
      <c r="OH617" s="27" t="s">
        <v>7</v>
      </c>
      <c r="OI617" s="27" t="s">
        <v>8</v>
      </c>
    </row>
    <row r="618" spans="1:400" x14ac:dyDescent="0.25">
      <c r="A618" s="7">
        <v>0.54124596958814908</v>
      </c>
      <c r="B618"/>
      <c r="C618"/>
      <c r="D618"/>
      <c r="E618"/>
      <c r="F618" s="27" t="s">
        <v>7</v>
      </c>
      <c r="NI618" s="27" t="s">
        <v>8</v>
      </c>
      <c r="NJ618" s="27" t="s">
        <v>7</v>
      </c>
      <c r="NM618" s="27" t="s">
        <v>8</v>
      </c>
      <c r="OF618" s="27" t="s">
        <v>7</v>
      </c>
      <c r="OG618" s="27" t="s">
        <v>8</v>
      </c>
      <c r="OH618" s="27" t="s">
        <v>7</v>
      </c>
      <c r="OI618" s="27" t="s">
        <v>8</v>
      </c>
    </row>
    <row r="619" spans="1:400" x14ac:dyDescent="0.25">
      <c r="A619" s="7">
        <v>0.53063330351779314</v>
      </c>
      <c r="B619"/>
      <c r="C619"/>
      <c r="D619"/>
      <c r="E619"/>
      <c r="F619" s="27" t="s">
        <v>7</v>
      </c>
      <c r="NI619" s="27" t="s">
        <v>8</v>
      </c>
      <c r="NJ619" s="27" t="s">
        <v>7</v>
      </c>
      <c r="NM619" s="27" t="s">
        <v>8</v>
      </c>
      <c r="OF619" s="27" t="s">
        <v>7</v>
      </c>
      <c r="OG619" s="27" t="s">
        <v>8</v>
      </c>
      <c r="OH619" s="27" t="s">
        <v>7</v>
      </c>
      <c r="OI619" s="27" t="s">
        <v>8</v>
      </c>
    </row>
    <row r="620" spans="1:400" x14ac:dyDescent="0.25">
      <c r="A620" s="7">
        <v>0.52022872893901284</v>
      </c>
      <c r="B620"/>
      <c r="C620"/>
      <c r="D620"/>
      <c r="E620"/>
      <c r="F620" s="27" t="s">
        <v>7</v>
      </c>
      <c r="NI620" s="27" t="s">
        <v>8</v>
      </c>
      <c r="NJ620" s="27" t="s">
        <v>7</v>
      </c>
      <c r="NM620" s="27" t="s">
        <v>8</v>
      </c>
      <c r="OF620" s="27" t="s">
        <v>7</v>
      </c>
      <c r="OG620" s="27" t="s">
        <v>8</v>
      </c>
      <c r="OH620" s="27" t="s">
        <v>7</v>
      </c>
      <c r="OI620" s="27" t="s">
        <v>8</v>
      </c>
    </row>
    <row r="621" spans="1:400" x14ac:dyDescent="0.25">
      <c r="A621" s="7">
        <v>0.51002816562648323</v>
      </c>
      <c r="B621"/>
      <c r="C621"/>
      <c r="D621"/>
      <c r="E621"/>
      <c r="F621" s="27" t="s">
        <v>7</v>
      </c>
      <c r="NI621" s="27" t="s">
        <v>8</v>
      </c>
      <c r="NJ621" s="27" t="s">
        <v>7</v>
      </c>
      <c r="NM621" s="27" t="s">
        <v>8</v>
      </c>
      <c r="OF621" s="27" t="s">
        <v>7</v>
      </c>
      <c r="OG621" s="27" t="s">
        <v>8</v>
      </c>
      <c r="OH621" s="27" t="s">
        <v>7</v>
      </c>
      <c r="OI621" s="27" t="s">
        <v>8</v>
      </c>
    </row>
    <row r="622" spans="1:400" x14ac:dyDescent="0.25">
      <c r="A622" s="7">
        <v>0.50002761335929735</v>
      </c>
      <c r="B622"/>
      <c r="C622"/>
      <c r="D622"/>
      <c r="E622"/>
      <c r="F622" s="27" t="s">
        <v>7</v>
      </c>
      <c r="NI622" s="27" t="s">
        <v>8</v>
      </c>
      <c r="NJ622" s="27" t="s">
        <v>7</v>
      </c>
      <c r="NK622" s="27" t="s">
        <v>8</v>
      </c>
      <c r="NM622" s="27" t="s">
        <v>8</v>
      </c>
      <c r="OF622" s="27" t="s">
        <v>7</v>
      </c>
      <c r="OG622" s="27" t="s">
        <v>8</v>
      </c>
      <c r="OH622" s="27" t="s">
        <v>7</v>
      </c>
    </row>
    <row r="623" spans="1:400" x14ac:dyDescent="0.25">
      <c r="A623" s="7">
        <v>0.49022315035225228</v>
      </c>
      <c r="B623"/>
      <c r="C623"/>
      <c r="D623"/>
      <c r="E623"/>
      <c r="F623" s="27" t="s">
        <v>7</v>
      </c>
      <c r="NI623" s="27" t="s">
        <v>8</v>
      </c>
      <c r="NJ623" s="27" t="s">
        <v>7</v>
      </c>
      <c r="NK623" s="27" t="s">
        <v>8</v>
      </c>
      <c r="NL623" s="27" t="s">
        <v>7</v>
      </c>
      <c r="NM623" s="27" t="s">
        <v>8</v>
      </c>
      <c r="OF623" s="27" t="s">
        <v>7</v>
      </c>
      <c r="OG623" s="27" t="s">
        <v>8</v>
      </c>
    </row>
    <row r="624" spans="1:400" x14ac:dyDescent="0.25">
      <c r="A624" s="7">
        <v>0.48061093171789437</v>
      </c>
      <c r="B624"/>
      <c r="C624"/>
      <c r="D624"/>
      <c r="E624"/>
      <c r="F624" s="27" t="s">
        <v>7</v>
      </c>
      <c r="NI624" s="27" t="s">
        <v>8</v>
      </c>
      <c r="NJ624" s="27" t="s">
        <v>7</v>
      </c>
      <c r="NK624" s="27" t="s">
        <v>8</v>
      </c>
      <c r="NL624" s="27" t="s">
        <v>7</v>
      </c>
      <c r="NM624" s="27" t="s">
        <v>8</v>
      </c>
      <c r="OF624" s="27" t="s">
        <v>7</v>
      </c>
      <c r="OG624" s="27" t="s">
        <v>8</v>
      </c>
    </row>
    <row r="625" spans="1:397" x14ac:dyDescent="0.25">
      <c r="A625" s="7">
        <v>0.47118718795871994</v>
      </c>
      <c r="B625"/>
      <c r="C625"/>
      <c r="D625"/>
      <c r="E625"/>
      <c r="F625" s="27" t="s">
        <v>7</v>
      </c>
      <c r="NI625" s="27" t="s">
        <v>8</v>
      </c>
      <c r="NJ625" s="27" t="s">
        <v>7</v>
      </c>
      <c r="NK625" s="27" t="s">
        <v>8</v>
      </c>
      <c r="NL625" s="27" t="s">
        <v>7</v>
      </c>
      <c r="NM625" s="27" t="s">
        <v>8</v>
      </c>
      <c r="OF625" s="27" t="s">
        <v>7</v>
      </c>
      <c r="OG625" s="27" t="s">
        <v>8</v>
      </c>
    </row>
    <row r="626" spans="1:397" x14ac:dyDescent="0.25">
      <c r="A626" s="7">
        <v>0.46194822348894116</v>
      </c>
      <c r="B626"/>
      <c r="C626"/>
      <c r="D626"/>
      <c r="E626"/>
      <c r="F626" s="27" t="s">
        <v>7</v>
      </c>
      <c r="NI626" s="27" t="s">
        <v>8</v>
      </c>
      <c r="NJ626" s="27" t="s">
        <v>7</v>
      </c>
      <c r="NL626" s="27" t="s">
        <v>7</v>
      </c>
      <c r="NM626" s="27" t="s">
        <v>8</v>
      </c>
      <c r="OF626" s="27" t="s">
        <v>7</v>
      </c>
    </row>
    <row r="627" spans="1:397" x14ac:dyDescent="0.25">
      <c r="A627" s="7">
        <v>0.45289041518523643</v>
      </c>
      <c r="B627"/>
      <c r="C627"/>
      <c r="D627"/>
      <c r="E627"/>
      <c r="F627" s="27" t="s">
        <v>7</v>
      </c>
      <c r="IO627" s="27" t="s">
        <v>8</v>
      </c>
      <c r="NI627" s="27" t="s">
        <v>8</v>
      </c>
      <c r="NL627" s="27" t="s">
        <v>7</v>
      </c>
      <c r="NM627" s="27" t="s">
        <v>8</v>
      </c>
    </row>
    <row r="628" spans="1:397" x14ac:dyDescent="0.25">
      <c r="A628" s="7">
        <v>0.44401021096591808</v>
      </c>
      <c r="B628"/>
      <c r="C628"/>
      <c r="D628"/>
      <c r="E628"/>
      <c r="F628" s="27" t="s">
        <v>7</v>
      </c>
      <c r="IO628" s="27" t="s">
        <v>8</v>
      </c>
      <c r="IP628" s="27" t="s">
        <v>7</v>
      </c>
      <c r="NI628" s="27" t="s">
        <v>8</v>
      </c>
      <c r="NL628" s="27" t="s">
        <v>7</v>
      </c>
      <c r="NM628" s="27" t="s">
        <v>8</v>
      </c>
    </row>
    <row r="629" spans="1:397" x14ac:dyDescent="0.25">
      <c r="A629" s="7">
        <v>0.4353041283979589</v>
      </c>
      <c r="B629"/>
      <c r="C629"/>
      <c r="D629"/>
      <c r="E629"/>
      <c r="F629" s="27" t="s">
        <v>7</v>
      </c>
      <c r="IC629" s="27" t="s">
        <v>8</v>
      </c>
      <c r="IO629" s="27" t="s">
        <v>8</v>
      </c>
      <c r="IP629" s="27" t="s">
        <v>7</v>
      </c>
      <c r="NE629" s="27" t="s">
        <v>8</v>
      </c>
      <c r="NI629" s="27" t="s">
        <v>8</v>
      </c>
      <c r="NL629" s="27" t="s">
        <v>7</v>
      </c>
      <c r="NM629" s="27" t="s">
        <v>8</v>
      </c>
    </row>
    <row r="630" spans="1:397" x14ac:dyDescent="0.25">
      <c r="A630" s="7">
        <v>0.4267687533313323</v>
      </c>
      <c r="B630"/>
      <c r="C630"/>
      <c r="D630"/>
      <c r="E630"/>
      <c r="F630" s="27" t="s">
        <v>7</v>
      </c>
      <c r="IC630" s="27" t="s">
        <v>8</v>
      </c>
      <c r="ID630" s="27" t="s">
        <v>7</v>
      </c>
      <c r="IK630" s="27" t="s">
        <v>8</v>
      </c>
      <c r="IO630" s="27" t="s">
        <v>8</v>
      </c>
      <c r="IP630" s="27" t="s">
        <v>7</v>
      </c>
      <c r="NE630" s="27" t="s">
        <v>8</v>
      </c>
      <c r="NF630" s="27" t="s">
        <v>7</v>
      </c>
      <c r="NI630" s="27" t="s">
        <v>8</v>
      </c>
      <c r="NL630" s="27" t="s">
        <v>7</v>
      </c>
      <c r="NM630" s="27" t="s">
        <v>8</v>
      </c>
    </row>
    <row r="631" spans="1:397" x14ac:dyDescent="0.25">
      <c r="A631" s="7">
        <v>0.41840073856012971</v>
      </c>
      <c r="B631"/>
      <c r="C631"/>
      <c r="D631"/>
      <c r="E631"/>
      <c r="F631" s="27" t="s">
        <v>7</v>
      </c>
      <c r="IC631" s="27" t="s">
        <v>8</v>
      </c>
      <c r="ID631" s="27" t="s">
        <v>7</v>
      </c>
      <c r="IK631" s="27" t="s">
        <v>8</v>
      </c>
      <c r="IL631" s="27" t="s">
        <v>7</v>
      </c>
      <c r="IM631" s="27" t="s">
        <v>8</v>
      </c>
      <c r="IO631" s="27" t="s">
        <v>8</v>
      </c>
      <c r="IP631" s="27" t="s">
        <v>7</v>
      </c>
      <c r="NE631" s="27" t="s">
        <v>8</v>
      </c>
      <c r="NF631" s="27" t="s">
        <v>7</v>
      </c>
      <c r="NI631" s="27" t="s">
        <v>8</v>
      </c>
      <c r="NL631" s="27" t="s">
        <v>7</v>
      </c>
    </row>
    <row r="632" spans="1:397" x14ac:dyDescent="0.25">
      <c r="A632" s="7">
        <v>0.41019680250993112</v>
      </c>
      <c r="B632"/>
      <c r="C632"/>
      <c r="D632"/>
      <c r="E632"/>
      <c r="F632" s="27" t="s">
        <v>7</v>
      </c>
      <c r="IC632" s="27" t="s">
        <v>8</v>
      </c>
      <c r="ID632" s="27" t="s">
        <v>7</v>
      </c>
      <c r="II632" s="27" t="s">
        <v>8</v>
      </c>
      <c r="IK632" s="27" t="s">
        <v>8</v>
      </c>
      <c r="IL632" s="27" t="s">
        <v>7</v>
      </c>
      <c r="IM632" s="27" t="s">
        <v>8</v>
      </c>
      <c r="IN632" s="27" t="s">
        <v>7</v>
      </c>
      <c r="IO632" s="27" t="s">
        <v>8</v>
      </c>
      <c r="IP632" s="27" t="s">
        <v>7</v>
      </c>
      <c r="IQ632" s="27" t="s">
        <v>8</v>
      </c>
      <c r="NE632" s="27" t="s">
        <v>8</v>
      </c>
      <c r="NF632" s="27" t="s">
        <v>7</v>
      </c>
      <c r="NI632" s="27" t="s">
        <v>8</v>
      </c>
    </row>
    <row r="633" spans="1:397" x14ac:dyDescent="0.25">
      <c r="A633" s="7">
        <v>0.40215372795091286</v>
      </c>
      <c r="B633"/>
      <c r="C633"/>
      <c r="D633"/>
      <c r="E633"/>
      <c r="F633" s="27" t="s">
        <v>7</v>
      </c>
      <c r="IC633" s="27" t="s">
        <v>8</v>
      </c>
      <c r="ID633" s="27" t="s">
        <v>7</v>
      </c>
      <c r="II633" s="27" t="s">
        <v>8</v>
      </c>
      <c r="IJ633" s="27" t="s">
        <v>7</v>
      </c>
      <c r="IK633" s="27" t="s">
        <v>8</v>
      </c>
      <c r="IL633" s="27" t="s">
        <v>7</v>
      </c>
      <c r="IM633" s="27" t="s">
        <v>8</v>
      </c>
      <c r="IN633" s="27" t="s">
        <v>7</v>
      </c>
      <c r="IO633" s="27" t="s">
        <v>8</v>
      </c>
      <c r="IP633" s="27" t="s">
        <v>7</v>
      </c>
      <c r="IQ633" s="27" t="s">
        <v>8</v>
      </c>
      <c r="IR633" s="27" t="s">
        <v>7</v>
      </c>
      <c r="MS633" s="27" t="s">
        <v>8</v>
      </c>
      <c r="MU633" s="27" t="s">
        <v>8</v>
      </c>
      <c r="NE633" s="27" t="s">
        <v>8</v>
      </c>
      <c r="NF633" s="27" t="s">
        <v>7</v>
      </c>
      <c r="NI633" s="27" t="s">
        <v>8</v>
      </c>
    </row>
    <row r="634" spans="1:397" x14ac:dyDescent="0.25">
      <c r="A634" s="7">
        <v>0.39426836073618904</v>
      </c>
      <c r="B634"/>
      <c r="C634"/>
      <c r="D634"/>
      <c r="E634"/>
      <c r="F634" s="27" t="s">
        <v>7</v>
      </c>
      <c r="IC634" s="27" t="s">
        <v>8</v>
      </c>
      <c r="ID634" s="27" t="s">
        <v>7</v>
      </c>
      <c r="IE634" s="27" t="s">
        <v>8</v>
      </c>
      <c r="II634" s="27" t="s">
        <v>8</v>
      </c>
      <c r="IJ634" s="27" t="s">
        <v>7</v>
      </c>
      <c r="IK634" s="27" t="s">
        <v>8</v>
      </c>
      <c r="IL634" s="27" t="s">
        <v>7</v>
      </c>
      <c r="IM634" s="27" t="s">
        <v>8</v>
      </c>
      <c r="IN634" s="27" t="s">
        <v>7</v>
      </c>
      <c r="IO634" s="27" t="s">
        <v>8</v>
      </c>
      <c r="IP634" s="27" t="s">
        <v>7</v>
      </c>
      <c r="IQ634" s="27" t="s">
        <v>8</v>
      </c>
      <c r="IR634" s="27" t="s">
        <v>7</v>
      </c>
      <c r="MS634" s="27" t="s">
        <v>8</v>
      </c>
      <c r="MT634" s="27" t="s">
        <v>7</v>
      </c>
      <c r="MU634" s="27" t="s">
        <v>8</v>
      </c>
      <c r="MV634" s="27" t="s">
        <v>7</v>
      </c>
      <c r="NE634" s="27" t="s">
        <v>8</v>
      </c>
      <c r="NF634" s="27" t="s">
        <v>7</v>
      </c>
      <c r="NI634" s="27" t="s">
        <v>8</v>
      </c>
    </row>
    <row r="635" spans="1:397" x14ac:dyDescent="0.25">
      <c r="A635" s="7">
        <v>0.38653760856489122</v>
      </c>
      <c r="B635"/>
      <c r="C635"/>
      <c r="D635"/>
      <c r="E635"/>
      <c r="F635" s="27" t="s">
        <v>7</v>
      </c>
      <c r="IC635" s="27" t="s">
        <v>8</v>
      </c>
      <c r="ID635" s="27" t="s">
        <v>7</v>
      </c>
      <c r="IE635" s="27" t="s">
        <v>8</v>
      </c>
      <c r="IF635" s="27" t="s">
        <v>7</v>
      </c>
      <c r="II635" s="27" t="s">
        <v>8</v>
      </c>
      <c r="IJ635" s="27" t="s">
        <v>7</v>
      </c>
      <c r="IK635" s="27" t="s">
        <v>8</v>
      </c>
      <c r="IL635" s="27" t="s">
        <v>7</v>
      </c>
      <c r="IM635" s="27" t="s">
        <v>8</v>
      </c>
      <c r="IN635" s="27" t="s">
        <v>7</v>
      </c>
      <c r="IO635" s="27" t="s">
        <v>8</v>
      </c>
      <c r="IP635" s="27" t="s">
        <v>7</v>
      </c>
      <c r="IQ635" s="27" t="s">
        <v>8</v>
      </c>
      <c r="IR635" s="27" t="s">
        <v>7</v>
      </c>
      <c r="MS635" s="27" t="s">
        <v>8</v>
      </c>
      <c r="MT635" s="27" t="s">
        <v>7</v>
      </c>
      <c r="MU635" s="27" t="s">
        <v>8</v>
      </c>
      <c r="MV635" s="27" t="s">
        <v>7</v>
      </c>
      <c r="NE635" s="27" t="s">
        <v>8</v>
      </c>
      <c r="NF635" s="27" t="s">
        <v>7</v>
      </c>
      <c r="NI635" s="27" t="s">
        <v>8</v>
      </c>
    </row>
    <row r="636" spans="1:397" x14ac:dyDescent="0.25">
      <c r="A636" s="7">
        <v>0.37895843976950117</v>
      </c>
      <c r="B636"/>
      <c r="C636"/>
      <c r="D636"/>
      <c r="E636"/>
      <c r="F636" s="27" t="s">
        <v>7</v>
      </c>
      <c r="IC636" s="27" t="s">
        <v>8</v>
      </c>
      <c r="ID636" s="27" t="s">
        <v>7</v>
      </c>
      <c r="IE636" s="27" t="s">
        <v>8</v>
      </c>
      <c r="IF636" s="27" t="s">
        <v>7</v>
      </c>
      <c r="II636" s="27" t="s">
        <v>8</v>
      </c>
      <c r="IJ636" s="27" t="s">
        <v>7</v>
      </c>
      <c r="IK636" s="27" t="s">
        <v>8</v>
      </c>
      <c r="IL636" s="27" t="s">
        <v>7</v>
      </c>
      <c r="IM636" s="27" t="s">
        <v>8</v>
      </c>
      <c r="IN636" s="27" t="s">
        <v>7</v>
      </c>
      <c r="IO636" s="27" t="s">
        <v>8</v>
      </c>
      <c r="IP636" s="27" t="s">
        <v>7</v>
      </c>
      <c r="IQ636" s="27" t="s">
        <v>8</v>
      </c>
      <c r="IR636" s="27" t="s">
        <v>7</v>
      </c>
      <c r="MS636" s="27" t="s">
        <v>8</v>
      </c>
      <c r="MT636" s="27" t="s">
        <v>7</v>
      </c>
      <c r="MU636" s="27" t="s">
        <v>8</v>
      </c>
      <c r="MV636" s="27" t="s">
        <v>7</v>
      </c>
      <c r="MW636" s="27" t="s">
        <v>8</v>
      </c>
      <c r="NE636" s="27" t="s">
        <v>8</v>
      </c>
      <c r="NF636" s="27" t="s">
        <v>7</v>
      </c>
      <c r="NI636" s="27" t="s">
        <v>8</v>
      </c>
    </row>
    <row r="637" spans="1:397" x14ac:dyDescent="0.25">
      <c r="A637" s="7">
        <v>0.37152788212696197</v>
      </c>
      <c r="B637"/>
      <c r="C637"/>
      <c r="D637"/>
      <c r="E637"/>
      <c r="F637" s="27" t="s">
        <v>7</v>
      </c>
      <c r="IC637" s="27" t="s">
        <v>8</v>
      </c>
      <c r="ID637" s="27" t="s">
        <v>7</v>
      </c>
      <c r="IE637" s="27" t="s">
        <v>8</v>
      </c>
      <c r="IF637" s="27" t="s">
        <v>7</v>
      </c>
      <c r="IG637" s="27" t="s">
        <v>8</v>
      </c>
      <c r="II637" s="27" t="s">
        <v>8</v>
      </c>
      <c r="IJ637" s="27" t="s">
        <v>7</v>
      </c>
      <c r="IK637" s="27" t="s">
        <v>8</v>
      </c>
      <c r="IL637" s="27" t="s">
        <v>7</v>
      </c>
      <c r="IM637" s="27" t="s">
        <v>8</v>
      </c>
      <c r="IN637" s="27" t="s">
        <v>7</v>
      </c>
      <c r="IO637" s="27" t="s">
        <v>8</v>
      </c>
      <c r="IP637" s="27" t="s">
        <v>7</v>
      </c>
      <c r="IQ637" s="27" t="s">
        <v>8</v>
      </c>
      <c r="IR637" s="27" t="s">
        <v>7</v>
      </c>
      <c r="IS637" s="27" t="s">
        <v>8</v>
      </c>
      <c r="MS637" s="27" t="s">
        <v>8</v>
      </c>
      <c r="MT637" s="27" t="s">
        <v>7</v>
      </c>
      <c r="MU637" s="27" t="s">
        <v>8</v>
      </c>
      <c r="MV637" s="27" t="s">
        <v>7</v>
      </c>
      <c r="MW637" s="27" t="s">
        <v>8</v>
      </c>
      <c r="MX637" s="27" t="s">
        <v>7</v>
      </c>
      <c r="NE637" s="27" t="s">
        <v>8</v>
      </c>
      <c r="NF637" s="27" t="s">
        <v>7</v>
      </c>
      <c r="NI637" s="27" t="s">
        <v>8</v>
      </c>
    </row>
    <row r="638" spans="1:397" x14ac:dyDescent="0.25">
      <c r="A638" s="7">
        <v>0.36424302169310002</v>
      </c>
      <c r="B638"/>
      <c r="C638"/>
      <c r="D638"/>
      <c r="E638"/>
      <c r="F638" s="27" t="s">
        <v>7</v>
      </c>
      <c r="IC638" s="27" t="s">
        <v>8</v>
      </c>
      <c r="ID638" s="27" t="s">
        <v>7</v>
      </c>
      <c r="IE638" s="27" t="s">
        <v>8</v>
      </c>
      <c r="IF638" s="27" t="s">
        <v>7</v>
      </c>
      <c r="IG638" s="27" t="s">
        <v>8</v>
      </c>
      <c r="IH638" s="27" t="s">
        <v>7</v>
      </c>
      <c r="II638" s="27" t="s">
        <v>8</v>
      </c>
      <c r="IJ638" s="27" t="s">
        <v>7</v>
      </c>
      <c r="IL638" s="27" t="s">
        <v>7</v>
      </c>
      <c r="IM638" s="27" t="s">
        <v>8</v>
      </c>
      <c r="IN638" s="27" t="s">
        <v>7</v>
      </c>
      <c r="IO638" s="27" t="s">
        <v>8</v>
      </c>
      <c r="IP638" s="27" t="s">
        <v>7</v>
      </c>
      <c r="IQ638" s="27" t="s">
        <v>8</v>
      </c>
      <c r="IR638" s="27" t="s">
        <v>7</v>
      </c>
      <c r="IS638" s="27" t="s">
        <v>8</v>
      </c>
      <c r="IT638" s="27" t="s">
        <v>7</v>
      </c>
      <c r="MS638" s="27" t="s">
        <v>8</v>
      </c>
      <c r="MT638" s="27" t="s">
        <v>7</v>
      </c>
      <c r="MU638" s="27" t="s">
        <v>8</v>
      </c>
      <c r="MV638" s="27" t="s">
        <v>7</v>
      </c>
      <c r="MW638" s="27" t="s">
        <v>8</v>
      </c>
      <c r="MX638" s="27" t="s">
        <v>7</v>
      </c>
      <c r="NE638" s="27" t="s">
        <v>8</v>
      </c>
      <c r="NF638" s="27" t="s">
        <v>7</v>
      </c>
      <c r="NI638" s="27" t="s">
        <v>8</v>
      </c>
    </row>
    <row r="639" spans="1:397" x14ac:dyDescent="0.25">
      <c r="A639" s="7">
        <v>0.35710100165990194</v>
      </c>
      <c r="B639"/>
      <c r="C639"/>
      <c r="D639"/>
      <c r="E639"/>
      <c r="F639" s="27" t="s">
        <v>7</v>
      </c>
      <c r="IC639" s="27" t="s">
        <v>8</v>
      </c>
      <c r="ID639" s="27" t="s">
        <v>7</v>
      </c>
      <c r="IE639" s="27" t="s">
        <v>8</v>
      </c>
      <c r="IF639" s="27" t="s">
        <v>7</v>
      </c>
      <c r="IG639" s="27" t="s">
        <v>8</v>
      </c>
      <c r="IH639" s="27" t="s">
        <v>7</v>
      </c>
      <c r="II639" s="27" t="s">
        <v>8</v>
      </c>
      <c r="IL639" s="27" t="s">
        <v>7</v>
      </c>
      <c r="IN639" s="27" t="s">
        <v>7</v>
      </c>
      <c r="IO639" s="27" t="s">
        <v>8</v>
      </c>
      <c r="IP639" s="27" t="s">
        <v>7</v>
      </c>
      <c r="IQ639" s="27" t="s">
        <v>8</v>
      </c>
      <c r="IR639" s="27" t="s">
        <v>7</v>
      </c>
      <c r="IS639" s="27" t="s">
        <v>8</v>
      </c>
      <c r="IT639" s="27" t="s">
        <v>7</v>
      </c>
      <c r="MS639" s="27" t="s">
        <v>8</v>
      </c>
      <c r="MT639" s="27" t="s">
        <v>7</v>
      </c>
      <c r="MU639" s="27" t="s">
        <v>8</v>
      </c>
      <c r="MV639" s="27" t="s">
        <v>7</v>
      </c>
      <c r="MW639" s="27" t="s">
        <v>8</v>
      </c>
      <c r="MX639" s="27" t="s">
        <v>7</v>
      </c>
      <c r="NC639" s="27" t="s">
        <v>8</v>
      </c>
      <c r="NE639" s="27" t="s">
        <v>8</v>
      </c>
      <c r="NF639" s="27" t="s">
        <v>7</v>
      </c>
      <c r="NI639" s="27" t="s">
        <v>8</v>
      </c>
    </row>
    <row r="640" spans="1:397" x14ac:dyDescent="0.25">
      <c r="A640" s="7">
        <v>0.35009902123519804</v>
      </c>
      <c r="B640"/>
      <c r="C640"/>
      <c r="D640"/>
      <c r="E640"/>
      <c r="F640" s="27" t="s">
        <v>7</v>
      </c>
      <c r="IC640" s="27" t="s">
        <v>8</v>
      </c>
      <c r="ID640" s="27" t="s">
        <v>7</v>
      </c>
      <c r="IE640" s="27" t="s">
        <v>8</v>
      </c>
      <c r="IF640" s="27" t="s">
        <v>7</v>
      </c>
      <c r="IG640" s="27" t="s">
        <v>8</v>
      </c>
      <c r="IH640" s="27" t="s">
        <v>7</v>
      </c>
      <c r="II640" s="27" t="s">
        <v>8</v>
      </c>
      <c r="IN640" s="27" t="s">
        <v>7</v>
      </c>
      <c r="IP640" s="27" t="s">
        <v>7</v>
      </c>
      <c r="IQ640" s="27" t="s">
        <v>8</v>
      </c>
      <c r="IR640" s="27" t="s">
        <v>7</v>
      </c>
      <c r="IS640" s="27" t="s">
        <v>8</v>
      </c>
      <c r="IT640" s="27" t="s">
        <v>7</v>
      </c>
      <c r="MQ640" s="27" t="s">
        <v>8</v>
      </c>
      <c r="MS640" s="27" t="s">
        <v>8</v>
      </c>
      <c r="MT640" s="27" t="s">
        <v>7</v>
      </c>
      <c r="MU640" s="27" t="s">
        <v>8</v>
      </c>
      <c r="MV640" s="27" t="s">
        <v>7</v>
      </c>
      <c r="MW640" s="27" t="s">
        <v>8</v>
      </c>
      <c r="MX640" s="27" t="s">
        <v>7</v>
      </c>
      <c r="NC640" s="27" t="s">
        <v>8</v>
      </c>
      <c r="ND640" s="27" t="s">
        <v>7</v>
      </c>
      <c r="NE640" s="27" t="s">
        <v>8</v>
      </c>
      <c r="NF640" s="27" t="s">
        <v>7</v>
      </c>
      <c r="NI640" s="27" t="s">
        <v>8</v>
      </c>
    </row>
    <row r="641" spans="1:373" x14ac:dyDescent="0.25">
      <c r="A641" s="7">
        <v>0.34323433454431179</v>
      </c>
      <c r="B641"/>
      <c r="C641"/>
      <c r="D641"/>
      <c r="E641"/>
      <c r="F641" s="27" t="s">
        <v>7</v>
      </c>
      <c r="IC641" s="27" t="s">
        <v>8</v>
      </c>
      <c r="ID641" s="27" t="s">
        <v>7</v>
      </c>
      <c r="IE641" s="27" t="s">
        <v>8</v>
      </c>
      <c r="IF641" s="27" t="s">
        <v>7</v>
      </c>
      <c r="IG641" s="27" t="s">
        <v>8</v>
      </c>
      <c r="IH641" s="27" t="s">
        <v>7</v>
      </c>
      <c r="IP641" s="27" t="s">
        <v>7</v>
      </c>
      <c r="IQ641" s="27" t="s">
        <v>8</v>
      </c>
      <c r="IR641" s="27" t="s">
        <v>7</v>
      </c>
      <c r="IS641" s="27" t="s">
        <v>8</v>
      </c>
      <c r="IT641" s="27" t="s">
        <v>7</v>
      </c>
      <c r="MQ641" s="27" t="s">
        <v>8</v>
      </c>
      <c r="MR641" s="27" t="s">
        <v>7</v>
      </c>
      <c r="MS641" s="27" t="s">
        <v>8</v>
      </c>
      <c r="MT641" s="27" t="s">
        <v>7</v>
      </c>
      <c r="MU641" s="27" t="s">
        <v>8</v>
      </c>
      <c r="MV641" s="27" t="s">
        <v>7</v>
      </c>
      <c r="MW641" s="27" t="s">
        <v>8</v>
      </c>
      <c r="MX641" s="27" t="s">
        <v>7</v>
      </c>
      <c r="MY641" s="27" t="s">
        <v>8</v>
      </c>
      <c r="NC641" s="27" t="s">
        <v>8</v>
      </c>
      <c r="ND641" s="27" t="s">
        <v>7</v>
      </c>
      <c r="NE641" s="27" t="s">
        <v>8</v>
      </c>
      <c r="NF641" s="27" t="s">
        <v>7</v>
      </c>
      <c r="NG641" s="27" t="s">
        <v>8</v>
      </c>
      <c r="NI641" s="27" t="s">
        <v>8</v>
      </c>
    </row>
    <row r="642" spans="1:373" x14ac:dyDescent="0.25">
      <c r="A642" s="7">
        <v>0.33650424955324681</v>
      </c>
      <c r="B642"/>
      <c r="C642"/>
      <c r="D642"/>
      <c r="E642"/>
      <c r="F642" s="27" t="s">
        <v>7</v>
      </c>
      <c r="HY642" s="27" t="s">
        <v>8</v>
      </c>
      <c r="IC642" s="27" t="s">
        <v>8</v>
      </c>
      <c r="ID642" s="27" t="s">
        <v>7</v>
      </c>
      <c r="IE642" s="27" t="s">
        <v>8</v>
      </c>
      <c r="IF642" s="27" t="s">
        <v>7</v>
      </c>
      <c r="IG642" s="27" t="s">
        <v>8</v>
      </c>
      <c r="IP642" s="27" t="s">
        <v>7</v>
      </c>
      <c r="IQ642" s="27" t="s">
        <v>8</v>
      </c>
      <c r="IR642" s="27" t="s">
        <v>7</v>
      </c>
      <c r="IT642" s="27" t="s">
        <v>7</v>
      </c>
      <c r="MQ642" s="27" t="s">
        <v>8</v>
      </c>
      <c r="MR642" s="27" t="s">
        <v>7</v>
      </c>
      <c r="MS642" s="27" t="s">
        <v>8</v>
      </c>
      <c r="MT642" s="27" t="s">
        <v>7</v>
      </c>
      <c r="MU642" s="27" t="s">
        <v>8</v>
      </c>
      <c r="MV642" s="27" t="s">
        <v>7</v>
      </c>
      <c r="MW642" s="27" t="s">
        <v>8</v>
      </c>
      <c r="MX642" s="27" t="s">
        <v>7</v>
      </c>
      <c r="MY642" s="27" t="s">
        <v>8</v>
      </c>
      <c r="MZ642" s="27" t="s">
        <v>7</v>
      </c>
      <c r="NA642" s="27" t="s">
        <v>8</v>
      </c>
      <c r="NC642" s="27" t="s">
        <v>8</v>
      </c>
      <c r="ND642" s="27" t="s">
        <v>7</v>
      </c>
      <c r="NE642" s="27" t="s">
        <v>8</v>
      </c>
      <c r="NF642" s="27" t="s">
        <v>7</v>
      </c>
      <c r="NG642" s="27" t="s">
        <v>8</v>
      </c>
      <c r="NH642" s="27" t="s">
        <v>7</v>
      </c>
      <c r="NI642" s="27" t="s">
        <v>8</v>
      </c>
    </row>
    <row r="643" spans="1:373" x14ac:dyDescent="0.25">
      <c r="A643" s="7">
        <v>0.3299061270129871</v>
      </c>
      <c r="B643"/>
      <c r="C643"/>
      <c r="D643"/>
      <c r="E643"/>
      <c r="F643" s="27" t="s">
        <v>7</v>
      </c>
      <c r="HY643" s="27" t="s">
        <v>8</v>
      </c>
      <c r="HZ643" s="27" t="s">
        <v>7</v>
      </c>
      <c r="IA643" s="27" t="s">
        <v>8</v>
      </c>
      <c r="IC643" s="27" t="s">
        <v>8</v>
      </c>
      <c r="ID643" s="27" t="s">
        <v>7</v>
      </c>
      <c r="IE643" s="27" t="s">
        <v>8</v>
      </c>
      <c r="IF643" s="27" t="s">
        <v>7</v>
      </c>
      <c r="IG643" s="27" t="s">
        <v>8</v>
      </c>
      <c r="IP643" s="27" t="s">
        <v>7</v>
      </c>
      <c r="IT643" s="27" t="s">
        <v>7</v>
      </c>
      <c r="MQ643" s="27" t="s">
        <v>8</v>
      </c>
      <c r="MR643" s="27" t="s">
        <v>7</v>
      </c>
      <c r="MS643" s="27" t="s">
        <v>8</v>
      </c>
      <c r="MT643" s="27" t="s">
        <v>7</v>
      </c>
      <c r="MU643" s="27" t="s">
        <v>8</v>
      </c>
      <c r="MV643" s="27" t="s">
        <v>7</v>
      </c>
      <c r="MW643" s="27" t="s">
        <v>8</v>
      </c>
      <c r="MX643" s="27" t="s">
        <v>7</v>
      </c>
      <c r="MY643" s="27" t="s">
        <v>8</v>
      </c>
      <c r="MZ643" s="27" t="s">
        <v>7</v>
      </c>
      <c r="NA643" s="27" t="s">
        <v>8</v>
      </c>
      <c r="NB643" s="27" t="s">
        <v>7</v>
      </c>
      <c r="NC643" s="27" t="s">
        <v>8</v>
      </c>
      <c r="ND643" s="27" t="s">
        <v>7</v>
      </c>
      <c r="NE643" s="27" t="s">
        <v>8</v>
      </c>
      <c r="NF643" s="27" t="s">
        <v>7</v>
      </c>
      <c r="NG643" s="27" t="s">
        <v>8</v>
      </c>
      <c r="NH643" s="27" t="s">
        <v>7</v>
      </c>
      <c r="NI643" s="27" t="s">
        <v>8</v>
      </c>
    </row>
    <row r="644" spans="1:373" x14ac:dyDescent="0.25">
      <c r="A644" s="7">
        <v>0.32343737942449713</v>
      </c>
      <c r="B644"/>
      <c r="C644"/>
      <c r="D644"/>
      <c r="E644"/>
      <c r="F644" s="27" t="s">
        <v>7</v>
      </c>
      <c r="HY644" s="27" t="s">
        <v>8</v>
      </c>
      <c r="HZ644" s="27" t="s">
        <v>7</v>
      </c>
      <c r="IA644" s="27" t="s">
        <v>8</v>
      </c>
      <c r="IB644" s="27" t="s">
        <v>7</v>
      </c>
      <c r="IC644" s="27" t="s">
        <v>8</v>
      </c>
      <c r="ID644" s="27" t="s">
        <v>7</v>
      </c>
      <c r="IF644" s="27" t="s">
        <v>7</v>
      </c>
      <c r="IG644" s="27" t="s">
        <v>8</v>
      </c>
      <c r="IT644" s="27" t="s">
        <v>7</v>
      </c>
      <c r="MQ644" s="27" t="s">
        <v>8</v>
      </c>
      <c r="MR644" s="27" t="s">
        <v>7</v>
      </c>
      <c r="MS644" s="27" t="s">
        <v>8</v>
      </c>
      <c r="MT644" s="27" t="s">
        <v>7</v>
      </c>
      <c r="MU644" s="27" t="s">
        <v>8</v>
      </c>
      <c r="MV644" s="27" t="s">
        <v>7</v>
      </c>
      <c r="MW644" s="27" t="s">
        <v>8</v>
      </c>
      <c r="MX644" s="27" t="s">
        <v>7</v>
      </c>
      <c r="MY644" s="27" t="s">
        <v>8</v>
      </c>
      <c r="MZ644" s="27" t="s">
        <v>7</v>
      </c>
      <c r="NA644" s="27" t="s">
        <v>8</v>
      </c>
      <c r="NB644" s="27" t="s">
        <v>7</v>
      </c>
      <c r="NC644" s="27" t="s">
        <v>8</v>
      </c>
      <c r="ND644" s="27" t="s">
        <v>7</v>
      </c>
      <c r="NE644" s="27" t="s">
        <v>8</v>
      </c>
      <c r="NF644" s="27" t="s">
        <v>7</v>
      </c>
      <c r="NG644" s="27" t="s">
        <v>8</v>
      </c>
      <c r="NH644" s="27" t="s">
        <v>7</v>
      </c>
      <c r="NI644" s="27" t="s">
        <v>8</v>
      </c>
    </row>
    <row r="645" spans="1:373" x14ac:dyDescent="0.25">
      <c r="A645" s="7">
        <v>0.31709547002401678</v>
      </c>
      <c r="B645"/>
      <c r="C645"/>
      <c r="D645"/>
      <c r="E645"/>
      <c r="F645" s="27" t="s">
        <v>7</v>
      </c>
      <c r="HW645" s="27" t="s">
        <v>8</v>
      </c>
      <c r="HY645" s="27" t="s">
        <v>8</v>
      </c>
      <c r="HZ645" s="27" t="s">
        <v>7</v>
      </c>
      <c r="IA645" s="27" t="s">
        <v>8</v>
      </c>
      <c r="IB645" s="27" t="s">
        <v>7</v>
      </c>
      <c r="IC645" s="27" t="s">
        <v>8</v>
      </c>
      <c r="IF645" s="27" t="s">
        <v>7</v>
      </c>
      <c r="IG645" s="27" t="s">
        <v>8</v>
      </c>
      <c r="IT645" s="27" t="s">
        <v>7</v>
      </c>
      <c r="MQ645" s="27" t="s">
        <v>8</v>
      </c>
      <c r="MR645" s="27" t="s">
        <v>7</v>
      </c>
      <c r="MS645" s="27" t="s">
        <v>8</v>
      </c>
      <c r="MT645" s="27" t="s">
        <v>7</v>
      </c>
      <c r="MU645" s="27" t="s">
        <v>8</v>
      </c>
      <c r="MV645" s="27" t="s">
        <v>7</v>
      </c>
      <c r="MW645" s="27" t="s">
        <v>8</v>
      </c>
      <c r="MX645" s="27" t="s">
        <v>7</v>
      </c>
      <c r="MY645" s="27" t="s">
        <v>8</v>
      </c>
      <c r="MZ645" s="27" t="s">
        <v>7</v>
      </c>
      <c r="NA645" s="27" t="s">
        <v>8</v>
      </c>
      <c r="NB645" s="27" t="s">
        <v>7</v>
      </c>
      <c r="NC645" s="27" t="s">
        <v>8</v>
      </c>
      <c r="ND645" s="27" t="s">
        <v>7</v>
      </c>
      <c r="NE645" s="27" t="s">
        <v>8</v>
      </c>
      <c r="NF645" s="27" t="s">
        <v>7</v>
      </c>
      <c r="NG645" s="27" t="s">
        <v>8</v>
      </c>
      <c r="NH645" s="27" t="s">
        <v>7</v>
      </c>
      <c r="NI645" s="27" t="s">
        <v>8</v>
      </c>
    </row>
    <row r="646" spans="1:373" x14ac:dyDescent="0.25">
      <c r="A646" s="7">
        <v>0.31087791178825175</v>
      </c>
      <c r="B646"/>
      <c r="C646"/>
      <c r="D646"/>
      <c r="E646"/>
      <c r="F646" s="27" t="s">
        <v>7</v>
      </c>
      <c r="HW646" s="27" t="s">
        <v>8</v>
      </c>
      <c r="HX646" s="27" t="s">
        <v>7</v>
      </c>
      <c r="HY646" s="27" t="s">
        <v>8</v>
      </c>
      <c r="HZ646" s="27" t="s">
        <v>7</v>
      </c>
      <c r="IA646" s="27" t="s">
        <v>8</v>
      </c>
      <c r="IB646" s="27" t="s">
        <v>7</v>
      </c>
      <c r="IC646" s="27" t="s">
        <v>8</v>
      </c>
      <c r="IF646" s="27" t="s">
        <v>7</v>
      </c>
      <c r="IG646" s="27" t="s">
        <v>8</v>
      </c>
      <c r="IT646" s="27" t="s">
        <v>7</v>
      </c>
      <c r="JC646" s="27" t="s">
        <v>8</v>
      </c>
      <c r="MQ646" s="27" t="s">
        <v>8</v>
      </c>
      <c r="MR646" s="27" t="s">
        <v>7</v>
      </c>
      <c r="MS646" s="27" t="s">
        <v>8</v>
      </c>
      <c r="MT646" s="27" t="s">
        <v>7</v>
      </c>
      <c r="MU646" s="27" t="s">
        <v>8</v>
      </c>
      <c r="MV646" s="27" t="s">
        <v>7</v>
      </c>
      <c r="MW646" s="27" t="s">
        <v>8</v>
      </c>
      <c r="MX646" s="27" t="s">
        <v>7</v>
      </c>
      <c r="MZ646" s="27" t="s">
        <v>7</v>
      </c>
      <c r="NA646" s="27" t="s">
        <v>8</v>
      </c>
      <c r="NB646" s="27" t="s">
        <v>7</v>
      </c>
      <c r="NC646" s="27" t="s">
        <v>8</v>
      </c>
      <c r="ND646" s="27" t="s">
        <v>7</v>
      </c>
      <c r="NE646" s="27" t="s">
        <v>8</v>
      </c>
      <c r="NF646" s="27" t="s">
        <v>7</v>
      </c>
      <c r="NG646" s="27" t="s">
        <v>8</v>
      </c>
      <c r="NH646" s="27" t="s">
        <v>7</v>
      </c>
      <c r="NI646" s="27" t="s">
        <v>8</v>
      </c>
    </row>
    <row r="647" spans="1:373" x14ac:dyDescent="0.25">
      <c r="A647" s="7">
        <v>0.30478226645907036</v>
      </c>
      <c r="B647"/>
      <c r="C647"/>
      <c r="D647"/>
      <c r="E647"/>
      <c r="F647" s="27" t="s">
        <v>7</v>
      </c>
      <c r="HW647" s="27" t="s">
        <v>8</v>
      </c>
      <c r="HX647" s="27" t="s">
        <v>7</v>
      </c>
      <c r="HY647" s="27" t="s">
        <v>8</v>
      </c>
      <c r="HZ647" s="27" t="s">
        <v>7</v>
      </c>
      <c r="IA647" s="27" t="s">
        <v>8</v>
      </c>
      <c r="IB647" s="27" t="s">
        <v>7</v>
      </c>
      <c r="IC647" s="27" t="s">
        <v>8</v>
      </c>
      <c r="IF647" s="27" t="s">
        <v>7</v>
      </c>
      <c r="IG647" s="27" t="s">
        <v>8</v>
      </c>
      <c r="IT647" s="27" t="s">
        <v>7</v>
      </c>
      <c r="IY647" s="27" t="s">
        <v>8</v>
      </c>
      <c r="JC647" s="27" t="s">
        <v>8</v>
      </c>
      <c r="JD647" s="27" t="s">
        <v>7</v>
      </c>
      <c r="JE647" s="27" t="s">
        <v>8</v>
      </c>
      <c r="MQ647" s="27" t="s">
        <v>8</v>
      </c>
      <c r="MR647" s="27" t="s">
        <v>7</v>
      </c>
      <c r="MS647" s="27" t="s">
        <v>8</v>
      </c>
      <c r="MT647" s="27" t="s">
        <v>7</v>
      </c>
      <c r="MU647" s="27" t="s">
        <v>8</v>
      </c>
      <c r="MV647" s="27" t="s">
        <v>7</v>
      </c>
      <c r="MW647" s="27" t="s">
        <v>8</v>
      </c>
      <c r="MZ647" s="27" t="s">
        <v>7</v>
      </c>
      <c r="NA647" s="27" t="s">
        <v>8</v>
      </c>
      <c r="NB647" s="27" t="s">
        <v>7</v>
      </c>
      <c r="NC647" s="27" t="s">
        <v>8</v>
      </c>
      <c r="ND647" s="27" t="s">
        <v>7</v>
      </c>
      <c r="NE647" s="27" t="s">
        <v>8</v>
      </c>
      <c r="NF647" s="27" t="s">
        <v>7</v>
      </c>
      <c r="NG647" s="27" t="s">
        <v>8</v>
      </c>
      <c r="NH647" s="27" t="s">
        <v>7</v>
      </c>
      <c r="NI647" s="27" t="s">
        <v>8</v>
      </c>
    </row>
    <row r="648" spans="1:373" x14ac:dyDescent="0.25">
      <c r="A648" s="7">
        <v>0.29880614358732388</v>
      </c>
      <c r="B648"/>
      <c r="C648"/>
      <c r="D648"/>
      <c r="E648"/>
      <c r="F648" s="27" t="s">
        <v>7</v>
      </c>
      <c r="HW648" s="27" t="s">
        <v>8</v>
      </c>
      <c r="HX648" s="27" t="s">
        <v>7</v>
      </c>
      <c r="HY648" s="27" t="s">
        <v>8</v>
      </c>
      <c r="HZ648" s="27" t="s">
        <v>7</v>
      </c>
      <c r="IA648" s="27" t="s">
        <v>8</v>
      </c>
      <c r="IB648" s="27" t="s">
        <v>7</v>
      </c>
      <c r="IC648" s="27" t="s">
        <v>8</v>
      </c>
      <c r="IF648" s="27" t="s">
        <v>7</v>
      </c>
      <c r="IT648" s="27" t="s">
        <v>7</v>
      </c>
      <c r="IU648" s="27" t="s">
        <v>8</v>
      </c>
      <c r="IY648" s="27" t="s">
        <v>8</v>
      </c>
      <c r="IZ648" s="27" t="s">
        <v>7</v>
      </c>
      <c r="JC648" s="27" t="s">
        <v>8</v>
      </c>
      <c r="JD648" s="27" t="s">
        <v>7</v>
      </c>
      <c r="JE648" s="27" t="s">
        <v>8</v>
      </c>
      <c r="JF648" s="27" t="s">
        <v>7</v>
      </c>
      <c r="MQ648" s="27" t="s">
        <v>8</v>
      </c>
      <c r="MR648" s="27" t="s">
        <v>7</v>
      </c>
      <c r="MS648" s="27" t="s">
        <v>8</v>
      </c>
      <c r="MT648" s="27" t="s">
        <v>7</v>
      </c>
      <c r="MU648" s="27" t="s">
        <v>8</v>
      </c>
      <c r="MV648" s="27" t="s">
        <v>7</v>
      </c>
      <c r="MW648" s="27" t="s">
        <v>8</v>
      </c>
      <c r="MZ648" s="27" t="s">
        <v>7</v>
      </c>
      <c r="NA648" s="27" t="s">
        <v>8</v>
      </c>
      <c r="NB648" s="27" t="s">
        <v>7</v>
      </c>
      <c r="NC648" s="27" t="s">
        <v>8</v>
      </c>
      <c r="ND648" s="27" t="s">
        <v>7</v>
      </c>
      <c r="NE648" s="27" t="s">
        <v>8</v>
      </c>
      <c r="NF648" s="27" t="s">
        <v>7</v>
      </c>
      <c r="NG648" s="27" t="s">
        <v>8</v>
      </c>
      <c r="NH648" s="27" t="s">
        <v>7</v>
      </c>
      <c r="NI648" s="27" t="s">
        <v>8</v>
      </c>
    </row>
    <row r="649" spans="1:373" x14ac:dyDescent="0.25">
      <c r="A649" s="7">
        <v>0.2929471995954156</v>
      </c>
      <c r="B649"/>
      <c r="C649"/>
      <c r="D649"/>
      <c r="E649"/>
      <c r="F649" s="27" t="s">
        <v>7</v>
      </c>
      <c r="HW649" s="27" t="s">
        <v>8</v>
      </c>
      <c r="HX649" s="27" t="s">
        <v>7</v>
      </c>
      <c r="HY649" s="27" t="s">
        <v>8</v>
      </c>
      <c r="HZ649" s="27" t="s">
        <v>7</v>
      </c>
      <c r="IA649" s="27" t="s">
        <v>8</v>
      </c>
      <c r="IB649" s="27" t="s">
        <v>7</v>
      </c>
      <c r="IC649" s="27" t="s">
        <v>8</v>
      </c>
      <c r="IT649" s="27" t="s">
        <v>7</v>
      </c>
      <c r="IU649" s="27" t="s">
        <v>8</v>
      </c>
      <c r="IV649" s="27" t="s">
        <v>7</v>
      </c>
      <c r="IY649" s="27" t="s">
        <v>8</v>
      </c>
      <c r="IZ649" s="27" t="s">
        <v>7</v>
      </c>
      <c r="JC649" s="27" t="s">
        <v>8</v>
      </c>
      <c r="JD649" s="27" t="s">
        <v>7</v>
      </c>
      <c r="JE649" s="27" t="s">
        <v>8</v>
      </c>
      <c r="JF649" s="27" t="s">
        <v>7</v>
      </c>
      <c r="MQ649" s="27" t="s">
        <v>8</v>
      </c>
      <c r="MR649" s="27" t="s">
        <v>7</v>
      </c>
      <c r="MS649" s="27" t="s">
        <v>8</v>
      </c>
      <c r="MT649" s="27" t="s">
        <v>7</v>
      </c>
      <c r="MU649" s="27" t="s">
        <v>8</v>
      </c>
      <c r="MV649" s="27" t="s">
        <v>7</v>
      </c>
      <c r="MZ649" s="27" t="s">
        <v>7</v>
      </c>
      <c r="NA649" s="27" t="s">
        <v>8</v>
      </c>
      <c r="NB649" s="27" t="s">
        <v>7</v>
      </c>
      <c r="ND649" s="27" t="s">
        <v>7</v>
      </c>
      <c r="NE649" s="27" t="s">
        <v>8</v>
      </c>
      <c r="NF649" s="27" t="s">
        <v>7</v>
      </c>
      <c r="NG649" s="27" t="s">
        <v>8</v>
      </c>
      <c r="NH649" s="27" t="s">
        <v>7</v>
      </c>
      <c r="NI649" s="27" t="s">
        <v>8</v>
      </c>
    </row>
    <row r="650" spans="1:373" x14ac:dyDescent="0.25">
      <c r="A650" s="7">
        <v>0.28720313685825055</v>
      </c>
      <c r="B650"/>
      <c r="C650"/>
      <c r="D650"/>
      <c r="E650"/>
      <c r="F650" s="27" t="s">
        <v>7</v>
      </c>
      <c r="HW650" s="27" t="s">
        <v>8</v>
      </c>
      <c r="HX650" s="27" t="s">
        <v>7</v>
      </c>
      <c r="HY650" s="27" t="s">
        <v>8</v>
      </c>
      <c r="HZ650" s="27" t="s">
        <v>7</v>
      </c>
      <c r="IA650" s="27" t="s">
        <v>8</v>
      </c>
      <c r="IB650" s="27" t="s">
        <v>7</v>
      </c>
      <c r="IC650" s="27" t="s">
        <v>8</v>
      </c>
      <c r="IT650" s="27" t="s">
        <v>7</v>
      </c>
      <c r="IU650" s="27" t="s">
        <v>8</v>
      </c>
      <c r="IV650" s="27" t="s">
        <v>7</v>
      </c>
      <c r="IY650" s="27" t="s">
        <v>8</v>
      </c>
      <c r="IZ650" s="27" t="s">
        <v>7</v>
      </c>
      <c r="JA650" s="27" t="s">
        <v>8</v>
      </c>
      <c r="JC650" s="27" t="s">
        <v>8</v>
      </c>
      <c r="JD650" s="27" t="s">
        <v>7</v>
      </c>
      <c r="JE650" s="27" t="s">
        <v>8</v>
      </c>
      <c r="JF650" s="27" t="s">
        <v>7</v>
      </c>
      <c r="MO650" s="27" t="s">
        <v>8</v>
      </c>
      <c r="MQ650" s="27" t="s">
        <v>8</v>
      </c>
      <c r="MR650" s="27" t="s">
        <v>7</v>
      </c>
      <c r="MS650" s="27" t="s">
        <v>8</v>
      </c>
      <c r="MT650" s="27" t="s">
        <v>7</v>
      </c>
      <c r="MU650" s="27" t="s">
        <v>8</v>
      </c>
      <c r="MZ650" s="27" t="s">
        <v>7</v>
      </c>
      <c r="ND650" s="27" t="s">
        <v>7</v>
      </c>
      <c r="NE650" s="27" t="s">
        <v>8</v>
      </c>
      <c r="NF650" s="27" t="s">
        <v>7</v>
      </c>
      <c r="NG650" s="27" t="s">
        <v>8</v>
      </c>
      <c r="NH650" s="27" t="s">
        <v>7</v>
      </c>
    </row>
    <row r="651" spans="1:373" x14ac:dyDescent="0.25">
      <c r="A651" s="7">
        <v>0.28157170280220645</v>
      </c>
      <c r="B651"/>
      <c r="C651"/>
      <c r="D651"/>
      <c r="E651"/>
      <c r="F651" s="27" t="s">
        <v>7</v>
      </c>
      <c r="HW651" s="27" t="s">
        <v>8</v>
      </c>
      <c r="HX651" s="27" t="s">
        <v>7</v>
      </c>
      <c r="HY651" s="27" t="s">
        <v>8</v>
      </c>
      <c r="HZ651" s="27" t="s">
        <v>7</v>
      </c>
      <c r="IA651" s="27" t="s">
        <v>8</v>
      </c>
      <c r="IB651" s="27" t="s">
        <v>7</v>
      </c>
      <c r="IT651" s="27" t="s">
        <v>7</v>
      </c>
      <c r="IU651" s="27" t="s">
        <v>8</v>
      </c>
      <c r="IV651" s="27" t="s">
        <v>7</v>
      </c>
      <c r="IY651" s="27" t="s">
        <v>8</v>
      </c>
      <c r="IZ651" s="27" t="s">
        <v>7</v>
      </c>
      <c r="JA651" s="27" t="s">
        <v>8</v>
      </c>
      <c r="JB651" s="27" t="s">
        <v>7</v>
      </c>
      <c r="JC651" s="27" t="s">
        <v>8</v>
      </c>
      <c r="JD651" s="27" t="s">
        <v>7</v>
      </c>
      <c r="JE651" s="27" t="s">
        <v>8</v>
      </c>
      <c r="JF651" s="27" t="s">
        <v>7</v>
      </c>
      <c r="MO651" s="27" t="s">
        <v>8</v>
      </c>
      <c r="MP651" s="27" t="s">
        <v>7</v>
      </c>
      <c r="MQ651" s="27" t="s">
        <v>8</v>
      </c>
      <c r="MR651" s="27" t="s">
        <v>7</v>
      </c>
      <c r="MT651" s="27" t="s">
        <v>7</v>
      </c>
      <c r="MU651" s="27" t="s">
        <v>8</v>
      </c>
      <c r="ND651" s="27" t="s">
        <v>7</v>
      </c>
      <c r="NE651" s="27" t="s">
        <v>8</v>
      </c>
      <c r="NF651" s="27" t="s">
        <v>7</v>
      </c>
    </row>
    <row r="652" spans="1:373" x14ac:dyDescent="0.25">
      <c r="A652" s="7">
        <v>0.27605068902177105</v>
      </c>
      <c r="B652"/>
      <c r="C652"/>
      <c r="D652"/>
      <c r="E652"/>
      <c r="F652" s="27" t="s">
        <v>7</v>
      </c>
      <c r="HO652" s="27" t="s">
        <v>8</v>
      </c>
      <c r="HW652" s="27" t="s">
        <v>8</v>
      </c>
      <c r="HX652" s="27" t="s">
        <v>7</v>
      </c>
      <c r="HY652" s="27" t="s">
        <v>8</v>
      </c>
      <c r="HZ652" s="27" t="s">
        <v>7</v>
      </c>
      <c r="IT652" s="27" t="s">
        <v>7</v>
      </c>
      <c r="IU652" s="27" t="s">
        <v>8</v>
      </c>
      <c r="IV652" s="27" t="s">
        <v>7</v>
      </c>
      <c r="IY652" s="27" t="s">
        <v>8</v>
      </c>
      <c r="IZ652" s="27" t="s">
        <v>7</v>
      </c>
      <c r="JA652" s="27" t="s">
        <v>8</v>
      </c>
      <c r="JB652" s="27" t="s">
        <v>7</v>
      </c>
      <c r="JC652" s="27" t="s">
        <v>8</v>
      </c>
      <c r="JD652" s="27" t="s">
        <v>7</v>
      </c>
      <c r="JE652" s="27" t="s">
        <v>8</v>
      </c>
      <c r="JF652" s="27" t="s">
        <v>7</v>
      </c>
      <c r="MO652" s="27" t="s">
        <v>8</v>
      </c>
      <c r="MP652" s="27" t="s">
        <v>7</v>
      </c>
      <c r="MQ652" s="27" t="s">
        <v>8</v>
      </c>
      <c r="MT652" s="27" t="s">
        <v>7</v>
      </c>
      <c r="MU652" s="27" t="s">
        <v>8</v>
      </c>
      <c r="ND652" s="27" t="s">
        <v>7</v>
      </c>
      <c r="NE652" s="27" t="s">
        <v>8</v>
      </c>
    </row>
    <row r="653" spans="1:373" x14ac:dyDescent="0.25">
      <c r="A653" s="7">
        <v>0.27063793041350104</v>
      </c>
      <c r="B653"/>
      <c r="C653"/>
      <c r="D653"/>
      <c r="E653"/>
      <c r="F653" s="27" t="s">
        <v>7</v>
      </c>
      <c r="HO653" s="27" t="s">
        <v>8</v>
      </c>
      <c r="HP653" s="27" t="s">
        <v>7</v>
      </c>
      <c r="HW653" s="27" t="s">
        <v>8</v>
      </c>
      <c r="HX653" s="27" t="s">
        <v>7</v>
      </c>
      <c r="HY653" s="27" t="s">
        <v>8</v>
      </c>
      <c r="IT653" s="27" t="s">
        <v>7</v>
      </c>
      <c r="IU653" s="27" t="s">
        <v>8</v>
      </c>
      <c r="IV653" s="27" t="s">
        <v>7</v>
      </c>
      <c r="IY653" s="27" t="s">
        <v>8</v>
      </c>
      <c r="IZ653" s="27" t="s">
        <v>7</v>
      </c>
      <c r="JA653" s="27" t="s">
        <v>8</v>
      </c>
      <c r="JB653" s="27" t="s">
        <v>7</v>
      </c>
      <c r="JC653" s="27" t="s">
        <v>8</v>
      </c>
      <c r="JD653" s="27" t="s">
        <v>7</v>
      </c>
      <c r="JE653" s="27" t="s">
        <v>8</v>
      </c>
      <c r="JF653" s="27" t="s">
        <v>7</v>
      </c>
      <c r="MO653" s="27" t="s">
        <v>8</v>
      </c>
      <c r="MP653" s="27" t="s">
        <v>7</v>
      </c>
      <c r="MQ653" s="27" t="s">
        <v>8</v>
      </c>
      <c r="MT653" s="27" t="s">
        <v>7</v>
      </c>
      <c r="MU653" s="27" t="s">
        <v>8</v>
      </c>
      <c r="ND653" s="27" t="s">
        <v>7</v>
      </c>
      <c r="NE653" s="27" t="s">
        <v>8</v>
      </c>
    </row>
    <row r="654" spans="1:373" x14ac:dyDescent="0.25">
      <c r="A654" s="7">
        <v>0.26533130432696184</v>
      </c>
      <c r="B654"/>
      <c r="C654"/>
      <c r="D654"/>
      <c r="E654"/>
      <c r="F654" s="27" t="s">
        <v>7</v>
      </c>
      <c r="HK654" s="27" t="s">
        <v>8</v>
      </c>
      <c r="HM654" s="27" t="s">
        <v>8</v>
      </c>
      <c r="HO654" s="27" t="s">
        <v>8</v>
      </c>
      <c r="HP654" s="27" t="s">
        <v>7</v>
      </c>
      <c r="HW654" s="27" t="s">
        <v>8</v>
      </c>
      <c r="HX654" s="27" t="s">
        <v>7</v>
      </c>
      <c r="IT654" s="27" t="s">
        <v>7</v>
      </c>
      <c r="IU654" s="27" t="s">
        <v>8</v>
      </c>
      <c r="IV654" s="27" t="s">
        <v>7</v>
      </c>
      <c r="IY654" s="27" t="s">
        <v>8</v>
      </c>
      <c r="IZ654" s="27" t="s">
        <v>7</v>
      </c>
      <c r="JA654" s="27" t="s">
        <v>8</v>
      </c>
      <c r="JB654" s="27" t="s">
        <v>7</v>
      </c>
      <c r="JC654" s="27" t="s">
        <v>8</v>
      </c>
      <c r="JD654" s="27" t="s">
        <v>7</v>
      </c>
      <c r="JE654" s="27" t="s">
        <v>8</v>
      </c>
      <c r="JF654" s="27" t="s">
        <v>7</v>
      </c>
      <c r="MO654" s="27" t="s">
        <v>8</v>
      </c>
      <c r="MP654" s="27" t="s">
        <v>7</v>
      </c>
      <c r="MQ654" s="27" t="s">
        <v>8</v>
      </c>
      <c r="MT654" s="27" t="s">
        <v>7</v>
      </c>
      <c r="MU654" s="27" t="s">
        <v>8</v>
      </c>
      <c r="ND654" s="27" t="s">
        <v>7</v>
      </c>
      <c r="NE654" s="27" t="s">
        <v>8</v>
      </c>
    </row>
    <row r="655" spans="1:373" x14ac:dyDescent="0.25">
      <c r="A655" s="7">
        <v>0.26012872973231554</v>
      </c>
      <c r="B655"/>
      <c r="C655"/>
      <c r="D655"/>
      <c r="E655"/>
      <c r="F655" s="27" t="s">
        <v>7</v>
      </c>
      <c r="HK655" s="27" t="s">
        <v>8</v>
      </c>
      <c r="HL655" s="27" t="s">
        <v>7</v>
      </c>
      <c r="HM655" s="27" t="s">
        <v>8</v>
      </c>
      <c r="HN655" s="27" t="s">
        <v>7</v>
      </c>
      <c r="HO655" s="27" t="s">
        <v>8</v>
      </c>
      <c r="HP655" s="27" t="s">
        <v>7</v>
      </c>
      <c r="HS655" s="27" t="s">
        <v>8</v>
      </c>
      <c r="HU655" s="27" t="s">
        <v>8</v>
      </c>
      <c r="HW655" s="27" t="s">
        <v>8</v>
      </c>
      <c r="IT655" s="27" t="s">
        <v>7</v>
      </c>
      <c r="IV655" s="27" t="s">
        <v>7</v>
      </c>
      <c r="IY655" s="27" t="s">
        <v>8</v>
      </c>
      <c r="IZ655" s="27" t="s">
        <v>7</v>
      </c>
      <c r="JA655" s="27" t="s">
        <v>8</v>
      </c>
      <c r="JB655" s="27" t="s">
        <v>7</v>
      </c>
      <c r="JD655" s="27" t="s">
        <v>7</v>
      </c>
      <c r="JE655" s="27" t="s">
        <v>8</v>
      </c>
      <c r="JF655" s="27" t="s">
        <v>7</v>
      </c>
      <c r="MO655" s="27" t="s">
        <v>8</v>
      </c>
      <c r="MP655" s="27" t="s">
        <v>7</v>
      </c>
      <c r="MT655" s="27" t="s">
        <v>7</v>
      </c>
      <c r="ND655" s="27" t="s">
        <v>7</v>
      </c>
      <c r="NE655" s="27" t="s">
        <v>8</v>
      </c>
    </row>
    <row r="656" spans="1:373" x14ac:dyDescent="0.25">
      <c r="A656" s="7">
        <v>0.25502816640423093</v>
      </c>
      <c r="B656"/>
      <c r="C656"/>
      <c r="D656"/>
      <c r="E656"/>
      <c r="F656" s="27" t="s">
        <v>7</v>
      </c>
      <c r="HK656" s="27" t="s">
        <v>8</v>
      </c>
      <c r="HL656" s="27" t="s">
        <v>7</v>
      </c>
      <c r="HM656" s="27" t="s">
        <v>8</v>
      </c>
      <c r="HN656" s="27" t="s">
        <v>7</v>
      </c>
      <c r="HO656" s="27" t="s">
        <v>8</v>
      </c>
      <c r="HP656" s="27" t="s">
        <v>7</v>
      </c>
      <c r="HS656" s="27" t="s">
        <v>8</v>
      </c>
      <c r="HT656" s="27" t="s">
        <v>7</v>
      </c>
      <c r="HU656" s="27" t="s">
        <v>8</v>
      </c>
      <c r="HV656" s="27" t="s">
        <v>7</v>
      </c>
      <c r="HW656" s="27" t="s">
        <v>8</v>
      </c>
      <c r="IV656" s="27" t="s">
        <v>7</v>
      </c>
      <c r="IY656" s="27" t="s">
        <v>8</v>
      </c>
      <c r="IZ656" s="27" t="s">
        <v>7</v>
      </c>
      <c r="JA656" s="27" t="s">
        <v>8</v>
      </c>
      <c r="JD656" s="27" t="s">
        <v>7</v>
      </c>
      <c r="JE656" s="27" t="s">
        <v>8</v>
      </c>
      <c r="JF656" s="27" t="s">
        <v>7</v>
      </c>
      <c r="MO656" s="27" t="s">
        <v>8</v>
      </c>
      <c r="ND656" s="27" t="s">
        <v>7</v>
      </c>
      <c r="NE656" s="27" t="s">
        <v>8</v>
      </c>
    </row>
    <row r="657" spans="1:369" x14ac:dyDescent="0.25">
      <c r="A657" s="7">
        <v>0.25002761412179503</v>
      </c>
      <c r="B657"/>
      <c r="C657"/>
      <c r="D657"/>
      <c r="E657"/>
      <c r="F657" s="27" t="s">
        <v>7</v>
      </c>
      <c r="HK657" s="27" t="s">
        <v>8</v>
      </c>
      <c r="HL657" s="27" t="s">
        <v>7</v>
      </c>
      <c r="HM657" s="27" t="s">
        <v>8</v>
      </c>
      <c r="HN657" s="27" t="s">
        <v>7</v>
      </c>
      <c r="HO657" s="27" t="s">
        <v>8</v>
      </c>
      <c r="HP657" s="27" t="s">
        <v>7</v>
      </c>
      <c r="HS657" s="27" t="s">
        <v>8</v>
      </c>
      <c r="HT657" s="27" t="s">
        <v>7</v>
      </c>
      <c r="HU657" s="27" t="s">
        <v>8</v>
      </c>
      <c r="HV657" s="27" t="s">
        <v>7</v>
      </c>
      <c r="HW657" s="27" t="s">
        <v>8</v>
      </c>
      <c r="IV657" s="27" t="s">
        <v>7</v>
      </c>
      <c r="IY657" s="27" t="s">
        <v>8</v>
      </c>
      <c r="IZ657" s="27" t="s">
        <v>7</v>
      </c>
      <c r="JA657" s="27" t="s">
        <v>8</v>
      </c>
      <c r="JD657" s="27" t="s">
        <v>7</v>
      </c>
      <c r="JF657" s="27" t="s">
        <v>7</v>
      </c>
      <c r="JG657" s="27" t="s">
        <v>8</v>
      </c>
      <c r="MO657" s="27" t="s">
        <v>8</v>
      </c>
      <c r="ND657" s="27" t="s">
        <v>7</v>
      </c>
      <c r="NE657" s="27" t="s">
        <v>8</v>
      </c>
    </row>
    <row r="658" spans="1:369" x14ac:dyDescent="0.25">
      <c r="A658" s="7">
        <v>0.24512511188411276</v>
      </c>
      <c r="B658"/>
      <c r="C658"/>
      <c r="D658"/>
      <c r="E658"/>
      <c r="F658" s="27" t="s">
        <v>7</v>
      </c>
      <c r="HK658" s="27" t="s">
        <v>8</v>
      </c>
      <c r="HL658" s="27" t="s">
        <v>7</v>
      </c>
      <c r="HM658" s="27" t="s">
        <v>8</v>
      </c>
      <c r="HN658" s="27" t="s">
        <v>7</v>
      </c>
      <c r="HO658" s="27" t="s">
        <v>8</v>
      </c>
      <c r="HP658" s="27" t="s">
        <v>7</v>
      </c>
      <c r="HS658" s="27" t="s">
        <v>8</v>
      </c>
      <c r="HT658" s="27" t="s">
        <v>7</v>
      </c>
      <c r="HU658" s="27" t="s">
        <v>8</v>
      </c>
      <c r="HV658" s="27" t="s">
        <v>7</v>
      </c>
      <c r="HW658" s="27" t="s">
        <v>8</v>
      </c>
      <c r="IV658" s="27" t="s">
        <v>7</v>
      </c>
      <c r="IY658" s="27" t="s">
        <v>8</v>
      </c>
      <c r="IZ658" s="27" t="s">
        <v>7</v>
      </c>
      <c r="JF658" s="27" t="s">
        <v>7</v>
      </c>
      <c r="JG658" s="27" t="s">
        <v>8</v>
      </c>
      <c r="JH658" s="27" t="s">
        <v>7</v>
      </c>
      <c r="MO658" s="27" t="s">
        <v>8</v>
      </c>
      <c r="ND658" s="27" t="s">
        <v>7</v>
      </c>
      <c r="NE658" s="27" t="s">
        <v>8</v>
      </c>
    </row>
    <row r="659" spans="1:369" x14ac:dyDescent="0.25">
      <c r="A659" s="7">
        <v>0.24031873714128701</v>
      </c>
      <c r="B659"/>
      <c r="C659"/>
      <c r="D659"/>
      <c r="E659"/>
      <c r="F659" s="27" t="s">
        <v>7</v>
      </c>
      <c r="HK659" s="27" t="s">
        <v>8</v>
      </c>
      <c r="HL659" s="27" t="s">
        <v>7</v>
      </c>
      <c r="HM659" s="27" t="s">
        <v>8</v>
      </c>
      <c r="HN659" s="27" t="s">
        <v>7</v>
      </c>
      <c r="HO659" s="27" t="s">
        <v>8</v>
      </c>
      <c r="HP659" s="27" t="s">
        <v>7</v>
      </c>
      <c r="HS659" s="27" t="s">
        <v>8</v>
      </c>
      <c r="HT659" s="27" t="s">
        <v>7</v>
      </c>
      <c r="HU659" s="27" t="s">
        <v>8</v>
      </c>
      <c r="HV659" s="27" t="s">
        <v>7</v>
      </c>
      <c r="IV659" s="27" t="s">
        <v>7</v>
      </c>
      <c r="IY659" s="27" t="s">
        <v>8</v>
      </c>
      <c r="JF659" s="27" t="s">
        <v>7</v>
      </c>
      <c r="JG659" s="27" t="s">
        <v>8</v>
      </c>
      <c r="JH659" s="27" t="s">
        <v>7</v>
      </c>
      <c r="MO659" s="27" t="s">
        <v>8</v>
      </c>
      <c r="ND659" s="27" t="s">
        <v>7</v>
      </c>
      <c r="NE659" s="27" t="s">
        <v>8</v>
      </c>
    </row>
    <row r="660" spans="1:369" x14ac:dyDescent="0.25">
      <c r="A660" s="7">
        <v>0.23560660504047748</v>
      </c>
      <c r="B660"/>
      <c r="C660"/>
      <c r="D660"/>
      <c r="E660"/>
      <c r="F660" s="27" t="s">
        <v>7</v>
      </c>
      <c r="HK660" s="27" t="s">
        <v>8</v>
      </c>
      <c r="HL660" s="27" t="s">
        <v>7</v>
      </c>
      <c r="HM660" s="27" t="s">
        <v>8</v>
      </c>
      <c r="HN660" s="27" t="s">
        <v>7</v>
      </c>
      <c r="HO660" s="27" t="s">
        <v>8</v>
      </c>
      <c r="HP660" s="27" t="s">
        <v>7</v>
      </c>
      <c r="HS660" s="27" t="s">
        <v>8</v>
      </c>
      <c r="HT660" s="27" t="s">
        <v>7</v>
      </c>
      <c r="HU660" s="27" t="s">
        <v>8</v>
      </c>
      <c r="IV660" s="27" t="s">
        <v>7</v>
      </c>
      <c r="IW660" s="27" t="s">
        <v>8</v>
      </c>
      <c r="IY660" s="27" t="s">
        <v>8</v>
      </c>
      <c r="JF660" s="27" t="s">
        <v>7</v>
      </c>
      <c r="JG660" s="27" t="s">
        <v>8</v>
      </c>
      <c r="JH660" s="27" t="s">
        <v>7</v>
      </c>
      <c r="MO660" s="27" t="s">
        <v>8</v>
      </c>
      <c r="ND660" s="27" t="s">
        <v>7</v>
      </c>
      <c r="NE660" s="27" t="s">
        <v>8</v>
      </c>
    </row>
    <row r="661" spans="1:369" x14ac:dyDescent="0.25">
      <c r="A661" s="7">
        <v>0.23098686768674265</v>
      </c>
      <c r="B661"/>
      <c r="C661"/>
      <c r="D661"/>
      <c r="E661"/>
      <c r="F661" s="27" t="s">
        <v>7</v>
      </c>
      <c r="HK661" s="27" t="s">
        <v>8</v>
      </c>
      <c r="HL661" s="27" t="s">
        <v>7</v>
      </c>
      <c r="HM661" s="27" t="s">
        <v>8</v>
      </c>
      <c r="HN661" s="27" t="s">
        <v>7</v>
      </c>
      <c r="HO661" s="27" t="s">
        <v>8</v>
      </c>
      <c r="HP661" s="27" t="s">
        <v>7</v>
      </c>
      <c r="HS661" s="27" t="s">
        <v>8</v>
      </c>
      <c r="HT661" s="27" t="s">
        <v>7</v>
      </c>
      <c r="HU661" s="27" t="s">
        <v>8</v>
      </c>
      <c r="IV661" s="27" t="s">
        <v>7</v>
      </c>
      <c r="IW661" s="27" t="s">
        <v>8</v>
      </c>
      <c r="IX661" s="27" t="s">
        <v>7</v>
      </c>
      <c r="IY661" s="27" t="s">
        <v>8</v>
      </c>
      <c r="JF661" s="27" t="s">
        <v>7</v>
      </c>
      <c r="JG661" s="27" t="s">
        <v>8</v>
      </c>
      <c r="JH661" s="27" t="s">
        <v>7</v>
      </c>
      <c r="MO661" s="27" t="s">
        <v>8</v>
      </c>
      <c r="ND661" s="27" t="s">
        <v>7</v>
      </c>
      <c r="NE661" s="27" t="s">
        <v>8</v>
      </c>
    </row>
    <row r="662" spans="1:369" x14ac:dyDescent="0.25">
      <c r="A662" s="7">
        <v>0.22645771341837515</v>
      </c>
      <c r="B662"/>
      <c r="C662"/>
      <c r="D662"/>
      <c r="E662"/>
      <c r="F662" s="27" t="s">
        <v>7</v>
      </c>
      <c r="HI662" s="27" t="s">
        <v>8</v>
      </c>
      <c r="HK662" s="27" t="s">
        <v>8</v>
      </c>
      <c r="HL662" s="27" t="s">
        <v>7</v>
      </c>
      <c r="HM662" s="27" t="s">
        <v>8</v>
      </c>
      <c r="HN662" s="27" t="s">
        <v>7</v>
      </c>
      <c r="HO662" s="27" t="s">
        <v>8</v>
      </c>
      <c r="HP662" s="27" t="s">
        <v>7</v>
      </c>
      <c r="HS662" s="27" t="s">
        <v>8</v>
      </c>
      <c r="HT662" s="27" t="s">
        <v>7</v>
      </c>
      <c r="HU662" s="27" t="s">
        <v>8</v>
      </c>
      <c r="IV662" s="27" t="s">
        <v>7</v>
      </c>
      <c r="IW662" s="27" t="s">
        <v>8</v>
      </c>
      <c r="IX662" s="27" t="s">
        <v>7</v>
      </c>
      <c r="IY662" s="27" t="s">
        <v>8</v>
      </c>
      <c r="JF662" s="27" t="s">
        <v>7</v>
      </c>
      <c r="JH662" s="27" t="s">
        <v>7</v>
      </c>
      <c r="JI662" s="27" t="s">
        <v>8</v>
      </c>
      <c r="MO662" s="27" t="s">
        <v>8</v>
      </c>
      <c r="ND662" s="27" t="s">
        <v>7</v>
      </c>
      <c r="NE662" s="27" t="s">
        <v>8</v>
      </c>
    </row>
    <row r="663" spans="1:369" x14ac:dyDescent="0.25">
      <c r="A663" s="7">
        <v>0.22201736609644623</v>
      </c>
      <c r="B663"/>
      <c r="C663"/>
      <c r="D663"/>
      <c r="E663"/>
      <c r="F663" s="27" t="s">
        <v>7</v>
      </c>
      <c r="HI663" s="27" t="s">
        <v>8</v>
      </c>
      <c r="HJ663" s="27" t="s">
        <v>7</v>
      </c>
      <c r="HK663" s="27" t="s">
        <v>8</v>
      </c>
      <c r="HL663" s="27" t="s">
        <v>7</v>
      </c>
      <c r="HM663" s="27" t="s">
        <v>8</v>
      </c>
      <c r="HN663" s="27" t="s">
        <v>7</v>
      </c>
      <c r="HO663" s="27" t="s">
        <v>8</v>
      </c>
      <c r="HP663" s="27" t="s">
        <v>7</v>
      </c>
      <c r="HS663" s="27" t="s">
        <v>8</v>
      </c>
      <c r="HT663" s="27" t="s">
        <v>7</v>
      </c>
      <c r="HU663" s="27" t="s">
        <v>8</v>
      </c>
      <c r="IV663" s="27" t="s">
        <v>7</v>
      </c>
      <c r="IW663" s="27" t="s">
        <v>8</v>
      </c>
      <c r="IX663" s="27" t="s">
        <v>7</v>
      </c>
      <c r="IY663" s="27" t="s">
        <v>8</v>
      </c>
      <c r="JH663" s="27" t="s">
        <v>7</v>
      </c>
      <c r="JI663" s="27" t="s">
        <v>8</v>
      </c>
      <c r="JJ663" s="27" t="s">
        <v>7</v>
      </c>
      <c r="MM663" s="27" t="s">
        <v>8</v>
      </c>
      <c r="MO663" s="27" t="s">
        <v>8</v>
      </c>
      <c r="ND663" s="27" t="s">
        <v>7</v>
      </c>
      <c r="NE663" s="27" t="s">
        <v>8</v>
      </c>
    </row>
    <row r="664" spans="1:369" x14ac:dyDescent="0.25">
      <c r="A664" s="7">
        <v>0.21766408440828061</v>
      </c>
      <c r="B664"/>
      <c r="C664"/>
      <c r="D664"/>
      <c r="E664"/>
      <c r="F664" s="27" t="s">
        <v>7</v>
      </c>
      <c r="HI664" s="27" t="s">
        <v>8</v>
      </c>
      <c r="HJ664" s="27" t="s">
        <v>7</v>
      </c>
      <c r="HK664" s="27" t="s">
        <v>8</v>
      </c>
      <c r="HL664" s="27" t="s">
        <v>7</v>
      </c>
      <c r="HN664" s="27" t="s">
        <v>7</v>
      </c>
      <c r="HO664" s="27" t="s">
        <v>8</v>
      </c>
      <c r="HP664" s="27" t="s">
        <v>7</v>
      </c>
      <c r="HQ664" s="27" t="s">
        <v>8</v>
      </c>
      <c r="HS664" s="27" t="s">
        <v>8</v>
      </c>
      <c r="HT664" s="27" t="s">
        <v>7</v>
      </c>
      <c r="IV664" s="27" t="s">
        <v>7</v>
      </c>
      <c r="IW664" s="27" t="s">
        <v>8</v>
      </c>
      <c r="IX664" s="27" t="s">
        <v>7</v>
      </c>
      <c r="IY664" s="27" t="s">
        <v>8</v>
      </c>
      <c r="JH664" s="27" t="s">
        <v>7</v>
      </c>
      <c r="JI664" s="27" t="s">
        <v>8</v>
      </c>
      <c r="JJ664" s="27" t="s">
        <v>7</v>
      </c>
      <c r="MM664" s="27" t="s">
        <v>8</v>
      </c>
      <c r="MN664" s="27" t="s">
        <v>7</v>
      </c>
      <c r="MO664" s="27" t="s">
        <v>8</v>
      </c>
      <c r="ND664" s="27" t="s">
        <v>7</v>
      </c>
      <c r="NE664" s="27" t="s">
        <v>8</v>
      </c>
    </row>
    <row r="665" spans="1:369" x14ac:dyDescent="0.25">
      <c r="A665" s="7">
        <v>0.21339616118458882</v>
      </c>
      <c r="B665"/>
      <c r="C665"/>
      <c r="D665"/>
      <c r="E665"/>
      <c r="F665" s="27" t="s">
        <v>7</v>
      </c>
      <c r="HI665" s="27" t="s">
        <v>8</v>
      </c>
      <c r="HJ665" s="27" t="s">
        <v>7</v>
      </c>
      <c r="HK665" s="27" t="s">
        <v>8</v>
      </c>
      <c r="HN665" s="27" t="s">
        <v>7</v>
      </c>
      <c r="HO665" s="27" t="s">
        <v>8</v>
      </c>
      <c r="HP665" s="27" t="s">
        <v>7</v>
      </c>
      <c r="HQ665" s="27" t="s">
        <v>8</v>
      </c>
      <c r="HR665" s="27" t="s">
        <v>7</v>
      </c>
      <c r="HS665" s="27" t="s">
        <v>8</v>
      </c>
      <c r="IV665" s="27" t="s">
        <v>7</v>
      </c>
      <c r="IW665" s="27" t="s">
        <v>8</v>
      </c>
      <c r="IX665" s="27" t="s">
        <v>7</v>
      </c>
      <c r="IY665" s="27" t="s">
        <v>8</v>
      </c>
      <c r="JH665" s="27" t="s">
        <v>7</v>
      </c>
      <c r="JI665" s="27" t="s">
        <v>8</v>
      </c>
      <c r="JJ665" s="27" t="s">
        <v>7</v>
      </c>
      <c r="MC665" s="27" t="s">
        <v>8</v>
      </c>
      <c r="MM665" s="27" t="s">
        <v>8</v>
      </c>
      <c r="MN665" s="27" t="s">
        <v>7</v>
      </c>
      <c r="MO665" s="27" t="s">
        <v>8</v>
      </c>
      <c r="ND665" s="27" t="s">
        <v>7</v>
      </c>
      <c r="NE665" s="27" t="s">
        <v>8</v>
      </c>
    </row>
    <row r="666" spans="1:369" x14ac:dyDescent="0.25">
      <c r="A666" s="7">
        <v>0.20921192272998904</v>
      </c>
      <c r="B666"/>
      <c r="C666"/>
      <c r="D666"/>
      <c r="E666"/>
      <c r="F666" s="27" t="s">
        <v>7</v>
      </c>
      <c r="HG666" s="27" t="s">
        <v>8</v>
      </c>
      <c r="HI666" s="27" t="s">
        <v>8</v>
      </c>
      <c r="HJ666" s="27" t="s">
        <v>7</v>
      </c>
      <c r="HK666" s="27" t="s">
        <v>8</v>
      </c>
      <c r="HN666" s="27" t="s">
        <v>7</v>
      </c>
      <c r="HO666" s="27" t="s">
        <v>8</v>
      </c>
      <c r="HP666" s="27" t="s">
        <v>7</v>
      </c>
      <c r="HQ666" s="27" t="s">
        <v>8</v>
      </c>
      <c r="HR666" s="27" t="s">
        <v>7</v>
      </c>
      <c r="HS666" s="27" t="s">
        <v>8</v>
      </c>
      <c r="IV666" s="27" t="s">
        <v>7</v>
      </c>
      <c r="IW666" s="27" t="s">
        <v>8</v>
      </c>
      <c r="IX666" s="27" t="s">
        <v>7</v>
      </c>
      <c r="IY666" s="27" t="s">
        <v>8</v>
      </c>
      <c r="JH666" s="27" t="s">
        <v>7</v>
      </c>
      <c r="JI666" s="27" t="s">
        <v>8</v>
      </c>
      <c r="JJ666" s="27" t="s">
        <v>7</v>
      </c>
      <c r="MC666" s="27" t="s">
        <v>8</v>
      </c>
      <c r="MD666" s="27" t="s">
        <v>7</v>
      </c>
      <c r="MM666" s="27" t="s">
        <v>8</v>
      </c>
      <c r="MN666" s="27" t="s">
        <v>7</v>
      </c>
      <c r="MO666" s="27" t="s">
        <v>8</v>
      </c>
      <c r="ND666" s="27" t="s">
        <v>7</v>
      </c>
      <c r="NE666" s="27" t="s">
        <v>8</v>
      </c>
    </row>
    <row r="667" spans="1:369" x14ac:dyDescent="0.25">
      <c r="A667" s="7">
        <v>0.20510972816665593</v>
      </c>
      <c r="B667"/>
      <c r="C667"/>
      <c r="D667"/>
      <c r="E667"/>
      <c r="F667" s="27" t="s">
        <v>7</v>
      </c>
      <c r="HG667" s="27" t="s">
        <v>8</v>
      </c>
      <c r="HH667" s="27" t="s">
        <v>7</v>
      </c>
      <c r="HI667" s="27" t="s">
        <v>8</v>
      </c>
      <c r="HJ667" s="27" t="s">
        <v>7</v>
      </c>
      <c r="HK667" s="27" t="s">
        <v>8</v>
      </c>
      <c r="HN667" s="27" t="s">
        <v>7</v>
      </c>
      <c r="HO667" s="27" t="s">
        <v>8</v>
      </c>
      <c r="HP667" s="27" t="s">
        <v>7</v>
      </c>
      <c r="HQ667" s="27" t="s">
        <v>8</v>
      </c>
      <c r="HR667" s="27" t="s">
        <v>7</v>
      </c>
      <c r="HS667" s="27" t="s">
        <v>8</v>
      </c>
      <c r="IV667" s="27" t="s">
        <v>7</v>
      </c>
      <c r="IW667" s="27" t="s">
        <v>8</v>
      </c>
      <c r="IX667" s="27" t="s">
        <v>7</v>
      </c>
      <c r="IY667" s="27" t="s">
        <v>8</v>
      </c>
      <c r="JH667" s="27" t="s">
        <v>7</v>
      </c>
      <c r="JI667" s="27" t="s">
        <v>8</v>
      </c>
      <c r="JJ667" s="27" t="s">
        <v>7</v>
      </c>
      <c r="MC667" s="27" t="s">
        <v>8</v>
      </c>
      <c r="MD667" s="27" t="s">
        <v>7</v>
      </c>
      <c r="ME667" s="27" t="s">
        <v>8</v>
      </c>
      <c r="MM667" s="27" t="s">
        <v>8</v>
      </c>
      <c r="MN667" s="27" t="s">
        <v>7</v>
      </c>
      <c r="MO667" s="27" t="s">
        <v>8</v>
      </c>
      <c r="ND667" s="27" t="s">
        <v>7</v>
      </c>
    </row>
    <row r="668" spans="1:369" x14ac:dyDescent="0.25">
      <c r="A668" s="7">
        <v>0.20108796879083912</v>
      </c>
      <c r="B668"/>
      <c r="C668"/>
      <c r="D668"/>
      <c r="E668"/>
      <c r="F668" s="27" t="s">
        <v>7</v>
      </c>
      <c r="HG668" s="27" t="s">
        <v>8</v>
      </c>
      <c r="HH668" s="27" t="s">
        <v>7</v>
      </c>
      <c r="HI668" s="27" t="s">
        <v>8</v>
      </c>
      <c r="HJ668" s="27" t="s">
        <v>7</v>
      </c>
      <c r="HN668" s="27" t="s">
        <v>7</v>
      </c>
      <c r="HO668" s="27" t="s">
        <v>8</v>
      </c>
      <c r="HP668" s="27" t="s">
        <v>7</v>
      </c>
      <c r="HQ668" s="27" t="s">
        <v>8</v>
      </c>
      <c r="HR668" s="27" t="s">
        <v>7</v>
      </c>
      <c r="HS668" s="27" t="s">
        <v>8</v>
      </c>
      <c r="IV668" s="27" t="s">
        <v>7</v>
      </c>
      <c r="IW668" s="27" t="s">
        <v>8</v>
      </c>
      <c r="IX668" s="27" t="s">
        <v>7</v>
      </c>
      <c r="JH668" s="27" t="s">
        <v>7</v>
      </c>
      <c r="JI668" s="27" t="s">
        <v>8</v>
      </c>
      <c r="JJ668" s="27" t="s">
        <v>7</v>
      </c>
      <c r="LK668" s="27" t="s">
        <v>8</v>
      </c>
      <c r="MC668" s="27" t="s">
        <v>8</v>
      </c>
      <c r="MD668" s="27" t="s">
        <v>7</v>
      </c>
      <c r="ME668" s="27" t="s">
        <v>8</v>
      </c>
      <c r="MF668" s="27" t="s">
        <v>7</v>
      </c>
      <c r="MM668" s="27" t="s">
        <v>8</v>
      </c>
      <c r="MN668" s="27" t="s">
        <v>7</v>
      </c>
      <c r="MO668" s="27" t="s">
        <v>8</v>
      </c>
    </row>
    <row r="669" spans="1:369" x14ac:dyDescent="0.25">
      <c r="A669" s="7">
        <v>0.19714506744199917</v>
      </c>
      <c r="B669"/>
      <c r="C669"/>
      <c r="D669"/>
      <c r="E669"/>
      <c r="F669" s="27" t="s">
        <v>7</v>
      </c>
      <c r="HG669" s="27" t="s">
        <v>8</v>
      </c>
      <c r="HH669" s="27" t="s">
        <v>7</v>
      </c>
      <c r="HI669" s="27" t="s">
        <v>8</v>
      </c>
      <c r="HN669" s="27" t="s">
        <v>7</v>
      </c>
      <c r="HO669" s="27" t="s">
        <v>8</v>
      </c>
      <c r="HP669" s="27" t="s">
        <v>7</v>
      </c>
      <c r="HQ669" s="27" t="s">
        <v>8</v>
      </c>
      <c r="HR669" s="27" t="s">
        <v>7</v>
      </c>
      <c r="HS669" s="27" t="s">
        <v>8</v>
      </c>
      <c r="IV669" s="27" t="s">
        <v>7</v>
      </c>
      <c r="IW669" s="27" t="s">
        <v>8</v>
      </c>
      <c r="JH669" s="27" t="s">
        <v>7</v>
      </c>
      <c r="JI669" s="27" t="s">
        <v>8</v>
      </c>
      <c r="JJ669" s="27" t="s">
        <v>7</v>
      </c>
      <c r="LK669" s="27" t="s">
        <v>8</v>
      </c>
      <c r="LL669" s="27" t="s">
        <v>7</v>
      </c>
      <c r="MC669" s="27" t="s">
        <v>8</v>
      </c>
      <c r="MD669" s="27" t="s">
        <v>7</v>
      </c>
      <c r="ME669" s="27" t="s">
        <v>8</v>
      </c>
      <c r="MF669" s="27" t="s">
        <v>7</v>
      </c>
      <c r="MM669" s="27" t="s">
        <v>8</v>
      </c>
      <c r="MN669" s="27" t="s">
        <v>7</v>
      </c>
      <c r="MO669" s="27" t="s">
        <v>8</v>
      </c>
    </row>
    <row r="670" spans="1:369" x14ac:dyDescent="0.25">
      <c r="A670" s="7">
        <v>0.19327947788431293</v>
      </c>
      <c r="B670"/>
      <c r="C670"/>
      <c r="D670"/>
      <c r="E670"/>
      <c r="F670" s="27" t="s">
        <v>7</v>
      </c>
      <c r="HG670" s="27" t="s">
        <v>8</v>
      </c>
      <c r="HH670" s="27" t="s">
        <v>7</v>
      </c>
      <c r="HI670" s="27" t="s">
        <v>8</v>
      </c>
      <c r="HN670" s="27" t="s">
        <v>7</v>
      </c>
      <c r="HO670" s="27" t="s">
        <v>8</v>
      </c>
      <c r="HP670" s="27" t="s">
        <v>7</v>
      </c>
      <c r="HR670" s="27" t="s">
        <v>7</v>
      </c>
      <c r="HS670" s="27" t="s">
        <v>8</v>
      </c>
      <c r="IV670" s="27" t="s">
        <v>7</v>
      </c>
      <c r="IW670" s="27" t="s">
        <v>8</v>
      </c>
      <c r="JH670" s="27" t="s">
        <v>7</v>
      </c>
      <c r="JI670" s="27" t="s">
        <v>8</v>
      </c>
      <c r="JJ670" s="27" t="s">
        <v>7</v>
      </c>
      <c r="LK670" s="27" t="s">
        <v>8</v>
      </c>
      <c r="LL670" s="27" t="s">
        <v>7</v>
      </c>
      <c r="MC670" s="27" t="s">
        <v>8</v>
      </c>
      <c r="MD670" s="27" t="s">
        <v>7</v>
      </c>
      <c r="ME670" s="27" t="s">
        <v>8</v>
      </c>
      <c r="MF670" s="27" t="s">
        <v>7</v>
      </c>
      <c r="MK670" s="27" t="s">
        <v>8</v>
      </c>
      <c r="MM670" s="27" t="s">
        <v>8</v>
      </c>
      <c r="MN670" s="27" t="s">
        <v>7</v>
      </c>
    </row>
    <row r="671" spans="1:369" x14ac:dyDescent="0.25">
      <c r="A671" s="7">
        <v>0.18948968420030682</v>
      </c>
      <c r="B671"/>
      <c r="C671"/>
      <c r="D671"/>
      <c r="E671"/>
      <c r="F671" s="27" t="s">
        <v>7</v>
      </c>
      <c r="HG671" s="27" t="s">
        <v>8</v>
      </c>
      <c r="HH671" s="27" t="s">
        <v>7</v>
      </c>
      <c r="HI671" s="27" t="s">
        <v>8</v>
      </c>
      <c r="HN671" s="27" t="s">
        <v>7</v>
      </c>
      <c r="HO671" s="27" t="s">
        <v>8</v>
      </c>
      <c r="HR671" s="27" t="s">
        <v>7</v>
      </c>
      <c r="HS671" s="27" t="s">
        <v>8</v>
      </c>
      <c r="IV671" s="27" t="s">
        <v>7</v>
      </c>
      <c r="IW671" s="27" t="s">
        <v>8</v>
      </c>
      <c r="JH671" s="27" t="s">
        <v>7</v>
      </c>
      <c r="JJ671" s="27" t="s">
        <v>7</v>
      </c>
      <c r="JK671" s="27" t="s">
        <v>8</v>
      </c>
      <c r="LK671" s="27" t="s">
        <v>8</v>
      </c>
      <c r="LL671" s="27" t="s">
        <v>7</v>
      </c>
      <c r="MC671" s="27" t="s">
        <v>8</v>
      </c>
      <c r="MD671" s="27" t="s">
        <v>7</v>
      </c>
      <c r="ME671" s="27" t="s">
        <v>8</v>
      </c>
      <c r="MF671" s="27" t="s">
        <v>7</v>
      </c>
      <c r="MK671" s="27" t="s">
        <v>8</v>
      </c>
      <c r="ML671" s="27" t="s">
        <v>7</v>
      </c>
      <c r="MM671" s="27" t="s">
        <v>8</v>
      </c>
    </row>
    <row r="672" spans="1:369" x14ac:dyDescent="0.25">
      <c r="A672" s="7">
        <v>0.18577420019637925</v>
      </c>
      <c r="B672"/>
      <c r="C672"/>
      <c r="D672"/>
      <c r="E672"/>
      <c r="F672" s="27" t="s">
        <v>7</v>
      </c>
      <c r="HG672" s="27" t="s">
        <v>8</v>
      </c>
      <c r="HH672" s="27" t="s">
        <v>7</v>
      </c>
      <c r="HI672" s="27" t="s">
        <v>8</v>
      </c>
      <c r="HN672" s="27" t="s">
        <v>7</v>
      </c>
      <c r="HO672" s="27" t="s">
        <v>8</v>
      </c>
      <c r="HR672" s="27" t="s">
        <v>7</v>
      </c>
      <c r="HS672" s="27" t="s">
        <v>8</v>
      </c>
      <c r="IV672" s="27" t="s">
        <v>7</v>
      </c>
      <c r="JJ672" s="27" t="s">
        <v>7</v>
      </c>
      <c r="JK672" s="27" t="s">
        <v>8</v>
      </c>
      <c r="JL672" s="27" t="s">
        <v>7</v>
      </c>
      <c r="LI672" s="27" t="s">
        <v>8</v>
      </c>
      <c r="LK672" s="27" t="s">
        <v>8</v>
      </c>
      <c r="LL672" s="27" t="s">
        <v>7</v>
      </c>
      <c r="MC672" s="27" t="s">
        <v>8</v>
      </c>
      <c r="MD672" s="27" t="s">
        <v>7</v>
      </c>
      <c r="ME672" s="27" t="s">
        <v>8</v>
      </c>
      <c r="MF672" s="27" t="s">
        <v>7</v>
      </c>
      <c r="MK672" s="27" t="s">
        <v>8</v>
      </c>
      <c r="ML672" s="27" t="s">
        <v>7</v>
      </c>
      <c r="MM672" s="27" t="s">
        <v>8</v>
      </c>
    </row>
    <row r="673" spans="1:351" x14ac:dyDescent="0.25">
      <c r="A673" s="7">
        <v>0.18213156881997963</v>
      </c>
      <c r="B673"/>
      <c r="C673"/>
      <c r="D673"/>
      <c r="E673"/>
      <c r="F673" s="27" t="s">
        <v>7</v>
      </c>
      <c r="HG673" s="27" t="s">
        <v>8</v>
      </c>
      <c r="HH673" s="27" t="s">
        <v>7</v>
      </c>
      <c r="HI673" s="27" t="s">
        <v>8</v>
      </c>
      <c r="HN673" s="27" t="s">
        <v>7</v>
      </c>
      <c r="HO673" s="27" t="s">
        <v>8</v>
      </c>
      <c r="HR673" s="27" t="s">
        <v>7</v>
      </c>
      <c r="HS673" s="27" t="s">
        <v>8</v>
      </c>
      <c r="JJ673" s="27" t="s">
        <v>7</v>
      </c>
      <c r="JK673" s="27" t="s">
        <v>8</v>
      </c>
      <c r="JL673" s="27" t="s">
        <v>7</v>
      </c>
      <c r="LI673" s="27" t="s">
        <v>8</v>
      </c>
      <c r="LJ673" s="27" t="s">
        <v>7</v>
      </c>
      <c r="LK673" s="27" t="s">
        <v>8</v>
      </c>
      <c r="LL673" s="27" t="s">
        <v>7</v>
      </c>
      <c r="MA673" s="27" t="s">
        <v>8</v>
      </c>
      <c r="MC673" s="27" t="s">
        <v>8</v>
      </c>
      <c r="MD673" s="27" t="s">
        <v>7</v>
      </c>
      <c r="ME673" s="27" t="s">
        <v>8</v>
      </c>
      <c r="MF673" s="27" t="s">
        <v>7</v>
      </c>
      <c r="MK673" s="27" t="s">
        <v>8</v>
      </c>
      <c r="ML673" s="27" t="s">
        <v>7</v>
      </c>
      <c r="MM673" s="27" t="s">
        <v>8</v>
      </c>
    </row>
    <row r="674" spans="1:351" x14ac:dyDescent="0.25">
      <c r="A674" s="7">
        <v>0.17856036158821534</v>
      </c>
      <c r="B674"/>
      <c r="C674"/>
      <c r="D674"/>
      <c r="E674"/>
      <c r="F674" s="27" t="s">
        <v>7</v>
      </c>
      <c r="HG674" s="27" t="s">
        <v>8</v>
      </c>
      <c r="HH674" s="27" t="s">
        <v>7</v>
      </c>
      <c r="HI674" s="27" t="s">
        <v>8</v>
      </c>
      <c r="HN674" s="27" t="s">
        <v>7</v>
      </c>
      <c r="HO674" s="27" t="s">
        <v>8</v>
      </c>
      <c r="HR674" s="27" t="s">
        <v>7</v>
      </c>
      <c r="JJ674" s="27" t="s">
        <v>7</v>
      </c>
      <c r="JL674" s="27" t="s">
        <v>7</v>
      </c>
      <c r="LG674" s="27" t="s">
        <v>8</v>
      </c>
      <c r="LI674" s="27" t="s">
        <v>8</v>
      </c>
      <c r="LJ674" s="27" t="s">
        <v>7</v>
      </c>
      <c r="LK674" s="27" t="s">
        <v>8</v>
      </c>
      <c r="LL674" s="27" t="s">
        <v>7</v>
      </c>
      <c r="MA674" s="27" t="s">
        <v>8</v>
      </c>
      <c r="MB674" s="27" t="s">
        <v>7</v>
      </c>
      <c r="MC674" s="27" t="s">
        <v>8</v>
      </c>
      <c r="MD674" s="27" t="s">
        <v>7</v>
      </c>
      <c r="ME674" s="27" t="s">
        <v>8</v>
      </c>
      <c r="MF674" s="27" t="s">
        <v>7</v>
      </c>
      <c r="MK674" s="27" t="s">
        <v>8</v>
      </c>
      <c r="ML674" s="27" t="s">
        <v>7</v>
      </c>
      <c r="MM674" s="27" t="s">
        <v>8</v>
      </c>
    </row>
    <row r="675" spans="1:351" x14ac:dyDescent="0.25">
      <c r="A675" s="7">
        <v>0.17505917802766208</v>
      </c>
      <c r="B675"/>
      <c r="C675"/>
      <c r="D675"/>
      <c r="E675"/>
      <c r="F675" s="27" t="s">
        <v>7</v>
      </c>
      <c r="HG675" s="27" t="s">
        <v>8</v>
      </c>
      <c r="HH675" s="27" t="s">
        <v>7</v>
      </c>
      <c r="HI675" s="27" t="s">
        <v>8</v>
      </c>
      <c r="HN675" s="27" t="s">
        <v>7</v>
      </c>
      <c r="HO675" s="27" t="s">
        <v>8</v>
      </c>
      <c r="JL675" s="27" t="s">
        <v>7</v>
      </c>
      <c r="LG675" s="27" t="s">
        <v>8</v>
      </c>
      <c r="LH675" s="27" t="s">
        <v>7</v>
      </c>
      <c r="LI675" s="27" t="s">
        <v>8</v>
      </c>
      <c r="LJ675" s="27" t="s">
        <v>7</v>
      </c>
      <c r="LK675" s="27" t="s">
        <v>8</v>
      </c>
      <c r="LL675" s="27" t="s">
        <v>7</v>
      </c>
      <c r="MA675" s="27" t="s">
        <v>8</v>
      </c>
      <c r="MB675" s="27" t="s">
        <v>7</v>
      </c>
      <c r="MC675" s="27" t="s">
        <v>8</v>
      </c>
      <c r="MD675" s="27" t="s">
        <v>7</v>
      </c>
      <c r="ME675" s="27" t="s">
        <v>8</v>
      </c>
      <c r="MF675" s="27" t="s">
        <v>7</v>
      </c>
      <c r="MG675" s="27" t="s">
        <v>8</v>
      </c>
      <c r="MK675" s="27" t="s">
        <v>8</v>
      </c>
      <c r="ML675" s="27" t="s">
        <v>7</v>
      </c>
      <c r="MM675" s="27" t="s">
        <v>8</v>
      </c>
    </row>
    <row r="676" spans="1:351" x14ac:dyDescent="0.25">
      <c r="A676" s="7">
        <v>0.17162664512515888</v>
      </c>
      <c r="B676"/>
      <c r="C676"/>
      <c r="D676"/>
      <c r="E676"/>
      <c r="F676" s="27" t="s">
        <v>7</v>
      </c>
      <c r="HG676" s="27" t="s">
        <v>8</v>
      </c>
      <c r="HH676" s="27" t="s">
        <v>7</v>
      </c>
      <c r="HI676" s="27" t="s">
        <v>8</v>
      </c>
      <c r="HN676" s="27" t="s">
        <v>7</v>
      </c>
      <c r="HO676" s="27" t="s">
        <v>8</v>
      </c>
      <c r="JL676" s="27" t="s">
        <v>7</v>
      </c>
      <c r="LC676" s="27" t="s">
        <v>8</v>
      </c>
      <c r="LE676" s="27" t="s">
        <v>8</v>
      </c>
      <c r="LG676" s="27" t="s">
        <v>8</v>
      </c>
      <c r="LH676" s="27" t="s">
        <v>7</v>
      </c>
      <c r="LI676" s="27" t="s">
        <v>8</v>
      </c>
      <c r="LJ676" s="27" t="s">
        <v>7</v>
      </c>
      <c r="LK676" s="27" t="s">
        <v>8</v>
      </c>
      <c r="LL676" s="27" t="s">
        <v>7</v>
      </c>
      <c r="LQ676" s="27" t="s">
        <v>8</v>
      </c>
      <c r="MA676" s="27" t="s">
        <v>8</v>
      </c>
      <c r="MB676" s="27" t="s">
        <v>7</v>
      </c>
      <c r="MC676" s="27" t="s">
        <v>8</v>
      </c>
      <c r="MD676" s="27" t="s">
        <v>7</v>
      </c>
      <c r="ME676" s="27" t="s">
        <v>8</v>
      </c>
      <c r="MF676" s="27" t="s">
        <v>7</v>
      </c>
      <c r="MG676" s="27" t="s">
        <v>8</v>
      </c>
      <c r="MH676" s="27" t="s">
        <v>7</v>
      </c>
      <c r="MI676" s="27" t="s">
        <v>8</v>
      </c>
      <c r="MK676" s="27" t="s">
        <v>8</v>
      </c>
      <c r="ML676" s="27" t="s">
        <v>7</v>
      </c>
      <c r="MM676" s="27" t="s">
        <v>8</v>
      </c>
    </row>
    <row r="677" spans="1:351" x14ac:dyDescent="0.25">
      <c r="A677" s="7">
        <v>0.16826141678937145</v>
      </c>
      <c r="B677"/>
      <c r="C677"/>
      <c r="D677"/>
      <c r="E677"/>
      <c r="F677" s="27" t="s">
        <v>7</v>
      </c>
      <c r="HG677" s="27" t="s">
        <v>8</v>
      </c>
      <c r="HH677" s="27" t="s">
        <v>7</v>
      </c>
      <c r="HI677" s="27" t="s">
        <v>8</v>
      </c>
      <c r="HN677" s="27" t="s">
        <v>7</v>
      </c>
      <c r="HO677" s="27" t="s">
        <v>8</v>
      </c>
      <c r="JL677" s="27" t="s">
        <v>7</v>
      </c>
      <c r="JM677" s="27" t="s">
        <v>8</v>
      </c>
      <c r="LC677" s="27" t="s">
        <v>8</v>
      </c>
      <c r="LD677" s="27" t="s">
        <v>7</v>
      </c>
      <c r="LE677" s="27" t="s">
        <v>8</v>
      </c>
      <c r="LF677" s="27" t="s">
        <v>7</v>
      </c>
      <c r="LG677" s="27" t="s">
        <v>8</v>
      </c>
      <c r="LH677" s="27" t="s">
        <v>7</v>
      </c>
      <c r="LI677" s="27" t="s">
        <v>8</v>
      </c>
      <c r="LJ677" s="27" t="s">
        <v>7</v>
      </c>
      <c r="LK677" s="27" t="s">
        <v>8</v>
      </c>
      <c r="LL677" s="27" t="s">
        <v>7</v>
      </c>
      <c r="LM677" s="27" t="s">
        <v>8</v>
      </c>
      <c r="LQ677" s="27" t="s">
        <v>8</v>
      </c>
      <c r="LR677" s="27" t="s">
        <v>7</v>
      </c>
      <c r="LU677" s="27" t="s">
        <v>8</v>
      </c>
      <c r="LY677" s="27" t="s">
        <v>8</v>
      </c>
      <c r="MA677" s="27" t="s">
        <v>8</v>
      </c>
      <c r="MB677" s="27" t="s">
        <v>7</v>
      </c>
      <c r="MC677" s="27" t="s">
        <v>8</v>
      </c>
      <c r="MD677" s="27" t="s">
        <v>7</v>
      </c>
      <c r="ME677" s="27" t="s">
        <v>8</v>
      </c>
      <c r="MF677" s="27" t="s">
        <v>7</v>
      </c>
      <c r="MG677" s="27" t="s">
        <v>8</v>
      </c>
      <c r="MH677" s="27" t="s">
        <v>7</v>
      </c>
      <c r="MI677" s="27" t="s">
        <v>8</v>
      </c>
      <c r="MJ677" s="27" t="s">
        <v>7</v>
      </c>
      <c r="MK677" s="27" t="s">
        <v>8</v>
      </c>
      <c r="ML677" s="27" t="s">
        <v>7</v>
      </c>
    </row>
    <row r="678" spans="1:351" x14ac:dyDescent="0.25">
      <c r="A678" s="7">
        <v>0.16496217332291319</v>
      </c>
      <c r="B678"/>
      <c r="C678"/>
      <c r="D678"/>
      <c r="E678"/>
      <c r="F678" s="27" t="s">
        <v>7</v>
      </c>
      <c r="HG678" s="27" t="s">
        <v>8</v>
      </c>
      <c r="HH678" s="27" t="s">
        <v>7</v>
      </c>
      <c r="HI678" s="27" t="s">
        <v>8</v>
      </c>
      <c r="HN678" s="27" t="s">
        <v>7</v>
      </c>
      <c r="HO678" s="27" t="s">
        <v>8</v>
      </c>
      <c r="JL678" s="27" t="s">
        <v>7</v>
      </c>
      <c r="JM678" s="27" t="s">
        <v>8</v>
      </c>
      <c r="JN678" s="27" t="s">
        <v>7</v>
      </c>
      <c r="JQ678" s="27" t="s">
        <v>8</v>
      </c>
      <c r="LC678" s="27" t="s">
        <v>8</v>
      </c>
      <c r="LD678" s="27" t="s">
        <v>7</v>
      </c>
      <c r="LE678" s="27" t="s">
        <v>8</v>
      </c>
      <c r="LF678" s="27" t="s">
        <v>7</v>
      </c>
      <c r="LG678" s="27" t="s">
        <v>8</v>
      </c>
      <c r="LH678" s="27" t="s">
        <v>7</v>
      </c>
      <c r="LI678" s="27" t="s">
        <v>8</v>
      </c>
      <c r="LJ678" s="27" t="s">
        <v>7</v>
      </c>
      <c r="LK678" s="27" t="s">
        <v>8</v>
      </c>
      <c r="LL678" s="27" t="s">
        <v>7</v>
      </c>
      <c r="LM678" s="27" t="s">
        <v>8</v>
      </c>
      <c r="LN678" s="27" t="s">
        <v>7</v>
      </c>
      <c r="LO678" s="27" t="s">
        <v>8</v>
      </c>
      <c r="LQ678" s="27" t="s">
        <v>8</v>
      </c>
      <c r="LR678" s="27" t="s">
        <v>7</v>
      </c>
      <c r="LU678" s="27" t="s">
        <v>8</v>
      </c>
      <c r="LV678" s="27" t="s">
        <v>7</v>
      </c>
      <c r="LW678" s="27" t="s">
        <v>8</v>
      </c>
      <c r="LY678" s="27" t="s">
        <v>8</v>
      </c>
      <c r="LZ678" s="27" t="s">
        <v>7</v>
      </c>
      <c r="MA678" s="27" t="s">
        <v>8</v>
      </c>
      <c r="MB678" s="27" t="s">
        <v>7</v>
      </c>
      <c r="MC678" s="27" t="s">
        <v>8</v>
      </c>
      <c r="MD678" s="27" t="s">
        <v>7</v>
      </c>
      <c r="ME678" s="27" t="s">
        <v>8</v>
      </c>
      <c r="MF678" s="27" t="s">
        <v>7</v>
      </c>
      <c r="MH678" s="27" t="s">
        <v>7</v>
      </c>
      <c r="MI678" s="27" t="s">
        <v>8</v>
      </c>
      <c r="MJ678" s="27" t="s">
        <v>7</v>
      </c>
      <c r="MK678" s="27" t="s">
        <v>8</v>
      </c>
    </row>
    <row r="679" spans="1:351" x14ac:dyDescent="0.25">
      <c r="A679" s="7">
        <v>0.16172762090481685</v>
      </c>
      <c r="B679"/>
      <c r="C679"/>
      <c r="D679"/>
      <c r="E679"/>
      <c r="F679" s="27" t="s">
        <v>7</v>
      </c>
      <c r="HG679" s="27" t="s">
        <v>8</v>
      </c>
      <c r="HH679" s="27" t="s">
        <v>7</v>
      </c>
      <c r="HI679" s="27" t="s">
        <v>8</v>
      </c>
      <c r="HN679" s="27" t="s">
        <v>7</v>
      </c>
      <c r="HO679" s="27" t="s">
        <v>8</v>
      </c>
      <c r="JL679" s="27" t="s">
        <v>7</v>
      </c>
      <c r="JM679" s="27" t="s">
        <v>8</v>
      </c>
      <c r="JN679" s="27" t="s">
        <v>7</v>
      </c>
      <c r="JQ679" s="27" t="s">
        <v>8</v>
      </c>
      <c r="JR679" s="27" t="s">
        <v>7</v>
      </c>
      <c r="LC679" s="27" t="s">
        <v>8</v>
      </c>
      <c r="LD679" s="27" t="s">
        <v>7</v>
      </c>
      <c r="LE679" s="27" t="s">
        <v>8</v>
      </c>
      <c r="LF679" s="27" t="s">
        <v>7</v>
      </c>
      <c r="LG679" s="27" t="s">
        <v>8</v>
      </c>
      <c r="LH679" s="27" t="s">
        <v>7</v>
      </c>
      <c r="LI679" s="27" t="s">
        <v>8</v>
      </c>
      <c r="LJ679" s="27" t="s">
        <v>7</v>
      </c>
      <c r="LL679" s="27" t="s">
        <v>7</v>
      </c>
      <c r="LM679" s="27" t="s">
        <v>8</v>
      </c>
      <c r="LN679" s="27" t="s">
        <v>7</v>
      </c>
      <c r="LO679" s="27" t="s">
        <v>8</v>
      </c>
      <c r="LP679" s="27" t="s">
        <v>7</v>
      </c>
      <c r="LQ679" s="27" t="s">
        <v>8</v>
      </c>
      <c r="LR679" s="27" t="s">
        <v>7</v>
      </c>
      <c r="LS679" s="27" t="s">
        <v>8</v>
      </c>
      <c r="LU679" s="27" t="s">
        <v>8</v>
      </c>
      <c r="LV679" s="27" t="s">
        <v>7</v>
      </c>
      <c r="LW679" s="27" t="s">
        <v>8</v>
      </c>
      <c r="LX679" s="27" t="s">
        <v>7</v>
      </c>
      <c r="LY679" s="27" t="s">
        <v>8</v>
      </c>
      <c r="LZ679" s="27" t="s">
        <v>7</v>
      </c>
      <c r="MA679" s="27" t="s">
        <v>8</v>
      </c>
      <c r="MB679" s="27" t="s">
        <v>7</v>
      </c>
      <c r="MC679" s="27" t="s">
        <v>8</v>
      </c>
      <c r="MD679" s="27" t="s">
        <v>7</v>
      </c>
      <c r="MH679" s="27" t="s">
        <v>7</v>
      </c>
      <c r="MI679" s="27" t="s">
        <v>8</v>
      </c>
      <c r="MJ679" s="27" t="s">
        <v>7</v>
      </c>
      <c r="MK679" s="27" t="s">
        <v>8</v>
      </c>
    </row>
    <row r="680" spans="1:351" x14ac:dyDescent="0.25">
      <c r="A680" s="7">
        <v>0.15855649108315376</v>
      </c>
      <c r="B680"/>
      <c r="C680"/>
      <c r="D680"/>
      <c r="E680"/>
      <c r="F680" s="27" t="s">
        <v>7</v>
      </c>
      <c r="HG680" s="27" t="s">
        <v>8</v>
      </c>
      <c r="HH680" s="27" t="s">
        <v>7</v>
      </c>
      <c r="HI680" s="27" t="s">
        <v>8</v>
      </c>
      <c r="HN680" s="27" t="s">
        <v>7</v>
      </c>
      <c r="HO680" s="27" t="s">
        <v>8</v>
      </c>
      <c r="JL680" s="27" t="s">
        <v>7</v>
      </c>
      <c r="JM680" s="27" t="s">
        <v>8</v>
      </c>
      <c r="JN680" s="27" t="s">
        <v>7</v>
      </c>
      <c r="JQ680" s="27" t="s">
        <v>8</v>
      </c>
      <c r="JR680" s="27" t="s">
        <v>7</v>
      </c>
      <c r="KY680" s="27" t="s">
        <v>8</v>
      </c>
      <c r="LC680" s="27" t="s">
        <v>8</v>
      </c>
      <c r="LD680" s="27" t="s">
        <v>7</v>
      </c>
      <c r="LE680" s="27" t="s">
        <v>8</v>
      </c>
      <c r="LF680" s="27" t="s">
        <v>7</v>
      </c>
      <c r="LG680" s="27" t="s">
        <v>8</v>
      </c>
      <c r="LH680" s="27" t="s">
        <v>7</v>
      </c>
      <c r="LI680" s="27" t="s">
        <v>8</v>
      </c>
      <c r="LL680" s="27" t="s">
        <v>7</v>
      </c>
      <c r="LM680" s="27" t="s">
        <v>8</v>
      </c>
      <c r="LN680" s="27" t="s">
        <v>7</v>
      </c>
      <c r="LO680" s="27" t="s">
        <v>8</v>
      </c>
      <c r="LP680" s="27" t="s">
        <v>7</v>
      </c>
      <c r="LQ680" s="27" t="s">
        <v>8</v>
      </c>
      <c r="LR680" s="27" t="s">
        <v>7</v>
      </c>
      <c r="LS680" s="27" t="s">
        <v>8</v>
      </c>
      <c r="LT680" s="27" t="s">
        <v>7</v>
      </c>
      <c r="LU680" s="27" t="s">
        <v>8</v>
      </c>
      <c r="LV680" s="27" t="s">
        <v>7</v>
      </c>
      <c r="LW680" s="27" t="s">
        <v>8</v>
      </c>
      <c r="LX680" s="27" t="s">
        <v>7</v>
      </c>
      <c r="LY680" s="27" t="s">
        <v>8</v>
      </c>
      <c r="LZ680" s="27" t="s">
        <v>7</v>
      </c>
      <c r="MA680" s="27" t="s">
        <v>8</v>
      </c>
      <c r="MB680" s="27" t="s">
        <v>7</v>
      </c>
      <c r="MC680" s="27" t="s">
        <v>8</v>
      </c>
      <c r="MH680" s="27" t="s">
        <v>7</v>
      </c>
      <c r="MI680" s="27" t="s">
        <v>8</v>
      </c>
      <c r="MJ680" s="27" t="s">
        <v>7</v>
      </c>
    </row>
    <row r="681" spans="1:351" x14ac:dyDescent="0.25">
      <c r="A681" s="7">
        <v>0.15544754027760171</v>
      </c>
      <c r="B681"/>
      <c r="C681"/>
      <c r="D681"/>
      <c r="E681"/>
      <c r="F681" s="27" t="s">
        <v>7</v>
      </c>
      <c r="HG681" s="27" t="s">
        <v>8</v>
      </c>
      <c r="HH681" s="27" t="s">
        <v>7</v>
      </c>
      <c r="HI681" s="27" t="s">
        <v>8</v>
      </c>
      <c r="HN681" s="27" t="s">
        <v>7</v>
      </c>
      <c r="HO681" s="27" t="s">
        <v>8</v>
      </c>
      <c r="JL681" s="27" t="s">
        <v>7</v>
      </c>
      <c r="JM681" s="27" t="s">
        <v>8</v>
      </c>
      <c r="JN681" s="27" t="s">
        <v>7</v>
      </c>
      <c r="JQ681" s="27" t="s">
        <v>8</v>
      </c>
      <c r="JR681" s="27" t="s">
        <v>7</v>
      </c>
      <c r="KY681" s="27" t="s">
        <v>8</v>
      </c>
      <c r="KZ681" s="27" t="s">
        <v>7</v>
      </c>
      <c r="LC681" s="27" t="s">
        <v>8</v>
      </c>
      <c r="LD681" s="27" t="s">
        <v>7</v>
      </c>
      <c r="LE681" s="27" t="s">
        <v>8</v>
      </c>
      <c r="LF681" s="27" t="s">
        <v>7</v>
      </c>
      <c r="LG681" s="27" t="s">
        <v>8</v>
      </c>
      <c r="LH681" s="27" t="s">
        <v>7</v>
      </c>
      <c r="LI681" s="27" t="s">
        <v>8</v>
      </c>
      <c r="LL681" s="27" t="s">
        <v>7</v>
      </c>
      <c r="LM681" s="27" t="s">
        <v>8</v>
      </c>
      <c r="LN681" s="27" t="s">
        <v>7</v>
      </c>
      <c r="LO681" s="27" t="s">
        <v>8</v>
      </c>
      <c r="LP681" s="27" t="s">
        <v>7</v>
      </c>
      <c r="LQ681" s="27" t="s">
        <v>8</v>
      </c>
      <c r="LR681" s="27" t="s">
        <v>7</v>
      </c>
      <c r="LS681" s="27" t="s">
        <v>8</v>
      </c>
      <c r="LT681" s="27" t="s">
        <v>7</v>
      </c>
      <c r="LU681" s="27" t="s">
        <v>8</v>
      </c>
      <c r="LV681" s="27" t="s">
        <v>7</v>
      </c>
      <c r="LW681" s="27" t="s">
        <v>8</v>
      </c>
      <c r="LX681" s="27" t="s">
        <v>7</v>
      </c>
      <c r="LY681" s="27" t="s">
        <v>8</v>
      </c>
      <c r="LZ681" s="27" t="s">
        <v>7</v>
      </c>
      <c r="MB681" s="27" t="s">
        <v>7</v>
      </c>
      <c r="MC681" s="27" t="s">
        <v>8</v>
      </c>
      <c r="MH681" s="27" t="s">
        <v>7</v>
      </c>
      <c r="MI681" s="27" t="s">
        <v>8</v>
      </c>
    </row>
    <row r="682" spans="1:351" x14ac:dyDescent="0.25">
      <c r="A682" s="7">
        <v>0.15239954929176638</v>
      </c>
      <c r="B682"/>
      <c r="C682"/>
      <c r="D682"/>
      <c r="E682"/>
      <c r="F682" s="27" t="s">
        <v>7</v>
      </c>
      <c r="HG682" s="27" t="s">
        <v>8</v>
      </c>
      <c r="HH682" s="27" t="s">
        <v>7</v>
      </c>
      <c r="HI682" s="27" t="s">
        <v>8</v>
      </c>
      <c r="HN682" s="27" t="s">
        <v>7</v>
      </c>
      <c r="JL682" s="27" t="s">
        <v>7</v>
      </c>
      <c r="JM682" s="27" t="s">
        <v>8</v>
      </c>
      <c r="JN682" s="27" t="s">
        <v>7</v>
      </c>
      <c r="JQ682" s="27" t="s">
        <v>8</v>
      </c>
      <c r="JR682" s="27" t="s">
        <v>7</v>
      </c>
      <c r="JY682" s="27" t="s">
        <v>8</v>
      </c>
      <c r="KY682" s="27" t="s">
        <v>8</v>
      </c>
      <c r="KZ682" s="27" t="s">
        <v>7</v>
      </c>
      <c r="LA682" s="27" t="s">
        <v>8</v>
      </c>
      <c r="LC682" s="27" t="s">
        <v>8</v>
      </c>
      <c r="LD682" s="27" t="s">
        <v>7</v>
      </c>
      <c r="LE682" s="27" t="s">
        <v>8</v>
      </c>
      <c r="LF682" s="27" t="s">
        <v>7</v>
      </c>
      <c r="LG682" s="27" t="s">
        <v>8</v>
      </c>
      <c r="LH682" s="27" t="s">
        <v>7</v>
      </c>
      <c r="LI682" s="27" t="s">
        <v>8</v>
      </c>
      <c r="LL682" s="27" t="s">
        <v>7</v>
      </c>
      <c r="LM682" s="27" t="s">
        <v>8</v>
      </c>
      <c r="LN682" s="27" t="s">
        <v>7</v>
      </c>
      <c r="LO682" s="27" t="s">
        <v>8</v>
      </c>
      <c r="LP682" s="27" t="s">
        <v>7</v>
      </c>
      <c r="LQ682" s="27" t="s">
        <v>8</v>
      </c>
      <c r="LR682" s="27" t="s">
        <v>7</v>
      </c>
      <c r="LT682" s="27" t="s">
        <v>7</v>
      </c>
      <c r="LU682" s="27" t="s">
        <v>8</v>
      </c>
      <c r="LV682" s="27" t="s">
        <v>7</v>
      </c>
      <c r="LW682" s="27" t="s">
        <v>8</v>
      </c>
      <c r="LX682" s="27" t="s">
        <v>7</v>
      </c>
      <c r="LY682" s="27" t="s">
        <v>8</v>
      </c>
      <c r="MB682" s="27" t="s">
        <v>7</v>
      </c>
      <c r="MC682" s="27" t="s">
        <v>8</v>
      </c>
      <c r="MH682" s="27" t="s">
        <v>7</v>
      </c>
    </row>
    <row r="683" spans="1:351" x14ac:dyDescent="0.25">
      <c r="A683" s="7">
        <v>0.14941132283506509</v>
      </c>
      <c r="B683"/>
      <c r="C683"/>
      <c r="D683"/>
      <c r="E683"/>
      <c r="F683" s="27" t="s">
        <v>7</v>
      </c>
      <c r="HG683" s="27" t="s">
        <v>8</v>
      </c>
      <c r="HH683" s="27" t="s">
        <v>7</v>
      </c>
      <c r="HI683" s="27" t="s">
        <v>8</v>
      </c>
      <c r="JL683" s="27" t="s">
        <v>7</v>
      </c>
      <c r="JM683" s="27" t="s">
        <v>8</v>
      </c>
      <c r="JN683" s="27" t="s">
        <v>7</v>
      </c>
      <c r="JQ683" s="27" t="s">
        <v>8</v>
      </c>
      <c r="JR683" s="27" t="s">
        <v>7</v>
      </c>
      <c r="JY683" s="27" t="s">
        <v>8</v>
      </c>
      <c r="JZ683" s="27" t="s">
        <v>7</v>
      </c>
      <c r="KY683" s="27" t="s">
        <v>8</v>
      </c>
      <c r="KZ683" s="27" t="s">
        <v>7</v>
      </c>
      <c r="LA683" s="27" t="s">
        <v>8</v>
      </c>
      <c r="LB683" s="27" t="s">
        <v>7</v>
      </c>
      <c r="LC683" s="27" t="s">
        <v>8</v>
      </c>
      <c r="LD683" s="27" t="s">
        <v>7</v>
      </c>
      <c r="LE683" s="27" t="s">
        <v>8</v>
      </c>
      <c r="LF683" s="27" t="s">
        <v>7</v>
      </c>
      <c r="LG683" s="27" t="s">
        <v>8</v>
      </c>
      <c r="LH683" s="27" t="s">
        <v>7</v>
      </c>
      <c r="LI683" s="27" t="s">
        <v>8</v>
      </c>
      <c r="LL683" s="27" t="s">
        <v>7</v>
      </c>
      <c r="LM683" s="27" t="s">
        <v>8</v>
      </c>
      <c r="LN683" s="27" t="s">
        <v>7</v>
      </c>
      <c r="LO683" s="27" t="s">
        <v>8</v>
      </c>
      <c r="LP683" s="27" t="s">
        <v>7</v>
      </c>
      <c r="LQ683" s="27" t="s">
        <v>8</v>
      </c>
      <c r="LT683" s="27" t="s">
        <v>7</v>
      </c>
      <c r="LU683" s="27" t="s">
        <v>8</v>
      </c>
      <c r="LV683" s="27" t="s">
        <v>7</v>
      </c>
      <c r="LW683" s="27" t="s">
        <v>8</v>
      </c>
      <c r="LX683" s="27" t="s">
        <v>7</v>
      </c>
      <c r="LY683" s="27" t="s">
        <v>8</v>
      </c>
      <c r="MB683" s="27" t="s">
        <v>7</v>
      </c>
      <c r="MC683" s="27" t="s">
        <v>8</v>
      </c>
    </row>
    <row r="684" spans="1:351" x14ac:dyDescent="0.25">
      <c r="A684" s="7">
        <v>0.14648168905398537</v>
      </c>
      <c r="B684"/>
      <c r="C684"/>
      <c r="D684"/>
      <c r="E684"/>
      <c r="F684" s="27" t="s">
        <v>7</v>
      </c>
      <c r="HG684" s="27" t="s">
        <v>8</v>
      </c>
      <c r="HH684" s="27" t="s">
        <v>7</v>
      </c>
      <c r="JL684" s="27" t="s">
        <v>7</v>
      </c>
      <c r="JM684" s="27" t="s">
        <v>8</v>
      </c>
      <c r="JN684" s="27" t="s">
        <v>7</v>
      </c>
      <c r="JQ684" s="27" t="s">
        <v>8</v>
      </c>
      <c r="JR684" s="27" t="s">
        <v>7</v>
      </c>
      <c r="JY684" s="27" t="s">
        <v>8</v>
      </c>
      <c r="JZ684" s="27" t="s">
        <v>7</v>
      </c>
      <c r="KY684" s="27" t="s">
        <v>8</v>
      </c>
      <c r="KZ684" s="27" t="s">
        <v>7</v>
      </c>
      <c r="LA684" s="27" t="s">
        <v>8</v>
      </c>
      <c r="LB684" s="27" t="s">
        <v>7</v>
      </c>
      <c r="LC684" s="27" t="s">
        <v>8</v>
      </c>
      <c r="LD684" s="27" t="s">
        <v>7</v>
      </c>
      <c r="LF684" s="27" t="s">
        <v>7</v>
      </c>
      <c r="LG684" s="27" t="s">
        <v>8</v>
      </c>
      <c r="LH684" s="27" t="s">
        <v>7</v>
      </c>
      <c r="LL684" s="27" t="s">
        <v>7</v>
      </c>
      <c r="LM684" s="27" t="s">
        <v>8</v>
      </c>
      <c r="LN684" s="27" t="s">
        <v>7</v>
      </c>
      <c r="LO684" s="27" t="s">
        <v>8</v>
      </c>
      <c r="LP684" s="27" t="s">
        <v>7</v>
      </c>
      <c r="LQ684" s="27" t="s">
        <v>8</v>
      </c>
      <c r="LT684" s="27" t="s">
        <v>7</v>
      </c>
      <c r="LU684" s="27" t="s">
        <v>8</v>
      </c>
      <c r="LV684" s="27" t="s">
        <v>7</v>
      </c>
      <c r="LW684" s="27" t="s">
        <v>8</v>
      </c>
      <c r="LX684" s="27" t="s">
        <v>7</v>
      </c>
      <c r="MB684" s="27" t="s">
        <v>7</v>
      </c>
      <c r="MC684" s="27" t="s">
        <v>8</v>
      </c>
    </row>
    <row r="685" spans="1:351" x14ac:dyDescent="0.25">
      <c r="A685" s="7">
        <v>0.14360949907253467</v>
      </c>
      <c r="B685"/>
      <c r="C685"/>
      <c r="D685"/>
      <c r="E685"/>
      <c r="F685" s="27" t="s">
        <v>7</v>
      </c>
      <c r="HG685" s="27" t="s">
        <v>8</v>
      </c>
      <c r="JL685" s="27" t="s">
        <v>7</v>
      </c>
      <c r="JM685" s="27" t="s">
        <v>8</v>
      </c>
      <c r="JN685" s="27" t="s">
        <v>7</v>
      </c>
      <c r="JQ685" s="27" t="s">
        <v>8</v>
      </c>
      <c r="JR685" s="27" t="s">
        <v>7</v>
      </c>
      <c r="JS685" s="27" t="s">
        <v>8</v>
      </c>
      <c r="JY685" s="27" t="s">
        <v>8</v>
      </c>
      <c r="JZ685" s="27" t="s">
        <v>7</v>
      </c>
      <c r="KY685" s="27" t="s">
        <v>8</v>
      </c>
      <c r="KZ685" s="27" t="s">
        <v>7</v>
      </c>
      <c r="LA685" s="27" t="s">
        <v>8</v>
      </c>
      <c r="LB685" s="27" t="s">
        <v>7</v>
      </c>
      <c r="LC685" s="27" t="s">
        <v>8</v>
      </c>
      <c r="LF685" s="27" t="s">
        <v>7</v>
      </c>
      <c r="LG685" s="27" t="s">
        <v>8</v>
      </c>
      <c r="LL685" s="27" t="s">
        <v>7</v>
      </c>
      <c r="LM685" s="27" t="s">
        <v>8</v>
      </c>
      <c r="LN685" s="27" t="s">
        <v>7</v>
      </c>
      <c r="LP685" s="27" t="s">
        <v>7</v>
      </c>
      <c r="LT685" s="27" t="s">
        <v>7</v>
      </c>
      <c r="LU685" s="27" t="s">
        <v>8</v>
      </c>
      <c r="LV685" s="27" t="s">
        <v>7</v>
      </c>
      <c r="LW685" s="27" t="s">
        <v>8</v>
      </c>
      <c r="MB685" s="27" t="s">
        <v>7</v>
      </c>
    </row>
    <row r="686" spans="1:351" x14ac:dyDescent="0.25">
      <c r="A686" s="7">
        <v>0.14079362654170066</v>
      </c>
      <c r="B686"/>
      <c r="C686"/>
      <c r="D686"/>
      <c r="E686"/>
      <c r="F686" s="27" t="s">
        <v>7</v>
      </c>
      <c r="HG686" s="27" t="s">
        <v>8</v>
      </c>
      <c r="JL686" s="27" t="s">
        <v>7</v>
      </c>
      <c r="JM686" s="27" t="s">
        <v>8</v>
      </c>
      <c r="JN686" s="27" t="s">
        <v>7</v>
      </c>
      <c r="JQ686" s="27" t="s">
        <v>8</v>
      </c>
      <c r="JR686" s="27" t="s">
        <v>7</v>
      </c>
      <c r="JS686" s="27" t="s">
        <v>8</v>
      </c>
      <c r="JT686" s="27" t="s">
        <v>7</v>
      </c>
      <c r="JY686" s="27" t="s">
        <v>8</v>
      </c>
      <c r="JZ686" s="27" t="s">
        <v>7</v>
      </c>
      <c r="KC686" s="27" t="s">
        <v>8</v>
      </c>
      <c r="KY686" s="27" t="s">
        <v>8</v>
      </c>
      <c r="KZ686" s="27" t="s">
        <v>7</v>
      </c>
      <c r="LA686" s="27" t="s">
        <v>8</v>
      </c>
      <c r="LB686" s="27" t="s">
        <v>7</v>
      </c>
      <c r="LC686" s="27" t="s">
        <v>8</v>
      </c>
      <c r="LF686" s="27" t="s">
        <v>7</v>
      </c>
      <c r="LL686" s="27" t="s">
        <v>7</v>
      </c>
      <c r="LM686" s="27" t="s">
        <v>8</v>
      </c>
      <c r="LT686" s="27" t="s">
        <v>7</v>
      </c>
      <c r="LU686" s="27" t="s">
        <v>8</v>
      </c>
      <c r="LV686" s="27" t="s">
        <v>7</v>
      </c>
      <c r="LW686" s="27" t="s">
        <v>8</v>
      </c>
    </row>
    <row r="687" spans="1:351" x14ac:dyDescent="0.25">
      <c r="A687" s="7">
        <v>0.13803296719774574</v>
      </c>
      <c r="B687"/>
      <c r="C687"/>
      <c r="D687"/>
      <c r="E687"/>
      <c r="F687" s="27" t="s">
        <v>7</v>
      </c>
      <c r="HG687" s="27" t="s">
        <v>8</v>
      </c>
      <c r="JL687" s="27" t="s">
        <v>7</v>
      </c>
      <c r="JM687" s="27" t="s">
        <v>8</v>
      </c>
      <c r="JN687" s="27" t="s">
        <v>7</v>
      </c>
      <c r="JQ687" s="27" t="s">
        <v>8</v>
      </c>
      <c r="JR687" s="27" t="s">
        <v>7</v>
      </c>
      <c r="JS687" s="27" t="s">
        <v>8</v>
      </c>
      <c r="JT687" s="27" t="s">
        <v>7</v>
      </c>
      <c r="JU687" s="27" t="s">
        <v>8</v>
      </c>
      <c r="JY687" s="27" t="s">
        <v>8</v>
      </c>
      <c r="JZ687" s="27" t="s">
        <v>7</v>
      </c>
      <c r="KC687" s="27" t="s">
        <v>8</v>
      </c>
      <c r="KD687" s="27" t="s">
        <v>7</v>
      </c>
      <c r="KY687" s="27" t="s">
        <v>8</v>
      </c>
      <c r="KZ687" s="27" t="s">
        <v>7</v>
      </c>
      <c r="LA687" s="27" t="s">
        <v>8</v>
      </c>
      <c r="LB687" s="27" t="s">
        <v>7</v>
      </c>
      <c r="LC687" s="27" t="s">
        <v>8</v>
      </c>
      <c r="LL687" s="27" t="s">
        <v>7</v>
      </c>
      <c r="LM687" s="27" t="s">
        <v>8</v>
      </c>
      <c r="LT687" s="27" t="s">
        <v>7</v>
      </c>
      <c r="LU687" s="27" t="s">
        <v>8</v>
      </c>
      <c r="LV687" s="27" t="s">
        <v>7</v>
      </c>
      <c r="LW687" s="27" t="s">
        <v>8</v>
      </c>
    </row>
    <row r="688" spans="1:351" x14ac:dyDescent="0.25">
      <c r="A688" s="7">
        <v>0.1353264384291625</v>
      </c>
      <c r="B688"/>
      <c r="C688"/>
      <c r="D688"/>
      <c r="E688"/>
      <c r="F688" s="27" t="s">
        <v>7</v>
      </c>
      <c r="HG688" s="27" t="s">
        <v>8</v>
      </c>
      <c r="JL688" s="27" t="s">
        <v>7</v>
      </c>
      <c r="JM688" s="27" t="s">
        <v>8</v>
      </c>
      <c r="JN688" s="27" t="s">
        <v>7</v>
      </c>
      <c r="JO688" s="27" t="s">
        <v>8</v>
      </c>
      <c r="JQ688" s="27" t="s">
        <v>8</v>
      </c>
      <c r="JR688" s="27" t="s">
        <v>7</v>
      </c>
      <c r="JS688" s="27" t="s">
        <v>8</v>
      </c>
      <c r="JT688" s="27" t="s">
        <v>7</v>
      </c>
      <c r="JU688" s="27" t="s">
        <v>8</v>
      </c>
      <c r="JV688" s="27" t="s">
        <v>7</v>
      </c>
      <c r="JY688" s="27" t="s">
        <v>8</v>
      </c>
      <c r="JZ688" s="27" t="s">
        <v>7</v>
      </c>
      <c r="KC688" s="27" t="s">
        <v>8</v>
      </c>
      <c r="KD688" s="27" t="s">
        <v>7</v>
      </c>
      <c r="KY688" s="27" t="s">
        <v>8</v>
      </c>
      <c r="KZ688" s="27" t="s">
        <v>7</v>
      </c>
      <c r="LA688" s="27" t="s">
        <v>8</v>
      </c>
      <c r="LB688" s="27" t="s">
        <v>7</v>
      </c>
      <c r="LL688" s="27" t="s">
        <v>7</v>
      </c>
      <c r="LT688" s="27" t="s">
        <v>7</v>
      </c>
      <c r="LU688" s="27" t="s">
        <v>8</v>
      </c>
      <c r="LV688" s="27" t="s">
        <v>7</v>
      </c>
      <c r="LW688" s="27" t="s">
        <v>8</v>
      </c>
    </row>
    <row r="689" spans="1:334" x14ac:dyDescent="0.25">
      <c r="A689" s="7">
        <v>0.13267297885212009</v>
      </c>
      <c r="B689"/>
      <c r="C689"/>
      <c r="D689"/>
      <c r="E689"/>
      <c r="F689" s="27" t="s">
        <v>7</v>
      </c>
      <c r="HG689" s="27" t="s">
        <v>8</v>
      </c>
      <c r="JL689" s="27" t="s">
        <v>7</v>
      </c>
      <c r="JM689" s="27" t="s">
        <v>8</v>
      </c>
      <c r="JN689" s="27" t="s">
        <v>7</v>
      </c>
      <c r="JO689" s="27" t="s">
        <v>8</v>
      </c>
      <c r="JP689" s="27" t="s">
        <v>7</v>
      </c>
      <c r="JQ689" s="27" t="s">
        <v>8</v>
      </c>
      <c r="JR689" s="27" t="s">
        <v>7</v>
      </c>
      <c r="JS689" s="27" t="s">
        <v>8</v>
      </c>
      <c r="JT689" s="27" t="s">
        <v>7</v>
      </c>
      <c r="JU689" s="27" t="s">
        <v>8</v>
      </c>
      <c r="JV689" s="27" t="s">
        <v>7</v>
      </c>
      <c r="JW689" s="27" t="s">
        <v>8</v>
      </c>
      <c r="JY689" s="27" t="s">
        <v>8</v>
      </c>
      <c r="JZ689" s="27" t="s">
        <v>7</v>
      </c>
      <c r="KC689" s="27" t="s">
        <v>8</v>
      </c>
      <c r="KD689" s="27" t="s">
        <v>7</v>
      </c>
      <c r="KK689" s="27" t="s">
        <v>8</v>
      </c>
      <c r="KY689" s="27" t="s">
        <v>8</v>
      </c>
      <c r="KZ689" s="27" t="s">
        <v>7</v>
      </c>
      <c r="LA689" s="27" t="s">
        <v>8</v>
      </c>
      <c r="LT689" s="27" t="s">
        <v>7</v>
      </c>
      <c r="LU689" s="27" t="s">
        <v>8</v>
      </c>
      <c r="LV689" s="27" t="s">
        <v>7</v>
      </c>
    </row>
    <row r="690" spans="1:334" x14ac:dyDescent="0.25">
      <c r="A690" s="7">
        <v>0.13007154789423539</v>
      </c>
      <c r="B690"/>
      <c r="C690"/>
      <c r="D690"/>
      <c r="E690"/>
      <c r="F690" s="27" t="s">
        <v>7</v>
      </c>
      <c r="HG690" s="27" t="s">
        <v>8</v>
      </c>
      <c r="JL690" s="27" t="s">
        <v>7</v>
      </c>
      <c r="JM690" s="27" t="s">
        <v>8</v>
      </c>
      <c r="JN690" s="27" t="s">
        <v>7</v>
      </c>
      <c r="JO690" s="27" t="s">
        <v>8</v>
      </c>
      <c r="JP690" s="27" t="s">
        <v>7</v>
      </c>
      <c r="JQ690" s="27" t="s">
        <v>8</v>
      </c>
      <c r="JR690" s="27" t="s">
        <v>7</v>
      </c>
      <c r="JS690" s="27" t="s">
        <v>8</v>
      </c>
      <c r="JT690" s="27" t="s">
        <v>7</v>
      </c>
      <c r="JU690" s="27" t="s">
        <v>8</v>
      </c>
      <c r="JV690" s="27" t="s">
        <v>7</v>
      </c>
      <c r="JW690" s="27" t="s">
        <v>8</v>
      </c>
      <c r="JX690" s="27" t="s">
        <v>7</v>
      </c>
      <c r="JY690" s="27" t="s">
        <v>8</v>
      </c>
      <c r="JZ690" s="27" t="s">
        <v>7</v>
      </c>
      <c r="KC690" s="27" t="s">
        <v>8</v>
      </c>
      <c r="KD690" s="27" t="s">
        <v>7</v>
      </c>
      <c r="KK690" s="27" t="s">
        <v>8</v>
      </c>
      <c r="KL690" s="27" t="s">
        <v>7</v>
      </c>
      <c r="KY690" s="27" t="s">
        <v>8</v>
      </c>
      <c r="KZ690" s="27" t="s">
        <v>7</v>
      </c>
      <c r="LA690" s="27" t="s">
        <v>8</v>
      </c>
      <c r="LT690" s="27" t="s">
        <v>7</v>
      </c>
      <c r="LU690" s="27" t="s">
        <v>8</v>
      </c>
    </row>
    <row r="691" spans="1:334" x14ac:dyDescent="0.25">
      <c r="A691" s="7">
        <v>0.12752112538650529</v>
      </c>
      <c r="B691"/>
      <c r="C691"/>
      <c r="D691"/>
      <c r="E691"/>
      <c r="F691" s="27" t="s">
        <v>7</v>
      </c>
      <c r="DS691" s="27" t="s">
        <v>8</v>
      </c>
      <c r="HG691" s="27" t="s">
        <v>8</v>
      </c>
      <c r="JL691" s="27" t="s">
        <v>7</v>
      </c>
      <c r="JM691" s="27" t="s">
        <v>8</v>
      </c>
      <c r="JN691" s="27" t="s">
        <v>7</v>
      </c>
      <c r="JO691" s="27" t="s">
        <v>8</v>
      </c>
      <c r="JP691" s="27" t="s">
        <v>7</v>
      </c>
      <c r="JQ691" s="27" t="s">
        <v>8</v>
      </c>
      <c r="JR691" s="27" t="s">
        <v>7</v>
      </c>
      <c r="JS691" s="27" t="s">
        <v>8</v>
      </c>
      <c r="JT691" s="27" t="s">
        <v>7</v>
      </c>
      <c r="JU691" s="27" t="s">
        <v>8</v>
      </c>
      <c r="JV691" s="27" t="s">
        <v>7</v>
      </c>
      <c r="JW691" s="27" t="s">
        <v>8</v>
      </c>
      <c r="JX691" s="27" t="s">
        <v>7</v>
      </c>
      <c r="JY691" s="27" t="s">
        <v>8</v>
      </c>
      <c r="JZ691" s="27" t="s">
        <v>7</v>
      </c>
      <c r="KC691" s="27" t="s">
        <v>8</v>
      </c>
      <c r="KD691" s="27" t="s">
        <v>7</v>
      </c>
      <c r="KE691" s="27" t="s">
        <v>8</v>
      </c>
      <c r="KI691" s="27" t="s">
        <v>8</v>
      </c>
      <c r="KK691" s="27" t="s">
        <v>8</v>
      </c>
      <c r="KL691" s="27" t="s">
        <v>7</v>
      </c>
      <c r="KM691" s="27" t="s">
        <v>8</v>
      </c>
      <c r="KY691" s="27" t="s">
        <v>8</v>
      </c>
      <c r="KZ691" s="27" t="s">
        <v>7</v>
      </c>
      <c r="LA691" s="27" t="s">
        <v>8</v>
      </c>
      <c r="LT691" s="27" t="s">
        <v>7</v>
      </c>
    </row>
    <row r="692" spans="1:334" x14ac:dyDescent="0.25">
      <c r="A692" s="7">
        <v>0.12502071116324048</v>
      </c>
      <c r="B692"/>
      <c r="C692"/>
      <c r="D692"/>
      <c r="E692"/>
      <c r="F692" s="27" t="s">
        <v>7</v>
      </c>
      <c r="DS692" s="27" t="s">
        <v>8</v>
      </c>
      <c r="DT692" s="27" t="s">
        <v>7</v>
      </c>
      <c r="HG692" s="27" t="s">
        <v>8</v>
      </c>
      <c r="JL692" s="27" t="s">
        <v>7</v>
      </c>
      <c r="JM692" s="27" t="s">
        <v>8</v>
      </c>
      <c r="JN692" s="27" t="s">
        <v>7</v>
      </c>
      <c r="JO692" s="27" t="s">
        <v>8</v>
      </c>
      <c r="JP692" s="27" t="s">
        <v>7</v>
      </c>
      <c r="JQ692" s="27" t="s">
        <v>8</v>
      </c>
      <c r="JR692" s="27" t="s">
        <v>7</v>
      </c>
      <c r="JS692" s="27" t="s">
        <v>8</v>
      </c>
      <c r="JT692" s="27" t="s">
        <v>7</v>
      </c>
      <c r="JU692" s="27" t="s">
        <v>8</v>
      </c>
      <c r="JV692" s="27" t="s">
        <v>7</v>
      </c>
      <c r="JW692" s="27" t="s">
        <v>8</v>
      </c>
      <c r="JX692" s="27" t="s">
        <v>7</v>
      </c>
      <c r="JY692" s="27" t="s">
        <v>8</v>
      </c>
      <c r="JZ692" s="27" t="s">
        <v>7</v>
      </c>
      <c r="KA692" s="27" t="s">
        <v>8</v>
      </c>
      <c r="KC692" s="27" t="s">
        <v>8</v>
      </c>
      <c r="KD692" s="27" t="s">
        <v>7</v>
      </c>
      <c r="KE692" s="27" t="s">
        <v>8</v>
      </c>
      <c r="KF692" s="27" t="s">
        <v>7</v>
      </c>
      <c r="KG692" s="27" t="s">
        <v>8</v>
      </c>
      <c r="KI692" s="27" t="s">
        <v>8</v>
      </c>
      <c r="KJ692" s="27" t="s">
        <v>7</v>
      </c>
      <c r="KK692" s="27" t="s">
        <v>8</v>
      </c>
      <c r="KL692" s="27" t="s">
        <v>7</v>
      </c>
      <c r="KM692" s="27" t="s">
        <v>8</v>
      </c>
      <c r="KN692" s="27" t="s">
        <v>7</v>
      </c>
      <c r="KY692" s="27" t="s">
        <v>8</v>
      </c>
      <c r="KZ692" s="27" t="s">
        <v>7</v>
      </c>
    </row>
    <row r="693" spans="1:334" x14ac:dyDescent="0.25">
      <c r="A693" s="7">
        <v>0.1225693246698436</v>
      </c>
      <c r="B693"/>
      <c r="C693"/>
      <c r="D693"/>
      <c r="E693"/>
      <c r="F693" s="27" t="s">
        <v>7</v>
      </c>
      <c r="DS693" s="27" t="s">
        <v>8</v>
      </c>
      <c r="DT693" s="27" t="s">
        <v>7</v>
      </c>
      <c r="HG693" s="27" t="s">
        <v>8</v>
      </c>
      <c r="JL693" s="27" t="s">
        <v>7</v>
      </c>
      <c r="JM693" s="27" t="s">
        <v>8</v>
      </c>
      <c r="JN693" s="27" t="s">
        <v>7</v>
      </c>
      <c r="JO693" s="27" t="s">
        <v>8</v>
      </c>
      <c r="JP693" s="27" t="s">
        <v>7</v>
      </c>
      <c r="JQ693" s="27" t="s">
        <v>8</v>
      </c>
      <c r="JR693" s="27" t="s">
        <v>7</v>
      </c>
      <c r="JS693" s="27" t="s">
        <v>8</v>
      </c>
      <c r="JT693" s="27" t="s">
        <v>7</v>
      </c>
      <c r="JU693" s="27" t="s">
        <v>8</v>
      </c>
      <c r="JV693" s="27" t="s">
        <v>7</v>
      </c>
      <c r="JW693" s="27" t="s">
        <v>8</v>
      </c>
      <c r="JX693" s="27" t="s">
        <v>7</v>
      </c>
      <c r="JY693" s="27" t="s">
        <v>8</v>
      </c>
      <c r="JZ693" s="27" t="s">
        <v>7</v>
      </c>
      <c r="KA693" s="27" t="s">
        <v>8</v>
      </c>
      <c r="KB693" s="27" t="s">
        <v>7</v>
      </c>
      <c r="KC693" s="27" t="s">
        <v>8</v>
      </c>
      <c r="KD693" s="27" t="s">
        <v>7</v>
      </c>
      <c r="KE693" s="27" t="s">
        <v>8</v>
      </c>
      <c r="KF693" s="27" t="s">
        <v>7</v>
      </c>
      <c r="KG693" s="27" t="s">
        <v>8</v>
      </c>
      <c r="KH693" s="27" t="s">
        <v>7</v>
      </c>
      <c r="KI693" s="27" t="s">
        <v>8</v>
      </c>
      <c r="KJ693" s="27" t="s">
        <v>7</v>
      </c>
      <c r="KK693" s="27" t="s">
        <v>8</v>
      </c>
      <c r="KL693" s="27" t="s">
        <v>7</v>
      </c>
      <c r="KM693" s="27" t="s">
        <v>8</v>
      </c>
      <c r="KN693" s="27" t="s">
        <v>7</v>
      </c>
      <c r="KY693" s="27" t="s">
        <v>8</v>
      </c>
    </row>
    <row r="694" spans="1:334" x14ac:dyDescent="0.25">
      <c r="A694" s="7">
        <v>0.12016600457827803</v>
      </c>
      <c r="B694"/>
      <c r="C694"/>
      <c r="D694"/>
      <c r="E694"/>
      <c r="F694" s="27" t="s">
        <v>7</v>
      </c>
      <c r="DS694" s="27" t="s">
        <v>8</v>
      </c>
      <c r="DT694" s="27" t="s">
        <v>7</v>
      </c>
      <c r="HG694" s="27" t="s">
        <v>8</v>
      </c>
      <c r="JL694" s="27" t="s">
        <v>7</v>
      </c>
      <c r="JM694" s="27" t="s">
        <v>8</v>
      </c>
      <c r="JN694" s="27" t="s">
        <v>7</v>
      </c>
      <c r="JO694" s="27" t="s">
        <v>8</v>
      </c>
      <c r="JP694" s="27" t="s">
        <v>7</v>
      </c>
      <c r="JQ694" s="27" t="s">
        <v>8</v>
      </c>
      <c r="JR694" s="27" t="s">
        <v>7</v>
      </c>
      <c r="JS694" s="27" t="s">
        <v>8</v>
      </c>
      <c r="JT694" s="27" t="s">
        <v>7</v>
      </c>
      <c r="JU694" s="27" t="s">
        <v>8</v>
      </c>
      <c r="JV694" s="27" t="s">
        <v>7</v>
      </c>
      <c r="JW694" s="27" t="s">
        <v>8</v>
      </c>
      <c r="JX694" s="27" t="s">
        <v>7</v>
      </c>
      <c r="JY694" s="27" t="s">
        <v>8</v>
      </c>
      <c r="JZ694" s="27" t="s">
        <v>7</v>
      </c>
      <c r="KA694" s="27" t="s">
        <v>8</v>
      </c>
      <c r="KB694" s="27" t="s">
        <v>7</v>
      </c>
      <c r="KC694" s="27" t="s">
        <v>8</v>
      </c>
      <c r="KD694" s="27" t="s">
        <v>7</v>
      </c>
      <c r="KE694" s="27" t="s">
        <v>8</v>
      </c>
      <c r="KF694" s="27" t="s">
        <v>7</v>
      </c>
      <c r="KG694" s="27" t="s">
        <v>8</v>
      </c>
      <c r="KH694" s="27" t="s">
        <v>7</v>
      </c>
      <c r="KI694" s="27" t="s">
        <v>8</v>
      </c>
      <c r="KJ694" s="27" t="s">
        <v>7</v>
      </c>
      <c r="KK694" s="27" t="s">
        <v>8</v>
      </c>
      <c r="KL694" s="27" t="s">
        <v>7</v>
      </c>
      <c r="KM694" s="27" t="s">
        <v>8</v>
      </c>
      <c r="KN694" s="27" t="s">
        <v>7</v>
      </c>
      <c r="KU694" s="27" t="s">
        <v>8</v>
      </c>
      <c r="KY694" s="27" t="s">
        <v>8</v>
      </c>
    </row>
    <row r="695" spans="1:334" x14ac:dyDescent="0.25">
      <c r="A695" s="7">
        <v>0.1178098084100765</v>
      </c>
      <c r="B695"/>
      <c r="C695"/>
      <c r="D695"/>
      <c r="E695"/>
      <c r="F695" s="27" t="s">
        <v>7</v>
      </c>
      <c r="DS695" s="27" t="s">
        <v>8</v>
      </c>
      <c r="DT695" s="27" t="s">
        <v>7</v>
      </c>
      <c r="HG695" s="27" t="s">
        <v>8</v>
      </c>
      <c r="JL695" s="27" t="s">
        <v>7</v>
      </c>
      <c r="JM695" s="27" t="s">
        <v>8</v>
      </c>
      <c r="JN695" s="27" t="s">
        <v>7</v>
      </c>
      <c r="JO695" s="27" t="s">
        <v>8</v>
      </c>
      <c r="JP695" s="27" t="s">
        <v>7</v>
      </c>
      <c r="JQ695" s="27" t="s">
        <v>8</v>
      </c>
      <c r="JR695" s="27" t="s">
        <v>7</v>
      </c>
      <c r="JS695" s="27" t="s">
        <v>8</v>
      </c>
      <c r="JT695" s="27" t="s">
        <v>7</v>
      </c>
      <c r="JU695" s="27" t="s">
        <v>8</v>
      </c>
      <c r="JV695" s="27" t="s">
        <v>7</v>
      </c>
      <c r="JW695" s="27" t="s">
        <v>8</v>
      </c>
      <c r="JX695" s="27" t="s">
        <v>7</v>
      </c>
      <c r="JY695" s="27" t="s">
        <v>8</v>
      </c>
      <c r="JZ695" s="27" t="s">
        <v>7</v>
      </c>
      <c r="KA695" s="27" t="s">
        <v>8</v>
      </c>
      <c r="KB695" s="27" t="s">
        <v>7</v>
      </c>
      <c r="KC695" s="27" t="s">
        <v>8</v>
      </c>
      <c r="KD695" s="27" t="s">
        <v>7</v>
      </c>
      <c r="KE695" s="27" t="s">
        <v>8</v>
      </c>
      <c r="KF695" s="27" t="s">
        <v>7</v>
      </c>
      <c r="KG695" s="27" t="s">
        <v>8</v>
      </c>
      <c r="KH695" s="27" t="s">
        <v>7</v>
      </c>
      <c r="KI695" s="27" t="s">
        <v>8</v>
      </c>
      <c r="KJ695" s="27" t="s">
        <v>7</v>
      </c>
      <c r="KK695" s="27" t="s">
        <v>8</v>
      </c>
      <c r="KL695" s="27" t="s">
        <v>7</v>
      </c>
      <c r="KM695" s="27" t="s">
        <v>8</v>
      </c>
      <c r="KN695" s="27" t="s">
        <v>7</v>
      </c>
      <c r="KO695" s="27" t="s">
        <v>8</v>
      </c>
      <c r="KU695" s="27" t="s">
        <v>8</v>
      </c>
      <c r="KV695" s="27" t="s">
        <v>7</v>
      </c>
      <c r="KY695" s="27" t="s">
        <v>8</v>
      </c>
    </row>
    <row r="696" spans="1:334" x14ac:dyDescent="0.25">
      <c r="A696" s="7">
        <v>0.11549981216674166</v>
      </c>
      <c r="B696"/>
      <c r="C696"/>
      <c r="D696"/>
      <c r="E696"/>
      <c r="F696" s="27" t="s">
        <v>7</v>
      </c>
      <c r="DS696" s="27" t="s">
        <v>8</v>
      </c>
      <c r="DT696" s="27" t="s">
        <v>7</v>
      </c>
      <c r="HG696" s="27" t="s">
        <v>8</v>
      </c>
      <c r="JL696" s="27" t="s">
        <v>7</v>
      </c>
      <c r="JM696" s="27" t="s">
        <v>8</v>
      </c>
      <c r="JN696" s="27" t="s">
        <v>7</v>
      </c>
      <c r="JP696" s="27" t="s">
        <v>7</v>
      </c>
      <c r="JQ696" s="27" t="s">
        <v>8</v>
      </c>
      <c r="JR696" s="27" t="s">
        <v>7</v>
      </c>
      <c r="JS696" s="27" t="s">
        <v>8</v>
      </c>
      <c r="JT696" s="27" t="s">
        <v>7</v>
      </c>
      <c r="JV696" s="27" t="s">
        <v>7</v>
      </c>
      <c r="JW696" s="27" t="s">
        <v>8</v>
      </c>
      <c r="JX696" s="27" t="s">
        <v>7</v>
      </c>
      <c r="JY696" s="27" t="s">
        <v>8</v>
      </c>
      <c r="JZ696" s="27" t="s">
        <v>7</v>
      </c>
      <c r="KA696" s="27" t="s">
        <v>8</v>
      </c>
      <c r="KB696" s="27" t="s">
        <v>7</v>
      </c>
      <c r="KD696" s="27" t="s">
        <v>7</v>
      </c>
      <c r="KF696" s="27" t="s">
        <v>7</v>
      </c>
      <c r="KG696" s="27" t="s">
        <v>8</v>
      </c>
      <c r="KH696" s="27" t="s">
        <v>7</v>
      </c>
      <c r="KI696" s="27" t="s">
        <v>8</v>
      </c>
      <c r="KJ696" s="27" t="s">
        <v>7</v>
      </c>
      <c r="KK696" s="27" t="s">
        <v>8</v>
      </c>
      <c r="KL696" s="27" t="s">
        <v>7</v>
      </c>
      <c r="KN696" s="27" t="s">
        <v>7</v>
      </c>
      <c r="KO696" s="27" t="s">
        <v>8</v>
      </c>
      <c r="KP696" s="27" t="s">
        <v>7</v>
      </c>
      <c r="KU696" s="27" t="s">
        <v>8</v>
      </c>
      <c r="KV696" s="27" t="s">
        <v>7</v>
      </c>
      <c r="KY696" s="27" t="s">
        <v>8</v>
      </c>
    </row>
    <row r="697" spans="1:334" x14ac:dyDescent="0.25">
      <c r="A697" s="7">
        <v>0.11323510996739378</v>
      </c>
      <c r="B697"/>
      <c r="C697"/>
      <c r="D697"/>
      <c r="E697"/>
      <c r="F697" s="27" t="s">
        <v>7</v>
      </c>
      <c r="DS697" s="27" t="s">
        <v>8</v>
      </c>
      <c r="DT697" s="27" t="s">
        <v>7</v>
      </c>
      <c r="HG697" s="27" t="s">
        <v>8</v>
      </c>
      <c r="JL697" s="27" t="s">
        <v>7</v>
      </c>
      <c r="JM697" s="27" t="s">
        <v>8</v>
      </c>
      <c r="JP697" s="27" t="s">
        <v>7</v>
      </c>
      <c r="JQ697" s="27" t="s">
        <v>8</v>
      </c>
      <c r="JR697" s="27" t="s">
        <v>7</v>
      </c>
      <c r="JS697" s="27" t="s">
        <v>8</v>
      </c>
      <c r="JV697" s="27" t="s">
        <v>7</v>
      </c>
      <c r="JW697" s="27" t="s">
        <v>8</v>
      </c>
      <c r="JX697" s="27" t="s">
        <v>7</v>
      </c>
      <c r="JY697" s="27" t="s">
        <v>8</v>
      </c>
      <c r="JZ697" s="27" t="s">
        <v>7</v>
      </c>
      <c r="KA697" s="27" t="s">
        <v>8</v>
      </c>
      <c r="KF697" s="27" t="s">
        <v>7</v>
      </c>
      <c r="KG697" s="27" t="s">
        <v>8</v>
      </c>
      <c r="KH697" s="27" t="s">
        <v>7</v>
      </c>
      <c r="KI697" s="27" t="s">
        <v>8</v>
      </c>
      <c r="KJ697" s="27" t="s">
        <v>7</v>
      </c>
      <c r="KK697" s="27" t="s">
        <v>8</v>
      </c>
      <c r="KN697" s="27" t="s">
        <v>7</v>
      </c>
      <c r="KO697" s="27" t="s">
        <v>8</v>
      </c>
      <c r="KP697" s="27" t="s">
        <v>7</v>
      </c>
      <c r="KQ697" s="27" t="s">
        <v>8</v>
      </c>
      <c r="KU697" s="27" t="s">
        <v>8</v>
      </c>
      <c r="KV697" s="27" t="s">
        <v>7</v>
      </c>
      <c r="KW697" s="27" t="s">
        <v>8</v>
      </c>
      <c r="KY697" s="27" t="s">
        <v>8</v>
      </c>
    </row>
    <row r="698" spans="1:334" x14ac:dyDescent="0.25">
      <c r="A698" s="7">
        <v>0.11101481369352331</v>
      </c>
      <c r="B698"/>
      <c r="C698"/>
      <c r="D698"/>
      <c r="E698"/>
      <c r="F698" s="27" t="s">
        <v>7</v>
      </c>
      <c r="DS698" s="27" t="s">
        <v>8</v>
      </c>
      <c r="DT698" s="27" t="s">
        <v>7</v>
      </c>
      <c r="EA698" s="27" t="s">
        <v>8</v>
      </c>
      <c r="HG698" s="27" t="s">
        <v>8</v>
      </c>
      <c r="JL698" s="27" t="s">
        <v>7</v>
      </c>
      <c r="JP698" s="27" t="s">
        <v>7</v>
      </c>
      <c r="JQ698" s="27" t="s">
        <v>8</v>
      </c>
      <c r="JR698" s="27" t="s">
        <v>7</v>
      </c>
      <c r="JS698" s="27" t="s">
        <v>8</v>
      </c>
      <c r="JV698" s="27" t="s">
        <v>7</v>
      </c>
      <c r="JW698" s="27" t="s">
        <v>8</v>
      </c>
      <c r="JX698" s="27" t="s">
        <v>7</v>
      </c>
      <c r="JY698" s="27" t="s">
        <v>8</v>
      </c>
      <c r="JZ698" s="27" t="s">
        <v>7</v>
      </c>
      <c r="KA698" s="27" t="s">
        <v>8</v>
      </c>
      <c r="KF698" s="27" t="s">
        <v>7</v>
      </c>
      <c r="KG698" s="27" t="s">
        <v>8</v>
      </c>
      <c r="KH698" s="27" t="s">
        <v>7</v>
      </c>
      <c r="KI698" s="27" t="s">
        <v>8</v>
      </c>
      <c r="KJ698" s="27" t="s">
        <v>7</v>
      </c>
      <c r="KK698" s="27" t="s">
        <v>8</v>
      </c>
      <c r="KN698" s="27" t="s">
        <v>7</v>
      </c>
      <c r="KO698" s="27" t="s">
        <v>8</v>
      </c>
      <c r="KP698" s="27" t="s">
        <v>7</v>
      </c>
      <c r="KQ698" s="27" t="s">
        <v>8</v>
      </c>
      <c r="KR698" s="27" t="s">
        <v>7</v>
      </c>
      <c r="KU698" s="27" t="s">
        <v>8</v>
      </c>
      <c r="KV698" s="27" t="s">
        <v>7</v>
      </c>
      <c r="KW698" s="27" t="s">
        <v>8</v>
      </c>
      <c r="KX698" s="27" t="s">
        <v>7</v>
      </c>
      <c r="KY698" s="27" t="s">
        <v>8</v>
      </c>
    </row>
    <row r="699" spans="1:334" x14ac:dyDescent="0.25">
      <c r="A699" s="7">
        <v>0.10883805264070913</v>
      </c>
      <c r="B699"/>
      <c r="C699"/>
      <c r="D699"/>
      <c r="E699"/>
      <c r="F699" s="27" t="s">
        <v>7</v>
      </c>
      <c r="DS699" s="27" t="s">
        <v>8</v>
      </c>
      <c r="DT699" s="27" t="s">
        <v>7</v>
      </c>
      <c r="EA699" s="27" t="s">
        <v>8</v>
      </c>
      <c r="EB699" s="27" t="s">
        <v>7</v>
      </c>
      <c r="HG699" s="27" t="s">
        <v>8</v>
      </c>
      <c r="JP699" s="27" t="s">
        <v>7</v>
      </c>
      <c r="JQ699" s="27" t="s">
        <v>8</v>
      </c>
      <c r="JR699" s="27" t="s">
        <v>7</v>
      </c>
      <c r="JS699" s="27" t="s">
        <v>8</v>
      </c>
      <c r="JV699" s="27" t="s">
        <v>7</v>
      </c>
      <c r="JX699" s="27" t="s">
        <v>7</v>
      </c>
      <c r="JY699" s="27" t="s">
        <v>8</v>
      </c>
      <c r="JZ699" s="27" t="s">
        <v>7</v>
      </c>
      <c r="KA699" s="27" t="s">
        <v>8</v>
      </c>
      <c r="KF699" s="27" t="s">
        <v>7</v>
      </c>
      <c r="KG699" s="27" t="s">
        <v>8</v>
      </c>
      <c r="KH699" s="27" t="s">
        <v>7</v>
      </c>
      <c r="KI699" s="27" t="s">
        <v>8</v>
      </c>
      <c r="KJ699" s="27" t="s">
        <v>7</v>
      </c>
      <c r="KN699" s="27" t="s">
        <v>7</v>
      </c>
      <c r="KP699" s="27" t="s">
        <v>7</v>
      </c>
      <c r="KQ699" s="27" t="s">
        <v>8</v>
      </c>
      <c r="KR699" s="27" t="s">
        <v>7</v>
      </c>
      <c r="KU699" s="27" t="s">
        <v>8</v>
      </c>
      <c r="KV699" s="27" t="s">
        <v>7</v>
      </c>
      <c r="KW699" s="27" t="s">
        <v>8</v>
      </c>
      <c r="KX699" s="27" t="s">
        <v>7</v>
      </c>
      <c r="KY699" s="27" t="s">
        <v>8</v>
      </c>
    </row>
    <row r="700" spans="1:334" x14ac:dyDescent="0.25">
      <c r="A700" s="7">
        <v>0.10670397317716582</v>
      </c>
      <c r="B700"/>
      <c r="C700"/>
      <c r="D700"/>
      <c r="E700"/>
      <c r="F700" s="27" t="s">
        <v>7</v>
      </c>
      <c r="DS700" s="27" t="s">
        <v>8</v>
      </c>
      <c r="DT700" s="27" t="s">
        <v>7</v>
      </c>
      <c r="EA700" s="27" t="s">
        <v>8</v>
      </c>
      <c r="EB700" s="27" t="s">
        <v>7</v>
      </c>
      <c r="HG700" s="27" t="s">
        <v>8</v>
      </c>
      <c r="JP700" s="27" t="s">
        <v>7</v>
      </c>
      <c r="JQ700" s="27" t="s">
        <v>8</v>
      </c>
      <c r="JR700" s="27" t="s">
        <v>7</v>
      </c>
      <c r="JX700" s="27" t="s">
        <v>7</v>
      </c>
      <c r="JY700" s="27" t="s">
        <v>8</v>
      </c>
      <c r="JZ700" s="27" t="s">
        <v>7</v>
      </c>
      <c r="KA700" s="27" t="s">
        <v>8</v>
      </c>
      <c r="KF700" s="27" t="s">
        <v>7</v>
      </c>
      <c r="KG700" s="27" t="s">
        <v>8</v>
      </c>
      <c r="KH700" s="27" t="s">
        <v>7</v>
      </c>
      <c r="KP700" s="27" t="s">
        <v>7</v>
      </c>
      <c r="KQ700" s="27" t="s">
        <v>8</v>
      </c>
      <c r="KR700" s="27" t="s">
        <v>7</v>
      </c>
      <c r="KS700" s="27" t="s">
        <v>8</v>
      </c>
      <c r="KU700" s="27" t="s">
        <v>8</v>
      </c>
      <c r="KV700" s="27" t="s">
        <v>7</v>
      </c>
      <c r="KX700" s="27" t="s">
        <v>7</v>
      </c>
    </row>
    <row r="701" spans="1:334" x14ac:dyDescent="0.25">
      <c r="A701" s="7">
        <v>0.1046117384089861</v>
      </c>
      <c r="B701"/>
      <c r="C701"/>
      <c r="D701"/>
      <c r="E701"/>
      <c r="F701" s="27" t="s">
        <v>7</v>
      </c>
      <c r="DS701" s="27" t="s">
        <v>8</v>
      </c>
      <c r="DT701" s="27" t="s">
        <v>7</v>
      </c>
      <c r="EA701" s="27" t="s">
        <v>8</v>
      </c>
      <c r="EB701" s="27" t="s">
        <v>7</v>
      </c>
      <c r="HE701" s="27" t="s">
        <v>8</v>
      </c>
      <c r="HG701" s="27" t="s">
        <v>8</v>
      </c>
      <c r="JP701" s="27" t="s">
        <v>7</v>
      </c>
      <c r="JQ701" s="27" t="s">
        <v>8</v>
      </c>
      <c r="JX701" s="27" t="s">
        <v>7</v>
      </c>
      <c r="JY701" s="27" t="s">
        <v>8</v>
      </c>
      <c r="JZ701" s="27" t="s">
        <v>7</v>
      </c>
      <c r="KA701" s="27" t="s">
        <v>8</v>
      </c>
      <c r="KF701" s="27" t="s">
        <v>7</v>
      </c>
      <c r="KG701" s="27" t="s">
        <v>8</v>
      </c>
      <c r="KP701" s="27" t="s">
        <v>7</v>
      </c>
      <c r="KQ701" s="27" t="s">
        <v>8</v>
      </c>
      <c r="KR701" s="27" t="s">
        <v>7</v>
      </c>
      <c r="KS701" s="27" t="s">
        <v>8</v>
      </c>
      <c r="KT701" s="27" t="s">
        <v>7</v>
      </c>
      <c r="KU701" s="27" t="s">
        <v>8</v>
      </c>
    </row>
    <row r="702" spans="1:334" x14ac:dyDescent="0.25">
      <c r="A702" s="7">
        <v>0.10256052785194716</v>
      </c>
      <c r="B702"/>
      <c r="C702"/>
      <c r="D702"/>
      <c r="E702"/>
      <c r="F702" s="27" t="s">
        <v>7</v>
      </c>
      <c r="DS702" s="27" t="s">
        <v>8</v>
      </c>
      <c r="DT702" s="27" t="s">
        <v>7</v>
      </c>
      <c r="EA702" s="27" t="s">
        <v>8</v>
      </c>
      <c r="EB702" s="27" t="s">
        <v>7</v>
      </c>
      <c r="HA702" s="27" t="s">
        <v>8</v>
      </c>
      <c r="HE702" s="27" t="s">
        <v>8</v>
      </c>
      <c r="HF702" s="27" t="s">
        <v>7</v>
      </c>
      <c r="HG702" s="27" t="s">
        <v>8</v>
      </c>
      <c r="JP702" s="27" t="s">
        <v>7</v>
      </c>
      <c r="JQ702" s="27" t="s">
        <v>8</v>
      </c>
      <c r="JX702" s="27" t="s">
        <v>7</v>
      </c>
      <c r="JY702" s="27" t="s">
        <v>8</v>
      </c>
      <c r="JZ702" s="27" t="s">
        <v>7</v>
      </c>
      <c r="KF702" s="27" t="s">
        <v>7</v>
      </c>
      <c r="KG702" s="27" t="s">
        <v>8</v>
      </c>
      <c r="KP702" s="27" t="s">
        <v>7</v>
      </c>
      <c r="KR702" s="27" t="s">
        <v>7</v>
      </c>
      <c r="KS702" s="27" t="s">
        <v>8</v>
      </c>
      <c r="KT702" s="27" t="s">
        <v>7</v>
      </c>
      <c r="KU702" s="27" t="s">
        <v>8</v>
      </c>
    </row>
    <row r="703" spans="1:334" x14ac:dyDescent="0.25">
      <c r="A703" s="7">
        <v>0.10054953710975212</v>
      </c>
      <c r="B703"/>
      <c r="C703"/>
      <c r="D703"/>
      <c r="E703"/>
      <c r="F703" s="27" t="s">
        <v>7</v>
      </c>
      <c r="DO703" s="27" t="s">
        <v>8</v>
      </c>
      <c r="DS703" s="27" t="s">
        <v>8</v>
      </c>
      <c r="DT703" s="27" t="s">
        <v>7</v>
      </c>
      <c r="EA703" s="27" t="s">
        <v>8</v>
      </c>
      <c r="EB703" s="27" t="s">
        <v>7</v>
      </c>
      <c r="HA703" s="27" t="s">
        <v>8</v>
      </c>
      <c r="HB703" s="27" t="s">
        <v>7</v>
      </c>
      <c r="HE703" s="27" t="s">
        <v>8</v>
      </c>
      <c r="HF703" s="27" t="s">
        <v>7</v>
      </c>
      <c r="HG703" s="27" t="s">
        <v>8</v>
      </c>
      <c r="JP703" s="27" t="s">
        <v>7</v>
      </c>
      <c r="JQ703" s="27" t="s">
        <v>8</v>
      </c>
      <c r="JX703" s="27" t="s">
        <v>7</v>
      </c>
      <c r="JY703" s="27" t="s">
        <v>8</v>
      </c>
      <c r="KF703" s="27" t="s">
        <v>7</v>
      </c>
      <c r="KG703" s="27" t="s">
        <v>8</v>
      </c>
      <c r="KR703" s="18" t="s">
        <v>7</v>
      </c>
      <c r="KS703" s="27" t="s">
        <v>8</v>
      </c>
      <c r="KT703" s="27" t="s">
        <v>7</v>
      </c>
    </row>
    <row r="704" spans="1:334" x14ac:dyDescent="0.25">
      <c r="A704" s="7">
        <v>9.8577977558580512E-2</v>
      </c>
      <c r="B704"/>
      <c r="C704"/>
      <c r="D704"/>
      <c r="E704"/>
      <c r="F704" s="27" t="s">
        <v>7</v>
      </c>
      <c r="DO704" s="27" t="s">
        <v>8</v>
      </c>
      <c r="DP704" s="27" t="s">
        <v>7</v>
      </c>
      <c r="DS704" s="27" t="s">
        <v>8</v>
      </c>
      <c r="DT704" s="27" t="s">
        <v>7</v>
      </c>
      <c r="DU704" s="27" t="s">
        <v>8</v>
      </c>
      <c r="EA704" s="27" t="s">
        <v>8</v>
      </c>
      <c r="EB704" s="27" t="s">
        <v>7</v>
      </c>
      <c r="HA704" s="27" t="s">
        <v>8</v>
      </c>
      <c r="HB704" s="27" t="s">
        <v>7</v>
      </c>
      <c r="HE704" s="27" t="s">
        <v>8</v>
      </c>
      <c r="HF704" s="27" t="s">
        <v>7</v>
      </c>
      <c r="HG704" s="27" t="s">
        <v>8</v>
      </c>
      <c r="JP704" s="27" t="s">
        <v>7</v>
      </c>
      <c r="JQ704" s="27" t="s">
        <v>8</v>
      </c>
      <c r="JX704" s="27" t="s">
        <v>7</v>
      </c>
      <c r="JY704" s="27" t="s">
        <v>8</v>
      </c>
      <c r="KF704" s="27" t="s">
        <v>7</v>
      </c>
      <c r="KG704" s="27" t="s">
        <v>8</v>
      </c>
      <c r="KR704" s="27" t="s">
        <v>7</v>
      </c>
      <c r="KS704" s="27" t="s">
        <v>8</v>
      </c>
    </row>
    <row r="705" spans="1:305" x14ac:dyDescent="0.25">
      <c r="A705" s="7">
        <v>9.6645076037824032E-2</v>
      </c>
      <c r="B705"/>
      <c r="C705"/>
      <c r="D705"/>
      <c r="E705"/>
      <c r="F705" s="27" t="s">
        <v>7</v>
      </c>
      <c r="DO705" s="27" t="s">
        <v>8</v>
      </c>
      <c r="DP705" s="27" t="s">
        <v>7</v>
      </c>
      <c r="DS705" s="27" t="s">
        <v>8</v>
      </c>
      <c r="DT705" s="27" t="s">
        <v>7</v>
      </c>
      <c r="DU705" s="27" t="s">
        <v>8</v>
      </c>
      <c r="DV705" s="27" t="s">
        <v>7</v>
      </c>
      <c r="EA705" s="27" t="s">
        <v>8</v>
      </c>
      <c r="EB705" s="27" t="s">
        <v>7</v>
      </c>
      <c r="HA705" s="27" t="s">
        <v>8</v>
      </c>
      <c r="HB705" s="27" t="s">
        <v>7</v>
      </c>
      <c r="HE705" s="27" t="s">
        <v>8</v>
      </c>
      <c r="HF705" s="27" t="s">
        <v>7</v>
      </c>
      <c r="HG705" s="27" t="s">
        <v>8</v>
      </c>
      <c r="JP705" s="27" t="s">
        <v>7</v>
      </c>
      <c r="JQ705" s="27" t="s">
        <v>8</v>
      </c>
      <c r="JX705" s="27" t="s">
        <v>7</v>
      </c>
      <c r="JY705" s="27" t="s">
        <v>8</v>
      </c>
      <c r="KF705" s="27" t="s">
        <v>7</v>
      </c>
      <c r="KG705" s="27" t="s">
        <v>8</v>
      </c>
      <c r="KR705" s="27" t="s">
        <v>7</v>
      </c>
      <c r="KS705" s="27" t="s">
        <v>8</v>
      </c>
    </row>
    <row r="706" spans="1:305" x14ac:dyDescent="0.25">
      <c r="A706" s="7">
        <v>9.4750074546886304E-2</v>
      </c>
      <c r="B706"/>
      <c r="C706"/>
      <c r="D706"/>
      <c r="E706"/>
      <c r="F706" s="27" t="s">
        <v>7</v>
      </c>
      <c r="DO706" s="27" t="s">
        <v>8</v>
      </c>
      <c r="DP706" s="27" t="s">
        <v>7</v>
      </c>
      <c r="DS706" s="27" t="s">
        <v>8</v>
      </c>
      <c r="DT706" s="27" t="s">
        <v>7</v>
      </c>
      <c r="DU706" s="27" t="s">
        <v>8</v>
      </c>
      <c r="DV706" s="27" t="s">
        <v>7</v>
      </c>
      <c r="DW706" s="27" t="s">
        <v>8</v>
      </c>
      <c r="EA706" s="27" t="s">
        <v>8</v>
      </c>
      <c r="EB706" s="27" t="s">
        <v>7</v>
      </c>
      <c r="HA706" s="27" t="s">
        <v>8</v>
      </c>
      <c r="HB706" s="27" t="s">
        <v>7</v>
      </c>
      <c r="HE706" s="27" t="s">
        <v>8</v>
      </c>
      <c r="HF706" s="27" t="s">
        <v>7</v>
      </c>
      <c r="JP706" s="27" t="s">
        <v>7</v>
      </c>
      <c r="JQ706" s="27" t="s">
        <v>8</v>
      </c>
      <c r="JX706" s="27" t="s">
        <v>7</v>
      </c>
      <c r="KF706" s="27" t="s">
        <v>7</v>
      </c>
      <c r="KG706" s="27" t="s">
        <v>8</v>
      </c>
      <c r="KR706" s="27" t="s">
        <v>7</v>
      </c>
      <c r="KS706" s="27" t="s">
        <v>8</v>
      </c>
    </row>
    <row r="707" spans="1:305" x14ac:dyDescent="0.25">
      <c r="A707" s="7">
        <v>9.2892229947927743E-2</v>
      </c>
      <c r="B707"/>
      <c r="C707"/>
      <c r="D707"/>
      <c r="E707"/>
      <c r="F707" s="27" t="s">
        <v>7</v>
      </c>
      <c r="DO707" s="27" t="s">
        <v>8</v>
      </c>
      <c r="DP707" s="27" t="s">
        <v>7</v>
      </c>
      <c r="DS707" s="27" t="s">
        <v>8</v>
      </c>
      <c r="DT707" s="27" t="s">
        <v>7</v>
      </c>
      <c r="DU707" s="27" t="s">
        <v>8</v>
      </c>
      <c r="DV707" s="27" t="s">
        <v>7</v>
      </c>
      <c r="DW707" s="27" t="s">
        <v>8</v>
      </c>
      <c r="DX707" s="27" t="s">
        <v>7</v>
      </c>
      <c r="EA707" s="27" t="s">
        <v>8</v>
      </c>
      <c r="EB707" s="27" t="s">
        <v>7</v>
      </c>
      <c r="HA707" s="27" t="s">
        <v>8</v>
      </c>
      <c r="HB707" s="27" t="s">
        <v>7</v>
      </c>
      <c r="HC707" s="27" t="s">
        <v>8</v>
      </c>
      <c r="HE707" s="27" t="s">
        <v>8</v>
      </c>
      <c r="JP707" s="27" t="s">
        <v>7</v>
      </c>
      <c r="JQ707" s="27" t="s">
        <v>8</v>
      </c>
      <c r="KF707" s="27" t="s">
        <v>7</v>
      </c>
      <c r="KG707" s="27" t="s">
        <v>8</v>
      </c>
      <c r="KR707" s="27" t="s">
        <v>7</v>
      </c>
    </row>
    <row r="708" spans="1:305" x14ac:dyDescent="0.25">
      <c r="A708" s="7">
        <v>9.1070813674438963E-2</v>
      </c>
      <c r="B708"/>
      <c r="C708"/>
      <c r="D708"/>
      <c r="E708"/>
      <c r="F708" s="27" t="s">
        <v>7</v>
      </c>
      <c r="DO708" s="27" t="s">
        <v>8</v>
      </c>
      <c r="DP708" s="27" t="s">
        <v>7</v>
      </c>
      <c r="DS708" s="27" t="s">
        <v>8</v>
      </c>
      <c r="DT708" s="27" t="s">
        <v>7</v>
      </c>
      <c r="DU708" s="27" t="s">
        <v>8</v>
      </c>
      <c r="DV708" s="27" t="s">
        <v>7</v>
      </c>
      <c r="DW708" s="27" t="s">
        <v>8</v>
      </c>
      <c r="DX708" s="27" t="s">
        <v>7</v>
      </c>
      <c r="DY708" s="27" t="s">
        <v>8</v>
      </c>
      <c r="EA708" s="27" t="s">
        <v>8</v>
      </c>
      <c r="EB708" s="27" t="s">
        <v>7</v>
      </c>
      <c r="HA708" s="27" t="s">
        <v>8</v>
      </c>
      <c r="HB708" s="27" t="s">
        <v>7</v>
      </c>
      <c r="HC708" s="27" t="s">
        <v>8</v>
      </c>
      <c r="HD708" s="27" t="s">
        <v>7</v>
      </c>
      <c r="HE708" s="27" t="s">
        <v>8</v>
      </c>
      <c r="JP708" s="27" t="s">
        <v>7</v>
      </c>
      <c r="JQ708" s="27" t="s">
        <v>8</v>
      </c>
      <c r="KF708" s="27" t="s">
        <v>7</v>
      </c>
      <c r="KG708" s="27" t="s">
        <v>8</v>
      </c>
    </row>
    <row r="709" spans="1:305" x14ac:dyDescent="0.25">
      <c r="A709" s="7">
        <v>8.9285111445528392E-2</v>
      </c>
      <c r="B709"/>
      <c r="C709"/>
      <c r="D709"/>
      <c r="E709"/>
      <c r="F709" s="27" t="s">
        <v>7</v>
      </c>
      <c r="DO709" s="27" t="s">
        <v>8</v>
      </c>
      <c r="DP709" s="27" t="s">
        <v>7</v>
      </c>
      <c r="DS709" s="27" t="s">
        <v>8</v>
      </c>
      <c r="DT709" s="27" t="s">
        <v>7</v>
      </c>
      <c r="DU709" s="27" t="s">
        <v>8</v>
      </c>
      <c r="DV709" s="27" t="s">
        <v>7</v>
      </c>
      <c r="DW709" s="27" t="s">
        <v>8</v>
      </c>
      <c r="DX709" s="27" t="s">
        <v>7</v>
      </c>
      <c r="DY709" s="27" t="s">
        <v>8</v>
      </c>
      <c r="DZ709" s="27" t="s">
        <v>7</v>
      </c>
      <c r="EA709" s="27" t="s">
        <v>8</v>
      </c>
      <c r="EB709" s="27" t="s">
        <v>7</v>
      </c>
      <c r="HA709" s="27" t="s">
        <v>8</v>
      </c>
      <c r="HB709" s="27" t="s">
        <v>7</v>
      </c>
      <c r="HC709" s="27" t="s">
        <v>8</v>
      </c>
      <c r="HD709" s="27" t="s">
        <v>7</v>
      </c>
      <c r="HE709" s="27" t="s">
        <v>8</v>
      </c>
      <c r="JP709" s="27" t="s">
        <v>7</v>
      </c>
      <c r="JQ709" s="27" t="s">
        <v>8</v>
      </c>
      <c r="KF709" s="27" t="s">
        <v>7</v>
      </c>
      <c r="KG709" s="27" t="s">
        <v>8</v>
      </c>
    </row>
    <row r="710" spans="1:305" x14ac:dyDescent="0.25">
      <c r="A710" s="7">
        <v>8.7534422985812155E-2</v>
      </c>
      <c r="B710"/>
      <c r="C710"/>
      <c r="D710"/>
      <c r="E710"/>
      <c r="F710" s="27" t="s">
        <v>7</v>
      </c>
      <c r="DO710" s="27" t="s">
        <v>8</v>
      </c>
      <c r="DP710" s="27" t="s">
        <v>7</v>
      </c>
      <c r="DQ710" s="27" t="s">
        <v>8</v>
      </c>
      <c r="DS710" s="27" t="s">
        <v>8</v>
      </c>
      <c r="DT710" s="27" t="s">
        <v>7</v>
      </c>
      <c r="DU710" s="27" t="s">
        <v>8</v>
      </c>
      <c r="DV710" s="27" t="s">
        <v>7</v>
      </c>
      <c r="DW710" s="27" t="s">
        <v>8</v>
      </c>
      <c r="DX710" s="27" t="s">
        <v>7</v>
      </c>
      <c r="DY710" s="27" t="s">
        <v>8</v>
      </c>
      <c r="DZ710" s="27" t="s">
        <v>7</v>
      </c>
      <c r="EA710" s="27" t="s">
        <v>8</v>
      </c>
      <c r="EB710" s="27" t="s">
        <v>7</v>
      </c>
      <c r="HA710" s="27" t="s">
        <v>8</v>
      </c>
      <c r="HB710" s="27" t="s">
        <v>7</v>
      </c>
      <c r="HC710" s="27" t="s">
        <v>8</v>
      </c>
      <c r="HD710" s="27" t="s">
        <v>7</v>
      </c>
      <c r="HE710" s="27" t="s">
        <v>8</v>
      </c>
      <c r="JP710" s="27" t="s">
        <v>7</v>
      </c>
      <c r="JQ710" s="27" t="s">
        <v>8</v>
      </c>
      <c r="KF710" s="27" t="s">
        <v>7</v>
      </c>
      <c r="KG710" s="27" t="s">
        <v>8</v>
      </c>
    </row>
    <row r="711" spans="1:305" x14ac:dyDescent="0.25">
      <c r="A711" s="7">
        <v>8.5818061750796232E-2</v>
      </c>
      <c r="B711"/>
      <c r="C711"/>
      <c r="D711"/>
      <c r="E711"/>
      <c r="F711" s="27" t="s">
        <v>7</v>
      </c>
      <c r="DO711" s="27" t="s">
        <v>8</v>
      </c>
      <c r="DP711" s="27" t="s">
        <v>7</v>
      </c>
      <c r="DQ711" s="27" t="s">
        <v>8</v>
      </c>
      <c r="DR711" s="27" t="s">
        <v>7</v>
      </c>
      <c r="DS711" s="27" t="s">
        <v>8</v>
      </c>
      <c r="DT711" s="27" t="s">
        <v>7</v>
      </c>
      <c r="DU711" s="27" t="s">
        <v>8</v>
      </c>
      <c r="DV711" s="27" t="s">
        <v>7</v>
      </c>
      <c r="DW711" s="27" t="s">
        <v>8</v>
      </c>
      <c r="DX711" s="27" t="s">
        <v>7</v>
      </c>
      <c r="DY711" s="27" t="s">
        <v>8</v>
      </c>
      <c r="DZ711" s="27" t="s">
        <v>7</v>
      </c>
      <c r="EB711" s="27" t="s">
        <v>7</v>
      </c>
      <c r="HA711" s="27" t="s">
        <v>8</v>
      </c>
      <c r="HB711" s="27" t="s">
        <v>7</v>
      </c>
      <c r="HC711" s="27" t="s">
        <v>8</v>
      </c>
      <c r="HD711" s="27" t="s">
        <v>7</v>
      </c>
      <c r="HE711" s="27" t="s">
        <v>8</v>
      </c>
      <c r="JP711" s="27" t="s">
        <v>7</v>
      </c>
      <c r="KF711" s="27" t="s">
        <v>7</v>
      </c>
      <c r="KG711" s="27" t="s">
        <v>8</v>
      </c>
    </row>
    <row r="712" spans="1:305" x14ac:dyDescent="0.25">
      <c r="A712" s="7">
        <v>8.4135354657643366E-2</v>
      </c>
      <c r="B712"/>
      <c r="C712"/>
      <c r="D712"/>
      <c r="E712"/>
      <c r="F712" s="27" t="s">
        <v>7</v>
      </c>
      <c r="DO712" s="27" t="s">
        <v>8</v>
      </c>
      <c r="DP712" s="27" t="s">
        <v>7</v>
      </c>
      <c r="DQ712" s="27" t="s">
        <v>8</v>
      </c>
      <c r="DR712" s="27" t="s">
        <v>7</v>
      </c>
      <c r="DS712" s="27" t="s">
        <v>8</v>
      </c>
      <c r="DT712" s="27" t="s">
        <v>7</v>
      </c>
      <c r="DU712" s="27" t="s">
        <v>8</v>
      </c>
      <c r="DV712" s="27" t="s">
        <v>7</v>
      </c>
      <c r="DW712" s="27" t="s">
        <v>8</v>
      </c>
      <c r="DX712" s="27" t="s">
        <v>7</v>
      </c>
      <c r="DY712" s="27" t="s">
        <v>8</v>
      </c>
      <c r="EB712" s="27" t="s">
        <v>7</v>
      </c>
      <c r="HA712" s="27" t="s">
        <v>8</v>
      </c>
      <c r="HB712" s="27" t="s">
        <v>7</v>
      </c>
      <c r="HC712" s="27" t="s">
        <v>8</v>
      </c>
      <c r="HD712" s="27" t="s">
        <v>7</v>
      </c>
      <c r="KF712" s="27" t="s">
        <v>7</v>
      </c>
    </row>
    <row r="713" spans="1:305" x14ac:dyDescent="0.25">
      <c r="A713" s="7">
        <v>8.248564182121898E-2</v>
      </c>
      <c r="B713"/>
      <c r="C713"/>
      <c r="D713"/>
      <c r="E713"/>
      <c r="F713" s="27" t="s">
        <v>7</v>
      </c>
      <c r="DO713" s="27" t="s">
        <v>8</v>
      </c>
      <c r="DP713" s="27" t="s">
        <v>7</v>
      </c>
      <c r="DQ713" s="27" t="s">
        <v>8</v>
      </c>
      <c r="DR713" s="27" t="s">
        <v>7</v>
      </c>
      <c r="DS713" s="27" t="s">
        <v>8</v>
      </c>
      <c r="DT713" s="27" t="s">
        <v>7</v>
      </c>
      <c r="DU713" s="27" t="s">
        <v>8</v>
      </c>
      <c r="DV713" s="27" t="s">
        <v>7</v>
      </c>
      <c r="DW713" s="27" t="s">
        <v>8</v>
      </c>
      <c r="DX713" s="27" t="s">
        <v>7</v>
      </c>
      <c r="DY713" s="27" t="s">
        <v>8</v>
      </c>
      <c r="EB713" s="27" t="s">
        <v>7</v>
      </c>
      <c r="HA713" s="27" t="s">
        <v>8</v>
      </c>
      <c r="HB713" s="27" t="s">
        <v>7</v>
      </c>
      <c r="HC713" s="27" t="s">
        <v>8</v>
      </c>
    </row>
    <row r="714" spans="1:305" x14ac:dyDescent="0.25">
      <c r="A714" s="7">
        <v>8.0868276295312735E-2</v>
      </c>
      <c r="B714"/>
      <c r="C714"/>
      <c r="D714"/>
      <c r="E714"/>
      <c r="F714" s="27" t="s">
        <v>7</v>
      </c>
      <c r="DO714" s="27" t="s">
        <v>8</v>
      </c>
      <c r="DP714" s="27" t="s">
        <v>7</v>
      </c>
      <c r="DQ714" s="27" t="s">
        <v>8</v>
      </c>
      <c r="DR714" s="27" t="s">
        <v>7</v>
      </c>
      <c r="DS714" s="27" t="s">
        <v>8</v>
      </c>
      <c r="DT714" s="27" t="s">
        <v>7</v>
      </c>
      <c r="DU714" s="27" t="s">
        <v>8</v>
      </c>
      <c r="DV714" s="27" t="s">
        <v>7</v>
      </c>
      <c r="DW714" s="27" t="s">
        <v>8</v>
      </c>
      <c r="DX714" s="27" t="s">
        <v>7</v>
      </c>
      <c r="DY714" s="27" t="s">
        <v>8</v>
      </c>
      <c r="EB714" s="27" t="s">
        <v>7</v>
      </c>
      <c r="FI714" s="27" t="s">
        <v>8</v>
      </c>
      <c r="HA714" s="27" t="s">
        <v>8</v>
      </c>
      <c r="HB714" s="27" t="s">
        <v>7</v>
      </c>
      <c r="HC714" s="27" t="s">
        <v>8</v>
      </c>
    </row>
    <row r="715" spans="1:305" x14ac:dyDescent="0.25">
      <c r="A715" s="7">
        <v>7.9282623818934056E-2</v>
      </c>
      <c r="B715"/>
      <c r="C715"/>
      <c r="D715"/>
      <c r="E715"/>
      <c r="F715" s="27" t="s">
        <v>7</v>
      </c>
      <c r="DO715" s="27" t="s">
        <v>8</v>
      </c>
      <c r="DP715" s="27" t="s">
        <v>7</v>
      </c>
      <c r="DR715" s="27" t="s">
        <v>7</v>
      </c>
      <c r="DS715" s="27" t="s">
        <v>8</v>
      </c>
      <c r="DT715" s="27" t="s">
        <v>7</v>
      </c>
      <c r="DU715" s="27" t="s">
        <v>8</v>
      </c>
      <c r="DV715" s="27" t="s">
        <v>7</v>
      </c>
      <c r="DW715" s="27" t="s">
        <v>8</v>
      </c>
      <c r="DX715" s="27" t="s">
        <v>7</v>
      </c>
      <c r="EB715" s="27" t="s">
        <v>7</v>
      </c>
      <c r="FI715" s="27" t="s">
        <v>8</v>
      </c>
      <c r="FJ715" s="27" t="s">
        <v>7</v>
      </c>
      <c r="HA715" s="27" t="s">
        <v>8</v>
      </c>
      <c r="HB715" s="27" t="s">
        <v>7</v>
      </c>
      <c r="HC715" s="27" t="s">
        <v>8</v>
      </c>
    </row>
    <row r="716" spans="1:305" x14ac:dyDescent="0.25">
      <c r="A716" s="7">
        <v>7.7728062567582412E-2</v>
      </c>
      <c r="B716"/>
      <c r="C716"/>
      <c r="D716"/>
      <c r="E716"/>
      <c r="F716" s="27" t="s">
        <v>7</v>
      </c>
      <c r="DO716" s="27" t="s">
        <v>8</v>
      </c>
      <c r="DR716" s="27" t="s">
        <v>7</v>
      </c>
      <c r="DT716" s="27" t="s">
        <v>7</v>
      </c>
      <c r="DU716" s="27" t="s">
        <v>8</v>
      </c>
      <c r="DV716" s="27" t="s">
        <v>7</v>
      </c>
      <c r="EB716" s="27" t="s">
        <v>7</v>
      </c>
      <c r="FI716" s="27" t="s">
        <v>8</v>
      </c>
      <c r="FJ716" s="27" t="s">
        <v>7</v>
      </c>
      <c r="GW716" s="27" t="s">
        <v>8</v>
      </c>
      <c r="HA716" s="27" t="s">
        <v>8</v>
      </c>
      <c r="HB716" s="27" t="s">
        <v>7</v>
      </c>
      <c r="HC716" s="27" t="s">
        <v>8</v>
      </c>
    </row>
    <row r="717" spans="1:305" x14ac:dyDescent="0.25">
      <c r="A717" s="7">
        <v>7.6203982909394521E-2</v>
      </c>
      <c r="B717"/>
      <c r="C717"/>
      <c r="D717"/>
      <c r="E717"/>
      <c r="F717" s="27" t="s">
        <v>7</v>
      </c>
      <c r="DO717" s="27" t="s">
        <v>8</v>
      </c>
      <c r="DT717" s="27" t="s">
        <v>7</v>
      </c>
      <c r="EB717" s="27" t="s">
        <v>7</v>
      </c>
      <c r="FI717" s="27" t="s">
        <v>8</v>
      </c>
      <c r="FJ717" s="27" t="s">
        <v>7</v>
      </c>
      <c r="GW717" s="27" t="s">
        <v>8</v>
      </c>
      <c r="GX717" s="27" t="s">
        <v>7</v>
      </c>
      <c r="HA717" s="27" t="s">
        <v>8</v>
      </c>
      <c r="HB717" s="27" t="s">
        <v>7</v>
      </c>
      <c r="HC717" s="27" t="s">
        <v>8</v>
      </c>
    </row>
    <row r="718" spans="1:305" x14ac:dyDescent="0.25">
      <c r="A718" s="7">
        <v>7.4709787166073058E-2</v>
      </c>
      <c r="B718"/>
      <c r="C718"/>
      <c r="D718"/>
      <c r="E718"/>
      <c r="F718" s="27" t="s">
        <v>7</v>
      </c>
      <c r="DO718" s="27" t="s">
        <v>8</v>
      </c>
      <c r="EB718" s="27" t="s">
        <v>7</v>
      </c>
      <c r="FI718" s="27" t="s">
        <v>8</v>
      </c>
      <c r="FJ718" s="27" t="s">
        <v>7</v>
      </c>
      <c r="GW718" s="27" t="s">
        <v>8</v>
      </c>
      <c r="GX718" s="27" t="s">
        <v>7</v>
      </c>
      <c r="HA718" s="27" t="s">
        <v>8</v>
      </c>
      <c r="HB718" s="27" t="s">
        <v>7</v>
      </c>
      <c r="HC718" s="27" t="s">
        <v>8</v>
      </c>
    </row>
    <row r="719" spans="1:305" x14ac:dyDescent="0.25">
      <c r="A719" s="7">
        <v>7.3244889378503E-2</v>
      </c>
      <c r="B719"/>
      <c r="C719"/>
      <c r="D719"/>
      <c r="E719"/>
      <c r="F719" s="27" t="s">
        <v>7</v>
      </c>
      <c r="DG719" s="27" t="s">
        <v>8</v>
      </c>
      <c r="DO719" s="27" t="s">
        <v>8</v>
      </c>
      <c r="EB719" s="27" t="s">
        <v>7</v>
      </c>
      <c r="FI719" s="27" t="s">
        <v>8</v>
      </c>
      <c r="FJ719" s="27" t="s">
        <v>7</v>
      </c>
      <c r="GW719" s="27" t="s">
        <v>8</v>
      </c>
      <c r="GX719" s="27" t="s">
        <v>7</v>
      </c>
      <c r="GY719" s="27" t="s">
        <v>8</v>
      </c>
      <c r="HA719" s="27" t="s">
        <v>8</v>
      </c>
      <c r="HB719" s="27" t="s">
        <v>7</v>
      </c>
      <c r="HC719" s="27" t="s">
        <v>8</v>
      </c>
    </row>
    <row r="720" spans="1:305" x14ac:dyDescent="0.25">
      <c r="A720" s="7">
        <v>7.1808715076963722E-2</v>
      </c>
      <c r="B720"/>
      <c r="C720"/>
      <c r="D720"/>
      <c r="E720"/>
      <c r="F720" s="27" t="s">
        <v>7</v>
      </c>
      <c r="DG720" s="27" t="s">
        <v>8</v>
      </c>
      <c r="DH720" s="27" t="s">
        <v>7</v>
      </c>
      <c r="DO720" s="27" t="s">
        <v>8</v>
      </c>
      <c r="EB720" s="27" t="s">
        <v>7</v>
      </c>
      <c r="EG720" s="27" t="s">
        <v>8</v>
      </c>
      <c r="FI720" s="27" t="s">
        <v>8</v>
      </c>
      <c r="FJ720" s="27" t="s">
        <v>7</v>
      </c>
      <c r="GW720" s="27" t="s">
        <v>8</v>
      </c>
      <c r="GX720" s="27" t="s">
        <v>7</v>
      </c>
      <c r="GY720" s="27" t="s">
        <v>8</v>
      </c>
      <c r="GZ720" s="27" t="s">
        <v>7</v>
      </c>
      <c r="HA720" s="27" t="s">
        <v>8</v>
      </c>
      <c r="HB720" s="27" t="s">
        <v>7</v>
      </c>
      <c r="HC720" s="27" t="s">
        <v>8</v>
      </c>
    </row>
    <row r="721" spans="1:210" x14ac:dyDescent="0.25">
      <c r="A721" s="7">
        <v>7.0400701055846782E-2</v>
      </c>
      <c r="B721"/>
      <c r="C721"/>
      <c r="D721"/>
      <c r="E721"/>
      <c r="F721" s="27" t="s">
        <v>7</v>
      </c>
      <c r="DG721" s="27" t="s">
        <v>8</v>
      </c>
      <c r="DH721" s="27" t="s">
        <v>7</v>
      </c>
      <c r="DO721" s="27" t="s">
        <v>8</v>
      </c>
      <c r="EB721" s="27" t="s">
        <v>7</v>
      </c>
      <c r="EG721" s="27" t="s">
        <v>8</v>
      </c>
      <c r="EH721" s="27" t="s">
        <v>7</v>
      </c>
      <c r="EI721" s="27" t="s">
        <v>8</v>
      </c>
      <c r="FI721" s="27" t="s">
        <v>8</v>
      </c>
      <c r="FJ721" s="27" t="s">
        <v>7</v>
      </c>
      <c r="GW721" s="27" t="s">
        <v>8</v>
      </c>
      <c r="GX721" s="27" t="s">
        <v>7</v>
      </c>
      <c r="GY721" s="27" t="s">
        <v>8</v>
      </c>
      <c r="GZ721" s="27" t="s">
        <v>7</v>
      </c>
      <c r="HA721" s="27" t="s">
        <v>8</v>
      </c>
      <c r="HB721" s="27" t="s">
        <v>7</v>
      </c>
    </row>
    <row r="722" spans="1:210" x14ac:dyDescent="0.25">
      <c r="A722" s="7">
        <v>6.9020295152790956E-2</v>
      </c>
      <c r="B722"/>
      <c r="C722"/>
      <c r="D722"/>
      <c r="E722"/>
      <c r="F722" s="27" t="s">
        <v>7</v>
      </c>
      <c r="DG722" s="27" t="s">
        <v>8</v>
      </c>
      <c r="DH722" s="27" t="s">
        <v>7</v>
      </c>
      <c r="DO722" s="27" t="s">
        <v>8</v>
      </c>
      <c r="EB722" s="27" t="s">
        <v>7</v>
      </c>
      <c r="EC722" s="27" t="s">
        <v>8</v>
      </c>
      <c r="EG722" s="27" t="s">
        <v>8</v>
      </c>
      <c r="EH722" s="27" t="s">
        <v>7</v>
      </c>
      <c r="EI722" s="27" t="s">
        <v>8</v>
      </c>
      <c r="EJ722" s="27" t="s">
        <v>7</v>
      </c>
      <c r="FI722" s="27" t="s">
        <v>8</v>
      </c>
      <c r="FJ722" s="27" t="s">
        <v>7</v>
      </c>
      <c r="GW722" s="27" t="s">
        <v>8</v>
      </c>
      <c r="GX722" s="27" t="s">
        <v>7</v>
      </c>
      <c r="GY722" s="27" t="s">
        <v>8</v>
      </c>
      <c r="GZ722" s="27" t="s">
        <v>7</v>
      </c>
      <c r="HA722" s="27" t="s">
        <v>8</v>
      </c>
    </row>
    <row r="723" spans="1:210" x14ac:dyDescent="0.25">
      <c r="A723" s="7">
        <v>6.7666956032147993E-2</v>
      </c>
      <c r="B723"/>
      <c r="C723"/>
      <c r="D723"/>
      <c r="E723"/>
      <c r="F723" s="27" t="s">
        <v>7</v>
      </c>
      <c r="DG723" s="27" t="s">
        <v>8</v>
      </c>
      <c r="DH723" s="27" t="s">
        <v>7</v>
      </c>
      <c r="DO723" s="27" t="s">
        <v>8</v>
      </c>
      <c r="EB723" s="27" t="s">
        <v>7</v>
      </c>
      <c r="EC723" s="27" t="s">
        <v>8</v>
      </c>
      <c r="ED723" s="27" t="s">
        <v>7</v>
      </c>
      <c r="EE723" s="27" t="s">
        <v>8</v>
      </c>
      <c r="EG723" s="27" t="s">
        <v>8</v>
      </c>
      <c r="EH723" s="27" t="s">
        <v>7</v>
      </c>
      <c r="EI723" s="27" t="s">
        <v>8</v>
      </c>
      <c r="EJ723" s="27" t="s">
        <v>7</v>
      </c>
      <c r="FI723" s="27" t="s">
        <v>8</v>
      </c>
      <c r="FJ723" s="27" t="s">
        <v>7</v>
      </c>
      <c r="GS723" s="27" t="s">
        <v>8</v>
      </c>
      <c r="GW723" s="27" t="s">
        <v>8</v>
      </c>
      <c r="GX723" s="27" t="s">
        <v>7</v>
      </c>
      <c r="GY723" s="27" t="s">
        <v>8</v>
      </c>
      <c r="GZ723" s="27" t="s">
        <v>7</v>
      </c>
      <c r="HA723" s="27" t="s">
        <v>8</v>
      </c>
    </row>
    <row r="724" spans="1:210" x14ac:dyDescent="0.25">
      <c r="A724" s="7">
        <v>6.6340152972694105E-2</v>
      </c>
      <c r="B724"/>
      <c r="C724"/>
      <c r="D724"/>
      <c r="E724"/>
      <c r="F724" s="27" t="s">
        <v>7</v>
      </c>
      <c r="DG724" s="27" t="s">
        <v>8</v>
      </c>
      <c r="DH724" s="27" t="s">
        <v>7</v>
      </c>
      <c r="DI724" s="27" t="s">
        <v>8</v>
      </c>
      <c r="DO724" s="27" t="s">
        <v>8</v>
      </c>
      <c r="EB724" s="27" t="s">
        <v>7</v>
      </c>
      <c r="EC724" s="27" t="s">
        <v>8</v>
      </c>
      <c r="ED724" s="27" t="s">
        <v>7</v>
      </c>
      <c r="EE724" s="27" t="s">
        <v>8</v>
      </c>
      <c r="EF724" s="27" t="s">
        <v>7</v>
      </c>
      <c r="EG724" s="27" t="s">
        <v>8</v>
      </c>
      <c r="EH724" s="27" t="s">
        <v>7</v>
      </c>
      <c r="EI724" s="27" t="s">
        <v>8</v>
      </c>
      <c r="EJ724" s="27" t="s">
        <v>7</v>
      </c>
      <c r="FI724" s="27" t="s">
        <v>8</v>
      </c>
      <c r="FJ724" s="27" t="s">
        <v>7</v>
      </c>
      <c r="GS724" s="27" t="s">
        <v>8</v>
      </c>
      <c r="GT724" s="27" t="s">
        <v>7</v>
      </c>
      <c r="GW724" s="27" t="s">
        <v>8</v>
      </c>
      <c r="GX724" s="27" t="s">
        <v>7</v>
      </c>
      <c r="GY724" s="27" t="s">
        <v>8</v>
      </c>
      <c r="GZ724" s="27" t="s">
        <v>7</v>
      </c>
      <c r="HA724" s="27" t="s">
        <v>8</v>
      </c>
    </row>
    <row r="725" spans="1:210" x14ac:dyDescent="0.25">
      <c r="A725" s="7">
        <v>6.5039365659504023E-2</v>
      </c>
      <c r="B725"/>
      <c r="C725"/>
      <c r="D725"/>
      <c r="E725"/>
      <c r="F725" s="27" t="s">
        <v>7</v>
      </c>
      <c r="DG725" s="27" t="s">
        <v>8</v>
      </c>
      <c r="DH725" s="27" t="s">
        <v>7</v>
      </c>
      <c r="DI725" s="27" t="s">
        <v>8</v>
      </c>
      <c r="DJ725" s="27" t="s">
        <v>7</v>
      </c>
      <c r="DO725" s="27" t="s">
        <v>8</v>
      </c>
      <c r="EB725" s="27" t="s">
        <v>7</v>
      </c>
      <c r="EC725" s="27" t="s">
        <v>8</v>
      </c>
      <c r="ED725" s="27" t="s">
        <v>7</v>
      </c>
      <c r="EE725" s="27" t="s">
        <v>8</v>
      </c>
      <c r="EF725" s="27" t="s">
        <v>7</v>
      </c>
      <c r="EG725" s="27" t="s">
        <v>8</v>
      </c>
      <c r="EH725" s="27" t="s">
        <v>7</v>
      </c>
      <c r="EI725" s="27" t="s">
        <v>8</v>
      </c>
      <c r="EJ725" s="27" t="s">
        <v>7</v>
      </c>
      <c r="FI725" s="27" t="s">
        <v>8</v>
      </c>
      <c r="FJ725" s="27" t="s">
        <v>7</v>
      </c>
      <c r="GS725" s="27" t="s">
        <v>8</v>
      </c>
      <c r="GT725" s="27" t="s">
        <v>7</v>
      </c>
      <c r="GW725" s="27" t="s">
        <v>8</v>
      </c>
      <c r="GX725" s="27" t="s">
        <v>7</v>
      </c>
      <c r="GY725" s="27" t="s">
        <v>8</v>
      </c>
      <c r="GZ725" s="27" t="s">
        <v>7</v>
      </c>
      <c r="HA725" s="27" t="s">
        <v>8</v>
      </c>
    </row>
    <row r="726" spans="1:210" x14ac:dyDescent="0.25">
      <c r="A726" s="7">
        <v>6.3764083979905906E-2</v>
      </c>
      <c r="B726"/>
      <c r="C726"/>
      <c r="D726"/>
      <c r="E726"/>
      <c r="F726" s="27" t="s">
        <v>7</v>
      </c>
      <c r="DG726" s="27" t="s">
        <v>8</v>
      </c>
      <c r="DH726" s="27" t="s">
        <v>7</v>
      </c>
      <c r="DI726" s="27" t="s">
        <v>8</v>
      </c>
      <c r="DJ726" s="27" t="s">
        <v>7</v>
      </c>
      <c r="DM726" s="27" t="s">
        <v>8</v>
      </c>
      <c r="DO726" s="27" t="s">
        <v>8</v>
      </c>
      <c r="EB726" s="27" t="s">
        <v>7</v>
      </c>
      <c r="EC726" s="27" t="s">
        <v>8</v>
      </c>
      <c r="ED726" s="27" t="s">
        <v>7</v>
      </c>
      <c r="EE726" s="27" t="s">
        <v>8</v>
      </c>
      <c r="EF726" s="27" t="s">
        <v>7</v>
      </c>
      <c r="EG726" s="27" t="s">
        <v>8</v>
      </c>
      <c r="EH726" s="27" t="s">
        <v>7</v>
      </c>
      <c r="EI726" s="27" t="s">
        <v>8</v>
      </c>
      <c r="EJ726" s="27" t="s">
        <v>7</v>
      </c>
      <c r="FI726" s="27" t="s">
        <v>8</v>
      </c>
      <c r="FJ726" s="27" t="s">
        <v>7</v>
      </c>
      <c r="GG726" s="27" t="s">
        <v>8</v>
      </c>
      <c r="GK726" s="27" t="s">
        <v>8</v>
      </c>
      <c r="GS726" s="27" t="s">
        <v>8</v>
      </c>
      <c r="GT726" s="27" t="s">
        <v>7</v>
      </c>
      <c r="GU726" s="27" t="s">
        <v>8</v>
      </c>
      <c r="GW726" s="27" t="s">
        <v>8</v>
      </c>
      <c r="GX726" s="27" t="s">
        <v>7</v>
      </c>
      <c r="GY726" s="27" t="s">
        <v>8</v>
      </c>
      <c r="GZ726" s="27" t="s">
        <v>7</v>
      </c>
      <c r="HA726" s="27" t="s">
        <v>8</v>
      </c>
    </row>
    <row r="727" spans="1:210" x14ac:dyDescent="0.25">
      <c r="A727" s="7">
        <v>6.251380782343717E-2</v>
      </c>
      <c r="B727"/>
      <c r="C727"/>
      <c r="D727"/>
      <c r="E727"/>
      <c r="F727" s="27" t="s">
        <v>7</v>
      </c>
      <c r="DC727" s="27" t="s">
        <v>8</v>
      </c>
      <c r="DG727" s="27" t="s">
        <v>8</v>
      </c>
      <c r="DH727" s="27" t="s">
        <v>7</v>
      </c>
      <c r="DI727" s="27" t="s">
        <v>8</v>
      </c>
      <c r="DJ727" s="27" t="s">
        <v>7</v>
      </c>
      <c r="DM727" s="27" t="s">
        <v>8</v>
      </c>
      <c r="DN727" s="27" t="s">
        <v>7</v>
      </c>
      <c r="DO727" s="27" t="s">
        <v>8</v>
      </c>
      <c r="EB727" s="27" t="s">
        <v>7</v>
      </c>
      <c r="EC727" s="27" t="s">
        <v>8</v>
      </c>
      <c r="ED727" s="27" t="s">
        <v>7</v>
      </c>
      <c r="EE727" s="27" t="s">
        <v>8</v>
      </c>
      <c r="EF727" s="27" t="s">
        <v>7</v>
      </c>
      <c r="EG727" s="27" t="s">
        <v>8</v>
      </c>
      <c r="EH727" s="27" t="s">
        <v>7</v>
      </c>
      <c r="EI727" s="27" t="s">
        <v>8</v>
      </c>
      <c r="EJ727" s="27" t="s">
        <v>7</v>
      </c>
      <c r="EK727" s="27" t="s">
        <v>8</v>
      </c>
      <c r="FI727" s="27" t="s">
        <v>8</v>
      </c>
      <c r="FJ727" s="27" t="s">
        <v>7</v>
      </c>
      <c r="FW727" s="27" t="s">
        <v>8</v>
      </c>
      <c r="GG727" s="27" t="s">
        <v>8</v>
      </c>
      <c r="GH727" s="27" t="s">
        <v>7</v>
      </c>
      <c r="GK727" s="27" t="s">
        <v>8</v>
      </c>
      <c r="GL727" s="27" t="s">
        <v>7</v>
      </c>
      <c r="GS727" s="27" t="s">
        <v>8</v>
      </c>
      <c r="GT727" s="27" t="s">
        <v>7</v>
      </c>
      <c r="GU727" s="27" t="s">
        <v>8</v>
      </c>
      <c r="GV727" s="27" t="s">
        <v>7</v>
      </c>
      <c r="GW727" s="27" t="s">
        <v>8</v>
      </c>
      <c r="GX727" s="27" t="s">
        <v>7</v>
      </c>
      <c r="GY727" s="27" t="s">
        <v>8</v>
      </c>
      <c r="GZ727" s="27" t="s">
        <v>7</v>
      </c>
      <c r="HA727" s="27" t="s">
        <v>8</v>
      </c>
    </row>
    <row r="728" spans="1:210" x14ac:dyDescent="0.25">
      <c r="A728" s="7">
        <v>6.1288046885722716E-2</v>
      </c>
      <c r="B728"/>
      <c r="C728"/>
      <c r="D728"/>
      <c r="E728"/>
      <c r="F728" s="27" t="s">
        <v>7</v>
      </c>
      <c r="DC728" s="27" t="s">
        <v>8</v>
      </c>
      <c r="DD728" s="27" t="s">
        <v>7</v>
      </c>
      <c r="DE728" s="27" t="s">
        <v>8</v>
      </c>
      <c r="DG728" s="27" t="s">
        <v>8</v>
      </c>
      <c r="DH728" s="27" t="s">
        <v>7</v>
      </c>
      <c r="DI728" s="27" t="s">
        <v>8</v>
      </c>
      <c r="DJ728" s="27" t="s">
        <v>7</v>
      </c>
      <c r="DK728" s="27" t="s">
        <v>8</v>
      </c>
      <c r="DM728" s="27" t="s">
        <v>8</v>
      </c>
      <c r="DN728" s="27" t="s">
        <v>7</v>
      </c>
      <c r="DO728" s="27" t="s">
        <v>8</v>
      </c>
      <c r="EB728" s="27" t="s">
        <v>7</v>
      </c>
      <c r="EC728" s="27" t="s">
        <v>8</v>
      </c>
      <c r="ED728" s="27" t="s">
        <v>7</v>
      </c>
      <c r="EE728" s="27" t="s">
        <v>8</v>
      </c>
      <c r="EF728" s="27" t="s">
        <v>7</v>
      </c>
      <c r="EG728" s="27" t="s">
        <v>8</v>
      </c>
      <c r="EH728" s="27" t="s">
        <v>7</v>
      </c>
      <c r="EI728" s="27" t="s">
        <v>8</v>
      </c>
      <c r="EJ728" s="27" t="s">
        <v>7</v>
      </c>
      <c r="EK728" s="27" t="s">
        <v>8</v>
      </c>
      <c r="EL728" s="27" t="s">
        <v>7</v>
      </c>
      <c r="FI728" s="27" t="s">
        <v>8</v>
      </c>
      <c r="FJ728" s="27" t="s">
        <v>7</v>
      </c>
      <c r="FW728" s="27" t="s">
        <v>8</v>
      </c>
      <c r="FX728" s="27" t="s">
        <v>7</v>
      </c>
      <c r="GG728" s="27" t="s">
        <v>8</v>
      </c>
      <c r="GH728" s="27" t="s">
        <v>7</v>
      </c>
      <c r="GK728" s="27" t="s">
        <v>8</v>
      </c>
      <c r="GL728" s="27" t="s">
        <v>7</v>
      </c>
      <c r="GS728" s="27" t="s">
        <v>8</v>
      </c>
      <c r="GT728" s="27" t="s">
        <v>7</v>
      </c>
      <c r="GU728" s="27" t="s">
        <v>8</v>
      </c>
      <c r="GV728" s="27" t="s">
        <v>7</v>
      </c>
      <c r="GW728" s="27" t="s">
        <v>8</v>
      </c>
      <c r="GX728" s="27" t="s">
        <v>7</v>
      </c>
      <c r="GY728" s="27" t="s">
        <v>8</v>
      </c>
      <c r="GZ728" s="27" t="s">
        <v>7</v>
      </c>
      <c r="HA728" s="27" t="s">
        <v>8</v>
      </c>
    </row>
    <row r="729" spans="1:210" x14ac:dyDescent="0.25">
      <c r="A729" s="7">
        <v>6.0086320476198739E-2</v>
      </c>
      <c r="B729"/>
      <c r="C729"/>
      <c r="D729"/>
      <c r="E729"/>
      <c r="F729" s="27" t="s">
        <v>7</v>
      </c>
      <c r="U729" s="27" t="s">
        <v>8</v>
      </c>
      <c r="DC729" s="27" t="s">
        <v>8</v>
      </c>
      <c r="DD729" s="27" t="s">
        <v>7</v>
      </c>
      <c r="DE729" s="27" t="s">
        <v>8</v>
      </c>
      <c r="DF729" s="27" t="s">
        <v>7</v>
      </c>
      <c r="DG729" s="27" t="s">
        <v>8</v>
      </c>
      <c r="DH729" s="27" t="s">
        <v>7</v>
      </c>
      <c r="DI729" s="27" t="s">
        <v>8</v>
      </c>
      <c r="DJ729" s="27" t="s">
        <v>7</v>
      </c>
      <c r="DK729" s="27" t="s">
        <v>8</v>
      </c>
      <c r="DL729" s="27" t="s">
        <v>7</v>
      </c>
      <c r="DM729" s="27" t="s">
        <v>8</v>
      </c>
      <c r="DN729" s="27" t="s">
        <v>7</v>
      </c>
      <c r="DO729" s="27" t="s">
        <v>8</v>
      </c>
      <c r="EB729" s="27" t="s">
        <v>7</v>
      </c>
      <c r="ED729" s="27" t="s">
        <v>7</v>
      </c>
      <c r="EE729" s="27" t="s">
        <v>8</v>
      </c>
      <c r="EF729" s="27" t="s">
        <v>7</v>
      </c>
      <c r="EG729" s="27" t="s">
        <v>8</v>
      </c>
      <c r="EH729" s="27" t="s">
        <v>7</v>
      </c>
      <c r="EJ729" s="27" t="s">
        <v>7</v>
      </c>
      <c r="EK729" s="27" t="s">
        <v>8</v>
      </c>
      <c r="EL729" s="27" t="s">
        <v>7</v>
      </c>
      <c r="FI729" s="27" t="s">
        <v>8</v>
      </c>
      <c r="FJ729" s="27" t="s">
        <v>7</v>
      </c>
      <c r="FW729" s="27" t="s">
        <v>8</v>
      </c>
      <c r="FX729" s="27" t="s">
        <v>7</v>
      </c>
      <c r="GG729" s="27" t="s">
        <v>8</v>
      </c>
      <c r="GH729" s="27" t="s">
        <v>7</v>
      </c>
      <c r="GK729" s="27" t="s">
        <v>8</v>
      </c>
      <c r="GL729" s="27" t="s">
        <v>7</v>
      </c>
      <c r="GS729" s="27" t="s">
        <v>8</v>
      </c>
      <c r="GT729" s="27" t="s">
        <v>7</v>
      </c>
      <c r="GU729" s="27" t="s">
        <v>8</v>
      </c>
      <c r="GV729" s="27" t="s">
        <v>7</v>
      </c>
      <c r="GW729" s="27" t="s">
        <v>8</v>
      </c>
      <c r="GX729" s="27" t="s">
        <v>7</v>
      </c>
      <c r="GY729" s="27" t="s">
        <v>8</v>
      </c>
      <c r="GZ729" s="27" t="s">
        <v>7</v>
      </c>
    </row>
    <row r="730" spans="1:210" x14ac:dyDescent="0.25">
      <c r="A730" s="7">
        <v>5.8908157329606609E-2</v>
      </c>
      <c r="B730"/>
      <c r="C730"/>
      <c r="D730"/>
      <c r="E730"/>
      <c r="F730" s="27" t="s">
        <v>7</v>
      </c>
      <c r="U730" s="27" t="s">
        <v>8</v>
      </c>
      <c r="V730" s="27" t="s">
        <v>7</v>
      </c>
      <c r="DA730" s="27" t="s">
        <v>8</v>
      </c>
      <c r="DC730" s="27" t="s">
        <v>8</v>
      </c>
      <c r="DD730" s="27" t="s">
        <v>7</v>
      </c>
      <c r="DE730" s="27" t="s">
        <v>8</v>
      </c>
      <c r="DF730" s="27" t="s">
        <v>7</v>
      </c>
      <c r="DG730" s="27" t="s">
        <v>8</v>
      </c>
      <c r="DH730" s="27" t="s">
        <v>7</v>
      </c>
      <c r="DI730" s="27" t="s">
        <v>8</v>
      </c>
      <c r="DJ730" s="27" t="s">
        <v>7</v>
      </c>
      <c r="DK730" s="27" t="s">
        <v>8</v>
      </c>
      <c r="DL730" s="27" t="s">
        <v>7</v>
      </c>
      <c r="DM730" s="27" t="s">
        <v>8</v>
      </c>
      <c r="DN730" s="27" t="s">
        <v>7</v>
      </c>
      <c r="DO730" s="27" t="s">
        <v>8</v>
      </c>
      <c r="ED730" s="27" t="s">
        <v>7</v>
      </c>
      <c r="EE730" s="27" t="s">
        <v>8</v>
      </c>
      <c r="EF730" s="27" t="s">
        <v>7</v>
      </c>
      <c r="EG730" s="27" t="s">
        <v>8</v>
      </c>
      <c r="EJ730" s="27" t="s">
        <v>7</v>
      </c>
      <c r="EK730" s="27" t="s">
        <v>8</v>
      </c>
      <c r="EL730" s="27" t="s">
        <v>7</v>
      </c>
      <c r="EM730" s="27" t="s">
        <v>8</v>
      </c>
      <c r="FI730" s="27" t="s">
        <v>8</v>
      </c>
      <c r="FJ730" s="27" t="s">
        <v>7</v>
      </c>
      <c r="FU730" s="27" t="s">
        <v>8</v>
      </c>
      <c r="FW730" s="27" t="s">
        <v>8</v>
      </c>
      <c r="FX730" s="27" t="s">
        <v>7</v>
      </c>
      <c r="GG730" s="27" t="s">
        <v>8</v>
      </c>
      <c r="GH730" s="27" t="s">
        <v>7</v>
      </c>
      <c r="GK730" s="27" t="s">
        <v>8</v>
      </c>
      <c r="GL730" s="27" t="s">
        <v>7</v>
      </c>
      <c r="GS730" s="27" t="s">
        <v>8</v>
      </c>
      <c r="GT730" s="27" t="s">
        <v>7</v>
      </c>
      <c r="GU730" s="27" t="s">
        <v>8</v>
      </c>
      <c r="GV730" s="27" t="s">
        <v>7</v>
      </c>
      <c r="GW730" s="27" t="s">
        <v>8</v>
      </c>
      <c r="GX730" s="27" t="s">
        <v>7</v>
      </c>
      <c r="GY730" s="27" t="s">
        <v>8</v>
      </c>
    </row>
    <row r="731" spans="1:210" x14ac:dyDescent="0.25">
      <c r="A731" s="7">
        <v>5.7753095421182947E-2</v>
      </c>
      <c r="B731"/>
      <c r="C731"/>
      <c r="D731"/>
      <c r="E731"/>
      <c r="F731" s="27" t="s">
        <v>7</v>
      </c>
      <c r="U731" s="27" t="s">
        <v>8</v>
      </c>
      <c r="V731" s="27" t="s">
        <v>7</v>
      </c>
      <c r="DA731" s="27" t="s">
        <v>8</v>
      </c>
      <c r="DB731" s="27" t="s">
        <v>7</v>
      </c>
      <c r="DC731" s="27" t="s">
        <v>8</v>
      </c>
      <c r="DD731" s="27" t="s">
        <v>7</v>
      </c>
      <c r="DE731" s="27" t="s">
        <v>8</v>
      </c>
      <c r="DF731" s="27" t="s">
        <v>7</v>
      </c>
      <c r="DG731" s="27" t="s">
        <v>8</v>
      </c>
      <c r="DH731" s="27" t="s">
        <v>7</v>
      </c>
      <c r="DI731" s="27" t="s">
        <v>8</v>
      </c>
      <c r="DJ731" s="27" t="s">
        <v>7</v>
      </c>
      <c r="DL731" s="27" t="s">
        <v>7</v>
      </c>
      <c r="DM731" s="27" t="s">
        <v>8</v>
      </c>
      <c r="DN731" s="27" t="s">
        <v>7</v>
      </c>
      <c r="ED731" s="27" t="s">
        <v>7</v>
      </c>
      <c r="EE731" s="27" t="s">
        <v>8</v>
      </c>
      <c r="EF731" s="27" t="s">
        <v>7</v>
      </c>
      <c r="EG731" s="27" t="s">
        <v>8</v>
      </c>
      <c r="EJ731" s="27" t="s">
        <v>7</v>
      </c>
      <c r="EL731" s="27" t="s">
        <v>7</v>
      </c>
      <c r="EM731" s="27" t="s">
        <v>8</v>
      </c>
      <c r="EN731" s="27" t="s">
        <v>7</v>
      </c>
      <c r="EO731" s="27" t="s">
        <v>8</v>
      </c>
      <c r="FI731" s="27" t="s">
        <v>8</v>
      </c>
      <c r="FJ731" s="27" t="s">
        <v>7</v>
      </c>
      <c r="FK731" s="27" t="s">
        <v>8</v>
      </c>
      <c r="FU731" s="27" t="s">
        <v>8</v>
      </c>
      <c r="FV731" s="27" t="s">
        <v>7</v>
      </c>
      <c r="FW731" s="27" t="s">
        <v>8</v>
      </c>
      <c r="FX731" s="27" t="s">
        <v>7</v>
      </c>
      <c r="GC731" s="27" t="s">
        <v>8</v>
      </c>
      <c r="GG731" s="27" t="s">
        <v>8</v>
      </c>
      <c r="GH731" s="27" t="s">
        <v>7</v>
      </c>
      <c r="GK731" s="27" t="s">
        <v>8</v>
      </c>
      <c r="GL731" s="27" t="s">
        <v>7</v>
      </c>
      <c r="GS731" s="27" t="s">
        <v>8</v>
      </c>
      <c r="GT731" s="27" t="s">
        <v>7</v>
      </c>
      <c r="GU731" s="27" t="s">
        <v>8</v>
      </c>
      <c r="GV731" s="27" t="s">
        <v>7</v>
      </c>
      <c r="GW731" s="27" t="s">
        <v>8</v>
      </c>
      <c r="GX731" s="27" t="s">
        <v>7</v>
      </c>
      <c r="GY731" s="27" t="s">
        <v>8</v>
      </c>
    </row>
    <row r="732" spans="1:210" x14ac:dyDescent="0.25">
      <c r="A732" s="7">
        <v>5.6620681785473484E-2</v>
      </c>
      <c r="B732"/>
      <c r="C732"/>
      <c r="D732"/>
      <c r="E732"/>
      <c r="F732" s="27" t="s">
        <v>7</v>
      </c>
      <c r="U732" s="27" t="s">
        <v>8</v>
      </c>
      <c r="V732" s="27" t="s">
        <v>7</v>
      </c>
      <c r="DA732" s="27" t="s">
        <v>8</v>
      </c>
      <c r="DB732" s="27" t="s">
        <v>7</v>
      </c>
      <c r="DC732" s="27" t="s">
        <v>8</v>
      </c>
      <c r="DD732" s="27" t="s">
        <v>7</v>
      </c>
      <c r="DE732" s="27" t="s">
        <v>8</v>
      </c>
      <c r="DF732" s="27" t="s">
        <v>7</v>
      </c>
      <c r="DG732" s="27" t="s">
        <v>8</v>
      </c>
      <c r="DH732" s="27" t="s">
        <v>7</v>
      </c>
      <c r="DI732" s="27" t="s">
        <v>8</v>
      </c>
      <c r="DL732" s="27" t="s">
        <v>7</v>
      </c>
      <c r="DM732" s="27" t="s">
        <v>8</v>
      </c>
      <c r="ED732" s="27" t="s">
        <v>7</v>
      </c>
      <c r="EE732" s="27" t="s">
        <v>8</v>
      </c>
      <c r="EF732" s="27" t="s">
        <v>7</v>
      </c>
      <c r="EG732" s="27" t="s">
        <v>8</v>
      </c>
      <c r="EL732" s="27" t="s">
        <v>7</v>
      </c>
      <c r="EM732" s="27" t="s">
        <v>8</v>
      </c>
      <c r="EN732" s="27" t="s">
        <v>7</v>
      </c>
      <c r="EO732" s="27" t="s">
        <v>8</v>
      </c>
      <c r="EP732" s="27" t="s">
        <v>7</v>
      </c>
      <c r="FA732" s="27" t="s">
        <v>8</v>
      </c>
      <c r="FI732" s="27" t="s">
        <v>8</v>
      </c>
      <c r="FJ732" s="27" t="s">
        <v>7</v>
      </c>
      <c r="FK732" s="27" t="s">
        <v>8</v>
      </c>
      <c r="FL732" s="27" t="s">
        <v>7</v>
      </c>
      <c r="FU732" s="27" t="s">
        <v>8</v>
      </c>
      <c r="FV732" s="27" t="s">
        <v>7</v>
      </c>
      <c r="FW732" s="27" t="s">
        <v>8</v>
      </c>
      <c r="FX732" s="27" t="s">
        <v>7</v>
      </c>
      <c r="GC732" s="27" t="s">
        <v>8</v>
      </c>
      <c r="GD732" s="27" t="s">
        <v>7</v>
      </c>
      <c r="GG732" s="27" t="s">
        <v>8</v>
      </c>
      <c r="GH732" s="27" t="s">
        <v>7</v>
      </c>
      <c r="GK732" s="27" t="s">
        <v>8</v>
      </c>
      <c r="GL732" s="27" t="s">
        <v>7</v>
      </c>
      <c r="GS732" s="27" t="s">
        <v>8</v>
      </c>
      <c r="GT732" s="27" t="s">
        <v>7</v>
      </c>
      <c r="GU732" s="27" t="s">
        <v>8</v>
      </c>
      <c r="GV732" s="27" t="s">
        <v>7</v>
      </c>
      <c r="GW732" s="27" t="s">
        <v>8</v>
      </c>
      <c r="GX732" s="27" t="s">
        <v>7</v>
      </c>
      <c r="GY732" s="27" t="s">
        <v>8</v>
      </c>
    </row>
    <row r="733" spans="1:210" x14ac:dyDescent="0.25">
      <c r="A733" s="7">
        <v>5.5510472338699497E-2</v>
      </c>
      <c r="B733"/>
      <c r="C733"/>
      <c r="D733"/>
      <c r="E733"/>
      <c r="F733" s="27" t="s">
        <v>7</v>
      </c>
      <c r="U733" s="27" t="s">
        <v>8</v>
      </c>
      <c r="V733" s="27" t="s">
        <v>7</v>
      </c>
      <c r="DA733" s="27" t="s">
        <v>8</v>
      </c>
      <c r="DB733" s="27" t="s">
        <v>7</v>
      </c>
      <c r="DC733" s="27" t="s">
        <v>8</v>
      </c>
      <c r="DD733" s="27" t="s">
        <v>7</v>
      </c>
      <c r="DE733" s="27" t="s">
        <v>8</v>
      </c>
      <c r="DF733" s="27" t="s">
        <v>7</v>
      </c>
      <c r="DG733" s="27" t="s">
        <v>8</v>
      </c>
      <c r="DH733" s="27" t="s">
        <v>7</v>
      </c>
      <c r="DI733" s="27" t="s">
        <v>8</v>
      </c>
      <c r="DL733" s="27" t="s">
        <v>7</v>
      </c>
      <c r="DM733" s="27" t="s">
        <v>8</v>
      </c>
      <c r="ED733" s="27" t="s">
        <v>7</v>
      </c>
      <c r="EE733" s="27" t="s">
        <v>8</v>
      </c>
      <c r="EF733" s="27" t="s">
        <v>7</v>
      </c>
      <c r="EG733" s="27" t="s">
        <v>8</v>
      </c>
      <c r="EL733" s="27" t="s">
        <v>7</v>
      </c>
      <c r="EM733" s="27" t="s">
        <v>8</v>
      </c>
      <c r="EN733" s="27" t="s">
        <v>7</v>
      </c>
      <c r="EO733" s="27" t="s">
        <v>8</v>
      </c>
      <c r="EP733" s="27" t="s">
        <v>7</v>
      </c>
      <c r="FA733" s="27" t="s">
        <v>8</v>
      </c>
      <c r="FB733" s="27" t="s">
        <v>7</v>
      </c>
      <c r="FI733" s="27" t="s">
        <v>8</v>
      </c>
      <c r="FJ733" s="27" t="s">
        <v>7</v>
      </c>
      <c r="FK733" s="27" t="s">
        <v>8</v>
      </c>
      <c r="FL733" s="27" t="s">
        <v>7</v>
      </c>
      <c r="FM733" s="27" t="s">
        <v>8</v>
      </c>
      <c r="FU733" s="27" t="s">
        <v>8</v>
      </c>
      <c r="FV733" s="27" t="s">
        <v>7</v>
      </c>
      <c r="FW733" s="27" t="s">
        <v>8</v>
      </c>
      <c r="FX733" s="27" t="s">
        <v>7</v>
      </c>
      <c r="GC733" s="27" t="s">
        <v>8</v>
      </c>
      <c r="GD733" s="27" t="s">
        <v>7</v>
      </c>
      <c r="GG733" s="27" t="s">
        <v>8</v>
      </c>
      <c r="GH733" s="27" t="s">
        <v>7</v>
      </c>
      <c r="GI733" s="27" t="s">
        <v>8</v>
      </c>
      <c r="GK733" s="27" t="s">
        <v>8</v>
      </c>
      <c r="GL733" s="27" t="s">
        <v>7</v>
      </c>
      <c r="GS733" s="27" t="s">
        <v>8</v>
      </c>
      <c r="GT733" s="27" t="s">
        <v>7</v>
      </c>
      <c r="GU733" s="27" t="s">
        <v>8</v>
      </c>
      <c r="GV733" s="27" t="s">
        <v>7</v>
      </c>
      <c r="GX733" s="27" t="s">
        <v>7</v>
      </c>
    </row>
    <row r="734" spans="1:210" x14ac:dyDescent="0.25">
      <c r="A734" s="7">
        <v>5.4422031704607354E-2</v>
      </c>
      <c r="B734"/>
      <c r="C734"/>
      <c r="D734"/>
      <c r="E734"/>
      <c r="F734" s="27" t="s">
        <v>7</v>
      </c>
      <c r="U734" s="27" t="s">
        <v>8</v>
      </c>
      <c r="V734" s="27" t="s">
        <v>7</v>
      </c>
      <c r="DA734" s="27" t="s">
        <v>8</v>
      </c>
      <c r="DB734" s="27" t="s">
        <v>7</v>
      </c>
      <c r="DC734" s="27" t="s">
        <v>8</v>
      </c>
      <c r="DD734" s="27" t="s">
        <v>7</v>
      </c>
      <c r="DF734" s="27" t="s">
        <v>7</v>
      </c>
      <c r="DG734" s="27" t="s">
        <v>8</v>
      </c>
      <c r="DH734" s="27" t="s">
        <v>7</v>
      </c>
      <c r="DI734" s="27" t="s">
        <v>8</v>
      </c>
      <c r="DL734" s="27" t="s">
        <v>7</v>
      </c>
      <c r="DM734" s="27" t="s">
        <v>8</v>
      </c>
      <c r="ED734" s="27" t="s">
        <v>7</v>
      </c>
      <c r="EE734" s="27" t="s">
        <v>8</v>
      </c>
      <c r="EF734" s="27" t="s">
        <v>7</v>
      </c>
      <c r="EG734" s="27" t="s">
        <v>8</v>
      </c>
      <c r="EL734" s="27" t="s">
        <v>7</v>
      </c>
      <c r="EM734" s="27" t="s">
        <v>8</v>
      </c>
      <c r="EN734" s="27" t="s">
        <v>7</v>
      </c>
      <c r="EO734" s="27" t="s">
        <v>8</v>
      </c>
      <c r="EP734" s="27" t="s">
        <v>7</v>
      </c>
      <c r="FA734" s="27" t="s">
        <v>8</v>
      </c>
      <c r="FB734" s="27" t="s">
        <v>7</v>
      </c>
      <c r="FI734" s="27" t="s">
        <v>8</v>
      </c>
      <c r="FJ734" s="27" t="s">
        <v>7</v>
      </c>
      <c r="FK734" s="27" t="s">
        <v>8</v>
      </c>
      <c r="FL734" s="27" t="s">
        <v>7</v>
      </c>
      <c r="FM734" s="27" t="s">
        <v>8</v>
      </c>
      <c r="FN734" s="27" t="s">
        <v>7</v>
      </c>
      <c r="FU734" s="27" t="s">
        <v>8</v>
      </c>
      <c r="FV734" s="27" t="s">
        <v>7</v>
      </c>
      <c r="FW734" s="27" t="s">
        <v>8</v>
      </c>
      <c r="FX734" s="27" t="s">
        <v>7</v>
      </c>
      <c r="GC734" s="27" t="s">
        <v>8</v>
      </c>
      <c r="GD734" s="27" t="s">
        <v>7</v>
      </c>
      <c r="GG734" s="27" t="s">
        <v>8</v>
      </c>
      <c r="GH734" s="27" t="s">
        <v>7</v>
      </c>
      <c r="GI734" s="27" t="s">
        <v>8</v>
      </c>
      <c r="GJ734" s="27" t="s">
        <v>7</v>
      </c>
      <c r="GK734" s="27" t="s">
        <v>8</v>
      </c>
      <c r="GL734" s="27" t="s">
        <v>7</v>
      </c>
      <c r="GS734" s="27" t="s">
        <v>8</v>
      </c>
      <c r="GT734" s="27" t="s">
        <v>7</v>
      </c>
      <c r="GU734" s="27" t="s">
        <v>8</v>
      </c>
    </row>
    <row r="735" spans="1:210" x14ac:dyDescent="0.25">
      <c r="A735" s="7">
        <v>5.3354933043732705E-2</v>
      </c>
      <c r="B735"/>
      <c r="C735"/>
      <c r="D735"/>
      <c r="E735"/>
      <c r="F735" s="27" t="s">
        <v>7</v>
      </c>
      <c r="U735" s="27" t="s">
        <v>8</v>
      </c>
      <c r="V735" s="27" t="s">
        <v>7</v>
      </c>
      <c r="DA735" s="27" t="s">
        <v>8</v>
      </c>
      <c r="DB735" s="27" t="s">
        <v>7</v>
      </c>
      <c r="DC735" s="27" t="s">
        <v>8</v>
      </c>
      <c r="DF735" s="27" t="s">
        <v>7</v>
      </c>
      <c r="DH735" s="27" t="s">
        <v>7</v>
      </c>
      <c r="DI735" s="27" t="s">
        <v>8</v>
      </c>
      <c r="DL735" s="27" t="s">
        <v>7</v>
      </c>
      <c r="DM735" s="27" t="s">
        <v>8</v>
      </c>
      <c r="ED735" s="27" t="s">
        <v>7</v>
      </c>
      <c r="EE735" s="27" t="s">
        <v>8</v>
      </c>
      <c r="EF735" s="27" t="s">
        <v>7</v>
      </c>
      <c r="EL735" s="27" t="s">
        <v>7</v>
      </c>
      <c r="EM735" s="27" t="s">
        <v>8</v>
      </c>
      <c r="EN735" s="27" t="s">
        <v>7</v>
      </c>
      <c r="EO735" s="27" t="s">
        <v>8</v>
      </c>
      <c r="EP735" s="27" t="s">
        <v>7</v>
      </c>
      <c r="FA735" s="27" t="s">
        <v>8</v>
      </c>
      <c r="FB735" s="27" t="s">
        <v>7</v>
      </c>
      <c r="FI735" s="27" t="s">
        <v>8</v>
      </c>
      <c r="FJ735" s="27" t="s">
        <v>7</v>
      </c>
      <c r="FK735" s="27" t="s">
        <v>8</v>
      </c>
      <c r="FL735" s="27" t="s">
        <v>7</v>
      </c>
      <c r="FM735" s="27" t="s">
        <v>8</v>
      </c>
      <c r="FN735" s="27" t="s">
        <v>7</v>
      </c>
      <c r="FU735" s="27" t="s">
        <v>8</v>
      </c>
      <c r="FV735" s="27" t="s">
        <v>7</v>
      </c>
      <c r="FW735" s="27" t="s">
        <v>8</v>
      </c>
      <c r="FX735" s="27" t="s">
        <v>7</v>
      </c>
      <c r="FY735" s="27" t="s">
        <v>8</v>
      </c>
      <c r="GA735" s="27" t="s">
        <v>8</v>
      </c>
      <c r="GC735" s="27" t="s">
        <v>8</v>
      </c>
      <c r="GD735" s="27" t="s">
        <v>7</v>
      </c>
      <c r="GG735" s="27" t="s">
        <v>8</v>
      </c>
      <c r="GH735" s="27" t="s">
        <v>7</v>
      </c>
      <c r="GI735" s="27" t="s">
        <v>8</v>
      </c>
      <c r="GJ735" s="27" t="s">
        <v>7</v>
      </c>
      <c r="GK735" s="27" t="s">
        <v>8</v>
      </c>
      <c r="GL735" s="27" t="s">
        <v>7</v>
      </c>
      <c r="GO735" s="27" t="s">
        <v>8</v>
      </c>
      <c r="GS735" s="27" t="s">
        <v>8</v>
      </c>
      <c r="GT735" s="27" t="s">
        <v>7</v>
      </c>
      <c r="GU735" s="27" t="s">
        <v>8</v>
      </c>
    </row>
    <row r="736" spans="1:210" x14ac:dyDescent="0.25">
      <c r="A736" s="7">
        <v>5.2308757886012455E-2</v>
      </c>
      <c r="B736"/>
      <c r="C736"/>
      <c r="D736"/>
      <c r="E736"/>
      <c r="F736" s="27" t="s">
        <v>7</v>
      </c>
      <c r="U736" s="27" t="s">
        <v>8</v>
      </c>
      <c r="V736" s="27" t="s">
        <v>7</v>
      </c>
      <c r="W736" s="27" t="s">
        <v>8</v>
      </c>
      <c r="DA736" s="27" t="s">
        <v>8</v>
      </c>
      <c r="DB736" s="27" t="s">
        <v>7</v>
      </c>
      <c r="DC736" s="27" t="s">
        <v>8</v>
      </c>
      <c r="DH736" s="27" t="s">
        <v>7</v>
      </c>
      <c r="DI736" s="27" t="s">
        <v>8</v>
      </c>
      <c r="DL736" s="27" t="s">
        <v>7</v>
      </c>
      <c r="DM736" s="27" t="s">
        <v>8</v>
      </c>
      <c r="ED736" s="27" t="s">
        <v>7</v>
      </c>
      <c r="EE736" s="27" t="s">
        <v>8</v>
      </c>
      <c r="EL736" s="27" t="s">
        <v>7</v>
      </c>
      <c r="EM736" s="27" t="s">
        <v>8</v>
      </c>
      <c r="EN736" s="27" t="s">
        <v>7</v>
      </c>
      <c r="EP736" s="27" t="s">
        <v>7</v>
      </c>
      <c r="FA736" s="27" t="s">
        <v>8</v>
      </c>
      <c r="FB736" s="27" t="s">
        <v>7</v>
      </c>
      <c r="FI736" s="27" t="s">
        <v>8</v>
      </c>
      <c r="FJ736" s="27" t="s">
        <v>7</v>
      </c>
      <c r="FK736" s="27" t="s">
        <v>8</v>
      </c>
      <c r="FL736" s="27" t="s">
        <v>7</v>
      </c>
      <c r="FM736" s="27" t="s">
        <v>8</v>
      </c>
      <c r="FN736" s="27" t="s">
        <v>7</v>
      </c>
      <c r="FU736" s="27" t="s">
        <v>8</v>
      </c>
      <c r="FV736" s="27" t="s">
        <v>7</v>
      </c>
      <c r="FW736" s="27" t="s">
        <v>8</v>
      </c>
      <c r="FX736" s="27" t="s">
        <v>7</v>
      </c>
      <c r="FY736" s="27" t="s">
        <v>8</v>
      </c>
      <c r="FZ736" s="27" t="s">
        <v>7</v>
      </c>
      <c r="GA736" s="27" t="s">
        <v>8</v>
      </c>
      <c r="GB736" s="27" t="s">
        <v>7</v>
      </c>
      <c r="GC736" s="27" t="s">
        <v>8</v>
      </c>
      <c r="GD736" s="27" t="s">
        <v>7</v>
      </c>
      <c r="GE736" s="27" t="s">
        <v>8</v>
      </c>
      <c r="GG736" s="27" t="s">
        <v>8</v>
      </c>
      <c r="GH736" s="27" t="s">
        <v>7</v>
      </c>
      <c r="GI736" s="27" t="s">
        <v>8</v>
      </c>
      <c r="GJ736" s="27" t="s">
        <v>7</v>
      </c>
      <c r="GK736" s="27" t="s">
        <v>8</v>
      </c>
      <c r="GL736" s="27" t="s">
        <v>7</v>
      </c>
      <c r="GO736" s="27" t="s">
        <v>8</v>
      </c>
      <c r="GP736" s="27" t="s">
        <v>7</v>
      </c>
      <c r="GS736" s="27" t="s">
        <v>8</v>
      </c>
      <c r="GT736" s="27" t="s">
        <v>7</v>
      </c>
      <c r="GU736" s="27" t="s">
        <v>8</v>
      </c>
    </row>
    <row r="737" spans="1:203" x14ac:dyDescent="0.25">
      <c r="A737" s="7">
        <v>5.1283095966678877E-2</v>
      </c>
      <c r="B737"/>
      <c r="C737"/>
      <c r="D737"/>
      <c r="E737"/>
      <c r="F737" s="27" t="s">
        <v>7</v>
      </c>
      <c r="U737" s="27" t="s">
        <v>8</v>
      </c>
      <c r="V737" s="27" t="s">
        <v>7</v>
      </c>
      <c r="W737" s="27" t="s">
        <v>8</v>
      </c>
      <c r="X737" s="27" t="s">
        <v>7</v>
      </c>
      <c r="DA737" s="27" t="s">
        <v>8</v>
      </c>
      <c r="DB737" s="27" t="s">
        <v>7</v>
      </c>
      <c r="DC737" s="27" t="s">
        <v>8</v>
      </c>
      <c r="DH737" s="27" t="s">
        <v>7</v>
      </c>
      <c r="DI737" s="27" t="s">
        <v>8</v>
      </c>
      <c r="DL737" s="27" t="s">
        <v>7</v>
      </c>
      <c r="DM737" s="27" t="s">
        <v>8</v>
      </c>
      <c r="ED737" s="27" t="s">
        <v>7</v>
      </c>
      <c r="EL737" s="27" t="s">
        <v>7</v>
      </c>
      <c r="EP737" s="27" t="s">
        <v>7</v>
      </c>
      <c r="FA737" s="27" t="s">
        <v>8</v>
      </c>
      <c r="FB737" s="27" t="s">
        <v>7</v>
      </c>
      <c r="FI737" s="27" t="s">
        <v>8</v>
      </c>
      <c r="FJ737" s="27" t="s">
        <v>7</v>
      </c>
      <c r="FK737" s="27" t="s">
        <v>8</v>
      </c>
      <c r="FL737" s="27" t="s">
        <v>7</v>
      </c>
      <c r="FM737" s="27" t="s">
        <v>8</v>
      </c>
      <c r="FN737" s="27" t="s">
        <v>7</v>
      </c>
      <c r="FO737" s="27" t="s">
        <v>8</v>
      </c>
      <c r="FU737" s="27" t="s">
        <v>8</v>
      </c>
      <c r="FV737" s="27" t="s">
        <v>7</v>
      </c>
      <c r="FW737" s="27" t="s">
        <v>8</v>
      </c>
      <c r="FX737" s="27" t="s">
        <v>7</v>
      </c>
      <c r="FY737" s="27" t="s">
        <v>8</v>
      </c>
      <c r="FZ737" s="27" t="s">
        <v>7</v>
      </c>
      <c r="GA737" s="27" t="s">
        <v>8</v>
      </c>
      <c r="GB737" s="27" t="s">
        <v>7</v>
      </c>
      <c r="GC737" s="27" t="s">
        <v>8</v>
      </c>
      <c r="GD737" s="27" t="s">
        <v>7</v>
      </c>
      <c r="GE737" s="27" t="s">
        <v>8</v>
      </c>
      <c r="GF737" s="27" t="s">
        <v>7</v>
      </c>
      <c r="GG737" s="27" t="s">
        <v>8</v>
      </c>
      <c r="GH737" s="27" t="s">
        <v>7</v>
      </c>
      <c r="GJ737" s="27" t="s">
        <v>7</v>
      </c>
      <c r="GL737" s="27" t="s">
        <v>7</v>
      </c>
      <c r="GM737" s="27" t="s">
        <v>8</v>
      </c>
      <c r="GO737" s="27" t="s">
        <v>8</v>
      </c>
      <c r="GP737" s="27" t="s">
        <v>7</v>
      </c>
      <c r="GS737" s="27" t="s">
        <v>8</v>
      </c>
      <c r="GT737" s="27" t="s">
        <v>7</v>
      </c>
      <c r="GU737" s="27" t="s">
        <v>8</v>
      </c>
    </row>
    <row r="738" spans="1:203" x14ac:dyDescent="0.25">
      <c r="A738" s="7">
        <v>5.0277545065371444E-2</v>
      </c>
      <c r="B738"/>
      <c r="C738"/>
      <c r="D738"/>
      <c r="E738"/>
      <c r="F738" s="27" t="s">
        <v>7</v>
      </c>
      <c r="U738" s="27" t="s">
        <v>8</v>
      </c>
      <c r="V738" s="27" t="s">
        <v>7</v>
      </c>
      <c r="W738" s="27" t="s">
        <v>8</v>
      </c>
      <c r="X738" s="27" t="s">
        <v>7</v>
      </c>
      <c r="DA738" s="27" t="s">
        <v>8</v>
      </c>
      <c r="DB738" s="27" t="s">
        <v>7</v>
      </c>
      <c r="DC738" s="27" t="s">
        <v>8</v>
      </c>
      <c r="DH738" s="27" t="s">
        <v>7</v>
      </c>
      <c r="DI738" s="27" t="s">
        <v>8</v>
      </c>
      <c r="DL738" s="27" t="s">
        <v>7</v>
      </c>
      <c r="EP738" s="27" t="s">
        <v>7</v>
      </c>
      <c r="FA738" s="27" t="s">
        <v>8</v>
      </c>
      <c r="FB738" s="27" t="s">
        <v>7</v>
      </c>
      <c r="FI738" s="27" t="s">
        <v>8</v>
      </c>
      <c r="FJ738" s="27" t="s">
        <v>7</v>
      </c>
      <c r="FK738" s="27" t="s">
        <v>8</v>
      </c>
      <c r="FL738" s="27" t="s">
        <v>7</v>
      </c>
      <c r="FM738" s="27" t="s">
        <v>8</v>
      </c>
      <c r="FN738" s="27" t="s">
        <v>7</v>
      </c>
      <c r="FO738" s="27" t="s">
        <v>8</v>
      </c>
      <c r="FP738" s="27" t="s">
        <v>7</v>
      </c>
      <c r="FU738" s="27" t="s">
        <v>8</v>
      </c>
      <c r="FV738" s="27" t="s">
        <v>7</v>
      </c>
      <c r="FW738" s="27" t="s">
        <v>8</v>
      </c>
      <c r="FX738" s="27" t="s">
        <v>7</v>
      </c>
      <c r="FY738" s="27" t="s">
        <v>8</v>
      </c>
      <c r="FZ738" s="27" t="s">
        <v>7</v>
      </c>
      <c r="GA738" s="27" t="s">
        <v>8</v>
      </c>
      <c r="GB738" s="27" t="s">
        <v>7</v>
      </c>
      <c r="GC738" s="27" t="s">
        <v>8</v>
      </c>
      <c r="GD738" s="27" t="s">
        <v>7</v>
      </c>
      <c r="GE738" s="27" t="s">
        <v>8</v>
      </c>
      <c r="GF738" s="27" t="s">
        <v>7</v>
      </c>
      <c r="GG738" s="27" t="s">
        <v>8</v>
      </c>
      <c r="GL738" s="27" t="s">
        <v>7</v>
      </c>
      <c r="GM738" s="27" t="s">
        <v>8</v>
      </c>
      <c r="GN738" s="27" t="s">
        <v>7</v>
      </c>
      <c r="GO738" s="27" t="s">
        <v>8</v>
      </c>
      <c r="GP738" s="27" t="s">
        <v>7</v>
      </c>
      <c r="GQ738" s="27" t="s">
        <v>8</v>
      </c>
      <c r="GS738" s="27" t="s">
        <v>8</v>
      </c>
      <c r="GT738" s="27" t="s">
        <v>7</v>
      </c>
      <c r="GU738" s="27" t="s">
        <v>8</v>
      </c>
    </row>
    <row r="739" spans="1:203" x14ac:dyDescent="0.25">
      <c r="A739" s="7">
        <v>4.9291710848403378E-2</v>
      </c>
      <c r="B739"/>
      <c r="C739"/>
      <c r="D739"/>
      <c r="E739"/>
      <c r="F739" s="27" t="s">
        <v>7</v>
      </c>
      <c r="U739" s="27" t="s">
        <v>8</v>
      </c>
      <c r="V739" s="27" t="s">
        <v>7</v>
      </c>
      <c r="W739" s="27" t="s">
        <v>8</v>
      </c>
      <c r="X739" s="27" t="s">
        <v>7</v>
      </c>
      <c r="DA739" s="27" t="s">
        <v>8</v>
      </c>
      <c r="DB739" s="27" t="s">
        <v>7</v>
      </c>
      <c r="DC739" s="27" t="s">
        <v>8</v>
      </c>
      <c r="DH739" s="27" t="s">
        <v>7</v>
      </c>
      <c r="DI739" s="27" t="s">
        <v>8</v>
      </c>
      <c r="EP739" s="27" t="s">
        <v>7</v>
      </c>
      <c r="FA739" s="27" t="s">
        <v>8</v>
      </c>
      <c r="FB739" s="27" t="s">
        <v>7</v>
      </c>
      <c r="FI739" s="27" t="s">
        <v>8</v>
      </c>
      <c r="FJ739" s="27" t="s">
        <v>7</v>
      </c>
      <c r="FK739" s="27" t="s">
        <v>8</v>
      </c>
      <c r="FL739" s="27" t="s">
        <v>7</v>
      </c>
      <c r="FM739" s="27" t="s">
        <v>8</v>
      </c>
      <c r="FN739" s="27" t="s">
        <v>7</v>
      </c>
      <c r="FO739" s="27" t="s">
        <v>8</v>
      </c>
      <c r="FP739" s="27" t="s">
        <v>7</v>
      </c>
      <c r="FU739" s="27" t="s">
        <v>8</v>
      </c>
      <c r="FV739" s="27" t="s">
        <v>7</v>
      </c>
      <c r="FX739" s="27" t="s">
        <v>7</v>
      </c>
      <c r="FY739" s="27" t="s">
        <v>8</v>
      </c>
      <c r="FZ739" s="27" t="s">
        <v>7</v>
      </c>
      <c r="GA739" s="27" t="s">
        <v>8</v>
      </c>
      <c r="GB739" s="27" t="s">
        <v>7</v>
      </c>
      <c r="GC739" s="27" t="s">
        <v>8</v>
      </c>
      <c r="GD739" s="27" t="s">
        <v>7</v>
      </c>
      <c r="GE739" s="27" t="s">
        <v>8</v>
      </c>
      <c r="GF739" s="27" t="s">
        <v>7</v>
      </c>
      <c r="GG739" s="27" t="s">
        <v>8</v>
      </c>
      <c r="GL739" s="27" t="s">
        <v>7</v>
      </c>
      <c r="GM739" s="27" t="s">
        <v>8</v>
      </c>
      <c r="GN739" s="27" t="s">
        <v>7</v>
      </c>
      <c r="GO739" s="27" t="s">
        <v>8</v>
      </c>
      <c r="GP739" s="27" t="s">
        <v>7</v>
      </c>
      <c r="GQ739" s="27" t="s">
        <v>8</v>
      </c>
      <c r="GR739" s="27" t="s">
        <v>7</v>
      </c>
      <c r="GS739" s="27" t="s">
        <v>8</v>
      </c>
      <c r="GT739" s="27" t="s">
        <v>7</v>
      </c>
      <c r="GU739" s="27" t="s">
        <v>8</v>
      </c>
    </row>
    <row r="740" spans="1:203" x14ac:dyDescent="0.25">
      <c r="A740" s="7">
        <v>4.8325206714120959E-2</v>
      </c>
      <c r="B740"/>
      <c r="C740"/>
      <c r="D740"/>
      <c r="E740"/>
      <c r="F740" s="27" t="s">
        <v>7</v>
      </c>
      <c r="U740" s="27" t="s">
        <v>8</v>
      </c>
      <c r="V740" s="27" t="s">
        <v>7</v>
      </c>
      <c r="W740" s="27" t="s">
        <v>8</v>
      </c>
      <c r="X740" s="27" t="s">
        <v>7</v>
      </c>
      <c r="DA740" s="27" t="s">
        <v>8</v>
      </c>
      <c r="DB740" s="27" t="s">
        <v>7</v>
      </c>
      <c r="DH740" s="27" t="s">
        <v>7</v>
      </c>
      <c r="DI740" s="27" t="s">
        <v>8</v>
      </c>
      <c r="EP740" s="27" t="s">
        <v>7</v>
      </c>
      <c r="ES740" s="27" t="s">
        <v>8</v>
      </c>
      <c r="FA740" s="27" t="s">
        <v>8</v>
      </c>
      <c r="FB740" s="27" t="s">
        <v>7</v>
      </c>
      <c r="FI740" s="27" t="s">
        <v>8</v>
      </c>
      <c r="FJ740" s="27" t="s">
        <v>7</v>
      </c>
      <c r="FK740" s="27" t="s">
        <v>8</v>
      </c>
      <c r="FL740" s="27" t="s">
        <v>7</v>
      </c>
      <c r="FM740" s="27" t="s">
        <v>8</v>
      </c>
      <c r="FN740" s="27" t="s">
        <v>7</v>
      </c>
      <c r="FO740" s="27" t="s">
        <v>8</v>
      </c>
      <c r="FP740" s="27" t="s">
        <v>7</v>
      </c>
      <c r="FU740" s="27" t="s">
        <v>8</v>
      </c>
      <c r="FX740" s="27" t="s">
        <v>7</v>
      </c>
      <c r="FY740" s="27" t="s">
        <v>8</v>
      </c>
      <c r="FZ740" s="27" t="s">
        <v>7</v>
      </c>
      <c r="GA740" s="27" t="s">
        <v>8</v>
      </c>
      <c r="GB740" s="27" t="s">
        <v>7</v>
      </c>
      <c r="GC740" s="27" t="s">
        <v>8</v>
      </c>
      <c r="GD740" s="27" t="s">
        <v>7</v>
      </c>
      <c r="GF740" s="27" t="s">
        <v>7</v>
      </c>
      <c r="GG740" s="27" t="s">
        <v>8</v>
      </c>
      <c r="GL740" s="27" t="s">
        <v>7</v>
      </c>
      <c r="GM740" s="27" t="s">
        <v>8</v>
      </c>
      <c r="GN740" s="27" t="s">
        <v>7</v>
      </c>
      <c r="GO740" s="27" t="s">
        <v>8</v>
      </c>
      <c r="GP740" s="27" t="s">
        <v>7</v>
      </c>
      <c r="GQ740" s="27" t="s">
        <v>8</v>
      </c>
      <c r="GR740" s="27" t="s">
        <v>7</v>
      </c>
      <c r="GS740" s="27" t="s">
        <v>8</v>
      </c>
      <c r="GT740" s="27" t="s">
        <v>7</v>
      </c>
      <c r="GU740" s="27" t="s">
        <v>8</v>
      </c>
    </row>
    <row r="741" spans="1:203" x14ac:dyDescent="0.25">
      <c r="A741" s="7">
        <v>4.7377653641295057E-2</v>
      </c>
      <c r="B741"/>
      <c r="C741"/>
      <c r="D741"/>
      <c r="E741"/>
      <c r="F741" s="27" t="s">
        <v>7</v>
      </c>
      <c r="U741" s="27" t="s">
        <v>8</v>
      </c>
      <c r="V741" s="27" t="s">
        <v>7</v>
      </c>
      <c r="X741" s="27" t="s">
        <v>7</v>
      </c>
      <c r="DA741" s="27" t="s">
        <v>8</v>
      </c>
      <c r="DH741" s="27" t="s">
        <v>7</v>
      </c>
      <c r="DI741" s="27" t="s">
        <v>8</v>
      </c>
      <c r="EP741" s="27" t="s">
        <v>7</v>
      </c>
      <c r="EQ741" s="27" t="s">
        <v>8</v>
      </c>
      <c r="ES741" s="27" t="s">
        <v>8</v>
      </c>
      <c r="ET741" s="27" t="s">
        <v>7</v>
      </c>
      <c r="EU741" s="27" t="s">
        <v>8</v>
      </c>
      <c r="FA741" s="27" t="s">
        <v>8</v>
      </c>
      <c r="FB741" s="27" t="s">
        <v>7</v>
      </c>
      <c r="FI741" s="27" t="s">
        <v>8</v>
      </c>
      <c r="FJ741" s="27" t="s">
        <v>7</v>
      </c>
      <c r="FK741" s="27" t="s">
        <v>8</v>
      </c>
      <c r="FL741" s="27" t="s">
        <v>7</v>
      </c>
      <c r="FM741" s="27" t="s">
        <v>8</v>
      </c>
      <c r="FN741" s="27" t="s">
        <v>7</v>
      </c>
      <c r="FO741" s="27" t="s">
        <v>8</v>
      </c>
      <c r="FP741" s="27" t="s">
        <v>7</v>
      </c>
      <c r="FU741" s="27" t="s">
        <v>8</v>
      </c>
      <c r="FX741" s="27" t="s">
        <v>7</v>
      </c>
      <c r="FY741" s="27" t="s">
        <v>8</v>
      </c>
      <c r="FZ741" s="27" t="s">
        <v>7</v>
      </c>
      <c r="GB741" s="27" t="s">
        <v>7</v>
      </c>
      <c r="GF741" s="27" t="s">
        <v>7</v>
      </c>
      <c r="GG741" s="27" t="s">
        <v>8</v>
      </c>
      <c r="GL741" s="27" t="s">
        <v>7</v>
      </c>
      <c r="GM741" s="27" t="s">
        <v>8</v>
      </c>
      <c r="GN741" s="27" t="s">
        <v>7</v>
      </c>
      <c r="GO741" s="27" t="s">
        <v>8</v>
      </c>
      <c r="GP741" s="27" t="s">
        <v>7</v>
      </c>
      <c r="GQ741" s="27" t="s">
        <v>8</v>
      </c>
      <c r="GR741" s="27" t="s">
        <v>7</v>
      </c>
      <c r="GS741" s="27" t="s">
        <v>8</v>
      </c>
      <c r="GT741" s="27" t="s">
        <v>7</v>
      </c>
      <c r="GU741" s="27" t="s">
        <v>8</v>
      </c>
    </row>
    <row r="742" spans="1:203" x14ac:dyDescent="0.25">
      <c r="A742" s="7">
        <v>4.644868004048535E-2</v>
      </c>
      <c r="B742"/>
      <c r="C742"/>
      <c r="D742"/>
      <c r="E742"/>
      <c r="F742" s="27" t="s">
        <v>7</v>
      </c>
      <c r="U742" s="27" t="s">
        <v>8</v>
      </c>
      <c r="X742" s="27" t="s">
        <v>7</v>
      </c>
      <c r="AC742" s="27" t="s">
        <v>8</v>
      </c>
      <c r="DA742" s="27" t="s">
        <v>8</v>
      </c>
      <c r="DH742" s="27" t="s">
        <v>7</v>
      </c>
      <c r="DI742" s="27" t="s">
        <v>8</v>
      </c>
      <c r="EP742" s="27" t="s">
        <v>7</v>
      </c>
      <c r="EQ742" s="27" t="s">
        <v>8</v>
      </c>
      <c r="ER742" s="27" t="s">
        <v>7</v>
      </c>
      <c r="ES742" s="27" t="s">
        <v>8</v>
      </c>
      <c r="ET742" s="27" t="s">
        <v>7</v>
      </c>
      <c r="EU742" s="27" t="s">
        <v>8</v>
      </c>
      <c r="EV742" s="27" t="s">
        <v>7</v>
      </c>
      <c r="FA742" s="27" t="s">
        <v>8</v>
      </c>
      <c r="FB742" s="27" t="s">
        <v>7</v>
      </c>
      <c r="FI742" s="27" t="s">
        <v>8</v>
      </c>
      <c r="FJ742" s="27" t="s">
        <v>7</v>
      </c>
      <c r="FK742" s="27" t="s">
        <v>8</v>
      </c>
      <c r="FL742" s="27" t="s">
        <v>7</v>
      </c>
      <c r="FM742" s="27" t="s">
        <v>8</v>
      </c>
      <c r="FN742" s="27" t="s">
        <v>7</v>
      </c>
      <c r="FO742" s="27" t="s">
        <v>8</v>
      </c>
      <c r="FP742" s="27" t="s">
        <v>7</v>
      </c>
      <c r="FU742" s="27" t="s">
        <v>8</v>
      </c>
      <c r="FX742" s="27" t="s">
        <v>7</v>
      </c>
      <c r="FY742" s="27" t="s">
        <v>8</v>
      </c>
      <c r="GF742" s="27" t="s">
        <v>7</v>
      </c>
      <c r="GG742" s="27" t="s">
        <v>8</v>
      </c>
      <c r="GL742" s="27" t="s">
        <v>7</v>
      </c>
      <c r="GM742" s="27" t="s">
        <v>8</v>
      </c>
      <c r="GN742" s="27" t="s">
        <v>7</v>
      </c>
      <c r="GO742" s="27" t="s">
        <v>8</v>
      </c>
      <c r="GP742" s="27" t="s">
        <v>7</v>
      </c>
      <c r="GQ742" s="27" t="s">
        <v>8</v>
      </c>
      <c r="GR742" s="27" t="s">
        <v>7</v>
      </c>
      <c r="GS742" s="27" t="s">
        <v>8</v>
      </c>
      <c r="GT742" s="27" t="s">
        <v>7</v>
      </c>
      <c r="GU742" s="27" t="s">
        <v>8</v>
      </c>
    </row>
    <row r="743" spans="1:203" x14ac:dyDescent="0.25">
      <c r="A743" s="7">
        <v>4.5537921608318974E-2</v>
      </c>
      <c r="B743"/>
      <c r="C743"/>
      <c r="D743"/>
      <c r="E743"/>
      <c r="F743" s="27" t="s">
        <v>7</v>
      </c>
      <c r="Q743" s="27" t="s">
        <v>8</v>
      </c>
      <c r="U743" s="27" t="s">
        <v>8</v>
      </c>
      <c r="X743" s="27" t="s">
        <v>7</v>
      </c>
      <c r="AC743" s="27" t="s">
        <v>8</v>
      </c>
      <c r="AD743" s="27" t="s">
        <v>7</v>
      </c>
      <c r="DA743" s="27" t="s">
        <v>8</v>
      </c>
      <c r="DH743" s="27" t="s">
        <v>7</v>
      </c>
      <c r="DI743" s="27" t="s">
        <v>8</v>
      </c>
      <c r="EP743" s="27" t="s">
        <v>7</v>
      </c>
      <c r="EQ743" s="27" t="s">
        <v>8</v>
      </c>
      <c r="ER743" s="27" t="s">
        <v>7</v>
      </c>
      <c r="ES743" s="27" t="s">
        <v>8</v>
      </c>
      <c r="ET743" s="27" t="s">
        <v>7</v>
      </c>
      <c r="EU743" s="27" t="s">
        <v>8</v>
      </c>
      <c r="EV743" s="27" t="s">
        <v>7</v>
      </c>
      <c r="EW743" s="27" t="s">
        <v>8</v>
      </c>
      <c r="FA743" s="27" t="s">
        <v>8</v>
      </c>
      <c r="FB743" s="27" t="s">
        <v>7</v>
      </c>
      <c r="FI743" s="27" t="s">
        <v>8</v>
      </c>
      <c r="FJ743" s="27" t="s">
        <v>7</v>
      </c>
      <c r="FK743" s="27" t="s">
        <v>8</v>
      </c>
      <c r="FL743" s="27" t="s">
        <v>7</v>
      </c>
      <c r="FM743" s="27" t="s">
        <v>8</v>
      </c>
      <c r="FN743" s="27" t="s">
        <v>7</v>
      </c>
      <c r="FO743" s="27" t="s">
        <v>8</v>
      </c>
      <c r="FP743" s="27" t="s">
        <v>7</v>
      </c>
      <c r="FQ743" s="27" t="s">
        <v>8</v>
      </c>
      <c r="FS743" s="27" t="s">
        <v>8</v>
      </c>
      <c r="FU743" s="27" t="s">
        <v>8</v>
      </c>
      <c r="FX743" s="27" t="s">
        <v>7</v>
      </c>
      <c r="FY743" s="27" t="s">
        <v>8</v>
      </c>
      <c r="GF743" s="27" t="s">
        <v>7</v>
      </c>
      <c r="GG743" s="27" t="s">
        <v>8</v>
      </c>
      <c r="GL743" s="27" t="s">
        <v>7</v>
      </c>
      <c r="GM743" s="27" t="s">
        <v>8</v>
      </c>
      <c r="GN743" s="27" t="s">
        <v>7</v>
      </c>
      <c r="GO743" s="27" t="s">
        <v>8</v>
      </c>
      <c r="GP743" s="27" t="s">
        <v>7</v>
      </c>
      <c r="GQ743" s="27" t="s">
        <v>8</v>
      </c>
      <c r="GR743" s="27" t="s">
        <v>7</v>
      </c>
      <c r="GT743" s="27" t="s">
        <v>7</v>
      </c>
    </row>
    <row r="744" spans="1:203" x14ac:dyDescent="0.25">
      <c r="A744" s="7">
        <v>4.4645021184626446E-2</v>
      </c>
      <c r="B744"/>
      <c r="C744"/>
      <c r="D744"/>
      <c r="E744"/>
      <c r="F744" s="27" t="s">
        <v>7</v>
      </c>
      <c r="Q744" s="27" t="s">
        <v>8</v>
      </c>
      <c r="R744" s="27" t="s">
        <v>7</v>
      </c>
      <c r="S744" s="27" t="s">
        <v>8</v>
      </c>
      <c r="U744" s="27" t="s">
        <v>8</v>
      </c>
      <c r="X744" s="27" t="s">
        <v>7</v>
      </c>
      <c r="Y744" s="27" t="s">
        <v>8</v>
      </c>
      <c r="AC744" s="27" t="s">
        <v>8</v>
      </c>
      <c r="AD744" s="27" t="s">
        <v>7</v>
      </c>
      <c r="DA744" s="27" t="s">
        <v>8</v>
      </c>
      <c r="DH744" s="27" t="s">
        <v>7</v>
      </c>
      <c r="EP744" s="27" t="s">
        <v>7</v>
      </c>
      <c r="EQ744" s="27" t="s">
        <v>8</v>
      </c>
      <c r="ER744" s="27" t="s">
        <v>7</v>
      </c>
      <c r="ES744" s="27" t="s">
        <v>8</v>
      </c>
      <c r="ET744" s="27" t="s">
        <v>7</v>
      </c>
      <c r="EU744" s="27" t="s">
        <v>8</v>
      </c>
      <c r="EV744" s="27" t="s">
        <v>7</v>
      </c>
      <c r="EW744" s="27" t="s">
        <v>8</v>
      </c>
      <c r="EX744" s="27" t="s">
        <v>7</v>
      </c>
      <c r="FA744" s="27" t="s">
        <v>8</v>
      </c>
      <c r="FB744" s="27" t="s">
        <v>7</v>
      </c>
      <c r="FI744" s="27" t="s">
        <v>8</v>
      </c>
      <c r="FJ744" s="27" t="s">
        <v>7</v>
      </c>
      <c r="FL744" s="27" t="s">
        <v>7</v>
      </c>
      <c r="FM744" s="27" t="s">
        <v>8</v>
      </c>
      <c r="FN744" s="27" t="s">
        <v>7</v>
      </c>
      <c r="FP744" s="27" t="s">
        <v>7</v>
      </c>
      <c r="FQ744" s="27" t="s">
        <v>8</v>
      </c>
      <c r="FR744" s="27" t="s">
        <v>7</v>
      </c>
      <c r="FS744" s="27" t="s">
        <v>8</v>
      </c>
      <c r="FT744" s="27" t="s">
        <v>7</v>
      </c>
      <c r="FU744" s="27" t="s">
        <v>8</v>
      </c>
      <c r="FX744" s="27" t="s">
        <v>7</v>
      </c>
      <c r="FY744" s="27" t="s">
        <v>8</v>
      </c>
      <c r="GF744" s="27" t="s">
        <v>7</v>
      </c>
      <c r="GL744" s="27" t="s">
        <v>7</v>
      </c>
      <c r="GM744" s="27" t="s">
        <v>8</v>
      </c>
      <c r="GN744" s="27" t="s">
        <v>7</v>
      </c>
      <c r="GP744" s="27" t="s">
        <v>7</v>
      </c>
      <c r="GQ744" s="27" t="s">
        <v>8</v>
      </c>
    </row>
    <row r="745" spans="1:203" x14ac:dyDescent="0.25">
      <c r="A745" s="7">
        <v>4.3769628612378868E-2</v>
      </c>
      <c r="B745"/>
      <c r="C745"/>
      <c r="D745"/>
      <c r="E745"/>
      <c r="F745" s="27" t="s">
        <v>7</v>
      </c>
      <c r="Q745" s="27" t="s">
        <v>8</v>
      </c>
      <c r="R745" s="27" t="s">
        <v>7</v>
      </c>
      <c r="S745" s="27" t="s">
        <v>8</v>
      </c>
      <c r="T745" s="27" t="s">
        <v>7</v>
      </c>
      <c r="U745" s="27" t="s">
        <v>8</v>
      </c>
      <c r="X745" s="27" t="s">
        <v>7</v>
      </c>
      <c r="Y745" s="27" t="s">
        <v>8</v>
      </c>
      <c r="Z745" s="27" t="s">
        <v>7</v>
      </c>
      <c r="AC745" s="27" t="s">
        <v>8</v>
      </c>
      <c r="AD745" s="27" t="s">
        <v>7</v>
      </c>
      <c r="DA745" s="27" t="s">
        <v>8</v>
      </c>
      <c r="EP745" s="27" t="s">
        <v>7</v>
      </c>
      <c r="EQ745" s="27" t="s">
        <v>8</v>
      </c>
      <c r="ER745" s="27" t="s">
        <v>7</v>
      </c>
      <c r="ES745" s="27" t="s">
        <v>8</v>
      </c>
      <c r="ET745" s="27" t="s">
        <v>7</v>
      </c>
      <c r="EU745" s="27" t="s">
        <v>8</v>
      </c>
      <c r="EV745" s="27" t="s">
        <v>7</v>
      </c>
      <c r="EW745" s="27" t="s">
        <v>8</v>
      </c>
      <c r="EX745" s="27" t="s">
        <v>7</v>
      </c>
      <c r="FA745" s="27" t="s">
        <v>8</v>
      </c>
      <c r="FB745" s="27" t="s">
        <v>7</v>
      </c>
      <c r="FI745" s="27" t="s">
        <v>8</v>
      </c>
      <c r="FL745" s="27" t="s">
        <v>7</v>
      </c>
      <c r="FM745" s="27" t="s">
        <v>8</v>
      </c>
      <c r="FP745" s="27" t="s">
        <v>7</v>
      </c>
      <c r="FQ745" s="27" t="s">
        <v>8</v>
      </c>
      <c r="FR745" s="27" t="s">
        <v>7</v>
      </c>
      <c r="FS745" s="27" t="s">
        <v>8</v>
      </c>
      <c r="FT745" s="27" t="s">
        <v>7</v>
      </c>
      <c r="FU745" s="27" t="s">
        <v>8</v>
      </c>
      <c r="FX745" s="27" t="s">
        <v>7</v>
      </c>
      <c r="FY745" s="27" t="s">
        <v>8</v>
      </c>
      <c r="GL745" s="27" t="s">
        <v>7</v>
      </c>
      <c r="GM745" s="27" t="s">
        <v>8</v>
      </c>
      <c r="GP745" s="27" t="s">
        <v>7</v>
      </c>
      <c r="GQ745" s="27" t="s">
        <v>8</v>
      </c>
    </row>
    <row r="746" spans="1:203" x14ac:dyDescent="0.25">
      <c r="A746" s="7">
        <v>4.2911400600371442E-2</v>
      </c>
      <c r="B746"/>
      <c r="C746"/>
      <c r="D746"/>
      <c r="E746"/>
      <c r="F746" s="27" t="s">
        <v>7</v>
      </c>
      <c r="K746" s="27" t="s">
        <v>8</v>
      </c>
      <c r="Q746" s="27" t="s">
        <v>8</v>
      </c>
      <c r="R746" s="27" t="s">
        <v>7</v>
      </c>
      <c r="S746" s="27" t="s">
        <v>8</v>
      </c>
      <c r="T746" s="27" t="s">
        <v>7</v>
      </c>
      <c r="U746" s="27" t="s">
        <v>8</v>
      </c>
      <c r="X746" s="27" t="s">
        <v>7</v>
      </c>
      <c r="Y746" s="27" t="s">
        <v>8</v>
      </c>
      <c r="Z746" s="27" t="s">
        <v>7</v>
      </c>
      <c r="AC746" s="27" t="s">
        <v>8</v>
      </c>
      <c r="AD746" s="27" t="s">
        <v>7</v>
      </c>
      <c r="DA746" s="27" t="s">
        <v>8</v>
      </c>
      <c r="EP746" s="27" t="s">
        <v>7</v>
      </c>
      <c r="EQ746" s="27" t="s">
        <v>8</v>
      </c>
      <c r="ER746" s="27" t="s">
        <v>7</v>
      </c>
      <c r="ES746" s="27" t="s">
        <v>8</v>
      </c>
      <c r="ET746" s="27" t="s">
        <v>7</v>
      </c>
      <c r="EV746" s="27" t="s">
        <v>7</v>
      </c>
      <c r="EW746" s="27" t="s">
        <v>8</v>
      </c>
      <c r="EX746" s="27" t="s">
        <v>7</v>
      </c>
      <c r="FA746" s="27" t="s">
        <v>8</v>
      </c>
      <c r="FB746" s="27" t="s">
        <v>7</v>
      </c>
      <c r="FG746" s="27" t="s">
        <v>8</v>
      </c>
      <c r="FI746" s="27" t="s">
        <v>8</v>
      </c>
      <c r="FL746" s="27" t="s">
        <v>7</v>
      </c>
      <c r="FM746" s="27" t="s">
        <v>8</v>
      </c>
      <c r="FP746" s="27" t="s">
        <v>7</v>
      </c>
      <c r="FR746" s="27" t="s">
        <v>7</v>
      </c>
      <c r="FS746" s="27" t="s">
        <v>8</v>
      </c>
      <c r="FT746" s="27" t="s">
        <v>7</v>
      </c>
      <c r="FU746" s="27" t="s">
        <v>8</v>
      </c>
      <c r="FX746" s="27" t="s">
        <v>7</v>
      </c>
      <c r="GL746" s="27" t="s">
        <v>7</v>
      </c>
      <c r="GM746" s="27" t="s">
        <v>8</v>
      </c>
      <c r="GP746" s="27" t="s">
        <v>7</v>
      </c>
      <c r="GQ746" s="27" t="s">
        <v>8</v>
      </c>
    </row>
    <row r="747" spans="1:203" x14ac:dyDescent="0.25">
      <c r="A747" s="7">
        <v>4.2070000588599457E-2</v>
      </c>
      <c r="B747"/>
      <c r="C747"/>
      <c r="D747"/>
      <c r="E747"/>
      <c r="F747" s="27" t="s">
        <v>7</v>
      </c>
      <c r="K747" s="27" t="s">
        <v>8</v>
      </c>
      <c r="L747" s="27" t="s">
        <v>7</v>
      </c>
      <c r="Q747" s="27" t="s">
        <v>8</v>
      </c>
      <c r="R747" s="27" t="s">
        <v>7</v>
      </c>
      <c r="S747" s="27" t="s">
        <v>8</v>
      </c>
      <c r="T747" s="27" t="s">
        <v>7</v>
      </c>
      <c r="U747" s="27" t="s">
        <v>8</v>
      </c>
      <c r="X747" s="27" t="s">
        <v>7</v>
      </c>
      <c r="Y747" s="27" t="s">
        <v>8</v>
      </c>
      <c r="Z747" s="27" t="s">
        <v>7</v>
      </c>
      <c r="AC747" s="27" t="s">
        <v>8</v>
      </c>
      <c r="AD747" s="27" t="s">
        <v>7</v>
      </c>
      <c r="AI747" s="27" t="s">
        <v>8</v>
      </c>
      <c r="DA747" s="27" t="s">
        <v>8</v>
      </c>
      <c r="EP747" s="27" t="s">
        <v>7</v>
      </c>
      <c r="ER747" s="27" t="s">
        <v>7</v>
      </c>
      <c r="ES747" s="27" t="s">
        <v>8</v>
      </c>
      <c r="EV747" s="27" t="s">
        <v>7</v>
      </c>
      <c r="EW747" s="27" t="s">
        <v>8</v>
      </c>
      <c r="EX747" s="27" t="s">
        <v>7</v>
      </c>
      <c r="FA747" s="27" t="s">
        <v>8</v>
      </c>
      <c r="FB747" s="27" t="s">
        <v>7</v>
      </c>
      <c r="FG747" s="27" t="s">
        <v>8</v>
      </c>
      <c r="FH747" s="27" t="s">
        <v>7</v>
      </c>
      <c r="FI747" s="27" t="s">
        <v>8</v>
      </c>
      <c r="FL747" s="27" t="s">
        <v>7</v>
      </c>
      <c r="FR747" s="27" t="s">
        <v>7</v>
      </c>
      <c r="FT747" s="27" t="s">
        <v>7</v>
      </c>
      <c r="FU747" s="27" t="s">
        <v>8</v>
      </c>
      <c r="GL747" s="27" t="s">
        <v>7</v>
      </c>
      <c r="GM747" s="27" t="s">
        <v>8</v>
      </c>
      <c r="GP747" s="27" t="s">
        <v>7</v>
      </c>
    </row>
    <row r="748" spans="1:203" x14ac:dyDescent="0.25">
      <c r="A748" s="7">
        <v>4.1245098616273977E-2</v>
      </c>
      <c r="B748"/>
      <c r="C748"/>
      <c r="D748"/>
      <c r="E748"/>
      <c r="F748" s="27" t="s">
        <v>7</v>
      </c>
      <c r="K748" s="27" t="s">
        <v>8</v>
      </c>
      <c r="L748" s="27" t="s">
        <v>7</v>
      </c>
      <c r="Q748" s="27" t="s">
        <v>8</v>
      </c>
      <c r="R748" s="27" t="s">
        <v>7</v>
      </c>
      <c r="T748" s="27" t="s">
        <v>7</v>
      </c>
      <c r="X748" s="27" t="s">
        <v>7</v>
      </c>
      <c r="Y748" s="27" t="s">
        <v>8</v>
      </c>
      <c r="Z748" s="27" t="s">
        <v>7</v>
      </c>
      <c r="AA748" s="27" t="s">
        <v>8</v>
      </c>
      <c r="AC748" s="27" t="s">
        <v>8</v>
      </c>
      <c r="AD748" s="27" t="s">
        <v>7</v>
      </c>
      <c r="AI748" s="27" t="s">
        <v>8</v>
      </c>
      <c r="AJ748" s="27" t="s">
        <v>7</v>
      </c>
      <c r="DA748" s="27" t="s">
        <v>8</v>
      </c>
      <c r="ER748" s="27" t="s">
        <v>7</v>
      </c>
      <c r="ES748" s="27" t="s">
        <v>8</v>
      </c>
      <c r="EV748" s="27" t="s">
        <v>7</v>
      </c>
      <c r="EX748" s="27" t="s">
        <v>7</v>
      </c>
      <c r="EY748" s="27" t="s">
        <v>8</v>
      </c>
      <c r="FA748" s="27" t="s">
        <v>8</v>
      </c>
      <c r="FB748" s="27" t="s">
        <v>7</v>
      </c>
      <c r="FE748" s="27" t="s">
        <v>8</v>
      </c>
      <c r="FG748" s="27" t="s">
        <v>8</v>
      </c>
      <c r="FH748" s="27" t="s">
        <v>7</v>
      </c>
      <c r="FI748" s="27" t="s">
        <v>8</v>
      </c>
      <c r="FT748" s="27" t="s">
        <v>7</v>
      </c>
      <c r="FU748" s="27" t="s">
        <v>8</v>
      </c>
      <c r="GL748" s="27" t="s">
        <v>7</v>
      </c>
    </row>
    <row r="749" spans="1:203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I749" s="27" t="s">
        <v>8</v>
      </c>
      <c r="K749" s="27" t="s">
        <v>8</v>
      </c>
      <c r="L749" s="27" t="s">
        <v>7</v>
      </c>
      <c r="Q749" s="27" t="s">
        <v>8</v>
      </c>
      <c r="X749" s="27" t="s">
        <v>7</v>
      </c>
      <c r="Y749" s="27" t="s">
        <v>8</v>
      </c>
      <c r="Z749" s="27" t="s">
        <v>7</v>
      </c>
      <c r="AA749" s="27" t="s">
        <v>8</v>
      </c>
      <c r="AB749" s="27" t="s">
        <v>7</v>
      </c>
      <c r="AC749" s="27" t="s">
        <v>8</v>
      </c>
      <c r="AD749" s="27" t="s">
        <v>7</v>
      </c>
      <c r="AE749" s="27" t="s">
        <v>8</v>
      </c>
      <c r="AI749" s="27" t="s">
        <v>8</v>
      </c>
      <c r="AJ749" s="27" t="s">
        <v>7</v>
      </c>
      <c r="CY749" s="27" t="s">
        <v>8</v>
      </c>
      <c r="DA749" s="27" t="s">
        <v>8</v>
      </c>
      <c r="ER749" s="27" t="s">
        <v>7</v>
      </c>
      <c r="ES749" s="27" t="s">
        <v>8</v>
      </c>
      <c r="EX749" s="27" t="s">
        <v>7</v>
      </c>
      <c r="EY749" s="27" t="s">
        <v>8</v>
      </c>
      <c r="EZ749" s="27" t="s">
        <v>7</v>
      </c>
      <c r="FA749" s="27" t="s">
        <v>8</v>
      </c>
      <c r="FB749" s="27" t="s">
        <v>7</v>
      </c>
      <c r="FC749" s="27" t="s">
        <v>8</v>
      </c>
      <c r="FE749" s="27" t="s">
        <v>8</v>
      </c>
      <c r="FF749" s="27" t="s">
        <v>7</v>
      </c>
      <c r="FG749" s="27" t="s">
        <v>8</v>
      </c>
      <c r="FH749" s="27" t="s">
        <v>7</v>
      </c>
      <c r="FI749" s="27" t="s">
        <v>8</v>
      </c>
      <c r="FT749" s="27" t="s">
        <v>7</v>
      </c>
      <c r="FU749" s="27" t="s">
        <v>8</v>
      </c>
    </row>
    <row r="750" spans="1:203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I750" s="27" t="s">
        <v>8</v>
      </c>
      <c r="J750" s="27" t="s">
        <v>7</v>
      </c>
      <c r="K750" s="27" t="s">
        <v>8</v>
      </c>
      <c r="L750" s="27" t="s">
        <v>7</v>
      </c>
      <c r="Q750" s="27" t="s">
        <v>8</v>
      </c>
      <c r="X750" s="27" t="s">
        <v>7</v>
      </c>
      <c r="Y750" s="27" t="s">
        <v>8</v>
      </c>
      <c r="Z750" s="27" t="s">
        <v>7</v>
      </c>
      <c r="AA750" s="27" t="s">
        <v>8</v>
      </c>
      <c r="AB750" s="27" t="s">
        <v>7</v>
      </c>
      <c r="AC750" s="27" t="s">
        <v>8</v>
      </c>
      <c r="AD750" s="27" t="s">
        <v>7</v>
      </c>
      <c r="AE750" s="27" t="s">
        <v>8</v>
      </c>
      <c r="AF750" s="27" t="s">
        <v>7</v>
      </c>
      <c r="AI750" s="27" t="s">
        <v>8</v>
      </c>
      <c r="AJ750" s="27" t="s">
        <v>7</v>
      </c>
      <c r="CY750" s="27" t="s">
        <v>8</v>
      </c>
      <c r="CZ750" s="27" t="s">
        <v>7</v>
      </c>
      <c r="DA750" s="27" t="s">
        <v>8</v>
      </c>
      <c r="ER750" s="27" t="s">
        <v>7</v>
      </c>
      <c r="ES750" s="27" t="s">
        <v>8</v>
      </c>
      <c r="EX750" s="27" t="s">
        <v>7</v>
      </c>
      <c r="EY750" s="27" t="s">
        <v>8</v>
      </c>
      <c r="EZ750" s="27" t="s">
        <v>7</v>
      </c>
      <c r="FA750" s="27" t="s">
        <v>8</v>
      </c>
      <c r="FB750" s="27" t="s">
        <v>7</v>
      </c>
      <c r="FC750" s="27" t="s">
        <v>8</v>
      </c>
      <c r="FD750" s="27" t="s">
        <v>7</v>
      </c>
      <c r="FE750" s="27" t="s">
        <v>8</v>
      </c>
      <c r="FF750" s="27" t="s">
        <v>7</v>
      </c>
      <c r="FG750" s="27" t="s">
        <v>8</v>
      </c>
      <c r="FH750" s="27" t="s">
        <v>7</v>
      </c>
      <c r="FI750" s="27" t="s">
        <v>8</v>
      </c>
      <c r="FT750" s="27" t="s">
        <v>7</v>
      </c>
    </row>
    <row r="751" spans="1:203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H751" s="27" t="s">
        <v>7</v>
      </c>
      <c r="I751" s="27" t="s">
        <v>8</v>
      </c>
      <c r="J751" s="27" t="s">
        <v>7</v>
      </c>
      <c r="K751" s="27" t="s">
        <v>8</v>
      </c>
      <c r="L751" s="27" t="s">
        <v>7</v>
      </c>
      <c r="M751" s="27" t="s">
        <v>8</v>
      </c>
      <c r="Q751" s="27" t="s">
        <v>8</v>
      </c>
      <c r="X751" s="27" t="s">
        <v>7</v>
      </c>
      <c r="Y751" s="27" t="s">
        <v>8</v>
      </c>
      <c r="Z751" s="27" t="s">
        <v>7</v>
      </c>
      <c r="AA751" s="27" t="s">
        <v>8</v>
      </c>
      <c r="AB751" s="27" t="s">
        <v>7</v>
      </c>
      <c r="AD751" s="27" t="s">
        <v>7</v>
      </c>
      <c r="AE751" s="27" t="s">
        <v>8</v>
      </c>
      <c r="AF751" s="27" t="s">
        <v>7</v>
      </c>
      <c r="AI751" s="27" t="s">
        <v>8</v>
      </c>
      <c r="AJ751" s="27" t="s">
        <v>7</v>
      </c>
      <c r="CY751" s="27" t="s">
        <v>8</v>
      </c>
      <c r="CZ751" s="27" t="s">
        <v>7</v>
      </c>
      <c r="DA751" s="27" t="s">
        <v>8</v>
      </c>
      <c r="ER751" s="27" t="s">
        <v>7</v>
      </c>
      <c r="ES751" s="27" t="s">
        <v>8</v>
      </c>
      <c r="EX751" s="27" t="s">
        <v>7</v>
      </c>
      <c r="EY751" s="27" t="s">
        <v>8</v>
      </c>
      <c r="EZ751" s="27" t="s">
        <v>7</v>
      </c>
      <c r="FA751" s="27" t="s">
        <v>8</v>
      </c>
      <c r="FB751" s="27" t="s">
        <v>7</v>
      </c>
      <c r="FC751" s="27" t="s">
        <v>8</v>
      </c>
      <c r="FD751" s="27" t="s">
        <v>7</v>
      </c>
      <c r="FE751" s="27" t="s">
        <v>8</v>
      </c>
      <c r="FF751" s="27" t="s">
        <v>7</v>
      </c>
      <c r="FG751" s="27" t="s">
        <v>8</v>
      </c>
      <c r="FH751" s="27" t="s">
        <v>7</v>
      </c>
      <c r="FI751" s="27" t="s">
        <v>8</v>
      </c>
    </row>
    <row r="752" spans="1:203" x14ac:dyDescent="0.25">
      <c r="A752" s="7">
        <v>3.8104095702657229E-2</v>
      </c>
      <c r="B752"/>
      <c r="C752"/>
      <c r="D752"/>
      <c r="E752"/>
      <c r="F752" s="27" t="s">
        <v>7</v>
      </c>
      <c r="H752" s="27" t="s">
        <v>7</v>
      </c>
      <c r="I752" s="27" t="s">
        <v>8</v>
      </c>
      <c r="J752" s="27" t="s">
        <v>7</v>
      </c>
      <c r="K752" s="27" t="s">
        <v>8</v>
      </c>
      <c r="L752" s="27" t="s">
        <v>7</v>
      </c>
      <c r="M752" s="27" t="s">
        <v>8</v>
      </c>
      <c r="N752" s="27" t="s">
        <v>7</v>
      </c>
      <c r="O752" s="27" t="s">
        <v>8</v>
      </c>
      <c r="Q752" s="27" t="s">
        <v>8</v>
      </c>
      <c r="X752" s="27" t="s">
        <v>7</v>
      </c>
      <c r="Z752" s="27" t="s">
        <v>7</v>
      </c>
      <c r="AD752" s="27" t="s">
        <v>7</v>
      </c>
      <c r="AE752" s="27" t="s">
        <v>8</v>
      </c>
      <c r="AF752" s="27" t="s">
        <v>7</v>
      </c>
      <c r="AI752" s="27" t="s">
        <v>8</v>
      </c>
      <c r="AJ752" s="27" t="s">
        <v>7</v>
      </c>
      <c r="CY752" s="27" t="s">
        <v>8</v>
      </c>
      <c r="CZ752" s="27" t="s">
        <v>7</v>
      </c>
      <c r="DA752" s="27" t="s">
        <v>8</v>
      </c>
      <c r="ER752" s="27" t="s">
        <v>7</v>
      </c>
      <c r="EX752" s="27" t="s">
        <v>7</v>
      </c>
      <c r="EZ752" s="27" t="s">
        <v>7</v>
      </c>
      <c r="FA752" s="27" t="s">
        <v>8</v>
      </c>
      <c r="FB752" s="27" t="s">
        <v>7</v>
      </c>
      <c r="FD752" s="27" t="s">
        <v>7</v>
      </c>
      <c r="FE752" s="27" t="s">
        <v>8</v>
      </c>
      <c r="FF752" s="27" t="s">
        <v>7</v>
      </c>
      <c r="FH752" s="27" t="s">
        <v>7</v>
      </c>
      <c r="FI752" s="27" t="s">
        <v>8</v>
      </c>
    </row>
    <row r="753" spans="1:164" x14ac:dyDescent="0.25">
      <c r="A753" s="7">
        <v>3.7356956571232579E-2</v>
      </c>
      <c r="B753"/>
      <c r="C753"/>
      <c r="D753"/>
      <c r="E753"/>
      <c r="H753" s="27" t="s">
        <v>7</v>
      </c>
      <c r="I753" s="27" t="s">
        <v>8</v>
      </c>
      <c r="J753" s="27" t="s">
        <v>7</v>
      </c>
      <c r="K753" s="27" t="s">
        <v>8</v>
      </c>
      <c r="L753" s="27" t="s">
        <v>7</v>
      </c>
      <c r="M753" s="27" t="s">
        <v>8</v>
      </c>
      <c r="N753" s="27" t="s">
        <v>7</v>
      </c>
      <c r="O753" s="27" t="s">
        <v>8</v>
      </c>
      <c r="P753" s="27" t="s">
        <v>7</v>
      </c>
      <c r="Q753" s="27" t="s">
        <v>8</v>
      </c>
      <c r="AD753" s="27" t="s">
        <v>7</v>
      </c>
      <c r="AE753" s="27" t="s">
        <v>8</v>
      </c>
      <c r="AF753" s="27" t="s">
        <v>7</v>
      </c>
      <c r="AI753" s="27" t="s">
        <v>8</v>
      </c>
      <c r="AJ753" s="27" t="s">
        <v>7</v>
      </c>
      <c r="CY753" s="27" t="s">
        <v>8</v>
      </c>
      <c r="CZ753" s="27" t="s">
        <v>7</v>
      </c>
      <c r="DA753" s="27" t="s">
        <v>8</v>
      </c>
      <c r="EZ753" s="27" t="s">
        <v>7</v>
      </c>
      <c r="FA753" s="27" t="s">
        <v>8</v>
      </c>
      <c r="FD753" s="27" t="s">
        <v>7</v>
      </c>
      <c r="FE753" s="27" t="s">
        <v>8</v>
      </c>
      <c r="FH753" s="27" t="s">
        <v>7</v>
      </c>
    </row>
    <row r="754" spans="1:164" x14ac:dyDescent="0.25">
      <c r="A754" s="7">
        <v>3.6624467226698605E-2</v>
      </c>
      <c r="B754"/>
      <c r="C754"/>
      <c r="D754"/>
      <c r="E754"/>
      <c r="H754" s="27" t="s">
        <v>7</v>
      </c>
      <c r="I754" s="27" t="s">
        <v>8</v>
      </c>
      <c r="J754" s="27" t="s">
        <v>7</v>
      </c>
      <c r="K754" s="27" t="s">
        <v>8</v>
      </c>
      <c r="L754" s="27" t="s">
        <v>7</v>
      </c>
      <c r="N754" s="27" t="s">
        <v>7</v>
      </c>
      <c r="O754" s="27" t="s">
        <v>8</v>
      </c>
      <c r="P754" s="27" t="s">
        <v>7</v>
      </c>
      <c r="Q754" s="27" t="s">
        <v>8</v>
      </c>
      <c r="AD754" s="27" t="s">
        <v>7</v>
      </c>
      <c r="AE754" s="27" t="s">
        <v>8</v>
      </c>
      <c r="AF754" s="27" t="s">
        <v>7</v>
      </c>
      <c r="AG754" s="27" t="s">
        <v>8</v>
      </c>
      <c r="AI754" s="27" t="s">
        <v>8</v>
      </c>
      <c r="AJ754" s="27" t="s">
        <v>7</v>
      </c>
      <c r="AK754" s="27" t="s">
        <v>8</v>
      </c>
      <c r="CM754" s="27" t="s">
        <v>8</v>
      </c>
      <c r="CY754" s="27" t="s">
        <v>8</v>
      </c>
      <c r="CZ754" s="27" t="s">
        <v>7</v>
      </c>
      <c r="DA754" s="27" t="s">
        <v>8</v>
      </c>
      <c r="EZ754" s="27" t="s">
        <v>7</v>
      </c>
      <c r="FA754" s="27" t="s">
        <v>8</v>
      </c>
      <c r="FD754" s="27" t="s">
        <v>7</v>
      </c>
      <c r="FE754" s="27" t="s">
        <v>8</v>
      </c>
    </row>
    <row r="755" spans="1:164" x14ac:dyDescent="0.25">
      <c r="A755" s="7">
        <v>3.5906340418331961E-2</v>
      </c>
      <c r="B755"/>
      <c r="C755"/>
      <c r="D755"/>
      <c r="E755"/>
      <c r="H755" s="27" t="s">
        <v>7</v>
      </c>
      <c r="I755" s="27" t="s">
        <v>8</v>
      </c>
      <c r="J755" s="27" t="s">
        <v>7</v>
      </c>
      <c r="N755" s="27" t="s">
        <v>7</v>
      </c>
      <c r="O755" s="27" t="s">
        <v>8</v>
      </c>
      <c r="P755" s="27" t="s">
        <v>7</v>
      </c>
      <c r="Q755" s="27" t="s">
        <v>8</v>
      </c>
      <c r="AD755" s="27" t="s">
        <v>7</v>
      </c>
      <c r="AE755" s="27" t="s">
        <v>8</v>
      </c>
      <c r="AF755" s="27" t="s">
        <v>7</v>
      </c>
      <c r="AG755" s="27" t="s">
        <v>8</v>
      </c>
      <c r="AH755" s="27" t="s">
        <v>7</v>
      </c>
      <c r="AI755" s="27" t="s">
        <v>8</v>
      </c>
      <c r="AJ755" s="27" t="s">
        <v>7</v>
      </c>
      <c r="AK755" s="27" t="s">
        <v>8</v>
      </c>
      <c r="AL755" s="27" t="s">
        <v>7</v>
      </c>
      <c r="CM755" s="27" t="s">
        <v>8</v>
      </c>
      <c r="CN755" s="27" t="s">
        <v>7</v>
      </c>
      <c r="CO755" s="27" t="s">
        <v>8</v>
      </c>
      <c r="CQ755" s="27" t="s">
        <v>8</v>
      </c>
      <c r="CY755" s="27" t="s">
        <v>8</v>
      </c>
      <c r="CZ755" s="27" t="s">
        <v>7</v>
      </c>
      <c r="EZ755" s="27" t="s">
        <v>7</v>
      </c>
      <c r="FD755" s="27" t="s">
        <v>7</v>
      </c>
    </row>
    <row r="756" spans="1:164" x14ac:dyDescent="0.25">
      <c r="A756" s="7">
        <v>3.5202294527776436E-2</v>
      </c>
      <c r="B756"/>
      <c r="C756"/>
      <c r="D756"/>
      <c r="E756"/>
      <c r="H756" s="27" t="s">
        <v>7</v>
      </c>
      <c r="N756" s="27" t="s">
        <v>7</v>
      </c>
      <c r="P756" s="27" t="s">
        <v>7</v>
      </c>
      <c r="Q756" s="27" t="s">
        <v>8</v>
      </c>
      <c r="AD756" s="27" t="s">
        <v>7</v>
      </c>
      <c r="AE756" s="27" t="s">
        <v>8</v>
      </c>
      <c r="AF756" s="27" t="s">
        <v>7</v>
      </c>
      <c r="AG756" s="27" t="s">
        <v>8</v>
      </c>
      <c r="AH756" s="27" t="s">
        <v>7</v>
      </c>
      <c r="AI756" s="27" t="s">
        <v>8</v>
      </c>
      <c r="AJ756" s="27" t="s">
        <v>7</v>
      </c>
      <c r="AK756" s="27" t="s">
        <v>8</v>
      </c>
      <c r="AL756" s="27" t="s">
        <v>7</v>
      </c>
      <c r="CM756" s="27" t="s">
        <v>8</v>
      </c>
      <c r="CN756" s="27" t="s">
        <v>7</v>
      </c>
      <c r="CO756" s="27" t="s">
        <v>8</v>
      </c>
      <c r="CP756" s="27" t="s">
        <v>7</v>
      </c>
      <c r="CQ756" s="27" t="s">
        <v>8</v>
      </c>
      <c r="CR756" s="27" t="s">
        <v>7</v>
      </c>
      <c r="CY756" s="27" t="s">
        <v>8</v>
      </c>
    </row>
    <row r="757" spans="1:164" x14ac:dyDescent="0.25">
      <c r="A757" s="7">
        <v>3.451205345860435E-2</v>
      </c>
      <c r="B757"/>
      <c r="C757"/>
      <c r="D757"/>
      <c r="E757"/>
      <c r="P757" s="27" t="s">
        <v>7</v>
      </c>
      <c r="Q757" s="27" t="s">
        <v>8</v>
      </c>
      <c r="AD757" s="27" t="s">
        <v>7</v>
      </c>
      <c r="AE757" s="27" t="s">
        <v>8</v>
      </c>
      <c r="AF757" s="27" t="s">
        <v>7</v>
      </c>
      <c r="AG757" s="27" t="s">
        <v>8</v>
      </c>
      <c r="AH757" s="27" t="s">
        <v>7</v>
      </c>
      <c r="AI757" s="27" t="s">
        <v>8</v>
      </c>
      <c r="AJ757" s="27" t="s">
        <v>7</v>
      </c>
      <c r="AK757" s="27" t="s">
        <v>8</v>
      </c>
      <c r="AL757" s="27" t="s">
        <v>7</v>
      </c>
      <c r="CM757" s="27" t="s">
        <v>8</v>
      </c>
      <c r="CN757" s="27" t="s">
        <v>7</v>
      </c>
      <c r="CO757" s="27" t="s">
        <v>8</v>
      </c>
      <c r="CP757" s="27" t="s">
        <v>7</v>
      </c>
      <c r="CQ757" s="27" t="s">
        <v>8</v>
      </c>
      <c r="CR757" s="27" t="s">
        <v>7</v>
      </c>
      <c r="CY757" s="27" t="s">
        <v>8</v>
      </c>
    </row>
    <row r="758" spans="1:164" x14ac:dyDescent="0.25">
      <c r="A758" s="7">
        <v>3.3835346528043479E-2</v>
      </c>
      <c r="B758"/>
      <c r="C758"/>
      <c r="D758"/>
      <c r="E758"/>
      <c r="P758" s="27" t="s">
        <v>7</v>
      </c>
      <c r="Q758" s="27" t="s">
        <v>8</v>
      </c>
      <c r="AD758" s="27" t="s">
        <v>7</v>
      </c>
      <c r="AE758" s="27" t="s">
        <v>8</v>
      </c>
      <c r="AF758" s="27" t="s">
        <v>7</v>
      </c>
      <c r="AH758" s="27" t="s">
        <v>7</v>
      </c>
      <c r="AJ758" s="27" t="s">
        <v>7</v>
      </c>
      <c r="AK758" s="27" t="s">
        <v>8</v>
      </c>
      <c r="AL758" s="27" t="s">
        <v>7</v>
      </c>
      <c r="CI758" s="27" t="s">
        <v>8</v>
      </c>
      <c r="CM758" s="27" t="s">
        <v>8</v>
      </c>
      <c r="CN758" s="27" t="s">
        <v>7</v>
      </c>
      <c r="CP758" s="27" t="s">
        <v>7</v>
      </c>
      <c r="CR758" s="27" t="s">
        <v>7</v>
      </c>
      <c r="CY758" s="27" t="s">
        <v>8</v>
      </c>
    </row>
    <row r="759" spans="1:164" x14ac:dyDescent="0.25">
      <c r="A759" s="7">
        <v>3.3171908360826938E-2</v>
      </c>
      <c r="B759"/>
      <c r="C759"/>
      <c r="D759"/>
      <c r="E759"/>
      <c r="P759" s="27" t="s">
        <v>7</v>
      </c>
      <c r="AD759" s="27" t="s">
        <v>7</v>
      </c>
      <c r="AE759" s="27" t="s">
        <v>8</v>
      </c>
      <c r="AJ759" s="27" t="s">
        <v>7</v>
      </c>
      <c r="AK759" s="27" t="s">
        <v>8</v>
      </c>
      <c r="AL759" s="27" t="s">
        <v>7</v>
      </c>
      <c r="CI759" s="27" t="s">
        <v>8</v>
      </c>
      <c r="CJ759" s="27" t="s">
        <v>7</v>
      </c>
      <c r="CM759" s="27" t="s">
        <v>8</v>
      </c>
      <c r="CR759" s="27" t="s">
        <v>7</v>
      </c>
      <c r="CS759" s="27" t="s">
        <v>8</v>
      </c>
      <c r="CY759" s="27" t="s">
        <v>8</v>
      </c>
    </row>
    <row r="760" spans="1:164" x14ac:dyDescent="0.25">
      <c r="A760" s="7">
        <v>3.2521478785124451E-2</v>
      </c>
      <c r="B760"/>
      <c r="C760"/>
      <c r="D760"/>
      <c r="E760"/>
      <c r="AD760" s="27" t="s">
        <v>7</v>
      </c>
      <c r="AE760" s="27" t="s">
        <v>8</v>
      </c>
      <c r="AJ760" s="27" t="s">
        <v>7</v>
      </c>
      <c r="AK760" s="27" t="s">
        <v>8</v>
      </c>
      <c r="AL760" s="27" t="s">
        <v>7</v>
      </c>
      <c r="CI760" s="27" t="s">
        <v>8</v>
      </c>
      <c r="CJ760" s="27" t="s">
        <v>7</v>
      </c>
      <c r="CM760" s="27" t="s">
        <v>8</v>
      </c>
      <c r="CR760" s="27" t="s">
        <v>7</v>
      </c>
      <c r="CS760" s="27" t="s">
        <v>8</v>
      </c>
      <c r="CT760" s="27" t="s">
        <v>7</v>
      </c>
      <c r="CW760" s="27" t="s">
        <v>8</v>
      </c>
      <c r="CY760" s="27" t="s">
        <v>8</v>
      </c>
    </row>
    <row r="761" spans="1:164" x14ac:dyDescent="0.25">
      <c r="A761" s="7">
        <v>3.1883802730514173E-2</v>
      </c>
      <c r="B761"/>
      <c r="C761"/>
      <c r="D761"/>
      <c r="E761"/>
      <c r="AD761" s="27" t="s">
        <v>7</v>
      </c>
      <c r="AJ761" s="27" t="s">
        <v>7</v>
      </c>
      <c r="AK761" s="27" t="s">
        <v>8</v>
      </c>
      <c r="AL761" s="27" t="s">
        <v>7</v>
      </c>
      <c r="BY761" s="27" t="s">
        <v>8</v>
      </c>
      <c r="CI761" s="27" t="s">
        <v>8</v>
      </c>
      <c r="CJ761" s="27" t="s">
        <v>7</v>
      </c>
      <c r="CM761" s="27" t="s">
        <v>8</v>
      </c>
      <c r="CR761" s="27" t="s">
        <v>7</v>
      </c>
      <c r="CS761" s="27" t="s">
        <v>8</v>
      </c>
      <c r="CT761" s="27" t="s">
        <v>7</v>
      </c>
      <c r="CW761" s="27" t="s">
        <v>8</v>
      </c>
      <c r="CX761" s="27" t="s">
        <v>7</v>
      </c>
      <c r="CY761" s="27" t="s">
        <v>8</v>
      </c>
    </row>
    <row r="762" spans="1:164" x14ac:dyDescent="0.25">
      <c r="A762" s="7">
        <v>3.1258630127955073E-2</v>
      </c>
      <c r="B762"/>
      <c r="C762"/>
      <c r="D762"/>
      <c r="E762"/>
      <c r="AJ762" s="27" t="s">
        <v>7</v>
      </c>
      <c r="AL762" s="27" t="s">
        <v>7</v>
      </c>
      <c r="BY762" s="27" t="s">
        <v>8</v>
      </c>
      <c r="BZ762" s="27" t="s">
        <v>7</v>
      </c>
      <c r="CG762" s="27" t="s">
        <v>8</v>
      </c>
      <c r="CI762" s="27" t="s">
        <v>8</v>
      </c>
      <c r="CJ762" s="27" t="s">
        <v>7</v>
      </c>
      <c r="CK762" s="27" t="s">
        <v>8</v>
      </c>
      <c r="CM762" s="27" t="s">
        <v>8</v>
      </c>
      <c r="CR762" s="27" t="s">
        <v>7</v>
      </c>
      <c r="CT762" s="27" t="s">
        <v>7</v>
      </c>
      <c r="CW762" s="27" t="s">
        <v>8</v>
      </c>
      <c r="CX762" s="27" t="s">
        <v>7</v>
      </c>
      <c r="CY762" s="27" t="s">
        <v>8</v>
      </c>
    </row>
    <row r="763" spans="1:164" x14ac:dyDescent="0.25">
      <c r="A763" s="7">
        <v>3.064571581172066E-2</v>
      </c>
      <c r="B763"/>
      <c r="C763"/>
      <c r="D763"/>
      <c r="E763"/>
      <c r="AL763" s="27" t="s">
        <v>7</v>
      </c>
      <c r="BY763" s="27" t="s">
        <v>8</v>
      </c>
      <c r="BZ763" s="27" t="s">
        <v>7</v>
      </c>
      <c r="CA763" s="27" t="s">
        <v>8</v>
      </c>
      <c r="CC763" s="27" t="s">
        <v>8</v>
      </c>
      <c r="CG763" s="27" t="s">
        <v>8</v>
      </c>
      <c r="CH763" s="27" t="s">
        <v>7</v>
      </c>
      <c r="CI763" s="27" t="s">
        <v>8</v>
      </c>
      <c r="CJ763" s="27" t="s">
        <v>7</v>
      </c>
      <c r="CK763" s="27" t="s">
        <v>8</v>
      </c>
      <c r="CL763" s="27" t="s">
        <v>7</v>
      </c>
      <c r="CM763" s="27" t="s">
        <v>8</v>
      </c>
      <c r="CT763" s="27" t="s">
        <v>7</v>
      </c>
      <c r="CW763" s="27" t="s">
        <v>8</v>
      </c>
      <c r="CX763" s="27" t="s">
        <v>7</v>
      </c>
      <c r="CY763" s="27" t="s">
        <v>8</v>
      </c>
    </row>
    <row r="764" spans="1:164" x14ac:dyDescent="0.25">
      <c r="A764" s="7">
        <v>3.0044819423255549E-2</v>
      </c>
      <c r="B764"/>
      <c r="C764"/>
      <c r="D764"/>
      <c r="E764"/>
      <c r="AL764" s="27" t="s">
        <v>7</v>
      </c>
      <c r="BY764" s="27" t="s">
        <v>8</v>
      </c>
      <c r="BZ764" s="27" t="s">
        <v>7</v>
      </c>
      <c r="CA764" s="27" t="s">
        <v>8</v>
      </c>
      <c r="CB764" s="27" t="s">
        <v>7</v>
      </c>
      <c r="CC764" s="27" t="s">
        <v>8</v>
      </c>
      <c r="CD764" s="27" t="s">
        <v>7</v>
      </c>
      <c r="CG764" s="27" t="s">
        <v>8</v>
      </c>
      <c r="CH764" s="27" t="s">
        <v>7</v>
      </c>
      <c r="CI764" s="27" t="s">
        <v>8</v>
      </c>
      <c r="CJ764" s="27" t="s">
        <v>7</v>
      </c>
      <c r="CK764" s="27" t="s">
        <v>8</v>
      </c>
      <c r="CL764" s="27" t="s">
        <v>7</v>
      </c>
      <c r="CM764" s="27" t="s">
        <v>8</v>
      </c>
      <c r="CT764" s="27" t="s">
        <v>7</v>
      </c>
      <c r="CU764" s="27" t="s">
        <v>8</v>
      </c>
      <c r="CW764" s="27" t="s">
        <v>8</v>
      </c>
      <c r="CX764" s="27" t="s">
        <v>7</v>
      </c>
      <c r="CY764" s="27" t="s">
        <v>8</v>
      </c>
    </row>
    <row r="765" spans="1:164" x14ac:dyDescent="0.25">
      <c r="A765" s="7">
        <v>2.9455705316917203E-2</v>
      </c>
      <c r="B765"/>
      <c r="C765"/>
      <c r="D765"/>
      <c r="E765"/>
      <c r="AL765" s="27" t="s">
        <v>7</v>
      </c>
      <c r="BY765" s="27" t="s">
        <v>8</v>
      </c>
      <c r="BZ765" s="27" t="s">
        <v>7</v>
      </c>
      <c r="CA765" s="27" t="s">
        <v>8</v>
      </c>
      <c r="CB765" s="27" t="s">
        <v>7</v>
      </c>
      <c r="CC765" s="27" t="s">
        <v>8</v>
      </c>
      <c r="CD765" s="27" t="s">
        <v>7</v>
      </c>
      <c r="CG765" s="27" t="s">
        <v>8</v>
      </c>
      <c r="CH765" s="27" t="s">
        <v>7</v>
      </c>
      <c r="CI765" s="27" t="s">
        <v>8</v>
      </c>
      <c r="CJ765" s="27" t="s">
        <v>7</v>
      </c>
      <c r="CK765" s="27" t="s">
        <v>8</v>
      </c>
      <c r="CL765" s="27" t="s">
        <v>7</v>
      </c>
      <c r="CM765" s="27" t="s">
        <v>8</v>
      </c>
      <c r="CT765" s="27" t="s">
        <v>7</v>
      </c>
      <c r="CU765" s="27" t="s">
        <v>8</v>
      </c>
      <c r="CV765" s="27" t="s">
        <v>7</v>
      </c>
      <c r="CW765" s="27" t="s">
        <v>8</v>
      </c>
      <c r="CX765" s="27" t="s">
        <v>7</v>
      </c>
    </row>
    <row r="766" spans="1:164" x14ac:dyDescent="0.25">
      <c r="A766" s="7">
        <v>2.8878142467565884E-2</v>
      </c>
      <c r="B766"/>
      <c r="C766"/>
      <c r="D766"/>
      <c r="E766"/>
      <c r="AL766" s="27" t="s">
        <v>7</v>
      </c>
      <c r="BY766" s="27" t="s">
        <v>8</v>
      </c>
      <c r="BZ766" s="27" t="s">
        <v>7</v>
      </c>
      <c r="CA766" s="27" t="s">
        <v>8</v>
      </c>
      <c r="CB766" s="27" t="s">
        <v>7</v>
      </c>
      <c r="CC766" s="27" t="s">
        <v>8</v>
      </c>
      <c r="CD766" s="27" t="s">
        <v>7</v>
      </c>
      <c r="CE766" s="27" t="s">
        <v>8</v>
      </c>
      <c r="CG766" s="27" t="s">
        <v>8</v>
      </c>
      <c r="CH766" s="27" t="s">
        <v>7</v>
      </c>
      <c r="CJ766" s="27" t="s">
        <v>7</v>
      </c>
      <c r="CL766" s="27" t="s">
        <v>7</v>
      </c>
      <c r="CM766" s="27" t="s">
        <v>8</v>
      </c>
      <c r="CT766" s="27" t="s">
        <v>7</v>
      </c>
      <c r="CU766" s="27" t="s">
        <v>8</v>
      </c>
      <c r="CV766" s="27" t="s">
        <v>7</v>
      </c>
      <c r="CW766" s="27" t="s">
        <v>8</v>
      </c>
    </row>
    <row r="767" spans="1:164" x14ac:dyDescent="0.25">
      <c r="A767" s="7">
        <v>2.8311904379966554E-2</v>
      </c>
      <c r="B767"/>
      <c r="C767"/>
      <c r="D767"/>
      <c r="E767"/>
      <c r="AL767" s="27" t="s">
        <v>7</v>
      </c>
      <c r="BY767" s="27" t="s">
        <v>8</v>
      </c>
      <c r="BZ767" s="27" t="s">
        <v>7</v>
      </c>
      <c r="CA767" s="27" t="s">
        <v>8</v>
      </c>
      <c r="CB767" s="27" t="s">
        <v>7</v>
      </c>
      <c r="CC767" s="27" t="s">
        <v>8</v>
      </c>
      <c r="CD767" s="27" t="s">
        <v>7</v>
      </c>
      <c r="CE767" s="27" t="s">
        <v>8</v>
      </c>
      <c r="CF767" s="27" t="s">
        <v>7</v>
      </c>
      <c r="CG767" s="27" t="s">
        <v>8</v>
      </c>
      <c r="CL767" s="27" t="s">
        <v>7</v>
      </c>
      <c r="CM767" s="27" t="s">
        <v>8</v>
      </c>
      <c r="CT767" s="27" t="s">
        <v>7</v>
      </c>
      <c r="CU767" s="27" t="s">
        <v>8</v>
      </c>
      <c r="CV767" s="27" t="s">
        <v>7</v>
      </c>
    </row>
    <row r="768" spans="1:164" x14ac:dyDescent="0.25">
      <c r="A768" s="7">
        <v>2.7756768999967207E-2</v>
      </c>
      <c r="B768"/>
      <c r="C768"/>
      <c r="D768"/>
      <c r="E768"/>
      <c r="AL768" s="27" t="s">
        <v>7</v>
      </c>
      <c r="BY768" s="27" t="s">
        <v>8</v>
      </c>
      <c r="BZ768" s="27" t="s">
        <v>7</v>
      </c>
      <c r="CA768" s="27" t="s">
        <v>8</v>
      </c>
      <c r="CB768" s="27" t="s">
        <v>7</v>
      </c>
      <c r="CC768" s="27" t="s">
        <v>8</v>
      </c>
      <c r="CD768" s="27" t="s">
        <v>7</v>
      </c>
      <c r="CE768" s="27" t="s">
        <v>8</v>
      </c>
      <c r="CF768" s="27" t="s">
        <v>7</v>
      </c>
      <c r="CG768" s="27" t="s">
        <v>8</v>
      </c>
      <c r="CL768" s="27" t="s">
        <v>7</v>
      </c>
      <c r="CM768" s="27" t="s">
        <v>8</v>
      </c>
      <c r="CT768" s="27" t="s">
        <v>7</v>
      </c>
      <c r="CU768" s="27" t="s">
        <v>8</v>
      </c>
    </row>
    <row r="769" spans="1:98" x14ac:dyDescent="0.25">
      <c r="A769" s="7">
        <v>2.7212518627418834E-2</v>
      </c>
      <c r="B769"/>
      <c r="C769"/>
      <c r="D769"/>
      <c r="E769"/>
      <c r="AL769" s="27" t="s">
        <v>7</v>
      </c>
      <c r="BY769" s="27" t="s">
        <v>8</v>
      </c>
      <c r="BZ769" s="27" t="s">
        <v>7</v>
      </c>
      <c r="CA769" s="27" t="s">
        <v>8</v>
      </c>
      <c r="CB769" s="27" t="s">
        <v>7</v>
      </c>
      <c r="CC769" s="27" t="s">
        <v>8</v>
      </c>
      <c r="CD769" s="27" t="s">
        <v>7</v>
      </c>
      <c r="CE769" s="27" t="s">
        <v>8</v>
      </c>
      <c r="CF769" s="27" t="s">
        <v>7</v>
      </c>
      <c r="CG769" s="27" t="s">
        <v>8</v>
      </c>
      <c r="CL769" s="27" t="s">
        <v>7</v>
      </c>
      <c r="CT769" s="27" t="s">
        <v>7</v>
      </c>
    </row>
    <row r="770" spans="1:98" x14ac:dyDescent="0.25">
      <c r="A770" s="7">
        <v>2.6678939830802779E-2</v>
      </c>
      <c r="B770"/>
      <c r="C770"/>
      <c r="D770"/>
      <c r="E770"/>
      <c r="AL770" s="27" t="s">
        <v>7</v>
      </c>
      <c r="BY770" s="27" t="s">
        <v>8</v>
      </c>
      <c r="BZ770" s="27" t="s">
        <v>7</v>
      </c>
      <c r="CA770" s="27" t="s">
        <v>8</v>
      </c>
      <c r="CB770" s="27" t="s">
        <v>7</v>
      </c>
      <c r="CC770" s="27" t="s">
        <v>8</v>
      </c>
      <c r="CD770" s="27" t="s">
        <v>7</v>
      </c>
      <c r="CF770" s="27" t="s">
        <v>7</v>
      </c>
      <c r="CG770" s="27" t="s">
        <v>8</v>
      </c>
    </row>
    <row r="771" spans="1:98" x14ac:dyDescent="0.25">
      <c r="A771" s="7">
        <v>2.615582336353214E-2</v>
      </c>
      <c r="B771"/>
      <c r="C771"/>
      <c r="D771"/>
      <c r="E771"/>
      <c r="AL771" s="27" t="s">
        <v>7</v>
      </c>
      <c r="BY771" s="27" t="s">
        <v>8</v>
      </c>
      <c r="BZ771" s="27" t="s">
        <v>7</v>
      </c>
      <c r="CB771" s="27" t="s">
        <v>7</v>
      </c>
      <c r="CC771" s="27" t="s">
        <v>8</v>
      </c>
      <c r="CF771" s="27" t="s">
        <v>7</v>
      </c>
      <c r="CG771" s="27" t="s">
        <v>8</v>
      </c>
    </row>
    <row r="772" spans="1:98" x14ac:dyDescent="0.25">
      <c r="A772" s="7">
        <v>2.5642964081894253E-2</v>
      </c>
      <c r="B772"/>
      <c r="C772"/>
      <c r="D772"/>
      <c r="E772"/>
      <c r="AL772" s="27" t="s">
        <v>7</v>
      </c>
      <c r="BY772" s="27" t="s">
        <v>8</v>
      </c>
      <c r="CB772" s="27" t="s">
        <v>7</v>
      </c>
      <c r="CF772" s="27" t="s">
        <v>7</v>
      </c>
      <c r="CG772" s="27" t="s">
        <v>8</v>
      </c>
    </row>
    <row r="773" spans="1:98" x14ac:dyDescent="0.25">
      <c r="A773" s="7">
        <v>2.5140160864602207E-2</v>
      </c>
      <c r="B773"/>
      <c r="C773"/>
      <c r="D773"/>
      <c r="E773"/>
      <c r="AL773" s="27" t="s">
        <v>7</v>
      </c>
      <c r="BY773" s="27" t="s">
        <v>8</v>
      </c>
      <c r="CF773" s="27" t="s">
        <v>7</v>
      </c>
    </row>
    <row r="774" spans="1:98" x14ac:dyDescent="0.25">
      <c r="A774" s="7">
        <v>2.4647216533923735E-2</v>
      </c>
      <c r="B774"/>
      <c r="C774"/>
      <c r="D774"/>
      <c r="E774"/>
      <c r="AL774" s="27" t="s">
        <v>7</v>
      </c>
      <c r="BW774" s="27" t="s">
        <v>8</v>
      </c>
      <c r="BY774" s="27" t="s">
        <v>8</v>
      </c>
    </row>
    <row r="775" spans="1:98" x14ac:dyDescent="0.25">
      <c r="A775" s="7">
        <v>2.4163937778356601E-2</v>
      </c>
      <c r="B775"/>
      <c r="C775"/>
      <c r="D775"/>
      <c r="E775"/>
      <c r="AL775" s="27" t="s">
        <v>7</v>
      </c>
      <c r="BM775" s="27" t="s">
        <v>8</v>
      </c>
      <c r="BS775" s="27" t="s">
        <v>8</v>
      </c>
      <c r="BW775" s="27" t="s">
        <v>8</v>
      </c>
      <c r="BX775" s="27" t="s">
        <v>7</v>
      </c>
      <c r="BY775" s="27" t="s">
        <v>8</v>
      </c>
    </row>
    <row r="776" spans="1:98" x14ac:dyDescent="0.25">
      <c r="A776" s="7">
        <v>2.3690135076820197E-2</v>
      </c>
      <c r="B776"/>
      <c r="C776"/>
      <c r="D776"/>
      <c r="E776"/>
      <c r="AL776" s="27" t="s">
        <v>7</v>
      </c>
      <c r="BM776" s="27" t="s">
        <v>8</v>
      </c>
      <c r="BN776" s="27" t="s">
        <v>7</v>
      </c>
      <c r="BO776" s="27" t="s">
        <v>8</v>
      </c>
      <c r="BS776" s="27" t="s">
        <v>8</v>
      </c>
      <c r="BT776" s="27" t="s">
        <v>7</v>
      </c>
      <c r="BW776" s="27" t="s">
        <v>8</v>
      </c>
      <c r="BX776" s="27" t="s">
        <v>7</v>
      </c>
      <c r="BY776" s="27" t="s">
        <v>8</v>
      </c>
    </row>
    <row r="777" spans="1:98" x14ac:dyDescent="0.25">
      <c r="A777" s="7">
        <v>2.3225622624333527E-2</v>
      </c>
      <c r="B777"/>
      <c r="C777"/>
      <c r="D777"/>
      <c r="E777"/>
      <c r="AL777" s="27" t="s">
        <v>7</v>
      </c>
      <c r="BK777" s="27" t="s">
        <v>8</v>
      </c>
      <c r="BM777" s="27" t="s">
        <v>8</v>
      </c>
      <c r="BN777" s="27" t="s">
        <v>7</v>
      </c>
      <c r="BO777" s="27" t="s">
        <v>8</v>
      </c>
      <c r="BP777" s="27" t="s">
        <v>7</v>
      </c>
      <c r="BS777" s="27" t="s">
        <v>8</v>
      </c>
      <c r="BT777" s="27" t="s">
        <v>7</v>
      </c>
      <c r="BW777" s="27" t="s">
        <v>8</v>
      </c>
      <c r="BX777" s="27" t="s">
        <v>7</v>
      </c>
      <c r="BY777" s="27" t="s">
        <v>8</v>
      </c>
    </row>
    <row r="778" spans="1:98" x14ac:dyDescent="0.25">
      <c r="A778" s="7">
        <v>2.2770218259150519E-2</v>
      </c>
      <c r="B778"/>
      <c r="C778"/>
      <c r="D778"/>
      <c r="E778"/>
      <c r="AL778" s="27" t="s">
        <v>7</v>
      </c>
      <c r="AU778" s="27" t="s">
        <v>8</v>
      </c>
      <c r="BK778" s="27" t="s">
        <v>8</v>
      </c>
      <c r="BL778" s="27" t="s">
        <v>7</v>
      </c>
      <c r="BM778" s="27" t="s">
        <v>8</v>
      </c>
      <c r="BN778" s="27" t="s">
        <v>7</v>
      </c>
      <c r="BO778" s="27" t="s">
        <v>8</v>
      </c>
      <c r="BP778" s="27" t="s">
        <v>7</v>
      </c>
      <c r="BS778" s="27" t="s">
        <v>8</v>
      </c>
      <c r="BT778" s="27" t="s">
        <v>7</v>
      </c>
      <c r="BU778" s="27" t="s">
        <v>8</v>
      </c>
      <c r="BW778" s="27" t="s">
        <v>8</v>
      </c>
      <c r="BX778" s="27" t="s">
        <v>7</v>
      </c>
      <c r="BY778" s="27" t="s">
        <v>8</v>
      </c>
    </row>
    <row r="779" spans="1:98" x14ac:dyDescent="0.25">
      <c r="A779" s="7">
        <v>2.2323743391324039E-2</v>
      </c>
      <c r="B779"/>
      <c r="C779"/>
      <c r="D779"/>
      <c r="E779"/>
      <c r="AL779" s="27" t="s">
        <v>7</v>
      </c>
      <c r="AU779" s="27" t="s">
        <v>8</v>
      </c>
      <c r="AV779" s="27" t="s">
        <v>7</v>
      </c>
      <c r="BK779" s="27" t="s">
        <v>8</v>
      </c>
      <c r="BL779" s="27" t="s">
        <v>7</v>
      </c>
      <c r="BM779" s="27" t="s">
        <v>8</v>
      </c>
      <c r="BN779" s="27" t="s">
        <v>7</v>
      </c>
      <c r="BP779" s="27" t="s">
        <v>7</v>
      </c>
      <c r="BS779" s="27" t="s">
        <v>8</v>
      </c>
      <c r="BT779" s="27" t="s">
        <v>7</v>
      </c>
      <c r="BU779" s="27" t="s">
        <v>8</v>
      </c>
      <c r="BV779" s="27" t="s">
        <v>7</v>
      </c>
      <c r="BW779" s="27" t="s">
        <v>8</v>
      </c>
      <c r="BX779" s="27" t="s">
        <v>7</v>
      </c>
      <c r="BY779" s="27" t="s">
        <v>8</v>
      </c>
    </row>
    <row r="780" spans="1:98" x14ac:dyDescent="0.25">
      <c r="A780" s="7">
        <v>2.188602293267063E-2</v>
      </c>
      <c r="B780"/>
      <c r="C780"/>
      <c r="D780"/>
      <c r="E780"/>
      <c r="AL780" s="27" t="s">
        <v>7</v>
      </c>
      <c r="AU780" s="27" t="s">
        <v>8</v>
      </c>
      <c r="AV780" s="27" t="s">
        <v>7</v>
      </c>
      <c r="BK780" s="27" t="s">
        <v>8</v>
      </c>
      <c r="BL780" s="27" t="s">
        <v>7</v>
      </c>
      <c r="BM780" s="27" t="s">
        <v>8</v>
      </c>
      <c r="BP780" s="27" t="s">
        <v>7</v>
      </c>
      <c r="BQ780" s="27" t="s">
        <v>8</v>
      </c>
      <c r="BS780" s="27" t="s">
        <v>8</v>
      </c>
      <c r="BT780" s="27" t="s">
        <v>7</v>
      </c>
      <c r="BU780" s="27" t="s">
        <v>8</v>
      </c>
      <c r="BV780" s="27" t="s">
        <v>7</v>
      </c>
      <c r="BW780" s="27" t="s">
        <v>8</v>
      </c>
      <c r="BX780" s="27" t="s">
        <v>7</v>
      </c>
    </row>
    <row r="781" spans="1:98" x14ac:dyDescent="0.25">
      <c r="A781" s="7">
        <v>2.1456885228108461E-2</v>
      </c>
      <c r="B781"/>
      <c r="C781"/>
      <c r="D781"/>
      <c r="E781"/>
      <c r="AL781" s="27" t="s">
        <v>7</v>
      </c>
      <c r="AU781" s="27" t="s">
        <v>8</v>
      </c>
      <c r="AV781" s="27" t="s">
        <v>7</v>
      </c>
      <c r="BI781" s="27" t="s">
        <v>8</v>
      </c>
      <c r="BK781" s="27" t="s">
        <v>8</v>
      </c>
      <c r="BL781" s="27" t="s">
        <v>7</v>
      </c>
      <c r="BM781" s="27" t="s">
        <v>8</v>
      </c>
      <c r="BP781" s="27" t="s">
        <v>7</v>
      </c>
      <c r="BQ781" s="27" t="s">
        <v>8</v>
      </c>
      <c r="BR781" s="27" t="s">
        <v>7</v>
      </c>
      <c r="BS781" s="27" t="s">
        <v>8</v>
      </c>
      <c r="BT781" s="27" t="s">
        <v>7</v>
      </c>
      <c r="BU781" s="27" t="s">
        <v>8</v>
      </c>
      <c r="BV781" s="27" t="s">
        <v>7</v>
      </c>
      <c r="BW781" s="27" t="s">
        <v>8</v>
      </c>
    </row>
    <row r="782" spans="1:98" x14ac:dyDescent="0.25">
      <c r="A782" s="7">
        <v>2.1036161988341632E-2</v>
      </c>
      <c r="B782"/>
      <c r="C782"/>
      <c r="D782"/>
      <c r="E782"/>
      <c r="AL782" s="27" t="s">
        <v>7</v>
      </c>
      <c r="AU782" s="27" t="s">
        <v>8</v>
      </c>
      <c r="AV782" s="27" t="s">
        <v>7</v>
      </c>
      <c r="BI782" s="27" t="s">
        <v>8</v>
      </c>
      <c r="BJ782" s="27" t="s">
        <v>7</v>
      </c>
      <c r="BK782" s="27" t="s">
        <v>8</v>
      </c>
      <c r="BL782" s="27" t="s">
        <v>7</v>
      </c>
      <c r="BM782" s="27" t="s">
        <v>8</v>
      </c>
      <c r="BP782" s="27" t="s">
        <v>7</v>
      </c>
      <c r="BQ782" s="27" t="s">
        <v>8</v>
      </c>
      <c r="BR782" s="27" t="s">
        <v>7</v>
      </c>
      <c r="BS782" s="27" t="s">
        <v>8</v>
      </c>
      <c r="BT782" s="27" t="s">
        <v>7</v>
      </c>
      <c r="BU782" s="27" t="s">
        <v>8</v>
      </c>
      <c r="BV782" s="27" t="s">
        <v>7</v>
      </c>
      <c r="BW782" s="27" t="s">
        <v>8</v>
      </c>
    </row>
    <row r="783" spans="1:98" x14ac:dyDescent="0.25">
      <c r="A783" s="7">
        <v>2.0623688223864345E-2</v>
      </c>
      <c r="B783"/>
      <c r="C783"/>
      <c r="D783"/>
      <c r="E783"/>
      <c r="AL783" s="27" t="s">
        <v>7</v>
      </c>
      <c r="AU783" s="27" t="s">
        <v>8</v>
      </c>
      <c r="AV783" s="27" t="s">
        <v>7</v>
      </c>
      <c r="BA783" s="27" t="s">
        <v>8</v>
      </c>
      <c r="BI783" s="27" t="s">
        <v>8</v>
      </c>
      <c r="BJ783" s="27" t="s">
        <v>7</v>
      </c>
      <c r="BK783" s="27" t="s">
        <v>8</v>
      </c>
      <c r="BL783" s="27" t="s">
        <v>7</v>
      </c>
      <c r="BP783" s="27" t="s">
        <v>7</v>
      </c>
      <c r="BR783" s="27" t="s">
        <v>7</v>
      </c>
      <c r="BS783" s="27" t="s">
        <v>8</v>
      </c>
      <c r="BT783" s="27" t="s">
        <v>7</v>
      </c>
      <c r="BV783" s="27" t="s">
        <v>7</v>
      </c>
      <c r="BW783" s="27" t="s">
        <v>8</v>
      </c>
    </row>
    <row r="784" spans="1:98" x14ac:dyDescent="0.25">
      <c r="A784" s="7">
        <v>2.021930218025916E-2</v>
      </c>
      <c r="B784"/>
      <c r="C784"/>
      <c r="D784"/>
      <c r="E784"/>
      <c r="AL784" s="27" t="s">
        <v>7</v>
      </c>
      <c r="AU784" s="27" t="s">
        <v>8</v>
      </c>
      <c r="AV784" s="27" t="s">
        <v>7</v>
      </c>
      <c r="BA784" s="27" t="s">
        <v>8</v>
      </c>
      <c r="BB784" s="27" t="s">
        <v>7</v>
      </c>
      <c r="BG784" s="27" t="s">
        <v>8</v>
      </c>
      <c r="BI784" s="27" t="s">
        <v>8</v>
      </c>
      <c r="BJ784" s="27" t="s">
        <v>7</v>
      </c>
      <c r="BK784" s="27" t="s">
        <v>8</v>
      </c>
      <c r="BR784" s="27" t="s">
        <v>7</v>
      </c>
      <c r="BS784" s="27" t="s">
        <v>8</v>
      </c>
      <c r="BV784" s="27" t="s">
        <v>7</v>
      </c>
    </row>
    <row r="785" spans="1:71" x14ac:dyDescent="0.25">
      <c r="A785" s="7">
        <v>1.9822845274763884E-2</v>
      </c>
      <c r="B785"/>
      <c r="C785"/>
      <c r="D785"/>
      <c r="E785"/>
      <c r="AL785" s="27" t="s">
        <v>7</v>
      </c>
      <c r="AU785" s="27" t="s">
        <v>8</v>
      </c>
      <c r="AV785" s="27" t="s">
        <v>7</v>
      </c>
      <c r="BA785" s="27" t="s">
        <v>8</v>
      </c>
      <c r="BB785" s="27" t="s">
        <v>7</v>
      </c>
      <c r="BG785" s="27" t="s">
        <v>8</v>
      </c>
      <c r="BH785" s="27" t="s">
        <v>7</v>
      </c>
      <c r="BI785" s="27" t="s">
        <v>8</v>
      </c>
      <c r="BJ785" s="27" t="s">
        <v>7</v>
      </c>
      <c r="BK785" s="27" t="s">
        <v>8</v>
      </c>
      <c r="BR785" s="27" t="s">
        <v>7</v>
      </c>
      <c r="BS785" s="27" t="s">
        <v>8</v>
      </c>
    </row>
    <row r="786" spans="1:71" x14ac:dyDescent="0.25">
      <c r="A786" s="7">
        <v>1.9434162034082238E-2</v>
      </c>
      <c r="B786"/>
      <c r="C786"/>
      <c r="D786"/>
      <c r="E786"/>
      <c r="AL786" s="27" t="s">
        <v>7</v>
      </c>
      <c r="AQ786" s="27" t="s">
        <v>8</v>
      </c>
      <c r="AU786" s="27" t="s">
        <v>8</v>
      </c>
      <c r="AV786" s="27" t="s">
        <v>7</v>
      </c>
      <c r="AY786" s="27" t="s">
        <v>8</v>
      </c>
      <c r="BA786" s="27" t="s">
        <v>8</v>
      </c>
      <c r="BB786" s="27" t="s">
        <v>7</v>
      </c>
      <c r="BG786" s="27" t="s">
        <v>8</v>
      </c>
      <c r="BH786" s="27" t="s">
        <v>7</v>
      </c>
      <c r="BI786" s="27" t="s">
        <v>8</v>
      </c>
      <c r="BJ786" s="27" t="s">
        <v>7</v>
      </c>
      <c r="BR786" s="27" t="s">
        <v>7</v>
      </c>
      <c r="BS786" s="27" t="s">
        <v>8</v>
      </c>
    </row>
    <row r="787" spans="1:71" x14ac:dyDescent="0.25">
      <c r="A787" s="7">
        <v>1.9053100033413959E-2</v>
      </c>
      <c r="B787"/>
      <c r="C787"/>
      <c r="D787"/>
      <c r="E787"/>
      <c r="AL787" s="27" t="s">
        <v>7</v>
      </c>
      <c r="AQ787" s="27" t="s">
        <v>8</v>
      </c>
      <c r="AR787" s="27" t="s">
        <v>7</v>
      </c>
      <c r="AU787" s="27" t="s">
        <v>8</v>
      </c>
      <c r="AV787" s="27" t="s">
        <v>7</v>
      </c>
      <c r="AY787" s="27" t="s">
        <v>8</v>
      </c>
      <c r="AZ787" s="27" t="s">
        <v>7</v>
      </c>
      <c r="BA787" s="27" t="s">
        <v>8</v>
      </c>
      <c r="BB787" s="27" t="s">
        <v>7</v>
      </c>
      <c r="BG787" s="27" t="s">
        <v>8</v>
      </c>
      <c r="BH787" s="27" t="s">
        <v>7</v>
      </c>
      <c r="BI787" s="27" t="s">
        <v>8</v>
      </c>
      <c r="BR787" s="27" t="s">
        <v>7</v>
      </c>
      <c r="BS787" s="27" t="s">
        <v>8</v>
      </c>
    </row>
    <row r="788" spans="1:71" x14ac:dyDescent="0.25">
      <c r="A788" s="7">
        <v>1.867950983668035E-2</v>
      </c>
      <c r="B788"/>
      <c r="C788"/>
      <c r="D788"/>
      <c r="E788"/>
      <c r="AL788" s="27" t="s">
        <v>7</v>
      </c>
      <c r="AQ788" s="27" t="s">
        <v>8</v>
      </c>
      <c r="AR788" s="27" t="s">
        <v>7</v>
      </c>
      <c r="AU788" s="27" t="s">
        <v>8</v>
      </c>
      <c r="AV788" s="27" t="s">
        <v>7</v>
      </c>
      <c r="AY788" s="27" t="s">
        <v>8</v>
      </c>
      <c r="AZ788" s="27" t="s">
        <v>7</v>
      </c>
      <c r="BA788" s="27" t="s">
        <v>8</v>
      </c>
      <c r="BB788" s="27" t="s">
        <v>7</v>
      </c>
      <c r="BE788" s="27" t="s">
        <v>8</v>
      </c>
      <c r="BG788" s="27" t="s">
        <v>8</v>
      </c>
      <c r="BH788" s="27" t="s">
        <v>7</v>
      </c>
      <c r="BI788" s="27" t="s">
        <v>8</v>
      </c>
      <c r="BR788" s="27" t="s">
        <v>7</v>
      </c>
      <c r="BS788" s="27" t="s">
        <v>8</v>
      </c>
    </row>
    <row r="789" spans="1:71" x14ac:dyDescent="0.25">
      <c r="A789" s="7">
        <v>1.8313244937921913E-2</v>
      </c>
      <c r="B789"/>
      <c r="C789"/>
      <c r="D789"/>
      <c r="E789"/>
      <c r="AL789" s="27" t="s">
        <v>7</v>
      </c>
      <c r="AQ789" s="27" t="s">
        <v>8</v>
      </c>
      <c r="AR789" s="27" t="s">
        <v>7</v>
      </c>
      <c r="AU789" s="27" t="s">
        <v>8</v>
      </c>
      <c r="AV789" s="27" t="s">
        <v>7</v>
      </c>
      <c r="AW789" s="27" t="s">
        <v>8</v>
      </c>
      <c r="AY789" s="27" t="s">
        <v>8</v>
      </c>
      <c r="AZ789" s="27" t="s">
        <v>7</v>
      </c>
      <c r="BB789" s="27" t="s">
        <v>7</v>
      </c>
      <c r="BC789" s="27" t="s">
        <v>8</v>
      </c>
      <c r="BE789" s="27" t="s">
        <v>8</v>
      </c>
      <c r="BF789" s="27" t="s">
        <v>7</v>
      </c>
      <c r="BG789" s="27" t="s">
        <v>8</v>
      </c>
      <c r="BH789" s="27" t="s">
        <v>7</v>
      </c>
      <c r="BI789" s="27" t="s">
        <v>8</v>
      </c>
      <c r="BR789" s="27" t="s">
        <v>7</v>
      </c>
      <c r="BS789" s="27" t="s">
        <v>8</v>
      </c>
    </row>
    <row r="790" spans="1:71" x14ac:dyDescent="0.25">
      <c r="A790" s="7">
        <v>1.7954161703845013E-2</v>
      </c>
      <c r="B790"/>
      <c r="C790"/>
      <c r="D790"/>
      <c r="E790"/>
      <c r="AL790" s="27" t="s">
        <v>7</v>
      </c>
      <c r="AM790" s="27" t="s">
        <v>8</v>
      </c>
      <c r="AQ790" s="27" t="s">
        <v>8</v>
      </c>
      <c r="AR790" s="27" t="s">
        <v>7</v>
      </c>
      <c r="AU790" s="27" t="s">
        <v>8</v>
      </c>
      <c r="AV790" s="27" t="s">
        <v>7</v>
      </c>
      <c r="AW790" s="27" t="s">
        <v>8</v>
      </c>
      <c r="AX790" s="27" t="s">
        <v>7</v>
      </c>
      <c r="AY790" s="27" t="s">
        <v>8</v>
      </c>
      <c r="BB790" s="27" t="s">
        <v>7</v>
      </c>
      <c r="BC790" s="27" t="s">
        <v>8</v>
      </c>
      <c r="BD790" s="27" t="s">
        <v>7</v>
      </c>
      <c r="BE790" s="27" t="s">
        <v>8</v>
      </c>
      <c r="BF790" s="27" t="s">
        <v>7</v>
      </c>
      <c r="BG790" s="27" t="s">
        <v>8</v>
      </c>
      <c r="BH790" s="27" t="s">
        <v>7</v>
      </c>
      <c r="BI790" s="27" t="s">
        <v>8</v>
      </c>
      <c r="BR790" s="27" t="s">
        <v>7</v>
      </c>
      <c r="BS790" s="27" t="s">
        <v>8</v>
      </c>
    </row>
    <row r="791" spans="1:71" x14ac:dyDescent="0.25">
      <c r="A791" s="7">
        <v>1.7602119317495109E-2</v>
      </c>
      <c r="B791"/>
      <c r="C791"/>
      <c r="D791"/>
      <c r="E791"/>
      <c r="AL791" s="27" t="s">
        <v>7</v>
      </c>
      <c r="AM791" s="27" t="s">
        <v>8</v>
      </c>
      <c r="AN791" s="27" t="s">
        <v>7</v>
      </c>
      <c r="AQ791" s="27" t="s">
        <v>8</v>
      </c>
      <c r="AR791" s="27" t="s">
        <v>7</v>
      </c>
      <c r="AS791" s="27" t="s">
        <v>8</v>
      </c>
      <c r="AU791" s="27" t="s">
        <v>8</v>
      </c>
      <c r="AV791" s="27" t="s">
        <v>7</v>
      </c>
      <c r="AW791" s="27" t="s">
        <v>8</v>
      </c>
      <c r="AX791" s="27" t="s">
        <v>7</v>
      </c>
      <c r="AY791" s="27" t="s">
        <v>8</v>
      </c>
      <c r="BB791" s="27" t="s">
        <v>7</v>
      </c>
      <c r="BC791" s="27" t="s">
        <v>8</v>
      </c>
      <c r="BD791" s="27" t="s">
        <v>7</v>
      </c>
      <c r="BE791" s="27" t="s">
        <v>8</v>
      </c>
      <c r="BF791" s="27" t="s">
        <v>7</v>
      </c>
      <c r="BG791" s="27" t="s">
        <v>8</v>
      </c>
      <c r="BH791" s="27" t="s">
        <v>7</v>
      </c>
      <c r="BR791" s="27" t="s">
        <v>7</v>
      </c>
      <c r="BS791" s="27" t="s">
        <v>8</v>
      </c>
    </row>
    <row r="792" spans="1:71" x14ac:dyDescent="0.25">
      <c r="A792" s="7">
        <v>1.7256979723034419E-2</v>
      </c>
      <c r="B792"/>
      <c r="C792"/>
      <c r="D792"/>
      <c r="E792"/>
      <c r="AL792" s="27" t="s">
        <v>7</v>
      </c>
      <c r="AM792" s="27" t="s">
        <v>8</v>
      </c>
      <c r="AN792" s="27" t="s">
        <v>7</v>
      </c>
      <c r="AQ792" s="27" t="s">
        <v>8</v>
      </c>
      <c r="AR792" s="27" t="s">
        <v>7</v>
      </c>
      <c r="AS792" s="27" t="s">
        <v>8</v>
      </c>
      <c r="AT792" s="27" t="s">
        <v>7</v>
      </c>
      <c r="AU792" s="27" t="s">
        <v>8</v>
      </c>
      <c r="AV792" s="27" t="s">
        <v>7</v>
      </c>
      <c r="AW792" s="27" t="s">
        <v>8</v>
      </c>
      <c r="AX792" s="27" t="s">
        <v>7</v>
      </c>
      <c r="BB792" s="27" t="s">
        <v>7</v>
      </c>
      <c r="BC792" s="27" t="s">
        <v>8</v>
      </c>
      <c r="BD792" s="27" t="s">
        <v>7</v>
      </c>
      <c r="BE792" s="27" t="s">
        <v>8</v>
      </c>
      <c r="BF792" s="27" t="s">
        <v>7</v>
      </c>
      <c r="BG792" s="27" t="s">
        <v>8</v>
      </c>
      <c r="BR792" s="27" t="s">
        <v>7</v>
      </c>
    </row>
    <row r="793" spans="1:71" x14ac:dyDescent="0.25">
      <c r="A793" s="7">
        <v>1.6918607571602372E-2</v>
      </c>
      <c r="B793"/>
      <c r="C793"/>
      <c r="D793"/>
      <c r="E793"/>
      <c r="AL793" s="27" t="s">
        <v>7</v>
      </c>
      <c r="AM793" s="27" t="s">
        <v>8</v>
      </c>
      <c r="AN793" s="27" t="s">
        <v>7</v>
      </c>
      <c r="AQ793" s="27" t="s">
        <v>8</v>
      </c>
      <c r="AR793" s="27" t="s">
        <v>7</v>
      </c>
      <c r="AS793" s="27" t="s">
        <v>8</v>
      </c>
      <c r="AT793" s="27" t="s">
        <v>7</v>
      </c>
      <c r="AU793" s="27" t="s">
        <v>8</v>
      </c>
      <c r="AV793" s="27" t="s">
        <v>7</v>
      </c>
      <c r="AW793" s="27" t="s">
        <v>8</v>
      </c>
      <c r="BB793" s="27" t="s">
        <v>7</v>
      </c>
      <c r="BD793" s="27" t="s">
        <v>7</v>
      </c>
      <c r="BF793" s="27" t="s">
        <v>7</v>
      </c>
    </row>
    <row r="794" spans="1:71" x14ac:dyDescent="0.25">
      <c r="A794" s="7">
        <v>1.6586870168237622E-2</v>
      </c>
      <c r="B794"/>
      <c r="C794"/>
      <c r="D794"/>
      <c r="E794"/>
      <c r="AL794" s="27" t="s">
        <v>7</v>
      </c>
      <c r="AM794" s="27" t="s">
        <v>8</v>
      </c>
      <c r="AN794" s="27" t="s">
        <v>7</v>
      </c>
      <c r="AQ794" s="27" t="s">
        <v>8</v>
      </c>
      <c r="AR794" s="27" t="s">
        <v>7</v>
      </c>
      <c r="AS794" s="27" t="s">
        <v>8</v>
      </c>
      <c r="AT794" s="27" t="s">
        <v>7</v>
      </c>
      <c r="AV794" s="27" t="s">
        <v>7</v>
      </c>
      <c r="AW794" s="27" t="s">
        <v>8</v>
      </c>
    </row>
    <row r="795" spans="1:71" x14ac:dyDescent="0.25">
      <c r="A795" s="7">
        <v>1.6261637419840807E-2</v>
      </c>
      <c r="B795"/>
      <c r="C795"/>
      <c r="D795"/>
      <c r="E795"/>
      <c r="AL795" s="27" t="s">
        <v>7</v>
      </c>
      <c r="AM795" s="27" t="s">
        <v>8</v>
      </c>
      <c r="AN795" s="27" t="s">
        <v>7</v>
      </c>
      <c r="AQ795" s="27" t="s">
        <v>8</v>
      </c>
      <c r="AR795" s="27" t="s">
        <v>7</v>
      </c>
      <c r="AS795" s="27" t="s">
        <v>8</v>
      </c>
      <c r="AV795" s="27" t="s">
        <v>7</v>
      </c>
      <c r="AW795" s="27" t="s">
        <v>8</v>
      </c>
    </row>
    <row r="796" spans="1:71" x14ac:dyDescent="0.25">
      <c r="A796" s="7">
        <v>1.5942781784157655E-2</v>
      </c>
      <c r="B796"/>
      <c r="C796"/>
      <c r="D796"/>
      <c r="E796"/>
      <c r="AL796" s="27" t="s">
        <v>7</v>
      </c>
      <c r="AM796" s="27" t="s">
        <v>8</v>
      </c>
      <c r="AN796" s="27" t="s">
        <v>7</v>
      </c>
      <c r="AQ796" s="27" t="s">
        <v>8</v>
      </c>
      <c r="AR796" s="27" t="s">
        <v>7</v>
      </c>
      <c r="AS796" s="27" t="s">
        <v>8</v>
      </c>
      <c r="AV796" s="27" t="s">
        <v>7</v>
      </c>
      <c r="AW796" s="27" t="s">
        <v>8</v>
      </c>
    </row>
    <row r="797" spans="1:71" x14ac:dyDescent="0.25">
      <c r="A797" s="7">
        <v>1.5630178219762408E-2</v>
      </c>
      <c r="B797"/>
      <c r="C797"/>
      <c r="D797"/>
      <c r="E797"/>
      <c r="AL797" s="27" t="s">
        <v>7</v>
      </c>
      <c r="AM797" s="27" t="s">
        <v>8</v>
      </c>
      <c r="AN797" s="27" t="s">
        <v>7</v>
      </c>
      <c r="AQ797" s="27" t="s">
        <v>8</v>
      </c>
      <c r="AR797" s="27" t="s">
        <v>7</v>
      </c>
      <c r="AS797" s="27" t="s">
        <v>8</v>
      </c>
      <c r="AV797" s="27" t="s">
        <v>7</v>
      </c>
    </row>
    <row r="798" spans="1:71" x14ac:dyDescent="0.25">
      <c r="A798" s="7">
        <v>1.5323704137021967E-2</v>
      </c>
      <c r="B798"/>
      <c r="C798"/>
      <c r="D798"/>
      <c r="E798"/>
      <c r="AL798" s="27" t="s">
        <v>7</v>
      </c>
      <c r="AM798" s="27" t="s">
        <v>8</v>
      </c>
      <c r="AN798" s="27" t="s">
        <v>7</v>
      </c>
      <c r="AO798" s="27" t="s">
        <v>8</v>
      </c>
      <c r="AQ798" s="27" t="s">
        <v>8</v>
      </c>
      <c r="AR798" s="27" t="s">
        <v>7</v>
      </c>
    </row>
    <row r="799" spans="1:71" x14ac:dyDescent="0.25">
      <c r="A799" s="7">
        <v>1.5023239350021535E-2</v>
      </c>
      <c r="B799"/>
      <c r="C799"/>
      <c r="D799"/>
      <c r="E799"/>
      <c r="AL799" s="27" t="s">
        <v>7</v>
      </c>
      <c r="AM799" s="27" t="s">
        <v>8</v>
      </c>
      <c r="AN799" s="27" t="s">
        <v>7</v>
      </c>
      <c r="AO799" s="27" t="s">
        <v>8</v>
      </c>
      <c r="AP799" s="27" t="s">
        <v>7</v>
      </c>
      <c r="AQ799" s="27" t="s">
        <v>8</v>
      </c>
    </row>
    <row r="800" spans="1:71" x14ac:dyDescent="0.25">
      <c r="A800" s="7">
        <v>1.4728666029432878E-2</v>
      </c>
      <c r="B800"/>
      <c r="C800"/>
      <c r="D800"/>
      <c r="E800"/>
      <c r="AL800" s="27" t="s">
        <v>7</v>
      </c>
      <c r="AM800" s="27" t="s">
        <v>8</v>
      </c>
      <c r="AN800" s="27" t="s">
        <v>7</v>
      </c>
      <c r="AO800" s="27" t="s">
        <v>8</v>
      </c>
      <c r="AP800" s="27" t="s">
        <v>7</v>
      </c>
      <c r="AQ800" s="27" t="s">
        <v>8</v>
      </c>
    </row>
    <row r="801" spans="1:43" x14ac:dyDescent="0.25">
      <c r="A801" s="7">
        <v>1.4439868656306743E-2</v>
      </c>
      <c r="B801"/>
      <c r="C801"/>
      <c r="D801"/>
      <c r="E801"/>
      <c r="AL801" s="27" t="s">
        <v>7</v>
      </c>
      <c r="AM801" s="27" t="s">
        <v>8</v>
      </c>
      <c r="AN801" s="27" t="s">
        <v>7</v>
      </c>
      <c r="AO801" s="27" t="s">
        <v>8</v>
      </c>
      <c r="AP801" s="27" t="s">
        <v>7</v>
      </c>
      <c r="AQ801" s="27" t="s">
        <v>8</v>
      </c>
    </row>
    <row r="802" spans="1:43" x14ac:dyDescent="0.25">
      <c r="A802" s="7">
        <v>1.4156733976771318E-2</v>
      </c>
      <c r="B802"/>
      <c r="C802"/>
      <c r="D802"/>
      <c r="E802"/>
      <c r="AL802" s="27" t="s">
        <v>7</v>
      </c>
      <c r="AM802" s="27" t="s">
        <v>8</v>
      </c>
      <c r="AN802" s="27" t="s">
        <v>7</v>
      </c>
      <c r="AO802" s="27" t="s">
        <v>8</v>
      </c>
      <c r="AP802" s="27" t="s">
        <v>7</v>
      </c>
    </row>
    <row r="803" spans="1:43" x14ac:dyDescent="0.25">
      <c r="A803" s="7">
        <v>1.3879150957618939E-2</v>
      </c>
      <c r="B803"/>
      <c r="C803"/>
      <c r="D803"/>
      <c r="E803"/>
      <c r="AL803" s="27" t="s">
        <v>7</v>
      </c>
      <c r="AM803" s="27" t="s">
        <v>8</v>
      </c>
      <c r="AN803" s="27" t="s">
        <v>7</v>
      </c>
      <c r="AO803" s="27" t="s">
        <v>8</v>
      </c>
    </row>
    <row r="804" spans="1:43" x14ac:dyDescent="0.25">
      <c r="A804" s="7">
        <v>1.3607010742763666E-2</v>
      </c>
      <c r="B804"/>
      <c r="C804"/>
      <c r="D804"/>
      <c r="E804"/>
      <c r="AL804" s="27" t="s">
        <v>7</v>
      </c>
      <c r="AM804" s="27" t="s">
        <v>8</v>
      </c>
      <c r="AN804" s="27" t="s">
        <v>7</v>
      </c>
      <c r="AO804" s="27" t="s">
        <v>8</v>
      </c>
    </row>
    <row r="805" spans="1:43" x14ac:dyDescent="0.25">
      <c r="A805" s="7">
        <v>1.3340206610552614E-2</v>
      </c>
      <c r="B805"/>
      <c r="C805"/>
      <c r="D805"/>
      <c r="E805"/>
      <c r="AL805" s="27" t="s">
        <v>7</v>
      </c>
      <c r="AM805" s="27" t="s">
        <v>8</v>
      </c>
      <c r="AN805" s="27" t="s">
        <v>7</v>
      </c>
      <c r="AO805" s="27" t="s">
        <v>8</v>
      </c>
    </row>
    <row r="806" spans="1:43" x14ac:dyDescent="0.25">
      <c r="A806" s="7">
        <v>1.3078633931914328E-2</v>
      </c>
      <c r="B806"/>
      <c r="C806"/>
      <c r="D806"/>
      <c r="E806"/>
      <c r="AL806" s="27" t="s">
        <v>7</v>
      </c>
      <c r="AM806" s="27" t="s">
        <v>8</v>
      </c>
      <c r="AN806" s="27" t="s">
        <v>7</v>
      </c>
      <c r="AO806" s="27" t="s">
        <v>8</v>
      </c>
    </row>
    <row r="807" spans="1:43" x14ac:dyDescent="0.25">
      <c r="A807" s="7">
        <v>1.2822190129327771E-2</v>
      </c>
      <c r="B807"/>
      <c r="C807"/>
      <c r="D807"/>
      <c r="E807"/>
      <c r="AL807" s="27" t="s">
        <v>7</v>
      </c>
      <c r="AM807" s="27" t="s">
        <v>8</v>
      </c>
      <c r="AN807" s="27" t="s">
        <v>7</v>
      </c>
      <c r="AO807" s="27" t="s">
        <v>8</v>
      </c>
    </row>
    <row r="808" spans="1:43" x14ac:dyDescent="0.25">
      <c r="A808" s="7">
        <v>1.2570774636595854E-2</v>
      </c>
      <c r="B808"/>
      <c r="C808"/>
      <c r="D808"/>
      <c r="E808"/>
      <c r="AL808" s="27" t="s">
        <v>7</v>
      </c>
      <c r="AM808" s="27" t="s">
        <v>8</v>
      </c>
      <c r="AN808" s="27" t="s">
        <v>7</v>
      </c>
      <c r="AO808" s="27" t="s">
        <v>8</v>
      </c>
    </row>
    <row r="809" spans="1:43" x14ac:dyDescent="0.25">
      <c r="A809" s="7">
        <v>1.23242888594077E-2</v>
      </c>
      <c r="B809"/>
      <c r="C809"/>
      <c r="D809"/>
      <c r="E809"/>
      <c r="AL809" s="27" t="s">
        <v>7</v>
      </c>
      <c r="AM809" s="27" t="s">
        <v>8</v>
      </c>
      <c r="AN809" s="27" t="s">
        <v>7</v>
      </c>
    </row>
    <row r="810" spans="1:43" x14ac:dyDescent="0.25">
      <c r="A810" s="7">
        <v>1.2082636136674216E-2</v>
      </c>
      <c r="B810"/>
      <c r="C810"/>
      <c r="D810"/>
      <c r="E810"/>
      <c r="AL810" s="27" t="s">
        <v>7</v>
      </c>
      <c r="AM810" s="27" t="s">
        <v>8</v>
      </c>
    </row>
    <row r="811" spans="1:43" x14ac:dyDescent="0.25">
      <c r="A811" s="7">
        <v>1.184572170262178E-2</v>
      </c>
      <c r="B811"/>
      <c r="C811"/>
      <c r="D811"/>
      <c r="E811"/>
      <c r="AL811" s="27" t="s">
        <v>7</v>
      </c>
      <c r="AM811" s="27" t="s">
        <v>8</v>
      </c>
    </row>
    <row r="812" spans="1:43" x14ac:dyDescent="0.25">
      <c r="A812" s="7">
        <v>1.1613452649629196E-2</v>
      </c>
      <c r="B812"/>
      <c r="C812"/>
      <c r="D812"/>
      <c r="E812"/>
      <c r="AL812" s="27" t="s">
        <v>7</v>
      </c>
      <c r="AM812" s="27" t="s">
        <v>8</v>
      </c>
    </row>
    <row r="813" spans="1:43" x14ac:dyDescent="0.25">
      <c r="A813" s="7">
        <v>1.138573789179333E-2</v>
      </c>
      <c r="B813"/>
      <c r="C813"/>
      <c r="D813"/>
      <c r="E813"/>
      <c r="AL813" s="27" t="s">
        <v>7</v>
      </c>
      <c r="AM813" s="27" t="s">
        <v>8</v>
      </c>
    </row>
    <row r="814" spans="1:43" x14ac:dyDescent="0.25">
      <c r="A814" s="7">
        <v>1.1162488129209149E-2</v>
      </c>
      <c r="B814"/>
      <c r="C814"/>
      <c r="D814"/>
      <c r="E814"/>
      <c r="AL814" s="27" t="s">
        <v>7</v>
      </c>
      <c r="AM814" s="27" t="s">
        <v>8</v>
      </c>
    </row>
    <row r="815" spans="1:43" x14ac:dyDescent="0.25">
      <c r="A815" s="7">
        <v>1.0943615812950145E-2</v>
      </c>
      <c r="B815"/>
      <c r="C815"/>
      <c r="D815"/>
      <c r="E815"/>
      <c r="AL815" s="27" t="s">
        <v>7</v>
      </c>
      <c r="AM815" s="27" t="s">
        <v>8</v>
      </c>
    </row>
    <row r="816" spans="1:43" x14ac:dyDescent="0.25">
      <c r="A816" s="7">
        <v>1.0729035110735436E-2</v>
      </c>
      <c r="B816"/>
      <c r="C816"/>
      <c r="D816"/>
      <c r="E816"/>
      <c r="AL816" s="27" t="s">
        <v>7</v>
      </c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W248" sqref="GW24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$A$247</v>
      </c>
      <c r="D111" s="1" t="str">
        <f>ADDRESS(C121-1,D121,1,1)</f>
        <v>$GW$247</v>
      </c>
      <c r="E111"/>
    </row>
    <row r="112" spans="1:5" x14ac:dyDescent="0.25">
      <c r="A112" s="30">
        <v>515.50191262726139</v>
      </c>
      <c r="C112" s="1" t="str">
        <f>ADDRESS(C121,1,1,1)</f>
        <v>$A$248</v>
      </c>
      <c r="D112" s="1" t="str">
        <f>ADDRESS(C121,D121-1,1,1)</f>
        <v>$GV$248</v>
      </c>
      <c r="E112"/>
    </row>
    <row r="113" spans="1:5" x14ac:dyDescent="0.25">
      <c r="A113" s="30">
        <v>490.95420250215363</v>
      </c>
      <c r="C113" s="1" t="str">
        <f>ADDRESS(C121+1,1,1,1)</f>
        <v>$A$249</v>
      </c>
      <c r="D113" s="1" t="str">
        <f>ADDRESS(C121-1,D121+1,1,1)</f>
        <v>$GX$247</v>
      </c>
    </row>
    <row r="114" spans="1:5" x14ac:dyDescent="0.25">
      <c r="A114" s="30">
        <v>467.57543095443202</v>
      </c>
      <c r="C114" s="1" t="str">
        <f>ADDRESS(C121,D121,1,1)</f>
        <v>$GW$248</v>
      </c>
      <c r="D114" s="1" t="str">
        <f>ADDRESS(C121+1,D121+1,1,1)</f>
        <v>$GX$249</v>
      </c>
    </row>
    <row r="115" spans="1:5" x14ac:dyDescent="0.25">
      <c r="A115" s="30">
        <v>445.30993424231622</v>
      </c>
      <c r="C115" s="1" t="str">
        <f>ADDRESS(C121+1,D121,1,1)</f>
        <v>$GW$249</v>
      </c>
    </row>
    <row r="116" spans="1:5" x14ac:dyDescent="0.25">
      <c r="A116" s="30">
        <v>424.10469927839637</v>
      </c>
      <c r="C116" s="1">
        <f>C117-1</f>
        <v>247</v>
      </c>
    </row>
    <row r="117" spans="1:5" x14ac:dyDescent="0.25">
      <c r="A117" s="30">
        <v>403.9092374079965</v>
      </c>
      <c r="C117" s="1">
        <f>C121</f>
        <v>248</v>
      </c>
      <c r="D117" s="1">
        <f>D121</f>
        <v>205</v>
      </c>
    </row>
    <row r="118" spans="1:5" x14ac:dyDescent="0.25">
      <c r="A118" s="30">
        <v>384.6754641980919</v>
      </c>
      <c r="C118" s="1">
        <f>C117+1</f>
        <v>249</v>
      </c>
      <c r="D118" s="1">
        <f>D117+1</f>
        <v>206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248</v>
      </c>
      <c r="D121" s="19">
        <v>205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R248</v>
      </c>
      <c r="D123" s="1" t="str">
        <f>"C"&amp;D121</f>
        <v>C205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0.676839362028685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202" x14ac:dyDescent="0.25">
      <c r="A225" s="30">
        <v>2.0789281794113688</v>
      </c>
      <c r="E225"/>
    </row>
    <row r="226" spans="1:202" x14ac:dyDescent="0.25">
      <c r="A226" s="30">
        <v>1.9799315994393987</v>
      </c>
      <c r="E226"/>
    </row>
    <row r="227" spans="1:202" x14ac:dyDescent="0.25">
      <c r="A227" s="30">
        <v>1.8856491423232367</v>
      </c>
      <c r="E227"/>
    </row>
    <row r="228" spans="1:202" x14ac:dyDescent="0.25">
      <c r="A228" s="30">
        <v>1.7958563260221301</v>
      </c>
      <c r="C228" s="7"/>
      <c r="D228"/>
      <c r="E228"/>
    </row>
    <row r="229" spans="1:202" x14ac:dyDescent="0.25">
      <c r="A229" s="30">
        <v>1.7103393581163142</v>
      </c>
      <c r="E229"/>
    </row>
    <row r="230" spans="1:202" x14ac:dyDescent="0.25">
      <c r="A230" s="30">
        <v>1.628894626777442</v>
      </c>
      <c r="E230"/>
    </row>
    <row r="231" spans="1:202" x14ac:dyDescent="0.25">
      <c r="A231" s="30">
        <v>1.5513282159785162</v>
      </c>
      <c r="C231"/>
      <c r="D231"/>
      <c r="E231"/>
    </row>
    <row r="232" spans="1:202" x14ac:dyDescent="0.25">
      <c r="A232" s="30">
        <v>1.477455443789063</v>
      </c>
      <c r="E232"/>
    </row>
    <row r="233" spans="1:202" x14ac:dyDescent="0.25">
      <c r="A233" s="30">
        <v>1.4071004226562505</v>
      </c>
      <c r="E233"/>
    </row>
    <row r="234" spans="1:202" x14ac:dyDescent="0.25">
      <c r="A234" s="30">
        <v>1.3400956406250004</v>
      </c>
      <c r="E234"/>
    </row>
    <row r="235" spans="1:202" x14ac:dyDescent="0.25">
      <c r="A235" s="30">
        <v>1.2762815625000004</v>
      </c>
      <c r="C235"/>
      <c r="E235"/>
    </row>
    <row r="236" spans="1:202" x14ac:dyDescent="0.25">
      <c r="A236" s="30">
        <v>1.2155062500000002</v>
      </c>
      <c r="E236"/>
    </row>
    <row r="237" spans="1:20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GK237" s="27" t="s">
        <v>8</v>
      </c>
    </row>
    <row r="238" spans="1:202" x14ac:dyDescent="0.25">
      <c r="A238" s="30">
        <v>1.1025</v>
      </c>
      <c r="E238"/>
      <c r="GK238" s="27" t="s">
        <v>8</v>
      </c>
      <c r="GL238" s="27" t="s">
        <v>7</v>
      </c>
    </row>
    <row r="239" spans="1:202" x14ac:dyDescent="0.25">
      <c r="A239" s="30">
        <v>1.05</v>
      </c>
      <c r="E239"/>
      <c r="GK239" s="27" t="s">
        <v>8</v>
      </c>
      <c r="GL239" s="27" t="s">
        <v>7</v>
      </c>
      <c r="GS239" s="27" t="s">
        <v>8</v>
      </c>
    </row>
    <row r="240" spans="1:202" x14ac:dyDescent="0.25">
      <c r="A240" s="30">
        <v>1</v>
      </c>
      <c r="E240" s="29" t="s">
        <v>8</v>
      </c>
      <c r="GK240" s="27" t="s">
        <v>8</v>
      </c>
      <c r="GL240" s="27" t="s">
        <v>7</v>
      </c>
      <c r="GS240" s="27" t="s">
        <v>8</v>
      </c>
      <c r="GT240" s="27" t="s">
        <v>7</v>
      </c>
    </row>
    <row r="241" spans="1:205" x14ac:dyDescent="0.25">
      <c r="A241" s="30">
        <v>0.952380952380952</v>
      </c>
      <c r="B241"/>
      <c r="C241"/>
      <c r="D241"/>
      <c r="E241"/>
      <c r="F241" s="27" t="s">
        <v>7</v>
      </c>
      <c r="GK241" s="27" t="s">
        <v>8</v>
      </c>
      <c r="GL241" s="27" t="s">
        <v>7</v>
      </c>
      <c r="GM241" s="27" t="s">
        <v>8</v>
      </c>
      <c r="GS241" s="27" t="s">
        <v>8</v>
      </c>
      <c r="GT241" s="27" t="s">
        <v>7</v>
      </c>
    </row>
    <row r="242" spans="1:205" x14ac:dyDescent="0.25">
      <c r="A242" s="30">
        <v>0.90702947845804915</v>
      </c>
      <c r="B242"/>
      <c r="C242"/>
      <c r="D242"/>
      <c r="E242"/>
      <c r="F242" s="27" t="s">
        <v>7</v>
      </c>
      <c r="GI242" s="27" t="s">
        <v>8</v>
      </c>
      <c r="GK242" s="27" t="s">
        <v>8</v>
      </c>
      <c r="GL242" s="27" t="s">
        <v>7</v>
      </c>
      <c r="GM242" s="27" t="s">
        <v>8</v>
      </c>
      <c r="GN242" s="27" t="s">
        <v>7</v>
      </c>
      <c r="GS242" s="27" t="s">
        <v>8</v>
      </c>
      <c r="GT242" s="27" t="s">
        <v>7</v>
      </c>
    </row>
    <row r="243" spans="1:205" x14ac:dyDescent="0.25">
      <c r="A243" s="30">
        <v>0.86383759853147501</v>
      </c>
      <c r="B243"/>
      <c r="C243"/>
      <c r="D243"/>
      <c r="E243"/>
      <c r="F243" s="27" t="s">
        <v>7</v>
      </c>
      <c r="GI243" s="27" t="s">
        <v>8</v>
      </c>
      <c r="GJ243" s="27" t="s">
        <v>7</v>
      </c>
      <c r="GK243" s="27" t="s">
        <v>8</v>
      </c>
      <c r="GL243" s="27" t="s">
        <v>7</v>
      </c>
      <c r="GM243" s="27" t="s">
        <v>8</v>
      </c>
      <c r="GN243" s="27" t="s">
        <v>7</v>
      </c>
      <c r="GS243" s="27" t="s">
        <v>8</v>
      </c>
      <c r="GT243" s="27" t="s">
        <v>7</v>
      </c>
    </row>
    <row r="244" spans="1:205" x14ac:dyDescent="0.25">
      <c r="A244" s="30">
        <v>0.82270247479188063</v>
      </c>
      <c r="B244"/>
      <c r="C244"/>
      <c r="D244"/>
      <c r="E244"/>
      <c r="F244" s="27" t="s">
        <v>7</v>
      </c>
      <c r="GI244" s="27" t="s">
        <v>8</v>
      </c>
      <c r="GJ244" s="27" t="s">
        <v>7</v>
      </c>
      <c r="GK244" s="27" t="s">
        <v>8</v>
      </c>
      <c r="GL244" s="27" t="s">
        <v>7</v>
      </c>
      <c r="GM244" s="27" t="s">
        <v>8</v>
      </c>
      <c r="GN244" s="27" t="s">
        <v>7</v>
      </c>
      <c r="GS244" s="27" t="s">
        <v>8</v>
      </c>
      <c r="GT244" s="27" t="s">
        <v>7</v>
      </c>
    </row>
    <row r="245" spans="1:205" x14ac:dyDescent="0.25">
      <c r="A245" s="30">
        <v>0.78352616646845741</v>
      </c>
      <c r="B245"/>
      <c r="C245"/>
      <c r="D245"/>
      <c r="E245"/>
      <c r="F245" s="27" t="s">
        <v>7</v>
      </c>
      <c r="GI245" s="27" t="s">
        <v>8</v>
      </c>
      <c r="GJ245" s="27" t="s">
        <v>7</v>
      </c>
      <c r="GK245" s="27" t="s">
        <v>8</v>
      </c>
      <c r="GL245" s="27" t="s">
        <v>7</v>
      </c>
      <c r="GN245" s="27" t="s">
        <v>7</v>
      </c>
      <c r="GO245" s="27" t="s">
        <v>8</v>
      </c>
      <c r="GS245" s="27" t="s">
        <v>8</v>
      </c>
      <c r="GT245" s="27" t="s">
        <v>7</v>
      </c>
    </row>
    <row r="246" spans="1:205" x14ac:dyDescent="0.25">
      <c r="A246" s="30">
        <v>0.74621539663662584</v>
      </c>
      <c r="B246"/>
      <c r="C246"/>
      <c r="D246"/>
      <c r="E246"/>
      <c r="F246" s="27" t="s">
        <v>7</v>
      </c>
      <c r="GI246" s="27" t="s">
        <v>8</v>
      </c>
      <c r="GJ246" s="27" t="s">
        <v>7</v>
      </c>
      <c r="GN246" s="27" t="s">
        <v>7</v>
      </c>
      <c r="GO246" s="27" t="s">
        <v>8</v>
      </c>
      <c r="GP246" s="27" t="s">
        <v>7</v>
      </c>
      <c r="GS246" s="27" t="s">
        <v>8</v>
      </c>
      <c r="GT246" s="27" t="s">
        <v>7</v>
      </c>
    </row>
    <row r="247" spans="1:205" x14ac:dyDescent="0.25">
      <c r="A247" s="30">
        <v>0.71068133013011958</v>
      </c>
      <c r="B247"/>
      <c r="C247"/>
      <c r="D247"/>
      <c r="E247"/>
      <c r="F247" s="27" t="s">
        <v>7</v>
      </c>
      <c r="GI247" s="27" t="s">
        <v>8</v>
      </c>
      <c r="GN247" s="27" t="s">
        <v>7</v>
      </c>
      <c r="GO247" s="27" t="s">
        <v>8</v>
      </c>
      <c r="GP247" s="27" t="s">
        <v>7</v>
      </c>
      <c r="GS247" s="27" t="s">
        <v>8</v>
      </c>
      <c r="GT247" s="27" t="s">
        <v>7</v>
      </c>
    </row>
    <row r="248" spans="1:205" x14ac:dyDescent="0.25">
      <c r="A248" s="30">
        <v>0.676839362028685</v>
      </c>
      <c r="B248"/>
      <c r="C248"/>
      <c r="D248"/>
      <c r="E248"/>
      <c r="F248" s="27" t="s">
        <v>7</v>
      </c>
      <c r="GI248" s="27" t="s">
        <v>8</v>
      </c>
      <c r="GN248" s="27" t="s">
        <v>7</v>
      </c>
      <c r="GP248" s="27" t="s">
        <v>7</v>
      </c>
      <c r="GQ248" s="27" t="s">
        <v>8</v>
      </c>
      <c r="GS248" s="27" t="s">
        <v>8</v>
      </c>
      <c r="GT248" s="27" t="s">
        <v>7</v>
      </c>
      <c r="GW248" s="27" t="s">
        <v>8</v>
      </c>
    </row>
    <row r="249" spans="1:205" x14ac:dyDescent="0.25">
      <c r="A249" s="30">
        <v>0.64460891621779492</v>
      </c>
      <c r="B249"/>
      <c r="C249"/>
      <c r="D249"/>
      <c r="E249"/>
      <c r="F249" s="27" t="s">
        <v>7</v>
      </c>
      <c r="GE249" s="27" t="s">
        <v>8</v>
      </c>
      <c r="GI249" s="27" t="s">
        <v>8</v>
      </c>
      <c r="GP249" s="27" t="s">
        <v>7</v>
      </c>
      <c r="GQ249" s="27" t="s">
        <v>8</v>
      </c>
      <c r="GR249" s="27" t="s">
        <v>7</v>
      </c>
      <c r="GS249" s="27" t="s">
        <v>8</v>
      </c>
      <c r="GT249" s="27" t="s">
        <v>7</v>
      </c>
      <c r="GU249" s="27" t="s">
        <v>8</v>
      </c>
      <c r="GW249" s="27" t="s">
        <v>8</v>
      </c>
    </row>
    <row r="250" spans="1:205" x14ac:dyDescent="0.25">
      <c r="A250" s="30">
        <v>0.61391325354075688</v>
      </c>
      <c r="B250"/>
      <c r="C250"/>
      <c r="D250"/>
      <c r="E250"/>
      <c r="F250" s="27" t="s">
        <v>7</v>
      </c>
      <c r="GE250" s="27" t="s">
        <v>8</v>
      </c>
      <c r="GF250" s="27" t="s">
        <v>7</v>
      </c>
      <c r="GG250" s="27" t="s">
        <v>8</v>
      </c>
      <c r="GI250" s="27" t="s">
        <v>8</v>
      </c>
      <c r="GP250" s="27" t="s">
        <v>7</v>
      </c>
      <c r="GQ250" s="27" t="s">
        <v>8</v>
      </c>
      <c r="GR250" s="27" t="s">
        <v>7</v>
      </c>
      <c r="GS250" s="27" t="s">
        <v>8</v>
      </c>
      <c r="GT250" s="27" t="s">
        <v>7</v>
      </c>
      <c r="GU250" s="27" t="s">
        <v>8</v>
      </c>
      <c r="GV250" s="27" t="s">
        <v>7</v>
      </c>
      <c r="GW250" s="27" t="s">
        <v>8</v>
      </c>
    </row>
    <row r="251" spans="1:205" x14ac:dyDescent="0.25">
      <c r="A251" s="30">
        <v>0.58467928908643485</v>
      </c>
      <c r="B251"/>
      <c r="C251"/>
      <c r="D251"/>
      <c r="E251"/>
      <c r="F251" s="27" t="s">
        <v>7</v>
      </c>
      <c r="GE251" s="27" t="s">
        <v>8</v>
      </c>
      <c r="GF251" s="27" t="s">
        <v>7</v>
      </c>
      <c r="GG251" s="27" t="s">
        <v>8</v>
      </c>
      <c r="GH251" s="27" t="s">
        <v>7</v>
      </c>
      <c r="GI251" s="27" t="s">
        <v>8</v>
      </c>
      <c r="GP251" s="27" t="s">
        <v>7</v>
      </c>
      <c r="GR251" s="27" t="s">
        <v>7</v>
      </c>
      <c r="GS251" s="27" t="s">
        <v>8</v>
      </c>
      <c r="GT251" s="27" t="s">
        <v>7</v>
      </c>
      <c r="GU251" s="27" t="s">
        <v>8</v>
      </c>
      <c r="GV251" s="27" t="s">
        <v>7</v>
      </c>
      <c r="GW251" s="27" t="s">
        <v>8</v>
      </c>
    </row>
    <row r="252" spans="1:205" x14ac:dyDescent="0.25">
      <c r="A252" s="30">
        <v>0.55683741817755672</v>
      </c>
      <c r="B252"/>
      <c r="C252"/>
      <c r="D252"/>
      <c r="E252"/>
      <c r="F252" s="27" t="s">
        <v>7</v>
      </c>
      <c r="GE252" s="27" t="s">
        <v>8</v>
      </c>
      <c r="GF252" s="27" t="s">
        <v>7</v>
      </c>
      <c r="GG252" s="27" t="s">
        <v>8</v>
      </c>
      <c r="GH252" s="27" t="s">
        <v>7</v>
      </c>
      <c r="GI252" s="27" t="s">
        <v>8</v>
      </c>
      <c r="GR252" s="27" t="s">
        <v>7</v>
      </c>
      <c r="GT252" s="27" t="s">
        <v>7</v>
      </c>
      <c r="GU252" s="27" t="s">
        <v>8</v>
      </c>
      <c r="GV252" s="27" t="s">
        <v>7</v>
      </c>
      <c r="GW252" s="27" t="s">
        <v>8</v>
      </c>
    </row>
    <row r="253" spans="1:205" x14ac:dyDescent="0.25">
      <c r="A253" s="30">
        <v>0.53032135064529184</v>
      </c>
      <c r="B253"/>
      <c r="C253"/>
      <c r="D253"/>
      <c r="E253"/>
      <c r="F253" s="27" t="s">
        <v>7</v>
      </c>
      <c r="GE253" s="27" t="s">
        <v>8</v>
      </c>
      <c r="GF253" s="27" t="s">
        <v>7</v>
      </c>
      <c r="GG253" s="27" t="s">
        <v>8</v>
      </c>
      <c r="GH253" s="27" t="s">
        <v>7</v>
      </c>
      <c r="GT253" s="27" t="s">
        <v>7</v>
      </c>
      <c r="GU253" s="27" t="s">
        <v>8</v>
      </c>
      <c r="GV253" s="27" t="s">
        <v>7</v>
      </c>
      <c r="GW253" s="27" t="s">
        <v>8</v>
      </c>
    </row>
    <row r="254" spans="1:205" x14ac:dyDescent="0.25">
      <c r="A254" s="30">
        <v>0.50506795299551588</v>
      </c>
      <c r="B254"/>
      <c r="C254"/>
      <c r="D254"/>
      <c r="E254"/>
      <c r="F254" s="27" t="s">
        <v>7</v>
      </c>
      <c r="GE254" s="27" t="s">
        <v>8</v>
      </c>
      <c r="GF254" s="27" t="s">
        <v>7</v>
      </c>
      <c r="GG254" s="27" t="s">
        <v>8</v>
      </c>
      <c r="GT254" s="27" t="s">
        <v>7</v>
      </c>
      <c r="GU254" s="27" t="s">
        <v>8</v>
      </c>
      <c r="GV254" s="27" t="s">
        <v>7</v>
      </c>
    </row>
    <row r="255" spans="1:205" x14ac:dyDescent="0.25">
      <c r="A255" s="30">
        <v>0.48101709809096732</v>
      </c>
      <c r="E255"/>
      <c r="F255" s="27" t="s">
        <v>7</v>
      </c>
      <c r="GE255" s="27" t="s">
        <v>8</v>
      </c>
      <c r="GF255" s="27" t="s">
        <v>7</v>
      </c>
      <c r="GG255" s="27" t="s">
        <v>8</v>
      </c>
      <c r="GT255" s="27" t="s">
        <v>7</v>
      </c>
    </row>
    <row r="256" spans="1:205" x14ac:dyDescent="0.25">
      <c r="A256" s="30">
        <v>0.45811152199139726</v>
      </c>
      <c r="E256"/>
      <c r="F256" s="27" t="s">
        <v>7</v>
      </c>
      <c r="DO256" s="27" t="s">
        <v>8</v>
      </c>
      <c r="GE256" s="27" t="s">
        <v>8</v>
      </c>
      <c r="GF256" s="27" t="s">
        <v>7</v>
      </c>
      <c r="GG256" s="27" t="s">
        <v>8</v>
      </c>
    </row>
    <row r="257" spans="1:189" x14ac:dyDescent="0.25">
      <c r="A257" s="30">
        <v>0.43629668761085438</v>
      </c>
      <c r="B257"/>
      <c r="C257"/>
      <c r="D257"/>
      <c r="E257"/>
      <c r="F257" s="27" t="s">
        <v>7</v>
      </c>
      <c r="DG257" s="27" t="s">
        <v>8</v>
      </c>
      <c r="DO257" s="27" t="s">
        <v>8</v>
      </c>
      <c r="DP257" s="27" t="s">
        <v>7</v>
      </c>
      <c r="GE257" s="27" t="s">
        <v>8</v>
      </c>
      <c r="GF257" s="27" t="s">
        <v>7</v>
      </c>
      <c r="GG257" s="27" t="s">
        <v>8</v>
      </c>
    </row>
    <row r="258" spans="1:189" x14ac:dyDescent="0.25">
      <c r="A258" s="30">
        <v>0.41552065486748019</v>
      </c>
      <c r="B258"/>
      <c r="C258"/>
      <c r="D258"/>
      <c r="E258"/>
      <c r="F258" s="27" t="s">
        <v>7</v>
      </c>
      <c r="DG258" s="27" t="s">
        <v>8</v>
      </c>
      <c r="DH258" s="27" t="s">
        <v>7</v>
      </c>
      <c r="DK258" s="27" t="s">
        <v>8</v>
      </c>
      <c r="DM258" s="27" t="s">
        <v>8</v>
      </c>
      <c r="DO258" s="27" t="s">
        <v>8</v>
      </c>
      <c r="DP258" s="27" t="s">
        <v>7</v>
      </c>
      <c r="GA258" s="27" t="s">
        <v>8</v>
      </c>
      <c r="GE258" s="27" t="s">
        <v>8</v>
      </c>
      <c r="GF258" s="27" t="s">
        <v>7</v>
      </c>
    </row>
    <row r="259" spans="1:189" x14ac:dyDescent="0.25">
      <c r="A259" s="30">
        <v>0.39573395701664765</v>
      </c>
      <c r="B259"/>
      <c r="C259"/>
      <c r="D259"/>
      <c r="E259"/>
      <c r="F259" s="27" t="s">
        <v>7</v>
      </c>
      <c r="DG259" s="27" t="s">
        <v>8</v>
      </c>
      <c r="DH259" s="27" t="s">
        <v>7</v>
      </c>
      <c r="DK259" s="27" t="s">
        <v>8</v>
      </c>
      <c r="DL259" s="27" t="s">
        <v>7</v>
      </c>
      <c r="DM259" s="27" t="s">
        <v>8</v>
      </c>
      <c r="DN259" s="27" t="s">
        <v>7</v>
      </c>
      <c r="DO259" s="27" t="s">
        <v>8</v>
      </c>
      <c r="DP259" s="27" t="s">
        <v>7</v>
      </c>
      <c r="DQ259" s="27" t="s">
        <v>8</v>
      </c>
      <c r="FS259" s="27" t="s">
        <v>8</v>
      </c>
      <c r="FU259" s="27" t="s">
        <v>8</v>
      </c>
      <c r="GA259" s="27" t="s">
        <v>8</v>
      </c>
      <c r="GB259" s="27" t="s">
        <v>7</v>
      </c>
      <c r="GE259" s="27" t="s">
        <v>8</v>
      </c>
    </row>
    <row r="260" spans="1:189" x14ac:dyDescent="0.25">
      <c r="A260" s="30">
        <v>0.37688948287299762</v>
      </c>
      <c r="B260"/>
      <c r="C260"/>
      <c r="D260"/>
      <c r="E260"/>
      <c r="F260" s="27" t="s">
        <v>7</v>
      </c>
      <c r="DG260" s="27" t="s">
        <v>8</v>
      </c>
      <c r="DH260" s="27" t="s">
        <v>7</v>
      </c>
      <c r="DI260" s="27" t="s">
        <v>8</v>
      </c>
      <c r="DK260" s="27" t="s">
        <v>8</v>
      </c>
      <c r="DL260" s="27" t="s">
        <v>7</v>
      </c>
      <c r="DM260" s="27" t="s">
        <v>8</v>
      </c>
      <c r="DN260" s="27" t="s">
        <v>7</v>
      </c>
      <c r="DO260" s="27" t="s">
        <v>8</v>
      </c>
      <c r="DP260" s="27" t="s">
        <v>7</v>
      </c>
      <c r="DQ260" s="27" t="s">
        <v>8</v>
      </c>
      <c r="DR260" s="27" t="s">
        <v>7</v>
      </c>
      <c r="FS260" s="27" t="s">
        <v>8</v>
      </c>
      <c r="FT260" s="27" t="s">
        <v>7</v>
      </c>
      <c r="FU260" s="27" t="s">
        <v>8</v>
      </c>
      <c r="FV260" s="27" t="s">
        <v>7</v>
      </c>
      <c r="FW260" s="27" t="s">
        <v>8</v>
      </c>
      <c r="GA260" s="27" t="s">
        <v>8</v>
      </c>
      <c r="GB260" s="27" t="s">
        <v>7</v>
      </c>
      <c r="GE260" s="27" t="s">
        <v>8</v>
      </c>
    </row>
    <row r="261" spans="1:189" x14ac:dyDescent="0.25">
      <c r="A261" s="30">
        <v>0.35894236464094997</v>
      </c>
      <c r="B261"/>
      <c r="C261"/>
      <c r="D261"/>
      <c r="E261"/>
      <c r="F261" s="27" t="s">
        <v>7</v>
      </c>
      <c r="DG261" s="27" t="s">
        <v>8</v>
      </c>
      <c r="DH261" s="27" t="s">
        <v>7</v>
      </c>
      <c r="DI261" s="27" t="s">
        <v>8</v>
      </c>
      <c r="DJ261" s="27" t="s">
        <v>7</v>
      </c>
      <c r="DK261" s="27" t="s">
        <v>8</v>
      </c>
      <c r="DL261" s="27" t="s">
        <v>7</v>
      </c>
      <c r="DN261" s="27" t="s">
        <v>7</v>
      </c>
      <c r="DP261" s="27" t="s">
        <v>7</v>
      </c>
      <c r="DQ261" s="27" t="s">
        <v>8</v>
      </c>
      <c r="DR261" s="27" t="s">
        <v>7</v>
      </c>
      <c r="FS261" s="27" t="s">
        <v>8</v>
      </c>
      <c r="FT261" s="27" t="s">
        <v>7</v>
      </c>
      <c r="FU261" s="27" t="s">
        <v>8</v>
      </c>
      <c r="FV261" s="27" t="s">
        <v>7</v>
      </c>
      <c r="FW261" s="27" t="s">
        <v>8</v>
      </c>
      <c r="FX261" s="27" t="s">
        <v>7</v>
      </c>
      <c r="FY261" s="27" t="s">
        <v>8</v>
      </c>
      <c r="GA261" s="27" t="s">
        <v>8</v>
      </c>
      <c r="GB261" s="27" t="s">
        <v>7</v>
      </c>
      <c r="GE261" s="27" t="s">
        <v>8</v>
      </c>
    </row>
    <row r="262" spans="1:189" x14ac:dyDescent="0.25">
      <c r="A262" s="30">
        <v>0.34184987108661891</v>
      </c>
      <c r="B262"/>
      <c r="C262"/>
      <c r="D262"/>
      <c r="E262"/>
      <c r="F262" s="27" t="s">
        <v>7</v>
      </c>
      <c r="DG262" s="27" t="s">
        <v>8</v>
      </c>
      <c r="DH262" s="27" t="s">
        <v>7</v>
      </c>
      <c r="DI262" s="27" t="s">
        <v>8</v>
      </c>
      <c r="DJ262" s="27" t="s">
        <v>7</v>
      </c>
      <c r="DK262" s="27" t="s">
        <v>8</v>
      </c>
      <c r="DP262" s="27" t="s">
        <v>7</v>
      </c>
      <c r="DQ262" s="27" t="s">
        <v>8</v>
      </c>
      <c r="DR262" s="27" t="s">
        <v>7</v>
      </c>
      <c r="FQ262" s="27" t="s">
        <v>8</v>
      </c>
      <c r="FS262" s="27" t="s">
        <v>8</v>
      </c>
      <c r="FT262" s="27" t="s">
        <v>7</v>
      </c>
      <c r="FU262" s="27" t="s">
        <v>8</v>
      </c>
      <c r="FV262" s="27" t="s">
        <v>7</v>
      </c>
      <c r="FW262" s="27" t="s">
        <v>8</v>
      </c>
      <c r="FX262" s="27" t="s">
        <v>7</v>
      </c>
      <c r="FY262" s="27" t="s">
        <v>8</v>
      </c>
      <c r="FZ262" s="27" t="s">
        <v>7</v>
      </c>
      <c r="GA262" s="27" t="s">
        <v>8</v>
      </c>
      <c r="GB262" s="27" t="s">
        <v>7</v>
      </c>
      <c r="GC262" s="27" t="s">
        <v>8</v>
      </c>
      <c r="GE262" s="27" t="s">
        <v>8</v>
      </c>
    </row>
    <row r="263" spans="1:189" x14ac:dyDescent="0.25">
      <c r="A263" s="30">
        <v>0.32557130579677979</v>
      </c>
      <c r="B263"/>
      <c r="C263"/>
      <c r="D263"/>
      <c r="E263"/>
      <c r="F263" s="27" t="s">
        <v>7</v>
      </c>
      <c r="DC263" s="27" t="s">
        <v>8</v>
      </c>
      <c r="DE263" s="27" t="s">
        <v>8</v>
      </c>
      <c r="DG263" s="27" t="s">
        <v>8</v>
      </c>
      <c r="DH263" s="27" t="s">
        <v>7</v>
      </c>
      <c r="DJ263" s="27" t="s">
        <v>7</v>
      </c>
      <c r="DK263" s="27" t="s">
        <v>8</v>
      </c>
      <c r="DP263" s="27" t="s">
        <v>7</v>
      </c>
      <c r="DR263" s="27" t="s">
        <v>7</v>
      </c>
      <c r="FQ263" s="27" t="s">
        <v>8</v>
      </c>
      <c r="FR263" s="27" t="s">
        <v>7</v>
      </c>
      <c r="FS263" s="27" t="s">
        <v>8</v>
      </c>
      <c r="FT263" s="27" t="s">
        <v>7</v>
      </c>
      <c r="FU263" s="27" t="s">
        <v>8</v>
      </c>
      <c r="FV263" s="27" t="s">
        <v>7</v>
      </c>
      <c r="FW263" s="27" t="s">
        <v>8</v>
      </c>
      <c r="FX263" s="27" t="s">
        <v>7</v>
      </c>
      <c r="FY263" s="27" t="s">
        <v>8</v>
      </c>
      <c r="FZ263" s="27" t="s">
        <v>7</v>
      </c>
      <c r="GA263" s="27" t="s">
        <v>8</v>
      </c>
      <c r="GB263" s="27" t="s">
        <v>7</v>
      </c>
      <c r="GC263" s="27" t="s">
        <v>8</v>
      </c>
      <c r="GD263" s="27" t="s">
        <v>7</v>
      </c>
      <c r="GE263" s="27" t="s">
        <v>8</v>
      </c>
    </row>
    <row r="264" spans="1:189" x14ac:dyDescent="0.25">
      <c r="A264" s="30">
        <v>0.3100679102826473</v>
      </c>
      <c r="B264"/>
      <c r="C264"/>
      <c r="D264"/>
      <c r="E264"/>
      <c r="F264" s="27" t="s">
        <v>7</v>
      </c>
      <c r="DA264" s="27" t="s">
        <v>8</v>
      </c>
      <c r="DC264" s="27" t="s">
        <v>8</v>
      </c>
      <c r="DD264" s="27" t="s">
        <v>7</v>
      </c>
      <c r="DE264" s="27" t="s">
        <v>8</v>
      </c>
      <c r="DF264" s="27" t="s">
        <v>7</v>
      </c>
      <c r="DG264" s="27" t="s">
        <v>8</v>
      </c>
      <c r="DJ264" s="27" t="s">
        <v>7</v>
      </c>
      <c r="DR264" s="27" t="s">
        <v>7</v>
      </c>
      <c r="DU264" s="27" t="s">
        <v>8</v>
      </c>
      <c r="FQ264" s="27" t="s">
        <v>8</v>
      </c>
      <c r="FR264" s="27" t="s">
        <v>7</v>
      </c>
      <c r="FS264" s="27" t="s">
        <v>8</v>
      </c>
      <c r="FT264" s="27" t="s">
        <v>7</v>
      </c>
      <c r="FU264" s="27" t="s">
        <v>8</v>
      </c>
      <c r="FV264" s="27" t="s">
        <v>7</v>
      </c>
      <c r="FW264" s="27" t="s">
        <v>8</v>
      </c>
      <c r="FX264" s="27" t="s">
        <v>7</v>
      </c>
      <c r="FY264" s="27" t="s">
        <v>8</v>
      </c>
      <c r="FZ264" s="27" t="s">
        <v>7</v>
      </c>
      <c r="GA264" s="27" t="s">
        <v>8</v>
      </c>
      <c r="GB264" s="27" t="s">
        <v>7</v>
      </c>
      <c r="GC264" s="27" t="s">
        <v>8</v>
      </c>
      <c r="GD264" s="27" t="s">
        <v>7</v>
      </c>
      <c r="GE264" s="27" t="s">
        <v>8</v>
      </c>
    </row>
    <row r="265" spans="1:189" x14ac:dyDescent="0.25">
      <c r="A265" s="30">
        <v>0.2953027716977592</v>
      </c>
      <c r="B265"/>
      <c r="C265"/>
      <c r="D265"/>
      <c r="E265"/>
      <c r="F265" s="27" t="s">
        <v>7</v>
      </c>
      <c r="DA265" s="27" t="s">
        <v>8</v>
      </c>
      <c r="DB265" s="27" t="s">
        <v>7</v>
      </c>
      <c r="DC265" s="27" t="s">
        <v>8</v>
      </c>
      <c r="DD265" s="27" t="s">
        <v>7</v>
      </c>
      <c r="DE265" s="27" t="s">
        <v>8</v>
      </c>
      <c r="DF265" s="27" t="s">
        <v>7</v>
      </c>
      <c r="DG265" s="27" t="s">
        <v>8</v>
      </c>
      <c r="DR265" s="27" t="s">
        <v>7</v>
      </c>
      <c r="DS265" s="27" t="s">
        <v>8</v>
      </c>
      <c r="DU265" s="27" t="s">
        <v>8</v>
      </c>
      <c r="DV265" s="27" t="s">
        <v>7</v>
      </c>
      <c r="DW265" s="27" t="s">
        <v>8</v>
      </c>
      <c r="FQ265" s="27" t="s">
        <v>8</v>
      </c>
      <c r="FR265" s="27" t="s">
        <v>7</v>
      </c>
      <c r="FS265" s="27" t="s">
        <v>8</v>
      </c>
      <c r="FT265" s="27" t="s">
        <v>7</v>
      </c>
      <c r="FU265" s="27" t="s">
        <v>8</v>
      </c>
      <c r="FV265" s="27" t="s">
        <v>7</v>
      </c>
      <c r="FX265" s="27" t="s">
        <v>7</v>
      </c>
      <c r="FZ265" s="27" t="s">
        <v>7</v>
      </c>
      <c r="GA265" s="27" t="s">
        <v>8</v>
      </c>
      <c r="GB265" s="27" t="s">
        <v>7</v>
      </c>
      <c r="GC265" s="27" t="s">
        <v>8</v>
      </c>
      <c r="GD265" s="27" t="s">
        <v>7</v>
      </c>
    </row>
    <row r="266" spans="1:189" x14ac:dyDescent="0.25">
      <c r="A266" s="30">
        <v>0.28124073495024676</v>
      </c>
      <c r="B266"/>
      <c r="C266"/>
      <c r="D266"/>
      <c r="E266"/>
      <c r="F266" s="27" t="s">
        <v>7</v>
      </c>
      <c r="DA266" s="27" t="s">
        <v>8</v>
      </c>
      <c r="DB266" s="27" t="s">
        <v>7</v>
      </c>
      <c r="DC266" s="27" t="s">
        <v>8</v>
      </c>
      <c r="DD266" s="27" t="s">
        <v>7</v>
      </c>
      <c r="DF266" s="27" t="s">
        <v>7</v>
      </c>
      <c r="DR266" s="27" t="s">
        <v>7</v>
      </c>
      <c r="DS266" s="27" t="s">
        <v>8</v>
      </c>
      <c r="DT266" s="27" t="s">
        <v>7</v>
      </c>
      <c r="DU266" s="27" t="s">
        <v>8</v>
      </c>
      <c r="DV266" s="27" t="s">
        <v>7</v>
      </c>
      <c r="DW266" s="27" t="s">
        <v>8</v>
      </c>
      <c r="DX266" s="27" t="s">
        <v>7</v>
      </c>
      <c r="FO266" s="27" t="s">
        <v>8</v>
      </c>
      <c r="FQ266" s="27" t="s">
        <v>8</v>
      </c>
      <c r="FR266" s="27" t="s">
        <v>7</v>
      </c>
      <c r="FT266" s="27" t="s">
        <v>7</v>
      </c>
      <c r="FU266" s="27" t="s">
        <v>8</v>
      </c>
      <c r="FZ266" s="27" t="s">
        <v>7</v>
      </c>
      <c r="GA266" s="27" t="s">
        <v>8</v>
      </c>
      <c r="GB266" s="27" t="s">
        <v>7</v>
      </c>
    </row>
    <row r="267" spans="1:189" x14ac:dyDescent="0.25">
      <c r="A267" s="30">
        <v>0.26784831900023492</v>
      </c>
      <c r="B267"/>
      <c r="C267"/>
      <c r="D267"/>
      <c r="E267"/>
      <c r="F267" s="27" t="s">
        <v>7</v>
      </c>
      <c r="CS267" s="27" t="s">
        <v>8</v>
      </c>
      <c r="CW267" s="27" t="s">
        <v>8</v>
      </c>
      <c r="DA267" s="27" t="s">
        <v>8</v>
      </c>
      <c r="DB267" s="27" t="s">
        <v>7</v>
      </c>
      <c r="DR267" s="27" t="s">
        <v>7</v>
      </c>
      <c r="DS267" s="27" t="s">
        <v>8</v>
      </c>
      <c r="DT267" s="27" t="s">
        <v>7</v>
      </c>
      <c r="DU267" s="27" t="s">
        <v>8</v>
      </c>
      <c r="DV267" s="27" t="s">
        <v>7</v>
      </c>
      <c r="DW267" s="27" t="s">
        <v>8</v>
      </c>
      <c r="DX267" s="27" t="s">
        <v>7</v>
      </c>
      <c r="FO267" s="27" t="s">
        <v>8</v>
      </c>
      <c r="FP267" s="27" t="s">
        <v>7</v>
      </c>
      <c r="FQ267" s="27" t="s">
        <v>8</v>
      </c>
      <c r="FT267" s="27" t="s">
        <v>7</v>
      </c>
      <c r="FZ267" s="27" t="s">
        <v>7</v>
      </c>
      <c r="GA267" s="27" t="s">
        <v>8</v>
      </c>
    </row>
    <row r="268" spans="1:189" x14ac:dyDescent="0.25">
      <c r="A268" s="30">
        <v>0.25509363714308075</v>
      </c>
      <c r="B268"/>
      <c r="C268"/>
      <c r="D268"/>
      <c r="E268"/>
      <c r="F268" s="27" t="s">
        <v>7</v>
      </c>
      <c r="CS268" s="27" t="s">
        <v>8</v>
      </c>
      <c r="CT268" s="27" t="s">
        <v>7</v>
      </c>
      <c r="CU268" s="27" t="s">
        <v>8</v>
      </c>
      <c r="CW268" s="27" t="s">
        <v>8</v>
      </c>
      <c r="CX268" s="27" t="s">
        <v>7</v>
      </c>
      <c r="CY268" s="27" t="s">
        <v>8</v>
      </c>
      <c r="DA268" s="27" t="s">
        <v>8</v>
      </c>
      <c r="DR268" s="27" t="s">
        <v>7</v>
      </c>
      <c r="DS268" s="27" t="s">
        <v>8</v>
      </c>
      <c r="DT268" s="27" t="s">
        <v>7</v>
      </c>
      <c r="DU268" s="27" t="s">
        <v>8</v>
      </c>
      <c r="DV268" s="27" t="s">
        <v>7</v>
      </c>
      <c r="DX268" s="27" t="s">
        <v>7</v>
      </c>
      <c r="FO268" s="27" t="s">
        <v>8</v>
      </c>
      <c r="FP268" s="27" t="s">
        <v>7</v>
      </c>
      <c r="FQ268" s="27" t="s">
        <v>8</v>
      </c>
      <c r="FZ268" s="27" t="s">
        <v>7</v>
      </c>
      <c r="GA268" s="27" t="s">
        <v>8</v>
      </c>
    </row>
    <row r="269" spans="1:189" x14ac:dyDescent="0.25">
      <c r="A269" s="30">
        <v>0.24294632108864825</v>
      </c>
      <c r="B269"/>
      <c r="C269"/>
      <c r="D269"/>
      <c r="E269"/>
      <c r="F269" s="27" t="s">
        <v>7</v>
      </c>
      <c r="CS269" s="27" t="s">
        <v>8</v>
      </c>
      <c r="CT269" s="27" t="s">
        <v>7</v>
      </c>
      <c r="CU269" s="27" t="s">
        <v>8</v>
      </c>
      <c r="CV269" s="27" t="s">
        <v>7</v>
      </c>
      <c r="CW269" s="27" t="s">
        <v>8</v>
      </c>
      <c r="CX269" s="27" t="s">
        <v>7</v>
      </c>
      <c r="CY269" s="27" t="s">
        <v>8</v>
      </c>
      <c r="CZ269" s="27" t="s">
        <v>7</v>
      </c>
      <c r="DA269" s="27" t="s">
        <v>8</v>
      </c>
      <c r="DR269" s="27" t="s">
        <v>7</v>
      </c>
      <c r="DS269" s="27" t="s">
        <v>8</v>
      </c>
      <c r="DT269" s="27" t="s">
        <v>7</v>
      </c>
      <c r="DX269" s="27" t="s">
        <v>7</v>
      </c>
      <c r="FO269" s="27" t="s">
        <v>8</v>
      </c>
      <c r="FP269" s="27" t="s">
        <v>7</v>
      </c>
      <c r="FZ269" s="27" t="s">
        <v>7</v>
      </c>
      <c r="GA269" s="27" t="s">
        <v>8</v>
      </c>
    </row>
    <row r="270" spans="1:189" x14ac:dyDescent="0.25">
      <c r="A270" s="30">
        <v>0.23137744865585538</v>
      </c>
      <c r="B270"/>
      <c r="C270"/>
      <c r="D270"/>
      <c r="E270"/>
      <c r="F270" s="27" t="s">
        <v>7</v>
      </c>
      <c r="CS270" s="27" t="s">
        <v>8</v>
      </c>
      <c r="CT270" s="27" t="s">
        <v>7</v>
      </c>
      <c r="CU270" s="27" t="s">
        <v>8</v>
      </c>
      <c r="CV270" s="27" t="s">
        <v>7</v>
      </c>
      <c r="CW270" s="27" t="s">
        <v>8</v>
      </c>
      <c r="CX270" s="27" t="s">
        <v>7</v>
      </c>
      <c r="CY270" s="27" t="s">
        <v>8</v>
      </c>
      <c r="CZ270" s="27" t="s">
        <v>7</v>
      </c>
      <c r="DA270" s="27" t="s">
        <v>8</v>
      </c>
      <c r="DR270" s="27" t="s">
        <v>7</v>
      </c>
      <c r="DS270" s="27" t="s">
        <v>8</v>
      </c>
      <c r="DX270" s="27" t="s">
        <v>7</v>
      </c>
      <c r="FO270" s="27" t="s">
        <v>8</v>
      </c>
      <c r="FZ270" s="27" t="s">
        <v>7</v>
      </c>
      <c r="GA270" s="27" t="s">
        <v>8</v>
      </c>
    </row>
    <row r="271" spans="1:189" x14ac:dyDescent="0.25">
      <c r="A271" s="30">
        <v>0.22035947491033836</v>
      </c>
      <c r="B271"/>
      <c r="C271"/>
      <c r="D271"/>
      <c r="E271"/>
      <c r="F271" s="27" t="s">
        <v>7</v>
      </c>
      <c r="CS271" s="27" t="s">
        <v>8</v>
      </c>
      <c r="CT271" s="27" t="s">
        <v>7</v>
      </c>
      <c r="CV271" s="27" t="s">
        <v>7</v>
      </c>
      <c r="CW271" s="27" t="s">
        <v>8</v>
      </c>
      <c r="CX271" s="27" t="s">
        <v>7</v>
      </c>
      <c r="CY271" s="27" t="s">
        <v>8</v>
      </c>
      <c r="CZ271" s="27" t="s">
        <v>7</v>
      </c>
      <c r="DR271" s="27" t="s">
        <v>7</v>
      </c>
      <c r="DS271" s="27" t="s">
        <v>8</v>
      </c>
      <c r="DX271" s="27" t="s">
        <v>7</v>
      </c>
      <c r="DY271" s="27" t="s">
        <v>8</v>
      </c>
      <c r="FO271" s="27" t="s">
        <v>8</v>
      </c>
      <c r="FZ271" s="27" t="s">
        <v>7</v>
      </c>
      <c r="GA271" s="27" t="s">
        <v>8</v>
      </c>
    </row>
    <row r="272" spans="1:189" x14ac:dyDescent="0.25">
      <c r="A272" s="30">
        <v>0.20986616658127455</v>
      </c>
      <c r="B272"/>
      <c r="C272"/>
      <c r="D272"/>
      <c r="E272"/>
      <c r="F272" s="27" t="s">
        <v>7</v>
      </c>
      <c r="CQ272" s="27" t="s">
        <v>8</v>
      </c>
      <c r="CS272" s="27" t="s">
        <v>8</v>
      </c>
      <c r="CV272" s="27" t="s">
        <v>7</v>
      </c>
      <c r="CW272" s="27" t="s">
        <v>8</v>
      </c>
      <c r="CX272" s="27" t="s">
        <v>7</v>
      </c>
      <c r="CY272" s="27" t="s">
        <v>8</v>
      </c>
      <c r="DR272" s="27" t="s">
        <v>7</v>
      </c>
      <c r="DS272" s="27" t="s">
        <v>8</v>
      </c>
      <c r="DX272" s="27" t="s">
        <v>7</v>
      </c>
      <c r="DY272" s="27" t="s">
        <v>8</v>
      </c>
      <c r="DZ272" s="27" t="s">
        <v>7</v>
      </c>
      <c r="FK272" s="27" t="s">
        <v>8</v>
      </c>
      <c r="FO272" s="27" t="s">
        <v>8</v>
      </c>
      <c r="FZ272" s="27" t="s">
        <v>7</v>
      </c>
    </row>
    <row r="273" spans="1:171" x14ac:dyDescent="0.25">
      <c r="A273" s="30">
        <v>0.19987253960121379</v>
      </c>
      <c r="B273"/>
      <c r="C273"/>
      <c r="D273"/>
      <c r="E273"/>
      <c r="F273" s="27" t="s">
        <v>7</v>
      </c>
      <c r="CQ273" s="27" t="s">
        <v>8</v>
      </c>
      <c r="CR273" s="27" t="s">
        <v>7</v>
      </c>
      <c r="CS273" s="27" t="s">
        <v>8</v>
      </c>
      <c r="CV273" s="27" t="s">
        <v>7</v>
      </c>
      <c r="CW273" s="27" t="s">
        <v>8</v>
      </c>
      <c r="CX273" s="27" t="s">
        <v>7</v>
      </c>
      <c r="CY273" s="27" t="s">
        <v>8</v>
      </c>
      <c r="DR273" s="27" t="s">
        <v>7</v>
      </c>
      <c r="DS273" s="27" t="s">
        <v>8</v>
      </c>
      <c r="DX273" s="27" t="s">
        <v>7</v>
      </c>
      <c r="DY273" s="27" t="s">
        <v>8</v>
      </c>
      <c r="DZ273" s="27" t="s">
        <v>7</v>
      </c>
      <c r="FC273" s="27" t="s">
        <v>8</v>
      </c>
      <c r="FK273" s="27" t="s">
        <v>8</v>
      </c>
      <c r="FL273" s="27" t="s">
        <v>7</v>
      </c>
      <c r="FM273" s="27" t="s">
        <v>8</v>
      </c>
      <c r="FO273" s="27" t="s">
        <v>8</v>
      </c>
    </row>
    <row r="274" spans="1:171" x14ac:dyDescent="0.25">
      <c r="A274" s="30">
        <v>0.19035479962020352</v>
      </c>
      <c r="B274"/>
      <c r="C274"/>
      <c r="D274"/>
      <c r="E274"/>
      <c r="F274" s="27" t="s">
        <v>7</v>
      </c>
      <c r="CQ274" s="27" t="s">
        <v>8</v>
      </c>
      <c r="CR274" s="27" t="s">
        <v>7</v>
      </c>
      <c r="CS274" s="27" t="s">
        <v>8</v>
      </c>
      <c r="CV274" s="27" t="s">
        <v>7</v>
      </c>
      <c r="CW274" s="27" t="s">
        <v>8</v>
      </c>
      <c r="CX274" s="27" t="s">
        <v>7</v>
      </c>
      <c r="CY274" s="27" t="s">
        <v>8</v>
      </c>
      <c r="DR274" s="27" t="s">
        <v>7</v>
      </c>
      <c r="DX274" s="27" t="s">
        <v>7</v>
      </c>
      <c r="DZ274" s="27" t="s">
        <v>7</v>
      </c>
      <c r="FC274" s="27" t="s">
        <v>8</v>
      </c>
      <c r="FD274" s="27" t="s">
        <v>7</v>
      </c>
      <c r="FK274" s="27" t="s">
        <v>8</v>
      </c>
      <c r="FL274" s="27" t="s">
        <v>7</v>
      </c>
      <c r="FM274" s="27" t="s">
        <v>8</v>
      </c>
      <c r="FN274" s="27" t="s">
        <v>7</v>
      </c>
      <c r="FO274" s="27" t="s">
        <v>8</v>
      </c>
    </row>
    <row r="275" spans="1:171" x14ac:dyDescent="0.25">
      <c r="A275" s="30">
        <v>0.18129028535257471</v>
      </c>
      <c r="B275"/>
      <c r="C275"/>
      <c r="D275"/>
      <c r="E275"/>
      <c r="F275" s="27" t="s">
        <v>7</v>
      </c>
      <c r="CQ275" s="27" t="s">
        <v>8</v>
      </c>
      <c r="CR275" s="27" t="s">
        <v>7</v>
      </c>
      <c r="CS275" s="27" t="s">
        <v>8</v>
      </c>
      <c r="CV275" s="27" t="s">
        <v>7</v>
      </c>
      <c r="CW275" s="27" t="s">
        <v>8</v>
      </c>
      <c r="CX275" s="27" t="s">
        <v>7</v>
      </c>
      <c r="DZ275" s="27" t="s">
        <v>7</v>
      </c>
      <c r="FC275" s="27" t="s">
        <v>8</v>
      </c>
      <c r="FD275" s="27" t="s">
        <v>7</v>
      </c>
      <c r="FI275" s="27" t="s">
        <v>8</v>
      </c>
      <c r="FK275" s="27" t="s">
        <v>8</v>
      </c>
      <c r="FL275" s="27" t="s">
        <v>7</v>
      </c>
      <c r="FM275" s="27" t="s">
        <v>8</v>
      </c>
      <c r="FN275" s="27" t="s">
        <v>7</v>
      </c>
      <c r="FO275" s="27" t="s">
        <v>8</v>
      </c>
    </row>
    <row r="276" spans="1:171" x14ac:dyDescent="0.25">
      <c r="A276" s="30">
        <v>0.17265741462149967</v>
      </c>
      <c r="B276"/>
      <c r="C276"/>
      <c r="D276"/>
      <c r="E276"/>
      <c r="F276" s="27" t="s">
        <v>7</v>
      </c>
      <c r="CQ276" s="27" t="s">
        <v>8</v>
      </c>
      <c r="CR276" s="27" t="s">
        <v>7</v>
      </c>
      <c r="CS276" s="27" t="s">
        <v>8</v>
      </c>
      <c r="CV276" s="27" t="s">
        <v>7</v>
      </c>
      <c r="CW276" s="27" t="s">
        <v>8</v>
      </c>
      <c r="DZ276" s="27" t="s">
        <v>7</v>
      </c>
      <c r="EW276" s="27" t="s">
        <v>8</v>
      </c>
      <c r="EY276" s="27" t="s">
        <v>8</v>
      </c>
      <c r="FA276" s="27" t="s">
        <v>8</v>
      </c>
      <c r="FC276" s="27" t="s">
        <v>8</v>
      </c>
      <c r="FD276" s="27" t="s">
        <v>7</v>
      </c>
      <c r="FE276" s="27" t="s">
        <v>8</v>
      </c>
      <c r="FI276" s="27" t="s">
        <v>8</v>
      </c>
      <c r="FJ276" s="27" t="s">
        <v>7</v>
      </c>
      <c r="FK276" s="27" t="s">
        <v>8</v>
      </c>
      <c r="FL276" s="27" t="s">
        <v>7</v>
      </c>
      <c r="FM276" s="27" t="s">
        <v>8</v>
      </c>
      <c r="FN276" s="27" t="s">
        <v>7</v>
      </c>
      <c r="FO276" s="27" t="s">
        <v>8</v>
      </c>
    </row>
    <row r="277" spans="1:171" x14ac:dyDescent="0.25">
      <c r="A277" s="30">
        <v>0.16443563297285677</v>
      </c>
      <c r="B277"/>
      <c r="C277"/>
      <c r="D277"/>
      <c r="E277"/>
      <c r="F277" s="27" t="s">
        <v>7</v>
      </c>
      <c r="CQ277" s="27" t="s">
        <v>8</v>
      </c>
      <c r="CR277" s="27" t="s">
        <v>7</v>
      </c>
      <c r="CS277" s="27" t="s">
        <v>8</v>
      </c>
      <c r="CV277" s="27" t="s">
        <v>7</v>
      </c>
      <c r="CW277" s="27" t="s">
        <v>8</v>
      </c>
      <c r="DZ277" s="27" t="s">
        <v>7</v>
      </c>
      <c r="EA277" s="27" t="s">
        <v>8</v>
      </c>
      <c r="EE277" s="27" t="s">
        <v>8</v>
      </c>
      <c r="EW277" s="27" t="s">
        <v>8</v>
      </c>
      <c r="EX277" s="27" t="s">
        <v>7</v>
      </c>
      <c r="EY277" s="27" t="s">
        <v>8</v>
      </c>
      <c r="EZ277" s="27" t="s">
        <v>7</v>
      </c>
      <c r="FA277" s="27" t="s">
        <v>8</v>
      </c>
      <c r="FB277" s="27" t="s">
        <v>7</v>
      </c>
      <c r="FC277" s="27" t="s">
        <v>8</v>
      </c>
      <c r="FD277" s="27" t="s">
        <v>7</v>
      </c>
      <c r="FE277" s="27" t="s">
        <v>8</v>
      </c>
      <c r="FF277" s="27" t="s">
        <v>7</v>
      </c>
      <c r="FG277" s="27" t="s">
        <v>8</v>
      </c>
      <c r="FI277" s="27" t="s">
        <v>8</v>
      </c>
      <c r="FJ277" s="27" t="s">
        <v>7</v>
      </c>
      <c r="FK277" s="27" t="s">
        <v>8</v>
      </c>
      <c r="FL277" s="27" t="s">
        <v>7</v>
      </c>
      <c r="FN277" s="27" t="s">
        <v>7</v>
      </c>
      <c r="FO277" s="27" t="s">
        <v>8</v>
      </c>
    </row>
    <row r="278" spans="1:171" x14ac:dyDescent="0.25">
      <c r="A278" s="30">
        <v>0.15660536473605399</v>
      </c>
      <c r="B278"/>
      <c r="C278"/>
      <c r="D278"/>
      <c r="E278"/>
      <c r="F278" s="27" t="s">
        <v>7</v>
      </c>
      <c r="CQ278" s="27" t="s">
        <v>8</v>
      </c>
      <c r="CR278" s="27" t="s">
        <v>7</v>
      </c>
      <c r="CS278" s="27" t="s">
        <v>8</v>
      </c>
      <c r="CV278" s="27" t="s">
        <v>7</v>
      </c>
      <c r="DZ278" s="27" t="s">
        <v>7</v>
      </c>
      <c r="EA278" s="27" t="s">
        <v>8</v>
      </c>
      <c r="EB278" s="27" t="s">
        <v>7</v>
      </c>
      <c r="EE278" s="27" t="s">
        <v>8</v>
      </c>
      <c r="EF278" s="27" t="s">
        <v>7</v>
      </c>
      <c r="EU278" s="27" t="s">
        <v>8</v>
      </c>
      <c r="EW278" s="27" t="s">
        <v>8</v>
      </c>
      <c r="EX278" s="27" t="s">
        <v>7</v>
      </c>
      <c r="EY278" s="27" t="s">
        <v>8</v>
      </c>
      <c r="EZ278" s="27" t="s">
        <v>7</v>
      </c>
      <c r="FA278" s="27" t="s">
        <v>8</v>
      </c>
      <c r="FB278" s="27" t="s">
        <v>7</v>
      </c>
      <c r="FC278" s="27" t="s">
        <v>8</v>
      </c>
      <c r="FD278" s="27" t="s">
        <v>7</v>
      </c>
      <c r="FE278" s="27" t="s">
        <v>8</v>
      </c>
      <c r="FF278" s="27" t="s">
        <v>7</v>
      </c>
      <c r="FG278" s="27" t="s">
        <v>8</v>
      </c>
      <c r="FH278" s="27" t="s">
        <v>7</v>
      </c>
      <c r="FI278" s="27" t="s">
        <v>8</v>
      </c>
      <c r="FJ278" s="27" t="s">
        <v>7</v>
      </c>
      <c r="FK278" s="27" t="s">
        <v>8</v>
      </c>
      <c r="FN278" s="27" t="s">
        <v>7</v>
      </c>
    </row>
    <row r="279" spans="1:171" x14ac:dyDescent="0.25">
      <c r="A279" s="30">
        <v>0.14914796641528946</v>
      </c>
      <c r="B279"/>
      <c r="C279"/>
      <c r="D279"/>
      <c r="E279"/>
      <c r="F279" s="27" t="s">
        <v>7</v>
      </c>
      <c r="CQ279" s="27" t="s">
        <v>8</v>
      </c>
      <c r="CR279" s="27" t="s">
        <v>7</v>
      </c>
      <c r="DZ279" s="27" t="s">
        <v>7</v>
      </c>
      <c r="EA279" s="27" t="s">
        <v>8</v>
      </c>
      <c r="EB279" s="27" t="s">
        <v>7</v>
      </c>
      <c r="EE279" s="27" t="s">
        <v>8</v>
      </c>
      <c r="EF279" s="27" t="s">
        <v>7</v>
      </c>
      <c r="EM279" s="27" t="s">
        <v>8</v>
      </c>
      <c r="EU279" s="27" t="s">
        <v>8</v>
      </c>
      <c r="EV279" s="27" t="s">
        <v>7</v>
      </c>
      <c r="EW279" s="27" t="s">
        <v>8</v>
      </c>
      <c r="EX279" s="27" t="s">
        <v>7</v>
      </c>
      <c r="EZ279" s="27" t="s">
        <v>7</v>
      </c>
      <c r="FA279" s="27" t="s">
        <v>8</v>
      </c>
      <c r="FB279" s="27" t="s">
        <v>7</v>
      </c>
      <c r="FD279" s="27" t="s">
        <v>7</v>
      </c>
      <c r="FE279" s="27" t="s">
        <v>8</v>
      </c>
      <c r="FF279" s="27" t="s">
        <v>7</v>
      </c>
      <c r="FG279" s="27" t="s">
        <v>8</v>
      </c>
      <c r="FH279" s="27" t="s">
        <v>7</v>
      </c>
      <c r="FI279" s="27" t="s">
        <v>8</v>
      </c>
      <c r="FJ279" s="27" t="s">
        <v>7</v>
      </c>
    </row>
    <row r="280" spans="1:171" x14ac:dyDescent="0.25">
      <c r="A280" s="30">
        <v>0.14204568230027562</v>
      </c>
      <c r="B280"/>
      <c r="C280"/>
      <c r="D280"/>
      <c r="E280"/>
      <c r="F280" s="27" t="s">
        <v>7</v>
      </c>
      <c r="CQ280" s="27" t="s">
        <v>8</v>
      </c>
      <c r="DZ280" s="27" t="s">
        <v>7</v>
      </c>
      <c r="EA280" s="27" t="s">
        <v>8</v>
      </c>
      <c r="EB280" s="27" t="s">
        <v>7</v>
      </c>
      <c r="EE280" s="27" t="s">
        <v>8</v>
      </c>
      <c r="EF280" s="27" t="s">
        <v>7</v>
      </c>
      <c r="EG280" s="27" t="s">
        <v>8</v>
      </c>
      <c r="EM280" s="27" t="s">
        <v>8</v>
      </c>
      <c r="EN280" s="27" t="s">
        <v>7</v>
      </c>
      <c r="EO280" s="27" t="s">
        <v>8</v>
      </c>
      <c r="EU280" s="27" t="s">
        <v>8</v>
      </c>
      <c r="EV280" s="27" t="s">
        <v>7</v>
      </c>
      <c r="EW280" s="27" t="s">
        <v>8</v>
      </c>
      <c r="EZ280" s="27" t="s">
        <v>7</v>
      </c>
      <c r="FD280" s="27" t="s">
        <v>7</v>
      </c>
      <c r="FF280" s="27" t="s">
        <v>7</v>
      </c>
      <c r="FG280" s="27" t="s">
        <v>8</v>
      </c>
      <c r="FH280" s="27" t="s">
        <v>7</v>
      </c>
      <c r="FI280" s="27" t="s">
        <v>8</v>
      </c>
    </row>
    <row r="281" spans="1:171" x14ac:dyDescent="0.25">
      <c r="A281" s="30">
        <v>0.13528160219073862</v>
      </c>
      <c r="B281"/>
      <c r="C281"/>
      <c r="D281"/>
      <c r="E281"/>
      <c r="F281" s="27" t="s">
        <v>7</v>
      </c>
      <c r="CQ281" s="27" t="s">
        <v>8</v>
      </c>
      <c r="DZ281" s="27" t="s">
        <v>7</v>
      </c>
      <c r="EA281" s="27" t="s">
        <v>8</v>
      </c>
      <c r="EB281" s="27" t="s">
        <v>7</v>
      </c>
      <c r="EC281" s="27" t="s">
        <v>8</v>
      </c>
      <c r="EE281" s="27" t="s">
        <v>8</v>
      </c>
      <c r="EF281" s="27" t="s">
        <v>7</v>
      </c>
      <c r="EG281" s="27" t="s">
        <v>8</v>
      </c>
      <c r="EH281" s="27" t="s">
        <v>7</v>
      </c>
      <c r="EI281" s="27" t="s">
        <v>8</v>
      </c>
      <c r="EM281" s="27" t="s">
        <v>8</v>
      </c>
      <c r="EN281" s="27" t="s">
        <v>7</v>
      </c>
      <c r="EO281" s="27" t="s">
        <v>8</v>
      </c>
      <c r="EP281" s="27" t="s">
        <v>7</v>
      </c>
      <c r="EU281" s="27" t="s">
        <v>8</v>
      </c>
      <c r="EV281" s="27" t="s">
        <v>7</v>
      </c>
      <c r="EW281" s="27" t="s">
        <v>8</v>
      </c>
      <c r="FF281" s="27" t="s">
        <v>7</v>
      </c>
      <c r="FG281" s="27" t="s">
        <v>8</v>
      </c>
      <c r="FH281" s="27" t="s">
        <v>7</v>
      </c>
    </row>
    <row r="282" spans="1:171" x14ac:dyDescent="0.25">
      <c r="A282" s="30">
        <v>0.12883962113403674</v>
      </c>
      <c r="B282"/>
      <c r="C282"/>
      <c r="D282"/>
      <c r="E282"/>
      <c r="F282" s="27" t="s">
        <v>7</v>
      </c>
      <c r="AY282" s="27" t="s">
        <v>8</v>
      </c>
      <c r="CQ282" s="27" t="s">
        <v>8</v>
      </c>
      <c r="DZ282" s="27" t="s">
        <v>7</v>
      </c>
      <c r="EA282" s="27" t="s">
        <v>8</v>
      </c>
      <c r="EB282" s="27" t="s">
        <v>7</v>
      </c>
      <c r="EC282" s="27" t="s">
        <v>8</v>
      </c>
      <c r="ED282" s="27" t="s">
        <v>7</v>
      </c>
      <c r="EE282" s="27" t="s">
        <v>8</v>
      </c>
      <c r="EF282" s="27" t="s">
        <v>7</v>
      </c>
      <c r="EG282" s="27" t="s">
        <v>8</v>
      </c>
      <c r="EH282" s="27" t="s">
        <v>7</v>
      </c>
      <c r="EI282" s="27" t="s">
        <v>8</v>
      </c>
      <c r="EJ282" s="27" t="s">
        <v>7</v>
      </c>
      <c r="EK282" s="27" t="s">
        <v>8</v>
      </c>
      <c r="EM282" s="27" t="s">
        <v>8</v>
      </c>
      <c r="EN282" s="27" t="s">
        <v>7</v>
      </c>
      <c r="EO282" s="27" t="s">
        <v>8</v>
      </c>
      <c r="EP282" s="27" t="s">
        <v>7</v>
      </c>
      <c r="EQ282" s="27" t="s">
        <v>8</v>
      </c>
      <c r="ES282" s="27" t="s">
        <v>8</v>
      </c>
      <c r="EU282" s="27" t="s">
        <v>8</v>
      </c>
      <c r="EV282" s="27" t="s">
        <v>7</v>
      </c>
      <c r="FF282" s="27" t="s">
        <v>7</v>
      </c>
    </row>
    <row r="283" spans="1:171" x14ac:dyDescent="0.25">
      <c r="A283" s="30">
        <v>0.12270440108003494</v>
      </c>
      <c r="B283"/>
      <c r="C283"/>
      <c r="D283"/>
      <c r="E283"/>
      <c r="F283" s="27" t="s">
        <v>7</v>
      </c>
      <c r="AY283" s="27" t="s">
        <v>8</v>
      </c>
      <c r="AZ283" s="27" t="s">
        <v>7</v>
      </c>
      <c r="CQ283" s="27" t="s">
        <v>8</v>
      </c>
      <c r="DZ283" s="27" t="s">
        <v>7</v>
      </c>
      <c r="EA283" s="27" t="s">
        <v>8</v>
      </c>
      <c r="EB283" s="27" t="s">
        <v>7</v>
      </c>
      <c r="EC283" s="27" t="s">
        <v>8</v>
      </c>
      <c r="ED283" s="27" t="s">
        <v>7</v>
      </c>
      <c r="EE283" s="27" t="s">
        <v>8</v>
      </c>
      <c r="EF283" s="27" t="s">
        <v>7</v>
      </c>
      <c r="EG283" s="27" t="s">
        <v>8</v>
      </c>
      <c r="EH283" s="27" t="s">
        <v>7</v>
      </c>
      <c r="EI283" s="27" t="s">
        <v>8</v>
      </c>
      <c r="EJ283" s="27" t="s">
        <v>7</v>
      </c>
      <c r="EK283" s="27" t="s">
        <v>8</v>
      </c>
      <c r="EL283" s="27" t="s">
        <v>7</v>
      </c>
      <c r="EM283" s="27" t="s">
        <v>8</v>
      </c>
      <c r="EN283" s="27" t="s">
        <v>7</v>
      </c>
      <c r="EO283" s="27" t="s">
        <v>8</v>
      </c>
      <c r="EP283" s="27" t="s">
        <v>7</v>
      </c>
      <c r="EQ283" s="27" t="s">
        <v>8</v>
      </c>
      <c r="ER283" s="27" t="s">
        <v>7</v>
      </c>
      <c r="ES283" s="27" t="s">
        <v>8</v>
      </c>
      <c r="ET283" s="27" t="s">
        <v>7</v>
      </c>
      <c r="EU283" s="27" t="s">
        <v>8</v>
      </c>
    </row>
    <row r="284" spans="1:171" x14ac:dyDescent="0.25">
      <c r="A284" s="30">
        <v>0.11686133436193799</v>
      </c>
      <c r="B284"/>
      <c r="C284"/>
      <c r="D284"/>
      <c r="E284"/>
      <c r="F284" s="27" t="s">
        <v>7</v>
      </c>
      <c r="AY284" s="27" t="s">
        <v>8</v>
      </c>
      <c r="AZ284" s="27" t="s">
        <v>7</v>
      </c>
      <c r="CQ284" s="27" t="s">
        <v>8</v>
      </c>
      <c r="DZ284" s="27" t="s">
        <v>7</v>
      </c>
      <c r="EA284" s="27" t="s">
        <v>8</v>
      </c>
      <c r="EB284" s="27" t="s">
        <v>7</v>
      </c>
      <c r="ED284" s="27" t="s">
        <v>7</v>
      </c>
      <c r="EE284" s="27" t="s">
        <v>8</v>
      </c>
      <c r="EF284" s="27" t="s">
        <v>7</v>
      </c>
      <c r="EG284" s="27" t="s">
        <v>8</v>
      </c>
      <c r="EH284" s="27" t="s">
        <v>7</v>
      </c>
      <c r="EJ284" s="27" t="s">
        <v>7</v>
      </c>
      <c r="EK284" s="27" t="s">
        <v>8</v>
      </c>
      <c r="EL284" s="27" t="s">
        <v>7</v>
      </c>
      <c r="EM284" s="27" t="s">
        <v>8</v>
      </c>
      <c r="EN284" s="27" t="s">
        <v>7</v>
      </c>
      <c r="EO284" s="27" t="s">
        <v>8</v>
      </c>
      <c r="EP284" s="27" t="s">
        <v>7</v>
      </c>
      <c r="EQ284" s="27" t="s">
        <v>8</v>
      </c>
      <c r="ER284" s="27" t="s">
        <v>7</v>
      </c>
      <c r="ES284" s="27" t="s">
        <v>8</v>
      </c>
      <c r="ET284" s="27" t="s">
        <v>7</v>
      </c>
      <c r="EU284" s="27" t="s">
        <v>8</v>
      </c>
    </row>
    <row r="285" spans="1:171" x14ac:dyDescent="0.25">
      <c r="A285" s="30">
        <v>0.11129650891613138</v>
      </c>
      <c r="B285"/>
      <c r="C285"/>
      <c r="D285"/>
      <c r="E285"/>
      <c r="F285" s="27" t="s">
        <v>7</v>
      </c>
      <c r="AY285" s="27" t="s">
        <v>8</v>
      </c>
      <c r="AZ285" s="27" t="s">
        <v>7</v>
      </c>
      <c r="BE285" s="27" t="s">
        <v>8</v>
      </c>
      <c r="CQ285" s="27" t="s">
        <v>8</v>
      </c>
      <c r="DZ285" s="27" t="s">
        <v>7</v>
      </c>
      <c r="ED285" s="27" t="s">
        <v>7</v>
      </c>
      <c r="EE285" s="27" t="s">
        <v>8</v>
      </c>
      <c r="EF285" s="27" t="s">
        <v>7</v>
      </c>
      <c r="EG285" s="27" t="s">
        <v>8</v>
      </c>
      <c r="EJ285" s="27" t="s">
        <v>7</v>
      </c>
      <c r="EL285" s="27" t="s">
        <v>7</v>
      </c>
      <c r="EM285" s="27" t="s">
        <v>8</v>
      </c>
      <c r="EN285" s="27" t="s">
        <v>7</v>
      </c>
      <c r="EO285" s="27" t="s">
        <v>8</v>
      </c>
      <c r="EP285" s="27" t="s">
        <v>7</v>
      </c>
      <c r="EQ285" s="27" t="s">
        <v>8</v>
      </c>
      <c r="ER285" s="27" t="s">
        <v>7</v>
      </c>
      <c r="ET285" s="27" t="s">
        <v>7</v>
      </c>
      <c r="EU285" s="27" t="s">
        <v>8</v>
      </c>
    </row>
    <row r="286" spans="1:171" x14ac:dyDescent="0.25">
      <c r="A286" s="30">
        <v>0.10599667515822032</v>
      </c>
      <c r="B286"/>
      <c r="C286"/>
      <c r="D286"/>
      <c r="E286"/>
      <c r="F286" s="27" t="s">
        <v>7</v>
      </c>
      <c r="AY286" s="27" t="s">
        <v>8</v>
      </c>
      <c r="AZ286" s="27" t="s">
        <v>7</v>
      </c>
      <c r="BE286" s="27" t="s">
        <v>8</v>
      </c>
      <c r="BF286" s="27" t="s">
        <v>7</v>
      </c>
      <c r="CQ286" s="27" t="s">
        <v>8</v>
      </c>
      <c r="ED286" s="27" t="s">
        <v>7</v>
      </c>
      <c r="EE286" s="27" t="s">
        <v>8</v>
      </c>
      <c r="EF286" s="27" t="s">
        <v>7</v>
      </c>
      <c r="EL286" s="27" t="s">
        <v>7</v>
      </c>
      <c r="EM286" s="27" t="s">
        <v>8</v>
      </c>
      <c r="EN286" s="27" t="s">
        <v>7</v>
      </c>
      <c r="EP286" s="27" t="s">
        <v>7</v>
      </c>
      <c r="EQ286" s="27" t="s">
        <v>8</v>
      </c>
      <c r="ET286" s="27" t="s">
        <v>7</v>
      </c>
      <c r="EU286" s="27" t="s">
        <v>8</v>
      </c>
    </row>
    <row r="287" spans="1:171" x14ac:dyDescent="0.25">
      <c r="A287" s="30">
        <v>0.10094921443640027</v>
      </c>
      <c r="B287"/>
      <c r="C287"/>
      <c r="D287"/>
      <c r="E287"/>
      <c r="F287" s="27" t="s">
        <v>7</v>
      </c>
      <c r="AW287" s="27" t="s">
        <v>8</v>
      </c>
      <c r="AY287" s="27" t="s">
        <v>8</v>
      </c>
      <c r="AZ287" s="27" t="s">
        <v>7</v>
      </c>
      <c r="BE287" s="27" t="s">
        <v>8</v>
      </c>
      <c r="BF287" s="27" t="s">
        <v>7</v>
      </c>
      <c r="CO287" s="27" t="s">
        <v>8</v>
      </c>
      <c r="CQ287" s="27" t="s">
        <v>8</v>
      </c>
      <c r="ED287" s="27" t="s">
        <v>7</v>
      </c>
      <c r="EE287" s="27" t="s">
        <v>8</v>
      </c>
      <c r="EL287" s="27" t="s">
        <v>7</v>
      </c>
      <c r="EM287" s="27" t="s">
        <v>8</v>
      </c>
      <c r="EP287" s="27" t="s">
        <v>7</v>
      </c>
      <c r="EQ287" s="27" t="s">
        <v>8</v>
      </c>
      <c r="ET287" s="18" t="s">
        <v>7</v>
      </c>
      <c r="EU287" s="27" t="s">
        <v>8</v>
      </c>
    </row>
    <row r="288" spans="1:171" x14ac:dyDescent="0.25">
      <c r="A288" s="30">
        <v>9.6142108987047836E-2</v>
      </c>
      <c r="B288"/>
      <c r="C288"/>
      <c r="D288"/>
      <c r="E288"/>
      <c r="F288" s="27" t="s">
        <v>7</v>
      </c>
      <c r="AW288" s="27" t="s">
        <v>8</v>
      </c>
      <c r="AX288" s="27" t="s">
        <v>7</v>
      </c>
      <c r="AY288" s="27" t="s">
        <v>8</v>
      </c>
      <c r="AZ288" s="27" t="s">
        <v>7</v>
      </c>
      <c r="BA288" s="27" t="s">
        <v>8</v>
      </c>
      <c r="BE288" s="27" t="s">
        <v>8</v>
      </c>
      <c r="BF288" s="27" t="s">
        <v>7</v>
      </c>
      <c r="CO288" s="27" t="s">
        <v>8</v>
      </c>
      <c r="CP288" s="27" t="s">
        <v>7</v>
      </c>
      <c r="CQ288" s="27" t="s">
        <v>8</v>
      </c>
      <c r="ED288" s="27" t="s">
        <v>7</v>
      </c>
      <c r="EE288" s="27" t="s">
        <v>8</v>
      </c>
      <c r="EL288" s="27" t="s">
        <v>7</v>
      </c>
      <c r="EP288" s="27" t="s">
        <v>7</v>
      </c>
      <c r="EQ288" s="27" t="s">
        <v>8</v>
      </c>
      <c r="ET288" s="27" t="s">
        <v>7</v>
      </c>
      <c r="EU288" s="27" t="s">
        <v>8</v>
      </c>
    </row>
    <row r="289" spans="1:150" x14ac:dyDescent="0.25">
      <c r="A289" s="30">
        <v>9.1563913320997906E-2</v>
      </c>
      <c r="B289"/>
      <c r="C289"/>
      <c r="D289"/>
      <c r="E289"/>
      <c r="F289" s="27" t="s">
        <v>7</v>
      </c>
      <c r="AW289" s="27" t="s">
        <v>8</v>
      </c>
      <c r="AX289" s="27" t="s">
        <v>7</v>
      </c>
      <c r="AY289" s="27" t="s">
        <v>8</v>
      </c>
      <c r="AZ289" s="27" t="s">
        <v>7</v>
      </c>
      <c r="BA289" s="27" t="s">
        <v>8</v>
      </c>
      <c r="BB289" s="27" t="s">
        <v>7</v>
      </c>
      <c r="BC289" s="27" t="s">
        <v>8</v>
      </c>
      <c r="BE289" s="27" t="s">
        <v>8</v>
      </c>
      <c r="BF289" s="27" t="s">
        <v>7</v>
      </c>
      <c r="CO289" s="27" t="s">
        <v>8</v>
      </c>
      <c r="CP289" s="27" t="s">
        <v>7</v>
      </c>
      <c r="CQ289" s="27" t="s">
        <v>8</v>
      </c>
      <c r="ED289" s="27" t="s">
        <v>7</v>
      </c>
      <c r="EE289" s="27" t="s">
        <v>8</v>
      </c>
      <c r="EP289" s="27" t="s">
        <v>7</v>
      </c>
      <c r="EQ289" s="27" t="s">
        <v>8</v>
      </c>
      <c r="ET289" s="27" t="s">
        <v>7</v>
      </c>
    </row>
    <row r="290" spans="1:150" x14ac:dyDescent="0.25">
      <c r="A290" s="30">
        <v>8.7203726972378923E-2</v>
      </c>
      <c r="B290"/>
      <c r="C290"/>
      <c r="D290"/>
      <c r="E290"/>
      <c r="F290" s="27" t="s">
        <v>7</v>
      </c>
      <c r="AW290" s="27" t="s">
        <v>8</v>
      </c>
      <c r="AX290" s="27" t="s">
        <v>7</v>
      </c>
      <c r="AY290" s="27" t="s">
        <v>8</v>
      </c>
      <c r="AZ290" s="27" t="s">
        <v>7</v>
      </c>
      <c r="BA290" s="27" t="s">
        <v>8</v>
      </c>
      <c r="BB290" s="27" t="s">
        <v>7</v>
      </c>
      <c r="BC290" s="27" t="s">
        <v>8</v>
      </c>
      <c r="BD290" s="27" t="s">
        <v>7</v>
      </c>
      <c r="BE290" s="27" t="s">
        <v>8</v>
      </c>
      <c r="BF290" s="27" t="s">
        <v>7</v>
      </c>
      <c r="CO290" s="27" t="s">
        <v>8</v>
      </c>
      <c r="CP290" s="27" t="s">
        <v>7</v>
      </c>
      <c r="CQ290" s="27" t="s">
        <v>8</v>
      </c>
      <c r="ED290" s="27" t="s">
        <v>7</v>
      </c>
      <c r="EP290" s="27" t="s">
        <v>7</v>
      </c>
    </row>
    <row r="291" spans="1:150" x14ac:dyDescent="0.25">
      <c r="A291" s="30">
        <v>8.3051168545122747E-2</v>
      </c>
      <c r="B291"/>
      <c r="C291"/>
      <c r="D291"/>
      <c r="E291"/>
      <c r="F291" s="27" t="s">
        <v>7</v>
      </c>
      <c r="AW291" s="27" t="s">
        <v>8</v>
      </c>
      <c r="AX291" s="27" t="s">
        <v>7</v>
      </c>
      <c r="AY291" s="27" t="s">
        <v>8</v>
      </c>
      <c r="AZ291" s="27" t="s">
        <v>7</v>
      </c>
      <c r="BA291" s="27" t="s">
        <v>8</v>
      </c>
      <c r="BB291" s="27" t="s">
        <v>7</v>
      </c>
      <c r="BC291" s="27" t="s">
        <v>8</v>
      </c>
      <c r="BD291" s="27" t="s">
        <v>7</v>
      </c>
      <c r="BE291" s="27" t="s">
        <v>8</v>
      </c>
      <c r="BF291" s="27" t="s">
        <v>7</v>
      </c>
      <c r="CO291" s="27" t="s">
        <v>8</v>
      </c>
      <c r="CP291" s="27" t="s">
        <v>7</v>
      </c>
      <c r="CQ291" s="27" t="s">
        <v>8</v>
      </c>
    </row>
    <row r="292" spans="1:150" x14ac:dyDescent="0.25">
      <c r="A292" s="30">
        <v>7.9096350995354961E-2</v>
      </c>
      <c r="B292"/>
      <c r="C292"/>
      <c r="D292"/>
      <c r="E292"/>
      <c r="F292" s="27" t="s">
        <v>7</v>
      </c>
      <c r="AW292" s="27" t="s">
        <v>8</v>
      </c>
      <c r="AX292" s="27" t="s">
        <v>7</v>
      </c>
      <c r="AZ292" s="27" t="s">
        <v>7</v>
      </c>
      <c r="BB292" s="27" t="s">
        <v>7</v>
      </c>
      <c r="BD292" s="27" t="s">
        <v>7</v>
      </c>
      <c r="BF292" s="27" t="s">
        <v>7</v>
      </c>
      <c r="BO292" s="27" t="s">
        <v>8</v>
      </c>
      <c r="CO292" s="27" t="s">
        <v>8</v>
      </c>
      <c r="CP292" s="27" t="s">
        <v>7</v>
      </c>
      <c r="CQ292" s="27" t="s">
        <v>8</v>
      </c>
    </row>
    <row r="293" spans="1:150" x14ac:dyDescent="0.25">
      <c r="A293" s="30">
        <v>7.5329858090814217E-2</v>
      </c>
      <c r="B293"/>
      <c r="C293"/>
      <c r="D293"/>
      <c r="E293"/>
      <c r="F293" s="27" t="s">
        <v>7</v>
      </c>
      <c r="AW293" s="27" t="s">
        <v>8</v>
      </c>
      <c r="BF293" s="27" t="s">
        <v>7</v>
      </c>
      <c r="BO293" s="27" t="s">
        <v>8</v>
      </c>
      <c r="BP293" s="27" t="s">
        <v>7</v>
      </c>
      <c r="CK293" s="27" t="s">
        <v>8</v>
      </c>
      <c r="CO293" s="27" t="s">
        <v>8</v>
      </c>
      <c r="CP293" s="27" t="s">
        <v>7</v>
      </c>
      <c r="CQ293" s="27" t="s">
        <v>8</v>
      </c>
    </row>
    <row r="294" spans="1:150" x14ac:dyDescent="0.25">
      <c r="A294" s="30">
        <v>7.1742721991251604E-2</v>
      </c>
      <c r="B294"/>
      <c r="C294"/>
      <c r="D294"/>
      <c r="E294"/>
      <c r="F294" s="27" t="s">
        <v>7</v>
      </c>
      <c r="AS294" s="27" t="s">
        <v>8</v>
      </c>
      <c r="AW294" s="27" t="s">
        <v>8</v>
      </c>
      <c r="BF294" s="27" t="s">
        <v>7</v>
      </c>
      <c r="BI294" s="27" t="s">
        <v>8</v>
      </c>
      <c r="BO294" s="27" t="s">
        <v>8</v>
      </c>
      <c r="BP294" s="27" t="s">
        <v>7</v>
      </c>
      <c r="CK294" s="27" t="s">
        <v>8</v>
      </c>
      <c r="CL294" s="27" t="s">
        <v>7</v>
      </c>
      <c r="CM294" s="27" t="s">
        <v>8</v>
      </c>
      <c r="CO294" s="27" t="s">
        <v>8</v>
      </c>
      <c r="CP294" s="27" t="s">
        <v>7</v>
      </c>
    </row>
    <row r="295" spans="1:150" x14ac:dyDescent="0.25">
      <c r="A295" s="30">
        <v>6.8326401896430078E-2</v>
      </c>
      <c r="B295"/>
      <c r="C295"/>
      <c r="D295"/>
      <c r="E295"/>
      <c r="F295" s="27" t="s">
        <v>7</v>
      </c>
      <c r="AS295" s="27" t="s">
        <v>8</v>
      </c>
      <c r="AT295" s="27" t="s">
        <v>7</v>
      </c>
      <c r="AW295" s="27" t="s">
        <v>8</v>
      </c>
      <c r="BF295" s="27" t="s">
        <v>7</v>
      </c>
      <c r="BG295" s="27" t="s">
        <v>8</v>
      </c>
      <c r="BI295" s="27" t="s">
        <v>8</v>
      </c>
      <c r="BJ295" s="27" t="s">
        <v>7</v>
      </c>
      <c r="BO295" s="27" t="s">
        <v>8</v>
      </c>
      <c r="BP295" s="27" t="s">
        <v>7</v>
      </c>
      <c r="CI295" s="27" t="s">
        <v>8</v>
      </c>
      <c r="CK295" s="27" t="s">
        <v>8</v>
      </c>
      <c r="CL295" s="27" t="s">
        <v>7</v>
      </c>
      <c r="CM295" s="27" t="s">
        <v>8</v>
      </c>
      <c r="CN295" s="27" t="s">
        <v>7</v>
      </c>
      <c r="CO295" s="27" t="s">
        <v>8</v>
      </c>
    </row>
    <row r="296" spans="1:150" x14ac:dyDescent="0.25">
      <c r="A296" s="30">
        <v>6.5072763710885759E-2</v>
      </c>
      <c r="B296"/>
      <c r="C296"/>
      <c r="D296"/>
      <c r="E296"/>
      <c r="F296" s="27" t="s">
        <v>7</v>
      </c>
      <c r="AS296" s="27" t="s">
        <v>8</v>
      </c>
      <c r="AT296" s="27" t="s">
        <v>7</v>
      </c>
      <c r="AU296" s="27" t="s">
        <v>8</v>
      </c>
      <c r="AW296" s="27" t="s">
        <v>8</v>
      </c>
      <c r="BF296" s="27" t="s">
        <v>7</v>
      </c>
      <c r="BG296" s="27" t="s">
        <v>8</v>
      </c>
      <c r="BH296" s="27" t="s">
        <v>7</v>
      </c>
      <c r="BI296" s="27" t="s">
        <v>8</v>
      </c>
      <c r="BJ296" s="27" t="s">
        <v>7</v>
      </c>
      <c r="BO296" s="27" t="s">
        <v>8</v>
      </c>
      <c r="BP296" s="27" t="s">
        <v>7</v>
      </c>
      <c r="CI296" s="27" t="s">
        <v>8</v>
      </c>
      <c r="CJ296" s="27" t="s">
        <v>7</v>
      </c>
      <c r="CK296" s="27" t="s">
        <v>8</v>
      </c>
      <c r="CL296" s="27" t="s">
        <v>7</v>
      </c>
      <c r="CM296" s="27" t="s">
        <v>8</v>
      </c>
      <c r="CN296" s="27" t="s">
        <v>7</v>
      </c>
      <c r="CO296" s="27" t="s">
        <v>8</v>
      </c>
    </row>
    <row r="297" spans="1:150" x14ac:dyDescent="0.25">
      <c r="A297" s="30">
        <v>6.197406067703403E-2</v>
      </c>
      <c r="B297"/>
      <c r="C297"/>
      <c r="D297"/>
      <c r="E297"/>
      <c r="F297" s="27" t="s">
        <v>7</v>
      </c>
      <c r="AQ297" s="27" t="s">
        <v>8</v>
      </c>
      <c r="AS297" s="27" t="s">
        <v>8</v>
      </c>
      <c r="AT297" s="27" t="s">
        <v>7</v>
      </c>
      <c r="AU297" s="27" t="s">
        <v>8</v>
      </c>
      <c r="AV297" s="27" t="s">
        <v>7</v>
      </c>
      <c r="AW297" s="27" t="s">
        <v>8</v>
      </c>
      <c r="BF297" s="27" t="s">
        <v>7</v>
      </c>
      <c r="BG297" s="27" t="s">
        <v>8</v>
      </c>
      <c r="BH297" s="27" t="s">
        <v>7</v>
      </c>
      <c r="BI297" s="27" t="s">
        <v>8</v>
      </c>
      <c r="BJ297" s="27" t="s">
        <v>7</v>
      </c>
      <c r="BO297" s="27" t="s">
        <v>8</v>
      </c>
      <c r="BP297" s="27" t="s">
        <v>7</v>
      </c>
      <c r="BY297" s="27" t="s">
        <v>8</v>
      </c>
      <c r="CC297" s="27" t="s">
        <v>8</v>
      </c>
      <c r="CE297" s="27" t="s">
        <v>8</v>
      </c>
      <c r="CI297" s="27" t="s">
        <v>8</v>
      </c>
      <c r="CJ297" s="27" t="s">
        <v>7</v>
      </c>
      <c r="CK297" s="27" t="s">
        <v>8</v>
      </c>
      <c r="CL297" s="27" t="s">
        <v>7</v>
      </c>
      <c r="CM297" s="27" t="s">
        <v>8</v>
      </c>
      <c r="CN297" s="27" t="s">
        <v>7</v>
      </c>
    </row>
    <row r="298" spans="1:150" x14ac:dyDescent="0.25">
      <c r="A298" s="30">
        <v>5.9022914930508576E-2</v>
      </c>
      <c r="B298"/>
      <c r="C298"/>
      <c r="D298"/>
      <c r="E298"/>
      <c r="F298" s="27" t="s">
        <v>7</v>
      </c>
      <c r="I298" s="27" t="s">
        <v>8</v>
      </c>
      <c r="AO298" s="27" t="s">
        <v>8</v>
      </c>
      <c r="AQ298" s="27" t="s">
        <v>8</v>
      </c>
      <c r="AR298" s="27" t="s">
        <v>7</v>
      </c>
      <c r="AS298" s="27" t="s">
        <v>8</v>
      </c>
      <c r="AT298" s="27" t="s">
        <v>7</v>
      </c>
      <c r="AU298" s="27" t="s">
        <v>8</v>
      </c>
      <c r="AV298" s="27" t="s">
        <v>7</v>
      </c>
      <c r="AW298" s="27" t="s">
        <v>8</v>
      </c>
      <c r="BF298" s="27" t="s">
        <v>7</v>
      </c>
      <c r="BG298" s="27" t="s">
        <v>8</v>
      </c>
      <c r="BH298" s="27" t="s">
        <v>7</v>
      </c>
      <c r="BI298" s="27" t="s">
        <v>8</v>
      </c>
      <c r="BJ298" s="27" t="s">
        <v>7</v>
      </c>
      <c r="BO298" s="27" t="s">
        <v>8</v>
      </c>
      <c r="BP298" s="27" t="s">
        <v>7</v>
      </c>
      <c r="BW298" s="27" t="s">
        <v>8</v>
      </c>
      <c r="BY298" s="27" t="s">
        <v>8</v>
      </c>
      <c r="BZ298" s="27" t="s">
        <v>7</v>
      </c>
      <c r="CC298" s="27" t="s">
        <v>8</v>
      </c>
      <c r="CD298" s="27" t="s">
        <v>7</v>
      </c>
      <c r="CE298" s="27" t="s">
        <v>8</v>
      </c>
      <c r="CF298" s="27" t="s">
        <v>7</v>
      </c>
      <c r="CI298" s="27" t="s">
        <v>8</v>
      </c>
      <c r="CJ298" s="27" t="s">
        <v>7</v>
      </c>
      <c r="CK298" s="27" t="s">
        <v>8</v>
      </c>
      <c r="CL298" s="27" t="s">
        <v>7</v>
      </c>
      <c r="CM298" s="27" t="s">
        <v>8</v>
      </c>
    </row>
    <row r="299" spans="1:150" x14ac:dyDescent="0.25">
      <c r="A299" s="30">
        <v>5.6212299933817669E-2</v>
      </c>
      <c r="B299"/>
      <c r="C299"/>
      <c r="D299"/>
      <c r="E299"/>
      <c r="F299" s="27" t="s">
        <v>7</v>
      </c>
      <c r="I299" s="27" t="s">
        <v>8</v>
      </c>
      <c r="J299" s="27" t="s">
        <v>7</v>
      </c>
      <c r="AO299" s="27" t="s">
        <v>8</v>
      </c>
      <c r="AP299" s="27" t="s">
        <v>7</v>
      </c>
      <c r="AQ299" s="27" t="s">
        <v>8</v>
      </c>
      <c r="AR299" s="27" t="s">
        <v>7</v>
      </c>
      <c r="AS299" s="27" t="s">
        <v>8</v>
      </c>
      <c r="AT299" s="27" t="s">
        <v>7</v>
      </c>
      <c r="AU299" s="27" t="s">
        <v>8</v>
      </c>
      <c r="AV299" s="27" t="s">
        <v>7</v>
      </c>
      <c r="AW299" s="27" t="s">
        <v>8</v>
      </c>
      <c r="BF299" s="27" t="s">
        <v>7</v>
      </c>
      <c r="BG299" s="27" t="s">
        <v>8</v>
      </c>
      <c r="BH299" s="27" t="s">
        <v>7</v>
      </c>
      <c r="BI299" s="27" t="s">
        <v>8</v>
      </c>
      <c r="BJ299" s="27" t="s">
        <v>7</v>
      </c>
      <c r="BM299" s="27" t="s">
        <v>8</v>
      </c>
      <c r="BO299" s="27" t="s">
        <v>8</v>
      </c>
      <c r="BP299" s="27" t="s">
        <v>7</v>
      </c>
      <c r="BQ299" s="27" t="s">
        <v>8</v>
      </c>
      <c r="BW299" s="27" t="s">
        <v>8</v>
      </c>
      <c r="BX299" s="27" t="s">
        <v>7</v>
      </c>
      <c r="BY299" s="27" t="s">
        <v>8</v>
      </c>
      <c r="BZ299" s="27" t="s">
        <v>7</v>
      </c>
      <c r="CA299" s="27" t="s">
        <v>8</v>
      </c>
      <c r="CC299" s="27" t="s">
        <v>8</v>
      </c>
      <c r="CD299" s="27" t="s">
        <v>7</v>
      </c>
      <c r="CE299" s="27" t="s">
        <v>8</v>
      </c>
      <c r="CF299" s="27" t="s">
        <v>7</v>
      </c>
      <c r="CI299" s="27" t="s">
        <v>8</v>
      </c>
      <c r="CJ299" s="27" t="s">
        <v>7</v>
      </c>
      <c r="CK299" s="27" t="s">
        <v>8</v>
      </c>
      <c r="CL299" s="27" t="s">
        <v>7</v>
      </c>
    </row>
    <row r="300" spans="1:150" x14ac:dyDescent="0.25">
      <c r="A300" s="30">
        <v>5.3535523746492994E-2</v>
      </c>
      <c r="B300"/>
      <c r="C300"/>
      <c r="D300"/>
      <c r="E300"/>
      <c r="F300" s="27" t="s">
        <v>7</v>
      </c>
      <c r="I300" s="27" t="s">
        <v>8</v>
      </c>
      <c r="J300" s="27" t="s">
        <v>7</v>
      </c>
      <c r="AO300" s="27" t="s">
        <v>8</v>
      </c>
      <c r="AP300" s="27" t="s">
        <v>7</v>
      </c>
      <c r="AQ300" s="27" t="s">
        <v>8</v>
      </c>
      <c r="AR300" s="27" t="s">
        <v>7</v>
      </c>
      <c r="AT300" s="27" t="s">
        <v>7</v>
      </c>
      <c r="AU300" s="27" t="s">
        <v>8</v>
      </c>
      <c r="AV300" s="27" t="s">
        <v>7</v>
      </c>
      <c r="AW300" s="27" t="s">
        <v>8</v>
      </c>
      <c r="BF300" s="27" t="s">
        <v>7</v>
      </c>
      <c r="BH300" s="27" t="s">
        <v>7</v>
      </c>
      <c r="BJ300" s="27" t="s">
        <v>7</v>
      </c>
      <c r="BM300" s="27" t="s">
        <v>8</v>
      </c>
      <c r="BN300" s="27" t="s">
        <v>7</v>
      </c>
      <c r="BO300" s="27" t="s">
        <v>8</v>
      </c>
      <c r="BP300" s="27" t="s">
        <v>7</v>
      </c>
      <c r="BQ300" s="27" t="s">
        <v>8</v>
      </c>
      <c r="BR300" s="27" t="s">
        <v>7</v>
      </c>
      <c r="BS300" s="27" t="s">
        <v>8</v>
      </c>
      <c r="BW300" s="27" t="s">
        <v>8</v>
      </c>
      <c r="BX300" s="27" t="s">
        <v>7</v>
      </c>
      <c r="BY300" s="27" t="s">
        <v>8</v>
      </c>
      <c r="BZ300" s="27" t="s">
        <v>7</v>
      </c>
      <c r="CA300" s="27" t="s">
        <v>8</v>
      </c>
      <c r="CB300" s="27" t="s">
        <v>7</v>
      </c>
      <c r="CC300" s="27" t="s">
        <v>8</v>
      </c>
      <c r="CD300" s="27" t="s">
        <v>7</v>
      </c>
      <c r="CE300" s="27" t="s">
        <v>8</v>
      </c>
      <c r="CF300" s="27" t="s">
        <v>7</v>
      </c>
      <c r="CI300" s="27" t="s">
        <v>8</v>
      </c>
      <c r="CJ300" s="27" t="s">
        <v>7</v>
      </c>
      <c r="CK300" s="27" t="s">
        <v>8</v>
      </c>
    </row>
    <row r="301" spans="1:150" x14ac:dyDescent="0.25">
      <c r="A301" s="30">
        <v>5.0986213091898068E-2</v>
      </c>
      <c r="B301"/>
      <c r="C301"/>
      <c r="D301"/>
      <c r="E301"/>
      <c r="F301" s="27" t="s">
        <v>7</v>
      </c>
      <c r="I301" s="27" t="s">
        <v>8</v>
      </c>
      <c r="J301" s="27" t="s">
        <v>7</v>
      </c>
      <c r="AO301" s="27" t="s">
        <v>8</v>
      </c>
      <c r="AP301" s="27" t="s">
        <v>7</v>
      </c>
      <c r="AQ301" s="27" t="s">
        <v>8</v>
      </c>
      <c r="AT301" s="27" t="s">
        <v>7</v>
      </c>
      <c r="AU301" s="27" t="s">
        <v>8</v>
      </c>
      <c r="AV301" s="27" t="s">
        <v>7</v>
      </c>
      <c r="BJ301" s="27" t="s">
        <v>7</v>
      </c>
      <c r="BM301" s="27" t="s">
        <v>8</v>
      </c>
      <c r="BN301" s="27" t="s">
        <v>7</v>
      </c>
      <c r="BO301" s="27" t="s">
        <v>8</v>
      </c>
      <c r="BP301" s="27" t="s">
        <v>7</v>
      </c>
      <c r="BQ301" s="27" t="s">
        <v>8</v>
      </c>
      <c r="BR301" s="27" t="s">
        <v>7</v>
      </c>
      <c r="BS301" s="27" t="s">
        <v>8</v>
      </c>
      <c r="BT301" s="27" t="s">
        <v>7</v>
      </c>
      <c r="BU301" s="27" t="s">
        <v>8</v>
      </c>
      <c r="BW301" s="27" t="s">
        <v>8</v>
      </c>
      <c r="BX301" s="27" t="s">
        <v>7</v>
      </c>
      <c r="BZ301" s="27" t="s">
        <v>7</v>
      </c>
      <c r="CA301" s="27" t="s">
        <v>8</v>
      </c>
      <c r="CB301" s="27" t="s">
        <v>7</v>
      </c>
      <c r="CC301" s="27" t="s">
        <v>8</v>
      </c>
      <c r="CD301" s="27" t="s">
        <v>7</v>
      </c>
      <c r="CF301" s="27" t="s">
        <v>7</v>
      </c>
      <c r="CG301" s="27" t="s">
        <v>8</v>
      </c>
      <c r="CI301" s="27" t="s">
        <v>8</v>
      </c>
      <c r="CJ301" s="27" t="s">
        <v>7</v>
      </c>
      <c r="CK301" s="27" t="s">
        <v>8</v>
      </c>
    </row>
    <row r="302" spans="1:150" x14ac:dyDescent="0.25">
      <c r="A302" s="30">
        <v>4.8558298182760043E-2</v>
      </c>
      <c r="B302"/>
      <c r="C302"/>
      <c r="D302"/>
      <c r="E302"/>
      <c r="F302" s="27" t="s">
        <v>7</v>
      </c>
      <c r="I302" s="27" t="s">
        <v>8</v>
      </c>
      <c r="J302" s="27" t="s">
        <v>7</v>
      </c>
      <c r="AO302" s="27" t="s">
        <v>8</v>
      </c>
      <c r="AP302" s="27" t="s">
        <v>7</v>
      </c>
      <c r="AT302" s="27" t="s">
        <v>7</v>
      </c>
      <c r="AU302" s="27" t="s">
        <v>8</v>
      </c>
      <c r="BJ302" s="27" t="s">
        <v>7</v>
      </c>
      <c r="BK302" s="27" t="s">
        <v>8</v>
      </c>
      <c r="BM302" s="27" t="s">
        <v>8</v>
      </c>
      <c r="BN302" s="27" t="s">
        <v>7</v>
      </c>
      <c r="BO302" s="27" t="s">
        <v>8</v>
      </c>
      <c r="BP302" s="27" t="s">
        <v>7</v>
      </c>
      <c r="BQ302" s="27" t="s">
        <v>8</v>
      </c>
      <c r="BR302" s="27" t="s">
        <v>7</v>
      </c>
      <c r="BS302" s="27" t="s">
        <v>8</v>
      </c>
      <c r="BT302" s="27" t="s">
        <v>7</v>
      </c>
      <c r="BU302" s="27" t="s">
        <v>8</v>
      </c>
      <c r="BV302" s="27" t="s">
        <v>7</v>
      </c>
      <c r="BW302" s="27" t="s">
        <v>8</v>
      </c>
      <c r="BZ302" s="27" t="s">
        <v>7</v>
      </c>
      <c r="CA302" s="27" t="s">
        <v>8</v>
      </c>
      <c r="CB302" s="27" t="s">
        <v>7</v>
      </c>
      <c r="CC302" s="27" t="s">
        <v>8</v>
      </c>
      <c r="CF302" s="27" t="s">
        <v>7</v>
      </c>
      <c r="CG302" s="27" t="s">
        <v>8</v>
      </c>
      <c r="CH302" s="27" t="s">
        <v>7</v>
      </c>
      <c r="CI302" s="27" t="s">
        <v>8</v>
      </c>
      <c r="CJ302" s="27" t="s">
        <v>7</v>
      </c>
      <c r="CK302" s="27" t="s">
        <v>8</v>
      </c>
    </row>
    <row r="303" spans="1:150" x14ac:dyDescent="0.25">
      <c r="A303" s="30">
        <v>4.6245998269295263E-2</v>
      </c>
      <c r="B303"/>
      <c r="C303"/>
      <c r="D303"/>
      <c r="E303"/>
      <c r="F303" s="27" t="s">
        <v>7</v>
      </c>
      <c r="I303" s="27" t="s">
        <v>8</v>
      </c>
      <c r="J303" s="27" t="s">
        <v>7</v>
      </c>
      <c r="K303" s="27" t="s">
        <v>8</v>
      </c>
      <c r="AO303" s="27" t="s">
        <v>8</v>
      </c>
      <c r="AT303" s="27" t="s">
        <v>7</v>
      </c>
      <c r="BJ303" s="27" t="s">
        <v>7</v>
      </c>
      <c r="BK303" s="27" t="s">
        <v>8</v>
      </c>
      <c r="BL303" s="27" t="s">
        <v>7</v>
      </c>
      <c r="BM303" s="27" t="s">
        <v>8</v>
      </c>
      <c r="BN303" s="27" t="s">
        <v>7</v>
      </c>
      <c r="BO303" s="27" t="s">
        <v>8</v>
      </c>
      <c r="BP303" s="27" t="s">
        <v>7</v>
      </c>
      <c r="BQ303" s="27" t="s">
        <v>8</v>
      </c>
      <c r="BR303" s="27" t="s">
        <v>7</v>
      </c>
      <c r="BS303" s="27" t="s">
        <v>8</v>
      </c>
      <c r="BT303" s="27" t="s">
        <v>7</v>
      </c>
      <c r="BU303" s="27" t="s">
        <v>8</v>
      </c>
      <c r="BV303" s="27" t="s">
        <v>7</v>
      </c>
      <c r="BW303" s="27" t="s">
        <v>8</v>
      </c>
      <c r="BZ303" s="27" t="s">
        <v>7</v>
      </c>
      <c r="CA303" s="27" t="s">
        <v>8</v>
      </c>
      <c r="CB303" s="27" t="s">
        <v>7</v>
      </c>
      <c r="CF303" s="27" t="s">
        <v>7</v>
      </c>
      <c r="CG303" s="27" t="s">
        <v>8</v>
      </c>
      <c r="CH303" s="27" t="s">
        <v>7</v>
      </c>
      <c r="CI303" s="27" t="s">
        <v>8</v>
      </c>
      <c r="CJ303" s="27" t="s">
        <v>7</v>
      </c>
    </row>
    <row r="304" spans="1:150" x14ac:dyDescent="0.25">
      <c r="A304" s="30">
        <v>4.4043807875519279E-2</v>
      </c>
      <c r="B304"/>
      <c r="C304"/>
      <c r="D304"/>
      <c r="E304"/>
      <c r="F304" s="27" t="s">
        <v>7</v>
      </c>
      <c r="I304" s="27" t="s">
        <v>8</v>
      </c>
      <c r="J304" s="27" t="s">
        <v>7</v>
      </c>
      <c r="K304" s="27" t="s">
        <v>8</v>
      </c>
      <c r="L304" s="27" t="s">
        <v>7</v>
      </c>
      <c r="AO304" s="27" t="s">
        <v>8</v>
      </c>
      <c r="BJ304" s="27" t="s">
        <v>7</v>
      </c>
      <c r="BK304" s="27" t="s">
        <v>8</v>
      </c>
      <c r="BL304" s="27" t="s">
        <v>7</v>
      </c>
      <c r="BM304" s="27" t="s">
        <v>8</v>
      </c>
      <c r="BN304" s="27" t="s">
        <v>7</v>
      </c>
      <c r="BO304" s="27" t="s">
        <v>8</v>
      </c>
      <c r="BP304" s="27" t="s">
        <v>7</v>
      </c>
      <c r="BR304" s="27" t="s">
        <v>7</v>
      </c>
      <c r="BS304" s="27" t="s">
        <v>8</v>
      </c>
      <c r="BT304" s="27" t="s">
        <v>7</v>
      </c>
      <c r="BV304" s="27" t="s">
        <v>7</v>
      </c>
      <c r="BW304" s="27" t="s">
        <v>8</v>
      </c>
      <c r="BZ304" s="27" t="s">
        <v>7</v>
      </c>
      <c r="CF304" s="27" t="s">
        <v>7</v>
      </c>
      <c r="CG304" s="27" t="s">
        <v>8</v>
      </c>
      <c r="CH304" s="27" t="s">
        <v>7</v>
      </c>
      <c r="CI304" s="27" t="s">
        <v>8</v>
      </c>
    </row>
    <row r="305" spans="1:86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I305" s="27" t="s">
        <v>8</v>
      </c>
      <c r="J305" s="27" t="s">
        <v>7</v>
      </c>
      <c r="K305" s="27" t="s">
        <v>8</v>
      </c>
      <c r="L305" s="27" t="s">
        <v>7</v>
      </c>
      <c r="O305" s="27" t="s">
        <v>8</v>
      </c>
      <c r="AO305" s="27" t="s">
        <v>8</v>
      </c>
      <c r="BJ305" s="27" t="s">
        <v>7</v>
      </c>
      <c r="BK305" s="27" t="s">
        <v>8</v>
      </c>
      <c r="BL305" s="27" t="s">
        <v>7</v>
      </c>
      <c r="BM305" s="27" t="s">
        <v>8</v>
      </c>
      <c r="BN305" s="27" t="s">
        <v>7</v>
      </c>
      <c r="BO305" s="27" t="s">
        <v>8</v>
      </c>
      <c r="BR305" s="27" t="s">
        <v>7</v>
      </c>
      <c r="BV305" s="27" t="s">
        <v>7</v>
      </c>
      <c r="BW305" s="27" t="s">
        <v>8</v>
      </c>
      <c r="CF305" s="27" t="s">
        <v>7</v>
      </c>
      <c r="CH305" s="27" t="s">
        <v>7</v>
      </c>
    </row>
    <row r="306" spans="1:86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I306" s="27" t="s">
        <v>8</v>
      </c>
      <c r="J306" s="27" t="s">
        <v>7</v>
      </c>
      <c r="K306" s="27" t="s">
        <v>8</v>
      </c>
      <c r="L306" s="27" t="s">
        <v>7</v>
      </c>
      <c r="M306" s="27" t="s">
        <v>8</v>
      </c>
      <c r="O306" s="27" t="s">
        <v>8</v>
      </c>
      <c r="P306" s="27" t="s">
        <v>7</v>
      </c>
      <c r="AO306" s="27" t="s">
        <v>8</v>
      </c>
      <c r="BJ306" s="27" t="s">
        <v>7</v>
      </c>
      <c r="BK306" s="27" t="s">
        <v>8</v>
      </c>
      <c r="BL306" s="27" t="s">
        <v>7</v>
      </c>
      <c r="BM306" s="27" t="s">
        <v>8</v>
      </c>
      <c r="BN306" s="27" t="s">
        <v>7</v>
      </c>
      <c r="BO306" s="27" t="s">
        <v>8</v>
      </c>
      <c r="BV306" s="27" t="s">
        <v>7</v>
      </c>
    </row>
    <row r="307" spans="1:86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I307" s="27" t="s">
        <v>8</v>
      </c>
      <c r="J307" s="27" t="s">
        <v>7</v>
      </c>
      <c r="L307" s="27" t="s">
        <v>7</v>
      </c>
      <c r="M307" s="27" t="s">
        <v>8</v>
      </c>
      <c r="N307" s="27" t="s">
        <v>7</v>
      </c>
      <c r="O307" s="27" t="s">
        <v>8</v>
      </c>
      <c r="P307" s="27" t="s">
        <v>7</v>
      </c>
      <c r="AO307" s="27" t="s">
        <v>8</v>
      </c>
      <c r="BJ307" s="27" t="s">
        <v>7</v>
      </c>
      <c r="BL307" s="27" t="s">
        <v>7</v>
      </c>
      <c r="BM307" s="27" t="s">
        <v>8</v>
      </c>
      <c r="BN307" s="27" t="s">
        <v>7</v>
      </c>
      <c r="BO307" s="27" t="s">
        <v>8</v>
      </c>
    </row>
    <row r="308" spans="1:86" x14ac:dyDescent="0.25">
      <c r="A308" s="30">
        <v>3.6234949738447833E-2</v>
      </c>
      <c r="B308"/>
      <c r="C308"/>
      <c r="D308"/>
      <c r="E308"/>
      <c r="F308" s="27" t="s">
        <v>7</v>
      </c>
      <c r="H308" s="27" t="s">
        <v>7</v>
      </c>
      <c r="I308" s="27" t="s">
        <v>8</v>
      </c>
      <c r="L308" s="27" t="s">
        <v>7</v>
      </c>
      <c r="M308" s="27" t="s">
        <v>8</v>
      </c>
      <c r="N308" s="27" t="s">
        <v>7</v>
      </c>
      <c r="O308" s="27" t="s">
        <v>8</v>
      </c>
      <c r="P308" s="27" t="s">
        <v>7</v>
      </c>
      <c r="Q308" s="27" t="s">
        <v>8</v>
      </c>
      <c r="AM308" s="27" t="s">
        <v>8</v>
      </c>
      <c r="AO308" s="27" t="s">
        <v>8</v>
      </c>
      <c r="BL308" s="27" t="s">
        <v>7</v>
      </c>
      <c r="BN308" s="27" t="s">
        <v>7</v>
      </c>
    </row>
    <row r="309" spans="1:86" x14ac:dyDescent="0.25">
      <c r="A309" s="30">
        <v>3.4509475941378875E-2</v>
      </c>
      <c r="B309"/>
      <c r="C309"/>
      <c r="D309"/>
      <c r="E309"/>
      <c r="H309" s="27" t="s">
        <v>7</v>
      </c>
      <c r="L309" s="27" t="s">
        <v>7</v>
      </c>
      <c r="M309" s="27" t="s">
        <v>8</v>
      </c>
      <c r="N309" s="27" t="s">
        <v>7</v>
      </c>
      <c r="P309" s="27" t="s">
        <v>7</v>
      </c>
      <c r="Q309" s="27" t="s">
        <v>8</v>
      </c>
      <c r="R309" s="27" t="s">
        <v>7</v>
      </c>
      <c r="AM309" s="27" t="s">
        <v>8</v>
      </c>
      <c r="AN309" s="27" t="s">
        <v>7</v>
      </c>
      <c r="AO309" s="27" t="s">
        <v>8</v>
      </c>
    </row>
    <row r="310" spans="1:86" x14ac:dyDescent="0.25">
      <c r="A310" s="30">
        <v>3.286616756321796E-2</v>
      </c>
      <c r="B310"/>
      <c r="C310"/>
      <c r="D310"/>
      <c r="E310"/>
      <c r="L310" s="27" t="s">
        <v>7</v>
      </c>
      <c r="P310" s="27" t="s">
        <v>7</v>
      </c>
      <c r="Q310" s="27" t="s">
        <v>8</v>
      </c>
      <c r="R310" s="27" t="s">
        <v>7</v>
      </c>
      <c r="AK310" s="27" t="s">
        <v>8</v>
      </c>
      <c r="AM310" s="27" t="s">
        <v>8</v>
      </c>
      <c r="AN310" s="27" t="s">
        <v>7</v>
      </c>
      <c r="AO310" s="27" t="s">
        <v>8</v>
      </c>
    </row>
    <row r="311" spans="1:86" x14ac:dyDescent="0.25">
      <c r="A311" s="30">
        <v>3.1301111964969472E-2</v>
      </c>
      <c r="B311"/>
      <c r="C311"/>
      <c r="D311"/>
      <c r="E311"/>
      <c r="P311" s="27" t="s">
        <v>7</v>
      </c>
      <c r="R311" s="27" t="s">
        <v>7</v>
      </c>
      <c r="AG311" s="27" t="s">
        <v>8</v>
      </c>
      <c r="AK311" s="27" t="s">
        <v>8</v>
      </c>
      <c r="AL311" s="27" t="s">
        <v>7</v>
      </c>
      <c r="AM311" s="27" t="s">
        <v>8</v>
      </c>
      <c r="AN311" s="27" t="s">
        <v>7</v>
      </c>
      <c r="AO311" s="27" t="s">
        <v>8</v>
      </c>
    </row>
    <row r="312" spans="1:86" x14ac:dyDescent="0.25">
      <c r="A312" s="30">
        <v>2.9810582823780438E-2</v>
      </c>
      <c r="B312"/>
      <c r="C312"/>
      <c r="D312"/>
      <c r="E312"/>
      <c r="R312" s="27" t="s">
        <v>7</v>
      </c>
      <c r="AG312" s="27" t="s">
        <v>8</v>
      </c>
      <c r="AH312" s="27" t="s">
        <v>7</v>
      </c>
      <c r="AI312" s="27" t="s">
        <v>8</v>
      </c>
      <c r="AK312" s="27" t="s">
        <v>8</v>
      </c>
      <c r="AL312" s="27" t="s">
        <v>7</v>
      </c>
      <c r="AM312" s="27" t="s">
        <v>8</v>
      </c>
      <c r="AN312" s="27" t="s">
        <v>7</v>
      </c>
      <c r="AO312" s="27" t="s">
        <v>8</v>
      </c>
    </row>
    <row r="313" spans="1:86" x14ac:dyDescent="0.25">
      <c r="A313" s="30">
        <v>2.8391031260743264E-2</v>
      </c>
      <c r="B313"/>
      <c r="C313"/>
      <c r="D313"/>
      <c r="E313"/>
      <c r="R313" s="27" t="s">
        <v>7</v>
      </c>
      <c r="AG313" s="27" t="s">
        <v>8</v>
      </c>
      <c r="AH313" s="27" t="s">
        <v>7</v>
      </c>
      <c r="AI313" s="27" t="s">
        <v>8</v>
      </c>
      <c r="AJ313" s="27" t="s">
        <v>7</v>
      </c>
      <c r="AK313" s="27" t="s">
        <v>8</v>
      </c>
      <c r="AL313" s="27" t="s">
        <v>7</v>
      </c>
      <c r="AM313" s="27" t="s">
        <v>8</v>
      </c>
      <c r="AN313" s="27" t="s">
        <v>7</v>
      </c>
      <c r="AO313" s="27" t="s">
        <v>8</v>
      </c>
    </row>
    <row r="314" spans="1:86" x14ac:dyDescent="0.25">
      <c r="A314" s="30">
        <v>2.7039077391184052E-2</v>
      </c>
      <c r="B314"/>
      <c r="C314"/>
      <c r="D314"/>
      <c r="E314"/>
      <c r="R314" s="27" t="s">
        <v>7</v>
      </c>
      <c r="AG314" s="27" t="s">
        <v>8</v>
      </c>
      <c r="AH314" s="27" t="s">
        <v>7</v>
      </c>
      <c r="AI314" s="27" t="s">
        <v>8</v>
      </c>
      <c r="AJ314" s="27" t="s">
        <v>7</v>
      </c>
      <c r="AK314" s="27" t="s">
        <v>8</v>
      </c>
      <c r="AL314" s="27" t="s">
        <v>7</v>
      </c>
      <c r="AN314" s="27" t="s">
        <v>7</v>
      </c>
    </row>
    <row r="315" spans="1:86" x14ac:dyDescent="0.25">
      <c r="A315" s="30">
        <v>2.5751502277318133E-2</v>
      </c>
      <c r="B315"/>
      <c r="C315"/>
      <c r="D315"/>
      <c r="E315"/>
      <c r="R315" s="27" t="s">
        <v>7</v>
      </c>
      <c r="AG315" s="27" t="s">
        <v>8</v>
      </c>
      <c r="AH315" s="27" t="s">
        <v>7</v>
      </c>
      <c r="AJ315" s="27" t="s">
        <v>7</v>
      </c>
    </row>
    <row r="316" spans="1:86" x14ac:dyDescent="0.25">
      <c r="A316" s="30">
        <v>2.4525240264112496E-2</v>
      </c>
      <c r="B316"/>
      <c r="C316"/>
      <c r="D316"/>
      <c r="E316"/>
      <c r="R316" s="27" t="s">
        <v>7</v>
      </c>
      <c r="AE316" s="27" t="s">
        <v>8</v>
      </c>
      <c r="AG316" s="27" t="s">
        <v>8</v>
      </c>
    </row>
    <row r="317" spans="1:86" x14ac:dyDescent="0.25">
      <c r="A317" s="30">
        <v>2.3357371680107129E-2</v>
      </c>
      <c r="B317"/>
      <c r="C317"/>
      <c r="D317"/>
      <c r="E317"/>
      <c r="R317" s="27" t="s">
        <v>7</v>
      </c>
      <c r="AC317" s="27" t="s">
        <v>8</v>
      </c>
      <c r="AE317" s="27" t="s">
        <v>8</v>
      </c>
      <c r="AF317" s="27" t="s">
        <v>7</v>
      </c>
      <c r="AG317" s="27" t="s">
        <v>8</v>
      </c>
    </row>
    <row r="318" spans="1:86" x14ac:dyDescent="0.25">
      <c r="A318" s="30">
        <v>2.2245115885816305E-2</v>
      </c>
      <c r="B318"/>
      <c r="C318"/>
      <c r="D318"/>
      <c r="E318"/>
      <c r="R318" s="27" t="s">
        <v>7</v>
      </c>
      <c r="W318" s="27" t="s">
        <v>8</v>
      </c>
      <c r="AC318" s="27" t="s">
        <v>8</v>
      </c>
      <c r="AD318" s="27" t="s">
        <v>7</v>
      </c>
      <c r="AE318" s="27" t="s">
        <v>8</v>
      </c>
      <c r="AF318" s="27" t="s">
        <v>7</v>
      </c>
      <c r="AG318" s="27" t="s">
        <v>8</v>
      </c>
    </row>
    <row r="319" spans="1:86" x14ac:dyDescent="0.25">
      <c r="A319" s="30">
        <v>2.1185824653158377E-2</v>
      </c>
      <c r="B319"/>
      <c r="C319"/>
      <c r="D319"/>
      <c r="E319"/>
      <c r="R319" s="27" t="s">
        <v>7</v>
      </c>
      <c r="W319" s="27" t="s">
        <v>8</v>
      </c>
      <c r="X319" s="27" t="s">
        <v>7</v>
      </c>
      <c r="AC319" s="27" t="s">
        <v>8</v>
      </c>
      <c r="AD319" s="27" t="s">
        <v>7</v>
      </c>
      <c r="AE319" s="27" t="s">
        <v>8</v>
      </c>
      <c r="AF319" s="27" t="s">
        <v>7</v>
      </c>
      <c r="AG319" s="27" t="s">
        <v>8</v>
      </c>
    </row>
    <row r="320" spans="1:86" x14ac:dyDescent="0.25">
      <c r="A320" s="30">
        <v>2.0176975860150829E-2</v>
      </c>
      <c r="B320"/>
      <c r="C320"/>
      <c r="D320"/>
      <c r="E320"/>
      <c r="R320" s="27" t="s">
        <v>7</v>
      </c>
      <c r="W320" s="27" t="s">
        <v>8</v>
      </c>
      <c r="X320" s="27" t="s">
        <v>7</v>
      </c>
      <c r="Y320" s="27" t="s">
        <v>8</v>
      </c>
      <c r="AA320" s="27" t="s">
        <v>8</v>
      </c>
      <c r="AC320" s="27" t="s">
        <v>8</v>
      </c>
      <c r="AD320" s="27" t="s">
        <v>7</v>
      </c>
      <c r="AE320" s="27" t="s">
        <v>8</v>
      </c>
      <c r="AF320" s="27" t="s">
        <v>7</v>
      </c>
    </row>
    <row r="321" spans="1:31" x14ac:dyDescent="0.25">
      <c r="A321" s="30">
        <v>1.9216167485857926E-2</v>
      </c>
      <c r="B321"/>
      <c r="C321"/>
      <c r="D321"/>
      <c r="E321"/>
      <c r="R321" s="27" t="s">
        <v>7</v>
      </c>
      <c r="U321" s="27" t="s">
        <v>8</v>
      </c>
      <c r="W321" s="27" t="s">
        <v>8</v>
      </c>
      <c r="X321" s="27" t="s">
        <v>7</v>
      </c>
      <c r="Y321" s="27" t="s">
        <v>8</v>
      </c>
      <c r="Z321" s="27" t="s">
        <v>7</v>
      </c>
      <c r="AA321" s="27" t="s">
        <v>8</v>
      </c>
      <c r="AB321" s="27" t="s">
        <v>7</v>
      </c>
      <c r="AC321" s="27" t="s">
        <v>8</v>
      </c>
      <c r="AD321" s="27" t="s">
        <v>7</v>
      </c>
      <c r="AE321" s="27" t="s">
        <v>8</v>
      </c>
    </row>
    <row r="322" spans="1:31" x14ac:dyDescent="0.25">
      <c r="A322" s="30">
        <v>1.8301111891293256E-2</v>
      </c>
      <c r="B322"/>
      <c r="C322"/>
      <c r="D322"/>
      <c r="E322"/>
      <c r="R322" s="27" t="s">
        <v>7</v>
      </c>
      <c r="U322" s="27" t="s">
        <v>8</v>
      </c>
      <c r="V322" s="27" t="s">
        <v>7</v>
      </c>
      <c r="W322" s="27" t="s">
        <v>8</v>
      </c>
      <c r="X322" s="27" t="s">
        <v>7</v>
      </c>
      <c r="Y322" s="27" t="s">
        <v>8</v>
      </c>
      <c r="Z322" s="27" t="s">
        <v>7</v>
      </c>
      <c r="AA322" s="27" t="s">
        <v>8</v>
      </c>
      <c r="AB322" s="27" t="s">
        <v>7</v>
      </c>
      <c r="AC322" s="27" t="s">
        <v>8</v>
      </c>
      <c r="AD322" s="27" t="s">
        <v>7</v>
      </c>
      <c r="AE322" s="27" t="s">
        <v>8</v>
      </c>
    </row>
    <row r="323" spans="1:31" x14ac:dyDescent="0.25">
      <c r="A323" s="30">
        <v>1.7429630372660238E-2</v>
      </c>
      <c r="B323"/>
      <c r="C323"/>
      <c r="D323"/>
      <c r="E323"/>
      <c r="R323" s="27" t="s">
        <v>7</v>
      </c>
      <c r="S323" s="27" t="s">
        <v>8</v>
      </c>
      <c r="U323" s="27" t="s">
        <v>8</v>
      </c>
      <c r="V323" s="27" t="s">
        <v>7</v>
      </c>
      <c r="W323" s="27" t="s">
        <v>8</v>
      </c>
      <c r="X323" s="27" t="s">
        <v>7</v>
      </c>
      <c r="Y323" s="27" t="s">
        <v>8</v>
      </c>
      <c r="Z323" s="27" t="s">
        <v>7</v>
      </c>
      <c r="AB323" s="27" t="s">
        <v>7</v>
      </c>
      <c r="AD323" s="27" t="s">
        <v>7</v>
      </c>
    </row>
    <row r="324" spans="1:31" x14ac:dyDescent="0.25">
      <c r="A324" s="30">
        <v>1.6599647973962125E-2</v>
      </c>
      <c r="B324"/>
      <c r="C324"/>
      <c r="D324"/>
      <c r="E324"/>
      <c r="R324" s="27" t="s">
        <v>7</v>
      </c>
      <c r="S324" s="27" t="s">
        <v>8</v>
      </c>
      <c r="T324" s="27" t="s">
        <v>7</v>
      </c>
      <c r="U324" s="27" t="s">
        <v>8</v>
      </c>
      <c r="V324" s="27" t="s">
        <v>7</v>
      </c>
      <c r="W324" s="27" t="s">
        <v>8</v>
      </c>
      <c r="X324" s="27" t="s">
        <v>7</v>
      </c>
      <c r="Y324" s="27" t="s">
        <v>8</v>
      </c>
    </row>
    <row r="325" spans="1:31" x14ac:dyDescent="0.25">
      <c r="A325" s="30">
        <v>1.580918854663059E-2</v>
      </c>
      <c r="B325"/>
      <c r="C325"/>
      <c r="D325"/>
      <c r="E325"/>
      <c r="R325" s="27" t="s">
        <v>7</v>
      </c>
      <c r="S325" s="27" t="s">
        <v>8</v>
      </c>
      <c r="T325" s="27" t="s">
        <v>7</v>
      </c>
      <c r="U325" s="27" t="s">
        <v>8</v>
      </c>
      <c r="V325" s="27" t="s">
        <v>7</v>
      </c>
      <c r="X325" s="27" t="s">
        <v>7</v>
      </c>
    </row>
    <row r="326" spans="1:31" x14ac:dyDescent="0.25">
      <c r="A326" s="30">
        <v>1.5056370044410079E-2</v>
      </c>
      <c r="B326"/>
      <c r="C326"/>
      <c r="D326"/>
      <c r="E326"/>
      <c r="R326" s="27" t="s">
        <v>7</v>
      </c>
      <c r="S326" s="27" t="s">
        <v>8</v>
      </c>
      <c r="T326" s="27" t="s">
        <v>7</v>
      </c>
      <c r="U326" s="27" t="s">
        <v>8</v>
      </c>
    </row>
    <row r="327" spans="1:31" x14ac:dyDescent="0.25">
      <c r="A327" s="30">
        <v>1.4339400042295308E-2</v>
      </c>
      <c r="B327"/>
      <c r="C327"/>
      <c r="D327"/>
      <c r="E327"/>
      <c r="R327" s="27" t="s">
        <v>7</v>
      </c>
      <c r="S327" s="27" t="s">
        <v>8</v>
      </c>
      <c r="T327" s="27" t="s">
        <v>7</v>
      </c>
      <c r="U327" s="27" t="s">
        <v>8</v>
      </c>
    </row>
    <row r="328" spans="1:31" x14ac:dyDescent="0.25">
      <c r="A328" s="30">
        <v>1.365657146885267E-2</v>
      </c>
      <c r="B328"/>
      <c r="C328"/>
      <c r="D328"/>
      <c r="E328"/>
      <c r="R328" s="27" t="s">
        <v>7</v>
      </c>
      <c r="S328" s="27" t="s">
        <v>8</v>
      </c>
      <c r="T328" s="27" t="s">
        <v>7</v>
      </c>
      <c r="U328" s="27" t="s">
        <v>8</v>
      </c>
    </row>
    <row r="329" spans="1:31" x14ac:dyDescent="0.25">
      <c r="A329" s="30">
        <v>1.3006258541764442E-2</v>
      </c>
      <c r="B329"/>
      <c r="C329"/>
      <c r="D329"/>
      <c r="E329"/>
      <c r="R329" s="27" t="s">
        <v>7</v>
      </c>
      <c r="S329" s="27" t="s">
        <v>8</v>
      </c>
      <c r="T329" s="27" t="s">
        <v>7</v>
      </c>
      <c r="U329" s="27" t="s">
        <v>8</v>
      </c>
    </row>
    <row r="330" spans="1:31" x14ac:dyDescent="0.25">
      <c r="A330" s="30">
        <v>1.2386912896918512E-2</v>
      </c>
      <c r="B330"/>
      <c r="C330"/>
      <c r="D330"/>
      <c r="E330"/>
      <c r="R330" s="27" t="s">
        <v>7</v>
      </c>
      <c r="S330" s="27" t="s">
        <v>8</v>
      </c>
      <c r="T330" s="27" t="s">
        <v>7</v>
      </c>
    </row>
    <row r="331" spans="1:31" x14ac:dyDescent="0.25">
      <c r="A331" s="30">
        <v>1.179705990182715E-2</v>
      </c>
      <c r="B331"/>
      <c r="C331"/>
      <c r="D331"/>
      <c r="E331"/>
      <c r="R331" s="27" t="s">
        <v>7</v>
      </c>
      <c r="S331" s="27" t="s">
        <v>8</v>
      </c>
    </row>
    <row r="332" spans="1:31" x14ac:dyDescent="0.25">
      <c r="A332" s="30">
        <v>1.1235295144597281E-2</v>
      </c>
      <c r="B332"/>
      <c r="C332"/>
      <c r="D332"/>
      <c r="E332"/>
      <c r="R332" s="27" t="s">
        <v>7</v>
      </c>
      <c r="S332" s="27" t="s">
        <v>8</v>
      </c>
    </row>
    <row r="333" spans="1:31" x14ac:dyDescent="0.25">
      <c r="A333" s="30">
        <v>1.0700281090092644E-2</v>
      </c>
      <c r="B333"/>
      <c r="C333"/>
      <c r="D333"/>
      <c r="E333"/>
      <c r="R333" s="27" t="s">
        <v>7</v>
      </c>
    </row>
    <row r="334" spans="1:31" x14ac:dyDescent="0.25">
      <c r="A334" s="30">
        <v>1.0190743895326324E-2</v>
      </c>
      <c r="B334"/>
      <c r="C334"/>
      <c r="D334"/>
      <c r="E334"/>
    </row>
    <row r="335" spans="1:31" x14ac:dyDescent="0.25">
      <c r="A335" s="30">
        <v>9.7054703765012563E-3</v>
      </c>
      <c r="B335"/>
      <c r="C335"/>
      <c r="D335"/>
      <c r="E335"/>
    </row>
    <row r="336" spans="1:31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Q125" sqref="BQ12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$A$124</v>
      </c>
      <c r="D111" s="1" t="str">
        <f>ADDRESS(C121-1,D121,1,1)</f>
        <v>$BQ$124</v>
      </c>
      <c r="E111"/>
    </row>
    <row r="112" spans="1:5" x14ac:dyDescent="0.25">
      <c r="A112" s="30">
        <v>2.3579476910000019</v>
      </c>
      <c r="C112" s="1" t="str">
        <f>ADDRESS(C121,1,1,1)</f>
        <v>$A$125</v>
      </c>
      <c r="D112" s="1" t="str">
        <f>ADDRESS(C121,D121-1,1,1)</f>
        <v>$BP$125</v>
      </c>
      <c r="E112"/>
    </row>
    <row r="113" spans="1:69" x14ac:dyDescent="0.25">
      <c r="A113" s="30">
        <v>2.1435888100000016</v>
      </c>
      <c r="C113" s="1" t="str">
        <f>ADDRESS(C121+1,1,1,1)</f>
        <v>$A$126</v>
      </c>
      <c r="D113" s="1" t="str">
        <f>ADDRESS(C121-1,D121+1,1,1)</f>
        <v>$BR$124</v>
      </c>
    </row>
    <row r="114" spans="1:69" x14ac:dyDescent="0.25">
      <c r="A114" s="30">
        <v>1.9487171000000014</v>
      </c>
      <c r="C114" s="1" t="str">
        <f>ADDRESS(C121,D121,1,1)</f>
        <v>$BQ$125</v>
      </c>
      <c r="D114" s="1" t="str">
        <f>ADDRESS(C121+1,D121+1,1,1)</f>
        <v>$BR$126</v>
      </c>
    </row>
    <row r="115" spans="1:69" x14ac:dyDescent="0.25">
      <c r="A115" s="30">
        <v>1.7715610000000011</v>
      </c>
      <c r="C115" s="1" t="str">
        <f>ADDRESS(C121+1,D121,1,1)</f>
        <v>$BQ$126</v>
      </c>
    </row>
    <row r="116" spans="1:69" x14ac:dyDescent="0.25">
      <c r="A116" s="30">
        <v>1.6105100000000008</v>
      </c>
      <c r="C116" s="1">
        <f>C117-1</f>
        <v>124</v>
      </c>
    </row>
    <row r="117" spans="1:69" x14ac:dyDescent="0.25">
      <c r="A117" s="30">
        <v>1.4641000000000006</v>
      </c>
      <c r="C117" s="1">
        <f>C121</f>
        <v>125</v>
      </c>
      <c r="D117" s="1">
        <f>D121</f>
        <v>69</v>
      </c>
    </row>
    <row r="118" spans="1:69" x14ac:dyDescent="0.25">
      <c r="A118" s="30">
        <v>1.3310000000000004</v>
      </c>
      <c r="C118" s="1">
        <f>C117+1</f>
        <v>126</v>
      </c>
      <c r="D118" s="1">
        <f>D117+1</f>
        <v>70</v>
      </c>
    </row>
    <row r="119" spans="1:69" x14ac:dyDescent="0.25">
      <c r="A119" s="30">
        <v>1.2100000000000002</v>
      </c>
    </row>
    <row r="120" spans="1:69" x14ac:dyDescent="0.25">
      <c r="A120" s="30">
        <v>1.1000000000000001</v>
      </c>
      <c r="C120" s="1" t="s">
        <v>9</v>
      </c>
      <c r="BM120" s="27" t="s">
        <v>8</v>
      </c>
    </row>
    <row r="121" spans="1:69" x14ac:dyDescent="0.25">
      <c r="A121" s="30">
        <v>1</v>
      </c>
      <c r="C121" s="18">
        <v>125</v>
      </c>
      <c r="D121" s="19">
        <v>69</v>
      </c>
      <c r="E121" s="18" t="s">
        <v>8</v>
      </c>
      <c r="BM121" s="27" t="s">
        <v>8</v>
      </c>
      <c r="BN121" s="27" t="s">
        <v>7</v>
      </c>
      <c r="BO121" s="27" t="s">
        <v>8</v>
      </c>
    </row>
    <row r="122" spans="1:69" x14ac:dyDescent="0.25">
      <c r="A122" s="30">
        <v>0.90909090909090895</v>
      </c>
      <c r="C122" s="1" t="str">
        <f>INDEX(1:1048576,C117,D117)</f>
        <v>X</v>
      </c>
      <c r="F122" s="27" t="s">
        <v>7</v>
      </c>
      <c r="BM122" s="27" t="s">
        <v>8</v>
      </c>
      <c r="BN122" s="27" t="s">
        <v>7</v>
      </c>
      <c r="BO122" s="27" t="s">
        <v>8</v>
      </c>
      <c r="BP122" s="27" t="s">
        <v>7</v>
      </c>
    </row>
    <row r="123" spans="1:69" x14ac:dyDescent="0.25">
      <c r="A123" s="30">
        <v>0.82644628099173523</v>
      </c>
      <c r="C123" s="1" t="str">
        <f>"R"&amp;C121</f>
        <v>R125</v>
      </c>
      <c r="D123" s="1" t="str">
        <f>"C"&amp;D121</f>
        <v>C69</v>
      </c>
      <c r="F123" s="27" t="s">
        <v>7</v>
      </c>
      <c r="BM123" s="27" t="s">
        <v>8</v>
      </c>
      <c r="BN123" s="27" t="s">
        <v>7</v>
      </c>
      <c r="BO123" s="27" t="s">
        <v>8</v>
      </c>
      <c r="BP123" s="27" t="s">
        <v>7</v>
      </c>
    </row>
    <row r="124" spans="1:69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BM124" s="27" t="s">
        <v>8</v>
      </c>
      <c r="BN124" s="27" t="s">
        <v>7</v>
      </c>
      <c r="BO124" s="27" t="s">
        <v>8</v>
      </c>
      <c r="BP124" s="27" t="s">
        <v>7</v>
      </c>
    </row>
    <row r="125" spans="1:69" x14ac:dyDescent="0.25">
      <c r="A125" s="30">
        <v>0.68301345536507019</v>
      </c>
      <c r="F125" s="27" t="s">
        <v>7</v>
      </c>
      <c r="BM125" s="27" t="s">
        <v>8</v>
      </c>
      <c r="BN125" s="27" t="s">
        <v>7</v>
      </c>
      <c r="BO125" s="27" t="s">
        <v>8</v>
      </c>
      <c r="BP125" s="27" t="s">
        <v>7</v>
      </c>
      <c r="BQ125" s="27" t="s">
        <v>8</v>
      </c>
    </row>
    <row r="126" spans="1:69" x14ac:dyDescent="0.25">
      <c r="A126" s="30">
        <v>0.6209213230591546</v>
      </c>
      <c r="C126" s="1" t="s">
        <v>10</v>
      </c>
      <c r="F126" s="27" t="s">
        <v>7</v>
      </c>
      <c r="BK126" s="27" t="s">
        <v>8</v>
      </c>
      <c r="BM126" s="27" t="s">
        <v>8</v>
      </c>
      <c r="BN126" s="27" t="s">
        <v>7</v>
      </c>
      <c r="BO126" s="27" t="s">
        <v>8</v>
      </c>
      <c r="BP126" s="27" t="s">
        <v>7</v>
      </c>
      <c r="BQ126" s="27" t="s">
        <v>8</v>
      </c>
    </row>
    <row r="127" spans="1:69" x14ac:dyDescent="0.25">
      <c r="A127" s="30">
        <v>0.56447393005377677</v>
      </c>
      <c r="C127" s="30">
        <v>0.68301345536507019</v>
      </c>
      <c r="D127"/>
      <c r="F127" s="27" t="s">
        <v>7</v>
      </c>
      <c r="BK127" s="27" t="s">
        <v>8</v>
      </c>
      <c r="BL127" s="27" t="s">
        <v>7</v>
      </c>
      <c r="BM127" s="27" t="s">
        <v>8</v>
      </c>
      <c r="BN127" s="27" t="s">
        <v>7</v>
      </c>
      <c r="BP127" s="27" t="s">
        <v>7</v>
      </c>
      <c r="BQ127" s="27" t="s">
        <v>8</v>
      </c>
    </row>
    <row r="128" spans="1:69" x14ac:dyDescent="0.25">
      <c r="A128" s="30">
        <v>0.51315811823070612</v>
      </c>
      <c r="F128" s="27" t="s">
        <v>7</v>
      </c>
      <c r="BK128" s="27" t="s">
        <v>8</v>
      </c>
      <c r="BL128" s="27" t="s">
        <v>7</v>
      </c>
      <c r="BM128" s="27" t="s">
        <v>8</v>
      </c>
      <c r="BP128" s="27" t="s">
        <v>7</v>
      </c>
      <c r="BQ128" s="27" t="s">
        <v>8</v>
      </c>
    </row>
    <row r="129" spans="1:6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BK129" s="27" t="s">
        <v>8</v>
      </c>
      <c r="BL129" s="27" t="s">
        <v>7</v>
      </c>
      <c r="BM129" s="27" t="s">
        <v>8</v>
      </c>
      <c r="BP129" s="27" t="s">
        <v>7</v>
      </c>
    </row>
    <row r="130" spans="1:68" x14ac:dyDescent="0.25">
      <c r="A130" s="30">
        <v>0.42409761837248428</v>
      </c>
      <c r="C130" s="6"/>
      <c r="D130" s="6"/>
      <c r="E130"/>
      <c r="F130" s="27" t="s">
        <v>7</v>
      </c>
      <c r="AO130" s="27" t="s">
        <v>8</v>
      </c>
      <c r="AQ130" s="27" t="s">
        <v>8</v>
      </c>
      <c r="BI130" s="27" t="s">
        <v>8</v>
      </c>
      <c r="BK130" s="27" t="s">
        <v>8</v>
      </c>
      <c r="BL130" s="27" t="s">
        <v>7</v>
      </c>
    </row>
    <row r="131" spans="1:68" x14ac:dyDescent="0.25">
      <c r="A131" s="30">
        <v>0.38554328942953109</v>
      </c>
      <c r="E131"/>
      <c r="F131" s="27" t="s">
        <v>7</v>
      </c>
      <c r="AO131" s="27" t="s">
        <v>8</v>
      </c>
      <c r="AP131" s="27" t="s">
        <v>7</v>
      </c>
      <c r="AQ131" s="27" t="s">
        <v>8</v>
      </c>
      <c r="AR131" s="27" t="s">
        <v>7</v>
      </c>
      <c r="BE131" s="27" t="s">
        <v>8</v>
      </c>
      <c r="BG131" s="27" t="s">
        <v>8</v>
      </c>
      <c r="BI131" s="27" t="s">
        <v>8</v>
      </c>
      <c r="BJ131" s="27" t="s">
        <v>7</v>
      </c>
      <c r="BK131" s="27" t="s">
        <v>8</v>
      </c>
    </row>
    <row r="132" spans="1:68" x14ac:dyDescent="0.25">
      <c r="A132" s="30">
        <v>0.35049389948139187</v>
      </c>
      <c r="C132" s="1" t="s">
        <v>13</v>
      </c>
      <c r="E132"/>
      <c r="F132" s="27" t="s">
        <v>7</v>
      </c>
      <c r="AO132" s="27" t="s">
        <v>8</v>
      </c>
      <c r="AP132" s="27" t="s">
        <v>7</v>
      </c>
      <c r="AQ132" s="27" t="s">
        <v>8</v>
      </c>
      <c r="AR132" s="27" t="s">
        <v>7</v>
      </c>
      <c r="BE132" s="27" t="s">
        <v>8</v>
      </c>
      <c r="BF132" s="27" t="s">
        <v>7</v>
      </c>
      <c r="BG132" s="27" t="s">
        <v>8</v>
      </c>
      <c r="BH132" s="27" t="s">
        <v>7</v>
      </c>
      <c r="BI132" s="27" t="s">
        <v>8</v>
      </c>
      <c r="BJ132" s="27" t="s">
        <v>7</v>
      </c>
      <c r="BK132" s="27" t="s">
        <v>8</v>
      </c>
    </row>
    <row r="133" spans="1:68" x14ac:dyDescent="0.25">
      <c r="A133" s="30">
        <v>0.31863081771035617</v>
      </c>
      <c r="C133" s="1" t="str">
        <f>C122</f>
        <v>X</v>
      </c>
      <c r="E133"/>
      <c r="F133" s="27" t="s">
        <v>7</v>
      </c>
      <c r="AO133" s="27" t="s">
        <v>8</v>
      </c>
      <c r="AP133" s="27" t="s">
        <v>7</v>
      </c>
      <c r="AR133" s="27" t="s">
        <v>7</v>
      </c>
      <c r="BE133" s="27" t="s">
        <v>8</v>
      </c>
      <c r="BF133" s="27" t="s">
        <v>7</v>
      </c>
      <c r="BG133" s="27" t="s">
        <v>8</v>
      </c>
      <c r="BH133" s="27" t="s">
        <v>7</v>
      </c>
      <c r="BI133" s="27" t="s">
        <v>8</v>
      </c>
      <c r="BJ133" s="27" t="s">
        <v>7</v>
      </c>
      <c r="BK133" s="27" t="s">
        <v>8</v>
      </c>
    </row>
    <row r="134" spans="1:68" x14ac:dyDescent="0.25">
      <c r="A134" s="30">
        <v>0.28966437973668741</v>
      </c>
      <c r="C134"/>
      <c r="D134"/>
      <c r="E134"/>
      <c r="F134" s="27" t="s">
        <v>7</v>
      </c>
      <c r="AO134" s="27" t="s">
        <v>8</v>
      </c>
      <c r="AR134" s="27" t="s">
        <v>7</v>
      </c>
      <c r="AS134" s="27" t="s">
        <v>8</v>
      </c>
      <c r="BE134" s="27" t="s">
        <v>8</v>
      </c>
      <c r="BF134" s="27" t="s">
        <v>7</v>
      </c>
      <c r="BG134" s="27" t="s">
        <v>8</v>
      </c>
      <c r="BH134" s="27" t="s">
        <v>7</v>
      </c>
      <c r="BI134" s="27" t="s">
        <v>8</v>
      </c>
      <c r="BJ134" s="27" t="s">
        <v>7</v>
      </c>
    </row>
    <row r="135" spans="1:68" x14ac:dyDescent="0.25">
      <c r="A135" s="30">
        <v>0.2633312543060794</v>
      </c>
      <c r="C135" s="1" t="s">
        <v>14</v>
      </c>
      <c r="E135"/>
      <c r="F135" s="27" t="s">
        <v>7</v>
      </c>
      <c r="AK135" s="27" t="s">
        <v>8</v>
      </c>
      <c r="AM135" s="27" t="s">
        <v>8</v>
      </c>
      <c r="AO135" s="27" t="s">
        <v>8</v>
      </c>
      <c r="AR135" s="27" t="s">
        <v>7</v>
      </c>
      <c r="AS135" s="27" t="s">
        <v>8</v>
      </c>
      <c r="AT135" s="27" t="s">
        <v>7</v>
      </c>
      <c r="BE135" s="27" t="s">
        <v>8</v>
      </c>
      <c r="BF135" s="27" t="s">
        <v>7</v>
      </c>
      <c r="BH135" s="27" t="s">
        <v>7</v>
      </c>
      <c r="BI135" s="27" t="s">
        <v>8</v>
      </c>
    </row>
    <row r="136" spans="1:68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AK136" s="27" t="s">
        <v>8</v>
      </c>
      <c r="AL136" s="27" t="s">
        <v>7</v>
      </c>
      <c r="AM136" s="27" t="s">
        <v>8</v>
      </c>
      <c r="AN136" s="27" t="s">
        <v>7</v>
      </c>
      <c r="AO136" s="27" t="s">
        <v>8</v>
      </c>
      <c r="AR136" s="27" t="s">
        <v>7</v>
      </c>
      <c r="AS136" s="27" t="s">
        <v>8</v>
      </c>
      <c r="AT136" s="27" t="s">
        <v>7</v>
      </c>
      <c r="BE136" s="27" t="s">
        <v>8</v>
      </c>
      <c r="BH136" s="27" t="s">
        <v>7</v>
      </c>
      <c r="BI136" s="27" t="s">
        <v>8</v>
      </c>
    </row>
    <row r="137" spans="1:68" x14ac:dyDescent="0.25">
      <c r="A137" s="30">
        <v>0.2176291357901482</v>
      </c>
      <c r="E137"/>
      <c r="F137" s="27" t="s">
        <v>7</v>
      </c>
      <c r="AK137" s="27" t="s">
        <v>8</v>
      </c>
      <c r="AL137" s="27" t="s">
        <v>7</v>
      </c>
      <c r="AM137" s="27" t="s">
        <v>8</v>
      </c>
      <c r="AN137" s="27" t="s">
        <v>7</v>
      </c>
      <c r="AO137" s="27" t="s">
        <v>8</v>
      </c>
      <c r="AR137" s="27" t="s">
        <v>7</v>
      </c>
      <c r="AS137" s="27" t="s">
        <v>8</v>
      </c>
      <c r="AT137" s="27" t="s">
        <v>7</v>
      </c>
      <c r="BE137" s="27" t="s">
        <v>8</v>
      </c>
      <c r="BH137" s="27" t="s">
        <v>7</v>
      </c>
      <c r="BI137" s="27" t="s">
        <v>8</v>
      </c>
    </row>
    <row r="138" spans="1:68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AI138" s="27" t="s">
        <v>8</v>
      </c>
      <c r="AK138" s="27" t="s">
        <v>8</v>
      </c>
      <c r="AL138" s="27" t="s">
        <v>7</v>
      </c>
      <c r="AM138" s="27" t="s">
        <v>8</v>
      </c>
      <c r="AN138" s="27" t="s">
        <v>7</v>
      </c>
      <c r="AO138" s="27" t="s">
        <v>8</v>
      </c>
      <c r="AR138" s="27" t="s">
        <v>7</v>
      </c>
      <c r="AT138" s="27" t="s">
        <v>7</v>
      </c>
      <c r="BC138" s="27" t="s">
        <v>8</v>
      </c>
      <c r="BE138" s="27" t="s">
        <v>8</v>
      </c>
      <c r="BH138" s="27" t="s">
        <v>7</v>
      </c>
    </row>
    <row r="139" spans="1:68" x14ac:dyDescent="0.25">
      <c r="A139" s="30">
        <v>0.17985878990921333</v>
      </c>
      <c r="E139"/>
      <c r="F139" s="27" t="s">
        <v>7</v>
      </c>
      <c r="AI139" s="27" t="s">
        <v>8</v>
      </c>
      <c r="AJ139" s="27" t="s">
        <v>7</v>
      </c>
      <c r="AK139" s="27" t="s">
        <v>8</v>
      </c>
      <c r="AL139" s="27" t="s">
        <v>7</v>
      </c>
      <c r="AM139" s="27" t="s">
        <v>8</v>
      </c>
      <c r="AN139" s="27" t="s">
        <v>7</v>
      </c>
      <c r="AT139" s="27" t="s">
        <v>7</v>
      </c>
      <c r="BC139" s="27" t="s">
        <v>8</v>
      </c>
      <c r="BD139" s="27" t="s">
        <v>7</v>
      </c>
      <c r="BE139" s="27" t="s">
        <v>8</v>
      </c>
    </row>
    <row r="140" spans="1:68" x14ac:dyDescent="0.25">
      <c r="A140" s="30">
        <v>0.16350799082655756</v>
      </c>
      <c r="C140" s="1">
        <v>0</v>
      </c>
      <c r="E140"/>
      <c r="F140" s="27" t="s">
        <v>7</v>
      </c>
      <c r="AI140" s="27" t="s">
        <v>8</v>
      </c>
      <c r="AJ140" s="27" t="s">
        <v>7</v>
      </c>
      <c r="AK140" s="27" t="s">
        <v>8</v>
      </c>
      <c r="AL140" s="27" t="s">
        <v>7</v>
      </c>
      <c r="AT140" s="27" t="s">
        <v>7</v>
      </c>
      <c r="AU140" s="27" t="s">
        <v>8</v>
      </c>
      <c r="AW140" s="27" t="s">
        <v>8</v>
      </c>
      <c r="BC140" s="27" t="s">
        <v>8</v>
      </c>
      <c r="BD140" s="27" t="s">
        <v>7</v>
      </c>
      <c r="BE140" s="27" t="s">
        <v>8</v>
      </c>
    </row>
    <row r="141" spans="1:68" x14ac:dyDescent="0.25">
      <c r="A141" s="30">
        <v>0.14864362802414322</v>
      </c>
      <c r="C141" s="1">
        <v>1</v>
      </c>
      <c r="E141"/>
      <c r="F141" s="27" t="s">
        <v>7</v>
      </c>
      <c r="AI141" s="27" t="s">
        <v>8</v>
      </c>
      <c r="AJ141" s="27" t="s">
        <v>7</v>
      </c>
      <c r="AT141" s="27" t="s">
        <v>7</v>
      </c>
      <c r="AU141" s="27" t="s">
        <v>8</v>
      </c>
      <c r="AV141" s="27" t="s">
        <v>7</v>
      </c>
      <c r="AW141" s="27" t="s">
        <v>8</v>
      </c>
      <c r="AX141" s="27" t="s">
        <v>7</v>
      </c>
      <c r="AY141" s="27" t="s">
        <v>8</v>
      </c>
      <c r="BC141" s="27" t="s">
        <v>8</v>
      </c>
      <c r="BD141" s="27" t="s">
        <v>7</v>
      </c>
      <c r="BE141" s="27" t="s">
        <v>8</v>
      </c>
    </row>
    <row r="142" spans="1:68" x14ac:dyDescent="0.25">
      <c r="A142" s="30">
        <v>0.13513057093103928</v>
      </c>
      <c r="C142" s="1">
        <v>2</v>
      </c>
      <c r="E142"/>
      <c r="F142" s="27" t="s">
        <v>7</v>
      </c>
      <c r="AI142" s="27" t="s">
        <v>8</v>
      </c>
      <c r="AT142" s="27" t="s">
        <v>7</v>
      </c>
      <c r="AU142" s="27" t="s">
        <v>8</v>
      </c>
      <c r="AV142" s="27" t="s">
        <v>7</v>
      </c>
      <c r="AW142" s="27" t="s">
        <v>8</v>
      </c>
      <c r="AX142" s="27" t="s">
        <v>7</v>
      </c>
      <c r="AY142" s="27" t="s">
        <v>8</v>
      </c>
      <c r="AZ142" s="27" t="s">
        <v>7</v>
      </c>
      <c r="BC142" s="27" t="s">
        <v>8</v>
      </c>
      <c r="BD142" s="27" t="s">
        <v>7</v>
      </c>
    </row>
    <row r="143" spans="1:68" x14ac:dyDescent="0.25">
      <c r="A143" s="30">
        <v>0.12284597357367205</v>
      </c>
      <c r="C143" s="1">
        <v>3</v>
      </c>
      <c r="E143"/>
      <c r="F143" s="27" t="s">
        <v>7</v>
      </c>
      <c r="O143" s="27" t="s">
        <v>8</v>
      </c>
      <c r="AI143" s="27" t="s">
        <v>8</v>
      </c>
      <c r="AT143" s="27" t="s">
        <v>7</v>
      </c>
      <c r="AU143" s="27" t="s">
        <v>8</v>
      </c>
      <c r="AV143" s="27" t="s">
        <v>7</v>
      </c>
      <c r="AW143" s="27" t="s">
        <v>8</v>
      </c>
      <c r="AX143" s="27" t="s">
        <v>7</v>
      </c>
      <c r="AY143" s="27" t="s">
        <v>8</v>
      </c>
      <c r="AZ143" s="27" t="s">
        <v>7</v>
      </c>
      <c r="BA143" s="18" t="s">
        <v>8</v>
      </c>
      <c r="BC143" s="27" t="s">
        <v>8</v>
      </c>
    </row>
    <row r="144" spans="1:68" x14ac:dyDescent="0.25">
      <c r="A144" s="30">
        <v>0.11167815779424731</v>
      </c>
      <c r="C144" s="1">
        <v>4</v>
      </c>
      <c r="E144"/>
      <c r="F144" s="27" t="s">
        <v>7</v>
      </c>
      <c r="O144" s="27" t="s">
        <v>8</v>
      </c>
      <c r="P144" s="27" t="s">
        <v>7</v>
      </c>
      <c r="AI144" s="27" t="s">
        <v>8</v>
      </c>
      <c r="AT144" s="27" t="s">
        <v>7</v>
      </c>
      <c r="AV144" s="27" t="s">
        <v>7</v>
      </c>
      <c r="AW144" s="27" t="s">
        <v>8</v>
      </c>
      <c r="AX144" s="27" t="s">
        <v>7</v>
      </c>
      <c r="AY144" s="27" t="s">
        <v>8</v>
      </c>
      <c r="AZ144" s="27" t="s">
        <v>7</v>
      </c>
      <c r="BA144" s="27" t="s">
        <v>8</v>
      </c>
      <c r="BB144" s="27" t="s">
        <v>7</v>
      </c>
      <c r="BC144" s="27" t="s">
        <v>8</v>
      </c>
    </row>
    <row r="145" spans="1:55" x14ac:dyDescent="0.25">
      <c r="A145" s="30">
        <v>0.10152559799477026</v>
      </c>
      <c r="B145"/>
      <c r="C145"/>
      <c r="D145"/>
      <c r="E145"/>
      <c r="F145" s="27" t="s">
        <v>7</v>
      </c>
      <c r="O145" s="27" t="s">
        <v>8</v>
      </c>
      <c r="P145" s="27" t="s">
        <v>7</v>
      </c>
      <c r="Q145" s="27" t="s">
        <v>8</v>
      </c>
      <c r="AG145" s="27" t="s">
        <v>8</v>
      </c>
      <c r="AI145" s="27" t="s">
        <v>8</v>
      </c>
      <c r="AV145" s="27" t="s">
        <v>7</v>
      </c>
      <c r="AW145" s="27" t="s">
        <v>8</v>
      </c>
      <c r="AX145" s="27" t="s">
        <v>7</v>
      </c>
      <c r="AZ145" s="27" t="s">
        <v>7</v>
      </c>
      <c r="BA145" s="27" t="s">
        <v>8</v>
      </c>
      <c r="BB145" s="27" t="s">
        <v>7</v>
      </c>
      <c r="BC145" s="27" t="s">
        <v>8</v>
      </c>
    </row>
    <row r="146" spans="1:55" x14ac:dyDescent="0.25">
      <c r="A146" s="30">
        <v>9.2295998177063854E-2</v>
      </c>
      <c r="B146"/>
      <c r="C146"/>
      <c r="D146"/>
      <c r="E146"/>
      <c r="F146" s="27" t="s">
        <v>7</v>
      </c>
      <c r="O146" s="27" t="s">
        <v>8</v>
      </c>
      <c r="P146" s="27" t="s">
        <v>7</v>
      </c>
      <c r="Q146" s="27" t="s">
        <v>8</v>
      </c>
      <c r="R146" s="27" t="s">
        <v>7</v>
      </c>
      <c r="AG146" s="27" t="s">
        <v>8</v>
      </c>
      <c r="AH146" s="27" t="s">
        <v>7</v>
      </c>
      <c r="AI146" s="27" t="s">
        <v>8</v>
      </c>
      <c r="AV146" s="27" t="s">
        <v>7</v>
      </c>
      <c r="AZ146" s="27" t="s">
        <v>7</v>
      </c>
      <c r="BA146" s="27" t="s">
        <v>8</v>
      </c>
      <c r="BB146" s="27" t="s">
        <v>7</v>
      </c>
    </row>
    <row r="147" spans="1:55" x14ac:dyDescent="0.25">
      <c r="A147" s="30">
        <v>8.3905452888239848E-2</v>
      </c>
      <c r="B147"/>
      <c r="C147"/>
      <c r="D147"/>
      <c r="E147"/>
      <c r="F147" s="27" t="s">
        <v>7</v>
      </c>
      <c r="O147" s="27" t="s">
        <v>8</v>
      </c>
      <c r="P147" s="27" t="s">
        <v>7</v>
      </c>
      <c r="Q147" s="27" t="s">
        <v>8</v>
      </c>
      <c r="R147" s="27" t="s">
        <v>7</v>
      </c>
      <c r="AG147" s="27" t="s">
        <v>8</v>
      </c>
      <c r="AH147" s="27" t="s">
        <v>7</v>
      </c>
      <c r="AI147" s="27" t="s">
        <v>8</v>
      </c>
      <c r="AZ147" s="27" t="s">
        <v>7</v>
      </c>
    </row>
    <row r="148" spans="1:55" x14ac:dyDescent="0.25">
      <c r="A148" s="30">
        <v>7.6277684443854396E-2</v>
      </c>
      <c r="B148"/>
      <c r="C148"/>
      <c r="D148"/>
      <c r="E148"/>
      <c r="F148" s="27" t="s">
        <v>7</v>
      </c>
      <c r="O148" s="27" t="s">
        <v>8</v>
      </c>
      <c r="P148" s="27" t="s">
        <v>7</v>
      </c>
      <c r="R148" s="27" t="s">
        <v>7</v>
      </c>
      <c r="W148" s="27" t="s">
        <v>8</v>
      </c>
      <c r="AE148" s="27" t="s">
        <v>8</v>
      </c>
      <c r="AG148" s="27" t="s">
        <v>8</v>
      </c>
      <c r="AH148" s="27" t="s">
        <v>7</v>
      </c>
    </row>
    <row r="149" spans="1:55" x14ac:dyDescent="0.25">
      <c r="A149" s="30">
        <v>6.9343349494413078E-2</v>
      </c>
      <c r="B149"/>
      <c r="C149"/>
      <c r="D149"/>
      <c r="E149"/>
      <c r="F149" s="27" t="s">
        <v>7</v>
      </c>
      <c r="M149" s="27" t="s">
        <v>8</v>
      </c>
      <c r="O149" s="27" t="s">
        <v>8</v>
      </c>
      <c r="R149" s="27" t="s">
        <v>7</v>
      </c>
      <c r="S149" s="27" t="s">
        <v>8</v>
      </c>
      <c r="W149" s="27" t="s">
        <v>8</v>
      </c>
      <c r="X149" s="27" t="s">
        <v>7</v>
      </c>
      <c r="AE149" s="27" t="s">
        <v>8</v>
      </c>
      <c r="AF149" s="27" t="s">
        <v>7</v>
      </c>
      <c r="AG149" s="27" t="s">
        <v>8</v>
      </c>
    </row>
    <row r="150" spans="1:55" x14ac:dyDescent="0.25">
      <c r="A150" s="30">
        <v>6.3039408631284613E-2</v>
      </c>
      <c r="B150"/>
      <c r="C150"/>
      <c r="D150"/>
      <c r="E150"/>
      <c r="F150" s="27" t="s">
        <v>7</v>
      </c>
      <c r="M150" s="27" t="s">
        <v>8</v>
      </c>
      <c r="N150" s="27" t="s">
        <v>7</v>
      </c>
      <c r="O150" s="27" t="s">
        <v>8</v>
      </c>
      <c r="R150" s="27" t="s">
        <v>7</v>
      </c>
      <c r="S150" s="27" t="s">
        <v>8</v>
      </c>
      <c r="T150" s="27" t="s">
        <v>7</v>
      </c>
      <c r="W150" s="27" t="s">
        <v>8</v>
      </c>
      <c r="X150" s="27" t="s">
        <v>7</v>
      </c>
      <c r="AA150" s="27" t="s">
        <v>8</v>
      </c>
      <c r="AC150" s="27" t="s">
        <v>8</v>
      </c>
      <c r="AE150" s="27" t="s">
        <v>8</v>
      </c>
      <c r="AF150" s="27" t="s">
        <v>7</v>
      </c>
      <c r="AG150" s="27" t="s">
        <v>8</v>
      </c>
    </row>
    <row r="151" spans="1:55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M151" s="27" t="s">
        <v>8</v>
      </c>
      <c r="N151" s="27" t="s">
        <v>7</v>
      </c>
      <c r="O151" s="27" t="s">
        <v>8</v>
      </c>
      <c r="R151" s="27" t="s">
        <v>7</v>
      </c>
      <c r="S151" s="27" t="s">
        <v>8</v>
      </c>
      <c r="T151" s="27" t="s">
        <v>7</v>
      </c>
      <c r="U151" s="27" t="s">
        <v>8</v>
      </c>
      <c r="W151" s="27" t="s">
        <v>8</v>
      </c>
      <c r="X151" s="27" t="s">
        <v>7</v>
      </c>
      <c r="Y151" s="27" t="s">
        <v>8</v>
      </c>
      <c r="AA151" s="27" t="s">
        <v>8</v>
      </c>
      <c r="AB151" s="27" t="s">
        <v>7</v>
      </c>
      <c r="AC151" s="27" t="s">
        <v>8</v>
      </c>
      <c r="AD151" s="27" t="s">
        <v>7</v>
      </c>
      <c r="AE151" s="27" t="s">
        <v>8</v>
      </c>
      <c r="AF151" s="27" t="s">
        <v>7</v>
      </c>
    </row>
    <row r="152" spans="1:55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M152" s="27" t="s">
        <v>8</v>
      </c>
      <c r="N152" s="27" t="s">
        <v>7</v>
      </c>
      <c r="O152" s="27" t="s">
        <v>8</v>
      </c>
      <c r="R152" s="27" t="s">
        <v>7</v>
      </c>
      <c r="T152" s="27" t="s">
        <v>7</v>
      </c>
      <c r="U152" s="27" t="s">
        <v>8</v>
      </c>
      <c r="V152" s="27" t="s">
        <v>7</v>
      </c>
      <c r="W152" s="27" t="s">
        <v>8</v>
      </c>
      <c r="X152" s="27" t="s">
        <v>7</v>
      </c>
      <c r="Y152" s="27" t="s">
        <v>8</v>
      </c>
      <c r="Z152" s="27" t="s">
        <v>7</v>
      </c>
      <c r="AA152" s="27" t="s">
        <v>8</v>
      </c>
      <c r="AB152" s="27" t="s">
        <v>7</v>
      </c>
      <c r="AC152" s="27" t="s">
        <v>8</v>
      </c>
      <c r="AD152" s="27" t="s">
        <v>7</v>
      </c>
      <c r="AE152" s="27" t="s">
        <v>8</v>
      </c>
    </row>
    <row r="153" spans="1:55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M153" s="27" t="s">
        <v>8</v>
      </c>
      <c r="N153" s="27" t="s">
        <v>7</v>
      </c>
      <c r="T153" s="27" t="s">
        <v>7</v>
      </c>
      <c r="U153" s="27" t="s">
        <v>8</v>
      </c>
      <c r="V153" s="27" t="s">
        <v>7</v>
      </c>
      <c r="W153" s="27" t="s">
        <v>8</v>
      </c>
      <c r="X153" s="27" t="s">
        <v>7</v>
      </c>
      <c r="Y153" s="27" t="s">
        <v>8</v>
      </c>
      <c r="Z153" s="27" t="s">
        <v>7</v>
      </c>
      <c r="AA153" s="27" t="s">
        <v>8</v>
      </c>
      <c r="AB153" s="27" t="s">
        <v>7</v>
      </c>
      <c r="AC153" s="27" t="s">
        <v>8</v>
      </c>
      <c r="AD153" s="27" t="s">
        <v>7</v>
      </c>
    </row>
    <row r="154" spans="1:55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M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  <c r="X154" s="27" t="s">
        <v>7</v>
      </c>
      <c r="Z154" s="27" t="s">
        <v>7</v>
      </c>
      <c r="AB154" s="27" t="s">
        <v>7</v>
      </c>
    </row>
    <row r="155" spans="1:55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M155" s="27" t="s">
        <v>8</v>
      </c>
      <c r="T155" s="27" t="s">
        <v>7</v>
      </c>
      <c r="U155" s="27" t="s">
        <v>8</v>
      </c>
      <c r="V155" s="27" t="s">
        <v>7</v>
      </c>
    </row>
    <row r="156" spans="1:55" x14ac:dyDescent="0.25">
      <c r="A156" s="30">
        <v>3.55841027383672E-2</v>
      </c>
      <c r="B156"/>
      <c r="C156"/>
      <c r="D156"/>
      <c r="E156"/>
      <c r="F156" s="27" t="s">
        <v>7</v>
      </c>
      <c r="H156" s="27" t="s">
        <v>7</v>
      </c>
      <c r="M156" s="27" t="s">
        <v>8</v>
      </c>
      <c r="T156" s="27" t="s">
        <v>7</v>
      </c>
    </row>
    <row r="157" spans="1:55" x14ac:dyDescent="0.25">
      <c r="A157" s="30">
        <v>3.2349184307606541E-2</v>
      </c>
      <c r="B157"/>
      <c r="C157"/>
      <c r="D157"/>
      <c r="E157"/>
      <c r="H157" s="27" t="s">
        <v>7</v>
      </c>
      <c r="M157" s="27" t="s">
        <v>8</v>
      </c>
    </row>
    <row r="158" spans="1:55" x14ac:dyDescent="0.25">
      <c r="A158" s="30">
        <v>2.9408349370551395E-2</v>
      </c>
      <c r="B158"/>
      <c r="C158"/>
      <c r="D158"/>
      <c r="E158"/>
      <c r="H158" s="27" t="s">
        <v>7</v>
      </c>
      <c r="M158" s="27" t="s">
        <v>8</v>
      </c>
    </row>
    <row r="159" spans="1:55" x14ac:dyDescent="0.25">
      <c r="A159" s="30">
        <v>2.6734863064137627E-2</v>
      </c>
      <c r="B159"/>
      <c r="C159"/>
      <c r="D159"/>
      <c r="E159"/>
      <c r="H159" s="27" t="s">
        <v>7</v>
      </c>
      <c r="M159" s="27" t="s">
        <v>8</v>
      </c>
    </row>
    <row r="160" spans="1:55" x14ac:dyDescent="0.25">
      <c r="A160" s="30">
        <v>2.4304420967397839E-2</v>
      </c>
      <c r="B160"/>
      <c r="C160"/>
      <c r="D160"/>
      <c r="E160"/>
      <c r="H160" s="27" t="s">
        <v>7</v>
      </c>
      <c r="M160" s="27" t="s">
        <v>8</v>
      </c>
    </row>
    <row r="161" spans="1:13" x14ac:dyDescent="0.25">
      <c r="A161" s="30">
        <v>2.2094928152179852E-2</v>
      </c>
      <c r="B161"/>
      <c r="C161"/>
      <c r="D161"/>
      <c r="E161"/>
      <c r="H161" s="27" t="s">
        <v>7</v>
      </c>
      <c r="K161" s="27" t="s">
        <v>8</v>
      </c>
      <c r="M161" s="27" t="s">
        <v>8</v>
      </c>
    </row>
    <row r="162" spans="1:13" x14ac:dyDescent="0.25">
      <c r="A162" s="30">
        <v>2.0086298320163499E-2</v>
      </c>
      <c r="B162"/>
      <c r="C162"/>
      <c r="D162"/>
      <c r="E162"/>
      <c r="H162" s="27" t="s">
        <v>7</v>
      </c>
      <c r="K162" s="27" t="s">
        <v>8</v>
      </c>
      <c r="L162" s="27" t="s">
        <v>7</v>
      </c>
      <c r="M162" s="27" t="s">
        <v>8</v>
      </c>
    </row>
    <row r="163" spans="1:13" x14ac:dyDescent="0.25">
      <c r="A163" s="30">
        <v>1.8260271200148632E-2</v>
      </c>
      <c r="B163"/>
      <c r="C163"/>
      <c r="D163"/>
      <c r="E163"/>
      <c r="H163" s="27" t="s">
        <v>7</v>
      </c>
      <c r="I163" s="27" t="s">
        <v>8</v>
      </c>
      <c r="K163" s="27" t="s">
        <v>8</v>
      </c>
      <c r="L163" s="27" t="s">
        <v>7</v>
      </c>
      <c r="M163" s="27" t="s">
        <v>8</v>
      </c>
    </row>
    <row r="164" spans="1:13" x14ac:dyDescent="0.25">
      <c r="A164" s="30">
        <v>1.6600246545589663E-2</v>
      </c>
      <c r="B164"/>
      <c r="C164"/>
      <c r="D164"/>
      <c r="E164"/>
      <c r="H164" s="27" t="s">
        <v>7</v>
      </c>
      <c r="I164" s="27" t="s">
        <v>8</v>
      </c>
      <c r="J164" s="27" t="s">
        <v>7</v>
      </c>
      <c r="K164" s="27" t="s">
        <v>8</v>
      </c>
      <c r="L164" s="27" t="s">
        <v>7</v>
      </c>
    </row>
    <row r="165" spans="1:13" x14ac:dyDescent="0.25">
      <c r="A165" s="30">
        <v>1.5091133223263328E-2</v>
      </c>
      <c r="B165"/>
      <c r="C165"/>
      <c r="D165"/>
      <c r="E165"/>
      <c r="H165" s="27" t="s">
        <v>7</v>
      </c>
      <c r="I165" s="27" t="s">
        <v>8</v>
      </c>
      <c r="J165" s="27" t="s">
        <v>7</v>
      </c>
      <c r="K165" s="27" t="s">
        <v>8</v>
      </c>
    </row>
    <row r="166" spans="1:13" x14ac:dyDescent="0.25">
      <c r="A166" s="30">
        <v>1.3719212021148477E-2</v>
      </c>
      <c r="B166"/>
      <c r="C166"/>
      <c r="D166"/>
      <c r="E166"/>
      <c r="H166" s="27" t="s">
        <v>7</v>
      </c>
      <c r="I166" s="27" t="s">
        <v>8</v>
      </c>
      <c r="J166" s="27" t="s">
        <v>7</v>
      </c>
      <c r="K166" s="27" t="s">
        <v>8</v>
      </c>
    </row>
    <row r="167" spans="1:13" x14ac:dyDescent="0.25">
      <c r="A167" s="30">
        <v>1.2472010928316795E-2</v>
      </c>
      <c r="B167"/>
      <c r="C167"/>
      <c r="D167"/>
      <c r="E167"/>
      <c r="H167" s="27" t="s">
        <v>7</v>
      </c>
      <c r="I167" s="27" t="s">
        <v>8</v>
      </c>
      <c r="J167" s="27" t="s">
        <v>7</v>
      </c>
    </row>
    <row r="168" spans="1:13" x14ac:dyDescent="0.25">
      <c r="A168" s="30">
        <v>1.1338191753015267E-2</v>
      </c>
      <c r="B168"/>
      <c r="C168"/>
      <c r="D168"/>
      <c r="E168"/>
      <c r="H168" s="27" t="s">
        <v>7</v>
      </c>
    </row>
    <row r="169" spans="1:13" x14ac:dyDescent="0.25">
      <c r="A169" s="30">
        <v>1.0307447048195697E-2</v>
      </c>
      <c r="B169"/>
      <c r="C169"/>
      <c r="D169"/>
      <c r="E169"/>
    </row>
    <row r="170" spans="1:13" x14ac:dyDescent="0.25">
      <c r="A170" s="30">
        <v>9.3704064074506318E-3</v>
      </c>
      <c r="B170"/>
      <c r="C170"/>
      <c r="D170"/>
      <c r="E170"/>
    </row>
    <row r="171" spans="1:13" x14ac:dyDescent="0.25">
      <c r="A171" s="30">
        <v>8.5185512795005747E-3</v>
      </c>
    </row>
    <row r="172" spans="1:13" x14ac:dyDescent="0.25">
      <c r="A172" s="30">
        <v>7.744137526818704E-3</v>
      </c>
    </row>
    <row r="173" spans="1:13" x14ac:dyDescent="0.25">
      <c r="A173" s="30">
        <v>7.0401250243806394E-3</v>
      </c>
    </row>
    <row r="174" spans="1:13" x14ac:dyDescent="0.25">
      <c r="A174" s="30">
        <v>6.4001136585278536E-3</v>
      </c>
    </row>
    <row r="175" spans="1:13" x14ac:dyDescent="0.25">
      <c r="A175" s="30">
        <v>5.8182851441162305E-3</v>
      </c>
    </row>
    <row r="176" spans="1:13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2022-01-28T01:16:09Z</dcterms:modified>
</cp:coreProperties>
</file>