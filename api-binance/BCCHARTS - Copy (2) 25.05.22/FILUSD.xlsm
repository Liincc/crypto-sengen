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018A7EE-E3FB-4EE3-84AB-924967988C6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4"/>
  <c r="C133" i="4" s="1"/>
  <c r="C136" i="4" s="1"/>
  <c r="C116" i="4"/>
  <c r="C118" i="4"/>
  <c r="R765" i="1"/>
  <c r="C136" i="5"/>
  <c r="D136" i="5"/>
  <c r="C122" i="3"/>
  <c r="C133" i="3" s="1"/>
  <c r="D136" i="3" s="1"/>
  <c r="C118" i="3"/>
  <c r="D136" i="4" l="1"/>
  <c r="C138" i="4" s="1"/>
  <c r="C138" i="5"/>
  <c r="R764" i="1"/>
  <c r="S765" i="1"/>
  <c r="T765" i="1" s="1"/>
  <c r="C136" i="3"/>
  <c r="C138" i="3" s="1"/>
  <c r="S764" i="1" l="1"/>
  <c r="T764" i="1" s="1"/>
  <c r="R763" i="1"/>
  <c r="R762" i="1" l="1"/>
  <c r="S763" i="1"/>
  <c r="T763" i="1" s="1"/>
  <c r="S762" i="1" l="1"/>
  <c r="T762" i="1" s="1"/>
  <c r="R761" i="1"/>
  <c r="R760" i="1" l="1"/>
  <c r="S761" i="1"/>
  <c r="T761" i="1" s="1"/>
  <c r="S760" i="1" l="1"/>
  <c r="T760" i="1" s="1"/>
  <c r="R759" i="1"/>
  <c r="R758" i="1" l="1"/>
  <c r="S759" i="1"/>
  <c r="T759" i="1" s="1"/>
  <c r="R757" i="1" l="1"/>
  <c r="S758" i="1"/>
  <c r="T758" i="1" s="1"/>
  <c r="S757" i="1" l="1"/>
  <c r="T757" i="1" s="1"/>
  <c r="R756" i="1"/>
  <c r="S756" i="1" l="1"/>
  <c r="T756" i="1" s="1"/>
  <c r="R755" i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S749" i="1" l="1"/>
  <c r="T749" i="1" s="1"/>
  <c r="R748" i="1"/>
  <c r="R747" i="1" l="1"/>
  <c r="S748" i="1"/>
  <c r="T748" i="1" s="1"/>
  <c r="S747" i="1" l="1"/>
  <c r="T747" i="1" s="1"/>
  <c r="R746" i="1"/>
  <c r="S746" i="1" l="1"/>
  <c r="T746" i="1" s="1"/>
  <c r="R745" i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R740" i="1" l="1"/>
  <c r="S741" i="1"/>
  <c r="T741" i="1" s="1"/>
  <c r="R739" i="1" l="1"/>
  <c r="S740" i="1"/>
  <c r="T740" i="1" s="1"/>
  <c r="S739" i="1" l="1"/>
  <c r="T739" i="1" s="1"/>
  <c r="R738" i="1"/>
  <c r="R737" i="1" l="1"/>
  <c r="S738" i="1"/>
  <c r="T738" i="1" s="1"/>
  <c r="S737" i="1" l="1"/>
  <c r="T737" i="1" s="1"/>
  <c r="R736" i="1"/>
  <c r="S736" i="1" l="1"/>
  <c r="T736" i="1" s="1"/>
  <c r="R735" i="1"/>
  <c r="R734" i="1" l="1"/>
  <c r="S735" i="1"/>
  <c r="T735" i="1" s="1"/>
  <c r="R733" i="1" l="1"/>
  <c r="S734" i="1"/>
  <c r="T734" i="1" s="1"/>
  <c r="S733" i="1" l="1"/>
  <c r="T733" i="1" s="1"/>
  <c r="R732" i="1"/>
  <c r="S732" i="1" l="1"/>
  <c r="T732" i="1" s="1"/>
  <c r="R731" i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R725" i="1" l="1"/>
  <c r="S726" i="1"/>
  <c r="T726" i="1" s="1"/>
  <c r="S725" i="1" l="1"/>
  <c r="T725" i="1" s="1"/>
  <c r="R724" i="1"/>
  <c r="S724" i="1" l="1"/>
  <c r="T724" i="1" s="1"/>
  <c r="R723" i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R718" i="1" l="1"/>
  <c r="S719" i="1"/>
  <c r="T719" i="1" s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R710" i="1" l="1"/>
  <c r="S711" i="1"/>
  <c r="T711" i="1" s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R705" i="1" l="1"/>
  <c r="S706" i="1"/>
  <c r="T706" i="1" s="1"/>
  <c r="S705" i="1" l="1"/>
  <c r="T705" i="1" s="1"/>
  <c r="R704" i="1"/>
  <c r="S704" i="1" l="1"/>
  <c r="T704" i="1" s="1"/>
  <c r="R703" i="1"/>
  <c r="R702" i="1" l="1"/>
  <c r="S703" i="1"/>
  <c r="T703" i="1" s="1"/>
  <c r="R701" i="1" l="1"/>
  <c r="S702" i="1"/>
  <c r="T702" i="1" s="1"/>
  <c r="S701" i="1" l="1"/>
  <c r="T701" i="1" s="1"/>
  <c r="R700" i="1"/>
  <c r="S700" i="1" l="1"/>
  <c r="T700" i="1" s="1"/>
  <c r="R699" i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R694" i="1" l="1"/>
  <c r="S695" i="1"/>
  <c r="T695" i="1" s="1"/>
  <c r="R693" i="1" l="1"/>
  <c r="S694" i="1"/>
  <c r="T694" i="1" s="1"/>
  <c r="S693" i="1" l="1"/>
  <c r="T693" i="1" s="1"/>
  <c r="R692" i="1"/>
  <c r="S692" i="1" l="1"/>
  <c r="T692" i="1" s="1"/>
  <c r="R691" i="1"/>
  <c r="R690" i="1" l="1"/>
  <c r="S691" i="1"/>
  <c r="T691" i="1" s="1"/>
  <c r="R689" i="1" l="1"/>
  <c r="S690" i="1"/>
  <c r="T690" i="1" s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R675" i="1" l="1"/>
  <c r="S676" i="1"/>
  <c r="T676" i="1" s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R667" i="1" l="1"/>
  <c r="S668" i="1"/>
  <c r="T668" i="1" s="1"/>
  <c r="S667" i="1" l="1"/>
  <c r="T667" i="1" s="1"/>
  <c r="R666" i="1"/>
  <c r="R665" i="1" l="1"/>
  <c r="S666" i="1"/>
  <c r="T666" i="1" s="1"/>
  <c r="R664" i="1" l="1"/>
  <c r="S665" i="1"/>
  <c r="T665" i="1" s="1"/>
  <c r="S664" i="1" l="1"/>
  <c r="T664" i="1" s="1"/>
  <c r="R663" i="1"/>
  <c r="S663" i="1" l="1"/>
  <c r="T663" i="1" s="1"/>
  <c r="R662" i="1"/>
  <c r="R661" i="1" l="1"/>
  <c r="S662" i="1"/>
  <c r="T662" i="1" s="1"/>
  <c r="R660" i="1" l="1"/>
  <c r="S661" i="1"/>
  <c r="T661" i="1" s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R653" i="1" l="1"/>
  <c r="S654" i="1"/>
  <c r="T654" i="1" s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S648" i="1" l="1"/>
  <c r="T648" i="1" s="1"/>
  <c r="R647" i="1"/>
  <c r="R646" i="1" l="1"/>
  <c r="S647" i="1"/>
  <c r="T647" i="1" s="1"/>
  <c r="R645" i="1" l="1"/>
  <c r="S646" i="1"/>
  <c r="T646" i="1" s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R637" i="1" l="1"/>
  <c r="S638" i="1"/>
  <c r="T638" i="1" s="1"/>
  <c r="S637" i="1" l="1"/>
  <c r="T637" i="1" s="1"/>
  <c r="R636" i="1"/>
  <c r="S636" i="1" l="1"/>
  <c r="T636" i="1" s="1"/>
  <c r="R635" i="1"/>
  <c r="R634" i="1" l="1"/>
  <c r="S635" i="1"/>
  <c r="T635" i="1" s="1"/>
  <c r="R633" i="1" l="1"/>
  <c r="S634" i="1"/>
  <c r="T634" i="1" s="1"/>
  <c r="S633" i="1" l="1"/>
  <c r="T633" i="1" s="1"/>
  <c r="R632" i="1"/>
  <c r="R631" i="1" l="1"/>
  <c r="S632" i="1"/>
  <c r="T632" i="1" s="1"/>
  <c r="R630" i="1" l="1"/>
  <c r="S631" i="1"/>
  <c r="T631" i="1" s="1"/>
  <c r="S630" i="1" l="1"/>
  <c r="T630" i="1" s="1"/>
  <c r="R629" i="1"/>
  <c r="S629" i="1" l="1"/>
  <c r="T629" i="1" s="1"/>
  <c r="R628" i="1"/>
  <c r="R627" i="1" l="1"/>
  <c r="S628" i="1"/>
  <c r="T628" i="1" s="1"/>
  <c r="R626" i="1" l="1"/>
  <c r="S627" i="1"/>
  <c r="T627" i="1" s="1"/>
  <c r="S626" i="1" l="1"/>
  <c r="T626" i="1" s="1"/>
  <c r="R625" i="1"/>
  <c r="S625" i="1" l="1"/>
  <c r="T625" i="1" s="1"/>
  <c r="R624" i="1"/>
  <c r="R623" i="1" l="1"/>
  <c r="S624" i="1"/>
  <c r="T624" i="1" s="1"/>
  <c r="R622" i="1" l="1"/>
  <c r="S623" i="1"/>
  <c r="T623" i="1" s="1"/>
  <c r="S622" i="1" l="1"/>
  <c r="T622" i="1" s="1"/>
  <c r="R621" i="1"/>
  <c r="S621" i="1" l="1"/>
  <c r="T621" i="1" s="1"/>
  <c r="R620" i="1"/>
  <c r="R619" i="1" l="1"/>
  <c r="S620" i="1"/>
  <c r="T620" i="1" s="1"/>
  <c r="R618" i="1" l="1"/>
  <c r="S619" i="1"/>
  <c r="T619" i="1" s="1"/>
  <c r="S618" i="1" l="1"/>
  <c r="T618" i="1" s="1"/>
  <c r="R617" i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R612" i="1" l="1"/>
  <c r="S613" i="1"/>
  <c r="T613" i="1" s="1"/>
  <c r="R611" i="1" l="1"/>
  <c r="S612" i="1"/>
  <c r="T612" i="1" s="1"/>
  <c r="S611" i="1" l="1"/>
  <c r="T611" i="1" s="1"/>
  <c r="R610" i="1"/>
  <c r="S610" i="1" l="1"/>
  <c r="T610" i="1" s="1"/>
  <c r="R609" i="1"/>
  <c r="R608" i="1" l="1"/>
  <c r="S609" i="1"/>
  <c r="T609" i="1" s="1"/>
  <c r="R607" i="1" l="1"/>
  <c r="S608" i="1"/>
  <c r="T608" i="1" s="1"/>
  <c r="S607" i="1" l="1"/>
  <c r="T607" i="1" s="1"/>
  <c r="R606" i="1"/>
  <c r="S606" i="1" l="1"/>
  <c r="T606" i="1" s="1"/>
  <c r="R605" i="1"/>
  <c r="R604" i="1" l="1"/>
  <c r="S605" i="1"/>
  <c r="T605" i="1" s="1"/>
  <c r="R603" i="1" l="1"/>
  <c r="S604" i="1"/>
  <c r="T604" i="1" s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S594" i="1" l="1"/>
  <c r="T594" i="1" s="1"/>
  <c r="R593" i="1"/>
  <c r="R592" i="1" l="1"/>
  <c r="S593" i="1"/>
  <c r="T593" i="1" s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R582" i="1" l="1"/>
  <c r="S583" i="1"/>
  <c r="T583" i="1" s="1"/>
  <c r="R581" i="1" l="1"/>
  <c r="S582" i="1"/>
  <c r="T582" i="1" s="1"/>
  <c r="S581" i="1" l="1"/>
  <c r="T581" i="1" s="1"/>
  <c r="R580" i="1"/>
  <c r="R579" i="1" l="1"/>
  <c r="S580" i="1"/>
  <c r="T580" i="1" s="1"/>
  <c r="R578" i="1" l="1"/>
  <c r="S579" i="1"/>
  <c r="T579" i="1" s="1"/>
  <c r="S578" i="1" l="1"/>
  <c r="T578" i="1" s="1"/>
  <c r="R577" i="1"/>
  <c r="S577" i="1" l="1"/>
  <c r="T577" i="1" s="1"/>
  <c r="R576" i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R543" i="1" l="1"/>
  <c r="S544" i="1"/>
  <c r="T544" i="1" s="1"/>
  <c r="R542" i="1" l="1"/>
  <c r="S543" i="1"/>
  <c r="T543" i="1" s="1"/>
  <c r="R541" i="1" l="1"/>
  <c r="S542" i="1"/>
  <c r="T542" i="1" s="1"/>
  <c r="S541" i="1" l="1"/>
  <c r="T541" i="1" s="1"/>
  <c r="R540" i="1"/>
  <c r="S540" i="1" l="1"/>
  <c r="T540" i="1" s="1"/>
  <c r="R539" i="1"/>
  <c r="R538" i="1" l="1"/>
  <c r="S539" i="1"/>
  <c r="T539" i="1" s="1"/>
  <c r="S538" i="1" l="1"/>
  <c r="T538" i="1" s="1"/>
  <c r="R537" i="1"/>
  <c r="S537" i="1" l="1"/>
  <c r="T537" i="1" s="1"/>
  <c r="R536" i="1"/>
  <c r="R535" i="1" l="1"/>
  <c r="S536" i="1"/>
  <c r="T536" i="1" s="1"/>
  <c r="R534" i="1" l="1"/>
  <c r="S535" i="1"/>
  <c r="T535" i="1" s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S529" i="1" l="1"/>
  <c r="T529" i="1" s="1"/>
  <c r="R528" i="1"/>
  <c r="R527" i="1" l="1"/>
  <c r="S528" i="1"/>
  <c r="T528" i="1" s="1"/>
  <c r="R526" i="1" l="1"/>
  <c r="S527" i="1"/>
  <c r="T527" i="1" s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S522" i="1" l="1"/>
  <c r="T522" i="1" s="1"/>
  <c r="R521" i="1"/>
  <c r="S521" i="1" l="1"/>
  <c r="T521" i="1" s="1"/>
  <c r="R520" i="1"/>
  <c r="R519" i="1" l="1"/>
  <c r="S520" i="1"/>
  <c r="T520" i="1" s="1"/>
  <c r="R518" i="1" l="1"/>
  <c r="S519" i="1"/>
  <c r="T519" i="1" s="1"/>
  <c r="S518" i="1" l="1"/>
  <c r="T518" i="1" s="1"/>
  <c r="R517" i="1"/>
  <c r="S517" i="1" l="1"/>
  <c r="T517" i="1" s="1"/>
  <c r="R516" i="1"/>
  <c r="R515" i="1" l="1"/>
  <c r="S516" i="1"/>
  <c r="T516" i="1" s="1"/>
  <c r="R514" i="1" l="1"/>
  <c r="S515" i="1"/>
  <c r="T515" i="1" s="1"/>
  <c r="S514" i="1" l="1"/>
  <c r="T514" i="1" s="1"/>
  <c r="R513" i="1"/>
  <c r="S513" i="1" l="1"/>
  <c r="T513" i="1" s="1"/>
  <c r="R512" i="1"/>
  <c r="R511" i="1" l="1"/>
  <c r="S512" i="1"/>
  <c r="T512" i="1" s="1"/>
  <c r="R510" i="1" l="1"/>
  <c r="S511" i="1"/>
  <c r="T511" i="1" s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S506" i="1" l="1"/>
  <c r="T506" i="1" s="1"/>
  <c r="R505" i="1"/>
  <c r="S505" i="1" l="1"/>
  <c r="T505" i="1" s="1"/>
  <c r="R504" i="1"/>
  <c r="R503" i="1" l="1"/>
  <c r="S504" i="1"/>
  <c r="T504" i="1" s="1"/>
  <c r="R502" i="1" l="1"/>
  <c r="S503" i="1"/>
  <c r="T503" i="1" s="1"/>
  <c r="S502" i="1" l="1"/>
  <c r="T502" i="1" s="1"/>
  <c r="R501" i="1"/>
  <c r="R500" i="1" l="1"/>
  <c r="S501" i="1"/>
  <c r="T501" i="1" s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S491" i="1" l="1"/>
  <c r="T491" i="1" s="1"/>
  <c r="R490" i="1"/>
  <c r="S490" i="1" l="1"/>
  <c r="T490" i="1" s="1"/>
  <c r="R489" i="1"/>
  <c r="R488" i="1" l="1"/>
  <c r="S489" i="1"/>
  <c r="T489" i="1" s="1"/>
  <c r="R487" i="1" l="1"/>
  <c r="S488" i="1"/>
  <c r="T488" i="1" s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S482" i="1" l="1"/>
  <c r="T482" i="1" s="1"/>
  <c r="R481" i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S477" i="1" l="1"/>
  <c r="T477" i="1" s="1"/>
  <c r="R476" i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R462" i="1" l="1"/>
  <c r="S463" i="1"/>
  <c r="T463" i="1" s="1"/>
  <c r="R461" i="1" l="1"/>
  <c r="S462" i="1"/>
  <c r="T462" i="1" s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S432" i="1" l="1"/>
  <c r="T432" i="1" s="1"/>
  <c r="R431" i="1"/>
  <c r="R430" i="1" l="1"/>
  <c r="S431" i="1"/>
  <c r="T431" i="1" s="1"/>
  <c r="R429" i="1" l="1"/>
  <c r="S430" i="1"/>
  <c r="T430" i="1" s="1"/>
  <c r="S429" i="1" l="1"/>
  <c r="T429" i="1" s="1"/>
  <c r="R428" i="1"/>
  <c r="R427" i="1" l="1"/>
  <c r="S428" i="1"/>
  <c r="T428" i="1" s="1"/>
  <c r="R426" i="1" l="1"/>
  <c r="S427" i="1"/>
  <c r="T427" i="1" s="1"/>
  <c r="S426" i="1" l="1"/>
  <c r="T426" i="1" s="1"/>
  <c r="R425" i="1"/>
  <c r="S425" i="1" l="1"/>
  <c r="T425" i="1" s="1"/>
  <c r="R424" i="1"/>
  <c r="R423" i="1" l="1"/>
  <c r="S424" i="1"/>
  <c r="T424" i="1" s="1"/>
  <c r="R422" i="1" l="1"/>
  <c r="S423" i="1"/>
  <c r="T423" i="1" s="1"/>
  <c r="S422" i="1" l="1"/>
  <c r="T422" i="1" s="1"/>
  <c r="R421" i="1"/>
  <c r="S421" i="1" l="1"/>
  <c r="T421" i="1" s="1"/>
  <c r="R420" i="1"/>
  <c r="R419" i="1" l="1"/>
  <c r="S420" i="1"/>
  <c r="T420" i="1" s="1"/>
  <c r="R418" i="1" l="1"/>
  <c r="S419" i="1"/>
  <c r="T419" i="1" s="1"/>
  <c r="S418" i="1" l="1"/>
  <c r="T418" i="1" s="1"/>
  <c r="R417" i="1"/>
  <c r="S417" i="1" l="1"/>
  <c r="T417" i="1" s="1"/>
  <c r="R416" i="1"/>
  <c r="R415" i="1" l="1"/>
  <c r="S416" i="1"/>
  <c r="T416" i="1" s="1"/>
  <c r="R414" i="1" l="1"/>
  <c r="S415" i="1"/>
  <c r="T415" i="1" s="1"/>
  <c r="S414" i="1" l="1"/>
  <c r="T414" i="1" s="1"/>
  <c r="R413" i="1"/>
  <c r="S413" i="1" l="1"/>
  <c r="T413" i="1" s="1"/>
  <c r="R412" i="1"/>
  <c r="S412" i="1" l="1"/>
  <c r="T412" i="1" s="1"/>
  <c r="R411" i="1"/>
  <c r="R410" i="1" l="1"/>
  <c r="S411" i="1"/>
  <c r="T411" i="1" s="1"/>
  <c r="R409" i="1" l="1"/>
  <c r="S410" i="1"/>
  <c r="T410" i="1" s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S405" i="1" l="1"/>
  <c r="T405" i="1" s="1"/>
  <c r="R404" i="1"/>
  <c r="S404" i="1" l="1"/>
  <c r="T404" i="1" s="1"/>
  <c r="R403" i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S399" i="1" l="1"/>
  <c r="T399" i="1" s="1"/>
  <c r="R398" i="1"/>
  <c r="S398" i="1" l="1"/>
  <c r="T398" i="1" s="1"/>
  <c r="R397" i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S392" i="1" l="1"/>
  <c r="T392" i="1" s="1"/>
  <c r="R391" i="1"/>
  <c r="S391" i="1" l="1"/>
  <c r="T391" i="1" s="1"/>
  <c r="R390" i="1"/>
  <c r="S390" i="1" l="1"/>
  <c r="T390" i="1" s="1"/>
  <c r="R389" i="1"/>
  <c r="R388" i="1" l="1"/>
  <c r="S389" i="1"/>
  <c r="T389" i="1" s="1"/>
  <c r="R387" i="1" l="1"/>
  <c r="S388" i="1"/>
  <c r="T388" i="1" s="1"/>
  <c r="S387" i="1" l="1"/>
  <c r="T387" i="1" s="1"/>
  <c r="R386" i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R380" i="1" l="1"/>
  <c r="S381" i="1"/>
  <c r="T381" i="1" s="1"/>
  <c r="R379" i="1" l="1"/>
  <c r="S380" i="1"/>
  <c r="T380" i="1" s="1"/>
  <c r="S379" i="1" l="1"/>
  <c r="T379" i="1" s="1"/>
  <c r="R378" i="1"/>
  <c r="S378" i="1" l="1"/>
  <c r="T378" i="1" s="1"/>
  <c r="R377" i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R372" i="1" l="1"/>
  <c r="S373" i="1"/>
  <c r="T373" i="1" s="1"/>
  <c r="S372" i="1" l="1"/>
  <c r="T372" i="1" s="1"/>
  <c r="R371" i="1"/>
  <c r="S371" i="1" l="1"/>
  <c r="T371" i="1" s="1"/>
  <c r="R370" i="1"/>
  <c r="R369" i="1" l="1"/>
  <c r="S370" i="1"/>
  <c r="T370" i="1" s="1"/>
  <c r="R368" i="1" l="1"/>
  <c r="S369" i="1"/>
  <c r="T369" i="1" s="1"/>
  <c r="S368" i="1" l="1"/>
  <c r="T368" i="1" s="1"/>
  <c r="R367" i="1"/>
  <c r="S367" i="1" l="1"/>
  <c r="T367" i="1" s="1"/>
  <c r="R366" i="1"/>
  <c r="R365" i="1" l="1"/>
  <c r="S366" i="1"/>
  <c r="T366" i="1" s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S354" i="1" l="1"/>
  <c r="T354" i="1" s="1"/>
  <c r="R353" i="1"/>
  <c r="R352" i="1" l="1"/>
  <c r="S353" i="1"/>
  <c r="T353" i="1" s="1"/>
  <c r="R351" i="1" l="1"/>
  <c r="S352" i="1"/>
  <c r="T352" i="1" s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S346" i="1" l="1"/>
  <c r="T346" i="1" s="1"/>
  <c r="R345" i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S339" i="1" l="1"/>
  <c r="T339" i="1" s="1"/>
  <c r="R338" i="1"/>
  <c r="S338" i="1" l="1"/>
  <c r="T338" i="1" s="1"/>
  <c r="R337" i="1"/>
  <c r="R336" i="1" l="1"/>
  <c r="S337" i="1"/>
  <c r="T337" i="1" s="1"/>
  <c r="R335" i="1" l="1"/>
  <c r="S336" i="1"/>
  <c r="T336" i="1" s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S330" i="1" l="1"/>
  <c r="T330" i="1" s="1"/>
  <c r="R329" i="1"/>
  <c r="S329" i="1" l="1"/>
  <c r="T329" i="1" s="1"/>
  <c r="R328" i="1"/>
  <c r="R327" i="1" l="1"/>
  <c r="S328" i="1"/>
  <c r="T328" i="1" s="1"/>
  <c r="R326" i="1" l="1"/>
  <c r="S327" i="1"/>
  <c r="T327" i="1" s="1"/>
  <c r="S326" i="1" l="1"/>
  <c r="T326" i="1" s="1"/>
  <c r="R325" i="1"/>
  <c r="S325" i="1" l="1"/>
  <c r="T325" i="1" s="1"/>
  <c r="R324" i="1"/>
  <c r="R323" i="1" l="1"/>
  <c r="S324" i="1"/>
  <c r="T324" i="1" s="1"/>
  <c r="R322" i="1" l="1"/>
  <c r="S323" i="1"/>
  <c r="T323" i="1" s="1"/>
  <c r="S322" i="1" l="1"/>
  <c r="T322" i="1" s="1"/>
  <c r="R321" i="1"/>
  <c r="R320" i="1" l="1"/>
  <c r="S321" i="1"/>
  <c r="T321" i="1" s="1"/>
  <c r="R319" i="1" l="1"/>
  <c r="S320" i="1"/>
  <c r="T320" i="1" s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R312" i="1" l="1"/>
  <c r="S313" i="1"/>
  <c r="T313" i="1" s="1"/>
  <c r="S312" i="1" l="1"/>
  <c r="T312" i="1" s="1"/>
  <c r="R311" i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S277" i="1" l="1"/>
  <c r="T277" i="1" s="1"/>
  <c r="R276" i="1"/>
  <c r="S276" i="1" l="1"/>
  <c r="T276" i="1" s="1"/>
  <c r="R275" i="1"/>
  <c r="R274" i="1" l="1"/>
  <c r="S275" i="1"/>
  <c r="T275" i="1" s="1"/>
  <c r="R273" i="1" l="1"/>
  <c r="S274" i="1"/>
  <c r="T274" i="1" s="1"/>
  <c r="S273" i="1" l="1"/>
  <c r="T273" i="1" s="1"/>
  <c r="R272" i="1"/>
  <c r="S272" i="1" l="1"/>
  <c r="T272" i="1" s="1"/>
  <c r="R271" i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R258" i="1" l="1"/>
  <c r="S259" i="1"/>
  <c r="T259" i="1" s="1"/>
  <c r="R257" i="1" l="1"/>
  <c r="S258" i="1"/>
  <c r="T258" i="1" s="1"/>
  <c r="S257" i="1" l="1"/>
  <c r="T257" i="1" s="1"/>
  <c r="R256" i="1"/>
  <c r="S256" i="1" l="1"/>
  <c r="T256" i="1" s="1"/>
  <c r="R255" i="1"/>
  <c r="R254" i="1" l="1"/>
  <c r="S255" i="1"/>
  <c r="T255" i="1" s="1"/>
  <c r="S254" i="1" l="1"/>
  <c r="T254" i="1" s="1"/>
  <c r="R253" i="1"/>
  <c r="S253" i="1" l="1"/>
  <c r="T253" i="1" s="1"/>
  <c r="R252" i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R247" i="1" l="1"/>
  <c r="S248" i="1"/>
  <c r="T248" i="1" s="1"/>
  <c r="R246" i="1" l="1"/>
  <c r="S247" i="1"/>
  <c r="T247" i="1" s="1"/>
  <c r="S246" i="1" l="1"/>
  <c r="T246" i="1" s="1"/>
  <c r="R245" i="1"/>
  <c r="S245" i="1" l="1"/>
  <c r="T245" i="1" s="1"/>
  <c r="R244" i="1"/>
  <c r="S244" i="1" l="1"/>
  <c r="T244" i="1" s="1"/>
  <c r="R243" i="1"/>
  <c r="R242" i="1" l="1"/>
  <c r="S243" i="1"/>
  <c r="T243" i="1" s="1"/>
  <c r="R241" i="1" l="1"/>
  <c r="S242" i="1"/>
  <c r="T242" i="1" s="1"/>
  <c r="S241" i="1" l="1"/>
  <c r="T241" i="1" s="1"/>
  <c r="R240" i="1"/>
  <c r="S240" i="1" l="1"/>
  <c r="T240" i="1" s="1"/>
  <c r="R239" i="1"/>
  <c r="R238" i="1" l="1"/>
  <c r="S239" i="1"/>
  <c r="T239" i="1" s="1"/>
  <c r="R237" i="1" l="1"/>
  <c r="S238" i="1"/>
  <c r="T238" i="1" s="1"/>
  <c r="S237" i="1" l="1"/>
  <c r="T237" i="1" s="1"/>
  <c r="R236" i="1"/>
  <c r="S236" i="1" l="1"/>
  <c r="T236" i="1" s="1"/>
  <c r="R235" i="1"/>
  <c r="S235" i="1" l="1"/>
  <c r="T235" i="1" s="1"/>
  <c r="R234" i="1"/>
  <c r="R233" i="1" l="1"/>
  <c r="S234" i="1"/>
  <c r="T234" i="1" s="1"/>
  <c r="S233" i="1" l="1"/>
  <c r="T233" i="1" s="1"/>
  <c r="R232" i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S209" i="1" l="1"/>
  <c r="T209" i="1" s="1"/>
  <c r="R208" i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S197" i="1" l="1"/>
  <c r="T197" i="1" s="1"/>
  <c r="R196" i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S190" i="1" l="1"/>
  <c r="T190" i="1" s="1"/>
  <c r="R189" i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R184" i="1" l="1"/>
  <c r="S185" i="1"/>
  <c r="T185" i="1" s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R173" i="1" l="1"/>
  <c r="S174" i="1"/>
  <c r="T174" i="1" s="1"/>
  <c r="S173" i="1" l="1"/>
  <c r="T173" i="1" s="1"/>
  <c r="R172" i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S153" i="1" l="1"/>
  <c r="T153" i="1" s="1"/>
  <c r="R152" i="1"/>
  <c r="S152" i="1" l="1"/>
  <c r="T152" i="1" s="1"/>
  <c r="R151" i="1"/>
  <c r="R150" i="1" l="1"/>
  <c r="S151" i="1"/>
  <c r="T151" i="1" s="1"/>
  <c r="R149" i="1" l="1"/>
  <c r="S150" i="1"/>
  <c r="T150" i="1" s="1"/>
  <c r="S149" i="1" l="1"/>
  <c r="T149" i="1" s="1"/>
  <c r="R148" i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R142" i="1" l="1"/>
  <c r="S143" i="1"/>
  <c r="T143" i="1" s="1"/>
  <c r="S142" i="1" l="1"/>
  <c r="T142" i="1" s="1"/>
  <c r="R141" i="1"/>
  <c r="S141" i="1" l="1"/>
  <c r="T141" i="1" s="1"/>
  <c r="R140" i="1"/>
  <c r="R139" i="1" l="1"/>
  <c r="S140" i="1"/>
  <c r="T140" i="1" s="1"/>
  <c r="R138" i="1" l="1"/>
  <c r="S139" i="1"/>
  <c r="T139" i="1" s="1"/>
  <c r="S138" i="1" l="1"/>
  <c r="T138" i="1" s="1"/>
  <c r="R137" i="1"/>
  <c r="R136" i="1" l="1"/>
  <c r="S137" i="1"/>
  <c r="T137" i="1" s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S122" i="1" l="1"/>
  <c r="T122" i="1" s="1"/>
  <c r="R121" i="1"/>
  <c r="S121" i="1" l="1"/>
  <c r="T121" i="1" s="1"/>
  <c r="R120" i="1"/>
  <c r="R119" i="1" l="1"/>
  <c r="S120" i="1"/>
  <c r="T120" i="1" s="1"/>
  <c r="S119" i="1" l="1"/>
  <c r="T119" i="1" s="1"/>
  <c r="R118" i="1"/>
  <c r="S118" i="1" l="1"/>
  <c r="T118" i="1" s="1"/>
  <c r="R117" i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R90" i="1" l="1"/>
  <c r="S91" i="1"/>
  <c r="T91" i="1" s="1"/>
  <c r="S90" i="1" l="1"/>
  <c r="T90" i="1" s="1"/>
  <c r="R89" i="1"/>
  <c r="R88" i="1" l="1"/>
  <c r="S89" i="1"/>
  <c r="T89" i="1" s="1"/>
  <c r="S88" i="1" l="1"/>
  <c r="T88" i="1" s="1"/>
  <c r="R87" i="1"/>
  <c r="R86" i="1" l="1"/>
  <c r="S87" i="1"/>
  <c r="T87" i="1" s="1"/>
  <c r="S86" i="1" l="1"/>
  <c r="T86" i="1" s="1"/>
  <c r="R85" i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S79" i="1" l="1"/>
  <c r="T79" i="1" s="1"/>
  <c r="R78" i="1"/>
  <c r="R77" i="1" l="1"/>
  <c r="S78" i="1"/>
  <c r="T78" i="1" s="1"/>
  <c r="S77" i="1" l="1"/>
  <c r="T77" i="1" s="1"/>
  <c r="R76" i="1"/>
  <c r="S76" i="1" l="1"/>
  <c r="T76" i="1" s="1"/>
  <c r="R75" i="1"/>
  <c r="R74" i="1" l="1"/>
  <c r="S75" i="1"/>
  <c r="T75" i="1" s="1"/>
  <c r="S74" i="1" l="1"/>
  <c r="T74" i="1" s="1"/>
  <c r="R73" i="1"/>
  <c r="S73" i="1" l="1"/>
  <c r="T73" i="1" s="1"/>
  <c r="R72" i="1"/>
  <c r="S72" i="1" l="1"/>
  <c r="T72" i="1" s="1"/>
  <c r="R71" i="1"/>
  <c r="R70" i="1" l="1"/>
  <c r="S71" i="1"/>
  <c r="T71" i="1" s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S46" i="1" l="1"/>
  <c r="T46" i="1" s="1"/>
  <c r="R45" i="1"/>
  <c r="R44" i="1" l="1"/>
  <c r="S45" i="1"/>
  <c r="T45" i="1" s="1"/>
  <c r="R43" i="1" l="1"/>
  <c r="S44" i="1"/>
  <c r="T44" i="1" s="1"/>
  <c r="S43" i="1" l="1"/>
  <c r="T43" i="1" s="1"/>
  <c r="R42" i="1"/>
  <c r="R41" i="1" l="1"/>
  <c r="S42" i="1"/>
  <c r="T42" i="1" s="1"/>
  <c r="S41" i="1" l="1"/>
  <c r="T41" i="1" s="1"/>
  <c r="R40" i="1"/>
  <c r="R39" i="1" l="1"/>
  <c r="S40" i="1"/>
  <c r="T40" i="1" s="1"/>
  <c r="R38" i="1" l="1"/>
  <c r="S39" i="1"/>
  <c r="T39" i="1" s="1"/>
  <c r="R37" i="1" l="1"/>
  <c r="S38" i="1"/>
  <c r="T38" i="1" s="1"/>
  <c r="R36" i="1" l="1"/>
  <c r="S37" i="1"/>
  <c r="T37" i="1" s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S29" i="1" l="1"/>
  <c r="T29" i="1" s="1"/>
  <c r="R28" i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<sst xmlns="http://schemas.openxmlformats.org/spreadsheetml/2006/main" count="4438" uniqueCount="34">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</sst>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18.78</c:v>
                </c:pt>
                <c:pt idx="1">
                  <c:v>19.27</c:v>
                </c:pt>
                <c:pt idx="2">
                  <c:v>18.149999999999999</c:v>
                </c:pt>
                <c:pt idx="3">
                  <c:v>18.420000000000002</c:v>
                </c:pt>
                <c:pt idx="4">
                  <c:v>19.489999999999998</c:v>
                </c:pt>
                <c:pt idx="5">
                  <c:v>19.010000000000002</c:v>
                </c:pt>
                <c:pt idx="6">
                  <c:v>21.97</c:v>
                </c:pt>
                <c:pt idx="7">
                  <c:v>26.18</c:v>
                </c:pt>
                <c:pt idx="8">
                  <c:v>27.61</c:v>
                </c:pt>
                <c:pt idx="9">
                  <c:v>28.47</c:v>
                </c:pt>
                <c:pt idx="10">
                  <c:v>28.97</c:v>
                </c:pt>
                <c:pt idx="11">
                  <c:v>30.38</c:v>
                </c:pt>
                <c:pt idx="12">
                  <c:v>29.66</c:v>
                </c:pt>
                <c:pt idx="13">
                  <c:v>29.72</c:v>
                </c:pt>
                <c:pt idx="14">
                  <c:v>28.51</c:v>
                </c:pt>
                <c:pt idx="15">
                  <c:v>30.77</c:v>
                </c:pt>
                <c:pt idx="16">
                  <c:v>28.88</c:v>
                </c:pt>
                <c:pt idx="17">
                  <c:v>28.12</c:v>
                </c:pt>
                <c:pt idx="18">
                  <c:v>30.21</c:v>
                </c:pt>
                <c:pt idx="19">
                  <c:v>29.46</c:v>
                </c:pt>
                <c:pt idx="20">
                  <c:v>31.54</c:v>
                </c:pt>
                <c:pt idx="21">
                  <c:v>32.979999999999997</c:v>
                </c:pt>
                <c:pt idx="22">
                  <c:v>33.15</c:v>
                </c:pt>
                <c:pt idx="23">
                  <c:v>36.17</c:v>
                </c:pt>
                <c:pt idx="24">
                  <c:v>35.08</c:v>
                </c:pt>
                <c:pt idx="25">
                  <c:v>35.74</c:v>
                </c:pt>
                <c:pt idx="26">
                  <c:v>35.880000000000003</c:v>
                </c:pt>
                <c:pt idx="27">
                  <c:v>34.24</c:v>
                </c:pt>
                <c:pt idx="28">
                  <c:v>34.94</c:v>
                </c:pt>
                <c:pt idx="29">
                  <c:v>34.22</c:v>
                </c:pt>
                <c:pt idx="30">
                  <c:v>36.26</c:v>
                </c:pt>
                <c:pt idx="31">
                  <c:v>39.22</c:v>
                </c:pt>
                <c:pt idx="32">
                  <c:v>37.28</c:v>
                </c:pt>
                <c:pt idx="33">
                  <c:v>37</c:v>
                </c:pt>
                <c:pt idx="34">
                  <c:v>36.450000000000003</c:v>
                </c:pt>
                <c:pt idx="35">
                  <c:v>37.36</c:v>
                </c:pt>
                <c:pt idx="36">
                  <c:v>35.630000000000003</c:v>
                </c:pt>
                <c:pt idx="37">
                  <c:v>35.31</c:v>
                </c:pt>
                <c:pt idx="38">
                  <c:v>34.85</c:v>
                </c:pt>
                <c:pt idx="39">
                  <c:v>35.79</c:v>
                </c:pt>
                <c:pt idx="40">
                  <c:v>36.36</c:v>
                </c:pt>
                <c:pt idx="41">
                  <c:v>35.64</c:v>
                </c:pt>
                <c:pt idx="42">
                  <c:v>37.21</c:v>
                </c:pt>
                <c:pt idx="43">
                  <c:v>38.21</c:v>
                </c:pt>
                <c:pt idx="44">
                  <c:v>36.72</c:v>
                </c:pt>
                <c:pt idx="45">
                  <c:v>35.869999999999997</c:v>
                </c:pt>
                <c:pt idx="46">
                  <c:v>39.67</c:v>
                </c:pt>
                <c:pt idx="47">
                  <c:v>39.590000000000003</c:v>
                </c:pt>
                <c:pt idx="48">
                  <c:v>39.83</c:v>
                </c:pt>
                <c:pt idx="49">
                  <c:v>37.479999999999997</c:v>
                </c:pt>
                <c:pt idx="50">
                  <c:v>41.37</c:v>
                </c:pt>
                <c:pt idx="51">
                  <c:v>39.130000000000003</c:v>
                </c:pt>
                <c:pt idx="52">
                  <c:v>38.72</c:v>
                </c:pt>
                <c:pt idx="53">
                  <c:v>39.1</c:v>
                </c:pt>
                <c:pt idx="54">
                  <c:v>41.01</c:v>
                </c:pt>
                <c:pt idx="55">
                  <c:v>49.7</c:v>
                </c:pt>
                <c:pt idx="56">
                  <c:v>53.75</c:v>
                </c:pt>
                <c:pt idx="57">
                  <c:v>54.37</c:v>
                </c:pt>
                <c:pt idx="58">
                  <c:v>53.73</c:v>
                </c:pt>
                <c:pt idx="59">
                  <c:v>54.64</c:v>
                </c:pt>
                <c:pt idx="60">
                  <c:v>56.46</c:v>
                </c:pt>
                <c:pt idx="61">
                  <c:v>57.73</c:v>
                </c:pt>
                <c:pt idx="62">
                  <c:v>52.8</c:v>
                </c:pt>
                <c:pt idx="63">
                  <c:v>55.36</c:v>
                </c:pt>
                <c:pt idx="64">
                  <c:v>50.33</c:v>
                </c:pt>
                <c:pt idx="65">
                  <c:v>51.73</c:v>
                </c:pt>
                <c:pt idx="66">
                  <c:v>51.76</c:v>
                </c:pt>
                <c:pt idx="67">
                  <c:v>53.15</c:v>
                </c:pt>
                <c:pt idx="68">
                  <c:v>54.39</c:v>
                </c:pt>
                <c:pt idx="69">
                  <c:v>53.73</c:v>
                </c:pt>
                <c:pt idx="70">
                  <c:v>51.71</c:v>
                </c:pt>
                <c:pt idx="71">
                  <c:v>56.14</c:v>
                </c:pt>
                <c:pt idx="72">
                  <c:v>56.15</c:v>
                </c:pt>
                <c:pt idx="73">
                  <c:v>60.94</c:v>
                </c:pt>
                <c:pt idx="74">
                  <c:v>62.55</c:v>
                </c:pt>
                <c:pt idx="75">
                  <c:v>62.92</c:v>
                </c:pt>
                <c:pt idx="76">
                  <c:v>62.9</c:v>
                </c:pt>
                <c:pt idx="77">
                  <c:v>62.76</c:v>
                </c:pt>
                <c:pt idx="78">
                  <c:v>63.46</c:v>
                </c:pt>
                <c:pt idx="79">
                  <c:v>66.7</c:v>
                </c:pt>
                <c:pt idx="80">
                  <c:v>64.260000000000005</c:v>
                </c:pt>
                <c:pt idx="81">
                  <c:v>62.56</c:v>
                </c:pt>
                <c:pt idx="82">
                  <c:v>61.89</c:v>
                </c:pt>
                <c:pt idx="83">
                  <c:v>63.48</c:v>
                </c:pt>
                <c:pt idx="84">
                  <c:v>62.45</c:v>
                </c:pt>
                <c:pt idx="85">
                  <c:v>64.010000000000005</c:v>
                </c:pt>
                <c:pt idx="86">
                  <c:v>64.63</c:v>
                </c:pt>
                <c:pt idx="87">
                  <c:v>63.88</c:v>
                </c:pt>
                <c:pt idx="88">
                  <c:v>64.400000000000006</c:v>
                </c:pt>
                <c:pt idx="89">
                  <c:v>61.48</c:v>
                </c:pt>
                <c:pt idx="90">
                  <c:v>60.2</c:v>
                </c:pt>
                <c:pt idx="91">
                  <c:v>58.14</c:v>
                </c:pt>
                <c:pt idx="92">
                  <c:v>55.42</c:v>
                </c:pt>
                <c:pt idx="93">
                  <c:v>62.83</c:v>
                </c:pt>
                <c:pt idx="94">
                  <c:v>63.94</c:v>
                </c:pt>
                <c:pt idx="95">
                  <c:v>62.59</c:v>
                </c:pt>
                <c:pt idx="96">
                  <c:v>64.81</c:v>
                </c:pt>
                <c:pt idx="97">
                  <c:v>65.95</c:v>
                </c:pt>
                <c:pt idx="98">
                  <c:v>63.63</c:v>
                </c:pt>
                <c:pt idx="99">
                  <c:v>67.06</c:v>
                </c:pt>
                <c:pt idx="100">
                  <c:v>62.94</c:v>
                </c:pt>
                <c:pt idx="101">
                  <c:v>63.46</c:v>
                </c:pt>
                <c:pt idx="102">
                  <c:v>63.86</c:v>
                </c:pt>
                <c:pt idx="103">
                  <c:v>66.52</c:v>
                </c:pt>
                <c:pt idx="104">
                  <c:v>67.33</c:v>
                </c:pt>
                <c:pt idx="105">
                  <c:v>70.38</c:v>
                </c:pt>
                <c:pt idx="106">
                  <c:v>68.31</c:v>
                </c:pt>
                <c:pt idx="107">
                  <c:v>69.8</c:v>
                </c:pt>
                <c:pt idx="108">
                  <c:v>73.47</c:v>
                </c:pt>
                <c:pt idx="109">
                  <c:v>69.81</c:v>
                </c:pt>
                <c:pt idx="110">
                  <c:v>77.010000000000005</c:v>
                </c:pt>
                <c:pt idx="111">
                  <c:v>79.540000000000006</c:v>
                </c:pt>
                <c:pt idx="112">
                  <c:v>71.459999999999994</c:v>
                </c:pt>
                <c:pt idx="113">
                  <c:v>71.75</c:v>
                </c:pt>
                <c:pt idx="114">
                  <c:v>70.89</c:v>
                </c:pt>
                <c:pt idx="115">
                  <c:v>68.88</c:v>
                </c:pt>
                <c:pt idx="116">
                  <c:v>68.81</c:v>
                </c:pt>
                <c:pt idx="117">
                  <c:v>69.66</c:v>
                </c:pt>
                <c:pt idx="118">
                  <c:v>71.47</c:v>
                </c:pt>
                <c:pt idx="119">
                  <c:v>60.04</c:v>
                </c:pt>
                <c:pt idx="120">
                  <c:v>57</c:v>
                </c:pt>
                <c:pt idx="121">
                  <c:v>55.3</c:v>
                </c:pt>
                <c:pt idx="122">
                  <c:v>58.98</c:v>
                </c:pt>
                <c:pt idx="123">
                  <c:v>55.77</c:v>
                </c:pt>
                <c:pt idx="124">
                  <c:v>60.4</c:v>
                </c:pt>
                <c:pt idx="125">
                  <c:v>63.31</c:v>
                </c:pt>
                <c:pt idx="126">
                  <c:v>74.66</c:v>
                </c:pt>
                <c:pt idx="127">
                  <c:v>74.510000000000005</c:v>
                </c:pt>
                <c:pt idx="128">
                  <c:v>69.540000000000006</c:v>
                </c:pt>
                <c:pt idx="129">
                  <c:v>78.2</c:v>
                </c:pt>
                <c:pt idx="130">
                  <c:v>83.53</c:v>
                </c:pt>
                <c:pt idx="131">
                  <c:v>84.3</c:v>
                </c:pt>
                <c:pt idx="132">
                  <c:v>85.79</c:v>
                </c:pt>
                <c:pt idx="133">
                  <c:v>84.72</c:v>
                </c:pt>
                <c:pt idx="134">
                  <c:v>86.23</c:v>
                </c:pt>
                <c:pt idx="135">
                  <c:v>80.8</c:v>
                </c:pt>
                <c:pt idx="136">
                  <c:v>77.959999999999994</c:v>
                </c:pt>
                <c:pt idx="137">
                  <c:v>83.63</c:v>
                </c:pt>
                <c:pt idx="138">
                  <c:v>81.66</c:v>
                </c:pt>
                <c:pt idx="139">
                  <c:v>82.43</c:v>
                </c:pt>
                <c:pt idx="140">
                  <c:v>88.68</c:v>
                </c:pt>
                <c:pt idx="141">
                  <c:v>88.28</c:v>
                </c:pt>
                <c:pt idx="142">
                  <c:v>84.46</c:v>
                </c:pt>
                <c:pt idx="143">
                  <c:v>106.22</c:v>
                </c:pt>
                <c:pt idx="144">
                  <c:v>113.65</c:v>
                </c:pt>
                <c:pt idx="145">
                  <c:v>95.04</c:v>
                </c:pt>
                <c:pt idx="146">
                  <c:v>77.650000000000006</c:v>
                </c:pt>
                <c:pt idx="147">
                  <c:v>77.39</c:v>
                </c:pt>
                <c:pt idx="148">
                  <c:v>78.69</c:v>
                </c:pt>
                <c:pt idx="149">
                  <c:v>75.97</c:v>
                </c:pt>
                <c:pt idx="150">
                  <c:v>71.2</c:v>
                </c:pt>
                <c:pt idx="151">
                  <c:v>73.63</c:v>
                </c:pt>
                <c:pt idx="152">
                  <c:v>73.959999999999994</c:v>
                </c:pt>
                <c:pt idx="153">
                  <c:v>75.19</c:v>
                </c:pt>
                <c:pt idx="154">
                  <c:v>72.290000000000006</c:v>
                </c:pt>
                <c:pt idx="155">
                  <c:v>76.53</c:v>
                </c:pt>
                <c:pt idx="156">
                  <c:v>74.34</c:v>
                </c:pt>
                <c:pt idx="157">
                  <c:v>79.75</c:v>
                </c:pt>
                <c:pt idx="158">
                  <c:v>77.98</c:v>
                </c:pt>
                <c:pt idx="159">
                  <c:v>78.45</c:v>
                </c:pt>
                <c:pt idx="160">
                  <c:v>73.06</c:v>
                </c:pt>
                <c:pt idx="161">
                  <c:v>70.48</c:v>
                </c:pt>
                <c:pt idx="162">
                  <c:v>67.47</c:v>
                </c:pt>
                <c:pt idx="163">
                  <c:v>69.45</c:v>
                </c:pt>
                <c:pt idx="164">
                  <c:v>73.260000000000005</c:v>
                </c:pt>
                <c:pt idx="165">
                  <c:v>73.06</c:v>
                </c:pt>
                <c:pt idx="166">
                  <c:v>72.400000000000006</c:v>
                </c:pt>
                <c:pt idx="167">
                  <c:v>74.47</c:v>
                </c:pt>
                <c:pt idx="168">
                  <c:v>68.319999999999993</c:v>
                </c:pt>
                <c:pt idx="169">
                  <c:v>71.760000000000005</c:v>
                </c:pt>
                <c:pt idx="170">
                  <c:v>66.69</c:v>
                </c:pt>
                <c:pt idx="171">
                  <c:v>67.540000000000006</c:v>
                </c:pt>
                <c:pt idx="172">
                  <c:v>64.48</c:v>
                </c:pt>
                <c:pt idx="173">
                  <c:v>69.239999999999995</c:v>
                </c:pt>
                <c:pt idx="174">
                  <c:v>64.2</c:v>
                </c:pt>
                <c:pt idx="175">
                  <c:v>57.88</c:v>
                </c:pt>
                <c:pt idx="176">
                  <c:v>56.49</c:v>
                </c:pt>
                <c:pt idx="177">
                  <c:v>54.29</c:v>
                </c:pt>
                <c:pt idx="178">
                  <c:v>54.43</c:v>
                </c:pt>
                <c:pt idx="179">
                  <c:v>53.85</c:v>
                </c:pt>
                <c:pt idx="180">
                  <c:v>52.02</c:v>
                </c:pt>
                <c:pt idx="181">
                  <c:v>51.32</c:v>
                </c:pt>
                <c:pt idx="182">
                  <c:v>49.37</c:v>
                </c:pt>
                <c:pt idx="183">
                  <c:v>49.57</c:v>
                </c:pt>
                <c:pt idx="184">
                  <c:v>49.54</c:v>
                </c:pt>
                <c:pt idx="185">
                  <c:v>49.02</c:v>
                </c:pt>
                <c:pt idx="186">
                  <c:v>49.01</c:v>
                </c:pt>
                <c:pt idx="187">
                  <c:v>49.58</c:v>
                </c:pt>
                <c:pt idx="188">
                  <c:v>47.37</c:v>
                </c:pt>
                <c:pt idx="189">
                  <c:v>45.58</c:v>
                </c:pt>
                <c:pt idx="190">
                  <c:v>46.24</c:v>
                </c:pt>
                <c:pt idx="191">
                  <c:v>41.23</c:v>
                </c:pt>
                <c:pt idx="192">
                  <c:v>44.71</c:v>
                </c:pt>
                <c:pt idx="193">
                  <c:v>46.83</c:v>
                </c:pt>
                <c:pt idx="194">
                  <c:v>45.62</c:v>
                </c:pt>
                <c:pt idx="195">
                  <c:v>45.82</c:v>
                </c:pt>
                <c:pt idx="196">
                  <c:v>47.32</c:v>
                </c:pt>
                <c:pt idx="197">
                  <c:v>49.68</c:v>
                </c:pt>
                <c:pt idx="198">
                  <c:v>50.98</c:v>
                </c:pt>
                <c:pt idx="199">
                  <c:v>52.48</c:v>
                </c:pt>
                <c:pt idx="200">
                  <c:v>55.12</c:v>
                </c:pt>
                <c:pt idx="201">
                  <c:v>54.25</c:v>
                </c:pt>
                <c:pt idx="202">
                  <c:v>55.26</c:v>
                </c:pt>
                <c:pt idx="203">
                  <c:v>53.85</c:v>
                </c:pt>
                <c:pt idx="204">
                  <c:v>56.42</c:v>
                </c:pt>
                <c:pt idx="205">
                  <c:v>57.01</c:v>
                </c:pt>
                <c:pt idx="206">
                  <c:v>56.06</c:v>
                </c:pt>
                <c:pt idx="207">
                  <c:v>58.72</c:v>
                </c:pt>
                <c:pt idx="208">
                  <c:v>58.92</c:v>
                </c:pt>
                <c:pt idx="209">
                  <c:v>57.19</c:v>
                </c:pt>
                <c:pt idx="210">
                  <c:v>56.65</c:v>
                </c:pt>
                <c:pt idx="211">
                  <c:v>60.4</c:v>
                </c:pt>
                <c:pt idx="212">
                  <c:v>64.59</c:v>
                </c:pt>
                <c:pt idx="213">
                  <c:v>56.44</c:v>
                </c:pt>
                <c:pt idx="214">
                  <c:v>56.2</c:v>
                </c:pt>
                <c:pt idx="215">
                  <c:v>53.04</c:v>
                </c:pt>
                <c:pt idx="216">
                  <c:v>52.03</c:v>
                </c:pt>
                <c:pt idx="217">
                  <c:v>57.1</c:v>
                </c:pt>
                <c:pt idx="218">
                  <c:v>58.7</c:v>
                </c:pt>
                <c:pt idx="219">
                  <c:v>49.45</c:v>
                </c:pt>
                <c:pt idx="220">
                  <c:v>46.18</c:v>
                </c:pt>
                <c:pt idx="221">
                  <c:v>63.2</c:v>
                </c:pt>
                <c:pt idx="222">
                  <c:v>64.72</c:v>
                </c:pt>
                <c:pt idx="223">
                  <c:v>65.69</c:v>
                </c:pt>
                <c:pt idx="224">
                  <c:v>68.930000000000007</c:v>
                </c:pt>
                <c:pt idx="225">
                  <c:v>69.72</c:v>
                </c:pt>
                <c:pt idx="226">
                  <c:v>72.56</c:v>
                </c:pt>
                <c:pt idx="227">
                  <c:v>74.89</c:v>
                </c:pt>
                <c:pt idx="228">
                  <c:v>73.13</c:v>
                </c:pt>
                <c:pt idx="229">
                  <c:v>69.680000000000007</c:v>
                </c:pt>
                <c:pt idx="230">
                  <c:v>70.8</c:v>
                </c:pt>
                <c:pt idx="231">
                  <c:v>73.31</c:v>
                </c:pt>
                <c:pt idx="232">
                  <c:v>77.760000000000005</c:v>
                </c:pt>
                <c:pt idx="233">
                  <c:v>76.02</c:v>
                </c:pt>
                <c:pt idx="234">
                  <c:v>81.99</c:v>
                </c:pt>
                <c:pt idx="235">
                  <c:v>86.99</c:v>
                </c:pt>
                <c:pt idx="236">
                  <c:v>88.16</c:v>
                </c:pt>
                <c:pt idx="237">
                  <c:v>88</c:v>
                </c:pt>
                <c:pt idx="238">
                  <c:v>89.48</c:v>
                </c:pt>
                <c:pt idx="239">
                  <c:v>70.09</c:v>
                </c:pt>
                <c:pt idx="240">
                  <c:v>69.180000000000007</c:v>
                </c:pt>
                <c:pt idx="241">
                  <c:v>72.52</c:v>
                </c:pt>
                <c:pt idx="242">
                  <c:v>68.34</c:v>
                </c:pt>
                <c:pt idx="243">
                  <c:v>68.239999999999995</c:v>
                </c:pt>
                <c:pt idx="244">
                  <c:v>66.75</c:v>
                </c:pt>
                <c:pt idx="245">
                  <c:v>71.430000000000007</c:v>
                </c:pt>
                <c:pt idx="246">
                  <c:v>74.5</c:v>
                </c:pt>
                <c:pt idx="247">
                  <c:v>72.239999999999995</c:v>
                </c:pt>
                <c:pt idx="248">
                  <c:v>74.75</c:v>
                </c:pt>
                <c:pt idx="249">
                  <c:v>64.88</c:v>
                </c:pt>
                <c:pt idx="250">
                  <c:v>72.209999999999994</c:v>
                </c:pt>
                <c:pt idx="251">
                  <c:v>76.84</c:v>
                </c:pt>
                <c:pt idx="252">
                  <c:v>88.66</c:v>
                </c:pt>
                <c:pt idx="253">
                  <c:v>65.28</c:v>
                </c:pt>
                <c:pt idx="254">
                  <c:v>100.11</c:v>
                </c:pt>
                <c:pt idx="255">
                  <c:v>99.46</c:v>
                </c:pt>
                <c:pt idx="256">
                  <c:v>107.81</c:v>
                </c:pt>
                <c:pt idx="257">
                  <c:v>110.48</c:v>
                </c:pt>
                <c:pt idx="258">
                  <c:v>120.65</c:v>
                </c:pt>
                <c:pt idx="259">
                  <c:v>117.82</c:v>
                </c:pt>
                <c:pt idx="260">
                  <c:v>127.04</c:v>
                </c:pt>
                <c:pt idx="261">
                  <c:v>142.94999999999999</c:v>
                </c:pt>
                <c:pt idx="262">
                  <c:v>135.71</c:v>
                </c:pt>
                <c:pt idx="263">
                  <c:v>146.5</c:v>
                </c:pt>
                <c:pt idx="264">
                  <c:v>148.1</c:v>
                </c:pt>
                <c:pt idx="265">
                  <c:v>150.33000000000001</c:v>
                </c:pt>
                <c:pt idx="266">
                  <c:v>153.59</c:v>
                </c:pt>
                <c:pt idx="267">
                  <c:v>152.53</c:v>
                </c:pt>
                <c:pt idx="268">
                  <c:v>140.80000000000001</c:v>
                </c:pt>
                <c:pt idx="269">
                  <c:v>160.24</c:v>
                </c:pt>
                <c:pt idx="270">
                  <c:v>162.46</c:v>
                </c:pt>
                <c:pt idx="271">
                  <c:v>164.24</c:v>
                </c:pt>
                <c:pt idx="272">
                  <c:v>163.92</c:v>
                </c:pt>
                <c:pt idx="273">
                  <c:v>149.76</c:v>
                </c:pt>
                <c:pt idx="274">
                  <c:v>150.93</c:v>
                </c:pt>
                <c:pt idx="275">
                  <c:v>152.46</c:v>
                </c:pt>
                <c:pt idx="276">
                  <c:v>154.19999999999999</c:v>
                </c:pt>
                <c:pt idx="277">
                  <c:v>134.04</c:v>
                </c:pt>
                <c:pt idx="278">
                  <c:v>133.55350000000001</c:v>
                </c:pt>
                <c:pt idx="279">
                  <c:v>138.57990000000001</c:v>
                </c:pt>
                <c:pt idx="280">
                  <c:v>145.91399999999999</c:v>
                </c:pt>
                <c:pt idx="281">
                  <c:v>147.7287</c:v>
                </c:pt>
                <c:pt idx="282">
                  <c:v>153.90170000000001</c:v>
                </c:pt>
                <c:pt idx="283">
                  <c:v>154.8014</c:v>
                </c:pt>
                <c:pt idx="284">
                  <c:v>156.3278</c:v>
                </c:pt>
                <c:pt idx="285">
                  <c:v>180.9288</c:v>
                </c:pt>
                <c:pt idx="286">
                  <c:v>182.6147</c:v>
                </c:pt>
                <c:pt idx="287">
                  <c:v>170.87530000000001</c:v>
                </c:pt>
                <c:pt idx="288">
                  <c:v>168.3169</c:v>
                </c:pt>
                <c:pt idx="289">
                  <c:v>164.15600000000001</c:v>
                </c:pt>
                <c:pt idx="290">
                  <c:v>167.86060000000001</c:v>
                </c:pt>
                <c:pt idx="291">
                  <c:v>179.09790000000001</c:v>
                </c:pt>
                <c:pt idx="292">
                  <c:v>174.56100000000001</c:v>
                </c:pt>
                <c:pt idx="293">
                  <c:v>172.1311</c:v>
                </c:pt>
                <c:pt idx="294">
                  <c:v>154</c:v>
                </c:pt>
                <c:pt idx="295">
                  <c:v>156.27770000000001</c:v>
                </c:pt>
                <c:pt idx="296">
                  <c:v>165.54859999999999</c:v>
                </c:pt>
                <c:pt idx="297">
                  <c:v>176.46860000000001</c:v>
                </c:pt>
                <c:pt idx="298">
                  <c:v>182.74379999999999</c:v>
                </c:pt>
                <c:pt idx="299">
                  <c:v>178.1755</c:v>
                </c:pt>
                <c:pt idx="300">
                  <c:v>171.93719999999999</c:v>
                </c:pt>
                <c:pt idx="301">
                  <c:v>185.6217</c:v>
                </c:pt>
                <c:pt idx="302">
                  <c:v>190.85560000000001</c:v>
                </c:pt>
                <c:pt idx="303">
                  <c:v>149.6027</c:v>
                </c:pt>
                <c:pt idx="304">
                  <c:v>127.3</c:v>
                </c:pt>
                <c:pt idx="305">
                  <c:v>125.2637</c:v>
                </c:pt>
                <c:pt idx="306">
                  <c:v>132.44720000000001</c:v>
                </c:pt>
                <c:pt idx="307">
                  <c:v>124.514</c:v>
                </c:pt>
                <c:pt idx="308">
                  <c:v>91.036299999999997</c:v>
                </c:pt>
                <c:pt idx="309">
                  <c:v>85.882900000000006</c:v>
                </c:pt>
                <c:pt idx="310">
                  <c:v>82.512</c:v>
                </c:pt>
                <c:pt idx="311">
                  <c:v>76.328100000000006</c:v>
                </c:pt>
                <c:pt idx="312">
                  <c:v>80.650999999999996</c:v>
                </c:pt>
                <c:pt idx="313">
                  <c:v>82.028700000000001</c:v>
                </c:pt>
                <c:pt idx="314">
                  <c:v>82.957499999999996</c:v>
                </c:pt>
                <c:pt idx="315">
                  <c:v>79.490200000000002</c:v>
                </c:pt>
                <c:pt idx="316">
                  <c:v>88.449799999999996</c:v>
                </c:pt>
                <c:pt idx="317">
                  <c:v>63.606200000000001</c:v>
                </c:pt>
                <c:pt idx="318">
                  <c:v>53.358400000000003</c:v>
                </c:pt>
                <c:pt idx="319">
                  <c:v>53.8001</c:v>
                </c:pt>
                <c:pt idx="320">
                  <c:v>49.4071</c:v>
                </c:pt>
                <c:pt idx="321">
                  <c:v>44.048299999999998</c:v>
                </c:pt>
                <c:pt idx="322">
                  <c:v>42.222499999999997</c:v>
                </c:pt>
                <c:pt idx="323">
                  <c:v>42.454700000000003</c:v>
                </c:pt>
                <c:pt idx="324">
                  <c:v>41.929200000000002</c:v>
                </c:pt>
                <c:pt idx="325">
                  <c:v>41.534999999999997</c:v>
                </c:pt>
                <c:pt idx="326">
                  <c:v>41.394300000000001</c:v>
                </c:pt>
                <c:pt idx="327">
                  <c:v>40.393700000000003</c:v>
                </c:pt>
                <c:pt idx="328">
                  <c:v>40.466700000000003</c:v>
                </c:pt>
                <c:pt idx="329">
                  <c:v>40.754199999999997</c:v>
                </c:pt>
                <c:pt idx="330">
                  <c:v>42.068100000000001</c:v>
                </c:pt>
                <c:pt idx="331">
                  <c:v>38.208199999999998</c:v>
                </c:pt>
                <c:pt idx="332">
                  <c:v>38.564900000000002</c:v>
                </c:pt>
                <c:pt idx="333">
                  <c:v>35.965200000000003</c:v>
                </c:pt>
                <c:pt idx="334">
                  <c:v>37.876300000000001</c:v>
                </c:pt>
                <c:pt idx="335">
                  <c:v>35.127499999999998</c:v>
                </c:pt>
                <c:pt idx="336">
                  <c:v>34.981299999999997</c:v>
                </c:pt>
                <c:pt idx="337">
                  <c:v>36.581699999999998</c:v>
                </c:pt>
                <c:pt idx="338">
                  <c:v>35.465800000000002</c:v>
                </c:pt>
                <c:pt idx="339">
                  <c:v>39.392099999999999</c:v>
                </c:pt>
                <c:pt idx="340">
                  <c:v>44.646799999999999</c:v>
                </c:pt>
                <c:pt idx="341">
                  <c:v>43.000700000000002</c:v>
                </c:pt>
                <c:pt idx="342">
                  <c:v>43.137799999999999</c:v>
                </c:pt>
                <c:pt idx="343">
                  <c:v>43.428100000000001</c:v>
                </c:pt>
                <c:pt idx="344">
                  <c:v>43.204999999999998</c:v>
                </c:pt>
                <c:pt idx="345">
                  <c:v>41.874000000000002</c:v>
                </c:pt>
                <c:pt idx="346">
                  <c:v>42.9236</c:v>
                </c:pt>
                <c:pt idx="347">
                  <c:v>47.125</c:v>
                </c:pt>
                <c:pt idx="348">
                  <c:v>41.533999999999999</c:v>
                </c:pt>
                <c:pt idx="349">
                  <c:v>42.65</c:v>
                </c:pt>
                <c:pt idx="350">
                  <c:v>40.319800000000001</c:v>
                </c:pt>
                <c:pt idx="351">
                  <c:v>39.761000000000003</c:v>
                </c:pt>
                <c:pt idx="352">
                  <c:v>44.129800000000003</c:v>
                </c:pt>
                <c:pt idx="353">
                  <c:v>27.660799999999998</c:v>
                </c:pt>
                <c:pt idx="354">
                  <c:v>24.047499999999999</c:v>
                </c:pt>
                <c:pt idx="355">
                  <c:v>24.243400000000001</c:v>
                </c:pt>
                <c:pt idx="356">
                  <c:v>24.482500000000002</c:v>
                </c:pt>
                <c:pt idx="357">
                  <c:v>22.8902</c:v>
                </c:pt>
                <c:pt idx="358">
                  <c:v>23.053699999999999</c:v>
                </c:pt>
                <c:pt idx="359">
                  <c:v>22.482900000000001</c:v>
                </c:pt>
                <c:pt idx="360">
                  <c:v>22.620999999999999</c:v>
                </c:pt>
                <c:pt idx="361">
                  <c:v>22.248799999999999</c:v>
                </c:pt>
                <c:pt idx="362">
                  <c:v>22.035399999999999</c:v>
                </c:pt>
                <c:pt idx="363">
                  <c:v>22.308599999999998</c:v>
                </c:pt>
                <c:pt idx="364">
                  <c:v>21.898800000000001</c:v>
                </c:pt>
                <c:pt idx="365">
                  <c:v>21.42</c:v>
                </c:pt>
                <c:pt idx="366">
                  <c:v>22.1876</c:v>
                </c:pt>
                <c:pt idx="367">
                  <c:v>22.427900000000001</c:v>
                </c:pt>
                <c:pt idx="368">
                  <c:v>22.7027</c:v>
                </c:pt>
                <c:pt idx="369">
                  <c:v>22.697900000000001</c:v>
                </c:pt>
                <c:pt idx="370">
                  <c:v>22.284500000000001</c:v>
                </c:pt>
                <c:pt idx="371">
                  <c:v>21.325099999999999</c:v>
                </c:pt>
                <c:pt idx="372">
                  <c:v>22.338999999999999</c:v>
                </c:pt>
                <c:pt idx="373">
                  <c:v>22.657800000000002</c:v>
                </c:pt>
                <c:pt idx="374">
                  <c:v>23.7605</c:v>
                </c:pt>
                <c:pt idx="375">
                  <c:v>24.344200000000001</c:v>
                </c:pt>
                <c:pt idx="376">
                  <c:v>22.843299999999999</c:v>
                </c:pt>
                <c:pt idx="377">
                  <c:v>21.543500000000002</c:v>
                </c:pt>
                <c:pt idx="378">
                  <c:v>21.573799999999999</c:v>
                </c:pt>
                <c:pt idx="379">
                  <c:v>21.713100000000001</c:v>
                </c:pt>
                <c:pt idx="380">
                  <c:v>21.0413</c:v>
                </c:pt>
                <c:pt idx="381">
                  <c:v>21.639800000000001</c:v>
                </c:pt>
                <c:pt idx="382">
                  <c:v>23.4251</c:v>
                </c:pt>
                <c:pt idx="383">
                  <c:v>22.007100000000001</c:v>
                </c:pt>
                <c:pt idx="384">
                  <c:v>21.5989</c:v>
                </c:pt>
                <c:pt idx="385">
                  <c:v>22.059799999999999</c:v>
                </c:pt>
                <c:pt idx="386">
                  <c:v>21.9407</c:v>
                </c:pt>
                <c:pt idx="387">
                  <c:v>21.601900000000001</c:v>
                </c:pt>
                <c:pt idx="388">
                  <c:v>21.405899999999999</c:v>
                </c:pt>
                <c:pt idx="389">
                  <c:v>21.4253</c:v>
                </c:pt>
                <c:pt idx="390">
                  <c:v>21.776599999999998</c:v>
                </c:pt>
                <c:pt idx="391">
                  <c:v>22.216899999999999</c:v>
                </c:pt>
                <c:pt idx="392">
                  <c:v>24.328399999999998</c:v>
                </c:pt>
                <c:pt idx="393">
                  <c:v>21.517299999999999</c:v>
                </c:pt>
                <c:pt idx="394">
                  <c:v>20.4405</c:v>
                </c:pt>
                <c:pt idx="395">
                  <c:v>21.9937</c:v>
                </c:pt>
                <c:pt idx="396">
                  <c:v>22.236000000000001</c:v>
                </c:pt>
                <c:pt idx="397">
                  <c:v>23.565200000000001</c:v>
                </c:pt>
                <c:pt idx="398">
                  <c:v>24.349</c:v>
                </c:pt>
                <c:pt idx="399">
                  <c:v>23.699100000000001</c:v>
                </c:pt>
                <c:pt idx="400">
                  <c:v>22.335799999999999</c:v>
                </c:pt>
                <c:pt idx="401">
                  <c:v>24.621300000000002</c:v>
                </c:pt>
                <c:pt idx="402">
                  <c:v>24.996300000000002</c:v>
                </c:pt>
                <c:pt idx="403">
                  <c:v>28.389099999999999</c:v>
                </c:pt>
                <c:pt idx="404">
                  <c:v>28.200800000000001</c:v>
                </c:pt>
                <c:pt idx="405">
                  <c:v>28.457699999999999</c:v>
                </c:pt>
                <c:pt idx="406">
                  <c:v>28.4405</c:v>
                </c:pt>
                <c:pt idx="407">
                  <c:v>28.416</c:v>
                </c:pt>
                <c:pt idx="408">
                  <c:v>29.123699999999999</c:v>
                </c:pt>
                <c:pt idx="409">
                  <c:v>29.334700000000002</c:v>
                </c:pt>
                <c:pt idx="410">
                  <c:v>29.99</c:v>
                </c:pt>
                <c:pt idx="411">
                  <c:v>29.915700000000001</c:v>
                </c:pt>
                <c:pt idx="412">
                  <c:v>29.8306</c:v>
                </c:pt>
                <c:pt idx="413">
                  <c:v>30.538</c:v>
                </c:pt>
                <c:pt idx="414">
                  <c:v>30.5</c:v>
                </c:pt>
                <c:pt idx="415">
                  <c:v>29.937000000000001</c:v>
                </c:pt>
                <c:pt idx="416">
                  <c:v>30.472999999999999</c:v>
                </c:pt>
                <c:pt idx="417">
                  <c:v>29.3247</c:v>
                </c:pt>
                <c:pt idx="418">
                  <c:v>29.857900000000001</c:v>
                </c:pt>
                <c:pt idx="419">
                  <c:v>29.008500000000002</c:v>
                </c:pt>
                <c:pt idx="420">
                  <c:v>30.424600000000002</c:v>
                </c:pt>
                <c:pt idx="421">
                  <c:v>30.575399999999998</c:v>
                </c:pt>
                <c:pt idx="422">
                  <c:v>30.323</c:v>
                </c:pt>
                <c:pt idx="423">
                  <c:v>30.3751</c:v>
                </c:pt>
                <c:pt idx="424">
                  <c:v>30.001799999999999</c:v>
                </c:pt>
                <c:pt idx="425">
                  <c:v>29.943000000000001</c:v>
                </c:pt>
                <c:pt idx="426">
                  <c:v>29.938700000000001</c:v>
                </c:pt>
                <c:pt idx="427">
                  <c:v>29.883500000000002</c:v>
                </c:pt>
                <c:pt idx="428">
                  <c:v>31.012799999999999</c:v>
                </c:pt>
                <c:pt idx="429">
                  <c:v>29.775700000000001</c:v>
                </c:pt>
                <c:pt idx="430">
                  <c:v>29.183199999999999</c:v>
                </c:pt>
                <c:pt idx="431">
                  <c:v>28.938199999999998</c:v>
                </c:pt>
                <c:pt idx="432">
                  <c:v>29.936900000000001</c:v>
                </c:pt>
                <c:pt idx="433">
                  <c:v>29.051600000000001</c:v>
                </c:pt>
                <c:pt idx="434">
                  <c:v>28.832599999999999</c:v>
                </c:pt>
                <c:pt idx="435">
                  <c:v>28.820599999999999</c:v>
                </c:pt>
                <c:pt idx="436">
                  <c:v>29.111000000000001</c:v>
                </c:pt>
                <c:pt idx="437">
                  <c:v>27.448</c:v>
                </c:pt>
                <c:pt idx="438">
                  <c:v>27.730599999999999</c:v>
                </c:pt>
                <c:pt idx="439">
                  <c:v>29.275300000000001</c:v>
                </c:pt>
                <c:pt idx="440">
                  <c:v>29.155000000000001</c:v>
                </c:pt>
                <c:pt idx="441">
                  <c:v>29.495200000000001</c:v>
                </c:pt>
                <c:pt idx="442">
                  <c:v>30.093900000000001</c:v>
                </c:pt>
                <c:pt idx="443">
                  <c:v>30.3614</c:v>
                </c:pt>
                <c:pt idx="444">
                  <c:v>31.218800000000002</c:v>
                </c:pt>
                <c:pt idx="445">
                  <c:v>30.758800000000001</c:v>
                </c:pt>
                <c:pt idx="446">
                  <c:v>29.935600000000001</c:v>
                </c:pt>
                <c:pt idx="447">
                  <c:v>31.680099999999999</c:v>
                </c:pt>
                <c:pt idx="448">
                  <c:v>29.354399999999998</c:v>
                </c:pt>
                <c:pt idx="449">
                  <c:v>28.896699999999999</c:v>
                </c:pt>
                <c:pt idx="450">
                  <c:v>28.836400000000001</c:v>
                </c:pt>
                <c:pt idx="451">
                  <c:v>29.6401</c:v>
                </c:pt>
                <c:pt idx="452">
                  <c:v>31.607600000000001</c:v>
                </c:pt>
                <c:pt idx="453">
                  <c:v>31.284800000000001</c:v>
                </c:pt>
                <c:pt idx="454">
                  <c:v>29.217500000000001</c:v>
                </c:pt>
                <c:pt idx="455">
                  <c:v>32.520000000000003</c:v>
                </c:pt>
                <c:pt idx="456">
                  <c:v>33.616100000000003</c:v>
                </c:pt>
                <c:pt idx="457">
                  <c:v>35.1693</c:v>
                </c:pt>
                <c:pt idx="458">
                  <c:v>33.788699999999999</c:v>
                </c:pt>
                <c:pt idx="459">
                  <c:v>38.6663</c:v>
                </c:pt>
                <c:pt idx="460">
                  <c:v>25.807600000000001</c:v>
                </c:pt>
                <c:pt idx="461">
                  <c:v>23.877099999999999</c:v>
                </c:pt>
                <c:pt idx="462">
                  <c:v>23.739000000000001</c:v>
                </c:pt>
                <c:pt idx="463">
                  <c:v>26.502800000000001</c:v>
                </c:pt>
                <c:pt idx="464">
                  <c:v>31.175000000000001</c:v>
                </c:pt>
                <c:pt idx="465">
                  <c:v>33.975499999999997</c:v>
                </c:pt>
                <c:pt idx="466">
                  <c:v>32.404899999999998</c:v>
                </c:pt>
                <c:pt idx="467">
                  <c:v>42.24</c:v>
                </c:pt>
                <c:pt idx="468">
                  <c:v>44.347999999999999</c:v>
                </c:pt>
                <c:pt idx="469">
                  <c:v>62.541800000000002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5-449D-ACEF-EE25CB3B99B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-0.20611737859695797</c:v>
                </c:pt>
                <c:pt idx="1">
                  <c:v>-0.20336067638157335</c:v>
                </c:pt>
                <c:pt idx="2">
                  <c:v>-0.20573043511737579</c:v>
                </c:pt>
                <c:pt idx="3">
                  <c:v>-0.20652620354832818</c:v>
                </c:pt>
                <c:pt idx="4">
                  <c:v>-0.22186673864385065</c:v>
                </c:pt>
                <c:pt idx="5">
                  <c:v>-0.22996333920144224</c:v>
                </c:pt>
                <c:pt idx="6">
                  <c:v>-0.2019890366744001</c:v>
                </c:pt>
                <c:pt idx="7">
                  <c:v>-0.16184767610209236</c:v>
                </c:pt>
                <c:pt idx="8">
                  <c:v>-0.14550992540875901</c:v>
                </c:pt>
                <c:pt idx="9">
                  <c:v>-0.13632760886209233</c:v>
                </c:pt>
                <c:pt idx="10">
                  <c:v>-0.13565554350879891</c:v>
                </c:pt>
                <c:pt idx="11">
                  <c:v>-0.12566950719952052</c:v>
                </c:pt>
                <c:pt idx="12">
                  <c:v>-0.12186443480540288</c:v>
                </c:pt>
                <c:pt idx="13">
                  <c:v>-0.11370917343486027</c:v>
                </c:pt>
                <c:pt idx="14">
                  <c:v>-0.13746902339702236</c:v>
                </c:pt>
                <c:pt idx="15">
                  <c:v>-0.11241882136584831</c:v>
                </c:pt>
                <c:pt idx="16">
                  <c:v>-0.13624728504468647</c:v>
                </c:pt>
                <c:pt idx="17">
                  <c:v>-0.14705748572961788</c:v>
                </c:pt>
                <c:pt idx="18">
                  <c:v>-0.14171197719361789</c:v>
                </c:pt>
                <c:pt idx="19">
                  <c:v>-0.14274325620460693</c:v>
                </c:pt>
                <c:pt idx="20">
                  <c:v>-0.12831718860219651</c:v>
                </c:pt>
                <c:pt idx="21">
                  <c:v>-0.13254835481674201</c:v>
                </c:pt>
                <c:pt idx="22">
                  <c:v>-0.14329090930639704</c:v>
                </c:pt>
                <c:pt idx="23">
                  <c:v>-0.11664432803723597</c:v>
                </c:pt>
                <c:pt idx="24">
                  <c:v>-0.11301355493041187</c:v>
                </c:pt>
                <c:pt idx="25">
                  <c:v>-0.11344349009300181</c:v>
                </c:pt>
                <c:pt idx="26">
                  <c:v>-0.1102129270176172</c:v>
                </c:pt>
                <c:pt idx="27">
                  <c:v>-0.12434750652104579</c:v>
                </c:pt>
                <c:pt idx="28">
                  <c:v>-0.11387845320266021</c:v>
                </c:pt>
                <c:pt idx="29">
                  <c:v>-0.12342450390659719</c:v>
                </c:pt>
                <c:pt idx="30">
                  <c:v>-9.676945983718134E-2</c:v>
                </c:pt>
                <c:pt idx="31">
                  <c:v>-5.0347478420722465E-2</c:v>
                </c:pt>
                <c:pt idx="32">
                  <c:v>-5.3268524440905927E-2</c:v>
                </c:pt>
                <c:pt idx="33">
                  <c:v>-6.8206120282001806E-2</c:v>
                </c:pt>
                <c:pt idx="34">
                  <c:v>-7.6555123374859022E-2</c:v>
                </c:pt>
                <c:pt idx="35">
                  <c:v>-6.4057787885203915E-2</c:v>
                </c:pt>
                <c:pt idx="36">
                  <c:v>-7.9966141542346741E-2</c:v>
                </c:pt>
                <c:pt idx="37">
                  <c:v>-7.8467719834703437E-2</c:v>
                </c:pt>
                <c:pt idx="38">
                  <c:v>-7.972799488655527E-2</c:v>
                </c:pt>
                <c:pt idx="39">
                  <c:v>-7.8816034213095645E-2</c:v>
                </c:pt>
                <c:pt idx="40">
                  <c:v>-6.6227859316188492E-2</c:v>
                </c:pt>
                <c:pt idx="41">
                  <c:v>-7.4447288275011986E-2</c:v>
                </c:pt>
                <c:pt idx="42">
                  <c:v>-3.7486362019274334E-2</c:v>
                </c:pt>
                <c:pt idx="43">
                  <c:v>-2.4161268734464163E-2</c:v>
                </c:pt>
                <c:pt idx="44">
                  <c:v>-4.4157594753613139E-2</c:v>
                </c:pt>
                <c:pt idx="45">
                  <c:v>-5.6840059174187316E-2</c:v>
                </c:pt>
                <c:pt idx="46">
                  <c:v>-2.7200860457277085E-2</c:v>
                </c:pt>
                <c:pt idx="47">
                  <c:v>-2.8577705687878201E-2</c:v>
                </c:pt>
                <c:pt idx="48">
                  <c:v>-2.9763865890005882E-2</c:v>
                </c:pt>
                <c:pt idx="49">
                  <c:v>-4.3667752416202299E-2</c:v>
                </c:pt>
                <c:pt idx="50">
                  <c:v>-1.1171856261656786E-2</c:v>
                </c:pt>
                <c:pt idx="51">
                  <c:v>-1.5585228435669235E-2</c:v>
                </c:pt>
                <c:pt idx="52">
                  <c:v>-9.2925075411487371E-3</c:v>
                </c:pt>
                <c:pt idx="53">
                  <c:v>-6.1161930268849432E-2</c:v>
                </c:pt>
                <c:pt idx="54">
                  <c:v>-5.5030700998540155E-2</c:v>
                </c:pt>
                <c:pt idx="55">
                  <c:v>-4.9770377506432352E-2</c:v>
                </c:pt>
                <c:pt idx="56">
                  <c:v>-2.649008859786095E-2</c:v>
                </c:pt>
                <c:pt idx="57">
                  <c:v>-3.4597931369771073E-2</c:v>
                </c:pt>
                <c:pt idx="58">
                  <c:v>-2.5363818789770936E-2</c:v>
                </c:pt>
                <c:pt idx="59">
                  <c:v>-4.9058545882144644E-3</c:v>
                </c:pt>
                <c:pt idx="60">
                  <c:v>1.1409086126071298E-2</c:v>
                </c:pt>
                <c:pt idx="61">
                  <c:v>-1.4642403333036531E-2</c:v>
                </c:pt>
                <c:pt idx="62">
                  <c:v>-4.901153341306546E-2</c:v>
                </c:pt>
                <c:pt idx="63">
                  <c:v>1.4315231943870747E-2</c:v>
                </c:pt>
                <c:pt idx="64">
                  <c:v>-2.3995588173249295E-2</c:v>
                </c:pt>
                <c:pt idx="65">
                  <c:v>-1.6426372950172324E-2</c:v>
                </c:pt>
                <c:pt idx="66">
                  <c:v>-3.4695389275311767E-2</c:v>
                </c:pt>
                <c:pt idx="67">
                  <c:v>-8.4948881930456237E-3</c:v>
                </c:pt>
                <c:pt idx="68">
                  <c:v>1.2708371326954428E-2</c:v>
                </c:pt>
                <c:pt idx="69">
                  <c:v>-7.6892651025493625E-4</c:v>
                </c:pt>
                <c:pt idx="70">
                  <c:v>-2.4862603850553409E-2</c:v>
                </c:pt>
                <c:pt idx="71">
                  <c:v>1.4390999737888181E-2</c:v>
                </c:pt>
                <c:pt idx="72">
                  <c:v>-1.0615838379566448E-2</c:v>
                </c:pt>
                <c:pt idx="73">
                  <c:v>-4.0116210945552551E-3</c:v>
                </c:pt>
                <c:pt idx="74">
                  <c:v>9.9995820180601973E-3</c:v>
                </c:pt>
                <c:pt idx="75">
                  <c:v>5.0907965889104871E-3</c:v>
                </c:pt>
                <c:pt idx="76">
                  <c:v>5.9301543722437497E-3</c:v>
                </c:pt>
                <c:pt idx="77">
                  <c:v>1.4099548788189101E-2</c:v>
                </c:pt>
                <c:pt idx="78">
                  <c:v>2.2336099999380438E-2</c:v>
                </c:pt>
                <c:pt idx="79">
                  <c:v>3.0939597861666664E-2</c:v>
                </c:pt>
                <c:pt idx="80">
                  <c:v>2.2465089157456132E-2</c:v>
                </c:pt>
                <c:pt idx="81">
                  <c:v>5.5081255757070801E-3</c:v>
                </c:pt>
                <c:pt idx="82">
                  <c:v>-1.6806932690959682E-2</c:v>
                </c:pt>
                <c:pt idx="83">
                  <c:v>-3.2663053898706176E-2</c:v>
                </c:pt>
                <c:pt idx="84">
                  <c:v>-4.4536948536770565E-2</c:v>
                </c:pt>
                <c:pt idx="85">
                  <c:v>-3.9823793564204242E-2</c:v>
                </c:pt>
                <c:pt idx="86">
                  <c:v>-4.4922105010113372E-2</c:v>
                </c:pt>
                <c:pt idx="87">
                  <c:v>-3.887573539951733E-2</c:v>
                </c:pt>
                <c:pt idx="88">
                  <c:v>-5.5847585758491719E-2</c:v>
                </c:pt>
                <c:pt idx="89">
                  <c:v>-7.8189825751054834E-2</c:v>
                </c:pt>
                <c:pt idx="90">
                  <c:v>-9.4420336451054854E-2</c:v>
                </c:pt>
                <c:pt idx="91">
                  <c:v>-9.2485827772794016E-2</c:v>
                </c:pt>
                <c:pt idx="92">
                  <c:v>-0.1166013755962723</c:v>
                </c:pt>
                <c:pt idx="93">
                  <c:v>-8.7657367546004963E-2</c:v>
                </c:pt>
                <c:pt idx="94">
                  <c:v>-7.2683329665625171E-2</c:v>
                </c:pt>
                <c:pt idx="95">
                  <c:v>-7.420157804874207E-2</c:v>
                </c:pt>
                <c:pt idx="96">
                  <c:v>-6.2416297578457985E-2</c:v>
                </c:pt>
                <c:pt idx="97">
                  <c:v>-5.735381250376409E-2</c:v>
                </c:pt>
                <c:pt idx="98">
                  <c:v>-6.9841345000171293E-2</c:v>
                </c:pt>
                <c:pt idx="99">
                  <c:v>-3.7898277283988702E-2</c:v>
                </c:pt>
                <c:pt idx="100">
                  <c:v>-5.8420194408857352E-2</c:v>
                </c:pt>
                <c:pt idx="101">
                  <c:v>-5.6361186385047835E-2</c:v>
                </c:pt>
                <c:pt idx="102">
                  <c:v>-6.0071129640061442E-2</c:v>
                </c:pt>
                <c:pt idx="103">
                  <c:v>-5.798870877078037E-2</c:v>
                </c:pt>
                <c:pt idx="104">
                  <c:v>-4.2366805805395764E-2</c:v>
                </c:pt>
                <c:pt idx="105">
                  <c:v>-3.521280965323817E-2</c:v>
                </c:pt>
                <c:pt idx="106">
                  <c:v>-4.9410565058769923E-2</c:v>
                </c:pt>
                <c:pt idx="107">
                  <c:v>-8.5084906377973918E-2</c:v>
                </c:pt>
                <c:pt idx="108">
                  <c:v>-8.4890467719900636E-2</c:v>
                </c:pt>
                <c:pt idx="109">
                  <c:v>-0.10929175296938526</c:v>
                </c:pt>
                <c:pt idx="110">
                  <c:v>-7.9197055491385296E-2</c:v>
                </c:pt>
                <c:pt idx="111">
                  <c:v>-6.4250487289867292E-2</c:v>
                </c:pt>
                <c:pt idx="112">
                  <c:v>-0.11131973117934107</c:v>
                </c:pt>
                <c:pt idx="113">
                  <c:v>-0.10848201419274879</c:v>
                </c:pt>
                <c:pt idx="114">
                  <c:v>-0.12177181033765169</c:v>
                </c:pt>
                <c:pt idx="115">
                  <c:v>-0.12473716906476275</c:v>
                </c:pt>
                <c:pt idx="116">
                  <c:v>-0.13826659301777475</c:v>
                </c:pt>
                <c:pt idx="117">
                  <c:v>-0.12714633281094262</c:v>
                </c:pt>
                <c:pt idx="118">
                  <c:v>-9.7034403463154964E-2</c:v>
                </c:pt>
                <c:pt idx="119">
                  <c:v>-0.13738767473923333</c:v>
                </c:pt>
                <c:pt idx="120">
                  <c:v>-0.15305658787347989</c:v>
                </c:pt>
                <c:pt idx="121">
                  <c:v>-0.15609992215493887</c:v>
                </c:pt>
                <c:pt idx="122">
                  <c:v>-0.10555836698427214</c:v>
                </c:pt>
                <c:pt idx="123">
                  <c:v>-0.10897653953348228</c:v>
                </c:pt>
                <c:pt idx="124">
                  <c:v>-0.12057327098844477</c:v>
                </c:pt>
                <c:pt idx="125">
                  <c:v>-9.7652980820438828E-2</c:v>
                </c:pt>
                <c:pt idx="126">
                  <c:v>-3.9769066713581686E-2</c:v>
                </c:pt>
                <c:pt idx="127">
                  <c:v>-5.5422744919981663E-2</c:v>
                </c:pt>
                <c:pt idx="128">
                  <c:v>-8.3088916210405594E-2</c:v>
                </c:pt>
                <c:pt idx="129">
                  <c:v>-4.8423960030723218E-2</c:v>
                </c:pt>
                <c:pt idx="130">
                  <c:v>-3.6175546195952722E-2</c:v>
                </c:pt>
                <c:pt idx="131">
                  <c:v>-3.7764369431328736E-2</c:v>
                </c:pt>
                <c:pt idx="132">
                  <c:v>-3.0762745040343403E-2</c:v>
                </c:pt>
                <c:pt idx="133">
                  <c:v>-5.3507031067196884E-2</c:v>
                </c:pt>
                <c:pt idx="134">
                  <c:v>-3.5250923183310599E-2</c:v>
                </c:pt>
                <c:pt idx="135">
                  <c:v>-6.035575342158557E-2</c:v>
                </c:pt>
                <c:pt idx="136">
                  <c:v>-7.2425997233549394E-2</c:v>
                </c:pt>
                <c:pt idx="137">
                  <c:v>-6.7279389873280013E-2</c:v>
                </c:pt>
                <c:pt idx="138">
                  <c:v>-6.4595571218350412E-2</c:v>
                </c:pt>
                <c:pt idx="139">
                  <c:v>-5.2922145080625788E-2</c:v>
                </c:pt>
                <c:pt idx="140">
                  <c:v>-3.1594674248790332E-2</c:v>
                </c:pt>
                <c:pt idx="141">
                  <c:v>-2.0321114381756267E-2</c:v>
                </c:pt>
                <c:pt idx="142">
                  <c:v>-5.5021017588867419E-2</c:v>
                </c:pt>
                <c:pt idx="143">
                  <c:v>-9.6854979132324631E-3</c:v>
                </c:pt>
                <c:pt idx="144">
                  <c:v>4.3090325284441927E-2</c:v>
                </c:pt>
                <c:pt idx="145">
                  <c:v>-4.6760240724619201E-3</c:v>
                </c:pt>
                <c:pt idx="146">
                  <c:v>-5.1204068271031265E-2</c:v>
                </c:pt>
                <c:pt idx="147">
                  <c:v>-5.4279131510295113E-2</c:v>
                </c:pt>
                <c:pt idx="148">
                  <c:v>-4.1687767063119961E-2</c:v>
                </c:pt>
                <c:pt idx="149">
                  <c:v>-6.6796817211676657E-2</c:v>
                </c:pt>
                <c:pt idx="150">
                  <c:v>-8.2747343424451419E-2</c:v>
                </c:pt>
                <c:pt idx="151">
                  <c:v>-7.1232326906269627E-2</c:v>
                </c:pt>
                <c:pt idx="152">
                  <c:v>-6.7981599780441729E-2</c:v>
                </c:pt>
                <c:pt idx="153">
                  <c:v>-6.5759770441980156E-2</c:v>
                </c:pt>
                <c:pt idx="154">
                  <c:v>-8.2592337312061045E-2</c:v>
                </c:pt>
                <c:pt idx="155">
                  <c:v>-6.2444558028917414E-2</c:v>
                </c:pt>
                <c:pt idx="156">
                  <c:v>-7.3605196562163772E-2</c:v>
                </c:pt>
                <c:pt idx="157">
                  <c:v>-5.8926616574388128E-2</c:v>
                </c:pt>
                <c:pt idx="158">
                  <c:v>-6.1489371930523229E-2</c:v>
                </c:pt>
                <c:pt idx="159">
                  <c:v>-6.1255226899868218E-2</c:v>
                </c:pt>
                <c:pt idx="160">
                  <c:v>-8.5345769644993685E-2</c:v>
                </c:pt>
                <c:pt idx="161">
                  <c:v>-9.6608415190847313E-2</c:v>
                </c:pt>
                <c:pt idx="162">
                  <c:v>-0.11245626145537065</c:v>
                </c:pt>
                <c:pt idx="163">
                  <c:v>-0.10501505278167662</c:v>
                </c:pt>
                <c:pt idx="164">
                  <c:v>-8.0860890881809352E-2</c:v>
                </c:pt>
                <c:pt idx="165">
                  <c:v>-6.4225394937377139E-2</c:v>
                </c:pt>
                <c:pt idx="166">
                  <c:v>-7.304358415172342E-2</c:v>
                </c:pt>
                <c:pt idx="167">
                  <c:v>-7.1953996650004959E-2</c:v>
                </c:pt>
                <c:pt idx="168">
                  <c:v>-9.1425756919848999E-2</c:v>
                </c:pt>
                <c:pt idx="169">
                  <c:v>-7.1167726740163029E-2</c:v>
                </c:pt>
                <c:pt idx="170">
                  <c:v>-8.5366660499168495E-2</c:v>
                </c:pt>
                <c:pt idx="171">
                  <c:v>-7.8187124993250603E-2</c:v>
                </c:pt>
                <c:pt idx="172">
                  <c:v>-0.1004807001820021</c:v>
                </c:pt>
                <c:pt idx="173">
                  <c:v>-8.32940589756445E-2</c:v>
                </c:pt>
                <c:pt idx="174">
                  <c:v>-0.10830969148835849</c:v>
                </c:pt>
                <c:pt idx="175">
                  <c:v>-0.13378690020350489</c:v>
                </c:pt>
                <c:pt idx="176">
                  <c:v>-0.14956553884901896</c:v>
                </c:pt>
                <c:pt idx="177">
                  <c:v>-0.16051376685845947</c:v>
                </c:pt>
                <c:pt idx="178">
                  <c:v>-0.16572418280681542</c:v>
                </c:pt>
                <c:pt idx="179">
                  <c:v>-0.16426144198762088</c:v>
                </c:pt>
                <c:pt idx="180">
                  <c:v>-0.14850839941461791</c:v>
                </c:pt>
                <c:pt idx="181">
                  <c:v>-0.15467496003095529</c:v>
                </c:pt>
                <c:pt idx="182">
                  <c:v>-0.16851762631799183</c:v>
                </c:pt>
                <c:pt idx="183">
                  <c:v>-0.17200254468613133</c:v>
                </c:pt>
                <c:pt idx="184">
                  <c:v>-0.17118461273169955</c:v>
                </c:pt>
                <c:pt idx="185">
                  <c:v>-0.18398597504044767</c:v>
                </c:pt>
                <c:pt idx="186">
                  <c:v>-0.14726280783836937</c:v>
                </c:pt>
                <c:pt idx="187">
                  <c:v>-0.15204840257438942</c:v>
                </c:pt>
                <c:pt idx="188">
                  <c:v>-0.15943172801229685</c:v>
                </c:pt>
                <c:pt idx="189">
                  <c:v>-0.17101144656956402</c:v>
                </c:pt>
                <c:pt idx="190">
                  <c:v>-0.16930753306336888</c:v>
                </c:pt>
                <c:pt idx="191">
                  <c:v>-0.18187355443147943</c:v>
                </c:pt>
                <c:pt idx="192">
                  <c:v>-0.16761508832374561</c:v>
                </c:pt>
                <c:pt idx="193">
                  <c:v>-0.16045365600499562</c:v>
                </c:pt>
                <c:pt idx="194">
                  <c:v>-0.16396636221166228</c:v>
                </c:pt>
                <c:pt idx="195">
                  <c:v>-0.16346221715169998</c:v>
                </c:pt>
                <c:pt idx="196">
                  <c:v>-0.15391879747041809</c:v>
                </c:pt>
                <c:pt idx="197">
                  <c:v>-0.1481632029995916</c:v>
                </c:pt>
                <c:pt idx="198">
                  <c:v>-0.14823974137391641</c:v>
                </c:pt>
                <c:pt idx="199">
                  <c:v>-0.14247297358493885</c:v>
                </c:pt>
                <c:pt idx="200">
                  <c:v>-0.13593835358642817</c:v>
                </c:pt>
                <c:pt idx="201">
                  <c:v>-0.13727755022387497</c:v>
                </c:pt>
                <c:pt idx="202">
                  <c:v>-0.13436010625081046</c:v>
                </c:pt>
                <c:pt idx="203">
                  <c:v>-0.14108515535817887</c:v>
                </c:pt>
                <c:pt idx="204">
                  <c:v>-0.1354068117594692</c:v>
                </c:pt>
                <c:pt idx="205">
                  <c:v>-0.1277195717500739</c:v>
                </c:pt>
                <c:pt idx="206">
                  <c:v>-0.12626875334847812</c:v>
                </c:pt>
                <c:pt idx="207">
                  <c:v>-0.12169311492454396</c:v>
                </c:pt>
                <c:pt idx="208">
                  <c:v>-0.11702675306927679</c:v>
                </c:pt>
                <c:pt idx="209">
                  <c:v>-0.1215743440578201</c:v>
                </c:pt>
                <c:pt idx="210">
                  <c:v>-0.13237582058488895</c:v>
                </c:pt>
                <c:pt idx="211">
                  <c:v>-0.12333552986609843</c:v>
                </c:pt>
                <c:pt idx="212">
                  <c:v>-0.11942022145911399</c:v>
                </c:pt>
                <c:pt idx="213">
                  <c:v>-0.14192996702581723</c:v>
                </c:pt>
                <c:pt idx="214">
                  <c:v>-0.14238586852150345</c:v>
                </c:pt>
                <c:pt idx="215">
                  <c:v>-0.15907116408252936</c:v>
                </c:pt>
                <c:pt idx="216">
                  <c:v>-0.17715282743713118</c:v>
                </c:pt>
                <c:pt idx="217">
                  <c:v>-0.16019400045935314</c:v>
                </c:pt>
                <c:pt idx="218">
                  <c:v>-0.16380368495768516</c:v>
                </c:pt>
                <c:pt idx="219">
                  <c:v>-0.19786808836317119</c:v>
                </c:pt>
                <c:pt idx="220">
                  <c:v>-0.21397071936163131</c:v>
                </c:pt>
                <c:pt idx="221">
                  <c:v>-0.17297234251033924</c:v>
                </c:pt>
                <c:pt idx="222">
                  <c:v>-0.17934692139010303</c:v>
                </c:pt>
                <c:pt idx="223">
                  <c:v>-0.17260929148530912</c:v>
                </c:pt>
                <c:pt idx="224">
                  <c:v>-0.169887517889693</c:v>
                </c:pt>
                <c:pt idx="225">
                  <c:v>-0.16693540003736104</c:v>
                </c:pt>
                <c:pt idx="226">
                  <c:v>-0.16114497486154056</c:v>
                </c:pt>
                <c:pt idx="227">
                  <c:v>-0.15309677294806032</c:v>
                </c:pt>
                <c:pt idx="228">
                  <c:v>-0.1537662627708129</c:v>
                </c:pt>
                <c:pt idx="229">
                  <c:v>-0.1635740256685369</c:v>
                </c:pt>
                <c:pt idx="230">
                  <c:v>-0.17064598066985395</c:v>
                </c:pt>
                <c:pt idx="231">
                  <c:v>-0.16325229950090278</c:v>
                </c:pt>
                <c:pt idx="232">
                  <c:v>-0.15060378042030176</c:v>
                </c:pt>
                <c:pt idx="233">
                  <c:v>-0.17330123917149384</c:v>
                </c:pt>
                <c:pt idx="234">
                  <c:v>-0.16591458469496656</c:v>
                </c:pt>
                <c:pt idx="235">
                  <c:v>-0.14600587988385605</c:v>
                </c:pt>
                <c:pt idx="236">
                  <c:v>-0.14102769076311916</c:v>
                </c:pt>
                <c:pt idx="237">
                  <c:v>-0.13081530496505786</c:v>
                </c:pt>
                <c:pt idx="238">
                  <c:v>-9.9808098428670583E-2</c:v>
                </c:pt>
                <c:pt idx="239">
                  <c:v>-0.13253665933458439</c:v>
                </c:pt>
                <c:pt idx="240">
                  <c:v>-0.13243583826487082</c:v>
                </c:pt>
                <c:pt idx="241">
                  <c:v>-0.12358096044275244</c:v>
                </c:pt>
                <c:pt idx="242">
                  <c:v>-0.14152929226030661</c:v>
                </c:pt>
                <c:pt idx="243">
                  <c:v>-0.15006050027305609</c:v>
                </c:pt>
                <c:pt idx="244">
                  <c:v>-0.15761229730820869</c:v>
                </c:pt>
                <c:pt idx="245">
                  <c:v>-0.14585534626681279</c:v>
                </c:pt>
                <c:pt idx="246">
                  <c:v>-0.14396919215100934</c:v>
                </c:pt>
                <c:pt idx="247">
                  <c:v>-0.16378514525127147</c:v>
                </c:pt>
                <c:pt idx="248">
                  <c:v>-0.16133810686295713</c:v>
                </c:pt>
                <c:pt idx="249">
                  <c:v>-0.18702777468571599</c:v>
                </c:pt>
                <c:pt idx="250">
                  <c:v>-0.18664439116188133</c:v>
                </c:pt>
                <c:pt idx="251">
                  <c:v>-0.18822575716158813</c:v>
                </c:pt>
                <c:pt idx="252">
                  <c:v>-0.17358733880543314</c:v>
                </c:pt>
                <c:pt idx="253">
                  <c:v>-0.20868111954532381</c:v>
                </c:pt>
                <c:pt idx="254">
                  <c:v>-0.17669520608432571</c:v>
                </c:pt>
                <c:pt idx="255">
                  <c:v>-0.17134765786779096</c:v>
                </c:pt>
                <c:pt idx="256">
                  <c:v>-0.16794366761228785</c:v>
                </c:pt>
                <c:pt idx="257">
                  <c:v>-0.16715659373355968</c:v>
                </c:pt>
                <c:pt idx="258">
                  <c:v>-0.15317390157707017</c:v>
                </c:pt>
                <c:pt idx="259">
                  <c:v>-0.1575897101450992</c:v>
                </c:pt>
                <c:pt idx="260">
                  <c:v>-0.1794290923975238</c:v>
                </c:pt>
                <c:pt idx="261">
                  <c:v>-0.1698093327991114</c:v>
                </c:pt>
                <c:pt idx="262">
                  <c:v>-0.17892478615596319</c:v>
                </c:pt>
                <c:pt idx="263">
                  <c:v>-0.17488844929351149</c:v>
                </c:pt>
                <c:pt idx="264">
                  <c:v>-0.17760420771502622</c:v>
                </c:pt>
                <c:pt idx="265">
                  <c:v>-0.17650596808640909</c:v>
                </c:pt>
                <c:pt idx="266">
                  <c:v>-0.17496260668656965</c:v>
                </c:pt>
                <c:pt idx="267">
                  <c:v>-0.16539505928709161</c:v>
                </c:pt>
                <c:pt idx="268">
                  <c:v>-0.17298433572653213</c:v>
                </c:pt>
                <c:pt idx="269">
                  <c:v>-0.16470034073136197</c:v>
                </c:pt>
                <c:pt idx="270">
                  <c:v>-0.16183290097661476</c:v>
                </c:pt>
                <c:pt idx="271">
                  <c:v>-0.16319385810427062</c:v>
                </c:pt>
                <c:pt idx="272">
                  <c:v>-0.16251716085628215</c:v>
                </c:pt>
                <c:pt idx="273">
                  <c:v>-0.17580104160573418</c:v>
                </c:pt>
                <c:pt idx="274">
                  <c:v>-0.17554936847160141</c:v>
                </c:pt>
                <c:pt idx="275">
                  <c:v>-0.17507678648805314</c:v>
                </c:pt>
                <c:pt idx="276">
                  <c:v>-0.17731256795512645</c:v>
                </c:pt>
                <c:pt idx="277">
                  <c:v>-0.18970994156864124</c:v>
                </c:pt>
                <c:pt idx="278">
                  <c:v>-0.18922414382846114</c:v>
                </c:pt>
                <c:pt idx="279">
                  <c:v>-0.18471367345874803</c:v>
                </c:pt>
                <c:pt idx="280">
                  <c:v>-0.18380770162877758</c:v>
                </c:pt>
                <c:pt idx="281">
                  <c:v>-0.17183602135943499</c:v>
                </c:pt>
                <c:pt idx="282">
                  <c:v>-0.16170939833181117</c:v>
                </c:pt>
                <c:pt idx="283">
                  <c:v>-0.1659964227893754</c:v>
                </c:pt>
                <c:pt idx="284">
                  <c:v>-0.16143808168122101</c:v>
                </c:pt>
                <c:pt idx="285">
                  <c:v>-0.16116473402971429</c:v>
                </c:pt>
                <c:pt idx="286">
                  <c:v>-0.15417468076949217</c:v>
                </c:pt>
                <c:pt idx="287">
                  <c:v>-0.15196194814470443</c:v>
                </c:pt>
                <c:pt idx="288">
                  <c:v>-0.1488872521886852</c:v>
                </c:pt>
                <c:pt idx="289">
                  <c:v>-0.14469344892597372</c:v>
                </c:pt>
                <c:pt idx="290">
                  <c:v>-0.14597310767764052</c:v>
                </c:pt>
                <c:pt idx="291">
                  <c:v>-0.14088156151380976</c:v>
                </c:pt>
                <c:pt idx="292">
                  <c:v>-0.14170597196180584</c:v>
                </c:pt>
                <c:pt idx="293">
                  <c:v>-0.12806983274068531</c:v>
                </c:pt>
                <c:pt idx="294">
                  <c:v>-0.14394131836505247</c:v>
                </c:pt>
                <c:pt idx="295">
                  <c:v>-0.14747686154122158</c:v>
                </c:pt>
                <c:pt idx="296">
                  <c:v>-0.16118772218161656</c:v>
                </c:pt>
                <c:pt idx="297">
                  <c:v>-0.14861351968939632</c:v>
                </c:pt>
                <c:pt idx="298">
                  <c:v>-0.14307748993874536</c:v>
                </c:pt>
                <c:pt idx="299">
                  <c:v>-0.13753915115623633</c:v>
                </c:pt>
                <c:pt idx="300">
                  <c:v>-0.15917427017647751</c:v>
                </c:pt>
                <c:pt idx="301">
                  <c:v>-0.13001511020206435</c:v>
                </c:pt>
                <c:pt idx="302">
                  <c:v>-5.3454765118620656E-2</c:v>
                </c:pt>
                <c:pt idx="303">
                  <c:v>-0.10469082696636955</c:v>
                </c:pt>
                <c:pt idx="304">
                  <c:v>-0.13203934925959526</c:v>
                </c:pt>
                <c:pt idx="305">
                  <c:v>-0.13326621473275113</c:v>
                </c:pt>
                <c:pt idx="306">
                  <c:v>-0.12344726895337862</c:v>
                </c:pt>
                <c:pt idx="307">
                  <c:v>-0.13939810900261612</c:v>
                </c:pt>
                <c:pt idx="308">
                  <c:v>-0.18002164601075155</c:v>
                </c:pt>
                <c:pt idx="309">
                  <c:v>-0.18309272340175536</c:v>
                </c:pt>
                <c:pt idx="310">
                  <c:v>-0.17686590347100165</c:v>
                </c:pt>
                <c:pt idx="311">
                  <c:v>-0.18977195827058557</c:v>
                </c:pt>
                <c:pt idx="312">
                  <c:v>-0.1780961254152352</c:v>
                </c:pt>
                <c:pt idx="313">
                  <c:v>-0.16916505814695734</c:v>
                </c:pt>
                <c:pt idx="314">
                  <c:v>-0.15742687751962386</c:v>
                </c:pt>
                <c:pt idx="315">
                  <c:v>-0.17063071429188117</c:v>
                </c:pt>
                <c:pt idx="316">
                  <c:v>-0.15069854952997208</c:v>
                </c:pt>
                <c:pt idx="317">
                  <c:v>-0.19598930451436003</c:v>
                </c:pt>
                <c:pt idx="318">
                  <c:v>-0.22151049311972335</c:v>
                </c:pt>
                <c:pt idx="319">
                  <c:v>-0.21208019730847144</c:v>
                </c:pt>
                <c:pt idx="320">
                  <c:v>-0.21581020086825611</c:v>
                </c:pt>
                <c:pt idx="321">
                  <c:v>-0.2266466580728177</c:v>
                </c:pt>
                <c:pt idx="322">
                  <c:v>-0.23245304106993023</c:v>
                </c:pt>
                <c:pt idx="323">
                  <c:v>-0.22969043078517698</c:v>
                </c:pt>
                <c:pt idx="324">
                  <c:v>-0.2285138939484421</c:v>
                </c:pt>
                <c:pt idx="325">
                  <c:v>-0.22927788777494884</c:v>
                </c:pt>
                <c:pt idx="326">
                  <c:v>-0.23266556175499972</c:v>
                </c:pt>
                <c:pt idx="327">
                  <c:v>-0.23619278668172367</c:v>
                </c:pt>
                <c:pt idx="328">
                  <c:v>-0.24036752147945553</c:v>
                </c:pt>
                <c:pt idx="329">
                  <c:v>-0.24966058367326951</c:v>
                </c:pt>
                <c:pt idx="330">
                  <c:v>-0.2405391849531569</c:v>
                </c:pt>
                <c:pt idx="331">
                  <c:v>-0.24470550472079072</c:v>
                </c:pt>
                <c:pt idx="332">
                  <c:v>-0.24587173094411433</c:v>
                </c:pt>
                <c:pt idx="333">
                  <c:v>-0.25392688407110159</c:v>
                </c:pt>
                <c:pt idx="334">
                  <c:v>-0.24946490946703445</c:v>
                </c:pt>
                <c:pt idx="335">
                  <c:v>-0.25712003581818615</c:v>
                </c:pt>
                <c:pt idx="336">
                  <c:v>-0.25918449651811964</c:v>
                </c:pt>
                <c:pt idx="337">
                  <c:v>-0.24730408896685899</c:v>
                </c:pt>
                <c:pt idx="338">
                  <c:v>-0.24962779214443453</c:v>
                </c:pt>
                <c:pt idx="339">
                  <c:v>-0.24956179529719746</c:v>
                </c:pt>
                <c:pt idx="340">
                  <c:v>-0.25480220918647634</c:v>
                </c:pt>
                <c:pt idx="341">
                  <c:v>-0.25971810706125026</c:v>
                </c:pt>
                <c:pt idx="342">
                  <c:v>-0.22835805725553926</c:v>
                </c:pt>
                <c:pt idx="343">
                  <c:v>-0.23974464692127742</c:v>
                </c:pt>
                <c:pt idx="344">
                  <c:v>-0.24039121428072102</c:v>
                </c:pt>
                <c:pt idx="345">
                  <c:v>-0.24694143980319733</c:v>
                </c:pt>
                <c:pt idx="346">
                  <c:v>-0.2375085476327092</c:v>
                </c:pt>
                <c:pt idx="347">
                  <c:v>-0.23382957763127257</c:v>
                </c:pt>
                <c:pt idx="348">
                  <c:v>-0.23436852840767472</c:v>
                </c:pt>
                <c:pt idx="349">
                  <c:v>-0.22726478650882811</c:v>
                </c:pt>
                <c:pt idx="350">
                  <c:v>-0.23582988844164604</c:v>
                </c:pt>
                <c:pt idx="351">
                  <c:v>-0.24054509142919414</c:v>
                </c:pt>
                <c:pt idx="352">
                  <c:v>-0.23184456790516084</c:v>
                </c:pt>
                <c:pt idx="353">
                  <c:v>-0.27019681116437771</c:v>
                </c:pt>
                <c:pt idx="354">
                  <c:v>-0.28786619436516692</c:v>
                </c:pt>
                <c:pt idx="355">
                  <c:v>-0.28550676363495248</c:v>
                </c:pt>
                <c:pt idx="356">
                  <c:v>-0.27980919783690694</c:v>
                </c:pt>
                <c:pt idx="357">
                  <c:v>-0.28427712144668693</c:v>
                </c:pt>
                <c:pt idx="358">
                  <c:v>-0.28278981238953527</c:v>
                </c:pt>
                <c:pt idx="359">
                  <c:v>-0.28472211293901095</c:v>
                </c:pt>
                <c:pt idx="360">
                  <c:v>-0.2819802605759682</c:v>
                </c:pt>
                <c:pt idx="361">
                  <c:v>-0.27378340640255366</c:v>
                </c:pt>
                <c:pt idx="362">
                  <c:v>-0.27227753673082877</c:v>
                </c:pt>
                <c:pt idx="363">
                  <c:v>-0.26683747821796205</c:v>
                </c:pt>
                <c:pt idx="364">
                  <c:v>-0.26559965947003822</c:v>
                </c:pt>
                <c:pt idx="365">
                  <c:v>-0.2690587806762485</c:v>
                </c:pt>
                <c:pt idx="366">
                  <c:v>-0.26342462171978326</c:v>
                </c:pt>
                <c:pt idx="367">
                  <c:v>-0.26184864854538331</c:v>
                </c:pt>
                <c:pt idx="368">
                  <c:v>-0.25444762151375305</c:v>
                </c:pt>
                <c:pt idx="369">
                  <c:v>-0.2522097475374307</c:v>
                </c:pt>
                <c:pt idx="370">
                  <c:v>-0.24846096007891327</c:v>
                </c:pt>
                <c:pt idx="371">
                  <c:v>-0.25308292753335337</c:v>
                </c:pt>
                <c:pt idx="372">
                  <c:v>-0.24719826688926966</c:v>
                </c:pt>
                <c:pt idx="373">
                  <c:v>-0.24583938693942747</c:v>
                </c:pt>
                <c:pt idx="374">
                  <c:v>-0.23213292339190408</c:v>
                </c:pt>
                <c:pt idx="375">
                  <c:v>-0.22194665182407539</c:v>
                </c:pt>
                <c:pt idx="376">
                  <c:v>-0.22336040661081932</c:v>
                </c:pt>
                <c:pt idx="377">
                  <c:v>-0.21805069828584556</c:v>
                </c:pt>
                <c:pt idx="378">
                  <c:v>-0.21376834852948806</c:v>
                </c:pt>
                <c:pt idx="379">
                  <c:v>-0.20922216706042143</c:v>
                </c:pt>
                <c:pt idx="380">
                  <c:v>-0.21251926756492812</c:v>
                </c:pt>
                <c:pt idx="381">
                  <c:v>-0.20603646214298482</c:v>
                </c:pt>
                <c:pt idx="382">
                  <c:v>-0.19937059503744725</c:v>
                </c:pt>
                <c:pt idx="383">
                  <c:v>-0.20403731601427694</c:v>
                </c:pt>
                <c:pt idx="384">
                  <c:v>-0.20439732446794359</c:v>
                </c:pt>
                <c:pt idx="385">
                  <c:v>-0.2044962630471073</c:v>
                </c:pt>
                <c:pt idx="386">
                  <c:v>-0.1974279728414281</c:v>
                </c:pt>
                <c:pt idx="387">
                  <c:v>-0.19545737107631447</c:v>
                </c:pt>
                <c:pt idx="388">
                  <c:v>-0.19355781465675673</c:v>
                </c:pt>
                <c:pt idx="389">
                  <c:v>-0.18605599714468707</c:v>
                </c:pt>
                <c:pt idx="390">
                  <c:v>-0.18509074885351562</c:v>
                </c:pt>
                <c:pt idx="391">
                  <c:v>-0.17928383652622268</c:v>
                </c:pt>
                <c:pt idx="392">
                  <c:v>-0.16363061250171537</c:v>
                </c:pt>
                <c:pt idx="393">
                  <c:v>-0.16893680479447737</c:v>
                </c:pt>
                <c:pt idx="394">
                  <c:v>-0.17346436420863703</c:v>
                </c:pt>
                <c:pt idx="395">
                  <c:v>-0.16682633312989753</c:v>
                </c:pt>
                <c:pt idx="396">
                  <c:v>-0.16141505762445929</c:v>
                </c:pt>
                <c:pt idx="397">
                  <c:v>-0.15442651453004344</c:v>
                </c:pt>
                <c:pt idx="398">
                  <c:v>-0.152118719634113</c:v>
                </c:pt>
                <c:pt idx="399">
                  <c:v>-0.16054597635523116</c:v>
                </c:pt>
                <c:pt idx="400">
                  <c:v>-0.16464605759334228</c:v>
                </c:pt>
                <c:pt idx="401">
                  <c:v>-0.15985536732530356</c:v>
                </c:pt>
                <c:pt idx="402">
                  <c:v>-0.15212654441184917</c:v>
                </c:pt>
                <c:pt idx="403">
                  <c:v>-0.14547628714856448</c:v>
                </c:pt>
                <c:pt idx="404">
                  <c:v>-0.14714449130475477</c:v>
                </c:pt>
                <c:pt idx="405">
                  <c:v>-0.14358577379622744</c:v>
                </c:pt>
                <c:pt idx="406">
                  <c:v>-0.14195583607195084</c:v>
                </c:pt>
                <c:pt idx="407">
                  <c:v>-0.13665592544983807</c:v>
                </c:pt>
                <c:pt idx="408">
                  <c:v>-0.13454645311432059</c:v>
                </c:pt>
                <c:pt idx="409">
                  <c:v>-0.13109509953854079</c:v>
                </c:pt>
                <c:pt idx="410">
                  <c:v>-0.12822466272118324</c:v>
                </c:pt>
                <c:pt idx="411">
                  <c:v>-0.12681995841229432</c:v>
                </c:pt>
                <c:pt idx="412">
                  <c:v>-0.12448574191595159</c:v>
                </c:pt>
                <c:pt idx="413">
                  <c:v>-0.1148638300441398</c:v>
                </c:pt>
                <c:pt idx="414">
                  <c:v>-0.101089165948896</c:v>
                </c:pt>
                <c:pt idx="415">
                  <c:v>-0.10066354645522119</c:v>
                </c:pt>
                <c:pt idx="416">
                  <c:v>-9.4907262439090867E-2</c:v>
                </c:pt>
                <c:pt idx="417">
                  <c:v>-8.8092454205156545E-2</c:v>
                </c:pt>
                <c:pt idx="418">
                  <c:v>-8.6797711193303304E-2</c:v>
                </c:pt>
                <c:pt idx="419">
                  <c:v>-8.8633293120107939E-2</c:v>
                </c:pt>
                <c:pt idx="420">
                  <c:v>-8.2751188427072547E-2</c:v>
                </c:pt>
                <c:pt idx="421">
                  <c:v>-8.0970983602174154E-2</c:v>
                </c:pt>
                <c:pt idx="422">
                  <c:v>-7.9644225374615851E-2</c:v>
                </c:pt>
                <c:pt idx="423">
                  <c:v>-7.5831551399777555E-2</c:v>
                </c:pt>
                <c:pt idx="424">
                  <c:v>-7.4775290057839908E-2</c:v>
                </c:pt>
                <c:pt idx="425">
                  <c:v>-7.5214536328990486E-2</c:v>
                </c:pt>
                <c:pt idx="426">
                  <c:v>-7.4396540171931203E-2</c:v>
                </c:pt>
                <c:pt idx="427">
                  <c:v>-7.4727187802755238E-2</c:v>
                </c:pt>
                <c:pt idx="428">
                  <c:v>-6.8832265458703884E-2</c:v>
                </c:pt>
                <c:pt idx="429">
                  <c:v>-5.8772055980468453E-2</c:v>
                </c:pt>
                <c:pt idx="430">
                  <c:v>-5.6344058281458553E-2</c:v>
                </c:pt>
                <c:pt idx="431">
                  <c:v>-5.7437865888324689E-2</c:v>
                </c:pt>
                <c:pt idx="432">
                  <c:v>-5.3530840281655563E-2</c:v>
                </c:pt>
                <c:pt idx="433">
                  <c:v>-5.3169295077185368E-2</c:v>
                </c:pt>
                <c:pt idx="434">
                  <c:v>-5.0072080607281542E-2</c:v>
                </c:pt>
                <c:pt idx="435">
                  <c:v>-4.9853160663990315E-2</c:v>
                </c:pt>
                <c:pt idx="436">
                  <c:v>-5.0338511005743138E-2</c:v>
                </c:pt>
                <c:pt idx="437">
                  <c:v>-5.3189897915034298E-2</c:v>
                </c:pt>
                <c:pt idx="438">
                  <c:v>-5.0985030005708504E-2</c:v>
                </c:pt>
                <c:pt idx="439">
                  <c:v>-4.7262575728436264E-2</c:v>
                </c:pt>
                <c:pt idx="440">
                  <c:v>-5.0346823557550206E-2</c:v>
                </c:pt>
                <c:pt idx="441">
                  <c:v>-4.6651698214755177E-2</c:v>
                </c:pt>
                <c:pt idx="442">
                  <c:v>-4.6615202691427257E-2</c:v>
                </c:pt>
                <c:pt idx="443">
                  <c:v>-4.3535835216951958E-2</c:v>
                </c:pt>
                <c:pt idx="444">
                  <c:v>-3.7473543082160915E-2</c:v>
                </c:pt>
                <c:pt idx="445">
                  <c:v>-3.6505668378869538E-2</c:v>
                </c:pt>
                <c:pt idx="446">
                  <c:v>-3.8146921287445255E-2</c:v>
                </c:pt>
                <c:pt idx="447">
                  <c:v>-2.880616382128225E-2</c:v>
                </c:pt>
                <c:pt idx="448">
                  <c:v>-3.1646041010862505E-2</c:v>
                </c:pt>
                <c:pt idx="449">
                  <c:v>-3.1885963830429694E-2</c:v>
                </c:pt>
                <c:pt idx="450">
                  <c:v>-3.226449664203547E-2</c:v>
                </c:pt>
                <c:pt idx="451">
                  <c:v>-3.2535038886342973E-2</c:v>
                </c:pt>
                <c:pt idx="452">
                  <c:v>-2.7333539782760367E-2</c:v>
                </c:pt>
                <c:pt idx="453">
                  <c:v>-2.9224795684946087E-2</c:v>
                </c:pt>
                <c:pt idx="454">
                  <c:v>-3.2389389536866847E-2</c:v>
                </c:pt>
                <c:pt idx="455">
                  <c:v>-2.5968618151617759E-2</c:v>
                </c:pt>
                <c:pt idx="456">
                  <c:v>-2.3535994773841391E-2</c:v>
                </c:pt>
                <c:pt idx="457">
                  <c:v>-2.0826993448556458E-2</c:v>
                </c:pt>
                <c:pt idx="458">
                  <c:v>-2.0646677226756061E-2</c:v>
                </c:pt>
                <c:pt idx="459">
                  <c:v>-1.434185136908756E-2</c:v>
                </c:pt>
                <c:pt idx="460">
                  <c:v>-2.7035060776338701E-2</c:v>
                </c:pt>
                <c:pt idx="461">
                  <c:v>-3.1562514530492712E-2</c:v>
                </c:pt>
                <c:pt idx="462">
                  <c:v>-3.3932885012241336E-2</c:v>
                </c:pt>
                <c:pt idx="463">
                  <c:v>-3.0682870983895175E-2</c:v>
                </c:pt>
                <c:pt idx="464">
                  <c:v>-2.6131966554442127E-2</c:v>
                </c:pt>
                <c:pt idx="465">
                  <c:v>-2.4648122015527508E-2</c:v>
                </c:pt>
                <c:pt idx="466">
                  <c:v>-2.9497629387208079E-2</c:v>
                </c:pt>
                <c:pt idx="467">
                  <c:v>-2.4273936055999694E-2</c:v>
                </c:pt>
                <c:pt idx="468">
                  <c:v>-2.0038218544009178E-2</c:v>
                </c:pt>
                <c:pt idx="469">
                  <c:v>-8.1247669402232364E-3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C5-449D-ACEF-EE25CB3B9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616112"/>
        <c:axId val="520616944"/>
      </c:lineChart>
      <c:dateAx>
        <c:axId val="520616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6944"/>
        <c:crosses val="autoZero"/>
        <c:auto val="1"/>
        <c:lblOffset val="100"/>
        <c:baseTimeUnit val="days"/>
      </c:dateAx>
      <c:valAx>
        <c:axId val="52061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B97AF83-DB8E-4CC8-90CD-C5189837596E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67716D-9DDF-4471-88B7-4F00DBEA2E0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430</v>
      </c>
      <c r="D2" s="4">
        <f>MIN(D3:D1912)</f>
        <v>10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19.27</v>
      </c>
      <c r="C5">
        <v>19.510000000000002</v>
      </c>
      <c r="D5">
        <v>18.73</v>
      </c>
      <c r="E5">
        <v>18.78</v>
      </c>
      <c r="F5">
        <v>316209.96000000002</v>
      </c>
      <c r="G5">
        <v>18.78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-0.87179487179487014</v>
      </c>
      <c r="Q5">
        <f t="shared" ref="Q5" si="1">F5*P5</f>
        <v>-275670.22153846105</v>
      </c>
      <c r="R5">
        <f t="shared" ref="R5" si="2">R6+Q5</f>
        <v>-20611737.859695796</v>
      </c>
      <c r="S5">
        <f t="shared" ref="S5" si="3">R5/100000</f>
        <v>-206.11737859695796</v>
      </c>
      <c r="T5">
        <f t="shared" ref="T5" si="4">S5/1000</f>
        <v>-0.20611737859695797</v>
      </c>
    </row>
    <row r="6" spans="1:20" x14ac:dyDescent="0.25">
      <c r="A6" s="5">
        <v>44587</v>
      </c>
      <c r="B6">
        <v>18.16</v>
      </c>
      <c r="C6">
        <v>20.43</v>
      </c>
      <c r="D6">
        <v>18</v>
      </c>
      <c r="E6">
        <v>19.27</v>
      </c>
      <c r="F6">
        <v>5235012.4800000004</v>
      </c>
      <c r="G6">
        <v>19.27</v>
      </c>
      <c r="L6" t="s">
        <v>8</v>
      </c>
      <c r="M6" t="s">
        <v>8</v>
      </c>
      <c r="N6" t="s">
        <v>7</v>
      </c>
      <c r="P6">
        <f t="shared" ref="P6" si="5">IF(C6=D6,0,((E6-D6)-(C6-E6))/(C6-D6))</f>
        <v>4.526748971193393E-2</v>
      </c>
      <c r="Q6">
        <f t="shared" ref="Q6" si="6">F6*P6</f>
        <v>236975.87358024574</v>
      </c>
      <c r="R6">
        <f t="shared" ref="R6" si="7">R7+Q6</f>
        <v>-20336067.638157334</v>
      </c>
      <c r="S6">
        <f t="shared" ref="S6" si="8">R6/100000</f>
        <v>-203.36067638157334</v>
      </c>
      <c r="T6">
        <f t="shared" ref="T6" si="9">S6/1000</f>
        <v>-0.20336067638157335</v>
      </c>
    </row>
    <row r="7" spans="1:20" x14ac:dyDescent="0.25">
      <c r="A7" s="5">
        <v>44586</v>
      </c>
      <c r="B7">
        <v>18.41</v>
      </c>
      <c r="C7">
        <v>18.559999999999999</v>
      </c>
      <c r="D7">
        <v>17.72</v>
      </c>
      <c r="E7">
        <v>18.149999999999999</v>
      </c>
      <c r="F7">
        <v>3342227.41</v>
      </c>
      <c r="G7">
        <v>18.149999999999999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2.3809523809523305E-2</v>
      </c>
      <c r="Q7">
        <f t="shared" ref="Q7" si="11">F7*P7</f>
        <v>79576.843095236414</v>
      </c>
      <c r="R7">
        <f t="shared" ref="R7" si="12">R8+Q7</f>
        <v>-20573043.511737581</v>
      </c>
      <c r="S7">
        <f t="shared" ref="S7" si="13">R7/100000</f>
        <v>-205.73043511737581</v>
      </c>
      <c r="T7">
        <f t="shared" ref="T7" si="14">S7/1000</f>
        <v>-0.20573043511737579</v>
      </c>
    </row>
    <row r="8" spans="1:20" x14ac:dyDescent="0.25">
      <c r="A8" s="5">
        <v>44585</v>
      </c>
      <c r="B8">
        <v>19.489999999999998</v>
      </c>
      <c r="C8">
        <v>19.5</v>
      </c>
      <c r="D8">
        <v>16.82</v>
      </c>
      <c r="E8">
        <v>18.420000000000002</v>
      </c>
      <c r="F8">
        <v>7906275.7800000003</v>
      </c>
      <c r="G8">
        <v>18.420000000000002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0.19402985074626986</v>
      </c>
      <c r="Q8">
        <f t="shared" ref="Q8" si="16">F8*P8</f>
        <v>1534053.5095522483</v>
      </c>
      <c r="R8">
        <f t="shared" ref="R8" si="17">R9+Q8</f>
        <v>-20652620.354832817</v>
      </c>
      <c r="S8">
        <f t="shared" ref="S8" si="18">R8/100000</f>
        <v>-206.52620354832817</v>
      </c>
      <c r="T8">
        <f t="shared" ref="T8" si="19">S8/1000</f>
        <v>-0.20652620354832818</v>
      </c>
    </row>
    <row r="9" spans="1:20" x14ac:dyDescent="0.25">
      <c r="A9" s="5">
        <v>44584</v>
      </c>
      <c r="B9">
        <v>19.010000000000002</v>
      </c>
      <c r="C9">
        <v>20.27</v>
      </c>
      <c r="D9">
        <v>18.36</v>
      </c>
      <c r="E9">
        <v>19.489999999999998</v>
      </c>
      <c r="F9">
        <v>4418430.59</v>
      </c>
      <c r="G9">
        <v>19.489999999999998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0.18324607329842818</v>
      </c>
      <c r="Q9">
        <f t="shared" ref="Q9" si="21">F9*P9</f>
        <v>809660.05575915729</v>
      </c>
      <c r="R9">
        <f t="shared" ref="R9" si="22">R10+Q9</f>
        <v>-22186673.864385065</v>
      </c>
      <c r="S9">
        <f t="shared" ref="S9" si="23">R9/100000</f>
        <v>-221.86673864385065</v>
      </c>
      <c r="T9">
        <f t="shared" ref="T9" si="24">S9/1000</f>
        <v>-0.22186673864385065</v>
      </c>
    </row>
    <row r="10" spans="1:20" x14ac:dyDescent="0.25">
      <c r="A10" s="5">
        <v>44583</v>
      </c>
      <c r="B10">
        <v>21.96</v>
      </c>
      <c r="C10">
        <v>22.65</v>
      </c>
      <c r="D10">
        <v>16.97</v>
      </c>
      <c r="E10">
        <v>19.010000000000002</v>
      </c>
      <c r="F10">
        <v>9930877.3970999997</v>
      </c>
      <c r="G10">
        <v>19.010000000000002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-0.28169014084506944</v>
      </c>
      <c r="Q10">
        <f t="shared" ref="Q10" si="26">F10*P10</f>
        <v>-2797430.2527042157</v>
      </c>
      <c r="R10">
        <f t="shared" ref="R10" si="27">R11+Q10</f>
        <v>-22996333.920144223</v>
      </c>
      <c r="S10">
        <f t="shared" ref="S10" si="28">R10/100000</f>
        <v>-229.96333920144224</v>
      </c>
      <c r="T10">
        <f t="shared" ref="T10" si="29">S10/1000</f>
        <v>-0.22996333920144224</v>
      </c>
    </row>
    <row r="11" spans="1:20" x14ac:dyDescent="0.25">
      <c r="A11" s="5">
        <v>44582</v>
      </c>
      <c r="B11">
        <v>26.19</v>
      </c>
      <c r="C11">
        <v>26.58</v>
      </c>
      <c r="D11">
        <v>21.12</v>
      </c>
      <c r="E11">
        <v>21.97</v>
      </c>
      <c r="F11">
        <v>5829037.9979999997</v>
      </c>
      <c r="G11">
        <v>21.97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-0.68864468864468931</v>
      </c>
      <c r="Q11">
        <f t="shared" ref="Q11" si="31">F11*P11</f>
        <v>-4014136.0572307729</v>
      </c>
      <c r="R11">
        <f t="shared" ref="R11" si="32">R12+Q11</f>
        <v>-20198903.667440008</v>
      </c>
      <c r="S11">
        <f t="shared" ref="S11" si="33">R11/100000</f>
        <v>-201.9890366744001</v>
      </c>
      <c r="T11">
        <f t="shared" ref="T11" si="34">S11/1000</f>
        <v>-0.2019890366744001</v>
      </c>
    </row>
    <row r="12" spans="1:20" x14ac:dyDescent="0.25">
      <c r="A12" s="5">
        <v>44581</v>
      </c>
      <c r="B12">
        <v>27.62</v>
      </c>
      <c r="C12">
        <v>28.7</v>
      </c>
      <c r="D12">
        <v>26</v>
      </c>
      <c r="E12">
        <v>26.18</v>
      </c>
      <c r="F12">
        <v>1885125.08</v>
      </c>
      <c r="G12">
        <v>26.18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-0.86666666666666681</v>
      </c>
      <c r="Q12">
        <f t="shared" ref="Q12" si="36">F12*P12</f>
        <v>-1633775.0693333338</v>
      </c>
      <c r="R12">
        <f t="shared" ref="R12" si="37">R13+Q12</f>
        <v>-16184767.610209236</v>
      </c>
      <c r="S12">
        <f t="shared" ref="S12" si="38">R12/100000</f>
        <v>-161.84767610209235</v>
      </c>
      <c r="T12">
        <f t="shared" ref="T12" si="39">S12/1000</f>
        <v>-0.16184767610209236</v>
      </c>
    </row>
    <row r="13" spans="1:20" x14ac:dyDescent="0.25">
      <c r="A13" s="5">
        <v>44580</v>
      </c>
      <c r="B13">
        <v>28.47</v>
      </c>
      <c r="C13">
        <v>28.71</v>
      </c>
      <c r="D13">
        <v>27.21</v>
      </c>
      <c r="E13">
        <v>27.61</v>
      </c>
      <c r="F13">
        <v>1967639.26</v>
      </c>
      <c r="G13">
        <v>27.61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-0.46666666666666856</v>
      </c>
      <c r="Q13">
        <f t="shared" ref="Q13" si="41">F13*P13</f>
        <v>-918231.65466667037</v>
      </c>
      <c r="R13">
        <f t="shared" ref="R13" si="42">R14+Q13</f>
        <v>-14550992.540875902</v>
      </c>
      <c r="S13">
        <f t="shared" ref="S13" si="43">R13/100000</f>
        <v>-145.50992540875902</v>
      </c>
      <c r="T13">
        <f t="shared" ref="T13" si="44">S13/1000</f>
        <v>-0.14550992540875901</v>
      </c>
    </row>
    <row r="14" spans="1:20" x14ac:dyDescent="0.25">
      <c r="A14" s="5">
        <v>44579</v>
      </c>
      <c r="B14">
        <v>28.98</v>
      </c>
      <c r="C14">
        <v>29.33</v>
      </c>
      <c r="D14">
        <v>27.66</v>
      </c>
      <c r="E14">
        <v>28.47</v>
      </c>
      <c r="F14">
        <v>2244698.2799999998</v>
      </c>
      <c r="G14">
        <v>28.47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-2.99401197604795E-2</v>
      </c>
      <c r="Q14">
        <f t="shared" ref="Q14" si="46">F14*P14</f>
        <v>-67206.53532934234</v>
      </c>
      <c r="R14">
        <f t="shared" ref="R14" si="47">R15+Q14</f>
        <v>-13632760.886209233</v>
      </c>
      <c r="S14">
        <f t="shared" ref="S14" si="48">R14/100000</f>
        <v>-136.32760886209232</v>
      </c>
      <c r="T14">
        <f t="shared" ref="T14" si="49">S14/1000</f>
        <v>-0.13632760886209233</v>
      </c>
    </row>
    <row r="15" spans="1:20" x14ac:dyDescent="0.25">
      <c r="A15" s="5">
        <v>44578</v>
      </c>
      <c r="B15">
        <v>30.38</v>
      </c>
      <c r="C15">
        <v>30.46</v>
      </c>
      <c r="D15">
        <v>28.52</v>
      </c>
      <c r="E15">
        <v>28.97</v>
      </c>
      <c r="F15">
        <v>1862779.85</v>
      </c>
      <c r="G15">
        <v>28.97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-0.53608247422680522</v>
      </c>
      <c r="Q15">
        <f t="shared" ref="Q15" si="51">F15*P15</f>
        <v>-998603.6309278371</v>
      </c>
      <c r="R15">
        <f t="shared" ref="R15" si="52">R16+Q15</f>
        <v>-13565554.350879891</v>
      </c>
      <c r="S15">
        <f t="shared" ref="S15" si="53">R15/100000</f>
        <v>-135.6555435087989</v>
      </c>
      <c r="T15">
        <f t="shared" ref="T15" si="54">S15/1000</f>
        <v>-0.13565554350879891</v>
      </c>
    </row>
    <row r="16" spans="1:20" x14ac:dyDescent="0.25">
      <c r="A16" s="5">
        <v>44577</v>
      </c>
      <c r="B16">
        <v>29.66</v>
      </c>
      <c r="C16">
        <v>31.48</v>
      </c>
      <c r="D16">
        <v>29.61</v>
      </c>
      <c r="E16">
        <v>30.38</v>
      </c>
      <c r="F16">
        <v>2156207.69</v>
      </c>
      <c r="G16">
        <v>30.38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-0.17647058823529502</v>
      </c>
      <c r="Q16">
        <f t="shared" ref="Q16" si="56">F16*P16</f>
        <v>-380507.23941176664</v>
      </c>
      <c r="R16">
        <f t="shared" ref="R16" si="57">R17+Q16</f>
        <v>-12566950.719952054</v>
      </c>
      <c r="S16">
        <f t="shared" ref="S16" si="58">R16/100000</f>
        <v>-125.66950719952054</v>
      </c>
      <c r="T16">
        <f t="shared" ref="T16" si="59">S16/1000</f>
        <v>-0.12566950719952052</v>
      </c>
    </row>
    <row r="17" spans="1:20" x14ac:dyDescent="0.25">
      <c r="A17" s="5">
        <v>44576</v>
      </c>
      <c r="B17">
        <v>29.72</v>
      </c>
      <c r="C17">
        <v>30.6</v>
      </c>
      <c r="D17">
        <v>29.31</v>
      </c>
      <c r="E17">
        <v>29.66</v>
      </c>
      <c r="F17">
        <v>1783099.52</v>
      </c>
      <c r="G17">
        <v>29.66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-0.45736434108527024</v>
      </c>
      <c r="Q17">
        <f t="shared" ref="Q17" si="61">F17*P17</f>
        <v>-815526.13705426164</v>
      </c>
      <c r="R17">
        <f t="shared" ref="R17" si="62">R18+Q17</f>
        <v>-12186443.480540289</v>
      </c>
      <c r="S17">
        <f t="shared" ref="S17" si="63">R17/100000</f>
        <v>-121.86443480540288</v>
      </c>
      <c r="T17">
        <f t="shared" ref="T17" si="64">S17/1000</f>
        <v>-0.12186443480540288</v>
      </c>
    </row>
    <row r="18" spans="1:20" x14ac:dyDescent="0.25">
      <c r="A18" s="5">
        <v>44575</v>
      </c>
      <c r="B18">
        <v>28.51</v>
      </c>
      <c r="C18">
        <v>29.87</v>
      </c>
      <c r="D18">
        <v>28.02</v>
      </c>
      <c r="E18">
        <v>29.72</v>
      </c>
      <c r="F18">
        <v>2835853.06</v>
      </c>
      <c r="G18">
        <v>29.72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0.83783783783783561</v>
      </c>
      <c r="Q18">
        <f t="shared" ref="Q18" si="66">F18*P18</f>
        <v>2375984.9962162101</v>
      </c>
      <c r="R18">
        <f t="shared" ref="R18" si="67">R19+Q18</f>
        <v>-11370917.343486028</v>
      </c>
      <c r="S18">
        <f t="shared" ref="S18" si="68">R18/100000</f>
        <v>-113.70917343486028</v>
      </c>
      <c r="T18">
        <f t="shared" ref="T18" si="69">S18/1000</f>
        <v>-0.11370917343486027</v>
      </c>
    </row>
    <row r="19" spans="1:20" x14ac:dyDescent="0.25">
      <c r="A19" s="5">
        <v>44574</v>
      </c>
      <c r="B19">
        <v>30.77</v>
      </c>
      <c r="C19">
        <v>30.86</v>
      </c>
      <c r="D19">
        <v>28.39</v>
      </c>
      <c r="E19">
        <v>28.51</v>
      </c>
      <c r="F19">
        <v>2774618.79</v>
      </c>
      <c r="G19">
        <v>28.51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-0.90283400809716519</v>
      </c>
      <c r="Q19">
        <f t="shared" ref="Q19" si="71">F19*P19</f>
        <v>-2505020.2031174069</v>
      </c>
      <c r="R19">
        <f t="shared" ref="R19" si="72">R20+Q19</f>
        <v>-13746902.339702237</v>
      </c>
      <c r="S19">
        <f t="shared" ref="S19" si="73">R19/100000</f>
        <v>-137.46902339702237</v>
      </c>
      <c r="T19">
        <f t="shared" ref="T19" si="74">S19/1000</f>
        <v>-0.13746902339702236</v>
      </c>
    </row>
    <row r="20" spans="1:20" x14ac:dyDescent="0.25">
      <c r="A20" s="5">
        <v>44573</v>
      </c>
      <c r="B20">
        <v>28.88</v>
      </c>
      <c r="C20">
        <v>30.89</v>
      </c>
      <c r="D20">
        <v>28.48</v>
      </c>
      <c r="E20">
        <v>30.77</v>
      </c>
      <c r="F20">
        <v>2646386.98</v>
      </c>
      <c r="G20">
        <v>30.77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0.90041493775933523</v>
      </c>
      <c r="Q20">
        <f t="shared" ref="Q20" si="76">F20*P20</f>
        <v>2382846.367883815</v>
      </c>
      <c r="R20">
        <f t="shared" ref="R20" si="77">R21+Q20</f>
        <v>-11241882.136584831</v>
      </c>
      <c r="S20">
        <f t="shared" ref="S20" si="78">R20/100000</f>
        <v>-112.41882136584832</v>
      </c>
      <c r="T20">
        <f t="shared" ref="T20" si="79">S20/1000</f>
        <v>-0.11241882136584831</v>
      </c>
    </row>
    <row r="21" spans="1:20" x14ac:dyDescent="0.25">
      <c r="A21" s="5">
        <v>44572</v>
      </c>
      <c r="B21">
        <v>28.13</v>
      </c>
      <c r="C21">
        <v>29.26</v>
      </c>
      <c r="D21">
        <v>27.8</v>
      </c>
      <c r="E21">
        <v>28.88</v>
      </c>
      <c r="F21">
        <v>2254699</v>
      </c>
      <c r="G21">
        <v>28.88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0.47945205479451736</v>
      </c>
      <c r="Q21">
        <f t="shared" ref="Q21" si="81">F21*P21</f>
        <v>1081020.0684931434</v>
      </c>
      <c r="R21">
        <f t="shared" ref="R21" si="82">R22+Q21</f>
        <v>-13624728.504468646</v>
      </c>
      <c r="S21">
        <f t="shared" ref="S21" si="83">R21/100000</f>
        <v>-136.24728504468646</v>
      </c>
      <c r="T21">
        <f t="shared" ref="T21" si="84">S21/1000</f>
        <v>-0.13624728504468647</v>
      </c>
    </row>
    <row r="22" spans="1:20" x14ac:dyDescent="0.25">
      <c r="A22" s="5">
        <v>44571</v>
      </c>
      <c r="B22">
        <v>30.21</v>
      </c>
      <c r="C22">
        <v>30.37</v>
      </c>
      <c r="D22">
        <v>26.32</v>
      </c>
      <c r="E22">
        <v>28.12</v>
      </c>
      <c r="F22">
        <v>4810957.6824000003</v>
      </c>
      <c r="G22">
        <v>28.12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-0.11111111111111091</v>
      </c>
      <c r="Q22">
        <f t="shared" ref="Q22" si="86">F22*P22</f>
        <v>-534550.8535999991</v>
      </c>
      <c r="R22">
        <f t="shared" ref="R22" si="87">R23+Q22</f>
        <v>-14705748.572961789</v>
      </c>
      <c r="S22">
        <f t="shared" ref="S22" si="88">R22/100000</f>
        <v>-147.05748572961789</v>
      </c>
      <c r="T22">
        <f t="shared" ref="T22" si="89">S22/1000</f>
        <v>-0.14705748572961788</v>
      </c>
    </row>
    <row r="23" spans="1:20" x14ac:dyDescent="0.25">
      <c r="A23" s="5">
        <v>44570</v>
      </c>
      <c r="B23">
        <v>29.46</v>
      </c>
      <c r="C23">
        <v>31.08</v>
      </c>
      <c r="D23">
        <v>29.26</v>
      </c>
      <c r="E23">
        <v>30.21</v>
      </c>
      <c r="F23">
        <v>2346159.75</v>
      </c>
      <c r="G23">
        <v>30.21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4.3956043956045049E-2</v>
      </c>
      <c r="Q23">
        <f t="shared" ref="Q23" si="91">F23*P23</f>
        <v>103127.90109890366</v>
      </c>
      <c r="R23">
        <f t="shared" ref="R23" si="92">R24+Q23</f>
        <v>-14171197.71936179</v>
      </c>
      <c r="S23">
        <f t="shared" ref="S23" si="93">R23/100000</f>
        <v>-141.71197719361788</v>
      </c>
      <c r="T23">
        <f t="shared" ref="T23" si="94">S23/1000</f>
        <v>-0.14171197719361789</v>
      </c>
    </row>
    <row r="24" spans="1:20" x14ac:dyDescent="0.25">
      <c r="A24" s="5">
        <v>44569</v>
      </c>
      <c r="B24">
        <v>31.55</v>
      </c>
      <c r="C24">
        <v>32.200000000000003</v>
      </c>
      <c r="D24">
        <v>28.35</v>
      </c>
      <c r="E24">
        <v>29.46</v>
      </c>
      <c r="F24">
        <v>3407384.0655999999</v>
      </c>
      <c r="G24">
        <v>29.46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-0.42337662337662391</v>
      </c>
      <c r="Q24">
        <f t="shared" ref="Q24" si="96">F24*P24</f>
        <v>-1442606.7602410407</v>
      </c>
      <c r="R24">
        <f t="shared" ref="R24" si="97">R25+Q24</f>
        <v>-14274325.620460693</v>
      </c>
      <c r="S24">
        <f t="shared" ref="S24" si="98">R24/100000</f>
        <v>-142.74325620460692</v>
      </c>
      <c r="T24">
        <f t="shared" ref="T24" si="99">S24/1000</f>
        <v>-0.14274325620460693</v>
      </c>
    </row>
    <row r="25" spans="1:20" x14ac:dyDescent="0.25">
      <c r="A25" s="5">
        <v>44568</v>
      </c>
      <c r="B25">
        <v>32.979999999999997</v>
      </c>
      <c r="C25">
        <v>33.049999999999997</v>
      </c>
      <c r="D25">
        <v>29.75</v>
      </c>
      <c r="E25">
        <v>31.54</v>
      </c>
      <c r="F25">
        <v>4986731.6100000003</v>
      </c>
      <c r="G25">
        <v>31.54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8.484848484848527E-2</v>
      </c>
      <c r="Q25">
        <f t="shared" ref="Q25" si="101">F25*P25</f>
        <v>423116.62145454757</v>
      </c>
      <c r="R25">
        <f t="shared" ref="R25" si="102">R26+Q25</f>
        <v>-12831718.860219652</v>
      </c>
      <c r="S25">
        <f t="shared" ref="S25" si="103">R25/100000</f>
        <v>-128.31718860219652</v>
      </c>
      <c r="T25">
        <f t="shared" ref="T25" si="104">S25/1000</f>
        <v>-0.12831718860219651</v>
      </c>
    </row>
    <row r="26" spans="1:20" x14ac:dyDescent="0.25">
      <c r="A26" s="5">
        <v>44567</v>
      </c>
      <c r="B26">
        <v>33.15</v>
      </c>
      <c r="C26">
        <v>33.5</v>
      </c>
      <c r="D26">
        <v>32.049999999999997</v>
      </c>
      <c r="E26">
        <v>32.979999999999997</v>
      </c>
      <c r="F26">
        <v>3799196.1</v>
      </c>
      <c r="G26">
        <v>32.979999999999997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0.28275862068965224</v>
      </c>
      <c r="Q26">
        <f t="shared" ref="Q26" si="106">F26*P26</f>
        <v>1074255.4489655062</v>
      </c>
      <c r="R26">
        <f t="shared" ref="R26" si="107">R27+Q26</f>
        <v>-13254835.4816742</v>
      </c>
      <c r="S26">
        <f t="shared" ref="S26" si="108">R26/100000</f>
        <v>-132.54835481674201</v>
      </c>
      <c r="T26">
        <f t="shared" ref="T26" si="109">S26/1000</f>
        <v>-0.13254835481674201</v>
      </c>
    </row>
    <row r="27" spans="1:20" x14ac:dyDescent="0.25">
      <c r="A27" s="5">
        <v>44566</v>
      </c>
      <c r="B27">
        <v>36.17</v>
      </c>
      <c r="C27">
        <v>38.5</v>
      </c>
      <c r="D27">
        <v>31.05</v>
      </c>
      <c r="E27">
        <v>33.15</v>
      </c>
      <c r="F27">
        <v>6108216.3217000002</v>
      </c>
      <c r="G27">
        <v>33.15</v>
      </c>
      <c r="L27" t="s">
        <v>8</v>
      </c>
      <c r="M27" t="s">
        <v>7</v>
      </c>
      <c r="N27" t="s">
        <v>7</v>
      </c>
      <c r="P27">
        <f t="shared" ref="P27" si="110">IF(C27=D27,0,((E27-D27)-(C27-E27))/(C27-D27))</f>
        <v>-0.43624161073825557</v>
      </c>
      <c r="Q27">
        <f t="shared" ref="Q27" si="111">F27*P27</f>
        <v>-2664658.1269161105</v>
      </c>
      <c r="R27">
        <f t="shared" ref="R27" si="112">R28+Q27</f>
        <v>-14329090.930639707</v>
      </c>
      <c r="S27">
        <f t="shared" ref="S27" si="113">R27/100000</f>
        <v>-143.29090930639705</v>
      </c>
      <c r="T27">
        <f t="shared" ref="T27" si="114">S27/1000</f>
        <v>-0.14329090930639704</v>
      </c>
    </row>
    <row r="28" spans="1:20" x14ac:dyDescent="0.25">
      <c r="A28" s="5">
        <v>44565</v>
      </c>
      <c r="B28">
        <v>35.08</v>
      </c>
      <c r="C28">
        <v>38.229999999999997</v>
      </c>
      <c r="D28">
        <v>34.42</v>
      </c>
      <c r="E28">
        <v>36.17</v>
      </c>
      <c r="F28">
        <v>4462337.2699999996</v>
      </c>
      <c r="G28">
        <v>36.17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-8.1364829396324292E-2</v>
      </c>
      <c r="Q28">
        <f t="shared" ref="Q28" si="116">F28*P28</f>
        <v>-363077.31068240944</v>
      </c>
      <c r="R28">
        <f t="shared" ref="R28" si="117">R29+Q28</f>
        <v>-11664432.803723596</v>
      </c>
      <c r="S28">
        <f t="shared" ref="S28" si="118">R28/100000</f>
        <v>-116.64432803723597</v>
      </c>
      <c r="T28">
        <f t="shared" ref="T28" si="119">S28/1000</f>
        <v>-0.11664432803723597</v>
      </c>
    </row>
    <row r="29" spans="1:20" x14ac:dyDescent="0.25">
      <c r="A29" s="5">
        <v>44564</v>
      </c>
      <c r="B29">
        <v>35.74</v>
      </c>
      <c r="C29">
        <v>35.76</v>
      </c>
      <c r="D29">
        <v>34.369999999999997</v>
      </c>
      <c r="E29">
        <v>35.08</v>
      </c>
      <c r="F29">
        <v>1992032.92</v>
      </c>
      <c r="G29">
        <v>35.08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2.158273381295045E-2</v>
      </c>
      <c r="Q29">
        <f t="shared" ref="Q29" si="121">F29*P29</f>
        <v>42993.516258994416</v>
      </c>
      <c r="R29">
        <f t="shared" ref="R29" si="122">R30+Q29</f>
        <v>-11301355.493041188</v>
      </c>
      <c r="S29">
        <f t="shared" ref="S29" si="123">R29/100000</f>
        <v>-113.01355493041187</v>
      </c>
      <c r="T29">
        <f t="shared" ref="T29" si="124">S29/1000</f>
        <v>-0.11301355493041187</v>
      </c>
    </row>
    <row r="30" spans="1:20" x14ac:dyDescent="0.25">
      <c r="A30" s="5">
        <v>44563</v>
      </c>
      <c r="B30">
        <v>35.89</v>
      </c>
      <c r="C30">
        <v>36.5</v>
      </c>
      <c r="D30">
        <v>35.200000000000003</v>
      </c>
      <c r="E30">
        <v>35.74</v>
      </c>
      <c r="F30">
        <v>1908969.09</v>
      </c>
      <c r="G30">
        <v>35.74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-0.16923076923076871</v>
      </c>
      <c r="Q30">
        <f t="shared" ref="Q30" si="126">F30*P30</f>
        <v>-323056.30753846059</v>
      </c>
      <c r="R30">
        <f t="shared" ref="R30" si="127">R31+Q30</f>
        <v>-11344349.009300182</v>
      </c>
      <c r="S30">
        <f t="shared" ref="S30" si="128">R30/100000</f>
        <v>-113.44349009300181</v>
      </c>
      <c r="T30">
        <f t="shared" ref="T30" si="129">S30/1000</f>
        <v>-0.11344349009300181</v>
      </c>
    </row>
    <row r="31" spans="1:20" x14ac:dyDescent="0.25">
      <c r="A31" s="5">
        <v>44562</v>
      </c>
      <c r="B31">
        <v>34.25</v>
      </c>
      <c r="C31">
        <v>35.99</v>
      </c>
      <c r="D31">
        <v>34.24</v>
      </c>
      <c r="E31">
        <v>35.880000000000003</v>
      </c>
      <c r="F31">
        <v>1616700.27</v>
      </c>
      <c r="G31">
        <v>35.880000000000003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0.87428571428571489</v>
      </c>
      <c r="Q31">
        <f t="shared" ref="Q31" si="131">F31*P31</f>
        <v>1413457.9503428582</v>
      </c>
      <c r="R31">
        <f t="shared" ref="R31" si="132">R32+Q31</f>
        <v>-11021292.701761721</v>
      </c>
      <c r="S31">
        <f t="shared" ref="S31" si="133">R31/100000</f>
        <v>-110.2129270176172</v>
      </c>
      <c r="T31">
        <f t="shared" ref="T31" si="134">S31/1000</f>
        <v>-0.1102129270176172</v>
      </c>
    </row>
    <row r="32" spans="1:20" x14ac:dyDescent="0.25">
      <c r="A32" s="5">
        <v>44561</v>
      </c>
      <c r="B32">
        <v>34.94</v>
      </c>
      <c r="C32">
        <v>35.729999999999997</v>
      </c>
      <c r="D32">
        <v>33.5</v>
      </c>
      <c r="E32">
        <v>34.24</v>
      </c>
      <c r="F32">
        <v>3112798.52</v>
      </c>
      <c r="G32">
        <v>34.24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-0.33632286995515426</v>
      </c>
      <c r="Q32">
        <f t="shared" ref="Q32" si="136">F32*P32</f>
        <v>-1046905.3318385567</v>
      </c>
      <c r="R32">
        <f t="shared" ref="R32" si="137">R33+Q32</f>
        <v>-12434750.652104579</v>
      </c>
      <c r="S32">
        <f t="shared" ref="S32" si="138">R32/100000</f>
        <v>-124.34750652104579</v>
      </c>
      <c r="T32">
        <f t="shared" ref="T32" si="139">S32/1000</f>
        <v>-0.12434750652104579</v>
      </c>
    </row>
    <row r="33" spans="1:20" x14ac:dyDescent="0.25">
      <c r="A33" s="5">
        <v>44560</v>
      </c>
      <c r="B33">
        <v>34.21</v>
      </c>
      <c r="C33">
        <v>35.83</v>
      </c>
      <c r="D33">
        <v>33.29</v>
      </c>
      <c r="E33">
        <v>34.94</v>
      </c>
      <c r="F33">
        <v>3190390.63</v>
      </c>
      <c r="G33">
        <v>34.94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0.29921259842519615</v>
      </c>
      <c r="Q33">
        <f t="shared" ref="Q33" si="141">F33*P33</f>
        <v>954605.07039369852</v>
      </c>
      <c r="R33">
        <f t="shared" ref="R33" si="142">R34+Q33</f>
        <v>-11387845.320266021</v>
      </c>
      <c r="S33">
        <f t="shared" ref="S33" si="143">R33/100000</f>
        <v>-113.87845320266021</v>
      </c>
      <c r="T33">
        <f t="shared" ref="T33" si="144">S33/1000</f>
        <v>-0.11387845320266021</v>
      </c>
    </row>
    <row r="34" spans="1:20" x14ac:dyDescent="0.25">
      <c r="A34" s="5">
        <v>44559</v>
      </c>
      <c r="B34">
        <v>36.26</v>
      </c>
      <c r="C34">
        <v>36.76</v>
      </c>
      <c r="D34">
        <v>33.85</v>
      </c>
      <c r="E34">
        <v>34.22</v>
      </c>
      <c r="F34">
        <v>3574478.26</v>
      </c>
      <c r="G34">
        <v>34.22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-0.74570446735395335</v>
      </c>
      <c r="Q34">
        <f t="shared" ref="Q34" si="146">F34*P34</f>
        <v>-2665504.4069415857</v>
      </c>
      <c r="R34">
        <f t="shared" ref="R34" si="147">R35+Q34</f>
        <v>-12342450.39065972</v>
      </c>
      <c r="S34">
        <f t="shared" ref="S34" si="148">R34/100000</f>
        <v>-123.4245039065972</v>
      </c>
      <c r="T34">
        <f t="shared" ref="T34" si="149">S34/1000</f>
        <v>-0.12342450390659719</v>
      </c>
    </row>
    <row r="35" spans="1:20" x14ac:dyDescent="0.25">
      <c r="A35" s="5">
        <v>44558</v>
      </c>
      <c r="B35">
        <v>39.22</v>
      </c>
      <c r="C35">
        <v>39.840000000000003</v>
      </c>
      <c r="D35">
        <v>35.83</v>
      </c>
      <c r="E35">
        <v>36.26</v>
      </c>
      <c r="F35">
        <v>5909591.9199999999</v>
      </c>
      <c r="G35">
        <v>36.26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-0.78553615960099787</v>
      </c>
      <c r="Q35">
        <f t="shared" ref="Q35" si="151">F35*P35</f>
        <v>-4642198.1416458879</v>
      </c>
      <c r="R35">
        <f t="shared" ref="R35" si="152">R36+Q35</f>
        <v>-9676945.9837181345</v>
      </c>
      <c r="S35">
        <f t="shared" ref="S35" si="153">R35/100000</f>
        <v>-96.769459837181344</v>
      </c>
      <c r="T35">
        <f t="shared" ref="T35" si="154">S35/1000</f>
        <v>-9.676945983718134E-2</v>
      </c>
    </row>
    <row r="36" spans="1:20" x14ac:dyDescent="0.25">
      <c r="A36" s="5">
        <v>44557</v>
      </c>
      <c r="B36">
        <v>37.29</v>
      </c>
      <c r="C36">
        <v>41.27</v>
      </c>
      <c r="D36">
        <v>36.909999999999997</v>
      </c>
      <c r="E36">
        <v>39.22</v>
      </c>
      <c r="F36">
        <v>4898369.4800000004</v>
      </c>
      <c r="G36">
        <v>39.22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5.9633027522935235E-2</v>
      </c>
      <c r="Q36">
        <f t="shared" ref="Q36" si="156">F36*P36</f>
        <v>292104.60201834596</v>
      </c>
      <c r="R36">
        <f t="shared" ref="R36" si="157">R37+Q36</f>
        <v>-5034747.8420722466</v>
      </c>
      <c r="S36">
        <f t="shared" ref="S36" si="158">R36/100000</f>
        <v>-50.347478420722467</v>
      </c>
      <c r="T36">
        <f t="shared" ref="T36" si="159">S36/1000</f>
        <v>-5.0347478420722465E-2</v>
      </c>
    </row>
    <row r="37" spans="1:20" x14ac:dyDescent="0.25">
      <c r="A37" s="5">
        <v>44556</v>
      </c>
      <c r="B37">
        <v>37.01</v>
      </c>
      <c r="C37">
        <v>37.71</v>
      </c>
      <c r="D37">
        <v>35.520000000000003</v>
      </c>
      <c r="E37">
        <v>37.28</v>
      </c>
      <c r="F37">
        <v>2459649.2400000002</v>
      </c>
      <c r="G37">
        <v>37.28</v>
      </c>
      <c r="L37" t="s">
        <v>8</v>
      </c>
      <c r="M37" t="s">
        <v>7</v>
      </c>
      <c r="N37" t="s">
        <v>7</v>
      </c>
      <c r="P37">
        <f t="shared" ref="P37" si="160">IF(C37=D37,0,((E37-D37)-(C37-E37))/(C37-D37))</f>
        <v>0.60730593607305916</v>
      </c>
      <c r="Q37">
        <f t="shared" ref="Q37" si="161">F37*P37</f>
        <v>1493759.5841095888</v>
      </c>
      <c r="R37">
        <f t="shared" ref="R37" si="162">R38+Q37</f>
        <v>-5326852.4440905927</v>
      </c>
      <c r="S37">
        <f t="shared" ref="S37" si="163">R37/100000</f>
        <v>-53.268524440905928</v>
      </c>
      <c r="T37">
        <f t="shared" ref="T37" si="164">S37/1000</f>
        <v>-5.3268524440905927E-2</v>
      </c>
    </row>
    <row r="38" spans="1:20" x14ac:dyDescent="0.25">
      <c r="A38" s="5">
        <v>44555</v>
      </c>
      <c r="B38">
        <v>36.46</v>
      </c>
      <c r="C38">
        <v>37.299999999999997</v>
      </c>
      <c r="D38">
        <v>36.18</v>
      </c>
      <c r="E38">
        <v>37</v>
      </c>
      <c r="F38">
        <v>1798246.82</v>
      </c>
      <c r="G38">
        <v>37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0.46428571428571813</v>
      </c>
      <c r="Q38">
        <f t="shared" ref="Q38" si="166">F38*P38</f>
        <v>834900.30928572128</v>
      </c>
      <c r="R38">
        <f t="shared" ref="R38" si="167">R39+Q38</f>
        <v>-6820612.0282001812</v>
      </c>
      <c r="S38">
        <f t="shared" ref="S38" si="168">R38/100000</f>
        <v>-68.206120282001805</v>
      </c>
      <c r="T38">
        <f t="shared" ref="T38" si="169">S38/1000</f>
        <v>-6.8206120282001806E-2</v>
      </c>
    </row>
    <row r="39" spans="1:20" x14ac:dyDescent="0.25">
      <c r="A39" s="5">
        <v>44554</v>
      </c>
      <c r="B39">
        <v>37.36</v>
      </c>
      <c r="C39">
        <v>37.74</v>
      </c>
      <c r="D39">
        <v>36</v>
      </c>
      <c r="E39">
        <v>36.450000000000003</v>
      </c>
      <c r="F39">
        <v>2588733.7799999998</v>
      </c>
      <c r="G39">
        <v>36.450000000000003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-0.48275862068965247</v>
      </c>
      <c r="Q39">
        <f t="shared" ref="Q39" si="171">F39*P39</f>
        <v>-1249733.5489655102</v>
      </c>
      <c r="R39">
        <f t="shared" ref="R39" si="172">R40+Q39</f>
        <v>-7655512.337485902</v>
      </c>
      <c r="S39">
        <f t="shared" ref="S39" si="173">R39/100000</f>
        <v>-76.555123374859022</v>
      </c>
      <c r="T39">
        <f t="shared" ref="T39" si="174">S39/1000</f>
        <v>-7.6555123374859022E-2</v>
      </c>
    </row>
    <row r="40" spans="1:20" x14ac:dyDescent="0.25">
      <c r="A40" s="5">
        <v>44553</v>
      </c>
      <c r="B40">
        <v>35.630000000000003</v>
      </c>
      <c r="C40">
        <v>38.07</v>
      </c>
      <c r="D40">
        <v>35.130000000000003</v>
      </c>
      <c r="E40">
        <v>37.36</v>
      </c>
      <c r="F40">
        <v>3077010.51</v>
      </c>
      <c r="G40">
        <v>37.36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0.51700680272108746</v>
      </c>
      <c r="Q40">
        <f t="shared" ref="Q40" si="176">F40*P40</f>
        <v>1590835.3657142825</v>
      </c>
      <c r="R40">
        <f t="shared" ref="R40" si="177">R41+Q40</f>
        <v>-6405778.788520392</v>
      </c>
      <c r="S40">
        <f t="shared" ref="S40" si="178">R40/100000</f>
        <v>-64.057787885203922</v>
      </c>
      <c r="T40">
        <f t="shared" ref="T40" si="179">S40/1000</f>
        <v>-6.4057787885203915E-2</v>
      </c>
    </row>
    <row r="41" spans="1:20" x14ac:dyDescent="0.25">
      <c r="A41" s="5">
        <v>44552</v>
      </c>
      <c r="B41">
        <v>35.299999999999997</v>
      </c>
      <c r="C41">
        <v>36.450000000000003</v>
      </c>
      <c r="D41">
        <v>34.880000000000003</v>
      </c>
      <c r="E41">
        <v>35.630000000000003</v>
      </c>
      <c r="F41">
        <v>3360745.83</v>
      </c>
      <c r="G41">
        <v>35.630000000000003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-4.4585987261146667E-2</v>
      </c>
      <c r="Q41">
        <f t="shared" ref="Q41" si="181">F41*P41</f>
        <v>-149842.17076433179</v>
      </c>
      <c r="R41">
        <f t="shared" ref="R41" si="182">R42+Q41</f>
        <v>-7996614.1542346748</v>
      </c>
      <c r="S41">
        <f t="shared" ref="S41" si="183">R41/100000</f>
        <v>-79.966141542346747</v>
      </c>
      <c r="T41">
        <f t="shared" ref="T41" si="184">S41/1000</f>
        <v>-7.9966141542346741E-2</v>
      </c>
    </row>
    <row r="42" spans="1:20" x14ac:dyDescent="0.25">
      <c r="A42" s="5">
        <v>44551</v>
      </c>
      <c r="B42">
        <v>34.85</v>
      </c>
      <c r="C42">
        <v>36.200000000000003</v>
      </c>
      <c r="D42">
        <v>34.31</v>
      </c>
      <c r="E42">
        <v>35.31</v>
      </c>
      <c r="F42">
        <v>2165381.6800000002</v>
      </c>
      <c r="G42">
        <v>35.31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5.8201058201057886E-2</v>
      </c>
      <c r="Q42">
        <f t="shared" ref="Q42" si="186">F42*P42</f>
        <v>126027.50518518451</v>
      </c>
      <c r="R42">
        <f t="shared" ref="R42" si="187">R43+Q42</f>
        <v>-7846771.9834703431</v>
      </c>
      <c r="S42">
        <f t="shared" ref="S42" si="188">R42/100000</f>
        <v>-78.467719834703431</v>
      </c>
      <c r="T42">
        <f t="shared" ref="T42" si="189">S42/1000</f>
        <v>-7.8467719834703437E-2</v>
      </c>
    </row>
    <row r="43" spans="1:20" x14ac:dyDescent="0.25">
      <c r="A43" s="5">
        <v>44550</v>
      </c>
      <c r="B43">
        <v>35.79</v>
      </c>
      <c r="C43">
        <v>35.94</v>
      </c>
      <c r="D43">
        <v>33.83</v>
      </c>
      <c r="E43">
        <v>34.85</v>
      </c>
      <c r="F43">
        <v>2748910.03</v>
      </c>
      <c r="G43">
        <v>34.85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-3.3175355450233743E-2</v>
      </c>
      <c r="Q43">
        <f t="shared" ref="Q43" si="191">F43*P43</f>
        <v>-91196.0673459627</v>
      </c>
      <c r="R43">
        <f t="shared" ref="R43" si="192">R44+Q43</f>
        <v>-7972799.4886555271</v>
      </c>
      <c r="S43">
        <f t="shared" ref="S43" si="193">R43/100000</f>
        <v>-79.727994886555265</v>
      </c>
      <c r="T43">
        <f t="shared" ref="T43" si="194">S43/1000</f>
        <v>-7.972799488655527E-2</v>
      </c>
    </row>
    <row r="44" spans="1:20" x14ac:dyDescent="0.25">
      <c r="A44" s="5">
        <v>44549</v>
      </c>
      <c r="B44">
        <v>36.36</v>
      </c>
      <c r="C44">
        <v>36.700000000000003</v>
      </c>
      <c r="D44">
        <v>35.729999999999997</v>
      </c>
      <c r="E44">
        <v>35.79</v>
      </c>
      <c r="F44">
        <v>1436532.9</v>
      </c>
      <c r="G44">
        <v>35.79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-0.87628865979381054</v>
      </c>
      <c r="Q44">
        <f t="shared" ref="Q44" si="196">F44*P44</f>
        <v>-1258817.4896907159</v>
      </c>
      <c r="R44">
        <f t="shared" ref="R44" si="197">R45+Q44</f>
        <v>-7881603.4213095643</v>
      </c>
      <c r="S44">
        <f t="shared" ref="S44" si="198">R44/100000</f>
        <v>-78.816034213095648</v>
      </c>
      <c r="T44">
        <f t="shared" ref="T44" si="199">S44/1000</f>
        <v>-7.8816034213095645E-2</v>
      </c>
    </row>
    <row r="45" spans="1:20" x14ac:dyDescent="0.25">
      <c r="A45" s="5">
        <v>44548</v>
      </c>
      <c r="B45">
        <v>35.64</v>
      </c>
      <c r="C45">
        <v>36.78</v>
      </c>
      <c r="D45">
        <v>35.25</v>
      </c>
      <c r="E45">
        <v>36.36</v>
      </c>
      <c r="F45">
        <v>1822569.03</v>
      </c>
      <c r="G45">
        <v>36.36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0.45098039215686092</v>
      </c>
      <c r="Q45">
        <f t="shared" ref="Q45" si="201">F45*P45</f>
        <v>821942.89588234958</v>
      </c>
      <c r="R45">
        <f t="shared" ref="R45" si="202">R46+Q45</f>
        <v>-6622785.9316188488</v>
      </c>
      <c r="S45">
        <f t="shared" ref="S45" si="203">R45/100000</f>
        <v>-66.227859316188486</v>
      </c>
      <c r="T45">
        <f t="shared" ref="T45" si="204">S45/1000</f>
        <v>-6.6227859316188492E-2</v>
      </c>
    </row>
    <row r="46" spans="1:20" x14ac:dyDescent="0.25">
      <c r="A46" s="5">
        <v>44547</v>
      </c>
      <c r="B46">
        <v>37.21</v>
      </c>
      <c r="C46">
        <v>38.99</v>
      </c>
      <c r="D46">
        <v>35.33</v>
      </c>
      <c r="E46">
        <v>35.64</v>
      </c>
      <c r="F46">
        <v>4449900.99</v>
      </c>
      <c r="G46">
        <v>35.64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-0.83060109289617379</v>
      </c>
      <c r="Q46">
        <f t="shared" ref="Q46" si="206">F46*P46</f>
        <v>-3696092.625573766</v>
      </c>
      <c r="R46">
        <f t="shared" ref="R46" si="207">R47+Q46</f>
        <v>-7444728.8275011983</v>
      </c>
      <c r="S46">
        <f t="shared" ref="S46" si="208">R46/100000</f>
        <v>-74.447288275011985</v>
      </c>
      <c r="T46">
        <f t="shared" ref="T46" si="209">S46/1000</f>
        <v>-7.4447288275011986E-2</v>
      </c>
    </row>
    <row r="47" spans="1:20" x14ac:dyDescent="0.25">
      <c r="A47" s="5">
        <v>44546</v>
      </c>
      <c r="B47">
        <v>38.21</v>
      </c>
      <c r="C47">
        <v>38.53</v>
      </c>
      <c r="D47">
        <v>36.950000000000003</v>
      </c>
      <c r="E47">
        <v>37.21</v>
      </c>
      <c r="F47">
        <v>1986193.15</v>
      </c>
      <c r="G47">
        <v>37.21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-0.67088607594936922</v>
      </c>
      <c r="Q47">
        <f t="shared" ref="Q47" si="211">F47*P47</f>
        <v>-1332509.3284810169</v>
      </c>
      <c r="R47">
        <f t="shared" ref="R47" si="212">R48+Q47</f>
        <v>-3748636.2019274328</v>
      </c>
      <c r="S47">
        <f t="shared" ref="S47" si="213">R47/100000</f>
        <v>-37.486362019274331</v>
      </c>
      <c r="T47">
        <f t="shared" ref="T47" si="214">S47/1000</f>
        <v>-3.7486362019274334E-2</v>
      </c>
    </row>
    <row r="48" spans="1:20" x14ac:dyDescent="0.25">
      <c r="A48" s="5">
        <v>44545</v>
      </c>
      <c r="B48">
        <v>36.729999999999997</v>
      </c>
      <c r="C48">
        <v>38.9</v>
      </c>
      <c r="D48">
        <v>35.61</v>
      </c>
      <c r="E48">
        <v>38.21</v>
      </c>
      <c r="F48">
        <v>3444393.33</v>
      </c>
      <c r="G48">
        <v>38.21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0.5805471124620073</v>
      </c>
      <c r="Q48">
        <f t="shared" ref="Q48" si="216">F48*P48</f>
        <v>1999632.6019148978</v>
      </c>
      <c r="R48">
        <f t="shared" ref="R48" si="217">R49+Q48</f>
        <v>-2416126.8734464161</v>
      </c>
      <c r="S48">
        <f t="shared" ref="S48" si="218">R48/100000</f>
        <v>-24.161268734464162</v>
      </c>
      <c r="T48">
        <f t="shared" ref="T48" si="219">S48/1000</f>
        <v>-2.4161268734464163E-2</v>
      </c>
    </row>
    <row r="49" spans="1:20" x14ac:dyDescent="0.25">
      <c r="A49" s="5">
        <v>44544</v>
      </c>
      <c r="B49">
        <v>35.869999999999997</v>
      </c>
      <c r="C49">
        <v>37.299999999999997</v>
      </c>
      <c r="D49">
        <v>35.21</v>
      </c>
      <c r="E49">
        <v>36.72</v>
      </c>
      <c r="F49">
        <v>2850145.23</v>
      </c>
      <c r="G49">
        <v>36.72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0.44497607655502458</v>
      </c>
      <c r="Q49">
        <f t="shared" ref="Q49" si="221">F49*P49</f>
        <v>1268246.4420574182</v>
      </c>
      <c r="R49">
        <f t="shared" ref="R49" si="222">R50+Q49</f>
        <v>-4415759.4753613137</v>
      </c>
      <c r="S49">
        <f t="shared" ref="S49" si="223">R49/100000</f>
        <v>-44.157594753613139</v>
      </c>
      <c r="T49">
        <f t="shared" ref="T49" si="224">S49/1000</f>
        <v>-4.4157594753613139E-2</v>
      </c>
    </row>
    <row r="50" spans="1:20" x14ac:dyDescent="0.25">
      <c r="A50" s="5">
        <v>44543</v>
      </c>
      <c r="B50">
        <v>39.68</v>
      </c>
      <c r="C50">
        <v>40.020000000000003</v>
      </c>
      <c r="D50">
        <v>35.229999999999997</v>
      </c>
      <c r="E50">
        <v>35.869999999999997</v>
      </c>
      <c r="F50">
        <v>4044779.54</v>
      </c>
      <c r="G50">
        <v>35.869999999999997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-0.73277661795407112</v>
      </c>
      <c r="Q50">
        <f t="shared" ref="Q50" si="226">F50*P50</f>
        <v>-2963919.8716910235</v>
      </c>
      <c r="R50">
        <f t="shared" ref="R50" si="227">R51+Q50</f>
        <v>-5684005.9174187314</v>
      </c>
      <c r="S50">
        <f t="shared" ref="S50" si="228">R50/100000</f>
        <v>-56.840059174187317</v>
      </c>
      <c r="T50">
        <f t="shared" ref="T50" si="229">S50/1000</f>
        <v>-5.6840059174187316E-2</v>
      </c>
    </row>
    <row r="51" spans="1:20" x14ac:dyDescent="0.25">
      <c r="A51" s="5">
        <v>44542</v>
      </c>
      <c r="B51">
        <v>40.42</v>
      </c>
      <c r="C51">
        <v>40.520000000000003</v>
      </c>
      <c r="D51">
        <v>38.69</v>
      </c>
      <c r="E51">
        <v>39.67</v>
      </c>
      <c r="F51">
        <v>1938174.44</v>
      </c>
      <c r="G51">
        <v>39.67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7.1038251366121408E-2</v>
      </c>
      <c r="Q51">
        <f t="shared" ref="Q51" si="231">F51*P51</f>
        <v>137684.52306011159</v>
      </c>
      <c r="R51">
        <f t="shared" ref="R51" si="232">R52+Q51</f>
        <v>-2720086.0457277084</v>
      </c>
      <c r="S51">
        <f t="shared" ref="S51" si="233">R51/100000</f>
        <v>-27.200860457277084</v>
      </c>
      <c r="T51">
        <f t="shared" ref="T51" si="234">S51/1000</f>
        <v>-2.7200860457277085E-2</v>
      </c>
    </row>
    <row r="52" spans="1:20" x14ac:dyDescent="0.25">
      <c r="A52" s="5">
        <v>44541</v>
      </c>
      <c r="B52">
        <v>39.83</v>
      </c>
      <c r="C52">
        <v>40.07</v>
      </c>
      <c r="D52">
        <v>38.659999999999997</v>
      </c>
      <c r="E52">
        <v>39.590000000000003</v>
      </c>
      <c r="F52">
        <v>371663.53</v>
      </c>
      <c r="G52">
        <v>39.590000000000003</v>
      </c>
      <c r="L52" t="s">
        <v>8</v>
      </c>
      <c r="M52" t="s">
        <v>8</v>
      </c>
      <c r="N52" t="s">
        <v>7</v>
      </c>
      <c r="P52">
        <f t="shared" ref="P52" si="235">IF(C52=D52,0,((E52-D52)-(C52-E52))/(C52-D52))</f>
        <v>0.319148936170219</v>
      </c>
      <c r="Q52">
        <f t="shared" ref="Q52" si="236">F52*P52</f>
        <v>118616.02021276829</v>
      </c>
      <c r="R52">
        <f t="shared" ref="R52" si="237">R53+Q52</f>
        <v>-2857770.5687878202</v>
      </c>
      <c r="S52">
        <f t="shared" ref="S52" si="238">R52/100000</f>
        <v>-28.577705687878201</v>
      </c>
      <c r="T52">
        <f t="shared" ref="T52" si="239">S52/1000</f>
        <v>-2.8577705687878201E-2</v>
      </c>
    </row>
    <row r="53" spans="1:20" x14ac:dyDescent="0.25">
      <c r="A53" s="5">
        <v>44540</v>
      </c>
      <c r="B53">
        <v>37.479999999999997</v>
      </c>
      <c r="C53">
        <v>41.38</v>
      </c>
      <c r="D53">
        <v>37.409999999999997</v>
      </c>
      <c r="E53">
        <v>39.83</v>
      </c>
      <c r="F53">
        <v>6344647.0700000003</v>
      </c>
      <c r="G53">
        <v>39.83</v>
      </c>
      <c r="L53" t="s">
        <v>8</v>
      </c>
      <c r="M53" t="s">
        <v>8</v>
      </c>
      <c r="N53" t="s">
        <v>7</v>
      </c>
      <c r="P53">
        <f t="shared" ref="P53" si="240">IF(C53=D53,0,((E53-D53)-(C53-E53))/(C53-D53))</f>
        <v>0.21914357682619551</v>
      </c>
      <c r="Q53">
        <f t="shared" ref="Q53" si="241">F53*P53</f>
        <v>1390388.6526196413</v>
      </c>
      <c r="R53">
        <f t="shared" ref="R53" si="242">R54+Q53</f>
        <v>-2976386.5890005883</v>
      </c>
      <c r="S53">
        <f t="shared" ref="S53" si="243">R53/100000</f>
        <v>-29.763865890005881</v>
      </c>
      <c r="T53">
        <f t="shared" ref="T53" si="244">S53/1000</f>
        <v>-2.9763865890005882E-2</v>
      </c>
    </row>
    <row r="54" spans="1:20" x14ac:dyDescent="0.25">
      <c r="A54" s="5">
        <v>44539</v>
      </c>
      <c r="B54">
        <v>41.37</v>
      </c>
      <c r="C54">
        <v>41.62</v>
      </c>
      <c r="D54">
        <v>37</v>
      </c>
      <c r="E54">
        <v>37.479999999999997</v>
      </c>
      <c r="F54">
        <v>4101940.99</v>
      </c>
      <c r="G54">
        <v>37.479999999999997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-0.79220779220779347</v>
      </c>
      <c r="Q54">
        <f t="shared" ref="Q54" si="246">F54*P54</f>
        <v>-3249589.6154545508</v>
      </c>
      <c r="R54">
        <f t="shared" ref="R54" si="247">R55+Q54</f>
        <v>-4366775.2416202296</v>
      </c>
      <c r="S54">
        <f t="shared" ref="S54" si="248">R54/100000</f>
        <v>-43.667752416202298</v>
      </c>
      <c r="T54">
        <f t="shared" ref="T54" si="249">S54/1000</f>
        <v>-4.3667752416202299E-2</v>
      </c>
    </row>
    <row r="55" spans="1:20" x14ac:dyDescent="0.25">
      <c r="A55" s="5">
        <v>44538</v>
      </c>
      <c r="B55">
        <v>39.130000000000003</v>
      </c>
      <c r="C55">
        <v>43.61</v>
      </c>
      <c r="D55">
        <v>38.799999999999997</v>
      </c>
      <c r="E55">
        <v>41.37</v>
      </c>
      <c r="F55">
        <v>6432824.29</v>
      </c>
      <c r="G55">
        <v>41.37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6.8607068607068222E-2</v>
      </c>
      <c r="Q55">
        <f t="shared" ref="Q55" si="251">F55*P55</f>
        <v>441337.21740124491</v>
      </c>
      <c r="R55">
        <f t="shared" ref="R55" si="252">R56+Q55</f>
        <v>-1117185.6261656785</v>
      </c>
      <c r="S55">
        <f t="shared" ref="S55" si="253">R55/100000</f>
        <v>-11.171856261656785</v>
      </c>
      <c r="T55">
        <f t="shared" ref="T55" si="254">S55/1000</f>
        <v>-1.1171856261656786E-2</v>
      </c>
    </row>
    <row r="56" spans="1:20" x14ac:dyDescent="0.25">
      <c r="A56" s="5">
        <v>44537</v>
      </c>
      <c r="B56">
        <v>38.729999999999997</v>
      </c>
      <c r="C56">
        <v>39.99</v>
      </c>
      <c r="D56">
        <v>38.53</v>
      </c>
      <c r="E56">
        <v>39.130000000000003</v>
      </c>
      <c r="F56">
        <v>3533604.81</v>
      </c>
      <c r="G56">
        <v>39.130000000000003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-0.17808219178082046</v>
      </c>
      <c r="Q56">
        <f t="shared" ref="Q56" si="256">F56*P56</f>
        <v>-629272.08945204969</v>
      </c>
      <c r="R56">
        <f t="shared" ref="R56" si="257">R57+Q56</f>
        <v>-1558522.8435669234</v>
      </c>
      <c r="S56">
        <f t="shared" ref="S56" si="258">R56/100000</f>
        <v>-15.585228435669235</v>
      </c>
      <c r="T56">
        <f t="shared" ref="T56" si="259">S56/1000</f>
        <v>-1.5585228435669235E-2</v>
      </c>
    </row>
    <row r="57" spans="1:20" x14ac:dyDescent="0.25">
      <c r="A57" s="5">
        <v>44536</v>
      </c>
      <c r="B57">
        <v>39.1</v>
      </c>
      <c r="C57">
        <v>39.130000000000003</v>
      </c>
      <c r="D57">
        <v>35.520000000000003</v>
      </c>
      <c r="E57">
        <v>38.72</v>
      </c>
      <c r="F57">
        <v>6711419.9299999997</v>
      </c>
      <c r="G57">
        <v>38.72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0.77285318559556582</v>
      </c>
      <c r="Q57">
        <f t="shared" ref="Q57" si="261">F57*P57</f>
        <v>5186942.2727700695</v>
      </c>
      <c r="R57">
        <f t="shared" ref="R57" si="262">R58+Q57</f>
        <v>-929250.75411487371</v>
      </c>
      <c r="S57">
        <f t="shared" ref="S57" si="263">R57/100000</f>
        <v>-9.292507541148737</v>
      </c>
      <c r="T57">
        <f t="shared" ref="T57" si="264">S57/1000</f>
        <v>-9.2925075411487371E-3</v>
      </c>
    </row>
    <row r="58" spans="1:20" x14ac:dyDescent="0.25">
      <c r="A58" s="5">
        <v>44535</v>
      </c>
      <c r="B58">
        <v>41.01</v>
      </c>
      <c r="C58">
        <v>41.74</v>
      </c>
      <c r="D58">
        <v>36.89</v>
      </c>
      <c r="E58">
        <v>39.1</v>
      </c>
      <c r="F58">
        <v>6915456.2699999996</v>
      </c>
      <c r="G58">
        <v>39.1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-8.8659793814432911E-2</v>
      </c>
      <c r="Q58">
        <f t="shared" ref="Q58" si="266">F58*P58</f>
        <v>-613122.92703092727</v>
      </c>
      <c r="R58">
        <f t="shared" ref="R58" si="267">R59+Q58</f>
        <v>-6116193.0268849432</v>
      </c>
      <c r="S58">
        <f t="shared" ref="S58" si="268">R58/100000</f>
        <v>-61.161930268849432</v>
      </c>
      <c r="T58">
        <f t="shared" ref="T58" si="269">S58/1000</f>
        <v>-6.1161930268849432E-2</v>
      </c>
    </row>
    <row r="59" spans="1:20" x14ac:dyDescent="0.25">
      <c r="A59" s="5">
        <v>44534</v>
      </c>
      <c r="B59">
        <v>49.7</v>
      </c>
      <c r="C59">
        <v>49.75</v>
      </c>
      <c r="D59">
        <v>32.67</v>
      </c>
      <c r="E59">
        <v>41.01</v>
      </c>
      <c r="F59">
        <v>22461581.311299998</v>
      </c>
      <c r="G59">
        <v>41.01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-2.3419203747072934E-2</v>
      </c>
      <c r="Q59">
        <f t="shared" ref="Q59" si="271">F59*P59</f>
        <v>-526032.34921078035</v>
      </c>
      <c r="R59">
        <f t="shared" ref="R59" si="272">R60+Q59</f>
        <v>-5503070.0998540157</v>
      </c>
      <c r="S59">
        <f t="shared" ref="S59" si="273">R59/100000</f>
        <v>-55.030700998540155</v>
      </c>
      <c r="T59">
        <f t="shared" ref="T59" si="274">S59/1000</f>
        <v>-5.5030700998540155E-2</v>
      </c>
    </row>
    <row r="60" spans="1:20" x14ac:dyDescent="0.25">
      <c r="A60" s="5">
        <v>44533</v>
      </c>
      <c r="B60">
        <v>53.76</v>
      </c>
      <c r="C60">
        <v>53.88</v>
      </c>
      <c r="D60">
        <v>48.28</v>
      </c>
      <c r="E60">
        <v>49.7</v>
      </c>
      <c r="F60">
        <v>4723536.88</v>
      </c>
      <c r="G60">
        <v>49.7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-0.49285714285714238</v>
      </c>
      <c r="Q60">
        <f t="shared" ref="Q60" si="276">F60*P60</f>
        <v>-2328028.8908571405</v>
      </c>
      <c r="R60">
        <f t="shared" ref="R60" si="277">R61+Q60</f>
        <v>-4977037.7506432356</v>
      </c>
      <c r="S60">
        <f t="shared" ref="S60" si="278">R60/100000</f>
        <v>-49.770377506432354</v>
      </c>
      <c r="T60">
        <f t="shared" ref="T60" si="279">S60/1000</f>
        <v>-4.9770377506432352E-2</v>
      </c>
    </row>
    <row r="61" spans="1:20" x14ac:dyDescent="0.25">
      <c r="A61" s="5">
        <v>44532</v>
      </c>
      <c r="B61">
        <v>54.37</v>
      </c>
      <c r="C61">
        <v>54.37</v>
      </c>
      <c r="D61">
        <v>52.59</v>
      </c>
      <c r="E61">
        <v>53.75</v>
      </c>
      <c r="F61">
        <v>2672585.21</v>
      </c>
      <c r="G61">
        <v>53.75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0.30337078651685445</v>
      </c>
      <c r="Q61">
        <f t="shared" ref="Q61" si="281">F61*P61</f>
        <v>810784.27719101263</v>
      </c>
      <c r="R61">
        <f t="shared" ref="R61" si="282">R62+Q61</f>
        <v>-2649008.8597860951</v>
      </c>
      <c r="S61">
        <f t="shared" ref="S61" si="283">R61/100000</f>
        <v>-26.49008859786095</v>
      </c>
      <c r="T61">
        <f t="shared" ref="T61" si="284">S61/1000</f>
        <v>-2.649008859786095E-2</v>
      </c>
    </row>
    <row r="62" spans="1:20" x14ac:dyDescent="0.25">
      <c r="A62" s="5">
        <v>44531</v>
      </c>
      <c r="B62">
        <v>53.74</v>
      </c>
      <c r="C62">
        <v>55.81</v>
      </c>
      <c r="D62">
        <v>53.56</v>
      </c>
      <c r="E62">
        <v>54.37</v>
      </c>
      <c r="F62">
        <v>3297897.35</v>
      </c>
      <c r="G62">
        <v>54.37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-0.2800000000000043</v>
      </c>
      <c r="Q62">
        <f t="shared" ref="Q62" si="286">F62*P62</f>
        <v>-923411.25800001423</v>
      </c>
      <c r="R62">
        <f t="shared" ref="R62" si="287">R63+Q62</f>
        <v>-3459793.1369771077</v>
      </c>
      <c r="S62">
        <f t="shared" ref="S62" si="288">R62/100000</f>
        <v>-34.597931369771075</v>
      </c>
      <c r="T62">
        <f t="shared" ref="T62" si="289">S62/1000</f>
        <v>-3.4597931369771073E-2</v>
      </c>
    </row>
    <row r="63" spans="1:20" x14ac:dyDescent="0.25">
      <c r="A63" s="5">
        <v>44530</v>
      </c>
      <c r="B63">
        <v>54.63</v>
      </c>
      <c r="C63">
        <v>55.65</v>
      </c>
      <c r="D63">
        <v>53.08</v>
      </c>
      <c r="E63">
        <v>53.73</v>
      </c>
      <c r="F63">
        <v>4139918.74</v>
      </c>
      <c r="G63">
        <v>53.73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-0.49416342412451481</v>
      </c>
      <c r="Q63">
        <f t="shared" ref="Q63" si="291">F63*P63</f>
        <v>-2045796.420155647</v>
      </c>
      <c r="R63">
        <f t="shared" ref="R63" si="292">R64+Q63</f>
        <v>-2536381.8789770934</v>
      </c>
      <c r="S63">
        <f t="shared" ref="S63" si="293">R63/100000</f>
        <v>-25.363818789770935</v>
      </c>
      <c r="T63">
        <f t="shared" ref="T63" si="294">S63/1000</f>
        <v>-2.5363818789770936E-2</v>
      </c>
    </row>
    <row r="64" spans="1:20" x14ac:dyDescent="0.25">
      <c r="A64" s="5">
        <v>44529</v>
      </c>
      <c r="B64">
        <v>56.46</v>
      </c>
      <c r="C64">
        <v>57.2</v>
      </c>
      <c r="D64">
        <v>53.84</v>
      </c>
      <c r="E64">
        <v>54.64</v>
      </c>
      <c r="F64">
        <v>3114670.5</v>
      </c>
      <c r="G64">
        <v>54.64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-0.52380952380952539</v>
      </c>
      <c r="Q64">
        <f t="shared" ref="Q64" si="296">F64*P64</f>
        <v>-1631494.0714285763</v>
      </c>
      <c r="R64">
        <f t="shared" ref="R64" si="297">R65+Q64</f>
        <v>-490585.4588214464</v>
      </c>
      <c r="S64">
        <f t="shared" ref="S64" si="298">R64/100000</f>
        <v>-4.9058545882144644</v>
      </c>
      <c r="T64">
        <f t="shared" ref="T64" si="299">S64/1000</f>
        <v>-4.9058545882144644E-3</v>
      </c>
    </row>
    <row r="65" spans="1:20" x14ac:dyDescent="0.25">
      <c r="A65" s="5">
        <v>44528</v>
      </c>
      <c r="B65">
        <v>57.74</v>
      </c>
      <c r="C65">
        <v>57.82</v>
      </c>
      <c r="D65">
        <v>52.44</v>
      </c>
      <c r="E65">
        <v>56.46</v>
      </c>
      <c r="F65">
        <v>5269060.6500000004</v>
      </c>
      <c r="G65">
        <v>56.46</v>
      </c>
      <c r="L65" t="s">
        <v>7</v>
      </c>
      <c r="M65" t="s">
        <v>8</v>
      </c>
      <c r="N65" t="s">
        <v>7</v>
      </c>
      <c r="P65">
        <f t="shared" ref="P65" si="300">IF(C65=D65,0,((E65-D65)-(C65-E65))/(C65-D65))</f>
        <v>0.49442379182156176</v>
      </c>
      <c r="Q65">
        <f t="shared" ref="Q65" si="301">F65*P65</f>
        <v>2605148.945910783</v>
      </c>
      <c r="R65">
        <f t="shared" ref="R65" si="302">R66+Q65</f>
        <v>1140908.6126071298</v>
      </c>
      <c r="S65">
        <f t="shared" ref="S65" si="303">R65/100000</f>
        <v>11.409086126071298</v>
      </c>
      <c r="T65">
        <f t="shared" ref="T65" si="304">S65/1000</f>
        <v>1.1409086126071298E-2</v>
      </c>
    </row>
    <row r="66" spans="1:20" x14ac:dyDescent="0.25">
      <c r="A66" s="5">
        <v>44527</v>
      </c>
      <c r="B66">
        <v>52.8</v>
      </c>
      <c r="C66">
        <v>59.48</v>
      </c>
      <c r="D66">
        <v>52.57</v>
      </c>
      <c r="E66">
        <v>57.73</v>
      </c>
      <c r="F66">
        <v>6964536.3300000001</v>
      </c>
      <c r="G66">
        <v>57.73</v>
      </c>
      <c r="L66" t="s">
        <v>7</v>
      </c>
      <c r="M66" t="s">
        <v>8</v>
      </c>
      <c r="N66" t="s">
        <v>7</v>
      </c>
      <c r="P66">
        <f t="shared" ref="P66" si="305">IF(C66=D66,0,((E66-D66)-(C66-E66))/(C66-D66))</f>
        <v>0.49348769898697514</v>
      </c>
      <c r="Q66">
        <f t="shared" ref="Q66" si="306">F66*P66</f>
        <v>3436913.0080028926</v>
      </c>
      <c r="R66">
        <f t="shared" ref="R66" si="307">R67+Q66</f>
        <v>-1464240.3333036532</v>
      </c>
      <c r="S66">
        <f t="shared" ref="S66" si="308">R66/100000</f>
        <v>-14.642403333036532</v>
      </c>
      <c r="T66">
        <f t="shared" ref="T66" si="309">S66/1000</f>
        <v>-1.4642403333036531E-2</v>
      </c>
    </row>
    <row r="67" spans="1:20" x14ac:dyDescent="0.25">
      <c r="A67" s="5">
        <v>44526</v>
      </c>
      <c r="B67">
        <v>55.37</v>
      </c>
      <c r="C67">
        <v>59.49</v>
      </c>
      <c r="D67">
        <v>51.2</v>
      </c>
      <c r="E67">
        <v>52.8</v>
      </c>
      <c r="F67">
        <v>10313927.01</v>
      </c>
      <c r="G67">
        <v>52.8</v>
      </c>
      <c r="L67" t="s">
        <v>8</v>
      </c>
      <c r="M67" t="s">
        <v>8</v>
      </c>
      <c r="N67" t="s">
        <v>7</v>
      </c>
      <c r="P67">
        <f t="shared" ref="P67" si="310">IF(C67=D67,0,((E67-D67)-(C67-E67))/(C67-D67))</f>
        <v>-0.61399276236429567</v>
      </c>
      <c r="Q67">
        <f t="shared" ref="Q67" si="311">F67*P67</f>
        <v>-6332676.5356936203</v>
      </c>
      <c r="R67">
        <f t="shared" ref="R67" si="312">R68+Q67</f>
        <v>-4901153.3413065458</v>
      </c>
      <c r="S67">
        <f t="shared" ref="S67" si="313">R67/100000</f>
        <v>-49.011533413065457</v>
      </c>
      <c r="T67">
        <f t="shared" ref="T67" si="314">S67/1000</f>
        <v>-4.901153341306546E-2</v>
      </c>
    </row>
    <row r="68" spans="1:20" x14ac:dyDescent="0.25">
      <c r="A68" s="5">
        <v>44525</v>
      </c>
      <c r="B68">
        <v>50.62</v>
      </c>
      <c r="C68">
        <v>56.05</v>
      </c>
      <c r="D68">
        <v>49.8</v>
      </c>
      <c r="E68">
        <v>55.36</v>
      </c>
      <c r="F68">
        <v>4916686.3600000003</v>
      </c>
      <c r="G68">
        <v>55.36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0.77920000000000078</v>
      </c>
      <c r="Q68">
        <f t="shared" ref="Q68" si="316">F68*P68</f>
        <v>3831082.011712004</v>
      </c>
      <c r="R68">
        <f t="shared" ref="R68" si="317">R69+Q68</f>
        <v>1431523.1943870746</v>
      </c>
      <c r="S68">
        <f t="shared" ref="S68" si="318">R68/100000</f>
        <v>14.315231943870746</v>
      </c>
      <c r="T68">
        <f t="shared" ref="T68" si="319">S68/1000</f>
        <v>1.4315231943870747E-2</v>
      </c>
    </row>
    <row r="69" spans="1:20" x14ac:dyDescent="0.25">
      <c r="A69" s="5">
        <v>44524</v>
      </c>
      <c r="B69">
        <v>51.73</v>
      </c>
      <c r="C69">
        <v>51.91</v>
      </c>
      <c r="D69">
        <v>50.09</v>
      </c>
      <c r="E69">
        <v>50.33</v>
      </c>
      <c r="F69">
        <v>1028057.59</v>
      </c>
      <c r="G69">
        <v>50.33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-0.73626373626374086</v>
      </c>
      <c r="Q69">
        <f t="shared" ref="Q69" si="321">F69*P69</f>
        <v>-756921.52230769699</v>
      </c>
      <c r="R69">
        <f t="shared" ref="R69" si="322">R70+Q69</f>
        <v>-2399558.8173249294</v>
      </c>
      <c r="S69">
        <f t="shared" ref="S69" si="323">R69/100000</f>
        <v>-23.995588173249295</v>
      </c>
      <c r="T69">
        <f t="shared" ref="T69" si="324">S69/1000</f>
        <v>-2.3995588173249295E-2</v>
      </c>
    </row>
    <row r="70" spans="1:20" x14ac:dyDescent="0.25">
      <c r="A70" s="5">
        <v>44523</v>
      </c>
      <c r="B70">
        <v>51.76</v>
      </c>
      <c r="C70">
        <v>52.13</v>
      </c>
      <c r="D70">
        <v>50.34</v>
      </c>
      <c r="E70">
        <v>51.73</v>
      </c>
      <c r="F70">
        <v>3303185.78</v>
      </c>
      <c r="G70">
        <v>51.73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0.5530726256983175</v>
      </c>
      <c r="Q70">
        <f t="shared" ref="Q70" si="326">F70*P70</f>
        <v>1826901.6325139448</v>
      </c>
      <c r="R70">
        <f t="shared" ref="R70" si="327">R71+Q70</f>
        <v>-1642637.2950172324</v>
      </c>
      <c r="S70">
        <f t="shared" ref="S70" si="328">R70/100000</f>
        <v>-16.426372950172325</v>
      </c>
      <c r="T70">
        <f t="shared" ref="T70" si="329">S70/1000</f>
        <v>-1.6426372950172324E-2</v>
      </c>
    </row>
    <row r="71" spans="1:20" x14ac:dyDescent="0.25">
      <c r="A71" s="5">
        <v>44522</v>
      </c>
      <c r="B71">
        <v>53.16</v>
      </c>
      <c r="C71">
        <v>53.41</v>
      </c>
      <c r="D71">
        <v>51.38</v>
      </c>
      <c r="E71">
        <v>51.76</v>
      </c>
      <c r="F71">
        <v>4187954.11</v>
      </c>
      <c r="G71">
        <v>51.76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-0.62561576354680137</v>
      </c>
      <c r="Q71">
        <f t="shared" ref="Q71" si="331">F71*P71</f>
        <v>-2620050.108226615</v>
      </c>
      <c r="R71">
        <f t="shared" ref="R71" si="332">R72+Q71</f>
        <v>-3469538.9275311772</v>
      </c>
      <c r="S71">
        <f t="shared" ref="S71" si="333">R71/100000</f>
        <v>-34.695389275311769</v>
      </c>
      <c r="T71">
        <f t="shared" ref="T71" si="334">S71/1000</f>
        <v>-3.4695389275311767E-2</v>
      </c>
    </row>
    <row r="72" spans="1:20" x14ac:dyDescent="0.25">
      <c r="A72" s="5">
        <v>44521</v>
      </c>
      <c r="B72">
        <v>54.4</v>
      </c>
      <c r="C72">
        <v>54.5</v>
      </c>
      <c r="D72">
        <v>53</v>
      </c>
      <c r="E72">
        <v>53.15</v>
      </c>
      <c r="F72">
        <v>2650407.44</v>
      </c>
      <c r="G72">
        <v>53.15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-0.80000000000000193</v>
      </c>
      <c r="Q72">
        <f t="shared" ref="Q72" si="336">F72*P72</f>
        <v>-2120325.9520000052</v>
      </c>
      <c r="R72">
        <f t="shared" ref="R72" si="337">R73+Q72</f>
        <v>-849488.81930456241</v>
      </c>
      <c r="S72">
        <f t="shared" ref="S72" si="338">R72/100000</f>
        <v>-8.4948881930456235</v>
      </c>
      <c r="T72">
        <f t="shared" ref="T72" si="339">S72/1000</f>
        <v>-8.4948881930456237E-3</v>
      </c>
    </row>
    <row r="73" spans="1:20" x14ac:dyDescent="0.25">
      <c r="A73" s="5">
        <v>44520</v>
      </c>
      <c r="B73">
        <v>53.73</v>
      </c>
      <c r="C73">
        <v>55.23</v>
      </c>
      <c r="D73">
        <v>52.22</v>
      </c>
      <c r="E73">
        <v>54.39</v>
      </c>
      <c r="F73">
        <v>3050125.3</v>
      </c>
      <c r="G73">
        <v>54.39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0.44186046511628113</v>
      </c>
      <c r="Q73">
        <f t="shared" ref="Q73" si="341">F73*P73</f>
        <v>1347729.7837209364</v>
      </c>
      <c r="R73">
        <f t="shared" ref="R73" si="342">R74+Q73</f>
        <v>1270837.1326954428</v>
      </c>
      <c r="S73">
        <f t="shared" ref="S73" si="343">R73/100000</f>
        <v>12.708371326954428</v>
      </c>
      <c r="T73">
        <f t="shared" ref="T73" si="344">S73/1000</f>
        <v>1.2708371326954428E-2</v>
      </c>
    </row>
    <row r="74" spans="1:20" x14ac:dyDescent="0.25">
      <c r="A74" s="5">
        <v>44519</v>
      </c>
      <c r="B74">
        <v>51.71</v>
      </c>
      <c r="C74">
        <v>54.48</v>
      </c>
      <c r="D74">
        <v>51.13</v>
      </c>
      <c r="E74">
        <v>53.73</v>
      </c>
      <c r="F74">
        <v>4362909.1399999997</v>
      </c>
      <c r="G74">
        <v>53.73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0.55223880597014852</v>
      </c>
      <c r="Q74">
        <f t="shared" ref="Q74" si="346">F74*P74</f>
        <v>2409367.7340298472</v>
      </c>
      <c r="R74">
        <f t="shared" ref="R74" si="347">R75+Q74</f>
        <v>-76892.651025493629</v>
      </c>
      <c r="S74">
        <f t="shared" ref="S74" si="348">R74/100000</f>
        <v>-0.7689265102549363</v>
      </c>
      <c r="T74">
        <f t="shared" ref="T74" si="349">S74/1000</f>
        <v>-7.6892651025493625E-4</v>
      </c>
    </row>
    <row r="75" spans="1:20" x14ac:dyDescent="0.25">
      <c r="A75" s="5">
        <v>44518</v>
      </c>
      <c r="B75">
        <v>56.13</v>
      </c>
      <c r="C75">
        <v>58.2</v>
      </c>
      <c r="D75">
        <v>48.53</v>
      </c>
      <c r="E75">
        <v>51.71</v>
      </c>
      <c r="F75">
        <v>11467744.613299999</v>
      </c>
      <c r="G75">
        <v>51.71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-0.34229576008273027</v>
      </c>
      <c r="Q75">
        <f t="shared" ref="Q75" si="351">F75*P75</f>
        <v>-3925360.3588441592</v>
      </c>
      <c r="R75">
        <f t="shared" ref="R75" si="352">R76+Q75</f>
        <v>-2486260.3850553408</v>
      </c>
      <c r="S75">
        <f t="shared" ref="S75" si="353">R75/100000</f>
        <v>-24.862603850553409</v>
      </c>
      <c r="T75">
        <f t="shared" ref="T75" si="354">S75/1000</f>
        <v>-2.4862603850553409E-2</v>
      </c>
    </row>
    <row r="76" spans="1:20" x14ac:dyDescent="0.25">
      <c r="A76" s="5">
        <v>44517</v>
      </c>
      <c r="B76">
        <v>56.16</v>
      </c>
      <c r="C76">
        <v>56.83</v>
      </c>
      <c r="D76">
        <v>54.08</v>
      </c>
      <c r="E76">
        <v>56.14</v>
      </c>
      <c r="F76">
        <v>5019620.79</v>
      </c>
      <c r="G76">
        <v>56.14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0.49818181818181984</v>
      </c>
      <c r="Q76">
        <f t="shared" ref="Q76" si="356">F76*P76</f>
        <v>2500683.8117454629</v>
      </c>
      <c r="R76">
        <f t="shared" ref="R76" si="357">R77+Q76</f>
        <v>1439099.9737888181</v>
      </c>
      <c r="S76">
        <f t="shared" ref="S76" si="358">R76/100000</f>
        <v>14.390999737888182</v>
      </c>
      <c r="T76">
        <f t="shared" ref="T76" si="359">S76/1000</f>
        <v>1.4390999737888181E-2</v>
      </c>
    </row>
    <row r="77" spans="1:20" x14ac:dyDescent="0.25">
      <c r="A77" s="5">
        <v>44516</v>
      </c>
      <c r="B77">
        <v>60.94</v>
      </c>
      <c r="C77">
        <v>60.94</v>
      </c>
      <c r="D77">
        <v>52</v>
      </c>
      <c r="E77">
        <v>56.15</v>
      </c>
      <c r="F77">
        <v>9225266.0199999996</v>
      </c>
      <c r="G77">
        <v>56.15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-7.1588366890380395E-2</v>
      </c>
      <c r="Q77">
        <f t="shared" ref="Q77" si="361">F77*P77</f>
        <v>-660421.7285011193</v>
      </c>
      <c r="R77">
        <f t="shared" ref="R77" si="362">R78+Q77</f>
        <v>-1061583.8379566448</v>
      </c>
      <c r="S77">
        <f t="shared" ref="S77" si="363">R77/100000</f>
        <v>-10.615838379566448</v>
      </c>
      <c r="T77">
        <f t="shared" ref="T77" si="364">S77/1000</f>
        <v>-1.0615838379566448E-2</v>
      </c>
    </row>
    <row r="78" spans="1:20" x14ac:dyDescent="0.25">
      <c r="A78" s="5">
        <v>44515</v>
      </c>
      <c r="B78">
        <v>62.54</v>
      </c>
      <c r="C78">
        <v>63.42</v>
      </c>
      <c r="D78">
        <v>60.17</v>
      </c>
      <c r="E78">
        <v>60.94</v>
      </c>
      <c r="F78">
        <v>2662947.96</v>
      </c>
      <c r="G78">
        <v>60.94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-0.52615384615384864</v>
      </c>
      <c r="Q78">
        <f t="shared" ref="Q78" si="366">F78*P78</f>
        <v>-1401120.3112615452</v>
      </c>
      <c r="R78">
        <f t="shared" ref="R78" si="367">R79+Q78</f>
        <v>-401162.10945552553</v>
      </c>
      <c r="S78">
        <f t="shared" ref="S78" si="368">R78/100000</f>
        <v>-4.0116210945552551</v>
      </c>
      <c r="T78">
        <f t="shared" ref="T78" si="369">S78/1000</f>
        <v>-4.0116210945552551E-3</v>
      </c>
    </row>
    <row r="79" spans="1:20" x14ac:dyDescent="0.25">
      <c r="A79" s="5">
        <v>44514</v>
      </c>
      <c r="B79">
        <v>62.92</v>
      </c>
      <c r="C79">
        <v>63.49</v>
      </c>
      <c r="D79">
        <v>61.02</v>
      </c>
      <c r="E79">
        <v>62.55</v>
      </c>
      <c r="F79">
        <v>2055033.9</v>
      </c>
      <c r="G79">
        <v>62.55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0.23886639676112933</v>
      </c>
      <c r="Q79">
        <f t="shared" ref="Q79" si="371">F79*P79</f>
        <v>490878.54291497095</v>
      </c>
      <c r="R79">
        <f t="shared" ref="R79" si="372">R80+Q79</f>
        <v>999958.20180601964</v>
      </c>
      <c r="S79">
        <f t="shared" ref="S79" si="373">R79/100000</f>
        <v>9.9995820180601971</v>
      </c>
      <c r="T79">
        <f t="shared" ref="T79" si="374">S79/1000</f>
        <v>9.9995820180601973E-3</v>
      </c>
    </row>
    <row r="80" spans="1:20" x14ac:dyDescent="0.25">
      <c r="A80" s="5">
        <v>44513</v>
      </c>
      <c r="B80">
        <v>62.89</v>
      </c>
      <c r="C80">
        <v>63.67</v>
      </c>
      <c r="D80">
        <v>62.23</v>
      </c>
      <c r="E80">
        <v>62.92</v>
      </c>
      <c r="F80">
        <v>2014458.68</v>
      </c>
      <c r="G80">
        <v>62.92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-4.1666666666663174E-2</v>
      </c>
      <c r="Q80">
        <f t="shared" ref="Q80" si="376">F80*P80</f>
        <v>-83935.778333326292</v>
      </c>
      <c r="R80">
        <f t="shared" ref="R80" si="377">R81+Q80</f>
        <v>509079.65889104869</v>
      </c>
      <c r="S80">
        <f t="shared" ref="S80" si="378">R80/100000</f>
        <v>5.0907965889104867</v>
      </c>
      <c r="T80">
        <f t="shared" ref="T80" si="379">S80/1000</f>
        <v>5.0907965889104871E-3</v>
      </c>
    </row>
    <row r="81" spans="1:20" x14ac:dyDescent="0.25">
      <c r="A81" s="5">
        <v>44512</v>
      </c>
      <c r="B81">
        <v>62.76</v>
      </c>
      <c r="C81">
        <v>65.5</v>
      </c>
      <c r="D81">
        <v>61.11</v>
      </c>
      <c r="E81">
        <v>62.9</v>
      </c>
      <c r="F81">
        <v>4427610.0599999996</v>
      </c>
      <c r="G81">
        <v>62.9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-0.18451025056947656</v>
      </c>
      <c r="Q81">
        <f t="shared" ref="Q81" si="381">F81*P81</f>
        <v>-816939.44159453514</v>
      </c>
      <c r="R81">
        <f t="shared" ref="R81" si="382">R82+Q81</f>
        <v>593015.43722437497</v>
      </c>
      <c r="S81">
        <f t="shared" ref="S81" si="383">R81/100000</f>
        <v>5.9301543722437495</v>
      </c>
      <c r="T81">
        <f t="shared" ref="T81" si="384">S81/1000</f>
        <v>5.9301543722437497E-3</v>
      </c>
    </row>
    <row r="82" spans="1:20" x14ac:dyDescent="0.25">
      <c r="A82" s="5">
        <v>44511</v>
      </c>
      <c r="B82">
        <v>63.46</v>
      </c>
      <c r="C82">
        <v>64.5</v>
      </c>
      <c r="D82">
        <v>61.73</v>
      </c>
      <c r="E82">
        <v>62.76</v>
      </c>
      <c r="F82">
        <v>3213415.05</v>
      </c>
      <c r="G82">
        <v>62.76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-0.25631768953068595</v>
      </c>
      <c r="Q82">
        <f t="shared" ref="Q82" si="386">F82*P82</f>
        <v>-823655.12111913366</v>
      </c>
      <c r="R82">
        <f t="shared" ref="R82" si="387">R83+Q82</f>
        <v>1409954.8788189101</v>
      </c>
      <c r="S82">
        <f t="shared" ref="S82" si="388">R82/100000</f>
        <v>14.0995487881891</v>
      </c>
      <c r="T82">
        <f t="shared" ref="T82" si="389">S82/1000</f>
        <v>1.4099548788189101E-2</v>
      </c>
    </row>
    <row r="83" spans="1:20" x14ac:dyDescent="0.25">
      <c r="A83" s="5">
        <v>44510</v>
      </c>
      <c r="B83">
        <v>66.709999999999994</v>
      </c>
      <c r="C83">
        <v>69.64</v>
      </c>
      <c r="D83">
        <v>58.53</v>
      </c>
      <c r="E83">
        <v>63.46</v>
      </c>
      <c r="F83">
        <v>7646788.9000000004</v>
      </c>
      <c r="G83">
        <v>63.46</v>
      </c>
      <c r="L83" t="s">
        <v>8</v>
      </c>
      <c r="M83" t="s">
        <v>8</v>
      </c>
      <c r="N83" t="s">
        <v>7</v>
      </c>
      <c r="P83">
        <f t="shared" ref="P83" si="390">IF(C83=D83,0,((E83-D83)-(C83-E83))/(C83-D83))</f>
        <v>-0.11251125112511251</v>
      </c>
      <c r="Q83">
        <f t="shared" ref="Q83" si="391">F83*P83</f>
        <v>-860349.78622862289</v>
      </c>
      <c r="R83">
        <f t="shared" ref="R83" si="392">R84+Q83</f>
        <v>2233609.9999380438</v>
      </c>
      <c r="S83">
        <f t="shared" ref="S83" si="393">R83/100000</f>
        <v>22.336099999380437</v>
      </c>
      <c r="T83">
        <f t="shared" ref="T83" si="394">S83/1000</f>
        <v>2.2336099999380438E-2</v>
      </c>
    </row>
    <row r="84" spans="1:20" x14ac:dyDescent="0.25">
      <c r="A84" s="5">
        <v>44509</v>
      </c>
      <c r="B84">
        <v>64.25</v>
      </c>
      <c r="C84">
        <v>69.180000000000007</v>
      </c>
      <c r="D84">
        <v>63.48</v>
      </c>
      <c r="E84">
        <v>66.7</v>
      </c>
      <c r="F84">
        <v>6527662.1100000003</v>
      </c>
      <c r="G84">
        <v>66.7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0.1298245614035089</v>
      </c>
      <c r="Q84">
        <f t="shared" ref="Q84" si="396">F84*P84</f>
        <v>847450.87042105349</v>
      </c>
      <c r="R84">
        <f t="shared" ref="R84" si="397">R85+Q84</f>
        <v>3093959.7861666665</v>
      </c>
      <c r="S84">
        <f t="shared" ref="S84" si="398">R84/100000</f>
        <v>30.939597861666666</v>
      </c>
      <c r="T84">
        <f t="shared" ref="T84" si="399">S84/1000</f>
        <v>3.0939597861666664E-2</v>
      </c>
    </row>
    <row r="85" spans="1:20" x14ac:dyDescent="0.25">
      <c r="A85" s="5">
        <v>44508</v>
      </c>
      <c r="B85">
        <v>62.56</v>
      </c>
      <c r="C85">
        <v>64.900000000000006</v>
      </c>
      <c r="D85">
        <v>62.27</v>
      </c>
      <c r="E85">
        <v>64.260000000000005</v>
      </c>
      <c r="F85">
        <v>3303467.72</v>
      </c>
      <c r="G85">
        <v>64.260000000000005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0.51330798479087458</v>
      </c>
      <c r="Q85">
        <f t="shared" ref="Q85" si="401">F85*P85</f>
        <v>1695696.3581749052</v>
      </c>
      <c r="R85">
        <f t="shared" ref="R85" si="402">R86+Q85</f>
        <v>2246508.9157456132</v>
      </c>
      <c r="S85">
        <f t="shared" ref="S85" si="403">R85/100000</f>
        <v>22.465089157456131</v>
      </c>
      <c r="T85">
        <f t="shared" ref="T85" si="404">S85/1000</f>
        <v>2.2465089157456132E-2</v>
      </c>
    </row>
    <row r="86" spans="1:20" x14ac:dyDescent="0.25">
      <c r="A86" s="5">
        <v>44507</v>
      </c>
      <c r="B86">
        <v>61.9</v>
      </c>
      <c r="C86">
        <v>62.61</v>
      </c>
      <c r="D86">
        <v>61.11</v>
      </c>
      <c r="E86">
        <v>62.56</v>
      </c>
      <c r="F86">
        <v>2390899.1</v>
      </c>
      <c r="G86">
        <v>62.56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0.93333333333333712</v>
      </c>
      <c r="Q86">
        <f t="shared" ref="Q86" si="406">F86*P86</f>
        <v>2231505.826666676</v>
      </c>
      <c r="R86">
        <f t="shared" ref="R86" si="407">R87+Q86</f>
        <v>550812.55757070798</v>
      </c>
      <c r="S86">
        <f t="shared" ref="S86" si="408">R86/100000</f>
        <v>5.5081255757070799</v>
      </c>
      <c r="T86">
        <f t="shared" ref="T86" si="409">S86/1000</f>
        <v>5.5081255757070801E-3</v>
      </c>
    </row>
    <row r="87" spans="1:20" x14ac:dyDescent="0.25">
      <c r="A87" s="5">
        <v>44506</v>
      </c>
      <c r="B87">
        <v>63.49</v>
      </c>
      <c r="C87">
        <v>63.68</v>
      </c>
      <c r="D87">
        <v>58</v>
      </c>
      <c r="E87">
        <v>61.89</v>
      </c>
      <c r="F87">
        <v>4288703.26</v>
      </c>
      <c r="G87">
        <v>61.89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0.36971830985915521</v>
      </c>
      <c r="Q87">
        <f t="shared" ref="Q87" si="411">F87*P87</f>
        <v>1585612.1207746491</v>
      </c>
      <c r="R87">
        <f t="shared" ref="R87" si="412">R88+Q87</f>
        <v>-1680693.269095968</v>
      </c>
      <c r="S87">
        <f t="shared" ref="S87" si="413">R87/100000</f>
        <v>-16.80693269095968</v>
      </c>
      <c r="T87">
        <f t="shared" ref="T87" si="414">S87/1000</f>
        <v>-1.6806932690959682E-2</v>
      </c>
    </row>
    <row r="88" spans="1:20" x14ac:dyDescent="0.25">
      <c r="A88" s="5">
        <v>44505</v>
      </c>
      <c r="B88">
        <v>62.45</v>
      </c>
      <c r="C88">
        <v>64.400000000000006</v>
      </c>
      <c r="D88">
        <v>61.3</v>
      </c>
      <c r="E88">
        <v>63.48</v>
      </c>
      <c r="F88">
        <v>2921355.03</v>
      </c>
      <c r="G88">
        <v>63.48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0.40645161290322174</v>
      </c>
      <c r="Q88">
        <f t="shared" ref="Q88" si="416">F88*P88</f>
        <v>1187389.4638064397</v>
      </c>
      <c r="R88">
        <f t="shared" ref="R88" si="417">R89+Q88</f>
        <v>-3266305.3898706171</v>
      </c>
      <c r="S88">
        <f t="shared" ref="S88" si="418">R88/100000</f>
        <v>-32.663053898706174</v>
      </c>
      <c r="T88">
        <f t="shared" ref="T88" si="419">S88/1000</f>
        <v>-3.2663053898706176E-2</v>
      </c>
    </row>
    <row r="89" spans="1:20" x14ac:dyDescent="0.25">
      <c r="A89" s="5">
        <v>44504</v>
      </c>
      <c r="B89">
        <v>64.010000000000005</v>
      </c>
      <c r="C89">
        <v>64.489999999999995</v>
      </c>
      <c r="D89">
        <v>61.1</v>
      </c>
      <c r="E89">
        <v>62.45</v>
      </c>
      <c r="F89">
        <v>2315593.5299999998</v>
      </c>
      <c r="G89">
        <v>62.45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-0.20353982300884718</v>
      </c>
      <c r="Q89">
        <f t="shared" ref="Q89" si="421">F89*P89</f>
        <v>-471315.49725663161</v>
      </c>
      <c r="R89">
        <f t="shared" ref="R89" si="422">R90+Q89</f>
        <v>-4453694.8536770567</v>
      </c>
      <c r="S89">
        <f t="shared" ref="S89" si="423">R89/100000</f>
        <v>-44.536948536770566</v>
      </c>
      <c r="T89">
        <f t="shared" ref="T89" si="424">S89/1000</f>
        <v>-4.4536948536770565E-2</v>
      </c>
    </row>
    <row r="90" spans="1:20" x14ac:dyDescent="0.25">
      <c r="A90" s="5">
        <v>44503</v>
      </c>
      <c r="B90">
        <v>64.63</v>
      </c>
      <c r="C90">
        <v>65.900000000000006</v>
      </c>
      <c r="D90">
        <v>61.5</v>
      </c>
      <c r="E90">
        <v>64.010000000000005</v>
      </c>
      <c r="F90">
        <v>3618156.51</v>
      </c>
      <c r="G90">
        <v>64.010000000000005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0.14090909090909176</v>
      </c>
      <c r="Q90">
        <f t="shared" ref="Q90" si="426">F90*P90</f>
        <v>509831.14459091215</v>
      </c>
      <c r="R90">
        <f t="shared" ref="R90" si="427">R91+Q90</f>
        <v>-3982379.3564204248</v>
      </c>
      <c r="S90">
        <f t="shared" ref="S90" si="428">R90/100000</f>
        <v>-39.823793564204244</v>
      </c>
      <c r="T90">
        <f t="shared" ref="T90" si="429">S90/1000</f>
        <v>-3.9823793564204242E-2</v>
      </c>
    </row>
    <row r="91" spans="1:20" x14ac:dyDescent="0.25">
      <c r="A91" s="5">
        <v>44502</v>
      </c>
      <c r="B91">
        <v>63.89</v>
      </c>
      <c r="C91">
        <v>66.459999999999994</v>
      </c>
      <c r="D91">
        <v>63.44</v>
      </c>
      <c r="E91">
        <v>64.63</v>
      </c>
      <c r="F91">
        <v>2853130.66</v>
      </c>
      <c r="G91">
        <v>64.63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-0.21192052980132497</v>
      </c>
      <c r="Q91">
        <f t="shared" ref="Q91" si="431">F91*P91</f>
        <v>-604636.96105960407</v>
      </c>
      <c r="R91">
        <f t="shared" ref="R91" si="432">R92+Q91</f>
        <v>-4492210.5010113372</v>
      </c>
      <c r="S91">
        <f t="shared" ref="S91" si="433">R91/100000</f>
        <v>-44.92210501011337</v>
      </c>
      <c r="T91">
        <f t="shared" ref="T91" si="434">S91/1000</f>
        <v>-4.4922105010113372E-2</v>
      </c>
    </row>
    <row r="92" spans="1:20" x14ac:dyDescent="0.25">
      <c r="A92" s="5">
        <v>44501</v>
      </c>
      <c r="B92">
        <v>64.41</v>
      </c>
      <c r="C92">
        <v>64.5</v>
      </c>
      <c r="D92">
        <v>60.6</v>
      </c>
      <c r="E92">
        <v>63.88</v>
      </c>
      <c r="F92">
        <v>2488354</v>
      </c>
      <c r="G92">
        <v>63.88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0.68205128205128329</v>
      </c>
      <c r="Q92">
        <f t="shared" ref="Q92" si="436">F92*P92</f>
        <v>1697185.0358974389</v>
      </c>
      <c r="R92">
        <f t="shared" ref="R92" si="437">R93+Q92</f>
        <v>-3887573.5399517328</v>
      </c>
      <c r="S92">
        <f t="shared" ref="S92" si="438">R92/100000</f>
        <v>-38.875735399517332</v>
      </c>
      <c r="T92">
        <f t="shared" ref="T92" si="439">S92/1000</f>
        <v>-3.887573539951733E-2</v>
      </c>
    </row>
    <row r="93" spans="1:20" x14ac:dyDescent="0.25">
      <c r="A93" s="5">
        <v>44500</v>
      </c>
      <c r="B93">
        <v>61.48</v>
      </c>
      <c r="C93">
        <v>66.760000000000005</v>
      </c>
      <c r="D93">
        <v>59.23</v>
      </c>
      <c r="E93">
        <v>64.400000000000006</v>
      </c>
      <c r="F93">
        <v>5987084.2400000002</v>
      </c>
      <c r="G93">
        <v>64.400000000000006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0.37317397078353337</v>
      </c>
      <c r="Q93">
        <f t="shared" ref="Q93" si="441">F93*P93</f>
        <v>2234223.9992563133</v>
      </c>
      <c r="R93">
        <f t="shared" ref="R93" si="442">R94+Q93</f>
        <v>-5584758.5758491717</v>
      </c>
      <c r="S93">
        <f t="shared" ref="S93" si="443">R93/100000</f>
        <v>-55.847585758491718</v>
      </c>
      <c r="T93">
        <f t="shared" ref="T93" si="444">S93/1000</f>
        <v>-5.5847585758491719E-2</v>
      </c>
    </row>
    <row r="94" spans="1:20" x14ac:dyDescent="0.25">
      <c r="A94" s="5">
        <v>44499</v>
      </c>
      <c r="B94">
        <v>60.15</v>
      </c>
      <c r="C94">
        <v>61.48</v>
      </c>
      <c r="D94">
        <v>57.4</v>
      </c>
      <c r="E94">
        <v>61.48</v>
      </c>
      <c r="F94">
        <v>1623051.07</v>
      </c>
      <c r="G94">
        <v>61.48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1</v>
      </c>
      <c r="Q94">
        <f t="shared" ref="Q94" si="446">F94*P94</f>
        <v>1623051.07</v>
      </c>
      <c r="R94">
        <f t="shared" ref="R94" si="447">R95+Q94</f>
        <v>-7818982.5751054846</v>
      </c>
      <c r="S94">
        <f t="shared" ref="S94" si="448">R94/100000</f>
        <v>-78.18982575105484</v>
      </c>
      <c r="T94">
        <f t="shared" ref="T94" si="449">S94/1000</f>
        <v>-7.8189825751054834E-2</v>
      </c>
    </row>
    <row r="95" spans="1:20" x14ac:dyDescent="0.25">
      <c r="A95" s="5">
        <v>44498</v>
      </c>
      <c r="B95">
        <v>58.14</v>
      </c>
      <c r="C95">
        <v>62.91</v>
      </c>
      <c r="D95">
        <v>57.85</v>
      </c>
      <c r="E95">
        <v>60.2</v>
      </c>
      <c r="F95">
        <v>2719059.42</v>
      </c>
      <c r="G95">
        <v>60.2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-7.1146245059287086E-2</v>
      </c>
      <c r="Q95">
        <f t="shared" ref="Q95" si="451">F95*P95</f>
        <v>-193450.86782608301</v>
      </c>
      <c r="R95">
        <f t="shared" ref="R95" si="452">R96+Q95</f>
        <v>-9442033.6451054849</v>
      </c>
      <c r="S95">
        <f t="shared" ref="S95" si="453">R95/100000</f>
        <v>-94.420336451054851</v>
      </c>
      <c r="T95">
        <f t="shared" ref="T95" si="454">S95/1000</f>
        <v>-9.4420336451054854E-2</v>
      </c>
    </row>
    <row r="96" spans="1:20" x14ac:dyDescent="0.25">
      <c r="A96" s="5">
        <v>44497</v>
      </c>
      <c r="B96">
        <v>55.42</v>
      </c>
      <c r="C96">
        <v>59.22</v>
      </c>
      <c r="D96">
        <v>54.62</v>
      </c>
      <c r="E96">
        <v>58.14</v>
      </c>
      <c r="F96">
        <v>4546373.7699999996</v>
      </c>
      <c r="G96">
        <v>58.14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0.53043478260869659</v>
      </c>
      <c r="Q96">
        <f t="shared" ref="Q96" si="456">F96*P96</f>
        <v>2411554.78234783</v>
      </c>
      <c r="R96">
        <f t="shared" ref="R96" si="457">R97+Q96</f>
        <v>-9248582.7772794012</v>
      </c>
      <c r="S96">
        <f t="shared" ref="S96" si="458">R96/100000</f>
        <v>-92.485827772794011</v>
      </c>
      <c r="T96">
        <f t="shared" ref="T96" si="459">S96/1000</f>
        <v>-9.2485827772794016E-2</v>
      </c>
    </row>
    <row r="97" spans="1:20" x14ac:dyDescent="0.25">
      <c r="A97" s="5">
        <v>44496</v>
      </c>
      <c r="B97">
        <v>62.83</v>
      </c>
      <c r="C97">
        <v>63.22</v>
      </c>
      <c r="D97">
        <v>52</v>
      </c>
      <c r="E97">
        <v>55.42</v>
      </c>
      <c r="F97">
        <v>7414423.9800000004</v>
      </c>
      <c r="G97">
        <v>55.42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-0.39037433155080176</v>
      </c>
      <c r="Q97">
        <f t="shared" ref="Q97" si="461">F97*P97</f>
        <v>-2894400.8050267352</v>
      </c>
      <c r="R97">
        <f t="shared" ref="R97" si="462">R98+Q97</f>
        <v>-11660137.559627231</v>
      </c>
      <c r="S97">
        <f t="shared" ref="S97" si="463">R97/100000</f>
        <v>-116.60137559627231</v>
      </c>
      <c r="T97">
        <f t="shared" ref="T97" si="464">S97/1000</f>
        <v>-0.1166013755962723</v>
      </c>
    </row>
    <row r="98" spans="1:20" x14ac:dyDescent="0.25">
      <c r="A98" s="5">
        <v>44495</v>
      </c>
      <c r="B98">
        <v>63.93</v>
      </c>
      <c r="C98">
        <v>65.22</v>
      </c>
      <c r="D98">
        <v>62.06</v>
      </c>
      <c r="E98">
        <v>62.83</v>
      </c>
      <c r="F98">
        <v>2920861.71</v>
      </c>
      <c r="G98">
        <v>62.83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-0.51265822784810322</v>
      </c>
      <c r="Q98">
        <f t="shared" ref="Q98" si="466">F98*P98</f>
        <v>-1497403.7880379804</v>
      </c>
      <c r="R98">
        <f t="shared" ref="R98" si="467">R99+Q98</f>
        <v>-8765736.754600497</v>
      </c>
      <c r="S98">
        <f t="shared" ref="S98" si="468">R98/100000</f>
        <v>-87.657367546004963</v>
      </c>
      <c r="T98">
        <f t="shared" ref="T98" si="469">S98/1000</f>
        <v>-8.7657367546004963E-2</v>
      </c>
    </row>
    <row r="99" spans="1:20" x14ac:dyDescent="0.25">
      <c r="A99" s="5">
        <v>44494</v>
      </c>
      <c r="B99">
        <v>62.6</v>
      </c>
      <c r="C99">
        <v>65.38</v>
      </c>
      <c r="D99">
        <v>62.3</v>
      </c>
      <c r="E99">
        <v>63.94</v>
      </c>
      <c r="F99">
        <v>2338102.5099999998</v>
      </c>
      <c r="G99">
        <v>63.94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6.49350649350659E-2</v>
      </c>
      <c r="Q99">
        <f t="shared" ref="Q99" si="471">F99*P99</f>
        <v>151824.83831169055</v>
      </c>
      <c r="R99">
        <f t="shared" ref="R99" si="472">R100+Q99</f>
        <v>-7268332.9665625161</v>
      </c>
      <c r="S99">
        <f t="shared" ref="S99" si="473">R99/100000</f>
        <v>-72.683329665625166</v>
      </c>
      <c r="T99">
        <f t="shared" ref="T99" si="474">S99/1000</f>
        <v>-7.2683329665625171E-2</v>
      </c>
    </row>
    <row r="100" spans="1:20" x14ac:dyDescent="0.25">
      <c r="A100" s="5">
        <v>44493</v>
      </c>
      <c r="B100">
        <v>64.8</v>
      </c>
      <c r="C100">
        <v>65.099999999999994</v>
      </c>
      <c r="D100">
        <v>61.23</v>
      </c>
      <c r="E100">
        <v>62.59</v>
      </c>
      <c r="F100">
        <v>3966003.08</v>
      </c>
      <c r="G100">
        <v>62.59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-0.29715762273901425</v>
      </c>
      <c r="Q100">
        <f t="shared" ref="Q100" si="476">F100*P100</f>
        <v>-1178528.0470284086</v>
      </c>
      <c r="R100">
        <f t="shared" ref="R100" si="477">R101+Q100</f>
        <v>-7420157.8048742069</v>
      </c>
      <c r="S100">
        <f t="shared" ref="S100" si="478">R100/100000</f>
        <v>-74.201578048742064</v>
      </c>
      <c r="T100">
        <f t="shared" ref="T100" si="479">S100/1000</f>
        <v>-7.420157804874207E-2</v>
      </c>
    </row>
    <row r="101" spans="1:20" x14ac:dyDescent="0.25">
      <c r="A101" s="5">
        <v>44492</v>
      </c>
      <c r="B101">
        <v>65.95</v>
      </c>
      <c r="C101">
        <v>66.400000000000006</v>
      </c>
      <c r="D101">
        <v>63.95</v>
      </c>
      <c r="E101">
        <v>64.81</v>
      </c>
      <c r="F101">
        <v>1699053.21</v>
      </c>
      <c r="G101">
        <v>64.81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-0.29795918367347068</v>
      </c>
      <c r="Q101">
        <f t="shared" ref="Q101" si="481">F101*P101</f>
        <v>-506248.50746938994</v>
      </c>
      <c r="R101">
        <f t="shared" ref="R101" si="482">R102+Q101</f>
        <v>-6241629.7578457985</v>
      </c>
      <c r="S101">
        <f t="shared" ref="S101" si="483">R101/100000</f>
        <v>-62.416297578457986</v>
      </c>
      <c r="T101">
        <f t="shared" ref="T101" si="484">S101/1000</f>
        <v>-6.2416297578457985E-2</v>
      </c>
    </row>
    <row r="102" spans="1:20" x14ac:dyDescent="0.25">
      <c r="A102" s="5">
        <v>44491</v>
      </c>
      <c r="B102">
        <v>63.63</v>
      </c>
      <c r="C102">
        <v>66.95</v>
      </c>
      <c r="D102">
        <v>63.61</v>
      </c>
      <c r="E102">
        <v>65.95</v>
      </c>
      <c r="F102">
        <v>3112564.07</v>
      </c>
      <c r="G102">
        <v>65.95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0.40119760479041977</v>
      </c>
      <c r="Q102">
        <f t="shared" ref="Q102" si="486">F102*P102</f>
        <v>1248753.2496407204</v>
      </c>
      <c r="R102">
        <f t="shared" ref="R102" si="487">R103+Q102</f>
        <v>-5735381.2503764089</v>
      </c>
      <c r="S102">
        <f t="shared" ref="S102" si="488">R102/100000</f>
        <v>-57.35381250376409</v>
      </c>
      <c r="T102">
        <f t="shared" ref="T102" si="489">S102/1000</f>
        <v>-5.735381250376409E-2</v>
      </c>
    </row>
    <row r="103" spans="1:20" x14ac:dyDescent="0.25">
      <c r="A103" s="5">
        <v>44490</v>
      </c>
      <c r="B103">
        <v>67.06</v>
      </c>
      <c r="C103">
        <v>68.16</v>
      </c>
      <c r="D103">
        <v>63.34</v>
      </c>
      <c r="E103">
        <v>63.63</v>
      </c>
      <c r="F103">
        <v>3631263.83</v>
      </c>
      <c r="G103">
        <v>63.63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-0.87966804979253133</v>
      </c>
      <c r="Q103">
        <f t="shared" ref="Q103" si="491">F103*P103</f>
        <v>-3194306.7716182582</v>
      </c>
      <c r="R103">
        <f t="shared" ref="R103" si="492">R104+Q103</f>
        <v>-6984134.5000171289</v>
      </c>
      <c r="S103">
        <f t="shared" ref="S103" si="493">R103/100000</f>
        <v>-69.841345000171287</v>
      </c>
      <c r="T103">
        <f t="shared" ref="T103" si="494">S103/1000</f>
        <v>-6.9841345000171293E-2</v>
      </c>
    </row>
    <row r="104" spans="1:20" x14ac:dyDescent="0.25">
      <c r="A104" s="5">
        <v>44489</v>
      </c>
      <c r="B104">
        <v>62.94</v>
      </c>
      <c r="C104">
        <v>68.2</v>
      </c>
      <c r="D104">
        <v>62.49</v>
      </c>
      <c r="E104">
        <v>67.06</v>
      </c>
      <c r="F104">
        <v>3416330.81</v>
      </c>
      <c r="G104">
        <v>67.06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0.60070052539404539</v>
      </c>
      <c r="Q104">
        <f t="shared" ref="Q104" si="496">F104*P104</f>
        <v>2052191.7124868648</v>
      </c>
      <c r="R104">
        <f t="shared" ref="R104" si="497">R105+Q104</f>
        <v>-3789827.7283988707</v>
      </c>
      <c r="S104">
        <f t="shared" ref="S104" si="498">R104/100000</f>
        <v>-37.898277283988705</v>
      </c>
      <c r="T104">
        <f t="shared" ref="T104" si="499">S104/1000</f>
        <v>-3.7898277283988702E-2</v>
      </c>
    </row>
    <row r="105" spans="1:20" x14ac:dyDescent="0.25">
      <c r="A105" s="5">
        <v>44488</v>
      </c>
      <c r="B105">
        <v>63.45</v>
      </c>
      <c r="C105">
        <v>64.099999999999994</v>
      </c>
      <c r="D105">
        <v>62</v>
      </c>
      <c r="E105">
        <v>62.94</v>
      </c>
      <c r="F105">
        <v>1965416.75</v>
      </c>
      <c r="G105">
        <v>62.94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-0.1047619047619045</v>
      </c>
      <c r="Q105">
        <f t="shared" ref="Q105" si="501">F105*P105</f>
        <v>-205900.80238095188</v>
      </c>
      <c r="R105">
        <f t="shared" ref="R105" si="502">R106+Q105</f>
        <v>-5842019.4408857357</v>
      </c>
      <c r="S105">
        <f t="shared" ref="S105" si="503">R105/100000</f>
        <v>-58.420194408857355</v>
      </c>
      <c r="T105">
        <f t="shared" ref="T105" si="504">S105/1000</f>
        <v>-5.8420194408857352E-2</v>
      </c>
    </row>
    <row r="106" spans="1:20" x14ac:dyDescent="0.25">
      <c r="A106" s="5">
        <v>44487</v>
      </c>
      <c r="B106">
        <v>63.86</v>
      </c>
      <c r="C106">
        <v>65.069999999999993</v>
      </c>
      <c r="D106">
        <v>61.38</v>
      </c>
      <c r="E106">
        <v>63.46</v>
      </c>
      <c r="F106">
        <v>2912700.13</v>
      </c>
      <c r="G106">
        <v>63.46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0.12737127371273907</v>
      </c>
      <c r="Q106">
        <f t="shared" ref="Q106" si="506">F106*P106</f>
        <v>370994.32550136064</v>
      </c>
      <c r="R106">
        <f t="shared" ref="R106" si="507">R107+Q106</f>
        <v>-5636118.6385047836</v>
      </c>
      <c r="S106">
        <f t="shared" ref="S106" si="508">R106/100000</f>
        <v>-56.361186385047837</v>
      </c>
      <c r="T106">
        <f t="shared" ref="T106" si="509">S106/1000</f>
        <v>-5.6361186385047835E-2</v>
      </c>
    </row>
    <row r="107" spans="1:20" x14ac:dyDescent="0.25">
      <c r="A107" s="5">
        <v>44486</v>
      </c>
      <c r="B107">
        <v>66.52</v>
      </c>
      <c r="C107">
        <v>67.12</v>
      </c>
      <c r="D107">
        <v>61</v>
      </c>
      <c r="E107">
        <v>63.86</v>
      </c>
      <c r="F107">
        <v>3186103.93</v>
      </c>
      <c r="G107">
        <v>63.86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-6.5359477124183885E-2</v>
      </c>
      <c r="Q107">
        <f t="shared" ref="Q107" si="511">F107*P107</f>
        <v>-208242.0869281074</v>
      </c>
      <c r="R107">
        <f t="shared" ref="R107" si="512">R108+Q107</f>
        <v>-6007112.9640061446</v>
      </c>
      <c r="S107">
        <f t="shared" ref="S107" si="513">R107/100000</f>
        <v>-60.071129640061443</v>
      </c>
      <c r="T107">
        <f t="shared" ref="T107" si="514">S107/1000</f>
        <v>-6.0071129640061442E-2</v>
      </c>
    </row>
    <row r="108" spans="1:20" x14ac:dyDescent="0.25">
      <c r="A108" s="5">
        <v>44485</v>
      </c>
      <c r="B108">
        <v>67.319999999999993</v>
      </c>
      <c r="C108">
        <v>69.22</v>
      </c>
      <c r="D108">
        <v>66.099999999999994</v>
      </c>
      <c r="E108">
        <v>66.52</v>
      </c>
      <c r="F108">
        <v>2137734.09</v>
      </c>
      <c r="G108">
        <v>66.52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-0.73076923076923006</v>
      </c>
      <c r="Q108">
        <f t="shared" ref="Q108" si="516">F108*P108</f>
        <v>-1562190.2965384598</v>
      </c>
      <c r="R108">
        <f t="shared" ref="R108" si="517">R109+Q108</f>
        <v>-5798870.8770780368</v>
      </c>
      <c r="S108">
        <f t="shared" ref="S108" si="518">R108/100000</f>
        <v>-57.98870877078037</v>
      </c>
      <c r="T108">
        <f t="shared" ref="T108" si="519">S108/1000</f>
        <v>-5.798870877078037E-2</v>
      </c>
    </row>
    <row r="109" spans="1:20" x14ac:dyDescent="0.25">
      <c r="A109" s="5">
        <v>44484</v>
      </c>
      <c r="B109">
        <v>70.39</v>
      </c>
      <c r="C109">
        <v>70.400000000000006</v>
      </c>
      <c r="D109">
        <v>65.069999999999993</v>
      </c>
      <c r="E109">
        <v>67.33</v>
      </c>
      <c r="F109">
        <v>4707506.1100000003</v>
      </c>
      <c r="G109">
        <v>67.33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-0.15196998123827399</v>
      </c>
      <c r="Q109">
        <f t="shared" ref="Q109" si="521">F109*P109</f>
        <v>-715399.61521576019</v>
      </c>
      <c r="R109">
        <f t="shared" ref="R109" si="522">R110+Q109</f>
        <v>-4236680.5805395767</v>
      </c>
      <c r="S109">
        <f t="shared" ref="S109" si="523">R109/100000</f>
        <v>-42.366805805395764</v>
      </c>
      <c r="T109">
        <f t="shared" ref="T109" si="524">S109/1000</f>
        <v>-4.2366805805395764E-2</v>
      </c>
    </row>
    <row r="110" spans="1:20" x14ac:dyDescent="0.25">
      <c r="A110" s="5">
        <v>44483</v>
      </c>
      <c r="B110">
        <v>68.319999999999993</v>
      </c>
      <c r="C110">
        <v>71.900000000000006</v>
      </c>
      <c r="D110">
        <v>67.2</v>
      </c>
      <c r="E110">
        <v>70.38</v>
      </c>
      <c r="F110">
        <v>4019846.41</v>
      </c>
      <c r="G110">
        <v>70.38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0.35319148936169814</v>
      </c>
      <c r="Q110">
        <f t="shared" ref="Q110" si="526">F110*P110</f>
        <v>1419775.5405531756</v>
      </c>
      <c r="R110">
        <f t="shared" ref="R110" si="527">R111+Q110</f>
        <v>-3521280.965323817</v>
      </c>
      <c r="S110">
        <f t="shared" ref="S110" si="528">R110/100000</f>
        <v>-35.212809653238168</v>
      </c>
      <c r="T110">
        <f t="shared" ref="T110" si="529">S110/1000</f>
        <v>-3.521280965323817E-2</v>
      </c>
    </row>
    <row r="111" spans="1:20" x14ac:dyDescent="0.25">
      <c r="A111" s="5">
        <v>44482</v>
      </c>
      <c r="B111">
        <v>69.81</v>
      </c>
      <c r="C111">
        <v>70.75</v>
      </c>
      <c r="D111">
        <v>60.7</v>
      </c>
      <c r="E111">
        <v>68.31</v>
      </c>
      <c r="F111">
        <v>6934760.7400000002</v>
      </c>
      <c r="G111">
        <v>68.31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0.51442786069651769</v>
      </c>
      <c r="Q111">
        <f t="shared" ref="Q111" si="531">F111*P111</f>
        <v>3567434.1319204001</v>
      </c>
      <c r="R111">
        <f t="shared" ref="R111" si="532">R112+Q111</f>
        <v>-4941056.5058769928</v>
      </c>
      <c r="S111">
        <f t="shared" ref="S111" si="533">R111/100000</f>
        <v>-49.410565058769926</v>
      </c>
      <c r="T111">
        <f t="shared" ref="T111" si="534">S111/1000</f>
        <v>-4.9410565058769923E-2</v>
      </c>
    </row>
    <row r="112" spans="1:20" x14ac:dyDescent="0.25">
      <c r="A112" s="5">
        <v>44481</v>
      </c>
      <c r="B112">
        <v>73.48</v>
      </c>
      <c r="C112">
        <v>73.5</v>
      </c>
      <c r="D112">
        <v>66.13</v>
      </c>
      <c r="E112">
        <v>69.8</v>
      </c>
      <c r="F112">
        <v>4776709.7</v>
      </c>
      <c r="G112">
        <v>69.8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-4.070556309362431E-3</v>
      </c>
      <c r="Q112">
        <f t="shared" ref="Q112" si="536">F112*P112</f>
        <v>-19443.865807327726</v>
      </c>
      <c r="R112">
        <f t="shared" ref="R112" si="537">R113+Q112</f>
        <v>-8508490.6377973929</v>
      </c>
      <c r="S112">
        <f t="shared" ref="S112" si="538">R112/100000</f>
        <v>-85.084906377973923</v>
      </c>
      <c r="T112">
        <f t="shared" ref="T112" si="539">S112/1000</f>
        <v>-8.5084906377973918E-2</v>
      </c>
    </row>
    <row r="113" spans="1:20" x14ac:dyDescent="0.25">
      <c r="A113" s="5">
        <v>44480</v>
      </c>
      <c r="B113">
        <v>69.819999999999993</v>
      </c>
      <c r="C113">
        <v>74.819999999999993</v>
      </c>
      <c r="D113">
        <v>69</v>
      </c>
      <c r="E113">
        <v>73.47</v>
      </c>
      <c r="F113">
        <v>4551778.21</v>
      </c>
      <c r="G113">
        <v>73.47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0.53608247422680555</v>
      </c>
      <c r="Q113">
        <f t="shared" ref="Q113" si="541">F113*P113</f>
        <v>2440128.52494846</v>
      </c>
      <c r="R113">
        <f t="shared" ref="R113" si="542">R114+Q113</f>
        <v>-8489046.7719900645</v>
      </c>
      <c r="S113">
        <f t="shared" ref="S113" si="543">R113/100000</f>
        <v>-84.890467719900641</v>
      </c>
      <c r="T113">
        <f t="shared" ref="T113" si="544">S113/1000</f>
        <v>-8.4890467719900636E-2</v>
      </c>
    </row>
    <row r="114" spans="1:20" x14ac:dyDescent="0.25">
      <c r="A114" s="5">
        <v>44479</v>
      </c>
      <c r="B114">
        <v>77.010000000000005</v>
      </c>
      <c r="C114">
        <v>77.08</v>
      </c>
      <c r="D114">
        <v>69.08</v>
      </c>
      <c r="E114">
        <v>69.81</v>
      </c>
      <c r="F114">
        <v>3681308.56</v>
      </c>
      <c r="G114">
        <v>69.81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-0.81749999999999901</v>
      </c>
      <c r="Q114">
        <f t="shared" ref="Q114" si="546">F114*P114</f>
        <v>-3009469.7477999963</v>
      </c>
      <c r="R114">
        <f t="shared" ref="R114" si="547">R115+Q114</f>
        <v>-10929175.296938526</v>
      </c>
      <c r="S114">
        <f t="shared" ref="S114" si="548">R114/100000</f>
        <v>-109.29175296938526</v>
      </c>
      <c r="T114">
        <f t="shared" ref="T114" si="549">S114/1000</f>
        <v>-0.10929175296938526</v>
      </c>
    </row>
    <row r="115" spans="1:20" x14ac:dyDescent="0.25">
      <c r="A115" s="5">
        <v>44478</v>
      </c>
      <c r="B115">
        <v>79.540000000000006</v>
      </c>
      <c r="C115">
        <v>80.64</v>
      </c>
      <c r="D115">
        <v>75.37</v>
      </c>
      <c r="E115">
        <v>77.010000000000005</v>
      </c>
      <c r="F115">
        <v>3958211.78</v>
      </c>
      <c r="G115">
        <v>77.010000000000005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-0.37760910815939208</v>
      </c>
      <c r="Q115">
        <f t="shared" ref="Q115" si="551">F115*P115</f>
        <v>-1494656.8201517998</v>
      </c>
      <c r="R115">
        <f t="shared" ref="R115" si="552">R116+Q115</f>
        <v>-7919705.5491385292</v>
      </c>
      <c r="S115">
        <f t="shared" ref="S115" si="553">R115/100000</f>
        <v>-79.197055491385299</v>
      </c>
      <c r="T115">
        <f t="shared" ref="T115" si="554">S115/1000</f>
        <v>-7.9197055491385296E-2</v>
      </c>
    </row>
    <row r="116" spans="1:20" x14ac:dyDescent="0.25">
      <c r="A116" s="5">
        <v>44477</v>
      </c>
      <c r="B116">
        <v>71.47</v>
      </c>
      <c r="C116">
        <v>81.22</v>
      </c>
      <c r="D116">
        <v>70.58</v>
      </c>
      <c r="E116">
        <v>79.540000000000006</v>
      </c>
      <c r="F116">
        <v>6879351.0300000003</v>
      </c>
      <c r="G116">
        <v>79.540000000000006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0.68421052631579093</v>
      </c>
      <c r="Q116">
        <f t="shared" ref="Q116" si="556">F116*P116</f>
        <v>4706924.3889473788</v>
      </c>
      <c r="R116">
        <f t="shared" ref="R116" si="557">R117+Q116</f>
        <v>-6425048.7289867289</v>
      </c>
      <c r="S116">
        <f t="shared" ref="S116" si="558">R116/100000</f>
        <v>-64.250487289867294</v>
      </c>
      <c r="T116">
        <f t="shared" ref="T116" si="559">S116/1000</f>
        <v>-6.4250487289867292E-2</v>
      </c>
    </row>
    <row r="117" spans="1:20" x14ac:dyDescent="0.25">
      <c r="A117" s="5">
        <v>44476</v>
      </c>
      <c r="B117">
        <v>71.760000000000005</v>
      </c>
      <c r="C117">
        <v>74.31</v>
      </c>
      <c r="D117">
        <v>68.94</v>
      </c>
      <c r="E117">
        <v>71.459999999999994</v>
      </c>
      <c r="F117">
        <v>4617739.46</v>
      </c>
      <c r="G117">
        <v>71.459999999999994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-6.1452513966482721E-2</v>
      </c>
      <c r="Q117">
        <f t="shared" ref="Q117" si="561">F117*P117</f>
        <v>-283771.69865922839</v>
      </c>
      <c r="R117">
        <f t="shared" ref="R117" si="562">R118+Q117</f>
        <v>-11131973.117934108</v>
      </c>
      <c r="S117">
        <f t="shared" ref="S117" si="563">R117/100000</f>
        <v>-111.31973117934108</v>
      </c>
      <c r="T117">
        <f t="shared" ref="T117" si="564">S117/1000</f>
        <v>-0.11131973117934107</v>
      </c>
    </row>
    <row r="118" spans="1:20" x14ac:dyDescent="0.25">
      <c r="A118" s="5">
        <v>44475</v>
      </c>
      <c r="B118">
        <v>70.900000000000006</v>
      </c>
      <c r="C118">
        <v>74.86</v>
      </c>
      <c r="D118">
        <v>66.62</v>
      </c>
      <c r="E118">
        <v>71.75</v>
      </c>
      <c r="F118">
        <v>5421184.1699999999</v>
      </c>
      <c r="G118">
        <v>71.75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0.24514563106796083</v>
      </c>
      <c r="Q118">
        <f t="shared" ref="Q118" si="566">F118*P118</f>
        <v>1328979.6144902895</v>
      </c>
      <c r="R118">
        <f t="shared" ref="R118" si="567">R119+Q118</f>
        <v>-10848201.41927488</v>
      </c>
      <c r="S118">
        <f t="shared" ref="S118" si="568">R118/100000</f>
        <v>-108.48201419274879</v>
      </c>
      <c r="T118">
        <f t="shared" ref="T118" si="569">S118/1000</f>
        <v>-0.10848201419274879</v>
      </c>
    </row>
    <row r="119" spans="1:20" x14ac:dyDescent="0.25">
      <c r="A119" s="5">
        <v>44474</v>
      </c>
      <c r="B119">
        <v>69.77</v>
      </c>
      <c r="C119">
        <v>72.98</v>
      </c>
      <c r="D119">
        <v>68.48</v>
      </c>
      <c r="E119">
        <v>70.89</v>
      </c>
      <c r="F119">
        <v>4170035.71</v>
      </c>
      <c r="G119">
        <v>70.89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7.1111111111109598E-2</v>
      </c>
      <c r="Q119">
        <f t="shared" ref="Q119" si="571">F119*P119</f>
        <v>296535.87271110481</v>
      </c>
      <c r="R119">
        <f t="shared" ref="R119" si="572">R120+Q119</f>
        <v>-12177181.033765169</v>
      </c>
      <c r="S119">
        <f t="shared" ref="S119" si="573">R119/100000</f>
        <v>-121.77181033765169</v>
      </c>
      <c r="T119">
        <f t="shared" ref="T119" si="574">S119/1000</f>
        <v>-0.12177181033765169</v>
      </c>
    </row>
    <row r="120" spans="1:20" x14ac:dyDescent="0.25">
      <c r="A120" s="5">
        <v>44473</v>
      </c>
      <c r="B120">
        <v>69.099999999999994</v>
      </c>
      <c r="C120">
        <v>70.64</v>
      </c>
      <c r="D120">
        <v>65.66</v>
      </c>
      <c r="E120">
        <v>68.88</v>
      </c>
      <c r="F120">
        <v>4614830.91</v>
      </c>
      <c r="G120">
        <v>68.88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0.29317269076305069</v>
      </c>
      <c r="Q120">
        <f t="shared" ref="Q120" si="576">F120*P120</f>
        <v>1352942.3953011979</v>
      </c>
      <c r="R120">
        <f t="shared" ref="R120" si="577">R121+Q120</f>
        <v>-12473716.906476274</v>
      </c>
      <c r="S120">
        <f t="shared" ref="S120" si="578">R120/100000</f>
        <v>-124.73716906476274</v>
      </c>
      <c r="T120">
        <f t="shared" ref="T120" si="579">S120/1000</f>
        <v>-0.12473716906476275</v>
      </c>
    </row>
    <row r="121" spans="1:20" x14ac:dyDescent="0.25">
      <c r="A121" s="5">
        <v>44472</v>
      </c>
      <c r="B121">
        <v>69.66</v>
      </c>
      <c r="C121">
        <v>70.849999999999994</v>
      </c>
      <c r="D121">
        <v>67.63</v>
      </c>
      <c r="E121">
        <v>68.81</v>
      </c>
      <c r="F121">
        <v>4163632.31</v>
      </c>
      <c r="G121">
        <v>68.81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-0.26708074534161041</v>
      </c>
      <c r="Q121">
        <f t="shared" ref="Q121" si="581">F121*P121</f>
        <v>-1112026.020683211</v>
      </c>
      <c r="R121">
        <f t="shared" ref="R121" si="582">R122+Q121</f>
        <v>-13826659.301777473</v>
      </c>
      <c r="S121">
        <f t="shared" ref="S121" si="583">R121/100000</f>
        <v>-138.26659301777474</v>
      </c>
      <c r="T121">
        <f t="shared" ref="T121" si="584">S121/1000</f>
        <v>-0.13826659301777475</v>
      </c>
    </row>
    <row r="122" spans="1:20" x14ac:dyDescent="0.25">
      <c r="A122" s="5">
        <v>44471</v>
      </c>
      <c r="B122">
        <v>71.47</v>
      </c>
      <c r="C122">
        <v>73.98</v>
      </c>
      <c r="D122">
        <v>68.33</v>
      </c>
      <c r="E122">
        <v>69.66</v>
      </c>
      <c r="F122">
        <v>5690046.8499999996</v>
      </c>
      <c r="G122">
        <v>69.66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-0.52920353982300994</v>
      </c>
      <c r="Q122">
        <f t="shared" ref="Q122" si="586">F122*P122</f>
        <v>-3011192.9347787672</v>
      </c>
      <c r="R122">
        <f t="shared" ref="R122" si="587">R123+Q122</f>
        <v>-12714633.281094262</v>
      </c>
      <c r="S122">
        <f t="shared" ref="S122" si="588">R122/100000</f>
        <v>-127.14633281094262</v>
      </c>
      <c r="T122">
        <f t="shared" ref="T122" si="589">S122/1000</f>
        <v>-0.12714633281094262</v>
      </c>
    </row>
    <row r="123" spans="1:20" x14ac:dyDescent="0.25">
      <c r="A123" s="5">
        <v>44470</v>
      </c>
      <c r="B123">
        <v>60.05</v>
      </c>
      <c r="C123">
        <v>73.39</v>
      </c>
      <c r="D123">
        <v>59.61</v>
      </c>
      <c r="E123">
        <v>71.47</v>
      </c>
      <c r="F123">
        <v>5594246.2593999999</v>
      </c>
      <c r="G123">
        <v>71.47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0.72133526850507956</v>
      </c>
      <c r="Q123">
        <f t="shared" ref="Q123" si="591">F123*P123</f>
        <v>4035327.1276078359</v>
      </c>
      <c r="R123">
        <f t="shared" ref="R123" si="592">R124+Q123</f>
        <v>-9703440.3463154957</v>
      </c>
      <c r="S123">
        <f t="shared" ref="S123" si="593">R123/100000</f>
        <v>-97.034403463154959</v>
      </c>
      <c r="T123">
        <f t="shared" ref="T123" si="594">S123/1000</f>
        <v>-9.7034403463154964E-2</v>
      </c>
    </row>
    <row r="124" spans="1:20" x14ac:dyDescent="0.25">
      <c r="A124" s="5">
        <v>44469</v>
      </c>
      <c r="B124">
        <v>57</v>
      </c>
      <c r="C124">
        <v>61.21</v>
      </c>
      <c r="D124">
        <v>56.83</v>
      </c>
      <c r="E124">
        <v>60.04</v>
      </c>
      <c r="F124">
        <v>3364207.82</v>
      </c>
      <c r="G124">
        <v>60.04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0.46575342465753378</v>
      </c>
      <c r="Q124">
        <f t="shared" ref="Q124" si="596">F124*P124</f>
        <v>1566891.3134246559</v>
      </c>
      <c r="R124">
        <f t="shared" ref="R124" si="597">R125+Q124</f>
        <v>-13738767.473923331</v>
      </c>
      <c r="S124">
        <f t="shared" ref="S124" si="598">R124/100000</f>
        <v>-137.38767473923332</v>
      </c>
      <c r="T124">
        <f t="shared" ref="T124" si="599">S124/1000</f>
        <v>-0.13738767473923333</v>
      </c>
    </row>
    <row r="125" spans="1:20" x14ac:dyDescent="0.25">
      <c r="A125" s="5">
        <v>44468</v>
      </c>
      <c r="B125">
        <v>55.29</v>
      </c>
      <c r="C125">
        <v>58.51</v>
      </c>
      <c r="D125">
        <v>55.22</v>
      </c>
      <c r="E125">
        <v>57</v>
      </c>
      <c r="F125">
        <v>3708359.18</v>
      </c>
      <c r="G125">
        <v>57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8.2066869300912823E-2</v>
      </c>
      <c r="Q125">
        <f t="shared" ref="Q125" si="601">F125*P125</f>
        <v>304333.42814590025</v>
      </c>
      <c r="R125">
        <f t="shared" ref="R125" si="602">R126+Q125</f>
        <v>-15305658.787347987</v>
      </c>
      <c r="S125">
        <f t="shared" ref="S125" si="603">R125/100000</f>
        <v>-153.05658787347988</v>
      </c>
      <c r="T125">
        <f t="shared" ref="T125" si="604">S125/1000</f>
        <v>-0.15305658787347989</v>
      </c>
    </row>
    <row r="126" spans="1:20" x14ac:dyDescent="0.25">
      <c r="A126" s="5">
        <v>44467</v>
      </c>
      <c r="B126">
        <v>58.98</v>
      </c>
      <c r="C126">
        <v>59.57</v>
      </c>
      <c r="D126">
        <v>55.07</v>
      </c>
      <c r="E126">
        <v>55.3</v>
      </c>
      <c r="F126">
        <v>5629628.6699999999</v>
      </c>
      <c r="G126">
        <v>55.3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-0.89777777777777912</v>
      </c>
      <c r="Q126">
        <f t="shared" ref="Q126" si="606">F126*P126</f>
        <v>-5054155.5170666743</v>
      </c>
      <c r="R126">
        <f t="shared" ref="R126" si="607">R127+Q126</f>
        <v>-15609992.215493888</v>
      </c>
      <c r="S126">
        <f t="shared" ref="S126" si="608">R126/100000</f>
        <v>-156.09992215493887</v>
      </c>
      <c r="T126">
        <f t="shared" ref="T126" si="609">S126/1000</f>
        <v>-0.15609992215493887</v>
      </c>
    </row>
    <row r="127" spans="1:20" x14ac:dyDescent="0.25">
      <c r="A127" s="5">
        <v>44466</v>
      </c>
      <c r="B127">
        <v>55.78</v>
      </c>
      <c r="C127">
        <v>62.94</v>
      </c>
      <c r="D127">
        <v>54.71</v>
      </c>
      <c r="E127">
        <v>58.98</v>
      </c>
      <c r="F127">
        <v>9074696.8000000007</v>
      </c>
      <c r="G127">
        <v>58.98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3.7667071688942316E-2</v>
      </c>
      <c r="Q127">
        <f t="shared" ref="Q127" si="611">F127*P127</f>
        <v>341817.25492101547</v>
      </c>
      <c r="R127">
        <f t="shared" ref="R127" si="612">R128+Q127</f>
        <v>-10555836.698427213</v>
      </c>
      <c r="S127">
        <f t="shared" ref="S127" si="613">R127/100000</f>
        <v>-105.55836698427214</v>
      </c>
      <c r="T127">
        <f t="shared" ref="T127" si="614">S127/1000</f>
        <v>-0.10555836698427214</v>
      </c>
    </row>
    <row r="128" spans="1:20" x14ac:dyDescent="0.25">
      <c r="A128" s="5">
        <v>44465</v>
      </c>
      <c r="B128">
        <v>60.39</v>
      </c>
      <c r="C128">
        <v>60.64</v>
      </c>
      <c r="D128">
        <v>50</v>
      </c>
      <c r="E128">
        <v>55.77</v>
      </c>
      <c r="F128">
        <v>13709913.631200001</v>
      </c>
      <c r="G128">
        <v>55.77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8.458646616541407E-2</v>
      </c>
      <c r="Q128">
        <f t="shared" ref="Q128" si="616">F128*P128</f>
        <v>1159673.145496248</v>
      </c>
      <c r="R128">
        <f t="shared" ref="R128" si="617">R129+Q128</f>
        <v>-10897653.953348229</v>
      </c>
      <c r="S128">
        <f t="shared" ref="S128" si="618">R128/100000</f>
        <v>-108.97653953348228</v>
      </c>
      <c r="T128">
        <f t="shared" ref="T128" si="619">S128/1000</f>
        <v>-0.10897653953348228</v>
      </c>
    </row>
    <row r="129" spans="1:20" x14ac:dyDescent="0.25">
      <c r="A129" s="5">
        <v>44464</v>
      </c>
      <c r="B129">
        <v>63.32</v>
      </c>
      <c r="C129">
        <v>63.89</v>
      </c>
      <c r="D129">
        <v>58.78</v>
      </c>
      <c r="E129">
        <v>60.4</v>
      </c>
      <c r="F129">
        <v>6263245.0673000002</v>
      </c>
      <c r="G129">
        <v>60.4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-0.36594911937377783</v>
      </c>
      <c r="Q129">
        <f t="shared" ref="Q129" si="621">F129*P129</f>
        <v>-2292029.0168005931</v>
      </c>
      <c r="R129">
        <f t="shared" ref="R129" si="622">R130+Q129</f>
        <v>-12057327.098844476</v>
      </c>
      <c r="S129">
        <f t="shared" ref="S129" si="623">R129/100000</f>
        <v>-120.57327098844476</v>
      </c>
      <c r="T129">
        <f t="shared" ref="T129" si="624">S129/1000</f>
        <v>-0.12057327098844477</v>
      </c>
    </row>
    <row r="130" spans="1:20" x14ac:dyDescent="0.25">
      <c r="A130" s="5">
        <v>44463</v>
      </c>
      <c r="B130">
        <v>74.66</v>
      </c>
      <c r="C130">
        <v>74.97</v>
      </c>
      <c r="D130">
        <v>60.13</v>
      </c>
      <c r="E130">
        <v>63.31</v>
      </c>
      <c r="F130">
        <v>10129684.968699999</v>
      </c>
      <c r="G130">
        <v>63.31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-0.5714285714285714</v>
      </c>
      <c r="Q130">
        <f t="shared" ref="Q130" si="626">F130*P130</f>
        <v>-5788391.4106857134</v>
      </c>
      <c r="R130">
        <f t="shared" ref="R130" si="627">R131+Q130</f>
        <v>-9765298.0820438825</v>
      </c>
      <c r="S130">
        <f t="shared" ref="S130" si="628">R130/100000</f>
        <v>-97.652980820438827</v>
      </c>
      <c r="T130">
        <f t="shared" ref="T130" si="629">S130/1000</f>
        <v>-9.7652980820438828E-2</v>
      </c>
    </row>
    <row r="131" spans="1:20" x14ac:dyDescent="0.25">
      <c r="A131" s="5">
        <v>44462</v>
      </c>
      <c r="B131">
        <v>74.5</v>
      </c>
      <c r="C131">
        <v>75.58</v>
      </c>
      <c r="D131">
        <v>71.83</v>
      </c>
      <c r="E131">
        <v>74.66</v>
      </c>
      <c r="F131">
        <v>3073366.14</v>
      </c>
      <c r="G131">
        <v>74.66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0.50933333333333242</v>
      </c>
      <c r="Q131">
        <f t="shared" ref="Q131" si="631">F131*P131</f>
        <v>1565367.8206399973</v>
      </c>
      <c r="R131">
        <f t="shared" ref="R131" si="632">R132+Q131</f>
        <v>-3976906.6713581686</v>
      </c>
      <c r="S131">
        <f t="shared" ref="S131" si="633">R131/100000</f>
        <v>-39.769066713581687</v>
      </c>
      <c r="T131">
        <f t="shared" ref="T131" si="634">S131/1000</f>
        <v>-3.9769066713581686E-2</v>
      </c>
    </row>
    <row r="132" spans="1:20" x14ac:dyDescent="0.25">
      <c r="A132" s="5">
        <v>44461</v>
      </c>
      <c r="B132">
        <v>69.540000000000006</v>
      </c>
      <c r="C132">
        <v>75.02</v>
      </c>
      <c r="D132">
        <v>68.650000000000006</v>
      </c>
      <c r="E132">
        <v>74.510000000000005</v>
      </c>
      <c r="F132">
        <v>3294084.32</v>
      </c>
      <c r="G132">
        <v>74.510000000000005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0.83987441130298535</v>
      </c>
      <c r="Q132">
        <f t="shared" ref="Q132" si="636">F132*P132</f>
        <v>2766617.1290423945</v>
      </c>
      <c r="R132">
        <f t="shared" ref="R132" si="637">R133+Q132</f>
        <v>-5542274.4919981658</v>
      </c>
      <c r="S132">
        <f t="shared" ref="S132" si="638">R132/100000</f>
        <v>-55.42274491998166</v>
      </c>
      <c r="T132">
        <f t="shared" ref="T132" si="639">S132/1000</f>
        <v>-5.5422744919981663E-2</v>
      </c>
    </row>
    <row r="133" spans="1:20" x14ac:dyDescent="0.25">
      <c r="A133" s="5">
        <v>44460</v>
      </c>
      <c r="B133">
        <v>74.42</v>
      </c>
      <c r="C133">
        <v>76.58</v>
      </c>
      <c r="D133">
        <v>68.14</v>
      </c>
      <c r="E133">
        <v>69.540000000000006</v>
      </c>
      <c r="F133">
        <v>5187450.8892999999</v>
      </c>
      <c r="G133">
        <v>69.540000000000006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-0.6682464454976289</v>
      </c>
      <c r="Q133">
        <f t="shared" ref="Q133" si="641">F133*P133</f>
        <v>-3466495.6179682389</v>
      </c>
      <c r="R133">
        <f t="shared" ref="R133" si="642">R134+Q133</f>
        <v>-8308891.6210405603</v>
      </c>
      <c r="S133">
        <f t="shared" ref="S133" si="643">R133/100000</f>
        <v>-83.0889162104056</v>
      </c>
      <c r="T133">
        <f t="shared" ref="T133" si="644">S133/1000</f>
        <v>-8.3088916210405594E-2</v>
      </c>
    </row>
    <row r="134" spans="1:20" x14ac:dyDescent="0.25">
      <c r="A134" s="5">
        <v>44459</v>
      </c>
      <c r="B134">
        <v>83.54</v>
      </c>
      <c r="C134">
        <v>83.69</v>
      </c>
      <c r="D134">
        <v>76.5</v>
      </c>
      <c r="E134">
        <v>78.2</v>
      </c>
      <c r="F134">
        <v>2323643.6800000002</v>
      </c>
      <c r="G134">
        <v>78.2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-0.52712100139081963</v>
      </c>
      <c r="Q134">
        <f t="shared" ref="Q134" si="646">F134*P134</f>
        <v>-1224841.3834770494</v>
      </c>
      <c r="R134">
        <f t="shared" ref="R134" si="647">R135+Q134</f>
        <v>-4842396.0030723214</v>
      </c>
      <c r="S134">
        <f t="shared" ref="S134" si="648">R134/100000</f>
        <v>-48.423960030723215</v>
      </c>
      <c r="T134">
        <f t="shared" ref="T134" si="649">S134/1000</f>
        <v>-4.8423960030723218E-2</v>
      </c>
    </row>
    <row r="135" spans="1:20" x14ac:dyDescent="0.25">
      <c r="A135" s="5">
        <v>44458</v>
      </c>
      <c r="B135">
        <v>84.31</v>
      </c>
      <c r="C135">
        <v>85.15</v>
      </c>
      <c r="D135">
        <v>81.56</v>
      </c>
      <c r="E135">
        <v>83.53</v>
      </c>
      <c r="F135">
        <v>1629678.69</v>
      </c>
      <c r="G135">
        <v>83.53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9.7493036211697484E-2</v>
      </c>
      <c r="Q135">
        <f t="shared" ref="Q135" si="651">F135*P135</f>
        <v>158882.32353760171</v>
      </c>
      <c r="R135">
        <f t="shared" ref="R135" si="652">R136+Q135</f>
        <v>-3617554.619595272</v>
      </c>
      <c r="S135">
        <f t="shared" ref="S135" si="653">R135/100000</f>
        <v>-36.17554619595272</v>
      </c>
      <c r="T135">
        <f t="shared" ref="T135" si="654">S135/1000</f>
        <v>-3.6175546195952722E-2</v>
      </c>
    </row>
    <row r="136" spans="1:20" x14ac:dyDescent="0.25">
      <c r="A136" s="5">
        <v>44457</v>
      </c>
      <c r="B136">
        <v>85.8</v>
      </c>
      <c r="C136">
        <v>87.37</v>
      </c>
      <c r="D136">
        <v>82.6</v>
      </c>
      <c r="E136">
        <v>84.3</v>
      </c>
      <c r="F136">
        <v>2437791.85</v>
      </c>
      <c r="G136">
        <v>84.3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-0.28721174004192906</v>
      </c>
      <c r="Q136">
        <f t="shared" ref="Q136" si="656">F136*P136</f>
        <v>-700162.43909853336</v>
      </c>
      <c r="R136">
        <f t="shared" ref="R136" si="657">R137+Q136</f>
        <v>-3776436.9431328736</v>
      </c>
      <c r="S136">
        <f t="shared" ref="S136" si="658">R136/100000</f>
        <v>-37.764369431328738</v>
      </c>
      <c r="T136">
        <f t="shared" ref="T136" si="659">S136/1000</f>
        <v>-3.7764369431328736E-2</v>
      </c>
    </row>
    <row r="137" spans="1:20" x14ac:dyDescent="0.25">
      <c r="A137" s="5">
        <v>44456</v>
      </c>
      <c r="B137">
        <v>84.72</v>
      </c>
      <c r="C137">
        <v>86.63</v>
      </c>
      <c r="D137">
        <v>80.56</v>
      </c>
      <c r="E137">
        <v>85.79</v>
      </c>
      <c r="F137">
        <v>3144824.97</v>
      </c>
      <c r="G137">
        <v>85.79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0.72322899505766391</v>
      </c>
      <c r="Q137">
        <f t="shared" ref="Q137" si="661">F137*P137</f>
        <v>2274428.6026853481</v>
      </c>
      <c r="R137">
        <f t="shared" ref="R137" si="662">R138+Q137</f>
        <v>-3076274.5040343404</v>
      </c>
      <c r="S137">
        <f t="shared" ref="S137" si="663">R137/100000</f>
        <v>-30.762745040343404</v>
      </c>
      <c r="T137">
        <f t="shared" ref="T137" si="664">S137/1000</f>
        <v>-3.0762745040343403E-2</v>
      </c>
    </row>
    <row r="138" spans="1:20" x14ac:dyDescent="0.25">
      <c r="A138" s="5">
        <v>44455</v>
      </c>
      <c r="B138">
        <v>86.23</v>
      </c>
      <c r="C138">
        <v>90.64</v>
      </c>
      <c r="D138">
        <v>82.2</v>
      </c>
      <c r="E138">
        <v>84.72</v>
      </c>
      <c r="F138">
        <v>4531810.3099999996</v>
      </c>
      <c r="G138">
        <v>84.72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-0.40284360189573537</v>
      </c>
      <c r="Q138">
        <f t="shared" ref="Q138" si="666">F138*P138</f>
        <v>-1825610.788388629</v>
      </c>
      <c r="R138">
        <f t="shared" ref="R138" si="667">R139+Q138</f>
        <v>-5350703.1067196885</v>
      </c>
      <c r="S138">
        <f t="shared" ref="S138" si="668">R138/100000</f>
        <v>-53.507031067196884</v>
      </c>
      <c r="T138">
        <f t="shared" ref="T138" si="669">S138/1000</f>
        <v>-5.3507031067196884E-2</v>
      </c>
    </row>
    <row r="139" spans="1:20" x14ac:dyDescent="0.25">
      <c r="A139" s="5">
        <v>44454</v>
      </c>
      <c r="B139">
        <v>80.790000000000006</v>
      </c>
      <c r="C139">
        <v>87.5</v>
      </c>
      <c r="D139">
        <v>80.08</v>
      </c>
      <c r="E139">
        <v>86.23</v>
      </c>
      <c r="F139">
        <v>3817168.86</v>
      </c>
      <c r="G139">
        <v>86.23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0.65768194070080976</v>
      </c>
      <c r="Q139">
        <f t="shared" ref="Q139" si="671">F139*P139</f>
        <v>2510483.0238274974</v>
      </c>
      <c r="R139">
        <f t="shared" ref="R139" si="672">R140+Q139</f>
        <v>-3525092.3183310595</v>
      </c>
      <c r="S139">
        <f t="shared" ref="S139" si="673">R139/100000</f>
        <v>-35.250923183310597</v>
      </c>
      <c r="T139">
        <f t="shared" ref="T139" si="674">S139/1000</f>
        <v>-3.5250923183310599E-2</v>
      </c>
    </row>
    <row r="140" spans="1:20" x14ac:dyDescent="0.25">
      <c r="A140" s="5">
        <v>44453</v>
      </c>
      <c r="B140">
        <v>77.959999999999994</v>
      </c>
      <c r="C140">
        <v>81.87</v>
      </c>
      <c r="D140">
        <v>77.44</v>
      </c>
      <c r="E140">
        <v>80.8</v>
      </c>
      <c r="F140">
        <v>2334986.0299999998</v>
      </c>
      <c r="G140">
        <v>80.8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0.51693002257336085</v>
      </c>
      <c r="Q140">
        <f t="shared" ref="Q140" si="676">F140*P140</f>
        <v>1207024.3811963822</v>
      </c>
      <c r="R140">
        <f t="shared" ref="R140" si="677">R141+Q140</f>
        <v>-6035575.3421585569</v>
      </c>
      <c r="S140">
        <f t="shared" ref="S140" si="678">R140/100000</f>
        <v>-60.355753421585568</v>
      </c>
      <c r="T140">
        <f t="shared" ref="T140" si="679">S140/1000</f>
        <v>-6.035575342158557E-2</v>
      </c>
    </row>
    <row r="141" spans="1:20" x14ac:dyDescent="0.25">
      <c r="A141" s="5">
        <v>44452</v>
      </c>
      <c r="B141">
        <v>83.63</v>
      </c>
      <c r="C141">
        <v>84.6</v>
      </c>
      <c r="D141">
        <v>72.72</v>
      </c>
      <c r="E141">
        <v>77.959999999999994</v>
      </c>
      <c r="F141">
        <v>4367263.96</v>
      </c>
      <c r="G141">
        <v>77.959999999999994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-0.11784511784511836</v>
      </c>
      <c r="Q141">
        <f t="shared" ref="Q141" si="681">F141*P141</f>
        <v>-514660.73602693831</v>
      </c>
      <c r="R141">
        <f t="shared" ref="R141" si="682">R142+Q141</f>
        <v>-7242599.7233549394</v>
      </c>
      <c r="S141">
        <f t="shared" ref="S141" si="683">R141/100000</f>
        <v>-72.425997233549396</v>
      </c>
      <c r="T141">
        <f t="shared" ref="T141" si="684">S141/1000</f>
        <v>-7.2425997233549394E-2</v>
      </c>
    </row>
    <row r="142" spans="1:20" x14ac:dyDescent="0.25">
      <c r="A142" s="5">
        <v>44451</v>
      </c>
      <c r="B142">
        <v>81.67</v>
      </c>
      <c r="C142">
        <v>87.05</v>
      </c>
      <c r="D142">
        <v>80.66</v>
      </c>
      <c r="E142">
        <v>83.63</v>
      </c>
      <c r="F142">
        <v>3811022.49</v>
      </c>
      <c r="G142">
        <v>83.63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-7.0422535211268039E-2</v>
      </c>
      <c r="Q142">
        <f t="shared" ref="Q142" si="686">F142*P142</f>
        <v>-268381.86549295939</v>
      </c>
      <c r="R142">
        <f t="shared" ref="R142" si="687">R143+Q142</f>
        <v>-6727938.9873280013</v>
      </c>
      <c r="S142">
        <f t="shared" ref="S142" si="688">R142/100000</f>
        <v>-67.27938987328001</v>
      </c>
      <c r="T142">
        <f t="shared" ref="T142" si="689">S142/1000</f>
        <v>-6.7279389873280013E-2</v>
      </c>
    </row>
    <row r="143" spans="1:20" x14ac:dyDescent="0.25">
      <c r="A143" s="5">
        <v>44450</v>
      </c>
      <c r="B143">
        <v>82.42</v>
      </c>
      <c r="C143">
        <v>85.04</v>
      </c>
      <c r="D143">
        <v>80.03</v>
      </c>
      <c r="E143">
        <v>81.66</v>
      </c>
      <c r="F143">
        <v>3341935.14</v>
      </c>
      <c r="G143">
        <v>81.66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-0.34930139720559128</v>
      </c>
      <c r="Q143">
        <f t="shared" ref="Q143" si="691">F143*P143</f>
        <v>-1167342.6137724633</v>
      </c>
      <c r="R143">
        <f t="shared" ref="R143" si="692">R144+Q143</f>
        <v>-6459557.1218350418</v>
      </c>
      <c r="S143">
        <f t="shared" ref="S143" si="693">R143/100000</f>
        <v>-64.595571218350415</v>
      </c>
      <c r="T143">
        <f t="shared" ref="T143" si="694">S143/1000</f>
        <v>-6.4595571218350412E-2</v>
      </c>
    </row>
    <row r="144" spans="1:20" x14ac:dyDescent="0.25">
      <c r="A144" s="5">
        <v>44449</v>
      </c>
      <c r="B144">
        <v>88.7</v>
      </c>
      <c r="C144">
        <v>91.86</v>
      </c>
      <c r="D144">
        <v>78.73</v>
      </c>
      <c r="E144">
        <v>82.43</v>
      </c>
      <c r="F144">
        <v>4887080.1399999997</v>
      </c>
      <c r="G144">
        <v>82.43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-0.43640517897943576</v>
      </c>
      <c r="Q144">
        <f t="shared" ref="Q144" si="696">F144*P144</f>
        <v>-2132747.0831835456</v>
      </c>
      <c r="R144">
        <f t="shared" ref="R144" si="697">R145+Q144</f>
        <v>-5292214.5080625787</v>
      </c>
      <c r="S144">
        <f t="shared" ref="S144" si="698">R144/100000</f>
        <v>-52.922145080625789</v>
      </c>
      <c r="T144">
        <f t="shared" ref="T144" si="699">S144/1000</f>
        <v>-5.2922145080625788E-2</v>
      </c>
    </row>
    <row r="145" spans="1:20" x14ac:dyDescent="0.25">
      <c r="A145" s="5">
        <v>44448</v>
      </c>
      <c r="B145">
        <v>88.39</v>
      </c>
      <c r="C145">
        <v>94.17</v>
      </c>
      <c r="D145">
        <v>85.1</v>
      </c>
      <c r="E145">
        <v>88.68</v>
      </c>
      <c r="F145">
        <v>5353465.34</v>
      </c>
      <c r="G145">
        <v>88.68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-0.21058434399117759</v>
      </c>
      <c r="Q145">
        <f t="shared" ref="Q145" si="701">F145*P145</f>
        <v>-1127355.9867034066</v>
      </c>
      <c r="R145">
        <f t="shared" ref="R145" si="702">R146+Q145</f>
        <v>-3159467.4248790331</v>
      </c>
      <c r="S145">
        <f t="shared" ref="S145" si="703">R145/100000</f>
        <v>-31.59467424879033</v>
      </c>
      <c r="T145">
        <f t="shared" ref="T145" si="704">S145/1000</f>
        <v>-3.1594674248790332E-2</v>
      </c>
    </row>
    <row r="146" spans="1:20" x14ac:dyDescent="0.25">
      <c r="A146" s="5">
        <v>44447</v>
      </c>
      <c r="B146">
        <v>84.47</v>
      </c>
      <c r="C146">
        <v>94.05</v>
      </c>
      <c r="D146">
        <v>76.05</v>
      </c>
      <c r="E146">
        <v>88.28</v>
      </c>
      <c r="F146">
        <v>9668703.6799999997</v>
      </c>
      <c r="G146">
        <v>88.28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0.35888888888888931</v>
      </c>
      <c r="Q146">
        <f t="shared" ref="Q146" si="706">F146*P146</f>
        <v>3469990.3207111149</v>
      </c>
      <c r="R146">
        <f t="shared" ref="R146" si="707">R147+Q146</f>
        <v>-2032111.4381756266</v>
      </c>
      <c r="S146">
        <f t="shared" ref="S146" si="708">R146/100000</f>
        <v>-20.321114381756267</v>
      </c>
      <c r="T146">
        <f t="shared" ref="T146" si="709">S146/1000</f>
        <v>-2.0321114381756267E-2</v>
      </c>
    </row>
    <row r="147" spans="1:20" x14ac:dyDescent="0.25">
      <c r="A147" s="5">
        <v>44446</v>
      </c>
      <c r="B147">
        <v>106.22</v>
      </c>
      <c r="C147">
        <v>110.97</v>
      </c>
      <c r="D147">
        <v>71.2</v>
      </c>
      <c r="E147">
        <v>84.46</v>
      </c>
      <c r="F147">
        <v>13607499</v>
      </c>
      <c r="G147">
        <v>84.46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-0.3331657027910489</v>
      </c>
      <c r="Q147">
        <f t="shared" ref="Q147" si="711">F147*P147</f>
        <v>-4533551.967563495</v>
      </c>
      <c r="R147">
        <f t="shared" ref="R147" si="712">R148+Q147</f>
        <v>-5502101.7588867415</v>
      </c>
      <c r="S147">
        <f t="shared" ref="S147" si="713">R147/100000</f>
        <v>-55.021017588867416</v>
      </c>
      <c r="T147">
        <f t="shared" ref="T147" si="714">S147/1000</f>
        <v>-5.5021017588867419E-2</v>
      </c>
    </row>
    <row r="148" spans="1:20" x14ac:dyDescent="0.25">
      <c r="A148" s="5">
        <v>44445</v>
      </c>
      <c r="B148">
        <v>113.64</v>
      </c>
      <c r="C148">
        <v>118.5</v>
      </c>
      <c r="D148">
        <v>103.88</v>
      </c>
      <c r="E148">
        <v>106.22</v>
      </c>
      <c r="F148">
        <v>7762399.75</v>
      </c>
      <c r="G148">
        <v>106.22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-0.67989056087551258</v>
      </c>
      <c r="Q148">
        <f t="shared" ref="Q148" si="716">F148*P148</f>
        <v>-5277582.3197674388</v>
      </c>
      <c r="R148">
        <f t="shared" ref="R148" si="717">R149+Q148</f>
        <v>-968549.79132324643</v>
      </c>
      <c r="S148">
        <f t="shared" ref="S148" si="718">R148/100000</f>
        <v>-9.6854979132324637</v>
      </c>
      <c r="T148">
        <f t="shared" ref="T148" si="719">S148/1000</f>
        <v>-9.6854979132324631E-3</v>
      </c>
    </row>
    <row r="149" spans="1:20" x14ac:dyDescent="0.25">
      <c r="A149" s="5">
        <v>44444</v>
      </c>
      <c r="B149">
        <v>95.04</v>
      </c>
      <c r="C149">
        <v>120.17</v>
      </c>
      <c r="D149">
        <v>91.89</v>
      </c>
      <c r="E149">
        <v>113.65</v>
      </c>
      <c r="F149">
        <v>8863729.3950999994</v>
      </c>
      <c r="G149">
        <v>113.65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0.53889674681753919</v>
      </c>
      <c r="Q149">
        <f t="shared" ref="Q149" si="721">F149*P149</f>
        <v>4776634.9356903844</v>
      </c>
      <c r="R149">
        <f t="shared" ref="R149" si="722">R150+Q149</f>
        <v>4309032.5284441924</v>
      </c>
      <c r="S149">
        <f t="shared" ref="S149" si="723">R149/100000</f>
        <v>43.090325284441924</v>
      </c>
      <c r="T149">
        <f t="shared" ref="T149" si="724">S149/1000</f>
        <v>4.3090325284441927E-2</v>
      </c>
    </row>
    <row r="150" spans="1:20" x14ac:dyDescent="0.25">
      <c r="A150" s="5">
        <v>44443</v>
      </c>
      <c r="B150">
        <v>77.64</v>
      </c>
      <c r="C150">
        <v>96.65</v>
      </c>
      <c r="D150">
        <v>77.47</v>
      </c>
      <c r="E150">
        <v>95.04</v>
      </c>
      <c r="F150">
        <v>5591528.1185999997</v>
      </c>
      <c r="G150">
        <v>95.04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0.83211678832116798</v>
      </c>
      <c r="Q150">
        <f t="shared" ref="Q150" si="726">F150*P150</f>
        <v>4652804.4198569348</v>
      </c>
      <c r="R150">
        <f t="shared" ref="R150" si="727">R151+Q150</f>
        <v>-467602.40724619199</v>
      </c>
      <c r="S150">
        <f t="shared" ref="S150" si="728">R150/100000</f>
        <v>-4.67602407246192</v>
      </c>
      <c r="T150">
        <f t="shared" ref="T150" si="729">S150/1000</f>
        <v>-4.6760240724619201E-3</v>
      </c>
    </row>
    <row r="151" spans="1:20" x14ac:dyDescent="0.25">
      <c r="A151" s="5">
        <v>44442</v>
      </c>
      <c r="B151">
        <v>77.39</v>
      </c>
      <c r="C151">
        <v>78.98</v>
      </c>
      <c r="D151">
        <v>75.72</v>
      </c>
      <c r="E151">
        <v>77.650000000000006</v>
      </c>
      <c r="F151">
        <v>1670784.36</v>
      </c>
      <c r="G151">
        <v>77.650000000000006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0.18404907975460355</v>
      </c>
      <c r="Q151">
        <f t="shared" ref="Q151" si="731">F151*P151</f>
        <v>307506.32392638427</v>
      </c>
      <c r="R151">
        <f t="shared" ref="R151" si="732">R152+Q151</f>
        <v>-5120406.8271031268</v>
      </c>
      <c r="S151">
        <f t="shared" ref="S151" si="733">R151/100000</f>
        <v>-51.204068271031268</v>
      </c>
      <c r="T151">
        <f t="shared" ref="T151" si="734">S151/1000</f>
        <v>-5.1204068271031265E-2</v>
      </c>
    </row>
    <row r="152" spans="1:20" x14ac:dyDescent="0.25">
      <c r="A152" s="5">
        <v>44441</v>
      </c>
      <c r="B152">
        <v>78.680000000000007</v>
      </c>
      <c r="C152">
        <v>79.58</v>
      </c>
      <c r="D152">
        <v>77.010000000000005</v>
      </c>
      <c r="E152">
        <v>77.39</v>
      </c>
      <c r="F152">
        <v>1787834.6203999999</v>
      </c>
      <c r="G152">
        <v>77.39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-0.70428015564202606</v>
      </c>
      <c r="Q152">
        <f t="shared" ref="Q152" si="736">F152*P152</f>
        <v>-1259136.4447175146</v>
      </c>
      <c r="R152">
        <f t="shared" ref="R152" si="737">R153+Q152</f>
        <v>-5427913.1510295114</v>
      </c>
      <c r="S152">
        <f t="shared" ref="S152" si="738">R152/100000</f>
        <v>-54.279131510295116</v>
      </c>
      <c r="T152">
        <f t="shared" ref="T152" si="739">S152/1000</f>
        <v>-5.4279131510295113E-2</v>
      </c>
    </row>
    <row r="153" spans="1:20" x14ac:dyDescent="0.25">
      <c r="A153" s="5">
        <v>44440</v>
      </c>
      <c r="B153">
        <v>75.959999999999994</v>
      </c>
      <c r="C153">
        <v>78.790000000000006</v>
      </c>
      <c r="D153">
        <v>75.27</v>
      </c>
      <c r="E153">
        <v>78.69</v>
      </c>
      <c r="F153">
        <v>2662164.3530999999</v>
      </c>
      <c r="G153">
        <v>78.69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0.94318181818181346</v>
      </c>
      <c r="Q153">
        <f t="shared" ref="Q153" si="741">F153*P153</f>
        <v>2510905.0148556693</v>
      </c>
      <c r="R153">
        <f t="shared" ref="R153" si="742">R154+Q153</f>
        <v>-4168776.7063119966</v>
      </c>
      <c r="S153">
        <f t="shared" ref="S153" si="743">R153/100000</f>
        <v>-41.687767063119963</v>
      </c>
      <c r="T153">
        <f t="shared" ref="T153" si="744">S153/1000</f>
        <v>-4.1687767063119961E-2</v>
      </c>
    </row>
    <row r="154" spans="1:20" x14ac:dyDescent="0.25">
      <c r="A154" s="5">
        <v>44439</v>
      </c>
      <c r="B154">
        <v>71.2</v>
      </c>
      <c r="C154">
        <v>77.8</v>
      </c>
      <c r="D154">
        <v>70.430000000000007</v>
      </c>
      <c r="E154">
        <v>75.97</v>
      </c>
      <c r="F154">
        <v>3168608.5765</v>
      </c>
      <c r="G154">
        <v>75.97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0.50339213025780172</v>
      </c>
      <c r="Q154">
        <f t="shared" ref="Q154" si="746">F154*P154</f>
        <v>1595052.6212774757</v>
      </c>
      <c r="R154">
        <f t="shared" ref="R154" si="747">R155+Q154</f>
        <v>-6679681.7211676659</v>
      </c>
      <c r="S154">
        <f t="shared" ref="S154" si="748">R154/100000</f>
        <v>-66.796817211676654</v>
      </c>
      <c r="T154">
        <f t="shared" ref="T154" si="749">S154/1000</f>
        <v>-6.6796817211676657E-2</v>
      </c>
    </row>
    <row r="155" spans="1:20" x14ac:dyDescent="0.25">
      <c r="A155" s="5">
        <v>44438</v>
      </c>
      <c r="B155">
        <v>73.62</v>
      </c>
      <c r="C155">
        <v>74.239999999999995</v>
      </c>
      <c r="D155">
        <v>70.94</v>
      </c>
      <c r="E155">
        <v>71.2</v>
      </c>
      <c r="F155">
        <v>1366890.45</v>
      </c>
      <c r="G155">
        <v>71.2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-0.84242424242423919</v>
      </c>
      <c r="Q155">
        <f t="shared" ref="Q155" si="751">F155*P155</f>
        <v>-1151501.6518181774</v>
      </c>
      <c r="R155">
        <f t="shared" ref="R155" si="752">R156+Q155</f>
        <v>-8274734.3424451416</v>
      </c>
      <c r="S155">
        <f t="shared" ref="S155" si="753">R155/100000</f>
        <v>-82.747343424451415</v>
      </c>
      <c r="T155">
        <f t="shared" ref="T155" si="754">S155/1000</f>
        <v>-8.2747343424451419E-2</v>
      </c>
    </row>
    <row r="156" spans="1:20" x14ac:dyDescent="0.25">
      <c r="A156" s="5">
        <v>44437</v>
      </c>
      <c r="B156">
        <v>73.97</v>
      </c>
      <c r="C156">
        <v>75.42</v>
      </c>
      <c r="D156">
        <v>72.400000000000006</v>
      </c>
      <c r="E156">
        <v>73.63</v>
      </c>
      <c r="F156">
        <v>1753070.7</v>
      </c>
      <c r="G156">
        <v>73.63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-0.18543046357616463</v>
      </c>
      <c r="Q156">
        <f t="shared" ref="Q156" si="756">F156*P156</f>
        <v>-325072.71258279146</v>
      </c>
      <c r="R156">
        <f t="shared" ref="R156" si="757">R157+Q156</f>
        <v>-7123232.690626964</v>
      </c>
      <c r="S156">
        <f t="shared" ref="S156" si="758">R156/100000</f>
        <v>-71.232326906269634</v>
      </c>
      <c r="T156">
        <f t="shared" ref="T156" si="759">S156/1000</f>
        <v>-7.1232326906269627E-2</v>
      </c>
    </row>
    <row r="157" spans="1:20" x14ac:dyDescent="0.25">
      <c r="A157" s="5">
        <v>44436</v>
      </c>
      <c r="B157">
        <v>75.2</v>
      </c>
      <c r="C157">
        <v>75.459999999999994</v>
      </c>
      <c r="D157">
        <v>72.86</v>
      </c>
      <c r="E157">
        <v>73.959999999999994</v>
      </c>
      <c r="F157">
        <v>1444189.07</v>
      </c>
      <c r="G157">
        <v>73.959999999999994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-0.15384615384615638</v>
      </c>
      <c r="Q157">
        <f t="shared" ref="Q157" si="761">F157*P157</f>
        <v>-222182.93384615751</v>
      </c>
      <c r="R157">
        <f t="shared" ref="R157" si="762">R158+Q157</f>
        <v>-6798159.9780441727</v>
      </c>
      <c r="S157">
        <f t="shared" ref="S157" si="763">R157/100000</f>
        <v>-67.981599780441726</v>
      </c>
      <c r="T157">
        <f t="shared" ref="T157" si="764">S157/1000</f>
        <v>-6.7981599780441729E-2</v>
      </c>
    </row>
    <row r="158" spans="1:20" x14ac:dyDescent="0.25">
      <c r="A158" s="5">
        <v>44435</v>
      </c>
      <c r="B158">
        <v>72.290000000000006</v>
      </c>
      <c r="C158">
        <v>75.77</v>
      </c>
      <c r="D158">
        <v>70.33</v>
      </c>
      <c r="E158">
        <v>75.19</v>
      </c>
      <c r="F158">
        <v>2139466.4432999999</v>
      </c>
      <c r="G158">
        <v>75.19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0.78676470588235348</v>
      </c>
      <c r="Q158">
        <f t="shared" ref="Q158" si="766">F158*P158</f>
        <v>1683256.6870080894</v>
      </c>
      <c r="R158">
        <f t="shared" ref="R158" si="767">R159+Q158</f>
        <v>-6575977.0441980148</v>
      </c>
      <c r="S158">
        <f t="shared" ref="S158" si="768">R158/100000</f>
        <v>-65.759770441980152</v>
      </c>
      <c r="T158">
        <f t="shared" ref="T158" si="769">S158/1000</f>
        <v>-6.5759770441980156E-2</v>
      </c>
    </row>
    <row r="159" spans="1:20" x14ac:dyDescent="0.25">
      <c r="A159" s="5">
        <v>44434</v>
      </c>
      <c r="B159">
        <v>76.53</v>
      </c>
      <c r="C159">
        <v>78.78</v>
      </c>
      <c r="D159">
        <v>71.400000000000006</v>
      </c>
      <c r="E159">
        <v>72.290000000000006</v>
      </c>
      <c r="F159">
        <v>2655189.4841</v>
      </c>
      <c r="G159">
        <v>72.290000000000006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-0.75880758807588045</v>
      </c>
      <c r="Q159">
        <f t="shared" ref="Q159" si="771">F159*P159</f>
        <v>-2014777.9283143624</v>
      </c>
      <c r="R159">
        <f t="shared" ref="R159" si="772">R160+Q159</f>
        <v>-8259233.7312061042</v>
      </c>
      <c r="S159">
        <f t="shared" ref="S159" si="773">R159/100000</f>
        <v>-82.592337312061048</v>
      </c>
      <c r="T159">
        <f t="shared" ref="T159" si="774">S159/1000</f>
        <v>-8.2592337312061045E-2</v>
      </c>
    </row>
    <row r="160" spans="1:20" x14ac:dyDescent="0.25">
      <c r="A160" s="5">
        <v>44433</v>
      </c>
      <c r="B160">
        <v>74.33</v>
      </c>
      <c r="C160">
        <v>77.930000000000007</v>
      </c>
      <c r="D160">
        <v>72.41</v>
      </c>
      <c r="E160">
        <v>76.53</v>
      </c>
      <c r="F160">
        <v>2264953.1140999999</v>
      </c>
      <c r="G160">
        <v>76.53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0.49275362318840465</v>
      </c>
      <c r="Q160">
        <f t="shared" ref="Q160" si="776">F160*P160</f>
        <v>1116063.853324635</v>
      </c>
      <c r="R160">
        <f t="shared" ref="R160" si="777">R161+Q160</f>
        <v>-6244455.8028917415</v>
      </c>
      <c r="S160">
        <f t="shared" ref="S160" si="778">R160/100000</f>
        <v>-62.444558028917413</v>
      </c>
      <c r="T160">
        <f t="shared" ref="T160" si="779">S160/1000</f>
        <v>-6.2444558028917414E-2</v>
      </c>
    </row>
    <row r="161" spans="1:20" x14ac:dyDescent="0.25">
      <c r="A161" s="5">
        <v>44432</v>
      </c>
      <c r="B161">
        <v>79.739999999999995</v>
      </c>
      <c r="C161">
        <v>80.55</v>
      </c>
      <c r="D161">
        <v>72.17</v>
      </c>
      <c r="E161">
        <v>74.34</v>
      </c>
      <c r="F161">
        <v>3044715.3539</v>
      </c>
      <c r="G161">
        <v>74.34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-0.48210023866348378</v>
      </c>
      <c r="Q161">
        <f t="shared" ref="Q161" si="781">F161*P161</f>
        <v>-1467857.9987775635</v>
      </c>
      <c r="R161">
        <f t="shared" ref="R161" si="782">R162+Q161</f>
        <v>-7360519.6562163765</v>
      </c>
      <c r="S161">
        <f t="shared" ref="S161" si="783">R161/100000</f>
        <v>-73.605196562163769</v>
      </c>
      <c r="T161">
        <f t="shared" ref="T161" si="784">S161/1000</f>
        <v>-7.3605196562163772E-2</v>
      </c>
    </row>
    <row r="162" spans="1:20" x14ac:dyDescent="0.25">
      <c r="A162" s="5">
        <v>44431</v>
      </c>
      <c r="B162">
        <v>77.16</v>
      </c>
      <c r="C162">
        <v>82.48</v>
      </c>
      <c r="D162">
        <v>76.56</v>
      </c>
      <c r="E162">
        <v>79.75</v>
      </c>
      <c r="F162">
        <v>3298154.7192000002</v>
      </c>
      <c r="G162">
        <v>79.75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7.7702702702701618E-2</v>
      </c>
      <c r="Q162">
        <f t="shared" ref="Q162" si="786">F162*P162</f>
        <v>256275.53561350994</v>
      </c>
      <c r="R162">
        <f t="shared" ref="R162" si="787">R163+Q162</f>
        <v>-5892661.6574388128</v>
      </c>
      <c r="S162">
        <f t="shared" ref="S162" si="788">R162/100000</f>
        <v>-58.926616574388127</v>
      </c>
      <c r="T162">
        <f t="shared" ref="T162" si="789">S162/1000</f>
        <v>-5.8926616574388128E-2</v>
      </c>
    </row>
    <row r="163" spans="1:20" x14ac:dyDescent="0.25">
      <c r="A163" s="5">
        <v>44430</v>
      </c>
      <c r="B163">
        <v>78.45</v>
      </c>
      <c r="C163">
        <v>79.150000000000006</v>
      </c>
      <c r="D163">
        <v>76.86</v>
      </c>
      <c r="E163">
        <v>77.98</v>
      </c>
      <c r="F163">
        <v>1072384.2404</v>
      </c>
      <c r="G163">
        <v>77.98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-2.1834061135369877E-2</v>
      </c>
      <c r="Q163">
        <f t="shared" ref="Q163" si="791">F163*P163</f>
        <v>-23414.503065500787</v>
      </c>
      <c r="R163">
        <f t="shared" ref="R163" si="792">R164+Q163</f>
        <v>-6148937.1930523226</v>
      </c>
      <c r="S163">
        <f t="shared" ref="S163" si="793">R163/100000</f>
        <v>-61.489371930523227</v>
      </c>
      <c r="T163">
        <f t="shared" ref="T163" si="794">S163/1000</f>
        <v>-6.1489371930523229E-2</v>
      </c>
    </row>
    <row r="164" spans="1:20" x14ac:dyDescent="0.25">
      <c r="A164" s="5">
        <v>44429</v>
      </c>
      <c r="B164">
        <v>73.06</v>
      </c>
      <c r="C164">
        <v>79.290000000000006</v>
      </c>
      <c r="D164">
        <v>71.400000000000006</v>
      </c>
      <c r="E164">
        <v>78.45</v>
      </c>
      <c r="F164">
        <v>3060779.1024000002</v>
      </c>
      <c r="G164">
        <v>78.45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0.78707224334600678</v>
      </c>
      <c r="Q164">
        <f t="shared" ref="Q164" si="796">F164*P164</f>
        <v>2409054.2745125452</v>
      </c>
      <c r="R164">
        <f t="shared" ref="R164" si="797">R165+Q164</f>
        <v>-6125522.6899868222</v>
      </c>
      <c r="S164">
        <f t="shared" ref="S164" si="798">R164/100000</f>
        <v>-61.255226899868219</v>
      </c>
      <c r="T164">
        <f t="shared" ref="T164" si="799">S164/1000</f>
        <v>-6.1255226899868218E-2</v>
      </c>
    </row>
    <row r="165" spans="1:20" x14ac:dyDescent="0.25">
      <c r="A165" s="5">
        <v>44428</v>
      </c>
      <c r="B165">
        <v>70.47</v>
      </c>
      <c r="C165">
        <v>73.790000000000006</v>
      </c>
      <c r="D165">
        <v>69.69</v>
      </c>
      <c r="E165">
        <v>73.06</v>
      </c>
      <c r="F165">
        <v>1749122.9824999999</v>
      </c>
      <c r="G165">
        <v>73.06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0.64390243902438904</v>
      </c>
      <c r="Q165">
        <f t="shared" ref="Q165" si="801">F165*P165</f>
        <v>1126264.5545853637</v>
      </c>
      <c r="R165">
        <f t="shared" ref="R165" si="802">R166+Q165</f>
        <v>-8534576.9644993674</v>
      </c>
      <c r="S165">
        <f t="shared" ref="S165" si="803">R165/100000</f>
        <v>-85.34576964499368</v>
      </c>
      <c r="T165">
        <f t="shared" ref="T165" si="804">S165/1000</f>
        <v>-8.5345769644993685E-2</v>
      </c>
    </row>
    <row r="166" spans="1:20" x14ac:dyDescent="0.25">
      <c r="A166" s="5">
        <v>44427</v>
      </c>
      <c r="B166">
        <v>67.47</v>
      </c>
      <c r="C166">
        <v>70.540000000000006</v>
      </c>
      <c r="D166">
        <v>66.260000000000005</v>
      </c>
      <c r="E166">
        <v>70.48</v>
      </c>
      <c r="F166">
        <v>1630499.5676</v>
      </c>
      <c r="G166">
        <v>70.48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0.9719626168224289</v>
      </c>
      <c r="Q166">
        <f t="shared" ref="Q166" si="806">F166*P166</f>
        <v>1584784.6264523347</v>
      </c>
      <c r="R166">
        <f t="shared" ref="R166" si="807">R167+Q166</f>
        <v>-9660841.5190847311</v>
      </c>
      <c r="S166">
        <f t="shared" ref="S166" si="808">R166/100000</f>
        <v>-96.60841519084731</v>
      </c>
      <c r="T166">
        <f t="shared" ref="T166" si="809">S166/1000</f>
        <v>-9.6608415190847313E-2</v>
      </c>
    </row>
    <row r="167" spans="1:20" x14ac:dyDescent="0.25">
      <c r="A167" s="5">
        <v>44426</v>
      </c>
      <c r="B167">
        <v>69.489999999999995</v>
      </c>
      <c r="C167">
        <v>70.150000000000006</v>
      </c>
      <c r="D167">
        <v>66</v>
      </c>
      <c r="E167">
        <v>67.47</v>
      </c>
      <c r="F167">
        <v>2552150.0822999999</v>
      </c>
      <c r="G167">
        <v>67.47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-0.29156626506024247</v>
      </c>
      <c r="Q167">
        <f t="shared" ref="Q167" si="811">F167*P167</f>
        <v>-744120.86736940139</v>
      </c>
      <c r="R167">
        <f t="shared" ref="R167" si="812">R168+Q167</f>
        <v>-11245626.145537065</v>
      </c>
      <c r="S167">
        <f t="shared" ref="S167" si="813">R167/100000</f>
        <v>-112.45626145537065</v>
      </c>
      <c r="T167">
        <f t="shared" ref="T167" si="814">S167/1000</f>
        <v>-0.11245626145537065</v>
      </c>
    </row>
    <row r="168" spans="1:20" x14ac:dyDescent="0.25">
      <c r="A168" s="5">
        <v>44425</v>
      </c>
      <c r="B168">
        <v>73.25</v>
      </c>
      <c r="C168">
        <v>74.69</v>
      </c>
      <c r="D168">
        <v>69.040000000000006</v>
      </c>
      <c r="E168">
        <v>69.45</v>
      </c>
      <c r="F168">
        <v>2825486.8475000001</v>
      </c>
      <c r="G168">
        <v>69.45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-0.85486725663716912</v>
      </c>
      <c r="Q168">
        <f t="shared" ref="Q168" si="816">F168*P168</f>
        <v>-2415416.1899867286</v>
      </c>
      <c r="R168">
        <f t="shared" ref="R168" si="817">R169+Q168</f>
        <v>-10501505.278167663</v>
      </c>
      <c r="S168">
        <f t="shared" ref="S168" si="818">R168/100000</f>
        <v>-105.01505278167663</v>
      </c>
      <c r="T168">
        <f t="shared" ref="T168" si="819">S168/1000</f>
        <v>-0.10501505278167662</v>
      </c>
    </row>
    <row r="169" spans="1:20" x14ac:dyDescent="0.25">
      <c r="A169" s="5">
        <v>44424</v>
      </c>
      <c r="B169">
        <v>73.06</v>
      </c>
      <c r="C169">
        <v>75.89</v>
      </c>
      <c r="D169">
        <v>72.42</v>
      </c>
      <c r="E169">
        <v>73.260000000000005</v>
      </c>
      <c r="F169">
        <v>3224869.8842000002</v>
      </c>
      <c r="G169">
        <v>73.260000000000005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-0.51585014409221686</v>
      </c>
      <c r="Q169">
        <f t="shared" ref="Q169" si="821">F169*P169</f>
        <v>-1663549.5944432209</v>
      </c>
      <c r="R169">
        <f t="shared" ref="R169" si="822">R170+Q169</f>
        <v>-8086089.088180935</v>
      </c>
      <c r="S169">
        <f t="shared" ref="S169" si="823">R169/100000</f>
        <v>-80.860890881809354</v>
      </c>
      <c r="T169">
        <f t="shared" ref="T169" si="824">S169/1000</f>
        <v>-8.0860890881809352E-2</v>
      </c>
    </row>
    <row r="170" spans="1:20" x14ac:dyDescent="0.25">
      <c r="A170" s="5">
        <v>44423</v>
      </c>
      <c r="B170">
        <v>72.39</v>
      </c>
      <c r="C170">
        <v>74.47</v>
      </c>
      <c r="D170">
        <v>70.08</v>
      </c>
      <c r="E170">
        <v>73.06</v>
      </c>
      <c r="F170">
        <v>2465722.9714000002</v>
      </c>
      <c r="G170">
        <v>73.06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0.35763097949886269</v>
      </c>
      <c r="Q170">
        <f t="shared" ref="Q170" si="826">F170*P170</f>
        <v>881818.9214346282</v>
      </c>
      <c r="R170">
        <f t="shared" ref="R170" si="827">R171+Q170</f>
        <v>-6422539.4937377144</v>
      </c>
      <c r="S170">
        <f t="shared" ref="S170" si="828">R170/100000</f>
        <v>-64.225394937377146</v>
      </c>
      <c r="T170">
        <f t="shared" ref="T170" si="829">S170/1000</f>
        <v>-6.4225394937377139E-2</v>
      </c>
    </row>
    <row r="171" spans="1:20" x14ac:dyDescent="0.25">
      <c r="A171" s="5">
        <v>44422</v>
      </c>
      <c r="B171">
        <v>74.47</v>
      </c>
      <c r="C171">
        <v>75</v>
      </c>
      <c r="D171">
        <v>69.989999999999995</v>
      </c>
      <c r="E171">
        <v>72.400000000000006</v>
      </c>
      <c r="F171">
        <v>2873070.2019000002</v>
      </c>
      <c r="G171">
        <v>72.400000000000006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-3.7924151696603459E-2</v>
      </c>
      <c r="Q171">
        <f t="shared" ref="Q171" si="831">F171*P171</f>
        <v>-108958.75017184674</v>
      </c>
      <c r="R171">
        <f t="shared" ref="R171" si="832">R172+Q171</f>
        <v>-7304358.4151723422</v>
      </c>
      <c r="S171">
        <f t="shared" ref="S171" si="833">R171/100000</f>
        <v>-73.043584151723422</v>
      </c>
      <c r="T171">
        <f t="shared" ref="T171" si="834">S171/1000</f>
        <v>-7.304358415172342E-2</v>
      </c>
    </row>
    <row r="172" spans="1:20" x14ac:dyDescent="0.25">
      <c r="A172" s="5">
        <v>44421</v>
      </c>
      <c r="B172">
        <v>68.33</v>
      </c>
      <c r="C172">
        <v>74.83</v>
      </c>
      <c r="D172">
        <v>68.290000000000006</v>
      </c>
      <c r="E172">
        <v>74.47</v>
      </c>
      <c r="F172">
        <v>2188063.7829</v>
      </c>
      <c r="G172">
        <v>74.47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0.88990825688073394</v>
      </c>
      <c r="Q172">
        <f t="shared" ref="Q172" si="836">F172*P172</f>
        <v>1947176.0269844036</v>
      </c>
      <c r="R172">
        <f t="shared" ref="R172" si="837">R173+Q172</f>
        <v>-7195399.6650004955</v>
      </c>
      <c r="S172">
        <f t="shared" ref="S172" si="838">R172/100000</f>
        <v>-71.953996650004953</v>
      </c>
      <c r="T172">
        <f t="shared" ref="T172" si="839">S172/1000</f>
        <v>-7.1953996650004959E-2</v>
      </c>
    </row>
    <row r="173" spans="1:20" x14ac:dyDescent="0.25">
      <c r="A173" s="5">
        <v>44420</v>
      </c>
      <c r="B173">
        <v>71.760000000000005</v>
      </c>
      <c r="C173">
        <v>75.59</v>
      </c>
      <c r="D173">
        <v>66.040000000000006</v>
      </c>
      <c r="E173">
        <v>68.319999999999993</v>
      </c>
      <c r="F173">
        <v>3877037.84</v>
      </c>
      <c r="G173">
        <v>68.319999999999993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-0.52251308900523818</v>
      </c>
      <c r="Q173">
        <f t="shared" ref="Q173" si="841">F173*P173</f>
        <v>-2025803.0179685964</v>
      </c>
      <c r="R173">
        <f t="shared" ref="R173" si="842">R174+Q173</f>
        <v>-9142575.6919848993</v>
      </c>
      <c r="S173">
        <f t="shared" ref="S173" si="843">R173/100000</f>
        <v>-91.425756919848993</v>
      </c>
      <c r="T173">
        <f t="shared" ref="T173" si="844">S173/1000</f>
        <v>-9.1425756919848999E-2</v>
      </c>
    </row>
    <row r="174" spans="1:20" x14ac:dyDescent="0.25">
      <c r="A174" s="5">
        <v>44419</v>
      </c>
      <c r="B174">
        <v>66.69</v>
      </c>
      <c r="C174">
        <v>74.03</v>
      </c>
      <c r="D174">
        <v>66.64</v>
      </c>
      <c r="E174">
        <v>71.760000000000005</v>
      </c>
      <c r="F174">
        <v>3681758.6132999999</v>
      </c>
      <c r="G174">
        <v>71.760000000000005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0.38565629228687526</v>
      </c>
      <c r="Q174">
        <f t="shared" ref="Q174" si="846">F174*P174</f>
        <v>1419893.3759005454</v>
      </c>
      <c r="R174">
        <f t="shared" ref="R174" si="847">R175+Q174</f>
        <v>-7116772.6740163034</v>
      </c>
      <c r="S174">
        <f t="shared" ref="S174" si="848">R174/100000</f>
        <v>-71.167726740163033</v>
      </c>
      <c r="T174">
        <f t="shared" ref="T174" si="849">S174/1000</f>
        <v>-7.1167726740163029E-2</v>
      </c>
    </row>
    <row r="175" spans="1:20" x14ac:dyDescent="0.25">
      <c r="A175" s="5">
        <v>44418</v>
      </c>
      <c r="B175">
        <v>67.52</v>
      </c>
      <c r="C175">
        <v>69.819999999999993</v>
      </c>
      <c r="D175">
        <v>64.95</v>
      </c>
      <c r="E175">
        <v>66.69</v>
      </c>
      <c r="F175">
        <v>2515419.9937999998</v>
      </c>
      <c r="G175">
        <v>66.69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-0.28542094455852224</v>
      </c>
      <c r="Q175">
        <f t="shared" ref="Q175" si="851">F175*P175</f>
        <v>-717953.55059178814</v>
      </c>
      <c r="R175">
        <f t="shared" ref="R175" si="852">R176+Q175</f>
        <v>-8536666.0499168485</v>
      </c>
      <c r="S175">
        <f t="shared" ref="S175" si="853">R175/100000</f>
        <v>-85.366660499168489</v>
      </c>
      <c r="T175">
        <f t="shared" ref="T175" si="854">S175/1000</f>
        <v>-8.5366660499168495E-2</v>
      </c>
    </row>
    <row r="176" spans="1:20" x14ac:dyDescent="0.25">
      <c r="A176" s="5">
        <v>44417</v>
      </c>
      <c r="B176">
        <v>64.489999999999995</v>
      </c>
      <c r="C176">
        <v>68.180000000000007</v>
      </c>
      <c r="D176">
        <v>61.42</v>
      </c>
      <c r="E176">
        <v>67.540000000000006</v>
      </c>
      <c r="F176">
        <v>2750083.3626999999</v>
      </c>
      <c r="G176">
        <v>67.540000000000006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0.81065088757396442</v>
      </c>
      <c r="Q176">
        <f t="shared" ref="Q176" si="856">F176*P176</f>
        <v>2229357.5188751477</v>
      </c>
      <c r="R176">
        <f t="shared" ref="R176" si="857">R177+Q176</f>
        <v>-7818712.4993250612</v>
      </c>
      <c r="S176">
        <f t="shared" ref="S176" si="858">R176/100000</f>
        <v>-78.187124993250606</v>
      </c>
      <c r="T176">
        <f t="shared" ref="T176" si="859">S176/1000</f>
        <v>-7.8187124993250603E-2</v>
      </c>
    </row>
    <row r="177" spans="1:20" x14ac:dyDescent="0.25">
      <c r="A177" s="5">
        <v>44416</v>
      </c>
      <c r="B177">
        <v>69.239999999999995</v>
      </c>
      <c r="C177">
        <v>69.430000000000007</v>
      </c>
      <c r="D177">
        <v>63.39</v>
      </c>
      <c r="E177">
        <v>64.48</v>
      </c>
      <c r="F177">
        <v>2689308.6239999998</v>
      </c>
      <c r="G177">
        <v>64.48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-0.63907284768211847</v>
      </c>
      <c r="Q177">
        <f t="shared" ref="Q177" si="861">F177*P177</f>
        <v>-1718664.1206357596</v>
      </c>
      <c r="R177">
        <f t="shared" ref="R177" si="862">R178+Q177</f>
        <v>-10048070.018200209</v>
      </c>
      <c r="S177">
        <f t="shared" ref="S177" si="863">R177/100000</f>
        <v>-100.4807001820021</v>
      </c>
      <c r="T177">
        <f t="shared" ref="T177" si="864">S177/1000</f>
        <v>-0.1004807001820021</v>
      </c>
    </row>
    <row r="178" spans="1:20" x14ac:dyDescent="0.25">
      <c r="A178" s="5">
        <v>44415</v>
      </c>
      <c r="B178">
        <v>64.19</v>
      </c>
      <c r="C178">
        <v>70.84</v>
      </c>
      <c r="D178">
        <v>63.67</v>
      </c>
      <c r="E178">
        <v>69.239999999999995</v>
      </c>
      <c r="F178">
        <v>4517936.6528000003</v>
      </c>
      <c r="G178">
        <v>69.239999999999995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0.55369595536959326</v>
      </c>
      <c r="Q178">
        <f t="shared" ref="Q178" si="866">F178*P178</f>
        <v>2501563.2512713987</v>
      </c>
      <c r="R178">
        <f t="shared" ref="R178" si="867">R179+Q178</f>
        <v>-8329405.8975644503</v>
      </c>
      <c r="S178">
        <f t="shared" ref="S178" si="868">R178/100000</f>
        <v>-83.294058975644504</v>
      </c>
      <c r="T178">
        <f t="shared" ref="T178" si="869">S178/1000</f>
        <v>-8.32940589756445E-2</v>
      </c>
    </row>
    <row r="179" spans="1:20" x14ac:dyDescent="0.25">
      <c r="A179" s="5">
        <v>44414</v>
      </c>
      <c r="B179">
        <v>57.87</v>
      </c>
      <c r="C179">
        <v>64.959999999999994</v>
      </c>
      <c r="D179">
        <v>57.17</v>
      </c>
      <c r="E179">
        <v>64.2</v>
      </c>
      <c r="F179">
        <v>3165350.1737000002</v>
      </c>
      <c r="G179">
        <v>64.2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0.80487804878048996</v>
      </c>
      <c r="Q179">
        <f t="shared" ref="Q179" si="871">F179*P179</f>
        <v>2547720.8715146412</v>
      </c>
      <c r="R179">
        <f t="shared" ref="R179" si="872">R180+Q179</f>
        <v>-10830969.148835849</v>
      </c>
      <c r="S179">
        <f t="shared" ref="S179" si="873">R179/100000</f>
        <v>-108.3096914883585</v>
      </c>
      <c r="T179">
        <f t="shared" ref="T179" si="874">S179/1000</f>
        <v>-0.10830969148835849</v>
      </c>
    </row>
    <row r="180" spans="1:20" x14ac:dyDescent="0.25">
      <c r="A180" s="5">
        <v>44413</v>
      </c>
      <c r="B180">
        <v>56.48</v>
      </c>
      <c r="C180">
        <v>58.22</v>
      </c>
      <c r="D180">
        <v>55.01</v>
      </c>
      <c r="E180">
        <v>57.88</v>
      </c>
      <c r="F180">
        <v>2001953.757</v>
      </c>
      <c r="G180">
        <v>57.88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0.78816199376947271</v>
      </c>
      <c r="Q180">
        <f t="shared" ref="Q180" si="876">F180*P180</f>
        <v>1577863.8645514066</v>
      </c>
      <c r="R180">
        <f t="shared" ref="R180" si="877">R181+Q180</f>
        <v>-13378690.02035049</v>
      </c>
      <c r="S180">
        <f t="shared" ref="S180" si="878">R180/100000</f>
        <v>-133.7869002035049</v>
      </c>
      <c r="T180">
        <f t="shared" ref="T180" si="879">S180/1000</f>
        <v>-0.13378690020350489</v>
      </c>
    </row>
    <row r="181" spans="1:20" x14ac:dyDescent="0.25">
      <c r="A181" s="5">
        <v>44412</v>
      </c>
      <c r="B181">
        <v>54.3</v>
      </c>
      <c r="C181">
        <v>57.34</v>
      </c>
      <c r="D181">
        <v>53.98</v>
      </c>
      <c r="E181">
        <v>56.49</v>
      </c>
      <c r="F181">
        <v>2216026.8742</v>
      </c>
      <c r="G181">
        <v>56.49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0.49404761904761918</v>
      </c>
      <c r="Q181">
        <f t="shared" ref="Q181" si="881">F181*P181</f>
        <v>1094822.800944048</v>
      </c>
      <c r="R181">
        <f t="shared" ref="R181" si="882">R182+Q181</f>
        <v>-14956553.884901896</v>
      </c>
      <c r="S181">
        <f t="shared" ref="S181" si="883">R181/100000</f>
        <v>-149.56553884901896</v>
      </c>
      <c r="T181">
        <f t="shared" ref="T181" si="884">S181/1000</f>
        <v>-0.14956553884901896</v>
      </c>
    </row>
    <row r="182" spans="1:20" x14ac:dyDescent="0.25">
      <c r="A182" s="5">
        <v>44411</v>
      </c>
      <c r="B182">
        <v>54.43</v>
      </c>
      <c r="C182">
        <v>55.08</v>
      </c>
      <c r="D182">
        <v>52.72</v>
      </c>
      <c r="E182">
        <v>54.29</v>
      </c>
      <c r="F182">
        <v>1576484.8254</v>
      </c>
      <c r="G182">
        <v>54.29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0.33050847457627175</v>
      </c>
      <c r="Q182">
        <f t="shared" ref="Q182" si="886">F182*P182</f>
        <v>521041.59483559412</v>
      </c>
      <c r="R182">
        <f t="shared" ref="R182" si="887">R183+Q182</f>
        <v>-16051376.685845945</v>
      </c>
      <c r="S182">
        <f t="shared" ref="S182" si="888">R182/100000</f>
        <v>-160.51376685845946</v>
      </c>
      <c r="T182">
        <f t="shared" ref="T182" si="889">S182/1000</f>
        <v>-0.16051376685845947</v>
      </c>
    </row>
    <row r="183" spans="1:20" x14ac:dyDescent="0.25">
      <c r="A183" s="5">
        <v>44410</v>
      </c>
      <c r="B183">
        <v>53.85</v>
      </c>
      <c r="C183">
        <v>56.01</v>
      </c>
      <c r="D183">
        <v>53.08</v>
      </c>
      <c r="E183">
        <v>54.43</v>
      </c>
      <c r="F183">
        <v>1863404.6088</v>
      </c>
      <c r="G183">
        <v>54.43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-7.8498293515357309E-2</v>
      </c>
      <c r="Q183">
        <f t="shared" ref="Q183" si="891">F183*P183</f>
        <v>-146274.08191945197</v>
      </c>
      <c r="R183">
        <f t="shared" ref="R183" si="892">R184+Q183</f>
        <v>-16572418.280681539</v>
      </c>
      <c r="S183">
        <f t="shared" ref="S183" si="893">R183/100000</f>
        <v>-165.72418280681541</v>
      </c>
      <c r="T183">
        <f t="shared" ref="T183" si="894">S183/1000</f>
        <v>-0.16572418280681542</v>
      </c>
    </row>
    <row r="184" spans="1:20" x14ac:dyDescent="0.25">
      <c r="A184" s="5">
        <v>44409</v>
      </c>
      <c r="B184">
        <v>52.01</v>
      </c>
      <c r="C184">
        <v>58.35</v>
      </c>
      <c r="D184">
        <v>51.56</v>
      </c>
      <c r="E184">
        <v>53.85</v>
      </c>
      <c r="F184">
        <v>4839961.9489000002</v>
      </c>
      <c r="G184">
        <v>53.85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-0.32547864506627411</v>
      </c>
      <c r="Q184">
        <f t="shared" ref="Q184" si="896">F184*P184</f>
        <v>-1575304.2573002954</v>
      </c>
      <c r="R184">
        <f t="shared" ref="R184" si="897">R185+Q184</f>
        <v>-16426144.198762087</v>
      </c>
      <c r="S184">
        <f t="shared" ref="S184" si="898">R184/100000</f>
        <v>-164.26144198762088</v>
      </c>
      <c r="T184">
        <f t="shared" ref="T184" si="899">S184/1000</f>
        <v>-0.16426144198762088</v>
      </c>
    </row>
    <row r="185" spans="1:20" x14ac:dyDescent="0.25">
      <c r="A185" s="5">
        <v>44408</v>
      </c>
      <c r="B185">
        <v>51.32</v>
      </c>
      <c r="C185">
        <v>52.83</v>
      </c>
      <c r="D185">
        <v>50.34</v>
      </c>
      <c r="E185">
        <v>52.02</v>
      </c>
      <c r="F185">
        <v>1764912.1764</v>
      </c>
      <c r="G185">
        <v>52.02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0.34939759036144835</v>
      </c>
      <c r="Q185">
        <f t="shared" ref="Q185" si="901">F185*P185</f>
        <v>616656.0616337395</v>
      </c>
      <c r="R185">
        <f t="shared" ref="R185" si="902">R186+Q185</f>
        <v>-14850839.941461792</v>
      </c>
      <c r="S185">
        <f t="shared" ref="S185" si="903">R185/100000</f>
        <v>-148.50839941461791</v>
      </c>
      <c r="T185">
        <f t="shared" ref="T185" si="904">S185/1000</f>
        <v>-0.14850839941461791</v>
      </c>
    </row>
    <row r="186" spans="1:20" x14ac:dyDescent="0.25">
      <c r="A186" s="5">
        <v>44407</v>
      </c>
      <c r="B186">
        <v>49.37</v>
      </c>
      <c r="C186">
        <v>51.37</v>
      </c>
      <c r="D186">
        <v>48.63</v>
      </c>
      <c r="E186">
        <v>51.32</v>
      </c>
      <c r="F186">
        <v>1436700.9706999999</v>
      </c>
      <c r="G186">
        <v>51.32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0.96350364963503854</v>
      </c>
      <c r="Q186">
        <f t="shared" ref="Q186" si="906">F186*P186</f>
        <v>1384266.6287036524</v>
      </c>
      <c r="R186">
        <f t="shared" ref="R186" si="907">R187+Q186</f>
        <v>-15467496.003095532</v>
      </c>
      <c r="S186">
        <f t="shared" ref="S186" si="908">R186/100000</f>
        <v>-154.6749600309553</v>
      </c>
      <c r="T186">
        <f t="shared" ref="T186" si="909">S186/1000</f>
        <v>-0.15467496003095529</v>
      </c>
    </row>
    <row r="187" spans="1:20" x14ac:dyDescent="0.25">
      <c r="A187" s="5">
        <v>44406</v>
      </c>
      <c r="B187">
        <v>49.56</v>
      </c>
      <c r="C187">
        <v>49.79</v>
      </c>
      <c r="D187">
        <v>48.5</v>
      </c>
      <c r="E187">
        <v>49.37</v>
      </c>
      <c r="F187">
        <v>999009.93220000004</v>
      </c>
      <c r="G187">
        <v>49.37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0.34883720930232248</v>
      </c>
      <c r="Q187">
        <f t="shared" ref="Q187" si="911">F187*P187</f>
        <v>348491.83681395039</v>
      </c>
      <c r="R187">
        <f t="shared" ref="R187" si="912">R188+Q187</f>
        <v>-16851762.631799184</v>
      </c>
      <c r="S187">
        <f t="shared" ref="S187" si="913">R187/100000</f>
        <v>-168.51762631799184</v>
      </c>
      <c r="T187">
        <f t="shared" ref="T187" si="914">S187/1000</f>
        <v>-0.16851762631799183</v>
      </c>
    </row>
    <row r="188" spans="1:20" x14ac:dyDescent="0.25">
      <c r="A188" s="5">
        <v>44405</v>
      </c>
      <c r="B188">
        <v>49.54</v>
      </c>
      <c r="C188">
        <v>50.94</v>
      </c>
      <c r="D188">
        <v>48.3</v>
      </c>
      <c r="E188">
        <v>49.57</v>
      </c>
      <c r="F188">
        <v>2159340.3596999999</v>
      </c>
      <c r="G188">
        <v>49.57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-3.7878787878785715E-2</v>
      </c>
      <c r="Q188">
        <f t="shared" ref="Q188" si="916">F188*P188</f>
        <v>-81793.195443177145</v>
      </c>
      <c r="R188">
        <f t="shared" ref="R188" si="917">R189+Q188</f>
        <v>-17200254.468613133</v>
      </c>
      <c r="S188">
        <f t="shared" ref="S188" si="918">R188/100000</f>
        <v>-172.00254468613133</v>
      </c>
      <c r="T188">
        <f t="shared" ref="T188" si="919">S188/1000</f>
        <v>-0.17200254468613133</v>
      </c>
    </row>
    <row r="189" spans="1:20" x14ac:dyDescent="0.25">
      <c r="A189" s="5">
        <v>44404</v>
      </c>
      <c r="B189">
        <v>49.02</v>
      </c>
      <c r="C189">
        <v>49.91</v>
      </c>
      <c r="D189">
        <v>47.29</v>
      </c>
      <c r="E189">
        <v>49.54</v>
      </c>
      <c r="F189">
        <v>1784019.6409</v>
      </c>
      <c r="G189">
        <v>49.54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0.71755725190839859</v>
      </c>
      <c r="Q189">
        <f t="shared" ref="Q189" si="921">F189*P189</f>
        <v>1280136.230874812</v>
      </c>
      <c r="R189">
        <f t="shared" ref="R189" si="922">R190+Q189</f>
        <v>-17118461.273169957</v>
      </c>
      <c r="S189">
        <f t="shared" ref="S189" si="923">R189/100000</f>
        <v>-171.18461273169956</v>
      </c>
      <c r="T189">
        <f t="shared" ref="T189" si="924">S189/1000</f>
        <v>-0.17118461273169955</v>
      </c>
    </row>
    <row r="190" spans="1:20" x14ac:dyDescent="0.25">
      <c r="A190" s="5">
        <v>44403</v>
      </c>
      <c r="B190">
        <v>49.01</v>
      </c>
      <c r="C190">
        <v>52.97</v>
      </c>
      <c r="D190">
        <v>48.76</v>
      </c>
      <c r="E190">
        <v>49.02</v>
      </c>
      <c r="F190">
        <v>4189824.7675000001</v>
      </c>
      <c r="G190">
        <v>49.02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-0.87648456057006885</v>
      </c>
      <c r="Q190">
        <f t="shared" ref="Q190" si="926">F190*P190</f>
        <v>-3672316.7202078286</v>
      </c>
      <c r="R190">
        <f t="shared" ref="R190" si="927">R191+Q190</f>
        <v>-18398597.504044767</v>
      </c>
      <c r="S190">
        <f t="shared" ref="S190" si="928">R190/100000</f>
        <v>-183.98597504044767</v>
      </c>
      <c r="T190">
        <f t="shared" ref="T190" si="929">S190/1000</f>
        <v>-0.18398597504044767</v>
      </c>
    </row>
    <row r="191" spans="1:20" x14ac:dyDescent="0.25">
      <c r="A191" s="5">
        <v>44402</v>
      </c>
      <c r="B191">
        <v>49.59</v>
      </c>
      <c r="C191">
        <v>50.14</v>
      </c>
      <c r="D191">
        <v>47.15</v>
      </c>
      <c r="E191">
        <v>49.01</v>
      </c>
      <c r="F191">
        <v>1960127.159</v>
      </c>
      <c r="G191">
        <v>49.01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0.24414715719063423</v>
      </c>
      <c r="Q191">
        <f t="shared" ref="Q191" si="931">F191*P191</f>
        <v>478559.47360200429</v>
      </c>
      <c r="R191">
        <f t="shared" ref="R191" si="932">R192+Q191</f>
        <v>-14726280.783836938</v>
      </c>
      <c r="S191">
        <f t="shared" ref="S191" si="933">R191/100000</f>
        <v>-147.26280783836938</v>
      </c>
      <c r="T191">
        <f t="shared" ref="T191:T197" si="934">S191/1000</f>
        <v>-0.14726280783836937</v>
      </c>
    </row>
    <row r="192" spans="1:20" x14ac:dyDescent="0.25">
      <c r="A192" s="5">
        <v>44401</v>
      </c>
      <c r="B192">
        <v>47.37</v>
      </c>
      <c r="C192">
        <v>51.34</v>
      </c>
      <c r="D192">
        <v>46.37</v>
      </c>
      <c r="E192">
        <v>49.58</v>
      </c>
      <c r="F192">
        <v>2530698.4432000001</v>
      </c>
      <c r="G192">
        <v>49.58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0.29175050301810745</v>
      </c>
      <c r="Q192">
        <f t="shared" ref="Q192" si="936">F192*P192</f>
        <v>738332.54379074147</v>
      </c>
      <c r="R192">
        <f t="shared" ref="R192" si="937">R193+Q192</f>
        <v>-15204840.257438943</v>
      </c>
      <c r="S192">
        <f t="shared" ref="S192" si="938">R192/100000</f>
        <v>-152.04840257438943</v>
      </c>
      <c r="T192">
        <f t="shared" si="934"/>
        <v>-0.15204840257438942</v>
      </c>
    </row>
    <row r="193" spans="1:20" x14ac:dyDescent="0.25">
      <c r="A193" s="5">
        <v>44400</v>
      </c>
      <c r="B193">
        <v>45.57</v>
      </c>
      <c r="C193">
        <v>47.51</v>
      </c>
      <c r="D193">
        <v>44.89</v>
      </c>
      <c r="E193">
        <v>47.37</v>
      </c>
      <c r="F193">
        <v>1296532.5906</v>
      </c>
      <c r="G193">
        <v>47.37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0.8931297709923659</v>
      </c>
      <c r="Q193">
        <f t="shared" ref="Q193" si="940">F193*P193</f>
        <v>1157971.8557267168</v>
      </c>
      <c r="R193">
        <f t="shared" ref="R193" si="941">R194+Q193</f>
        <v>-15943172.801229684</v>
      </c>
      <c r="S193">
        <f t="shared" ref="S193" si="942">R193/100000</f>
        <v>-159.43172801229684</v>
      </c>
      <c r="T193">
        <f t="shared" si="934"/>
        <v>-0.15943172801229685</v>
      </c>
    </row>
    <row r="194" spans="1:20" x14ac:dyDescent="0.25">
      <c r="A194" s="5">
        <v>44399</v>
      </c>
      <c r="B194">
        <v>46.25</v>
      </c>
      <c r="C194">
        <v>46.99</v>
      </c>
      <c r="D194">
        <v>44.53</v>
      </c>
      <c r="E194">
        <v>45.58</v>
      </c>
      <c r="F194">
        <v>1164340.8958999999</v>
      </c>
      <c r="G194">
        <v>45.58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-0.14634146341463675</v>
      </c>
      <c r="Q194">
        <f t="shared" ref="Q194" si="944">F194*P194</f>
        <v>-170391.3506195152</v>
      </c>
      <c r="R194">
        <f t="shared" ref="R194" si="945">R195+Q194</f>
        <v>-17101144.656956401</v>
      </c>
      <c r="S194">
        <f t="shared" ref="S194" si="946">R194/100000</f>
        <v>-171.01144656956401</v>
      </c>
      <c r="T194">
        <f t="shared" si="934"/>
        <v>-0.17101144656956402</v>
      </c>
    </row>
    <row r="195" spans="1:20" x14ac:dyDescent="0.25">
      <c r="A195" s="5">
        <v>44398</v>
      </c>
      <c r="B195">
        <v>41.24</v>
      </c>
      <c r="C195">
        <v>47.86</v>
      </c>
      <c r="D195">
        <v>40.08</v>
      </c>
      <c r="E195">
        <v>46.24</v>
      </c>
      <c r="F195">
        <v>2153384.2785</v>
      </c>
      <c r="G195">
        <v>46.24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0.58354755784061774</v>
      </c>
      <c r="Q195">
        <f t="shared" ref="Q195" si="948">F195*P195</f>
        <v>1256602.1368110557</v>
      </c>
      <c r="R195">
        <f t="shared" ref="R195" si="949">R196+Q195</f>
        <v>-16930753.306336887</v>
      </c>
      <c r="S195">
        <f t="shared" ref="S195" si="950">R195/100000</f>
        <v>-169.30753306336888</v>
      </c>
      <c r="T195">
        <f t="shared" si="934"/>
        <v>-0.16930753306336888</v>
      </c>
    </row>
    <row r="196" spans="1:20" x14ac:dyDescent="0.25">
      <c r="A196" s="5">
        <v>44397</v>
      </c>
      <c r="B196">
        <v>44.72</v>
      </c>
      <c r="C196">
        <v>45.17</v>
      </c>
      <c r="D196">
        <v>41</v>
      </c>
      <c r="E196">
        <v>41.23</v>
      </c>
      <c r="F196">
        <v>1602636.2175</v>
      </c>
      <c r="G196">
        <v>41.23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-0.88968824940048119</v>
      </c>
      <c r="Q196">
        <f t="shared" ref="Q196" si="952">F196*P196</f>
        <v>-1425846.6107733839</v>
      </c>
      <c r="R196">
        <f t="shared" ref="R196" si="953">R197+Q196</f>
        <v>-18187355.443147942</v>
      </c>
      <c r="S196">
        <f t="shared" ref="S196" si="954">R196/100000</f>
        <v>-181.87355443147942</v>
      </c>
      <c r="T196">
        <f t="shared" si="934"/>
        <v>-0.18187355443147943</v>
      </c>
    </row>
    <row r="197" spans="1:20" x14ac:dyDescent="0.25">
      <c r="A197" s="5">
        <v>44396</v>
      </c>
      <c r="B197">
        <v>46.82</v>
      </c>
      <c r="C197">
        <v>47.16</v>
      </c>
      <c r="D197">
        <v>44.36</v>
      </c>
      <c r="E197">
        <v>44.71</v>
      </c>
      <c r="F197">
        <v>954857.64249999996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-0.74999999999999878</v>
      </c>
      <c r="Q197">
        <f t="shared" ref="Q197" si="956">F197*P197</f>
        <v>-716143.23187499878</v>
      </c>
      <c r="R197">
        <f t="shared" ref="R197" si="957">R198+Q197</f>
        <v>-16761508.83237456</v>
      </c>
      <c r="S197">
        <f t="shared" ref="S197" si="958">R197/100000</f>
        <v>-167.6150883237456</v>
      </c>
      <c r="T197">
        <f t="shared" si="934"/>
        <v>-0.16761508832374561</v>
      </c>
    </row>
    <row r="198" spans="1:20" x14ac:dyDescent="0.25">
      <c r="A198" s="5">
        <v>44395</v>
      </c>
      <c r="B198">
        <v>45.62</v>
      </c>
      <c r="C198">
        <v>47.47</v>
      </c>
      <c r="D198">
        <v>45.55</v>
      </c>
      <c r="E198">
        <v>46.83</v>
      </c>
      <c r="F198">
        <v>1053811.862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0.33333333333333331</v>
      </c>
      <c r="Q198">
        <f t="shared" ref="Q198:Q261" si="960">F198*P198</f>
        <v>351270.62066666665</v>
      </c>
      <c r="R198">
        <f t="shared" ref="R198:R261" si="961">R199+Q198</f>
        <v>-16045365.600499561</v>
      </c>
      <c r="S198">
        <f t="shared" ref="S198:S261" si="962">R198/100000</f>
        <v>-160.45365600499562</v>
      </c>
      <c r="T198">
        <f t="shared" ref="T198:T261" si="963">S198/1000</f>
        <v>-0.16045365600499562</v>
      </c>
    </row>
    <row r="199" spans="1:20" x14ac:dyDescent="0.25">
      <c r="A199" s="5">
        <v>44394</v>
      </c>
      <c r="B199">
        <v>45.82</v>
      </c>
      <c r="C199">
        <v>46.18</v>
      </c>
      <c r="D199">
        <v>45.12</v>
      </c>
      <c r="E199">
        <v>45.62</v>
      </c>
      <c r="F199">
        <v>890656.27260000003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-5.6603773584907681E-2</v>
      </c>
      <c r="Q199">
        <f t="shared" si="960"/>
        <v>-50414.505996228218</v>
      </c>
      <c r="R199">
        <f t="shared" si="961"/>
        <v>-16396636.221166227</v>
      </c>
      <c r="S199">
        <f t="shared" si="962"/>
        <v>-163.96636221166227</v>
      </c>
      <c r="T199">
        <f t="shared" si="963"/>
        <v>-0.16396636221166228</v>
      </c>
    </row>
    <row r="200" spans="1:20" x14ac:dyDescent="0.25">
      <c r="A200" s="5">
        <v>44393</v>
      </c>
      <c r="B200">
        <v>47.32</v>
      </c>
      <c r="C200">
        <v>48.36</v>
      </c>
      <c r="D200">
        <v>45.77</v>
      </c>
      <c r="E200">
        <v>45.82</v>
      </c>
      <c r="F200">
        <v>992668.95479999995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-0.96138996138996358</v>
      </c>
      <c r="Q200">
        <f t="shared" si="960"/>
        <v>-954341.96812818747</v>
      </c>
      <c r="R200">
        <f t="shared" si="961"/>
        <v>-16346221.715169998</v>
      </c>
      <c r="S200">
        <f t="shared" si="962"/>
        <v>-163.46221715169997</v>
      </c>
      <c r="T200">
        <f t="shared" si="963"/>
        <v>-0.16346221715169998</v>
      </c>
    </row>
    <row r="201" spans="1:20" x14ac:dyDescent="0.25">
      <c r="A201" s="5">
        <v>44392</v>
      </c>
      <c r="B201">
        <v>49.68</v>
      </c>
      <c r="C201">
        <v>50.35</v>
      </c>
      <c r="D201">
        <v>46.2</v>
      </c>
      <c r="E201">
        <v>47.32</v>
      </c>
      <c r="F201">
        <v>1250561.1022999999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-0.46024096385542274</v>
      </c>
      <c r="Q201">
        <f t="shared" si="960"/>
        <v>-575559.4470826519</v>
      </c>
      <c r="R201">
        <f t="shared" si="961"/>
        <v>-15391879.74704181</v>
      </c>
      <c r="S201">
        <f t="shared" si="962"/>
        <v>-153.9187974704181</v>
      </c>
      <c r="T201">
        <f t="shared" si="963"/>
        <v>-0.15391879747041809</v>
      </c>
    </row>
    <row r="202" spans="1:20" x14ac:dyDescent="0.25">
      <c r="A202" s="5">
        <v>44391</v>
      </c>
      <c r="B202">
        <v>50.97</v>
      </c>
      <c r="C202">
        <v>51.24</v>
      </c>
      <c r="D202">
        <v>48.1</v>
      </c>
      <c r="E202">
        <v>49.68</v>
      </c>
      <c r="F202">
        <v>1201652.4768999999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6.3694267515910881E-3</v>
      </c>
      <c r="Q202">
        <f t="shared" si="960"/>
        <v>7653.8374324825509</v>
      </c>
      <c r="R202">
        <f t="shared" si="961"/>
        <v>-14816320.299959159</v>
      </c>
      <c r="S202">
        <f t="shared" si="962"/>
        <v>-148.16320299959159</v>
      </c>
      <c r="T202">
        <f t="shared" si="963"/>
        <v>-0.1481632029995916</v>
      </c>
    </row>
    <row r="203" spans="1:20" x14ac:dyDescent="0.25">
      <c r="A203" s="5">
        <v>44390</v>
      </c>
      <c r="B203">
        <v>52.47</v>
      </c>
      <c r="C203">
        <v>53.05</v>
      </c>
      <c r="D203">
        <v>50.38</v>
      </c>
      <c r="E203">
        <v>50.98</v>
      </c>
      <c r="F203">
        <v>1047433.3331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-0.55056179775281233</v>
      </c>
      <c r="Q203">
        <f t="shared" si="960"/>
        <v>-576676.77889775636</v>
      </c>
      <c r="R203">
        <f t="shared" si="961"/>
        <v>-14823974.137391642</v>
      </c>
      <c r="S203">
        <f t="shared" si="962"/>
        <v>-148.23974137391642</v>
      </c>
      <c r="T203">
        <f t="shared" si="963"/>
        <v>-0.14823974137391641</v>
      </c>
    </row>
    <row r="204" spans="1:20" x14ac:dyDescent="0.25">
      <c r="A204" s="5">
        <v>44389</v>
      </c>
      <c r="B204">
        <v>55.11</v>
      </c>
      <c r="C204">
        <v>55.49</v>
      </c>
      <c r="D204">
        <v>52.2</v>
      </c>
      <c r="E204">
        <v>52.48</v>
      </c>
      <c r="F204">
        <v>787505.48699999996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-0.82978723404255672</v>
      </c>
      <c r="Q204">
        <f t="shared" si="960"/>
        <v>-653461.99985106662</v>
      </c>
      <c r="R204">
        <f t="shared" si="961"/>
        <v>-14247297.358493885</v>
      </c>
      <c r="S204">
        <f t="shared" si="962"/>
        <v>-142.47297358493884</v>
      </c>
      <c r="T204">
        <f t="shared" si="963"/>
        <v>-0.14247297358493885</v>
      </c>
    </row>
    <row r="205" spans="1:20" x14ac:dyDescent="0.25">
      <c r="A205" s="5">
        <v>44388</v>
      </c>
      <c r="B205">
        <v>54.22</v>
      </c>
      <c r="C205">
        <v>55.8</v>
      </c>
      <c r="D205">
        <v>53.92</v>
      </c>
      <c r="E205">
        <v>55.12</v>
      </c>
      <c r="F205">
        <v>484171.092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0.27659574468084963</v>
      </c>
      <c r="Q205">
        <f t="shared" si="960"/>
        <v>133919.66374468015</v>
      </c>
      <c r="R205">
        <f t="shared" si="961"/>
        <v>-13593835.358642818</v>
      </c>
      <c r="S205">
        <f t="shared" si="962"/>
        <v>-135.93835358642818</v>
      </c>
      <c r="T205">
        <f t="shared" si="963"/>
        <v>-0.13593835358642817</v>
      </c>
    </row>
    <row r="206" spans="1:20" x14ac:dyDescent="0.25">
      <c r="A206" s="5">
        <v>44387</v>
      </c>
      <c r="B206">
        <v>55.26</v>
      </c>
      <c r="C206">
        <v>56.03</v>
      </c>
      <c r="D206">
        <v>53.55</v>
      </c>
      <c r="E206">
        <v>54.25</v>
      </c>
      <c r="F206">
        <v>669931.57900000003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-0.43548387096774055</v>
      </c>
      <c r="Q206">
        <f t="shared" si="960"/>
        <v>-291744.3973064507</v>
      </c>
      <c r="R206">
        <f t="shared" si="961"/>
        <v>-13727755.022387499</v>
      </c>
      <c r="S206">
        <f t="shared" si="962"/>
        <v>-137.27755022387498</v>
      </c>
      <c r="T206">
        <f t="shared" si="963"/>
        <v>-0.13727755022387497</v>
      </c>
    </row>
    <row r="207" spans="1:20" x14ac:dyDescent="0.25">
      <c r="A207" s="5">
        <v>44386</v>
      </c>
      <c r="B207">
        <v>53.86</v>
      </c>
      <c r="C207">
        <v>55.56</v>
      </c>
      <c r="D207">
        <v>52.71</v>
      </c>
      <c r="E207">
        <v>55.26</v>
      </c>
      <c r="F207">
        <v>851839.55359999998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0.78947368421052344</v>
      </c>
      <c r="Q207">
        <f t="shared" si="960"/>
        <v>672504.91073683964</v>
      </c>
      <c r="R207">
        <f t="shared" si="961"/>
        <v>-13436010.625081047</v>
      </c>
      <c r="S207">
        <f t="shared" si="962"/>
        <v>-134.36010625081047</v>
      </c>
      <c r="T207">
        <f t="shared" si="963"/>
        <v>-0.13436010625081046</v>
      </c>
    </row>
    <row r="208" spans="1:20" x14ac:dyDescent="0.25">
      <c r="A208" s="5">
        <v>44385</v>
      </c>
      <c r="B208">
        <v>56.42</v>
      </c>
      <c r="C208">
        <v>56.51</v>
      </c>
      <c r="D208">
        <v>52.79</v>
      </c>
      <c r="E208">
        <v>53.85</v>
      </c>
      <c r="F208">
        <v>1320214.8866999999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-0.43010752688171905</v>
      </c>
      <c r="Q208">
        <f t="shared" si="960"/>
        <v>-567834.35987096583</v>
      </c>
      <c r="R208">
        <f t="shared" si="961"/>
        <v>-14108515.535817888</v>
      </c>
      <c r="S208">
        <f t="shared" si="962"/>
        <v>-141.08515535817887</v>
      </c>
      <c r="T208">
        <f t="shared" si="963"/>
        <v>-0.14108515535817887</v>
      </c>
    </row>
    <row r="209" spans="1:20" x14ac:dyDescent="0.25">
      <c r="A209" s="5">
        <v>44384</v>
      </c>
      <c r="B209">
        <v>57.01</v>
      </c>
      <c r="C209">
        <v>58.04</v>
      </c>
      <c r="D209">
        <v>56.32</v>
      </c>
      <c r="E209">
        <v>56.42</v>
      </c>
      <c r="F209">
        <v>869871.89580000006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-0.88372093023255638</v>
      </c>
      <c r="Q209">
        <f t="shared" si="960"/>
        <v>-768724.00093953335</v>
      </c>
      <c r="R209">
        <f t="shared" si="961"/>
        <v>-13540681.175946921</v>
      </c>
      <c r="S209">
        <f t="shared" si="962"/>
        <v>-135.40681175946921</v>
      </c>
      <c r="T209">
        <f t="shared" si="963"/>
        <v>-0.1354068117594692</v>
      </c>
    </row>
    <row r="210" spans="1:20" x14ac:dyDescent="0.25">
      <c r="A210" s="5">
        <v>44383</v>
      </c>
      <c r="B210">
        <v>56.08</v>
      </c>
      <c r="C210">
        <v>58.33</v>
      </c>
      <c r="D210">
        <v>55.98</v>
      </c>
      <c r="E210">
        <v>57.01</v>
      </c>
      <c r="F210">
        <v>1175663.1875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-0.1234042553191485</v>
      </c>
      <c r="Q210">
        <f t="shared" si="960"/>
        <v>-145081.84015957397</v>
      </c>
      <c r="R210">
        <f t="shared" si="961"/>
        <v>-12771957.175007388</v>
      </c>
      <c r="S210">
        <f t="shared" si="962"/>
        <v>-127.71957175007388</v>
      </c>
      <c r="T210">
        <f t="shared" si="963"/>
        <v>-0.1277195717500739</v>
      </c>
    </row>
    <row r="211" spans="1:20" x14ac:dyDescent="0.25">
      <c r="A211" s="5">
        <v>44382</v>
      </c>
      <c r="B211">
        <v>58.72</v>
      </c>
      <c r="C211">
        <v>58.72</v>
      </c>
      <c r="D211">
        <v>54.77</v>
      </c>
      <c r="E211">
        <v>56.06</v>
      </c>
      <c r="F211">
        <v>1319253.4142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-0.34683544303797442</v>
      </c>
      <c r="Q211">
        <f t="shared" si="960"/>
        <v>-457563.84239341738</v>
      </c>
      <c r="R211">
        <f t="shared" si="961"/>
        <v>-12626875.334847813</v>
      </c>
      <c r="S211">
        <f t="shared" si="962"/>
        <v>-126.26875334847813</v>
      </c>
      <c r="T211">
        <f t="shared" si="963"/>
        <v>-0.12626875334847812</v>
      </c>
    </row>
    <row r="212" spans="1:20" x14ac:dyDescent="0.25">
      <c r="A212" s="5">
        <v>44381</v>
      </c>
      <c r="B212">
        <v>58.92</v>
      </c>
      <c r="C212">
        <v>60.63</v>
      </c>
      <c r="D212">
        <v>58.01</v>
      </c>
      <c r="E212">
        <v>58.72</v>
      </c>
      <c r="F212">
        <v>1018822.3384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-0.45801526717557278</v>
      </c>
      <c r="Q212">
        <f t="shared" si="960"/>
        <v>-466636.1855267178</v>
      </c>
      <c r="R212">
        <f t="shared" si="961"/>
        <v>-12169311.492454397</v>
      </c>
      <c r="S212">
        <f t="shared" si="962"/>
        <v>-121.69311492454396</v>
      </c>
      <c r="T212">
        <f t="shared" si="963"/>
        <v>-0.12169311492454396</v>
      </c>
    </row>
    <row r="213" spans="1:20" x14ac:dyDescent="0.25">
      <c r="A213" s="5">
        <v>44380</v>
      </c>
      <c r="B213">
        <v>57.17</v>
      </c>
      <c r="C213">
        <v>59.98</v>
      </c>
      <c r="D213">
        <v>56.63</v>
      </c>
      <c r="E213">
        <v>58.92</v>
      </c>
      <c r="F213">
        <v>1238571.5294000001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0.3671641791044794</v>
      </c>
      <c r="Q213">
        <f t="shared" si="960"/>
        <v>454759.0988543306</v>
      </c>
      <c r="R213">
        <f t="shared" si="961"/>
        <v>-11702675.306927679</v>
      </c>
      <c r="S213">
        <f t="shared" si="962"/>
        <v>-117.02675306927679</v>
      </c>
      <c r="T213">
        <f t="shared" si="963"/>
        <v>-0.11702675306927679</v>
      </c>
    </row>
    <row r="214" spans="1:20" x14ac:dyDescent="0.25">
      <c r="A214" s="5">
        <v>44379</v>
      </c>
      <c r="B214">
        <v>56.65</v>
      </c>
      <c r="C214">
        <v>57.41</v>
      </c>
      <c r="D214">
        <v>54.94</v>
      </c>
      <c r="E214">
        <v>57.19</v>
      </c>
      <c r="F214">
        <v>1314268.3262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0.82186234817813852</v>
      </c>
      <c r="Q214">
        <f t="shared" si="960"/>
        <v>1080147.6527068838</v>
      </c>
      <c r="R214">
        <f t="shared" si="961"/>
        <v>-12157434.40578201</v>
      </c>
      <c r="S214">
        <f t="shared" si="962"/>
        <v>-121.5743440578201</v>
      </c>
      <c r="T214">
        <f t="shared" si="963"/>
        <v>-0.1215743440578201</v>
      </c>
    </row>
    <row r="215" spans="1:20" x14ac:dyDescent="0.25">
      <c r="A215" s="5">
        <v>44378</v>
      </c>
      <c r="B215">
        <v>60.4</v>
      </c>
      <c r="C215">
        <v>60.45</v>
      </c>
      <c r="D215">
        <v>55.2</v>
      </c>
      <c r="E215">
        <v>56.65</v>
      </c>
      <c r="F215">
        <v>2019639.4158999999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-0.44761904761904925</v>
      </c>
      <c r="Q215">
        <f t="shared" si="960"/>
        <v>-904029.07187905081</v>
      </c>
      <c r="R215">
        <f t="shared" si="961"/>
        <v>-13237582.058488894</v>
      </c>
      <c r="S215">
        <f t="shared" si="962"/>
        <v>-132.37582058488894</v>
      </c>
      <c r="T215">
        <f t="shared" si="963"/>
        <v>-0.13237582058488895</v>
      </c>
    </row>
    <row r="216" spans="1:20" x14ac:dyDescent="0.25">
      <c r="A216" s="5">
        <v>44377</v>
      </c>
      <c r="B216">
        <v>64.59</v>
      </c>
      <c r="C216">
        <v>65.39</v>
      </c>
      <c r="D216">
        <v>56.4</v>
      </c>
      <c r="E216">
        <v>60.4</v>
      </c>
      <c r="F216">
        <v>3555416.4221000001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-0.11012235817575103</v>
      </c>
      <c r="Q216">
        <f t="shared" si="960"/>
        <v>-391530.84069844341</v>
      </c>
      <c r="R216">
        <f t="shared" si="961"/>
        <v>-12333552.986609843</v>
      </c>
      <c r="S216">
        <f t="shared" si="962"/>
        <v>-123.33552986609843</v>
      </c>
      <c r="T216">
        <f t="shared" si="963"/>
        <v>-0.12333552986609843</v>
      </c>
    </row>
    <row r="217" spans="1:20" x14ac:dyDescent="0.25">
      <c r="A217" s="5">
        <v>44376</v>
      </c>
      <c r="B217">
        <v>56.45</v>
      </c>
      <c r="C217">
        <v>66.31</v>
      </c>
      <c r="D217">
        <v>56.1</v>
      </c>
      <c r="E217">
        <v>64.59</v>
      </c>
      <c r="F217">
        <v>3394748.9251999999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0.66307541625857025</v>
      </c>
      <c r="Q217">
        <f t="shared" si="960"/>
        <v>2250974.5566703239</v>
      </c>
      <c r="R217">
        <f t="shared" si="961"/>
        <v>-11942022.145911399</v>
      </c>
      <c r="S217">
        <f t="shared" si="962"/>
        <v>-119.42022145911399</v>
      </c>
      <c r="T217">
        <f t="shared" si="963"/>
        <v>-0.11942022145911399</v>
      </c>
    </row>
    <row r="218" spans="1:20" x14ac:dyDescent="0.25">
      <c r="A218" s="5">
        <v>44375</v>
      </c>
      <c r="B218">
        <v>56.19</v>
      </c>
      <c r="C218">
        <v>57.94</v>
      </c>
      <c r="D218">
        <v>54.88</v>
      </c>
      <c r="E218">
        <v>56.44</v>
      </c>
      <c r="F218">
        <v>2325097.628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1.9607843137253354E-2</v>
      </c>
      <c r="Q218">
        <f t="shared" si="960"/>
        <v>45590.149568623856</v>
      </c>
      <c r="R218">
        <f t="shared" si="961"/>
        <v>-14192996.702581722</v>
      </c>
      <c r="S218">
        <f t="shared" si="962"/>
        <v>-141.92996702581723</v>
      </c>
      <c r="T218">
        <f t="shared" si="963"/>
        <v>-0.14192996702581723</v>
      </c>
    </row>
    <row r="219" spans="1:20" x14ac:dyDescent="0.25">
      <c r="A219" s="5">
        <v>44374</v>
      </c>
      <c r="B219">
        <v>53.04</v>
      </c>
      <c r="C219">
        <v>56.52</v>
      </c>
      <c r="D219">
        <v>52.66</v>
      </c>
      <c r="E219">
        <v>56.2</v>
      </c>
      <c r="F219">
        <v>2000162.7598000001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0.83419689119171003</v>
      </c>
      <c r="Q219">
        <f t="shared" si="960"/>
        <v>1668529.5561025911</v>
      </c>
      <c r="R219">
        <f t="shared" si="961"/>
        <v>-14238586.852150345</v>
      </c>
      <c r="S219">
        <f t="shared" si="962"/>
        <v>-142.38586852150345</v>
      </c>
      <c r="T219">
        <f t="shared" si="963"/>
        <v>-0.14238586852150345</v>
      </c>
    </row>
    <row r="220" spans="1:20" x14ac:dyDescent="0.25">
      <c r="A220" s="5">
        <v>44373</v>
      </c>
      <c r="B220">
        <v>52.03</v>
      </c>
      <c r="C220">
        <v>53.29</v>
      </c>
      <c r="D220">
        <v>50</v>
      </c>
      <c r="E220">
        <v>53.04</v>
      </c>
      <c r="F220">
        <v>2132210.4816000001</v>
      </c>
      <c r="G220">
        <v>0</v>
      </c>
      <c r="L220" t="s">
        <v>7</v>
      </c>
      <c r="M220" t="s">
        <v>8</v>
      </c>
      <c r="N220" t="s">
        <v>7</v>
      </c>
      <c r="P220">
        <f t="shared" si="959"/>
        <v>0.84802431610942242</v>
      </c>
      <c r="Q220">
        <f t="shared" si="960"/>
        <v>1808166.3354601823</v>
      </c>
      <c r="R220">
        <f t="shared" si="961"/>
        <v>-15907116.408252936</v>
      </c>
      <c r="S220">
        <f t="shared" si="962"/>
        <v>-159.07116408252935</v>
      </c>
      <c r="T220">
        <f t="shared" si="963"/>
        <v>-0.15907116408252936</v>
      </c>
    </row>
    <row r="221" spans="1:20" x14ac:dyDescent="0.25">
      <c r="A221" s="5">
        <v>44372</v>
      </c>
      <c r="B221">
        <v>57.1</v>
      </c>
      <c r="C221">
        <v>57.93</v>
      </c>
      <c r="D221">
        <v>50.36</v>
      </c>
      <c r="E221">
        <v>52.03</v>
      </c>
      <c r="F221">
        <v>3034948.4685999998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-0.55878467635402862</v>
      </c>
      <c r="Q221">
        <f t="shared" si="960"/>
        <v>-1695882.6977778056</v>
      </c>
      <c r="R221">
        <f t="shared" si="961"/>
        <v>-17715282.743713118</v>
      </c>
      <c r="S221">
        <f t="shared" si="962"/>
        <v>-177.15282743713118</v>
      </c>
      <c r="T221">
        <f t="shared" si="963"/>
        <v>-0.17715282743713118</v>
      </c>
    </row>
    <row r="222" spans="1:20" x14ac:dyDescent="0.25">
      <c r="A222" s="5">
        <v>44371</v>
      </c>
      <c r="B222">
        <v>58.72</v>
      </c>
      <c r="C222">
        <v>59.35</v>
      </c>
      <c r="D222">
        <v>54.17</v>
      </c>
      <c r="E222">
        <v>57.1</v>
      </c>
      <c r="F222">
        <v>2749730.2502000001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0.13127413127413123</v>
      </c>
      <c r="Q222">
        <f t="shared" si="960"/>
        <v>360968.44983320456</v>
      </c>
      <c r="R222">
        <f t="shared" si="961"/>
        <v>-16019400.045935312</v>
      </c>
      <c r="S222">
        <f t="shared" si="962"/>
        <v>-160.19400045935313</v>
      </c>
      <c r="T222">
        <f t="shared" si="963"/>
        <v>-0.16019400045935314</v>
      </c>
    </row>
    <row r="223" spans="1:20" x14ac:dyDescent="0.25">
      <c r="A223" s="5">
        <v>44370</v>
      </c>
      <c r="B223">
        <v>49.45</v>
      </c>
      <c r="C223">
        <v>59.25</v>
      </c>
      <c r="D223">
        <v>47.48</v>
      </c>
      <c r="E223">
        <v>58.7</v>
      </c>
      <c r="F223">
        <v>3757619.7571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0.9065420560747669</v>
      </c>
      <c r="Q223">
        <f t="shared" si="960"/>
        <v>3406440.3405486001</v>
      </c>
      <c r="R223">
        <f t="shared" si="961"/>
        <v>-16380368.495768517</v>
      </c>
      <c r="S223">
        <f t="shared" si="962"/>
        <v>-163.80368495768516</v>
      </c>
      <c r="T223">
        <f t="shared" si="963"/>
        <v>-0.16380368495768516</v>
      </c>
    </row>
    <row r="224" spans="1:20" x14ac:dyDescent="0.25">
      <c r="A224" s="5">
        <v>44369</v>
      </c>
      <c r="B224">
        <v>46.15</v>
      </c>
      <c r="C224">
        <v>53.18</v>
      </c>
      <c r="D224">
        <v>42.53</v>
      </c>
      <c r="E224">
        <v>49.45</v>
      </c>
      <c r="F224">
        <v>5375956.7439999999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0.29953051643192535</v>
      </c>
      <c r="Q224">
        <f t="shared" si="960"/>
        <v>1610263.099846012</v>
      </c>
      <c r="R224">
        <f t="shared" si="961"/>
        <v>-19786808.836317118</v>
      </c>
      <c r="S224">
        <f t="shared" si="962"/>
        <v>-197.86808836317118</v>
      </c>
      <c r="T224">
        <f t="shared" si="963"/>
        <v>-0.19786808836317119</v>
      </c>
    </row>
    <row r="225" spans="1:20" x14ac:dyDescent="0.25">
      <c r="A225" s="5">
        <v>44368</v>
      </c>
      <c r="B225">
        <v>63.19</v>
      </c>
      <c r="C225">
        <v>63.73</v>
      </c>
      <c r="D225">
        <v>45</v>
      </c>
      <c r="E225">
        <v>46.18</v>
      </c>
      <c r="F225">
        <v>4690895.5310000004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-0.87399893219434066</v>
      </c>
      <c r="Q225">
        <f t="shared" si="960"/>
        <v>-4099837.6851292052</v>
      </c>
      <c r="R225">
        <f t="shared" si="961"/>
        <v>-21397071.936163131</v>
      </c>
      <c r="S225">
        <f t="shared" si="962"/>
        <v>-213.97071936163132</v>
      </c>
      <c r="T225">
        <f t="shared" si="963"/>
        <v>-0.21397071936163131</v>
      </c>
    </row>
    <row r="226" spans="1:20" x14ac:dyDescent="0.25">
      <c r="A226" s="5">
        <v>44367</v>
      </c>
      <c r="B226">
        <v>64.709999999999994</v>
      </c>
      <c r="C226">
        <v>65</v>
      </c>
      <c r="D226">
        <v>59.92</v>
      </c>
      <c r="E226">
        <v>63.2</v>
      </c>
      <c r="F226">
        <v>2188031.1290000002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0.29133858267716622</v>
      </c>
      <c r="Q226">
        <f t="shared" si="960"/>
        <v>637457.88797637995</v>
      </c>
      <c r="R226">
        <f t="shared" si="961"/>
        <v>-17297234.251033925</v>
      </c>
      <c r="S226">
        <f t="shared" si="962"/>
        <v>-172.97234251033925</v>
      </c>
      <c r="T226">
        <f t="shared" si="963"/>
        <v>-0.17297234251033924</v>
      </c>
    </row>
    <row r="227" spans="1:20" x14ac:dyDescent="0.25">
      <c r="A227" s="5">
        <v>44366</v>
      </c>
      <c r="B227">
        <v>65.69</v>
      </c>
      <c r="C227">
        <v>66.849999999999994</v>
      </c>
      <c r="D227">
        <v>64.23</v>
      </c>
      <c r="E227">
        <v>64.72</v>
      </c>
      <c r="F227">
        <v>1076377.4604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-0.62595419847328493</v>
      </c>
      <c r="Q227">
        <f t="shared" si="960"/>
        <v>-673762.990479392</v>
      </c>
      <c r="R227">
        <f t="shared" si="961"/>
        <v>-17934692.139010303</v>
      </c>
      <c r="S227">
        <f t="shared" si="962"/>
        <v>-179.34692139010303</v>
      </c>
      <c r="T227">
        <f t="shared" si="963"/>
        <v>-0.17934692139010303</v>
      </c>
    </row>
    <row r="228" spans="1:20" x14ac:dyDescent="0.25">
      <c r="A228" s="5">
        <v>44365</v>
      </c>
      <c r="B228">
        <v>68.930000000000007</v>
      </c>
      <c r="C228">
        <v>68.97</v>
      </c>
      <c r="D228">
        <v>63.5</v>
      </c>
      <c r="E228">
        <v>65.69</v>
      </c>
      <c r="F228">
        <v>1365880.8777999999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-0.19926873857404087</v>
      </c>
      <c r="Q228">
        <f t="shared" si="960"/>
        <v>-272177.35956160963</v>
      </c>
      <c r="R228">
        <f t="shared" si="961"/>
        <v>-17260929.148530912</v>
      </c>
      <c r="S228">
        <f t="shared" si="962"/>
        <v>-172.60929148530911</v>
      </c>
      <c r="T228">
        <f t="shared" si="963"/>
        <v>-0.17260929148530912</v>
      </c>
    </row>
    <row r="229" spans="1:20" x14ac:dyDescent="0.25">
      <c r="A229" s="5">
        <v>44364</v>
      </c>
      <c r="B229">
        <v>69.72</v>
      </c>
      <c r="C229">
        <v>72.099999999999994</v>
      </c>
      <c r="D229">
        <v>67.040000000000006</v>
      </c>
      <c r="E229">
        <v>68.930000000000007</v>
      </c>
      <c r="F229">
        <v>1167009.0885000001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-0.2529644268774684</v>
      </c>
      <c r="Q229">
        <f t="shared" si="960"/>
        <v>-295211.78523319931</v>
      </c>
      <c r="R229">
        <f t="shared" si="961"/>
        <v>-16988751.788969301</v>
      </c>
      <c r="S229">
        <f t="shared" si="962"/>
        <v>-169.88751788969302</v>
      </c>
      <c r="T229">
        <f t="shared" si="963"/>
        <v>-0.169887517889693</v>
      </c>
    </row>
    <row r="230" spans="1:20" x14ac:dyDescent="0.25">
      <c r="A230" s="5">
        <v>44363</v>
      </c>
      <c r="B230">
        <v>72.569999999999993</v>
      </c>
      <c r="C230">
        <v>72.569999999999993</v>
      </c>
      <c r="D230">
        <v>68.56</v>
      </c>
      <c r="E230">
        <v>69.72</v>
      </c>
      <c r="F230">
        <v>1373941.1216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-0.42144638403990065</v>
      </c>
      <c r="Q230">
        <f t="shared" si="960"/>
        <v>-579042.5175820454</v>
      </c>
      <c r="R230">
        <f t="shared" si="961"/>
        <v>-16693540.003736103</v>
      </c>
      <c r="S230">
        <f t="shared" si="962"/>
        <v>-166.93540003736103</v>
      </c>
      <c r="T230">
        <f t="shared" si="963"/>
        <v>-0.16693540003736104</v>
      </c>
    </row>
    <row r="231" spans="1:20" x14ac:dyDescent="0.25">
      <c r="A231" s="5">
        <v>44362</v>
      </c>
      <c r="B231">
        <v>74.89</v>
      </c>
      <c r="C231">
        <v>75.89</v>
      </c>
      <c r="D231">
        <v>71.58</v>
      </c>
      <c r="E231">
        <v>72.56</v>
      </c>
      <c r="F231">
        <v>1476074.4786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-0.54524361948955757</v>
      </c>
      <c r="Q231">
        <f t="shared" si="960"/>
        <v>-804820.19134802546</v>
      </c>
      <c r="R231">
        <f t="shared" si="961"/>
        <v>-16114497.486154057</v>
      </c>
      <c r="S231">
        <f t="shared" si="962"/>
        <v>-161.14497486154056</v>
      </c>
      <c r="T231">
        <f t="shared" si="963"/>
        <v>-0.16114497486154056</v>
      </c>
    </row>
    <row r="232" spans="1:20" x14ac:dyDescent="0.25">
      <c r="A232" s="5">
        <v>44361</v>
      </c>
      <c r="B232">
        <v>73.11</v>
      </c>
      <c r="C232">
        <v>77.72</v>
      </c>
      <c r="D232">
        <v>71.819999999999993</v>
      </c>
      <c r="E232">
        <v>74.89</v>
      </c>
      <c r="F232">
        <v>1645829.1476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4.0677966101696418E-2</v>
      </c>
      <c r="Q232">
        <f t="shared" si="960"/>
        <v>66948.982275256712</v>
      </c>
      <c r="R232">
        <f t="shared" si="961"/>
        <v>-15309677.294806032</v>
      </c>
      <c r="S232">
        <f t="shared" si="962"/>
        <v>-153.09677294806031</v>
      </c>
      <c r="T232">
        <f t="shared" si="963"/>
        <v>-0.15309677294806032</v>
      </c>
    </row>
    <row r="233" spans="1:20" x14ac:dyDescent="0.25">
      <c r="A233" s="5">
        <v>44360</v>
      </c>
      <c r="B233">
        <v>69.680000000000007</v>
      </c>
      <c r="C233">
        <v>73.73</v>
      </c>
      <c r="D233">
        <v>68.62</v>
      </c>
      <c r="E233">
        <v>73.13</v>
      </c>
      <c r="F233">
        <v>1281781.8007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0.76516634050880294</v>
      </c>
      <c r="Q233">
        <f t="shared" si="960"/>
        <v>980776.28977240284</v>
      </c>
      <c r="R233">
        <f t="shared" si="961"/>
        <v>-15376626.277081288</v>
      </c>
      <c r="S233">
        <f t="shared" si="962"/>
        <v>-153.76626277081289</v>
      </c>
      <c r="T233">
        <f t="shared" si="963"/>
        <v>-0.1537662627708129</v>
      </c>
    </row>
    <row r="234" spans="1:20" x14ac:dyDescent="0.25">
      <c r="A234" s="5">
        <v>44359</v>
      </c>
      <c r="B234">
        <v>70.790000000000006</v>
      </c>
      <c r="C234">
        <v>71.3</v>
      </c>
      <c r="D234">
        <v>66</v>
      </c>
      <c r="E234">
        <v>69.680000000000007</v>
      </c>
      <c r="F234">
        <v>1819483.5682999999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0.38867924528302217</v>
      </c>
      <c r="Q234">
        <f t="shared" si="960"/>
        <v>707195.50013170415</v>
      </c>
      <c r="R234">
        <f t="shared" si="961"/>
        <v>-16357402.566853691</v>
      </c>
      <c r="S234">
        <f t="shared" si="962"/>
        <v>-163.5740256685369</v>
      </c>
      <c r="T234">
        <f t="shared" si="963"/>
        <v>-0.1635740256685369</v>
      </c>
    </row>
    <row r="235" spans="1:20" x14ac:dyDescent="0.25">
      <c r="A235" s="5">
        <v>44358</v>
      </c>
      <c r="B235">
        <v>73.319999999999993</v>
      </c>
      <c r="C235">
        <v>74.12</v>
      </c>
      <c r="D235">
        <v>69.62</v>
      </c>
      <c r="E235">
        <v>70.8</v>
      </c>
      <c r="F235">
        <v>1554746.0401999999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-0.47555555555555884</v>
      </c>
      <c r="Q235">
        <f t="shared" si="960"/>
        <v>-739368.11689511617</v>
      </c>
      <c r="R235">
        <f t="shared" si="961"/>
        <v>-17064598.066985395</v>
      </c>
      <c r="S235">
        <f t="shared" si="962"/>
        <v>-170.64598066985394</v>
      </c>
      <c r="T235">
        <f t="shared" si="963"/>
        <v>-0.17064598066985395</v>
      </c>
    </row>
    <row r="236" spans="1:20" x14ac:dyDescent="0.25">
      <c r="A236" s="5">
        <v>44357</v>
      </c>
      <c r="B236">
        <v>77.78</v>
      </c>
      <c r="C236">
        <v>79.13</v>
      </c>
      <c r="D236">
        <v>71.61</v>
      </c>
      <c r="E236">
        <v>73.31</v>
      </c>
      <c r="F236">
        <v>2308661.7351000002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-0.5478723404255309</v>
      </c>
      <c r="Q236">
        <f t="shared" si="960"/>
        <v>-1264851.9080601041</v>
      </c>
      <c r="R236">
        <f t="shared" si="961"/>
        <v>-16325229.950090278</v>
      </c>
      <c r="S236">
        <f t="shared" si="962"/>
        <v>-163.25229950090278</v>
      </c>
      <c r="T236">
        <f t="shared" si="963"/>
        <v>-0.16325229950090278</v>
      </c>
    </row>
    <row r="237" spans="1:20" x14ac:dyDescent="0.25">
      <c r="A237" s="5">
        <v>44356</v>
      </c>
      <c r="B237">
        <v>75.98</v>
      </c>
      <c r="C237">
        <v>78.91</v>
      </c>
      <c r="D237">
        <v>70.89</v>
      </c>
      <c r="E237">
        <v>77.760000000000005</v>
      </c>
      <c r="F237">
        <v>3182405.9298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0.71321695760598702</v>
      </c>
      <c r="Q237">
        <f t="shared" si="960"/>
        <v>2269745.8751192084</v>
      </c>
      <c r="R237">
        <f t="shared" si="961"/>
        <v>-15060378.042030174</v>
      </c>
      <c r="S237">
        <f t="shared" si="962"/>
        <v>-150.60378042030175</v>
      </c>
      <c r="T237">
        <f t="shared" si="963"/>
        <v>-0.15060378042030176</v>
      </c>
    </row>
    <row r="238" spans="1:20" x14ac:dyDescent="0.25">
      <c r="A238" s="5">
        <v>44355</v>
      </c>
      <c r="B238">
        <v>82</v>
      </c>
      <c r="C238">
        <v>83.75</v>
      </c>
      <c r="D238">
        <v>70.36</v>
      </c>
      <c r="E238">
        <v>76.02</v>
      </c>
      <c r="F238">
        <v>4778130.6009999998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-0.15459297983569883</v>
      </c>
      <c r="Q238">
        <f t="shared" si="960"/>
        <v>-738665.44765272853</v>
      </c>
      <c r="R238">
        <f t="shared" si="961"/>
        <v>-17330123.917149384</v>
      </c>
      <c r="S238">
        <f t="shared" si="962"/>
        <v>-173.30123917149385</v>
      </c>
      <c r="T238">
        <f t="shared" si="963"/>
        <v>-0.17330123917149384</v>
      </c>
    </row>
    <row r="239" spans="1:20" x14ac:dyDescent="0.25">
      <c r="A239" s="5">
        <v>44354</v>
      </c>
      <c r="B239">
        <v>86.98</v>
      </c>
      <c r="C239">
        <v>92.1</v>
      </c>
      <c r="D239">
        <v>80.150000000000006</v>
      </c>
      <c r="E239">
        <v>81.99</v>
      </c>
      <c r="F239">
        <v>2876771.7351000002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-0.69205020920502247</v>
      </c>
      <c r="Q239">
        <f t="shared" si="960"/>
        <v>-1990870.4811110506</v>
      </c>
      <c r="R239">
        <f t="shared" si="961"/>
        <v>-16591458.469496656</v>
      </c>
      <c r="S239">
        <f t="shared" si="962"/>
        <v>-165.91458469496655</v>
      </c>
      <c r="T239">
        <f t="shared" si="963"/>
        <v>-0.16591458469496656</v>
      </c>
    </row>
    <row r="240" spans="1:20" x14ac:dyDescent="0.25">
      <c r="A240" s="5">
        <v>44353</v>
      </c>
      <c r="B240">
        <v>88.15</v>
      </c>
      <c r="C240">
        <v>89.05</v>
      </c>
      <c r="D240">
        <v>86.01</v>
      </c>
      <c r="E240">
        <v>86.99</v>
      </c>
      <c r="F240">
        <v>1401268.0488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-0.35526315789474189</v>
      </c>
      <c r="Q240">
        <f t="shared" si="960"/>
        <v>-497818.91207369126</v>
      </c>
      <c r="R240">
        <f t="shared" si="961"/>
        <v>-14600587.988385605</v>
      </c>
      <c r="S240">
        <f t="shared" si="962"/>
        <v>-146.00587988385604</v>
      </c>
      <c r="T240">
        <f t="shared" si="963"/>
        <v>-0.14600587988385605</v>
      </c>
    </row>
    <row r="241" spans="1:20" x14ac:dyDescent="0.25">
      <c r="A241" s="5">
        <v>44352</v>
      </c>
      <c r="B241">
        <v>88</v>
      </c>
      <c r="C241">
        <v>93.03</v>
      </c>
      <c r="D241">
        <v>85.85</v>
      </c>
      <c r="E241">
        <v>88.16</v>
      </c>
      <c r="F241">
        <v>2864255.0792999999</v>
      </c>
      <c r="G241">
        <v>0</v>
      </c>
      <c r="L241" t="s">
        <v>7</v>
      </c>
      <c r="M241" t="s">
        <v>8</v>
      </c>
      <c r="N241" t="s">
        <v>8</v>
      </c>
      <c r="P241">
        <f t="shared" si="959"/>
        <v>-0.35654596100278552</v>
      </c>
      <c r="Q241">
        <f t="shared" si="960"/>
        <v>-1021238.5798061281</v>
      </c>
      <c r="R241">
        <f t="shared" si="961"/>
        <v>-14102769.076311914</v>
      </c>
      <c r="S241">
        <f t="shared" si="962"/>
        <v>-141.02769076311915</v>
      </c>
      <c r="T241">
        <f t="shared" si="963"/>
        <v>-0.14102769076311916</v>
      </c>
    </row>
    <row r="242" spans="1:20" x14ac:dyDescent="0.25">
      <c r="A242" s="5">
        <v>44351</v>
      </c>
      <c r="B242">
        <v>89.47</v>
      </c>
      <c r="C242">
        <v>97.99</v>
      </c>
      <c r="D242">
        <v>84.51</v>
      </c>
      <c r="E242">
        <v>88</v>
      </c>
      <c r="F242">
        <v>6430417.6017000005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-0.48219584569732976</v>
      </c>
      <c r="Q242">
        <f t="shared" si="960"/>
        <v>-3100720.6536387266</v>
      </c>
      <c r="R242">
        <f t="shared" si="961"/>
        <v>-13081530.496505786</v>
      </c>
      <c r="S242">
        <f t="shared" si="962"/>
        <v>-130.81530496505786</v>
      </c>
      <c r="T242">
        <f t="shared" si="963"/>
        <v>-0.13081530496505786</v>
      </c>
    </row>
    <row r="243" spans="1:20" x14ac:dyDescent="0.25">
      <c r="A243" s="5">
        <v>44350</v>
      </c>
      <c r="B243">
        <v>70.09</v>
      </c>
      <c r="C243">
        <v>94.05</v>
      </c>
      <c r="D243">
        <v>69.47</v>
      </c>
      <c r="E243">
        <v>89.48</v>
      </c>
      <c r="F243">
        <v>5210285.1494000005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0.62815296989422342</v>
      </c>
      <c r="Q243">
        <f t="shared" si="960"/>
        <v>3272856.090591378</v>
      </c>
      <c r="R243">
        <f t="shared" si="961"/>
        <v>-9980809.8428670596</v>
      </c>
      <c r="S243">
        <f t="shared" si="962"/>
        <v>-99.80809842867059</v>
      </c>
      <c r="T243">
        <f t="shared" si="963"/>
        <v>-9.9808098428670583E-2</v>
      </c>
    </row>
    <row r="244" spans="1:20" x14ac:dyDescent="0.25">
      <c r="A244" s="5">
        <v>44349</v>
      </c>
      <c r="B244">
        <v>69.180000000000007</v>
      </c>
      <c r="C244">
        <v>72.06</v>
      </c>
      <c r="D244">
        <v>68.150000000000006</v>
      </c>
      <c r="E244">
        <v>70.09</v>
      </c>
      <c r="F244">
        <v>1314034.6085999999</v>
      </c>
      <c r="G244">
        <v>0</v>
      </c>
      <c r="L244" t="s">
        <v>8</v>
      </c>
      <c r="M244" t="s">
        <v>7</v>
      </c>
      <c r="N244" t="s">
        <v>7</v>
      </c>
      <c r="P244">
        <f t="shared" si="959"/>
        <v>-7.6726342711000419E-3</v>
      </c>
      <c r="Q244">
        <f t="shared" si="960"/>
        <v>-10082.10697135589</v>
      </c>
      <c r="R244">
        <f t="shared" si="961"/>
        <v>-13253665.933458438</v>
      </c>
      <c r="S244">
        <f t="shared" si="962"/>
        <v>-132.53665933458439</v>
      </c>
      <c r="T244">
        <f t="shared" si="963"/>
        <v>-0.13253665933458439</v>
      </c>
    </row>
    <row r="245" spans="1:20" x14ac:dyDescent="0.25">
      <c r="A245" s="5">
        <v>44348</v>
      </c>
      <c r="B245">
        <v>72.52</v>
      </c>
      <c r="C245">
        <v>73.17</v>
      </c>
      <c r="D245">
        <v>68.02</v>
      </c>
      <c r="E245">
        <v>69.180000000000007</v>
      </c>
      <c r="F245">
        <v>1611400.0277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-0.54951456310679236</v>
      </c>
      <c r="Q245">
        <f t="shared" si="960"/>
        <v>-885487.78221183864</v>
      </c>
      <c r="R245">
        <f t="shared" si="961"/>
        <v>-13243583.826487083</v>
      </c>
      <c r="S245">
        <f t="shared" si="962"/>
        <v>-132.43583826487082</v>
      </c>
      <c r="T245">
        <f t="shared" si="963"/>
        <v>-0.13243583826487082</v>
      </c>
    </row>
    <row r="246" spans="1:20" x14ac:dyDescent="0.25">
      <c r="A246" s="5">
        <v>44347</v>
      </c>
      <c r="B246">
        <v>68.34</v>
      </c>
      <c r="C246">
        <v>72.92</v>
      </c>
      <c r="D246">
        <v>66.28</v>
      </c>
      <c r="E246">
        <v>72.52</v>
      </c>
      <c r="F246">
        <v>2040700.7409000001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0.87951807228915491</v>
      </c>
      <c r="Q246">
        <f t="shared" si="960"/>
        <v>1794833.1817554182</v>
      </c>
      <c r="R246">
        <f t="shared" si="961"/>
        <v>-12358096.044275245</v>
      </c>
      <c r="S246">
        <f t="shared" si="962"/>
        <v>-123.58096044275244</v>
      </c>
      <c r="T246">
        <f t="shared" si="963"/>
        <v>-0.12358096044275244</v>
      </c>
    </row>
    <row r="247" spans="1:20" x14ac:dyDescent="0.25">
      <c r="A247" s="5">
        <v>44346</v>
      </c>
      <c r="B247">
        <v>68.25</v>
      </c>
      <c r="C247">
        <v>69.44</v>
      </c>
      <c r="D247">
        <v>65.25</v>
      </c>
      <c r="E247">
        <v>68.34</v>
      </c>
      <c r="F247">
        <v>1796269.4258000001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0.4749403341288807</v>
      </c>
      <c r="Q247">
        <f t="shared" si="960"/>
        <v>853120.80127494468</v>
      </c>
      <c r="R247">
        <f t="shared" si="961"/>
        <v>-14152929.226030663</v>
      </c>
      <c r="S247">
        <f t="shared" si="962"/>
        <v>-141.52929226030662</v>
      </c>
      <c r="T247">
        <f t="shared" si="963"/>
        <v>-0.14152929226030661</v>
      </c>
    </row>
    <row r="248" spans="1:20" x14ac:dyDescent="0.25">
      <c r="A248" s="5">
        <v>44345</v>
      </c>
      <c r="B248">
        <v>66.739999999999995</v>
      </c>
      <c r="C248">
        <v>69.87</v>
      </c>
      <c r="D248">
        <v>64.5</v>
      </c>
      <c r="E248">
        <v>68.239999999999995</v>
      </c>
      <c r="F248">
        <v>1921950.2407</v>
      </c>
      <c r="G248">
        <v>0</v>
      </c>
      <c r="L248" t="s">
        <v>8</v>
      </c>
      <c r="M248" t="s">
        <v>7</v>
      </c>
      <c r="N248" t="s">
        <v>7</v>
      </c>
      <c r="P248">
        <f t="shared" si="959"/>
        <v>0.39292364990688705</v>
      </c>
      <c r="Q248">
        <f t="shared" si="960"/>
        <v>755179.70351526409</v>
      </c>
      <c r="R248">
        <f t="shared" si="961"/>
        <v>-15006050.027305607</v>
      </c>
      <c r="S248">
        <f t="shared" si="962"/>
        <v>-150.06050027305608</v>
      </c>
      <c r="T248">
        <f t="shared" si="963"/>
        <v>-0.15006050027305609</v>
      </c>
    </row>
    <row r="249" spans="1:20" x14ac:dyDescent="0.25">
      <c r="A249" s="5">
        <v>44344</v>
      </c>
      <c r="B249">
        <v>71.44</v>
      </c>
      <c r="C249">
        <v>71.8</v>
      </c>
      <c r="D249">
        <v>64.98</v>
      </c>
      <c r="E249">
        <v>66.75</v>
      </c>
      <c r="F249">
        <v>2444585.5518999998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-0.48093841642228802</v>
      </c>
      <c r="Q249">
        <f t="shared" si="960"/>
        <v>-1175695.1041395909</v>
      </c>
      <c r="R249">
        <f t="shared" si="961"/>
        <v>-15761229.73082087</v>
      </c>
      <c r="S249">
        <f t="shared" si="962"/>
        <v>-157.6122973082087</v>
      </c>
      <c r="T249">
        <f t="shared" si="963"/>
        <v>-0.15761229730820869</v>
      </c>
    </row>
    <row r="250" spans="1:20" x14ac:dyDescent="0.25">
      <c r="A250" s="5">
        <v>44343</v>
      </c>
      <c r="B250">
        <v>74.510000000000005</v>
      </c>
      <c r="C250">
        <v>74.56</v>
      </c>
      <c r="D250">
        <v>68.86</v>
      </c>
      <c r="E250">
        <v>71.430000000000007</v>
      </c>
      <c r="F250">
        <v>1919835.4393</v>
      </c>
      <c r="G250">
        <v>0</v>
      </c>
      <c r="L250" t="s">
        <v>7</v>
      </c>
      <c r="M250" t="s">
        <v>7</v>
      </c>
      <c r="N250" t="s">
        <v>7</v>
      </c>
      <c r="P250">
        <f t="shared" si="959"/>
        <v>-9.8245614035085582E-2</v>
      </c>
      <c r="Q250">
        <f t="shared" si="960"/>
        <v>-188615.41158034676</v>
      </c>
      <c r="R250">
        <f t="shared" si="961"/>
        <v>-14585534.626681279</v>
      </c>
      <c r="S250">
        <f t="shared" si="962"/>
        <v>-145.8553462668128</v>
      </c>
      <c r="T250">
        <f t="shared" si="963"/>
        <v>-0.14585534626681279</v>
      </c>
    </row>
    <row r="251" spans="1:20" x14ac:dyDescent="0.25">
      <c r="A251" s="5">
        <v>44342</v>
      </c>
      <c r="B251">
        <v>72.28</v>
      </c>
      <c r="C251">
        <v>74.989999999999995</v>
      </c>
      <c r="D251">
        <v>70.03</v>
      </c>
      <c r="E251">
        <v>74.5</v>
      </c>
      <c r="F251">
        <v>2469525.8135000002</v>
      </c>
      <c r="G251">
        <v>0</v>
      </c>
      <c r="L251" t="s">
        <v>7</v>
      </c>
      <c r="M251" t="s">
        <v>7</v>
      </c>
      <c r="N251" t="s">
        <v>7</v>
      </c>
      <c r="P251">
        <f t="shared" si="959"/>
        <v>0.80241935483871152</v>
      </c>
      <c r="Q251">
        <f t="shared" si="960"/>
        <v>1981595.3100262145</v>
      </c>
      <c r="R251">
        <f t="shared" si="961"/>
        <v>-14396919.215100933</v>
      </c>
      <c r="S251">
        <f t="shared" si="962"/>
        <v>-143.96919215100934</v>
      </c>
      <c r="T251">
        <f t="shared" si="963"/>
        <v>-0.14396919215100934</v>
      </c>
    </row>
    <row r="252" spans="1:20" x14ac:dyDescent="0.25">
      <c r="A252" s="5">
        <v>44341</v>
      </c>
      <c r="B252">
        <v>74.739999999999995</v>
      </c>
      <c r="C252">
        <v>79.760000000000005</v>
      </c>
      <c r="D252">
        <v>65.73</v>
      </c>
      <c r="E252">
        <v>72.239999999999995</v>
      </c>
      <c r="F252">
        <v>3399202.8305000002</v>
      </c>
      <c r="G252">
        <v>0</v>
      </c>
      <c r="L252" t="s">
        <v>8</v>
      </c>
      <c r="M252" t="s">
        <v>7</v>
      </c>
      <c r="N252" t="s">
        <v>7</v>
      </c>
      <c r="P252">
        <f t="shared" si="959"/>
        <v>-7.19885958660028E-2</v>
      </c>
      <c r="Q252">
        <f t="shared" si="960"/>
        <v>-244703.83883143732</v>
      </c>
      <c r="R252">
        <f t="shared" si="961"/>
        <v>-16378514.525127148</v>
      </c>
      <c r="S252">
        <f t="shared" si="962"/>
        <v>-163.78514525127147</v>
      </c>
      <c r="T252">
        <f t="shared" si="963"/>
        <v>-0.16378514525127147</v>
      </c>
    </row>
    <row r="253" spans="1:20" x14ac:dyDescent="0.25">
      <c r="A253" s="5">
        <v>44340</v>
      </c>
      <c r="B253">
        <v>64.87</v>
      </c>
      <c r="C253">
        <v>78</v>
      </c>
      <c r="D253">
        <v>62.24</v>
      </c>
      <c r="E253">
        <v>74.75</v>
      </c>
      <c r="F253">
        <v>4372237.2017999999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0.5875634517766497</v>
      </c>
      <c r="Q253">
        <f t="shared" si="960"/>
        <v>2568966.7822758881</v>
      </c>
      <c r="R253">
        <f t="shared" si="961"/>
        <v>-16133810.686295711</v>
      </c>
      <c r="S253">
        <f t="shared" si="962"/>
        <v>-161.33810686295712</v>
      </c>
      <c r="T253">
        <f t="shared" si="963"/>
        <v>-0.16133810686295713</v>
      </c>
    </row>
    <row r="254" spans="1:20" x14ac:dyDescent="0.25">
      <c r="A254" s="5">
        <v>44339</v>
      </c>
      <c r="B254">
        <v>72.23</v>
      </c>
      <c r="C254">
        <v>74.73</v>
      </c>
      <c r="D254">
        <v>55.2</v>
      </c>
      <c r="E254">
        <v>64.88</v>
      </c>
      <c r="F254">
        <v>4404400.1297000004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-8.7045570916546803E-3</v>
      </c>
      <c r="Q254">
        <f t="shared" si="960"/>
        <v>-38338.352383464931</v>
      </c>
      <c r="R254">
        <f t="shared" si="961"/>
        <v>-18702777.4685716</v>
      </c>
      <c r="S254">
        <f t="shared" si="962"/>
        <v>-187.027774685716</v>
      </c>
      <c r="T254">
        <f t="shared" si="963"/>
        <v>-0.18702777468571599</v>
      </c>
    </row>
    <row r="255" spans="1:20" x14ac:dyDescent="0.25">
      <c r="A255" s="5">
        <v>44338</v>
      </c>
      <c r="B255">
        <v>76.900000000000006</v>
      </c>
      <c r="C255">
        <v>77.430000000000007</v>
      </c>
      <c r="D255">
        <v>66.48</v>
      </c>
      <c r="E255">
        <v>72.209999999999994</v>
      </c>
      <c r="F255">
        <v>3395285.8229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4.6575342465751284E-2</v>
      </c>
      <c r="Q255">
        <f t="shared" si="960"/>
        <v>158136.59997067766</v>
      </c>
      <c r="R255">
        <f t="shared" si="961"/>
        <v>-18664439.116188135</v>
      </c>
      <c r="S255">
        <f t="shared" si="962"/>
        <v>-186.64439116188134</v>
      </c>
      <c r="T255">
        <f t="shared" si="963"/>
        <v>-0.18664439116188133</v>
      </c>
    </row>
    <row r="256" spans="1:20" x14ac:dyDescent="0.25">
      <c r="A256" s="5">
        <v>44337</v>
      </c>
      <c r="B256">
        <v>88.62</v>
      </c>
      <c r="C256">
        <v>94.99</v>
      </c>
      <c r="D256">
        <v>67.760000000000005</v>
      </c>
      <c r="E256">
        <v>76.84</v>
      </c>
      <c r="F256">
        <v>4394753.3830000004</v>
      </c>
      <c r="G256">
        <v>0</v>
      </c>
      <c r="L256" t="s">
        <v>7</v>
      </c>
      <c r="M256" t="s">
        <v>7</v>
      </c>
      <c r="N256" t="s">
        <v>8</v>
      </c>
      <c r="P256">
        <f t="shared" si="959"/>
        <v>-0.33308850532500905</v>
      </c>
      <c r="Q256">
        <f t="shared" si="960"/>
        <v>-1463841.8356154971</v>
      </c>
      <c r="R256">
        <f t="shared" si="961"/>
        <v>-18822575.716158811</v>
      </c>
      <c r="S256">
        <f t="shared" si="962"/>
        <v>-188.22575716158812</v>
      </c>
      <c r="T256">
        <f t="shared" si="963"/>
        <v>-0.18822575716158813</v>
      </c>
    </row>
    <row r="257" spans="1:20" x14ac:dyDescent="0.25">
      <c r="A257" s="5">
        <v>44336</v>
      </c>
      <c r="B257">
        <v>65.290000000000006</v>
      </c>
      <c r="C257">
        <v>95.26</v>
      </c>
      <c r="D257">
        <v>61.13</v>
      </c>
      <c r="E257">
        <v>88.66</v>
      </c>
      <c r="F257">
        <v>5722650.4379000003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0.6132434808086723</v>
      </c>
      <c r="Q257">
        <f t="shared" si="960"/>
        <v>3509378.0739890691</v>
      </c>
      <c r="R257">
        <f t="shared" si="961"/>
        <v>-17358733.880543314</v>
      </c>
      <c r="S257">
        <f t="shared" si="962"/>
        <v>-173.58733880543315</v>
      </c>
      <c r="T257">
        <f t="shared" si="963"/>
        <v>-0.17358733880543314</v>
      </c>
    </row>
    <row r="258" spans="1:20" x14ac:dyDescent="0.25">
      <c r="A258" s="5">
        <v>44335</v>
      </c>
      <c r="B258">
        <v>100.13</v>
      </c>
      <c r="C258">
        <v>101.73</v>
      </c>
      <c r="D258">
        <v>55</v>
      </c>
      <c r="E258">
        <v>65.28</v>
      </c>
      <c r="F258">
        <v>5711508.3531999998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-0.56002567943505244</v>
      </c>
      <c r="Q258">
        <f t="shared" si="960"/>
        <v>-3198591.3460998074</v>
      </c>
      <c r="R258">
        <f t="shared" si="961"/>
        <v>-20868111.954532381</v>
      </c>
      <c r="S258">
        <f t="shared" si="962"/>
        <v>-208.68111954532381</v>
      </c>
      <c r="T258">
        <f t="shared" si="963"/>
        <v>-0.20868111954532381</v>
      </c>
    </row>
    <row r="259" spans="1:20" x14ac:dyDescent="0.25">
      <c r="A259" s="5">
        <v>44334</v>
      </c>
      <c r="B259">
        <v>99.43</v>
      </c>
      <c r="C259">
        <v>106.02</v>
      </c>
      <c r="D259">
        <v>96.82</v>
      </c>
      <c r="E259">
        <v>100.11</v>
      </c>
      <c r="F259">
        <v>1877765.0226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-0.28478260869565103</v>
      </c>
      <c r="Q259">
        <f t="shared" si="960"/>
        <v>-534754.8216534761</v>
      </c>
      <c r="R259">
        <f t="shared" si="961"/>
        <v>-17669520.608432572</v>
      </c>
      <c r="S259">
        <f t="shared" si="962"/>
        <v>-176.69520608432572</v>
      </c>
      <c r="T259">
        <f t="shared" si="963"/>
        <v>-0.17669520608432571</v>
      </c>
    </row>
    <row r="260" spans="1:20" x14ac:dyDescent="0.25">
      <c r="A260" s="5">
        <v>44333</v>
      </c>
      <c r="B260">
        <v>107.79</v>
      </c>
      <c r="C260">
        <v>107.88</v>
      </c>
      <c r="D260">
        <v>93.35</v>
      </c>
      <c r="E260">
        <v>99.46</v>
      </c>
      <c r="F260">
        <v>2141124.6066000001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-0.15898141775636629</v>
      </c>
      <c r="Q260">
        <f t="shared" si="960"/>
        <v>-340399.02555031003</v>
      </c>
      <c r="R260">
        <f t="shared" si="961"/>
        <v>-17134765.786779094</v>
      </c>
      <c r="S260">
        <f t="shared" si="962"/>
        <v>-171.34765786779096</v>
      </c>
      <c r="T260">
        <f t="shared" si="963"/>
        <v>-0.17134765786779096</v>
      </c>
    </row>
    <row r="261" spans="1:20" x14ac:dyDescent="0.25">
      <c r="A261" s="5">
        <v>44332</v>
      </c>
      <c r="B261">
        <v>110.46</v>
      </c>
      <c r="C261">
        <v>116.19</v>
      </c>
      <c r="D261">
        <v>100.15</v>
      </c>
      <c r="E261">
        <v>107.81</v>
      </c>
      <c r="F261">
        <v>1753425.6965000001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-4.4887780548628381E-2</v>
      </c>
      <c r="Q261">
        <f t="shared" si="960"/>
        <v>-78707.387872817868</v>
      </c>
      <c r="R261">
        <f t="shared" si="961"/>
        <v>-16794366.761228785</v>
      </c>
      <c r="S261">
        <f t="shared" si="962"/>
        <v>-167.94366761228784</v>
      </c>
      <c r="T261">
        <f t="shared" si="963"/>
        <v>-0.16794366761228785</v>
      </c>
    </row>
    <row r="262" spans="1:20" x14ac:dyDescent="0.25">
      <c r="A262" s="5">
        <v>44331</v>
      </c>
      <c r="B262">
        <v>120.64</v>
      </c>
      <c r="C262">
        <v>122.85</v>
      </c>
      <c r="D262">
        <v>109.96</v>
      </c>
      <c r="E262">
        <v>110.48</v>
      </c>
      <c r="F262">
        <v>1520986.5138999999</v>
      </c>
      <c r="G262">
        <v>0</v>
      </c>
      <c r="L262" t="s">
        <v>7</v>
      </c>
      <c r="M262" t="s">
        <v>8</v>
      </c>
      <c r="N262" t="s">
        <v>8</v>
      </c>
      <c r="P262">
        <f t="shared" ref="P262:P325" si="964">IF(C262=D262,0,((E262-D262)-(C262-E262))/(C262-D262))</f>
        <v>-0.91931730023273694</v>
      </c>
      <c r="Q262">
        <f t="shared" ref="Q262:Q325" si="965">F262*P262</f>
        <v>-1398269.2156489501</v>
      </c>
      <c r="R262">
        <f t="shared" ref="R262:R325" si="966">R263+Q262</f>
        <v>-16715659.373355966</v>
      </c>
      <c r="S262">
        <f t="shared" ref="S262:S325" si="967">R262/100000</f>
        <v>-167.15659373355967</v>
      </c>
      <c r="T262">
        <f t="shared" ref="T262:T325" si="968">S262/1000</f>
        <v>-0.16715659373355968</v>
      </c>
    </row>
    <row r="263" spans="1:20" x14ac:dyDescent="0.25">
      <c r="A263" s="5">
        <v>44330</v>
      </c>
      <c r="B263">
        <v>117.82</v>
      </c>
      <c r="C263">
        <v>124.84</v>
      </c>
      <c r="D263">
        <v>113.82</v>
      </c>
      <c r="E263">
        <v>120.65</v>
      </c>
      <c r="F263">
        <v>1843265.5462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0.23956442831216082</v>
      </c>
      <c r="Q263">
        <f t="shared" si="965"/>
        <v>441580.85680290585</v>
      </c>
      <c r="R263">
        <f t="shared" si="966"/>
        <v>-15317390.157707017</v>
      </c>
      <c r="S263">
        <f t="shared" si="967"/>
        <v>-153.17390157707018</v>
      </c>
      <c r="T263">
        <f t="shared" si="968"/>
        <v>-0.15317390157707017</v>
      </c>
    </row>
    <row r="264" spans="1:20" x14ac:dyDescent="0.25">
      <c r="A264" s="5">
        <v>44329</v>
      </c>
      <c r="B264">
        <v>127.09</v>
      </c>
      <c r="C264">
        <v>127.79</v>
      </c>
      <c r="D264">
        <v>87.26</v>
      </c>
      <c r="E264">
        <v>117.82</v>
      </c>
      <c r="F264">
        <v>4298932.3103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0.50801875154206699</v>
      </c>
      <c r="Q264">
        <f t="shared" si="965"/>
        <v>2183938.2252424597</v>
      </c>
      <c r="R264">
        <f t="shared" si="966"/>
        <v>-15758971.014509922</v>
      </c>
      <c r="S264">
        <f t="shared" si="967"/>
        <v>-157.58971014509922</v>
      </c>
      <c r="T264">
        <f t="shared" si="968"/>
        <v>-0.1575897101450992</v>
      </c>
    </row>
    <row r="265" spans="1:20" x14ac:dyDescent="0.25">
      <c r="A265" s="5">
        <v>44328</v>
      </c>
      <c r="B265">
        <v>142.9</v>
      </c>
      <c r="C265">
        <v>145.59</v>
      </c>
      <c r="D265">
        <v>123.77</v>
      </c>
      <c r="E265">
        <v>127.04</v>
      </c>
      <c r="F265">
        <v>1373711.7437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-0.70027497708524211</v>
      </c>
      <c r="Q265">
        <f t="shared" si="965"/>
        <v>-961975.95984124544</v>
      </c>
      <c r="R265">
        <f t="shared" si="966"/>
        <v>-17942909.239752382</v>
      </c>
      <c r="S265">
        <f t="shared" si="967"/>
        <v>-179.42909239752382</v>
      </c>
      <c r="T265">
        <f t="shared" si="968"/>
        <v>-0.1794290923975238</v>
      </c>
    </row>
    <row r="266" spans="1:20" x14ac:dyDescent="0.25">
      <c r="A266" s="5">
        <v>44327</v>
      </c>
      <c r="B266">
        <v>135.71</v>
      </c>
      <c r="C266">
        <v>143.44</v>
      </c>
      <c r="D266">
        <v>133.79</v>
      </c>
      <c r="E266">
        <v>142.94999999999999</v>
      </c>
      <c r="F266">
        <v>1014580.4486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0.89844559585492045</v>
      </c>
      <c r="Q266">
        <f t="shared" si="965"/>
        <v>911545.33568517945</v>
      </c>
      <c r="R266">
        <f t="shared" si="966"/>
        <v>-16980933.279911138</v>
      </c>
      <c r="S266">
        <f t="shared" si="967"/>
        <v>-169.80933279911139</v>
      </c>
      <c r="T266">
        <f t="shared" si="968"/>
        <v>-0.1698093327991114</v>
      </c>
    </row>
    <row r="267" spans="1:20" x14ac:dyDescent="0.25">
      <c r="A267" s="5">
        <v>44326</v>
      </c>
      <c r="B267">
        <v>146.51</v>
      </c>
      <c r="C267">
        <v>149.33000000000001</v>
      </c>
      <c r="D267">
        <v>129.13999999999999</v>
      </c>
      <c r="E267">
        <v>135.71</v>
      </c>
      <c r="F267">
        <v>1155938.1738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-0.34918276374442664</v>
      </c>
      <c r="Q267">
        <f t="shared" si="965"/>
        <v>-403633.68624516937</v>
      </c>
      <c r="R267">
        <f t="shared" si="966"/>
        <v>-17892478.615596317</v>
      </c>
      <c r="S267">
        <f t="shared" si="967"/>
        <v>-178.92478615596318</v>
      </c>
      <c r="T267">
        <f t="shared" si="968"/>
        <v>-0.17892478615596319</v>
      </c>
    </row>
    <row r="268" spans="1:20" x14ac:dyDescent="0.25">
      <c r="A268" s="5">
        <v>44325</v>
      </c>
      <c r="B268">
        <v>148.1</v>
      </c>
      <c r="C268">
        <v>149.55000000000001</v>
      </c>
      <c r="D268">
        <v>140.72999999999999</v>
      </c>
      <c r="E268">
        <v>146.5</v>
      </c>
      <c r="F268">
        <v>880624.60580000002</v>
      </c>
      <c r="G268">
        <v>0</v>
      </c>
      <c r="L268" t="s">
        <v>7</v>
      </c>
      <c r="M268" t="s">
        <v>8</v>
      </c>
      <c r="N268" t="s">
        <v>7</v>
      </c>
      <c r="P268">
        <f t="shared" si="964"/>
        <v>0.30839002267573606</v>
      </c>
      <c r="Q268">
        <f t="shared" si="965"/>
        <v>271575.84215147316</v>
      </c>
      <c r="R268">
        <f t="shared" si="966"/>
        <v>-17488844.929351147</v>
      </c>
      <c r="S268">
        <f t="shared" si="967"/>
        <v>-174.88844929351148</v>
      </c>
      <c r="T268">
        <f t="shared" si="968"/>
        <v>-0.17488844929351149</v>
      </c>
    </row>
    <row r="269" spans="1:20" x14ac:dyDescent="0.25">
      <c r="A269" s="5">
        <v>44324</v>
      </c>
      <c r="B269">
        <v>150.38999999999999</v>
      </c>
      <c r="C269">
        <v>154.25</v>
      </c>
      <c r="D269">
        <v>143.49</v>
      </c>
      <c r="E269">
        <v>148.1</v>
      </c>
      <c r="F269">
        <v>767341.45479999995</v>
      </c>
      <c r="G269">
        <v>0</v>
      </c>
      <c r="L269" t="s">
        <v>7</v>
      </c>
      <c r="M269" t="s">
        <v>8</v>
      </c>
      <c r="N269" t="s">
        <v>7</v>
      </c>
      <c r="P269">
        <f t="shared" si="964"/>
        <v>-0.14312267657992767</v>
      </c>
      <c r="Q269">
        <f t="shared" si="965"/>
        <v>-109823.96286171158</v>
      </c>
      <c r="R269">
        <f t="shared" si="966"/>
        <v>-17760420.771502621</v>
      </c>
      <c r="S269">
        <f t="shared" si="967"/>
        <v>-177.60420771502621</v>
      </c>
      <c r="T269">
        <f t="shared" si="968"/>
        <v>-0.17760420771502622</v>
      </c>
    </row>
    <row r="270" spans="1:20" x14ac:dyDescent="0.25">
      <c r="A270" s="5">
        <v>44323</v>
      </c>
      <c r="B270">
        <v>153.63</v>
      </c>
      <c r="C270">
        <v>155.22999999999999</v>
      </c>
      <c r="D270">
        <v>146.82</v>
      </c>
      <c r="E270">
        <v>150.33000000000001</v>
      </c>
      <c r="F270">
        <v>933789.16350000002</v>
      </c>
      <c r="G270">
        <v>0</v>
      </c>
      <c r="L270" t="s">
        <v>7</v>
      </c>
      <c r="M270" t="s">
        <v>8</v>
      </c>
      <c r="N270" t="s">
        <v>7</v>
      </c>
      <c r="P270">
        <f t="shared" si="964"/>
        <v>-0.16527942925088687</v>
      </c>
      <c r="Q270">
        <f t="shared" si="965"/>
        <v>-154336.13998394308</v>
      </c>
      <c r="R270">
        <f t="shared" si="966"/>
        <v>-17650596.808640908</v>
      </c>
      <c r="S270">
        <f t="shared" si="967"/>
        <v>-176.5059680864091</v>
      </c>
      <c r="T270">
        <f t="shared" si="968"/>
        <v>-0.17650596808640909</v>
      </c>
    </row>
    <row r="271" spans="1:20" x14ac:dyDescent="0.25">
      <c r="A271" s="5">
        <v>44322</v>
      </c>
      <c r="B271">
        <v>152.46</v>
      </c>
      <c r="C271">
        <v>165.63</v>
      </c>
      <c r="D271">
        <v>149.69</v>
      </c>
      <c r="E271">
        <v>153.59</v>
      </c>
      <c r="F271">
        <v>1873546.7512000001</v>
      </c>
      <c r="G271">
        <v>0</v>
      </c>
      <c r="L271" t="s">
        <v>8</v>
      </c>
      <c r="M271" t="s">
        <v>8</v>
      </c>
      <c r="N271" t="s">
        <v>7</v>
      </c>
      <c r="P271">
        <f t="shared" si="964"/>
        <v>-0.51066499372647345</v>
      </c>
      <c r="Q271">
        <f t="shared" si="965"/>
        <v>-956754.73994780274</v>
      </c>
      <c r="R271">
        <f t="shared" si="966"/>
        <v>-17496260.668656964</v>
      </c>
      <c r="S271">
        <f t="shared" si="967"/>
        <v>-174.96260668656964</v>
      </c>
      <c r="T271">
        <f t="shared" si="968"/>
        <v>-0.17496260668656965</v>
      </c>
    </row>
    <row r="272" spans="1:20" x14ac:dyDescent="0.25">
      <c r="A272" s="5">
        <v>44321</v>
      </c>
      <c r="B272">
        <v>140.82</v>
      </c>
      <c r="C272">
        <v>154.86000000000001</v>
      </c>
      <c r="D272">
        <v>139.56</v>
      </c>
      <c r="E272">
        <v>152.53</v>
      </c>
      <c r="F272">
        <v>1091315.1270999999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0.69542483660130583</v>
      </c>
      <c r="Q272">
        <f t="shared" si="965"/>
        <v>758927.64394405077</v>
      </c>
      <c r="R272">
        <f t="shared" si="966"/>
        <v>-16539505.928709161</v>
      </c>
      <c r="S272">
        <f t="shared" si="967"/>
        <v>-165.39505928709161</v>
      </c>
      <c r="T272">
        <f t="shared" si="968"/>
        <v>-0.16539505928709161</v>
      </c>
    </row>
    <row r="273" spans="1:20" x14ac:dyDescent="0.25">
      <c r="A273" s="5">
        <v>44320</v>
      </c>
      <c r="B273">
        <v>160.24</v>
      </c>
      <c r="C273">
        <v>160.49</v>
      </c>
      <c r="D273">
        <v>135.1</v>
      </c>
      <c r="E273">
        <v>140.80000000000001</v>
      </c>
      <c r="F273">
        <v>1503435.5463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-0.55100433241433522</v>
      </c>
      <c r="Q273">
        <f t="shared" si="965"/>
        <v>-828399.49951701285</v>
      </c>
      <c r="R273">
        <f t="shared" si="966"/>
        <v>-17298433.572653212</v>
      </c>
      <c r="S273">
        <f t="shared" si="967"/>
        <v>-172.98433572653212</v>
      </c>
      <c r="T273">
        <f t="shared" si="968"/>
        <v>-0.17298433572653213</v>
      </c>
    </row>
    <row r="274" spans="1:20" x14ac:dyDescent="0.25">
      <c r="A274" s="5">
        <v>44319</v>
      </c>
      <c r="B274">
        <v>162.46</v>
      </c>
      <c r="C274">
        <v>163.96</v>
      </c>
      <c r="D274">
        <v>158.5</v>
      </c>
      <c r="E274">
        <v>160.24</v>
      </c>
      <c r="F274">
        <v>790718.23540000001</v>
      </c>
      <c r="G274">
        <v>0</v>
      </c>
      <c r="L274" t="s">
        <v>8</v>
      </c>
      <c r="M274" t="s">
        <v>8</v>
      </c>
      <c r="N274" t="s">
        <v>7</v>
      </c>
      <c r="P274">
        <f t="shared" si="964"/>
        <v>-0.36263736263736024</v>
      </c>
      <c r="Q274">
        <f t="shared" si="965"/>
        <v>-286743.97547472338</v>
      </c>
      <c r="R274">
        <f t="shared" si="966"/>
        <v>-16470034.073136197</v>
      </c>
      <c r="S274">
        <f t="shared" si="967"/>
        <v>-164.70034073136196</v>
      </c>
      <c r="T274">
        <f t="shared" si="968"/>
        <v>-0.16470034073136197</v>
      </c>
    </row>
    <row r="275" spans="1:20" x14ac:dyDescent="0.25">
      <c r="A275" s="5">
        <v>44318</v>
      </c>
      <c r="B275">
        <v>164.21</v>
      </c>
      <c r="C275">
        <v>166.75</v>
      </c>
      <c r="D275">
        <v>156.29</v>
      </c>
      <c r="E275">
        <v>162.46</v>
      </c>
      <c r="F275">
        <v>757213.38060000003</v>
      </c>
      <c r="G275">
        <v>0</v>
      </c>
      <c r="L275" t="s">
        <v>8</v>
      </c>
      <c r="M275" t="s">
        <v>8</v>
      </c>
      <c r="N275" t="s">
        <v>7</v>
      </c>
      <c r="P275">
        <f t="shared" si="964"/>
        <v>0.17973231357552796</v>
      </c>
      <c r="Q275">
        <f t="shared" si="965"/>
        <v>136095.71276558482</v>
      </c>
      <c r="R275">
        <f t="shared" si="966"/>
        <v>-16183290.097661475</v>
      </c>
      <c r="S275">
        <f t="shared" si="967"/>
        <v>-161.83290097661475</v>
      </c>
      <c r="T275">
        <f t="shared" si="968"/>
        <v>-0.16183290097661476</v>
      </c>
    </row>
    <row r="276" spans="1:20" x14ac:dyDescent="0.25">
      <c r="A276" s="5">
        <v>44317</v>
      </c>
      <c r="B276">
        <v>163.82</v>
      </c>
      <c r="C276">
        <v>168</v>
      </c>
      <c r="D276">
        <v>161.06</v>
      </c>
      <c r="E276">
        <v>164.24</v>
      </c>
      <c r="F276">
        <v>809703.25879999995</v>
      </c>
      <c r="G276">
        <v>0</v>
      </c>
      <c r="L276" t="s">
        <v>8</v>
      </c>
      <c r="M276" t="s">
        <v>8</v>
      </c>
      <c r="N276" t="s">
        <v>7</v>
      </c>
      <c r="P276">
        <f t="shared" si="964"/>
        <v>-8.3573487031698021E-2</v>
      </c>
      <c r="Q276">
        <f t="shared" si="965"/>
        <v>-67669.724798845418</v>
      </c>
      <c r="R276">
        <f t="shared" si="966"/>
        <v>-16319385.81042706</v>
      </c>
      <c r="S276">
        <f t="shared" si="967"/>
        <v>-163.19385810427062</v>
      </c>
      <c r="T276">
        <f t="shared" si="968"/>
        <v>-0.16319385810427062</v>
      </c>
    </row>
    <row r="277" spans="1:20" x14ac:dyDescent="0.25">
      <c r="A277" s="5">
        <v>44316</v>
      </c>
      <c r="B277">
        <v>149.75</v>
      </c>
      <c r="C277">
        <v>165</v>
      </c>
      <c r="D277">
        <v>149.66999999999999</v>
      </c>
      <c r="E277">
        <v>163.92</v>
      </c>
      <c r="F277">
        <v>1546255.8230000001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0.85909980430528221</v>
      </c>
      <c r="Q277">
        <f t="shared" si="965"/>
        <v>1328388.0749452033</v>
      </c>
      <c r="R277">
        <f t="shared" si="966"/>
        <v>-16251716.085628215</v>
      </c>
      <c r="S277">
        <f t="shared" si="967"/>
        <v>-162.51716085628215</v>
      </c>
      <c r="T277">
        <f t="shared" si="968"/>
        <v>-0.16251716085628215</v>
      </c>
    </row>
    <row r="278" spans="1:20" x14ac:dyDescent="0.25">
      <c r="A278" s="5">
        <v>44315</v>
      </c>
      <c r="B278">
        <v>150.94</v>
      </c>
      <c r="C278">
        <v>152.16999999999999</v>
      </c>
      <c r="D278">
        <v>147.5</v>
      </c>
      <c r="E278">
        <v>149.76</v>
      </c>
      <c r="F278">
        <v>783542.35759999999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-3.2119914346896379E-2</v>
      </c>
      <c r="Q278">
        <f t="shared" si="965"/>
        <v>-25167.313413277254</v>
      </c>
      <c r="R278">
        <f t="shared" si="966"/>
        <v>-17580104.160573419</v>
      </c>
      <c r="S278">
        <f t="shared" si="967"/>
        <v>-175.80104160573418</v>
      </c>
      <c r="T278">
        <f t="shared" si="968"/>
        <v>-0.17580104160573418</v>
      </c>
    </row>
    <row r="279" spans="1:20" x14ac:dyDescent="0.25">
      <c r="A279" s="5">
        <v>44314</v>
      </c>
      <c r="B279">
        <v>152.46</v>
      </c>
      <c r="C279">
        <v>156</v>
      </c>
      <c r="D279">
        <v>146.37</v>
      </c>
      <c r="E279">
        <v>150.93</v>
      </c>
      <c r="F279">
        <v>892345.98069999996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-5.2959501557631482E-2</v>
      </c>
      <c r="Q279">
        <f t="shared" si="965"/>
        <v>-47258.198354827837</v>
      </c>
      <c r="R279">
        <f t="shared" si="966"/>
        <v>-17554936.847160142</v>
      </c>
      <c r="S279">
        <f t="shared" si="967"/>
        <v>-175.54936847160141</v>
      </c>
      <c r="T279">
        <f t="shared" si="968"/>
        <v>-0.17554936847160141</v>
      </c>
    </row>
    <row r="280" spans="1:20" x14ac:dyDescent="0.25">
      <c r="A280" s="5">
        <v>44313</v>
      </c>
      <c r="B280">
        <v>154.24</v>
      </c>
      <c r="C280">
        <v>155.24</v>
      </c>
      <c r="D280">
        <v>148.01</v>
      </c>
      <c r="E280">
        <v>152.46</v>
      </c>
      <c r="F280">
        <v>967946.10820000002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0.23098201936376372</v>
      </c>
      <c r="Q280">
        <f t="shared" si="965"/>
        <v>223578.14670733214</v>
      </c>
      <c r="R280">
        <f t="shared" si="966"/>
        <v>-17507678.648805313</v>
      </c>
      <c r="S280">
        <f t="shared" si="967"/>
        <v>-175.07678648805313</v>
      </c>
      <c r="T280">
        <f t="shared" si="968"/>
        <v>-0.17507678648805314</v>
      </c>
    </row>
    <row r="281" spans="1:20" x14ac:dyDescent="0.25">
      <c r="A281" s="5">
        <v>44312</v>
      </c>
      <c r="B281">
        <v>134.04</v>
      </c>
      <c r="C281">
        <v>154.80000000000001</v>
      </c>
      <c r="D281">
        <v>133.47</v>
      </c>
      <c r="E281">
        <v>154.19999999999999</v>
      </c>
      <c r="F281">
        <v>1313641.2279000001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0.94374120956399232</v>
      </c>
      <c r="Q281">
        <f t="shared" si="965"/>
        <v>1239737.3613514742</v>
      </c>
      <c r="R281">
        <f t="shared" si="966"/>
        <v>-17731256.795512646</v>
      </c>
      <c r="S281">
        <f t="shared" si="967"/>
        <v>-177.31256795512647</v>
      </c>
      <c r="T281">
        <f t="shared" si="968"/>
        <v>-0.17731256795512645</v>
      </c>
    </row>
    <row r="282" spans="1:20" x14ac:dyDescent="0.25">
      <c r="A282" s="5">
        <v>44311</v>
      </c>
      <c r="B282">
        <v>133.58109999999999</v>
      </c>
      <c r="C282">
        <v>136.88</v>
      </c>
      <c r="D282">
        <v>131.66</v>
      </c>
      <c r="E282">
        <v>134.04</v>
      </c>
      <c r="F282">
        <v>551274.82689999999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-8.8122605363986223E-2</v>
      </c>
      <c r="Q282">
        <f t="shared" si="965"/>
        <v>-48579.774018008517</v>
      </c>
      <c r="R282">
        <f t="shared" si="966"/>
        <v>-18970994.156864122</v>
      </c>
      <c r="S282">
        <f t="shared" si="967"/>
        <v>-189.70994156864123</v>
      </c>
      <c r="T282">
        <f t="shared" si="968"/>
        <v>-0.18970994156864124</v>
      </c>
    </row>
    <row r="283" spans="1:20" x14ac:dyDescent="0.25">
      <c r="A283" s="5">
        <v>44310</v>
      </c>
      <c r="B283">
        <v>138.55590000000001</v>
      </c>
      <c r="C283">
        <v>139.38</v>
      </c>
      <c r="D283">
        <v>131.12559999999999</v>
      </c>
      <c r="E283">
        <v>133.55350000000001</v>
      </c>
      <c r="F283">
        <v>1095487.1599999999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-0.41173192479162113</v>
      </c>
      <c r="Q283">
        <f t="shared" si="965"/>
        <v>-451047.0369713066</v>
      </c>
      <c r="R283">
        <f t="shared" si="966"/>
        <v>-18922414.382846113</v>
      </c>
      <c r="S283">
        <f t="shared" si="967"/>
        <v>-189.22414382846114</v>
      </c>
      <c r="T283">
        <f t="shared" si="968"/>
        <v>-0.18922414382846114</v>
      </c>
    </row>
    <row r="284" spans="1:20" x14ac:dyDescent="0.25">
      <c r="A284" s="5">
        <v>44309</v>
      </c>
      <c r="B284">
        <v>145.93340000000001</v>
      </c>
      <c r="C284">
        <v>147.96299999999999</v>
      </c>
      <c r="D284">
        <v>130</v>
      </c>
      <c r="E284">
        <v>138.57990000000001</v>
      </c>
      <c r="F284">
        <v>2026141.93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-4.4714134610030383E-2</v>
      </c>
      <c r="Q284">
        <f t="shared" si="965"/>
        <v>-90597.182997046752</v>
      </c>
      <c r="R284">
        <f t="shared" si="966"/>
        <v>-18471367.345874805</v>
      </c>
      <c r="S284">
        <f t="shared" si="967"/>
        <v>-184.71367345874805</v>
      </c>
      <c r="T284">
        <f t="shared" si="968"/>
        <v>-0.18471367345874803</v>
      </c>
    </row>
    <row r="285" spans="1:20" x14ac:dyDescent="0.25">
      <c r="A285" s="5">
        <v>44308</v>
      </c>
      <c r="B285">
        <v>147.72120000000001</v>
      </c>
      <c r="C285">
        <v>157.89230000000001</v>
      </c>
      <c r="D285">
        <v>144.47370000000001</v>
      </c>
      <c r="E285">
        <v>145.91399999999999</v>
      </c>
      <c r="F285">
        <v>1524418.19</v>
      </c>
      <c r="G285">
        <v>0</v>
      </c>
      <c r="L285" t="s">
        <v>7</v>
      </c>
      <c r="M285" t="s">
        <v>8</v>
      </c>
      <c r="N285" t="s">
        <v>7</v>
      </c>
      <c r="P285">
        <f t="shared" si="964"/>
        <v>-0.78532782853651206</v>
      </c>
      <c r="Q285">
        <f t="shared" si="965"/>
        <v>-1197168.02693426</v>
      </c>
      <c r="R285">
        <f t="shared" si="966"/>
        <v>-18380770.162877757</v>
      </c>
      <c r="S285">
        <f t="shared" si="967"/>
        <v>-183.80770162877758</v>
      </c>
      <c r="T285">
        <f t="shared" si="968"/>
        <v>-0.18380770162877758</v>
      </c>
    </row>
    <row r="286" spans="1:20" x14ac:dyDescent="0.25">
      <c r="A286" s="5">
        <v>44307</v>
      </c>
      <c r="B286">
        <v>153.93010000000001</v>
      </c>
      <c r="C286">
        <v>159.02109999999999</v>
      </c>
      <c r="D286">
        <v>147.11109999999999</v>
      </c>
      <c r="E286">
        <v>147.7287</v>
      </c>
      <c r="F286">
        <v>1129839.25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-0.89628883291351635</v>
      </c>
      <c r="Q286">
        <f t="shared" si="965"/>
        <v>-1012662.3027623827</v>
      </c>
      <c r="R286">
        <f t="shared" si="966"/>
        <v>-17183602.135943498</v>
      </c>
      <c r="S286">
        <f t="shared" si="967"/>
        <v>-171.83602135943499</v>
      </c>
      <c r="T286">
        <f t="shared" si="968"/>
        <v>-0.17183602135943499</v>
      </c>
    </row>
    <row r="287" spans="1:20" x14ac:dyDescent="0.25">
      <c r="A287" s="5">
        <v>44306</v>
      </c>
      <c r="B287">
        <v>154.798</v>
      </c>
      <c r="C287">
        <v>157.7945</v>
      </c>
      <c r="D287">
        <v>145.5077</v>
      </c>
      <c r="E287">
        <v>153.90170000000001</v>
      </c>
      <c r="F287">
        <v>1170217.1000000001</v>
      </c>
      <c r="G287">
        <v>0</v>
      </c>
      <c r="L287" t="s">
        <v>7</v>
      </c>
      <c r="M287" t="s">
        <v>8</v>
      </c>
      <c r="N287" t="s">
        <v>7</v>
      </c>
      <c r="P287">
        <f t="shared" si="964"/>
        <v>0.36634436956734151</v>
      </c>
      <c r="Q287">
        <f t="shared" si="965"/>
        <v>428702.44575642265</v>
      </c>
      <c r="R287">
        <f t="shared" si="966"/>
        <v>-16170939.833181117</v>
      </c>
      <c r="S287">
        <f t="shared" si="967"/>
        <v>-161.70939833181117</v>
      </c>
      <c r="T287">
        <f t="shared" si="968"/>
        <v>-0.16170939833181117</v>
      </c>
    </row>
    <row r="288" spans="1:20" x14ac:dyDescent="0.25">
      <c r="A288" s="5">
        <v>44305</v>
      </c>
      <c r="B288">
        <v>156.2945</v>
      </c>
      <c r="C288">
        <v>164.8186</v>
      </c>
      <c r="D288">
        <v>149.63659999999999</v>
      </c>
      <c r="E288">
        <v>154.8014</v>
      </c>
      <c r="F288">
        <v>1426196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-0.31961533394809533</v>
      </c>
      <c r="Q288">
        <f t="shared" si="965"/>
        <v>-455834.11081543774</v>
      </c>
      <c r="R288">
        <f t="shared" si="966"/>
        <v>-16599642.278937539</v>
      </c>
      <c r="S288">
        <f t="shared" si="967"/>
        <v>-165.9964227893754</v>
      </c>
      <c r="T288">
        <f t="shared" si="968"/>
        <v>-0.1659964227893754</v>
      </c>
    </row>
    <row r="289" spans="1:20" x14ac:dyDescent="0.25">
      <c r="A289" s="5">
        <v>44304</v>
      </c>
      <c r="B289">
        <v>180.9288</v>
      </c>
      <c r="C289">
        <v>183.1181</v>
      </c>
      <c r="D289">
        <v>130</v>
      </c>
      <c r="E289">
        <v>156.3278</v>
      </c>
      <c r="F289">
        <v>3139396.3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-8.7070132403080248E-3</v>
      </c>
      <c r="Q289">
        <f t="shared" si="965"/>
        <v>-27334.765150674022</v>
      </c>
      <c r="R289">
        <f t="shared" si="966"/>
        <v>-16143808.168122102</v>
      </c>
      <c r="S289">
        <f t="shared" si="967"/>
        <v>-161.43808168122101</v>
      </c>
      <c r="T289">
        <f t="shared" si="968"/>
        <v>-0.16143808168122101</v>
      </c>
    </row>
    <row r="290" spans="1:20" x14ac:dyDescent="0.25">
      <c r="A290" s="5">
        <v>44303</v>
      </c>
      <c r="B290">
        <v>182.66399999999999</v>
      </c>
      <c r="C290">
        <v>193</v>
      </c>
      <c r="D290">
        <v>175.47620000000001</v>
      </c>
      <c r="E290">
        <v>180.9288</v>
      </c>
      <c r="F290">
        <v>1850728.18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-0.37769205309350812</v>
      </c>
      <c r="Q290">
        <f t="shared" si="965"/>
        <v>-699005.32602221158</v>
      </c>
      <c r="R290">
        <f t="shared" si="966"/>
        <v>-16116473.402971428</v>
      </c>
      <c r="S290">
        <f t="shared" si="967"/>
        <v>-161.16473402971428</v>
      </c>
      <c r="T290">
        <f t="shared" si="968"/>
        <v>-0.16116473402971429</v>
      </c>
    </row>
    <row r="291" spans="1:20" x14ac:dyDescent="0.25">
      <c r="A291" s="5">
        <v>44302</v>
      </c>
      <c r="B291">
        <v>170.87530000000001</v>
      </c>
      <c r="C291">
        <v>195.6962</v>
      </c>
      <c r="D291">
        <v>170.8</v>
      </c>
      <c r="E291">
        <v>182.6147</v>
      </c>
      <c r="F291">
        <v>4348644.93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-5.0883267325938016E-2</v>
      </c>
      <c r="Q291">
        <f t="shared" si="965"/>
        <v>-221273.262478775</v>
      </c>
      <c r="R291">
        <f t="shared" si="966"/>
        <v>-15417468.076949216</v>
      </c>
      <c r="S291">
        <f t="shared" si="967"/>
        <v>-154.17468076949217</v>
      </c>
      <c r="T291">
        <f t="shared" si="968"/>
        <v>-0.15417468076949217</v>
      </c>
    </row>
    <row r="292" spans="1:20" x14ac:dyDescent="0.25">
      <c r="A292" s="5">
        <v>44301</v>
      </c>
      <c r="B292">
        <v>168.31559999999999</v>
      </c>
      <c r="C292">
        <v>175.44280000000001</v>
      </c>
      <c r="D292">
        <v>168</v>
      </c>
      <c r="E292">
        <v>170.87530000000001</v>
      </c>
      <c r="F292">
        <v>1352342.93</v>
      </c>
      <c r="G292">
        <v>0</v>
      </c>
      <c r="L292" t="s">
        <v>7</v>
      </c>
      <c r="M292" t="s">
        <v>7</v>
      </c>
      <c r="N292" t="s">
        <v>7</v>
      </c>
      <c r="P292">
        <f t="shared" si="964"/>
        <v>-0.22736067071532007</v>
      </c>
      <c r="Q292">
        <f t="shared" si="965"/>
        <v>-307469.59560192114</v>
      </c>
      <c r="R292">
        <f t="shared" si="966"/>
        <v>-15196194.814470442</v>
      </c>
      <c r="S292">
        <f t="shared" si="967"/>
        <v>-151.96194814470442</v>
      </c>
      <c r="T292">
        <f t="shared" si="968"/>
        <v>-0.15196194814470443</v>
      </c>
    </row>
    <row r="293" spans="1:20" x14ac:dyDescent="0.25">
      <c r="A293" s="5">
        <v>44300</v>
      </c>
      <c r="B293">
        <v>164.16059999999999</v>
      </c>
      <c r="C293">
        <v>179.3</v>
      </c>
      <c r="D293">
        <v>161</v>
      </c>
      <c r="E293">
        <v>168.3169</v>
      </c>
      <c r="F293">
        <v>2093355.51</v>
      </c>
      <c r="G293">
        <v>0</v>
      </c>
      <c r="L293" t="s">
        <v>8</v>
      </c>
      <c r="M293" t="s">
        <v>7</v>
      </c>
      <c r="N293" t="s">
        <v>7</v>
      </c>
      <c r="P293">
        <f t="shared" si="964"/>
        <v>-0.20033879781420771</v>
      </c>
      <c r="Q293">
        <f t="shared" si="965"/>
        <v>-419380.3262711477</v>
      </c>
      <c r="R293">
        <f t="shared" si="966"/>
        <v>-14888725.21886852</v>
      </c>
      <c r="S293">
        <f t="shared" si="967"/>
        <v>-148.88725218868521</v>
      </c>
      <c r="T293">
        <f t="shared" si="968"/>
        <v>-0.1488872521886852</v>
      </c>
    </row>
    <row r="294" spans="1:20" x14ac:dyDescent="0.25">
      <c r="A294" s="5">
        <v>44299</v>
      </c>
      <c r="B294">
        <v>167.84460000000001</v>
      </c>
      <c r="C294">
        <v>169.42609999999999</v>
      </c>
      <c r="D294">
        <v>157.74469999999999</v>
      </c>
      <c r="E294">
        <v>164.15600000000001</v>
      </c>
      <c r="F294">
        <v>1309867.31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9.7693769582415338E-2</v>
      </c>
      <c r="Q294">
        <f t="shared" si="965"/>
        <v>127965.8751666782</v>
      </c>
      <c r="R294">
        <f t="shared" si="966"/>
        <v>-14469344.892597372</v>
      </c>
      <c r="S294">
        <f t="shared" si="967"/>
        <v>-144.69344892597371</v>
      </c>
      <c r="T294">
        <f t="shared" si="968"/>
        <v>-0.14469344892597372</v>
      </c>
    </row>
    <row r="295" spans="1:20" x14ac:dyDescent="0.25">
      <c r="A295" s="5">
        <v>44298</v>
      </c>
      <c r="B295">
        <v>179.0789</v>
      </c>
      <c r="C295">
        <v>181.55109999999999</v>
      </c>
      <c r="D295">
        <v>159.50749999999999</v>
      </c>
      <c r="E295">
        <v>167.86060000000001</v>
      </c>
      <c r="F295">
        <v>2102821.73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-0.24212923478923473</v>
      </c>
      <c r="Q295">
        <f t="shared" si="965"/>
        <v>-509154.61638307478</v>
      </c>
      <c r="R295">
        <f t="shared" si="966"/>
        <v>-14597310.767764051</v>
      </c>
      <c r="S295">
        <f t="shared" si="967"/>
        <v>-145.97310767764051</v>
      </c>
      <c r="T295">
        <f t="shared" si="968"/>
        <v>-0.14597310767764052</v>
      </c>
    </row>
    <row r="296" spans="1:20" x14ac:dyDescent="0.25">
      <c r="A296" s="5">
        <v>44297</v>
      </c>
      <c r="B296">
        <v>174.55850000000001</v>
      </c>
      <c r="C296">
        <v>184.4</v>
      </c>
      <c r="D296">
        <v>172.8903</v>
      </c>
      <c r="E296">
        <v>179.09790000000001</v>
      </c>
      <c r="F296">
        <v>1047898.06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7.8672771662164701E-2</v>
      </c>
      <c r="Q296">
        <f t="shared" si="965"/>
        <v>82441.04479960537</v>
      </c>
      <c r="R296">
        <f t="shared" si="966"/>
        <v>-14088156.151380977</v>
      </c>
      <c r="S296">
        <f t="shared" si="967"/>
        <v>-140.88156151380977</v>
      </c>
      <c r="T296">
        <f t="shared" si="968"/>
        <v>-0.14088156151380976</v>
      </c>
    </row>
    <row r="297" spans="1:20" x14ac:dyDescent="0.25">
      <c r="A297" s="5">
        <v>44296</v>
      </c>
      <c r="B297">
        <v>172.1311</v>
      </c>
      <c r="C297">
        <v>189</v>
      </c>
      <c r="D297">
        <v>170.64439999999999</v>
      </c>
      <c r="E297">
        <v>174.56100000000001</v>
      </c>
      <c r="F297">
        <v>2378730.2999999998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-0.57325284926670717</v>
      </c>
      <c r="Q297">
        <f t="shared" si="965"/>
        <v>-1363613.9221120491</v>
      </c>
      <c r="R297">
        <f t="shared" si="966"/>
        <v>-14170597.196180582</v>
      </c>
      <c r="S297">
        <f t="shared" si="967"/>
        <v>-141.70597196180583</v>
      </c>
      <c r="T297">
        <f t="shared" si="968"/>
        <v>-0.14170597196180584</v>
      </c>
    </row>
    <row r="298" spans="1:20" x14ac:dyDescent="0.25">
      <c r="A298" s="5">
        <v>44295</v>
      </c>
      <c r="B298">
        <v>154.13040000000001</v>
      </c>
      <c r="C298">
        <v>175.95</v>
      </c>
      <c r="D298">
        <v>152.87299999999999</v>
      </c>
      <c r="E298">
        <v>172.1311</v>
      </c>
      <c r="F298">
        <v>2372313.81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0.66902976990076823</v>
      </c>
      <c r="Q298">
        <f t="shared" si="965"/>
        <v>1587148.5624367148</v>
      </c>
      <c r="R298">
        <f t="shared" si="966"/>
        <v>-12806983.274068533</v>
      </c>
      <c r="S298">
        <f t="shared" si="967"/>
        <v>-128.06983274068531</v>
      </c>
      <c r="T298">
        <f t="shared" si="968"/>
        <v>-0.12806983274068531</v>
      </c>
    </row>
    <row r="299" spans="1:20" x14ac:dyDescent="0.25">
      <c r="A299" s="5">
        <v>44294</v>
      </c>
      <c r="B299">
        <v>156.27420000000001</v>
      </c>
      <c r="C299">
        <v>158.84</v>
      </c>
      <c r="D299">
        <v>146.352</v>
      </c>
      <c r="E299">
        <v>154</v>
      </c>
      <c r="F299">
        <v>1572359.8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0.22485586162716151</v>
      </c>
      <c r="Q299">
        <f t="shared" si="965"/>
        <v>353554.31761691137</v>
      </c>
      <c r="R299">
        <f t="shared" si="966"/>
        <v>-14394131.836505247</v>
      </c>
      <c r="S299">
        <f t="shared" si="967"/>
        <v>-143.94131836505247</v>
      </c>
      <c r="T299">
        <f t="shared" si="968"/>
        <v>-0.14394131836505247</v>
      </c>
    </row>
    <row r="300" spans="1:20" x14ac:dyDescent="0.25">
      <c r="A300" s="5">
        <v>44293</v>
      </c>
      <c r="B300">
        <v>165.59</v>
      </c>
      <c r="C300">
        <v>166.43989999999999</v>
      </c>
      <c r="D300">
        <v>135.55260000000001</v>
      </c>
      <c r="E300">
        <v>156.27770000000001</v>
      </c>
      <c r="F300">
        <v>4009234.83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0.34198197964859406</v>
      </c>
      <c r="Q300">
        <f t="shared" si="965"/>
        <v>1371086.0640394944</v>
      </c>
      <c r="R300">
        <f t="shared" si="966"/>
        <v>-14747686.154122159</v>
      </c>
      <c r="S300">
        <f t="shared" si="967"/>
        <v>-147.47686154122158</v>
      </c>
      <c r="T300">
        <f t="shared" si="968"/>
        <v>-0.14747686154122158</v>
      </c>
    </row>
    <row r="301" spans="1:20" x14ac:dyDescent="0.25">
      <c r="A301" s="5">
        <v>44292</v>
      </c>
      <c r="B301">
        <v>176.4975</v>
      </c>
      <c r="C301">
        <v>178.9999</v>
      </c>
      <c r="D301">
        <v>164.80799999999999</v>
      </c>
      <c r="E301">
        <v>165.54859999999999</v>
      </c>
      <c r="F301">
        <v>1403949.62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-0.89563060619085533</v>
      </c>
      <c r="Q301">
        <f t="shared" si="965"/>
        <v>-1257420.2492220211</v>
      </c>
      <c r="R301">
        <f t="shared" si="966"/>
        <v>-16118772.218161654</v>
      </c>
      <c r="S301">
        <f t="shared" si="967"/>
        <v>-161.18772218161655</v>
      </c>
      <c r="T301">
        <f t="shared" si="968"/>
        <v>-0.16118772218161656</v>
      </c>
    </row>
    <row r="302" spans="1:20" x14ac:dyDescent="0.25">
      <c r="A302" s="5">
        <v>44291</v>
      </c>
      <c r="B302">
        <v>182.85480000000001</v>
      </c>
      <c r="C302">
        <v>187.0685</v>
      </c>
      <c r="D302">
        <v>171.0001</v>
      </c>
      <c r="E302">
        <v>176.46860000000001</v>
      </c>
      <c r="F302">
        <v>1733545.24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-0.31934729033382203</v>
      </c>
      <c r="Q302">
        <f t="shared" si="965"/>
        <v>-553602.97506509523</v>
      </c>
      <c r="R302">
        <f t="shared" si="966"/>
        <v>-14861351.968939632</v>
      </c>
      <c r="S302">
        <f t="shared" si="967"/>
        <v>-148.61351968939633</v>
      </c>
      <c r="T302">
        <f t="shared" si="968"/>
        <v>-0.14861351968939632</v>
      </c>
    </row>
    <row r="303" spans="1:20" x14ac:dyDescent="0.25">
      <c r="A303" s="5">
        <v>44290</v>
      </c>
      <c r="B303">
        <v>178.1755</v>
      </c>
      <c r="C303">
        <v>193.87530000000001</v>
      </c>
      <c r="D303">
        <v>175.25890000000001</v>
      </c>
      <c r="E303">
        <v>182.74379999999999</v>
      </c>
      <c r="F303">
        <v>2827398.95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-0.195881051116222</v>
      </c>
      <c r="Q303">
        <f t="shared" si="965"/>
        <v>-553833.87825090252</v>
      </c>
      <c r="R303">
        <f t="shared" si="966"/>
        <v>-14307748.993874537</v>
      </c>
      <c r="S303">
        <f t="shared" si="967"/>
        <v>-143.07748993874537</v>
      </c>
      <c r="T303">
        <f t="shared" si="968"/>
        <v>-0.14307748993874536</v>
      </c>
    </row>
    <row r="304" spans="1:20" x14ac:dyDescent="0.25">
      <c r="A304" s="5">
        <v>44289</v>
      </c>
      <c r="B304">
        <v>171.93719999999999</v>
      </c>
      <c r="C304">
        <v>181.3</v>
      </c>
      <c r="D304">
        <v>162.40979999999999</v>
      </c>
      <c r="E304">
        <v>178.1755</v>
      </c>
      <c r="F304">
        <v>3233013.68</v>
      </c>
      <c r="G304">
        <v>0</v>
      </c>
      <c r="L304" t="s">
        <v>8</v>
      </c>
      <c r="M304" t="s">
        <v>7</v>
      </c>
      <c r="N304" t="s">
        <v>7</v>
      </c>
      <c r="P304">
        <f t="shared" si="964"/>
        <v>0.66919355009475723</v>
      </c>
      <c r="Q304">
        <f t="shared" si="965"/>
        <v>2163511.9020241154</v>
      </c>
      <c r="R304">
        <f t="shared" si="966"/>
        <v>-13753915.115623634</v>
      </c>
      <c r="S304">
        <f t="shared" si="967"/>
        <v>-137.53915115623633</v>
      </c>
      <c r="T304">
        <f t="shared" si="968"/>
        <v>-0.13753915115623633</v>
      </c>
    </row>
    <row r="305" spans="1:20" x14ac:dyDescent="0.25">
      <c r="A305" s="5">
        <v>44288</v>
      </c>
      <c r="B305">
        <v>185.56819999999999</v>
      </c>
      <c r="C305">
        <v>205.535</v>
      </c>
      <c r="D305">
        <v>160.637</v>
      </c>
      <c r="E305">
        <v>171.93719999999999</v>
      </c>
      <c r="F305">
        <v>5871429.9500000002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-0.49662791215644392</v>
      </c>
      <c r="Q305">
        <f t="shared" si="965"/>
        <v>-2915915.9974413142</v>
      </c>
      <c r="R305">
        <f t="shared" si="966"/>
        <v>-15917427.017647751</v>
      </c>
      <c r="S305">
        <f t="shared" si="967"/>
        <v>-159.17427017647751</v>
      </c>
      <c r="T305">
        <f t="shared" si="968"/>
        <v>-0.15917427017647751</v>
      </c>
    </row>
    <row r="306" spans="1:20" x14ac:dyDescent="0.25">
      <c r="A306" s="5">
        <v>44287</v>
      </c>
      <c r="B306">
        <v>190.7998</v>
      </c>
      <c r="C306">
        <v>238.20330000000001</v>
      </c>
      <c r="D306">
        <v>180</v>
      </c>
      <c r="E306">
        <v>185.6217</v>
      </c>
      <c r="F306">
        <v>9489084.8000000007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-0.80682538618944277</v>
      </c>
      <c r="Q306">
        <f t="shared" si="965"/>
        <v>-7656034.5083443718</v>
      </c>
      <c r="R306">
        <f t="shared" si="966"/>
        <v>-13001511.020206437</v>
      </c>
      <c r="S306">
        <f t="shared" si="967"/>
        <v>-130.01511020206436</v>
      </c>
      <c r="T306">
        <f t="shared" si="968"/>
        <v>-0.13001511020206435</v>
      </c>
    </row>
    <row r="307" spans="1:20" x14ac:dyDescent="0.25">
      <c r="A307" s="5">
        <v>44286</v>
      </c>
      <c r="B307">
        <v>149.56970000000001</v>
      </c>
      <c r="C307">
        <v>197.54949999999999</v>
      </c>
      <c r="D307">
        <v>145.5068</v>
      </c>
      <c r="E307">
        <v>190.85560000000001</v>
      </c>
      <c r="F307">
        <v>6898124.1600000001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0.74275354660692139</v>
      </c>
      <c r="Q307">
        <f t="shared" si="965"/>
        <v>5123606.1847748905</v>
      </c>
      <c r="R307">
        <f t="shared" si="966"/>
        <v>-5345476.5118620656</v>
      </c>
      <c r="S307">
        <f t="shared" si="967"/>
        <v>-53.454765118620656</v>
      </c>
      <c r="T307">
        <f t="shared" si="968"/>
        <v>-5.3454765118620656E-2</v>
      </c>
    </row>
    <row r="308" spans="1:20" x14ac:dyDescent="0.25">
      <c r="A308" s="5">
        <v>44285</v>
      </c>
      <c r="B308">
        <v>127.3391</v>
      </c>
      <c r="C308">
        <v>153.4</v>
      </c>
      <c r="D308">
        <v>124.16</v>
      </c>
      <c r="E308">
        <v>149.6027</v>
      </c>
      <c r="F308">
        <v>3694414.48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0.74026675786593665</v>
      </c>
      <c r="Q308">
        <f t="shared" si="965"/>
        <v>2734852.2293225704</v>
      </c>
      <c r="R308">
        <f t="shared" si="966"/>
        <v>-10469082.696636956</v>
      </c>
      <c r="S308">
        <f t="shared" si="967"/>
        <v>-104.69082696636956</v>
      </c>
      <c r="T308">
        <f t="shared" si="968"/>
        <v>-0.10469082696636955</v>
      </c>
    </row>
    <row r="309" spans="1:20" x14ac:dyDescent="0.25">
      <c r="A309" s="5">
        <v>44284</v>
      </c>
      <c r="B309">
        <v>125.2633</v>
      </c>
      <c r="C309">
        <v>130.459</v>
      </c>
      <c r="D309">
        <v>123.7402</v>
      </c>
      <c r="E309">
        <v>127.3</v>
      </c>
      <c r="F309">
        <v>2056652.63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5.9653509555276166E-2</v>
      </c>
      <c r="Q309">
        <f t="shared" si="965"/>
        <v>122686.54731558885</v>
      </c>
      <c r="R309">
        <f t="shared" si="966"/>
        <v>-13203934.925959526</v>
      </c>
      <c r="S309">
        <f t="shared" si="967"/>
        <v>-132.03934925959527</v>
      </c>
      <c r="T309">
        <f t="shared" si="968"/>
        <v>-0.13203934925959526</v>
      </c>
    </row>
    <row r="310" spans="1:20" x14ac:dyDescent="0.25">
      <c r="A310" s="5">
        <v>44283</v>
      </c>
      <c r="B310">
        <v>132.39789999999999</v>
      </c>
      <c r="C310">
        <v>133.77199999999999</v>
      </c>
      <c r="D310">
        <v>120.7961</v>
      </c>
      <c r="E310">
        <v>125.2637</v>
      </c>
      <c r="F310">
        <v>3153158.08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-0.31140036529257997</v>
      </c>
      <c r="Q310">
        <f t="shared" si="965"/>
        <v>-981894.57793725014</v>
      </c>
      <c r="R310">
        <f t="shared" si="966"/>
        <v>-13326621.473275114</v>
      </c>
      <c r="S310">
        <f t="shared" si="967"/>
        <v>-133.26621473275114</v>
      </c>
      <c r="T310">
        <f t="shared" si="968"/>
        <v>-0.13326621473275113</v>
      </c>
    </row>
    <row r="311" spans="1:20" x14ac:dyDescent="0.25">
      <c r="A311" s="5">
        <v>44282</v>
      </c>
      <c r="B311">
        <v>124.7046</v>
      </c>
      <c r="C311">
        <v>139.66720000000001</v>
      </c>
      <c r="D311">
        <v>119.73439999999999</v>
      </c>
      <c r="E311">
        <v>132.44720000000001</v>
      </c>
      <c r="F311">
        <v>5788393.9800000004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0.27556590142880139</v>
      </c>
      <c r="Q311">
        <f t="shared" si="965"/>
        <v>1595084.0049237474</v>
      </c>
      <c r="R311">
        <f t="shared" si="966"/>
        <v>-12344726.895337863</v>
      </c>
      <c r="S311">
        <f t="shared" si="967"/>
        <v>-123.44726895337863</v>
      </c>
      <c r="T311">
        <f t="shared" si="968"/>
        <v>-0.12344726895337862</v>
      </c>
    </row>
    <row r="312" spans="1:20" x14ac:dyDescent="0.25">
      <c r="A312" s="5">
        <v>44281</v>
      </c>
      <c r="B312">
        <v>91.031300000000002</v>
      </c>
      <c r="C312">
        <v>128.7747</v>
      </c>
      <c r="D312">
        <v>90.895899999999997</v>
      </c>
      <c r="E312">
        <v>124.514</v>
      </c>
      <c r="F312">
        <v>5241509.24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0.77503511198876418</v>
      </c>
      <c r="Q312">
        <f t="shared" si="965"/>
        <v>4062353.7008135426</v>
      </c>
      <c r="R312">
        <f t="shared" si="966"/>
        <v>-13939810.900261611</v>
      </c>
      <c r="S312">
        <f t="shared" si="967"/>
        <v>-139.39810900261611</v>
      </c>
      <c r="T312">
        <f t="shared" si="968"/>
        <v>-0.13939810900261612</v>
      </c>
    </row>
    <row r="313" spans="1:20" x14ac:dyDescent="0.25">
      <c r="A313" s="5">
        <v>44280</v>
      </c>
      <c r="B313">
        <v>85.911699999999996</v>
      </c>
      <c r="C313">
        <v>96.191299999999998</v>
      </c>
      <c r="D313">
        <v>84.906499999999994</v>
      </c>
      <c r="E313">
        <v>91.036299999999997</v>
      </c>
      <c r="F313">
        <v>3555241.5</v>
      </c>
      <c r="G313">
        <v>0</v>
      </c>
      <c r="L313" t="s">
        <v>8</v>
      </c>
      <c r="M313" t="s">
        <v>8</v>
      </c>
      <c r="N313" t="s">
        <v>8</v>
      </c>
      <c r="P313">
        <f t="shared" si="964"/>
        <v>8.6381681553948805E-2</v>
      </c>
      <c r="Q313">
        <f t="shared" si="965"/>
        <v>307107.7391003833</v>
      </c>
      <c r="R313">
        <f t="shared" si="966"/>
        <v>-18002164.601075154</v>
      </c>
      <c r="S313">
        <f t="shared" si="967"/>
        <v>-180.02164601075154</v>
      </c>
      <c r="T313">
        <f t="shared" si="968"/>
        <v>-0.18002164601075155</v>
      </c>
    </row>
    <row r="314" spans="1:20" x14ac:dyDescent="0.25">
      <c r="A314" s="5">
        <v>44279</v>
      </c>
      <c r="B314">
        <v>82.558899999999994</v>
      </c>
      <c r="C314">
        <v>94.906899999999993</v>
      </c>
      <c r="D314">
        <v>79.700299999999999</v>
      </c>
      <c r="E314">
        <v>85.882900000000006</v>
      </c>
      <c r="F314">
        <v>3332468.5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-0.18685307695342679</v>
      </c>
      <c r="Q314">
        <f t="shared" si="965"/>
        <v>-622681.99307537079</v>
      </c>
      <c r="R314">
        <f t="shared" si="966"/>
        <v>-18309272.340175536</v>
      </c>
      <c r="S314">
        <f t="shared" si="967"/>
        <v>-183.09272340175536</v>
      </c>
      <c r="T314">
        <f t="shared" si="968"/>
        <v>-0.18309272340175536</v>
      </c>
    </row>
    <row r="315" spans="1:20" x14ac:dyDescent="0.25">
      <c r="A315" s="5">
        <v>44278</v>
      </c>
      <c r="B315">
        <v>76.328100000000006</v>
      </c>
      <c r="C315">
        <v>85.5</v>
      </c>
      <c r="D315">
        <v>73.362700000000004</v>
      </c>
      <c r="E315">
        <v>82.512</v>
      </c>
      <c r="F315">
        <v>2542396.23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0.50763349344582398</v>
      </c>
      <c r="Q315">
        <f t="shared" si="965"/>
        <v>1290605.4799583927</v>
      </c>
      <c r="R315">
        <f t="shared" si="966"/>
        <v>-17686590.347100165</v>
      </c>
      <c r="S315">
        <f t="shared" si="967"/>
        <v>-176.86590347100164</v>
      </c>
      <c r="T315">
        <f t="shared" si="968"/>
        <v>-0.17686590347100165</v>
      </c>
    </row>
    <row r="316" spans="1:20" x14ac:dyDescent="0.25">
      <c r="A316" s="5">
        <v>44277</v>
      </c>
      <c r="B316">
        <v>80.652000000000001</v>
      </c>
      <c r="C316">
        <v>81.5</v>
      </c>
      <c r="D316">
        <v>75.25</v>
      </c>
      <c r="E316">
        <v>76.328100000000006</v>
      </c>
      <c r="F316">
        <v>1782548.13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-0.65500799999999804</v>
      </c>
      <c r="Q316">
        <f t="shared" si="965"/>
        <v>-1167583.2855350364</v>
      </c>
      <c r="R316">
        <f t="shared" si="966"/>
        <v>-18977195.827058557</v>
      </c>
      <c r="S316">
        <f t="shared" si="967"/>
        <v>-189.77195827058557</v>
      </c>
      <c r="T316">
        <f t="shared" si="968"/>
        <v>-0.18977195827058557</v>
      </c>
    </row>
    <row r="317" spans="1:20" x14ac:dyDescent="0.25">
      <c r="A317" s="5">
        <v>44276</v>
      </c>
      <c r="B317">
        <v>82.089200000000005</v>
      </c>
      <c r="C317">
        <v>83.366100000000003</v>
      </c>
      <c r="D317">
        <v>80.184100000000001</v>
      </c>
      <c r="E317">
        <v>80.650999999999996</v>
      </c>
      <c r="F317">
        <v>1264062.6299999999</v>
      </c>
      <c r="G317">
        <v>0</v>
      </c>
      <c r="L317" t="s">
        <v>8</v>
      </c>
      <c r="M317" t="s">
        <v>7</v>
      </c>
      <c r="N317" t="s">
        <v>8</v>
      </c>
      <c r="P317">
        <f t="shared" si="964"/>
        <v>-0.70653676932747012</v>
      </c>
      <c r="Q317">
        <f t="shared" si="965"/>
        <v>-893106.72682778514</v>
      </c>
      <c r="R317">
        <f t="shared" si="966"/>
        <v>-17809612.54152352</v>
      </c>
      <c r="S317">
        <f t="shared" si="967"/>
        <v>-178.09612541523521</v>
      </c>
      <c r="T317">
        <f t="shared" si="968"/>
        <v>-0.1780961254152352</v>
      </c>
    </row>
    <row r="318" spans="1:20" x14ac:dyDescent="0.25">
      <c r="A318" s="5">
        <v>44275</v>
      </c>
      <c r="B318">
        <v>83.043000000000006</v>
      </c>
      <c r="C318">
        <v>86.016800000000003</v>
      </c>
      <c r="D318">
        <v>81.38</v>
      </c>
      <c r="E318">
        <v>82.028700000000001</v>
      </c>
      <c r="F318">
        <v>1629861.53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-0.72019496204278644</v>
      </c>
      <c r="Q318">
        <f t="shared" si="965"/>
        <v>-1173818.0627333478</v>
      </c>
      <c r="R318">
        <f t="shared" si="966"/>
        <v>-16916505.814695735</v>
      </c>
      <c r="S318">
        <f t="shared" si="967"/>
        <v>-169.16505814695734</v>
      </c>
      <c r="T318">
        <f t="shared" si="968"/>
        <v>-0.16916505814695734</v>
      </c>
    </row>
    <row r="319" spans="1:20" x14ac:dyDescent="0.25">
      <c r="A319" s="5">
        <v>44274</v>
      </c>
      <c r="B319">
        <v>79.490200000000002</v>
      </c>
      <c r="C319">
        <v>86</v>
      </c>
      <c r="D319">
        <v>75.554000000000002</v>
      </c>
      <c r="E319">
        <v>82.957499999999996</v>
      </c>
      <c r="F319">
        <v>3162744.3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0.41748037526325776</v>
      </c>
      <c r="Q319">
        <f t="shared" si="965"/>
        <v>1320383.6772257295</v>
      </c>
      <c r="R319">
        <f t="shared" si="966"/>
        <v>-15742687.751962388</v>
      </c>
      <c r="S319">
        <f t="shared" si="967"/>
        <v>-157.42687751962387</v>
      </c>
      <c r="T319">
        <f t="shared" si="968"/>
        <v>-0.15742687751962386</v>
      </c>
    </row>
    <row r="320" spans="1:20" x14ac:dyDescent="0.25">
      <c r="A320" s="5">
        <v>44273</v>
      </c>
      <c r="B320">
        <v>88.454400000000007</v>
      </c>
      <c r="C320">
        <v>89.733400000000003</v>
      </c>
      <c r="D320">
        <v>73.793099999999995</v>
      </c>
      <c r="E320">
        <v>79.490200000000002</v>
      </c>
      <c r="F320">
        <v>6988950.6600000001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-0.28519538528133054</v>
      </c>
      <c r="Q320">
        <f t="shared" si="965"/>
        <v>-1993216.4761909093</v>
      </c>
      <c r="R320">
        <f t="shared" si="966"/>
        <v>-17063071.429188117</v>
      </c>
      <c r="S320">
        <f t="shared" si="967"/>
        <v>-170.63071429188116</v>
      </c>
      <c r="T320">
        <f t="shared" si="968"/>
        <v>-0.17063071429188117</v>
      </c>
    </row>
    <row r="321" spans="1:20" x14ac:dyDescent="0.25">
      <c r="A321" s="5">
        <v>44272</v>
      </c>
      <c r="B321">
        <v>63.523200000000003</v>
      </c>
      <c r="C321">
        <v>96.665899999999993</v>
      </c>
      <c r="D321">
        <v>62.53</v>
      </c>
      <c r="E321">
        <v>88.449799999999996</v>
      </c>
      <c r="F321">
        <v>8732867.6099999994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0.51862408783714509</v>
      </c>
      <c r="Q321">
        <f t="shared" si="965"/>
        <v>4529075.4984387988</v>
      </c>
      <c r="R321">
        <f t="shared" si="966"/>
        <v>-15069854.952997208</v>
      </c>
      <c r="S321">
        <f t="shared" si="967"/>
        <v>-150.69854952997207</v>
      </c>
      <c r="T321">
        <f t="shared" si="968"/>
        <v>-0.15069854952997208</v>
      </c>
    </row>
    <row r="322" spans="1:20" x14ac:dyDescent="0.25">
      <c r="A322" s="5">
        <v>44271</v>
      </c>
      <c r="B322">
        <v>53.307400000000001</v>
      </c>
      <c r="C322">
        <v>63.989800000000002</v>
      </c>
      <c r="D322">
        <v>50.714399999999998</v>
      </c>
      <c r="E322">
        <v>63.606200000000001</v>
      </c>
      <c r="F322">
        <v>2708655.02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0.942208897660334</v>
      </c>
      <c r="Q322">
        <f t="shared" si="965"/>
        <v>2552118.8605363299</v>
      </c>
      <c r="R322">
        <f t="shared" si="966"/>
        <v>-19598930.451436006</v>
      </c>
      <c r="S322">
        <f t="shared" si="967"/>
        <v>-195.98930451436004</v>
      </c>
      <c r="T322">
        <f t="shared" si="968"/>
        <v>-0.19598930451436003</v>
      </c>
    </row>
    <row r="323" spans="1:20" x14ac:dyDescent="0.25">
      <c r="A323" s="5">
        <v>44270</v>
      </c>
      <c r="B323">
        <v>53.783499999999997</v>
      </c>
      <c r="C323">
        <v>56.380899999999997</v>
      </c>
      <c r="D323">
        <v>52.010100000000001</v>
      </c>
      <c r="E323">
        <v>53.358400000000003</v>
      </c>
      <c r="F323">
        <v>2461948.21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-0.38304200604008276</v>
      </c>
      <c r="Q323">
        <f t="shared" si="965"/>
        <v>-943029.58112519095</v>
      </c>
      <c r="R323">
        <f t="shared" si="966"/>
        <v>-22151049.311972335</v>
      </c>
      <c r="S323">
        <f t="shared" si="967"/>
        <v>-221.51049311972335</v>
      </c>
      <c r="T323">
        <f t="shared" si="968"/>
        <v>-0.22151049311972335</v>
      </c>
    </row>
    <row r="324" spans="1:20" x14ac:dyDescent="0.25">
      <c r="A324" s="5">
        <v>44269</v>
      </c>
      <c r="B324">
        <v>49.394500000000001</v>
      </c>
      <c r="C324">
        <v>57.370699999999999</v>
      </c>
      <c r="D324">
        <v>49.3536</v>
      </c>
      <c r="E324">
        <v>53.8001</v>
      </c>
      <c r="F324">
        <v>3414066.85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0.10925396963989492</v>
      </c>
      <c r="Q324">
        <f t="shared" si="965"/>
        <v>373000.35597847169</v>
      </c>
      <c r="R324">
        <f t="shared" si="966"/>
        <v>-21208019.730847143</v>
      </c>
      <c r="S324">
        <f t="shared" si="967"/>
        <v>-212.08019730847144</v>
      </c>
      <c r="T324">
        <f t="shared" si="968"/>
        <v>-0.21208019730847144</v>
      </c>
    </row>
    <row r="325" spans="1:20" x14ac:dyDescent="0.25">
      <c r="A325" s="5">
        <v>44268</v>
      </c>
      <c r="B325">
        <v>44.058999999999997</v>
      </c>
      <c r="C325">
        <v>52.080399999999997</v>
      </c>
      <c r="D325">
        <v>43.5</v>
      </c>
      <c r="E325">
        <v>49.4071</v>
      </c>
      <c r="F325">
        <v>2875290.29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0.37688219663418993</v>
      </c>
      <c r="Q325">
        <f t="shared" si="965"/>
        <v>1083645.7204561569</v>
      </c>
      <c r="R325">
        <f t="shared" si="966"/>
        <v>-21581020.086825613</v>
      </c>
      <c r="S325">
        <f t="shared" si="967"/>
        <v>-215.81020086825612</v>
      </c>
      <c r="T325">
        <f t="shared" si="968"/>
        <v>-0.21581020086825611</v>
      </c>
    </row>
    <row r="326" spans="1:20" x14ac:dyDescent="0.25">
      <c r="A326" s="5">
        <v>44267</v>
      </c>
      <c r="B326">
        <v>42.233899999999998</v>
      </c>
      <c r="C326">
        <v>45.1</v>
      </c>
      <c r="D326">
        <v>41.899900000000002</v>
      </c>
      <c r="E326">
        <v>44.048299999999998</v>
      </c>
      <c r="F326">
        <v>1694265.18</v>
      </c>
      <c r="G326">
        <v>0</v>
      </c>
      <c r="L326" t="s">
        <v>8</v>
      </c>
      <c r="M326" t="s">
        <v>8</v>
      </c>
      <c r="N326" t="s">
        <v>7</v>
      </c>
      <c r="P326">
        <f t="shared" ref="P326:P389" si="969">IF(C326=D326,0,((E326-D326)-(C326-E326))/(C326-D326))</f>
        <v>0.3427080403737357</v>
      </c>
      <c r="Q326">
        <f t="shared" ref="Q326:Q389" si="970">F326*P326</f>
        <v>580638.29971125454</v>
      </c>
      <c r="R326">
        <f t="shared" ref="R326:R389" si="971">R327+Q326</f>
        <v>-22664665.80728177</v>
      </c>
      <c r="S326">
        <f t="shared" ref="S326:S389" si="972">R326/100000</f>
        <v>-226.6466580728177</v>
      </c>
      <c r="T326">
        <f t="shared" ref="T326:T389" si="973">S326/1000</f>
        <v>-0.2266466580728177</v>
      </c>
    </row>
    <row r="327" spans="1:20" x14ac:dyDescent="0.25">
      <c r="A327" s="5">
        <v>44266</v>
      </c>
      <c r="B327">
        <v>42.483199999999997</v>
      </c>
      <c r="C327">
        <v>43.13</v>
      </c>
      <c r="D327">
        <v>41.667400000000001</v>
      </c>
      <c r="E327">
        <v>42.222499999999997</v>
      </c>
      <c r="F327">
        <v>1146593.02</v>
      </c>
      <c r="G327">
        <v>0</v>
      </c>
      <c r="L327" t="s">
        <v>8</v>
      </c>
      <c r="M327" t="s">
        <v>7</v>
      </c>
      <c r="N327" t="s">
        <v>7</v>
      </c>
      <c r="P327">
        <f t="shared" si="969"/>
        <v>-0.24094079037331437</v>
      </c>
      <c r="Q327">
        <f t="shared" si="970"/>
        <v>-276261.02847532544</v>
      </c>
      <c r="R327">
        <f t="shared" si="971"/>
        <v>-23245304.106993023</v>
      </c>
      <c r="S327">
        <f t="shared" si="972"/>
        <v>-232.45304106993024</v>
      </c>
      <c r="T327">
        <f t="shared" si="973"/>
        <v>-0.23245304106993023</v>
      </c>
    </row>
    <row r="328" spans="1:20" x14ac:dyDescent="0.25">
      <c r="A328" s="5">
        <v>44265</v>
      </c>
      <c r="B328">
        <v>41.929299999999998</v>
      </c>
      <c r="C328">
        <v>44.210299999999997</v>
      </c>
      <c r="D328">
        <v>41</v>
      </c>
      <c r="E328">
        <v>42.454700000000003</v>
      </c>
      <c r="F328">
        <v>1255246.33</v>
      </c>
      <c r="G328">
        <v>0</v>
      </c>
      <c r="L328" t="s">
        <v>8</v>
      </c>
      <c r="M328" t="s">
        <v>7</v>
      </c>
      <c r="N328" t="s">
        <v>7</v>
      </c>
      <c r="P328">
        <f t="shared" si="969"/>
        <v>-9.3729557985232484E-2</v>
      </c>
      <c r="Q328">
        <f t="shared" si="970"/>
        <v>-117653.68367348527</v>
      </c>
      <c r="R328">
        <f t="shared" si="971"/>
        <v>-22969043.078517698</v>
      </c>
      <c r="S328">
        <f t="shared" si="972"/>
        <v>-229.69043078517697</v>
      </c>
      <c r="T328">
        <f t="shared" si="973"/>
        <v>-0.22969043078517698</v>
      </c>
    </row>
    <row r="329" spans="1:20" x14ac:dyDescent="0.25">
      <c r="A329" s="5">
        <v>44264</v>
      </c>
      <c r="B329">
        <v>41.526299999999999</v>
      </c>
      <c r="C329">
        <v>42.5869</v>
      </c>
      <c r="D329">
        <v>41.169899999999998</v>
      </c>
      <c r="E329">
        <v>41.929200000000002</v>
      </c>
      <c r="F329">
        <v>1065530.76</v>
      </c>
      <c r="G329">
        <v>0</v>
      </c>
      <c r="L329" t="s">
        <v>8</v>
      </c>
      <c r="M329" t="s">
        <v>7</v>
      </c>
      <c r="N329" t="s">
        <v>7</v>
      </c>
      <c r="P329">
        <f t="shared" si="969"/>
        <v>7.1700776287935558E-2</v>
      </c>
      <c r="Q329">
        <f t="shared" si="970"/>
        <v>76399.382650673957</v>
      </c>
      <c r="R329">
        <f t="shared" si="971"/>
        <v>-22851389.394844212</v>
      </c>
      <c r="S329">
        <f t="shared" si="972"/>
        <v>-228.5138939484421</v>
      </c>
      <c r="T329">
        <f t="shared" si="973"/>
        <v>-0.2285138939484421</v>
      </c>
    </row>
    <row r="330" spans="1:20" x14ac:dyDescent="0.25">
      <c r="A330" s="5">
        <v>44263</v>
      </c>
      <c r="B330">
        <v>41.4099</v>
      </c>
      <c r="C330">
        <v>42</v>
      </c>
      <c r="D330">
        <v>40.4285</v>
      </c>
      <c r="E330">
        <v>41.534999999999997</v>
      </c>
      <c r="F330">
        <v>829887.71</v>
      </c>
      <c r="G330">
        <v>0</v>
      </c>
      <c r="L330" t="s">
        <v>8</v>
      </c>
      <c r="M330" t="s">
        <v>7</v>
      </c>
      <c r="N330" t="s">
        <v>7</v>
      </c>
      <c r="P330">
        <f t="shared" si="969"/>
        <v>0.40820871778555101</v>
      </c>
      <c r="Q330">
        <f t="shared" si="970"/>
        <v>338767.39800508716</v>
      </c>
      <c r="R330">
        <f t="shared" si="971"/>
        <v>-22927788.777494885</v>
      </c>
      <c r="S330">
        <f t="shared" si="972"/>
        <v>-229.27788777494885</v>
      </c>
      <c r="T330">
        <f t="shared" si="973"/>
        <v>-0.22927788777494884</v>
      </c>
    </row>
    <row r="331" spans="1:20" x14ac:dyDescent="0.25">
      <c r="A331" s="5">
        <v>44262</v>
      </c>
      <c r="B331">
        <v>40.404299999999999</v>
      </c>
      <c r="C331">
        <v>41.774900000000002</v>
      </c>
      <c r="D331">
        <v>40.274000000000001</v>
      </c>
      <c r="E331">
        <v>41.394300000000001</v>
      </c>
      <c r="F331">
        <v>715697.16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0.49283763075487935</v>
      </c>
      <c r="Q331">
        <f t="shared" si="970"/>
        <v>352722.49267239583</v>
      </c>
      <c r="R331">
        <f t="shared" si="971"/>
        <v>-23266556.175499972</v>
      </c>
      <c r="S331">
        <f t="shared" si="972"/>
        <v>-232.66556175499971</v>
      </c>
      <c r="T331">
        <f t="shared" si="973"/>
        <v>-0.23266556175499972</v>
      </c>
    </row>
    <row r="332" spans="1:20" x14ac:dyDescent="0.25">
      <c r="A332" s="5">
        <v>44261</v>
      </c>
      <c r="B332">
        <v>40.468400000000003</v>
      </c>
      <c r="C332">
        <v>40.8489</v>
      </c>
      <c r="D332">
        <v>38.9619</v>
      </c>
      <c r="E332">
        <v>40.393700000000003</v>
      </c>
      <c r="F332">
        <v>806648.02</v>
      </c>
      <c r="G332">
        <v>0</v>
      </c>
      <c r="L332" t="s">
        <v>7</v>
      </c>
      <c r="M332" t="s">
        <v>7</v>
      </c>
      <c r="N332" t="s">
        <v>7</v>
      </c>
      <c r="P332">
        <f t="shared" si="969"/>
        <v>0.5175410704822494</v>
      </c>
      <c r="Q332">
        <f t="shared" si="970"/>
        <v>417473.4797731869</v>
      </c>
      <c r="R332">
        <f t="shared" si="971"/>
        <v>-23619278.668172367</v>
      </c>
      <c r="S332">
        <f t="shared" si="972"/>
        <v>-236.19278668172367</v>
      </c>
      <c r="T332">
        <f t="shared" si="973"/>
        <v>-0.23619278668172367</v>
      </c>
    </row>
    <row r="333" spans="1:20" x14ac:dyDescent="0.25">
      <c r="A333" s="5">
        <v>44260</v>
      </c>
      <c r="B333">
        <v>40.761499999999998</v>
      </c>
      <c r="C333">
        <v>40.784399999999998</v>
      </c>
      <c r="D333">
        <v>38.330500000000001</v>
      </c>
      <c r="E333">
        <v>40.466700000000003</v>
      </c>
      <c r="F333">
        <v>1254014.04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0.74106524308244404</v>
      </c>
      <c r="Q333">
        <f t="shared" si="970"/>
        <v>929306.21938139771</v>
      </c>
      <c r="R333">
        <f t="shared" si="971"/>
        <v>-24036752.147945553</v>
      </c>
      <c r="S333">
        <f t="shared" si="972"/>
        <v>-240.36752147945552</v>
      </c>
      <c r="T333">
        <f t="shared" si="973"/>
        <v>-0.24036752147945553</v>
      </c>
    </row>
    <row r="334" spans="1:20" x14ac:dyDescent="0.25">
      <c r="A334" s="5">
        <v>44259</v>
      </c>
      <c r="B334">
        <v>42.080800000000004</v>
      </c>
      <c r="C334">
        <v>43.255800000000001</v>
      </c>
      <c r="D334">
        <v>39.809699999999999</v>
      </c>
      <c r="E334">
        <v>40.754199999999997</v>
      </c>
      <c r="F334">
        <v>2018704.78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-0.45184411363570554</v>
      </c>
      <c r="Q334">
        <f t="shared" si="970"/>
        <v>-912139.87201126199</v>
      </c>
      <c r="R334">
        <f t="shared" si="971"/>
        <v>-24966058.367326953</v>
      </c>
      <c r="S334">
        <f t="shared" si="972"/>
        <v>-249.66058367326951</v>
      </c>
      <c r="T334">
        <f t="shared" si="973"/>
        <v>-0.24966058367326951</v>
      </c>
    </row>
    <row r="335" spans="1:20" x14ac:dyDescent="0.25">
      <c r="A335" s="5">
        <v>44258</v>
      </c>
      <c r="B335">
        <v>38.212499999999999</v>
      </c>
      <c r="C335">
        <v>45</v>
      </c>
      <c r="D335">
        <v>38.000100000000003</v>
      </c>
      <c r="E335">
        <v>42.068100000000001</v>
      </c>
      <c r="F335">
        <v>2567011.86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0.16230231860455144</v>
      </c>
      <c r="Q335">
        <f t="shared" si="970"/>
        <v>416631.97676338215</v>
      </c>
      <c r="R335">
        <f t="shared" si="971"/>
        <v>-24053918.49531569</v>
      </c>
      <c r="S335">
        <f t="shared" si="972"/>
        <v>-240.53918495315691</v>
      </c>
      <c r="T335">
        <f t="shared" si="973"/>
        <v>-0.2405391849531569</v>
      </c>
    </row>
    <row r="336" spans="1:20" x14ac:dyDescent="0.25">
      <c r="A336" s="5">
        <v>44257</v>
      </c>
      <c r="B336">
        <v>38.564900000000002</v>
      </c>
      <c r="C336">
        <v>39.026899999999998</v>
      </c>
      <c r="D336">
        <v>37.206000000000003</v>
      </c>
      <c r="E336">
        <v>38.208199999999998</v>
      </c>
      <c r="F336">
        <v>1157265.03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0.10077434235817215</v>
      </c>
      <c r="Q336">
        <f t="shared" si="970"/>
        <v>116622.62233236036</v>
      </c>
      <c r="R336">
        <f t="shared" si="971"/>
        <v>-24470550.472079072</v>
      </c>
      <c r="S336">
        <f t="shared" si="972"/>
        <v>-244.70550472079071</v>
      </c>
      <c r="T336">
        <f t="shared" si="973"/>
        <v>-0.24470550472079072</v>
      </c>
    </row>
    <row r="337" spans="1:20" x14ac:dyDescent="0.25">
      <c r="A337" s="5">
        <v>44256</v>
      </c>
      <c r="B337">
        <v>35.967700000000001</v>
      </c>
      <c r="C337">
        <v>39.409999999999997</v>
      </c>
      <c r="D337">
        <v>35.5</v>
      </c>
      <c r="E337">
        <v>38.564900000000002</v>
      </c>
      <c r="F337">
        <v>1418850.74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0.56772378516624256</v>
      </c>
      <c r="Q337">
        <f t="shared" si="970"/>
        <v>805515.31269872421</v>
      </c>
      <c r="R337">
        <f t="shared" si="971"/>
        <v>-24587173.094411433</v>
      </c>
      <c r="S337">
        <f t="shared" si="972"/>
        <v>-245.87173094411432</v>
      </c>
      <c r="T337">
        <f t="shared" si="973"/>
        <v>-0.24587173094411433</v>
      </c>
    </row>
    <row r="338" spans="1:20" x14ac:dyDescent="0.25">
      <c r="A338" s="5">
        <v>44255</v>
      </c>
      <c r="B338">
        <v>37.877099999999999</v>
      </c>
      <c r="C338">
        <v>38.398000000000003</v>
      </c>
      <c r="D338">
        <v>34.776299999999999</v>
      </c>
      <c r="E338">
        <v>35.965200000000003</v>
      </c>
      <c r="F338">
        <v>1299134.45</v>
      </c>
      <c r="G338">
        <v>0</v>
      </c>
      <c r="L338" t="s">
        <v>7</v>
      </c>
      <c r="M338" t="s">
        <v>8</v>
      </c>
      <c r="N338" t="s">
        <v>7</v>
      </c>
      <c r="P338">
        <f t="shared" si="969"/>
        <v>-0.343457492337851</v>
      </c>
      <c r="Q338">
        <f t="shared" si="970"/>
        <v>-446197.46040671325</v>
      </c>
      <c r="R338">
        <f t="shared" si="971"/>
        <v>-25392688.407110158</v>
      </c>
      <c r="S338">
        <f t="shared" si="972"/>
        <v>-253.9268840711016</v>
      </c>
      <c r="T338">
        <f t="shared" si="973"/>
        <v>-0.25392688407110159</v>
      </c>
    </row>
    <row r="339" spans="1:20" x14ac:dyDescent="0.25">
      <c r="A339" s="5">
        <v>44254</v>
      </c>
      <c r="B339">
        <v>35.136800000000001</v>
      </c>
      <c r="C339">
        <v>38.811</v>
      </c>
      <c r="D339">
        <v>35.068800000000003</v>
      </c>
      <c r="E339">
        <v>37.876300000000001</v>
      </c>
      <c r="F339">
        <v>1529635.51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0.5004542782320559</v>
      </c>
      <c r="Q339">
        <f t="shared" si="970"/>
        <v>765512.63511517271</v>
      </c>
      <c r="R339">
        <f t="shared" si="971"/>
        <v>-24946490.946703445</v>
      </c>
      <c r="S339">
        <f t="shared" si="972"/>
        <v>-249.46490946703446</v>
      </c>
      <c r="T339">
        <f t="shared" si="973"/>
        <v>-0.24946490946703445</v>
      </c>
    </row>
    <row r="340" spans="1:20" x14ac:dyDescent="0.25">
      <c r="A340" s="5">
        <v>44253</v>
      </c>
      <c r="B340">
        <v>34.981299999999997</v>
      </c>
      <c r="C340">
        <v>36.549799999999998</v>
      </c>
      <c r="D340">
        <v>33.240600000000001</v>
      </c>
      <c r="E340">
        <v>35.127499999999998</v>
      </c>
      <c r="F340">
        <v>1470450.57</v>
      </c>
      <c r="G340">
        <v>0</v>
      </c>
      <c r="L340" t="s">
        <v>7</v>
      </c>
      <c r="M340" t="s">
        <v>8</v>
      </c>
      <c r="N340" t="s">
        <v>7</v>
      </c>
      <c r="P340">
        <f t="shared" si="969"/>
        <v>0.14039647044602854</v>
      </c>
      <c r="Q340">
        <f t="shared" si="970"/>
        <v>206446.06999335083</v>
      </c>
      <c r="R340">
        <f t="shared" si="971"/>
        <v>-25712003.581818618</v>
      </c>
      <c r="S340">
        <f t="shared" si="972"/>
        <v>-257.12003581818618</v>
      </c>
      <c r="T340">
        <f t="shared" si="973"/>
        <v>-0.25712003581818615</v>
      </c>
    </row>
    <row r="341" spans="1:20" x14ac:dyDescent="0.25">
      <c r="A341" s="5">
        <v>44252</v>
      </c>
      <c r="B341">
        <v>36.561799999999998</v>
      </c>
      <c r="C341">
        <v>37.546900000000001</v>
      </c>
      <c r="D341">
        <v>34.750799999999998</v>
      </c>
      <c r="E341">
        <v>34.981299999999997</v>
      </c>
      <c r="F341">
        <v>1422586.08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-0.83512749901648797</v>
      </c>
      <c r="Q341">
        <f t="shared" si="970"/>
        <v>-1188040.7551260695</v>
      </c>
      <c r="R341">
        <f t="shared" si="971"/>
        <v>-25918449.651811969</v>
      </c>
      <c r="S341">
        <f t="shared" si="972"/>
        <v>-259.18449651811966</v>
      </c>
      <c r="T341">
        <f t="shared" si="973"/>
        <v>-0.25918449651811964</v>
      </c>
    </row>
    <row r="342" spans="1:20" x14ac:dyDescent="0.25">
      <c r="A342" s="5">
        <v>44251</v>
      </c>
      <c r="B342">
        <v>35.466000000000001</v>
      </c>
      <c r="C342">
        <v>38.3994</v>
      </c>
      <c r="D342">
        <v>34.3003</v>
      </c>
      <c r="E342">
        <v>36.581699999999998</v>
      </c>
      <c r="F342">
        <v>2054149.6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0.11312239272035222</v>
      </c>
      <c r="Q342">
        <f t="shared" si="970"/>
        <v>232370.31775755444</v>
      </c>
      <c r="R342">
        <f t="shared" si="971"/>
        <v>-24730408.896685898</v>
      </c>
      <c r="S342">
        <f t="shared" si="972"/>
        <v>-247.30408896685898</v>
      </c>
      <c r="T342">
        <f t="shared" si="973"/>
        <v>-0.24730408896685899</v>
      </c>
    </row>
    <row r="343" spans="1:20" x14ac:dyDescent="0.25">
      <c r="A343" s="5">
        <v>44250</v>
      </c>
      <c r="B343">
        <v>39.423400000000001</v>
      </c>
      <c r="C343">
        <v>39.5259</v>
      </c>
      <c r="D343">
        <v>31.420400000000001</v>
      </c>
      <c r="E343">
        <v>35.465800000000002</v>
      </c>
      <c r="F343">
        <v>3639030.24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-1.8135833693168485E-3</v>
      </c>
      <c r="Q343">
        <f t="shared" si="970"/>
        <v>-6599.6847237051006</v>
      </c>
      <c r="R343">
        <f t="shared" si="971"/>
        <v>-24962779.214443453</v>
      </c>
      <c r="S343">
        <f t="shared" si="972"/>
        <v>-249.62779214443452</v>
      </c>
      <c r="T343">
        <f t="shared" si="973"/>
        <v>-0.24962779214443453</v>
      </c>
    </row>
    <row r="344" spans="1:20" x14ac:dyDescent="0.25">
      <c r="A344" s="5">
        <v>44249</v>
      </c>
      <c r="B344">
        <v>44.621600000000001</v>
      </c>
      <c r="C344">
        <v>44.835000000000001</v>
      </c>
      <c r="D344">
        <v>32.321399999999997</v>
      </c>
      <c r="E344">
        <v>39.392099999999999</v>
      </c>
      <c r="F344">
        <v>4028531.96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0.13008247027234371</v>
      </c>
      <c r="Q344">
        <f t="shared" si="970"/>
        <v>524041.38892788655</v>
      </c>
      <c r="R344">
        <f t="shared" si="971"/>
        <v>-24956179.529719748</v>
      </c>
      <c r="S344">
        <f t="shared" si="972"/>
        <v>-249.56179529719748</v>
      </c>
      <c r="T344">
        <f t="shared" si="973"/>
        <v>-0.24956179529719746</v>
      </c>
    </row>
    <row r="345" spans="1:20" x14ac:dyDescent="0.25">
      <c r="A345" s="5">
        <v>44248</v>
      </c>
      <c r="B345">
        <v>43.051699999999997</v>
      </c>
      <c r="C345">
        <v>45.973300000000002</v>
      </c>
      <c r="D345">
        <v>42.4908</v>
      </c>
      <c r="E345">
        <v>44.646799999999999</v>
      </c>
      <c r="F345">
        <v>2063847.42</v>
      </c>
      <c r="G345">
        <v>0</v>
      </c>
      <c r="L345" t="s">
        <v>7</v>
      </c>
      <c r="M345" t="s">
        <v>8</v>
      </c>
      <c r="N345" t="s">
        <v>7</v>
      </c>
      <c r="P345">
        <f t="shared" si="969"/>
        <v>0.23819095477386806</v>
      </c>
      <c r="Q345">
        <f t="shared" si="970"/>
        <v>491589.78747738426</v>
      </c>
      <c r="R345">
        <f t="shared" si="971"/>
        <v>-25480220.918647636</v>
      </c>
      <c r="S345">
        <f t="shared" si="972"/>
        <v>-254.80220918647635</v>
      </c>
      <c r="T345">
        <f t="shared" si="973"/>
        <v>-0.25480220918647634</v>
      </c>
    </row>
    <row r="346" spans="1:20" x14ac:dyDescent="0.25">
      <c r="A346" s="5">
        <v>44247</v>
      </c>
      <c r="B346">
        <v>43.140500000000003</v>
      </c>
      <c r="C346">
        <v>49.5</v>
      </c>
      <c r="D346">
        <v>42.054699999999997</v>
      </c>
      <c r="E346">
        <v>43.000700000000002</v>
      </c>
      <c r="F346">
        <v>4204436.62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-0.74587995111009509</v>
      </c>
      <c r="Q346">
        <f t="shared" si="970"/>
        <v>-3136004.9805710935</v>
      </c>
      <c r="R346">
        <f t="shared" si="971"/>
        <v>-25971810.706125021</v>
      </c>
      <c r="S346">
        <f t="shared" si="972"/>
        <v>-259.71810706125024</v>
      </c>
      <c r="T346">
        <f t="shared" si="973"/>
        <v>-0.25971810706125026</v>
      </c>
    </row>
    <row r="347" spans="1:20" x14ac:dyDescent="0.25">
      <c r="A347" s="5">
        <v>44246</v>
      </c>
      <c r="B347">
        <v>43.427999999999997</v>
      </c>
      <c r="C347">
        <v>43.722999999999999</v>
      </c>
      <c r="D347">
        <v>40.994599999999998</v>
      </c>
      <c r="E347">
        <v>43.137799999999999</v>
      </c>
      <c r="F347">
        <v>1994041.8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0.57103064066852349</v>
      </c>
      <c r="Q347">
        <f t="shared" si="970"/>
        <v>1138658.9665738158</v>
      </c>
      <c r="R347">
        <f t="shared" si="971"/>
        <v>-22835805.725553926</v>
      </c>
      <c r="S347">
        <f t="shared" si="972"/>
        <v>-228.35805725553925</v>
      </c>
      <c r="T347">
        <f t="shared" si="973"/>
        <v>-0.22835805725553926</v>
      </c>
    </row>
    <row r="348" spans="1:20" x14ac:dyDescent="0.25">
      <c r="A348" s="5">
        <v>44245</v>
      </c>
      <c r="B348">
        <v>43.191899999999997</v>
      </c>
      <c r="C348">
        <v>44.412100000000002</v>
      </c>
      <c r="D348">
        <v>42.363100000000003</v>
      </c>
      <c r="E348">
        <v>43.428100000000001</v>
      </c>
      <c r="F348">
        <v>1635575.95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3.9531478770129809E-2</v>
      </c>
      <c r="Q348">
        <f t="shared" si="970"/>
        <v>64656.735944359891</v>
      </c>
      <c r="R348">
        <f t="shared" si="971"/>
        <v>-23974464.692127742</v>
      </c>
      <c r="S348">
        <f t="shared" si="972"/>
        <v>-239.74464692127742</v>
      </c>
      <c r="T348">
        <f t="shared" si="973"/>
        <v>-0.23974464692127742</v>
      </c>
    </row>
    <row r="349" spans="1:20" x14ac:dyDescent="0.25">
      <c r="A349" s="5">
        <v>44244</v>
      </c>
      <c r="B349">
        <v>41.859000000000002</v>
      </c>
      <c r="C349">
        <v>44.775100000000002</v>
      </c>
      <c r="D349">
        <v>40.271700000000003</v>
      </c>
      <c r="E349">
        <v>43.204999999999998</v>
      </c>
      <c r="F349">
        <v>2163900.06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0.30270462317360042</v>
      </c>
      <c r="Q349">
        <f t="shared" si="970"/>
        <v>655022.55224763136</v>
      </c>
      <c r="R349">
        <f t="shared" si="971"/>
        <v>-24039121.428072102</v>
      </c>
      <c r="S349">
        <f t="shared" si="972"/>
        <v>-240.39121428072102</v>
      </c>
      <c r="T349">
        <f t="shared" si="973"/>
        <v>-0.24039121428072102</v>
      </c>
    </row>
    <row r="350" spans="1:20" x14ac:dyDescent="0.25">
      <c r="A350" s="5">
        <v>44243</v>
      </c>
      <c r="B350">
        <v>42.956000000000003</v>
      </c>
      <c r="C350">
        <v>45.89</v>
      </c>
      <c r="D350">
        <v>40.011000000000003</v>
      </c>
      <c r="E350">
        <v>41.874000000000002</v>
      </c>
      <c r="F350">
        <v>2575753.5099999998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-0.36621874468447008</v>
      </c>
      <c r="Q350">
        <f t="shared" si="970"/>
        <v>-943289.21704881755</v>
      </c>
      <c r="R350">
        <f t="shared" si="971"/>
        <v>-24694143.980319735</v>
      </c>
      <c r="S350">
        <f t="shared" si="972"/>
        <v>-246.94143980319734</v>
      </c>
      <c r="T350">
        <f t="shared" si="973"/>
        <v>-0.24694143980319733</v>
      </c>
    </row>
    <row r="351" spans="1:20" x14ac:dyDescent="0.25">
      <c r="A351" s="5">
        <v>44242</v>
      </c>
      <c r="B351">
        <v>47.133200000000002</v>
      </c>
      <c r="C351">
        <v>50.667700000000004</v>
      </c>
      <c r="D351">
        <v>36.049999999999997</v>
      </c>
      <c r="E351">
        <v>42.9236</v>
      </c>
      <c r="F351">
        <v>6177838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-5.9551092169082651E-2</v>
      </c>
      <c r="Q351">
        <f t="shared" si="970"/>
        <v>-367897.00014366122</v>
      </c>
      <c r="R351">
        <f t="shared" si="971"/>
        <v>-23750854.763270918</v>
      </c>
      <c r="S351">
        <f t="shared" si="972"/>
        <v>-237.5085476327092</v>
      </c>
      <c r="T351">
        <f t="shared" si="973"/>
        <v>-0.2375085476327092</v>
      </c>
    </row>
    <row r="352" spans="1:20" x14ac:dyDescent="0.25">
      <c r="A352" s="5">
        <v>44241</v>
      </c>
      <c r="B352">
        <v>41.551000000000002</v>
      </c>
      <c r="C352">
        <v>53</v>
      </c>
      <c r="D352">
        <v>41.132800000000003</v>
      </c>
      <c r="E352">
        <v>47.125</v>
      </c>
      <c r="F352">
        <v>5457198.5099999998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9.8759606309826147E-3</v>
      </c>
      <c r="Q352">
        <f t="shared" si="970"/>
        <v>53895.077640216979</v>
      </c>
      <c r="R352">
        <f t="shared" si="971"/>
        <v>-23382957.763127256</v>
      </c>
      <c r="S352">
        <f t="shared" si="972"/>
        <v>-233.82957763127257</v>
      </c>
      <c r="T352">
        <f t="shared" si="973"/>
        <v>-0.23382957763127257</v>
      </c>
    </row>
    <row r="353" spans="1:20" x14ac:dyDescent="0.25">
      <c r="A353" s="5">
        <v>44240</v>
      </c>
      <c r="B353">
        <v>42.65</v>
      </c>
      <c r="C353">
        <v>44.663200000000003</v>
      </c>
      <c r="D353">
        <v>39.6</v>
      </c>
      <c r="E353">
        <v>41.533999999999999</v>
      </c>
      <c r="F353">
        <v>3009342.87</v>
      </c>
      <c r="G353">
        <v>0</v>
      </c>
      <c r="L353" t="s">
        <v>7</v>
      </c>
      <c r="M353" t="s">
        <v>8</v>
      </c>
      <c r="N353" t="s">
        <v>7</v>
      </c>
      <c r="P353">
        <f t="shared" si="969"/>
        <v>-0.23605624901248351</v>
      </c>
      <c r="Q353">
        <f t="shared" si="970"/>
        <v>-710374.18988466181</v>
      </c>
      <c r="R353">
        <f t="shared" si="971"/>
        <v>-23436852.840767473</v>
      </c>
      <c r="S353">
        <f t="shared" si="972"/>
        <v>-234.36852840767472</v>
      </c>
      <c r="T353">
        <f t="shared" si="973"/>
        <v>-0.23436852840767472</v>
      </c>
    </row>
    <row r="354" spans="1:20" x14ac:dyDescent="0.25">
      <c r="A354" s="5">
        <v>44239</v>
      </c>
      <c r="B354">
        <v>40.337800000000001</v>
      </c>
      <c r="C354">
        <v>44.8</v>
      </c>
      <c r="D354">
        <v>39.173499999999997</v>
      </c>
      <c r="E354">
        <v>42.65</v>
      </c>
      <c r="F354">
        <v>3632985</v>
      </c>
      <c r="G354">
        <v>0</v>
      </c>
      <c r="L354" t="s">
        <v>8</v>
      </c>
      <c r="M354" t="s">
        <v>8</v>
      </c>
      <c r="N354" t="s">
        <v>7</v>
      </c>
      <c r="P354">
        <f t="shared" si="969"/>
        <v>0.23575935306140636</v>
      </c>
      <c r="Q354">
        <f t="shared" si="970"/>
        <v>856510.19328179338</v>
      </c>
      <c r="R354">
        <f t="shared" si="971"/>
        <v>-22726478.65088281</v>
      </c>
      <c r="S354">
        <f t="shared" si="972"/>
        <v>-227.26478650882811</v>
      </c>
      <c r="T354">
        <f t="shared" si="973"/>
        <v>-0.22726478650882811</v>
      </c>
    </row>
    <row r="355" spans="1:20" x14ac:dyDescent="0.25">
      <c r="A355" s="5">
        <v>44238</v>
      </c>
      <c r="B355">
        <v>39.740400000000001</v>
      </c>
      <c r="C355">
        <v>42.908299999999997</v>
      </c>
      <c r="D355">
        <v>36.799999999999997</v>
      </c>
      <c r="E355">
        <v>40.319800000000001</v>
      </c>
      <c r="F355">
        <v>3092652.68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0.15246467920698187</v>
      </c>
      <c r="Q355">
        <f t="shared" si="970"/>
        <v>471520.2987548128</v>
      </c>
      <c r="R355">
        <f t="shared" si="971"/>
        <v>-23582988.844164602</v>
      </c>
      <c r="S355">
        <f t="shared" si="972"/>
        <v>-235.82988844164603</v>
      </c>
      <c r="T355">
        <f t="shared" si="973"/>
        <v>-0.23582988844164604</v>
      </c>
    </row>
    <row r="356" spans="1:20" x14ac:dyDescent="0.25">
      <c r="A356" s="5">
        <v>44237</v>
      </c>
      <c r="B356">
        <v>44.1</v>
      </c>
      <c r="C356">
        <v>45.7821</v>
      </c>
      <c r="D356">
        <v>35</v>
      </c>
      <c r="E356">
        <v>39.761000000000003</v>
      </c>
      <c r="F356">
        <v>7444640.4800000004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-0.11686962651060501</v>
      </c>
      <c r="Q356">
        <f t="shared" si="970"/>
        <v>-870052.3524033312</v>
      </c>
      <c r="R356">
        <f t="shared" si="971"/>
        <v>-24054509.142919414</v>
      </c>
      <c r="S356">
        <f t="shared" si="972"/>
        <v>-240.54509142919414</v>
      </c>
      <c r="T356">
        <f t="shared" si="973"/>
        <v>-0.24054509142919414</v>
      </c>
    </row>
    <row r="357" spans="1:20" x14ac:dyDescent="0.25">
      <c r="A357" s="5">
        <v>44236</v>
      </c>
      <c r="B357">
        <v>27.679300000000001</v>
      </c>
      <c r="C357">
        <v>51.963500000000003</v>
      </c>
      <c r="D357">
        <v>27.088000000000001</v>
      </c>
      <c r="E357">
        <v>44.129800000000003</v>
      </c>
      <c r="F357">
        <v>10360782.65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0.37016743382042577</v>
      </c>
      <c r="Q357">
        <f t="shared" si="970"/>
        <v>3835224.3259216906</v>
      </c>
      <c r="R357">
        <f t="shared" si="971"/>
        <v>-23184456.790516082</v>
      </c>
      <c r="S357">
        <f t="shared" si="972"/>
        <v>-231.84456790516083</v>
      </c>
      <c r="T357">
        <f t="shared" si="973"/>
        <v>-0.23184456790516084</v>
      </c>
    </row>
    <row r="358" spans="1:20" x14ac:dyDescent="0.25">
      <c r="A358" s="5">
        <v>44235</v>
      </c>
      <c r="B358">
        <v>24.039899999999999</v>
      </c>
      <c r="C358">
        <v>28.8749</v>
      </c>
      <c r="D358">
        <v>23.818999999999999</v>
      </c>
      <c r="E358">
        <v>27.660799999999998</v>
      </c>
      <c r="F358">
        <v>3399727.31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0.5197294250281842</v>
      </c>
      <c r="Q358">
        <f t="shared" si="970"/>
        <v>1766938.3200789155</v>
      </c>
      <c r="R358">
        <f t="shared" si="971"/>
        <v>-27019681.116437774</v>
      </c>
      <c r="S358">
        <f t="shared" si="972"/>
        <v>-270.19681116437772</v>
      </c>
      <c r="T358">
        <f t="shared" si="973"/>
        <v>-0.27019681116437771</v>
      </c>
    </row>
    <row r="359" spans="1:20" x14ac:dyDescent="0.25">
      <c r="A359" s="5">
        <v>44234</v>
      </c>
      <c r="B359">
        <v>24.250900000000001</v>
      </c>
      <c r="C359">
        <v>24.603100000000001</v>
      </c>
      <c r="D359">
        <v>23.6797</v>
      </c>
      <c r="E359">
        <v>24.047499999999999</v>
      </c>
      <c r="F359">
        <v>1160116.26</v>
      </c>
      <c r="G359">
        <v>0</v>
      </c>
      <c r="L359" t="s">
        <v>7</v>
      </c>
      <c r="M359" t="s">
        <v>8</v>
      </c>
      <c r="N359" t="s">
        <v>7</v>
      </c>
      <c r="P359">
        <f t="shared" si="969"/>
        <v>-0.20337881741390804</v>
      </c>
      <c r="Q359">
        <f t="shared" si="970"/>
        <v>-235943.07302144586</v>
      </c>
      <c r="R359">
        <f t="shared" si="971"/>
        <v>-28786619.436516691</v>
      </c>
      <c r="S359">
        <f t="shared" si="972"/>
        <v>-287.8661943651669</v>
      </c>
      <c r="T359">
        <f t="shared" si="973"/>
        <v>-0.28786619436516692</v>
      </c>
    </row>
    <row r="360" spans="1:20" x14ac:dyDescent="0.25">
      <c r="A360" s="5">
        <v>44233</v>
      </c>
      <c r="B360">
        <v>24.482500000000002</v>
      </c>
      <c r="C360">
        <v>25.2454</v>
      </c>
      <c r="D360">
        <v>23.756499999999999</v>
      </c>
      <c r="E360">
        <v>24.243400000000001</v>
      </c>
      <c r="F360">
        <v>1646885.21</v>
      </c>
      <c r="G360">
        <v>0</v>
      </c>
      <c r="L360" t="s">
        <v>7</v>
      </c>
      <c r="M360" t="s">
        <v>8</v>
      </c>
      <c r="N360" t="s">
        <v>7</v>
      </c>
      <c r="P360">
        <f t="shared" si="969"/>
        <v>-0.34596010477533512</v>
      </c>
      <c r="Q360">
        <f t="shared" si="970"/>
        <v>-569756.57980454981</v>
      </c>
      <c r="R360">
        <f t="shared" si="971"/>
        <v>-28550676.363495246</v>
      </c>
      <c r="S360">
        <f t="shared" si="972"/>
        <v>-285.50676363495245</v>
      </c>
      <c r="T360">
        <f t="shared" si="973"/>
        <v>-0.28550676363495248</v>
      </c>
    </row>
    <row r="361" spans="1:20" x14ac:dyDescent="0.25">
      <c r="A361" s="5">
        <v>44232</v>
      </c>
      <c r="B361">
        <v>22.885999999999999</v>
      </c>
      <c r="C361">
        <v>25.611599999999999</v>
      </c>
      <c r="D361">
        <v>22.7803</v>
      </c>
      <c r="E361">
        <v>24.482500000000002</v>
      </c>
      <c r="F361">
        <v>2207299.27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0.20241585137569454</v>
      </c>
      <c r="Q361">
        <f t="shared" si="970"/>
        <v>446792.36097799905</v>
      </c>
      <c r="R361">
        <f t="shared" si="971"/>
        <v>-27980919.783690695</v>
      </c>
      <c r="S361">
        <f t="shared" si="972"/>
        <v>-279.80919783690695</v>
      </c>
      <c r="T361">
        <f t="shared" si="973"/>
        <v>-0.27980919783690694</v>
      </c>
    </row>
    <row r="362" spans="1:20" x14ac:dyDescent="0.25">
      <c r="A362" s="5">
        <v>44231</v>
      </c>
      <c r="B362">
        <v>23.050699999999999</v>
      </c>
      <c r="C362">
        <v>23.267399999999999</v>
      </c>
      <c r="D362">
        <v>22.62</v>
      </c>
      <c r="E362">
        <v>22.8902</v>
      </c>
      <c r="F362">
        <v>899891.48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-0.16527649057769497</v>
      </c>
      <c r="Q362">
        <f t="shared" si="970"/>
        <v>-148730.90571516799</v>
      </c>
      <c r="R362">
        <f t="shared" si="971"/>
        <v>-28427712.144668695</v>
      </c>
      <c r="S362">
        <f t="shared" si="972"/>
        <v>-284.27712144668692</v>
      </c>
      <c r="T362">
        <f t="shared" si="973"/>
        <v>-0.28427712144668693</v>
      </c>
    </row>
    <row r="363" spans="1:20" x14ac:dyDescent="0.25">
      <c r="A363" s="5">
        <v>44230</v>
      </c>
      <c r="B363">
        <v>22.481999999999999</v>
      </c>
      <c r="C363">
        <v>23.45</v>
      </c>
      <c r="D363">
        <v>22.401</v>
      </c>
      <c r="E363">
        <v>23.053699999999999</v>
      </c>
      <c r="F363">
        <v>790555.1</v>
      </c>
      <c r="G363">
        <v>0</v>
      </c>
      <c r="L363" t="s">
        <v>7</v>
      </c>
      <c r="M363" t="s">
        <v>7</v>
      </c>
      <c r="N363" t="s">
        <v>7</v>
      </c>
      <c r="P363">
        <f t="shared" si="969"/>
        <v>0.24442326024785455</v>
      </c>
      <c r="Q363">
        <f t="shared" si="970"/>
        <v>193230.05494756866</v>
      </c>
      <c r="R363">
        <f t="shared" si="971"/>
        <v>-28278981.238953527</v>
      </c>
      <c r="S363">
        <f t="shared" si="972"/>
        <v>-282.78981238953526</v>
      </c>
      <c r="T363">
        <f t="shared" si="973"/>
        <v>-0.28278981238953527</v>
      </c>
    </row>
    <row r="364" spans="1:20" x14ac:dyDescent="0.25">
      <c r="A364" s="5">
        <v>44229</v>
      </c>
      <c r="B364">
        <v>22.620899999999999</v>
      </c>
      <c r="C364">
        <v>22.9237</v>
      </c>
      <c r="D364">
        <v>22.3019</v>
      </c>
      <c r="E364">
        <v>22.482900000000001</v>
      </c>
      <c r="F364">
        <v>656229.32999999996</v>
      </c>
      <c r="G364">
        <v>0</v>
      </c>
      <c r="L364" t="s">
        <v>7</v>
      </c>
      <c r="M364" t="s">
        <v>7</v>
      </c>
      <c r="N364" t="s">
        <v>7</v>
      </c>
      <c r="P364">
        <f t="shared" si="969"/>
        <v>-0.4178192344805377</v>
      </c>
      <c r="Q364">
        <f t="shared" si="970"/>
        <v>-274185.23630427616</v>
      </c>
      <c r="R364">
        <f t="shared" si="971"/>
        <v>-28472211.293901097</v>
      </c>
      <c r="S364">
        <f t="shared" si="972"/>
        <v>-284.72211293901097</v>
      </c>
      <c r="T364">
        <f t="shared" si="973"/>
        <v>-0.28472211293901095</v>
      </c>
    </row>
    <row r="365" spans="1:20" x14ac:dyDescent="0.25">
      <c r="A365" s="5">
        <v>44228</v>
      </c>
      <c r="B365">
        <v>22.248999999999999</v>
      </c>
      <c r="C365">
        <v>24.039300000000001</v>
      </c>
      <c r="D365">
        <v>22.01</v>
      </c>
      <c r="E365">
        <v>22.620999999999999</v>
      </c>
      <c r="F365">
        <v>2060433.07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-0.397821909032674</v>
      </c>
      <c r="Q365">
        <f t="shared" si="970"/>
        <v>-819685.41734145326</v>
      </c>
      <c r="R365">
        <f t="shared" si="971"/>
        <v>-28198026.057596821</v>
      </c>
      <c r="S365">
        <f t="shared" si="972"/>
        <v>-281.9802605759682</v>
      </c>
      <c r="T365">
        <f t="shared" si="973"/>
        <v>-0.2819802605759682</v>
      </c>
    </row>
    <row r="366" spans="1:20" x14ac:dyDescent="0.25">
      <c r="A366" s="5">
        <v>44227</v>
      </c>
      <c r="B366">
        <v>22.039300000000001</v>
      </c>
      <c r="C366">
        <v>22.6</v>
      </c>
      <c r="D366">
        <v>22.0214</v>
      </c>
      <c r="E366">
        <v>22.248799999999999</v>
      </c>
      <c r="F366">
        <v>703793.37</v>
      </c>
      <c r="G366">
        <v>0</v>
      </c>
      <c r="L366" t="s">
        <v>8</v>
      </c>
      <c r="M366" t="s">
        <v>7</v>
      </c>
      <c r="N366" t="s">
        <v>7</v>
      </c>
      <c r="P366">
        <f t="shared" si="969"/>
        <v>-0.21396474248185701</v>
      </c>
      <c r="Q366">
        <f t="shared" si="970"/>
        <v>-150586.96717248831</v>
      </c>
      <c r="R366">
        <f t="shared" si="971"/>
        <v>-27378340.640255369</v>
      </c>
      <c r="S366">
        <f t="shared" si="972"/>
        <v>-273.78340640255368</v>
      </c>
      <c r="T366">
        <f t="shared" si="973"/>
        <v>-0.27378340640255366</v>
      </c>
    </row>
    <row r="367" spans="1:20" x14ac:dyDescent="0.25">
      <c r="A367" s="5">
        <v>44226</v>
      </c>
      <c r="B367">
        <v>22.308</v>
      </c>
      <c r="C367">
        <v>22.588799999999999</v>
      </c>
      <c r="D367">
        <v>21.9787</v>
      </c>
      <c r="E367">
        <v>22.035399999999999</v>
      </c>
      <c r="F367">
        <v>668206.1</v>
      </c>
      <c r="G367">
        <v>0</v>
      </c>
      <c r="L367" t="s">
        <v>8</v>
      </c>
      <c r="M367" t="s">
        <v>7</v>
      </c>
      <c r="N367" t="s">
        <v>7</v>
      </c>
      <c r="P367">
        <f t="shared" si="969"/>
        <v>-0.81412883133912672</v>
      </c>
      <c r="Q367">
        <f t="shared" si="970"/>
        <v>-544005.85128667566</v>
      </c>
      <c r="R367">
        <f t="shared" si="971"/>
        <v>-27227753.673082881</v>
      </c>
      <c r="S367">
        <f t="shared" si="972"/>
        <v>-272.27753673082879</v>
      </c>
      <c r="T367">
        <f t="shared" si="973"/>
        <v>-0.27227753673082877</v>
      </c>
    </row>
    <row r="368" spans="1:20" x14ac:dyDescent="0.25">
      <c r="A368" s="5">
        <v>44225</v>
      </c>
      <c r="B368">
        <v>21.892099999999999</v>
      </c>
      <c r="C368">
        <v>22.876100000000001</v>
      </c>
      <c r="D368">
        <v>21.852599999999999</v>
      </c>
      <c r="E368">
        <v>22.308599999999998</v>
      </c>
      <c r="F368">
        <v>1136239.8999999999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-0.10893991206644144</v>
      </c>
      <c r="Q368">
        <f t="shared" si="970"/>
        <v>-123781.87479238219</v>
      </c>
      <c r="R368">
        <f t="shared" si="971"/>
        <v>-26683747.821796205</v>
      </c>
      <c r="S368">
        <f t="shared" si="972"/>
        <v>-266.83747821796203</v>
      </c>
      <c r="T368">
        <f t="shared" si="973"/>
        <v>-0.26683747821796205</v>
      </c>
    </row>
    <row r="369" spans="1:20" x14ac:dyDescent="0.25">
      <c r="A369" s="5">
        <v>44224</v>
      </c>
      <c r="B369">
        <v>21.419699999999999</v>
      </c>
      <c r="C369">
        <v>22.0869</v>
      </c>
      <c r="D369">
        <v>21.301100000000002</v>
      </c>
      <c r="E369">
        <v>21.898800000000001</v>
      </c>
      <c r="F369">
        <v>663617.54</v>
      </c>
      <c r="G369">
        <v>0</v>
      </c>
      <c r="L369" t="s">
        <v>7</v>
      </c>
      <c r="M369" t="s">
        <v>7</v>
      </c>
      <c r="N369" t="s">
        <v>7</v>
      </c>
      <c r="P369">
        <f t="shared" si="969"/>
        <v>0.52125222702978113</v>
      </c>
      <c r="Q369">
        <f t="shared" si="970"/>
        <v>345912.12062102486</v>
      </c>
      <c r="R369">
        <f t="shared" si="971"/>
        <v>-26559965.947003823</v>
      </c>
      <c r="S369">
        <f t="shared" si="972"/>
        <v>-265.5996594700382</v>
      </c>
      <c r="T369">
        <f t="shared" si="973"/>
        <v>-0.26559965947003822</v>
      </c>
    </row>
    <row r="370" spans="1:20" x14ac:dyDescent="0.25">
      <c r="A370" s="5">
        <v>44223</v>
      </c>
      <c r="B370">
        <v>22.2</v>
      </c>
      <c r="C370">
        <v>22.2239</v>
      </c>
      <c r="D370">
        <v>21.193000000000001</v>
      </c>
      <c r="E370">
        <v>21.42</v>
      </c>
      <c r="F370">
        <v>1006804.38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-0.55960810941895334</v>
      </c>
      <c r="Q370">
        <f t="shared" si="970"/>
        <v>-563415.89564652147</v>
      </c>
      <c r="R370">
        <f t="shared" si="971"/>
        <v>-26905878.067624848</v>
      </c>
      <c r="S370">
        <f t="shared" si="972"/>
        <v>-269.05878067624849</v>
      </c>
      <c r="T370">
        <f t="shared" si="973"/>
        <v>-0.2690587806762485</v>
      </c>
    </row>
    <row r="371" spans="1:20" x14ac:dyDescent="0.25">
      <c r="A371" s="5">
        <v>44222</v>
      </c>
      <c r="B371">
        <v>22.427800000000001</v>
      </c>
      <c r="C371">
        <v>22.75</v>
      </c>
      <c r="D371">
        <v>21.8</v>
      </c>
      <c r="E371">
        <v>22.1876</v>
      </c>
      <c r="F371">
        <v>856507.16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-0.18400000000000138</v>
      </c>
      <c r="Q371">
        <f t="shared" si="970"/>
        <v>-157597.31744000118</v>
      </c>
      <c r="R371">
        <f t="shared" si="971"/>
        <v>-26342462.171978328</v>
      </c>
      <c r="S371">
        <f t="shared" si="972"/>
        <v>-263.42462171978326</v>
      </c>
      <c r="T371">
        <f t="shared" si="973"/>
        <v>-0.26342462171978326</v>
      </c>
    </row>
    <row r="372" spans="1:20" x14ac:dyDescent="0.25">
      <c r="A372" s="5">
        <v>44221</v>
      </c>
      <c r="B372">
        <v>22.7029</v>
      </c>
      <c r="C372">
        <v>23.036200000000001</v>
      </c>
      <c r="D372">
        <v>22.359000000000002</v>
      </c>
      <c r="E372">
        <v>22.427900000000001</v>
      </c>
      <c r="F372">
        <v>929176.03</v>
      </c>
      <c r="G372">
        <v>0</v>
      </c>
      <c r="L372" t="s">
        <v>8</v>
      </c>
      <c r="M372" t="s">
        <v>7</v>
      </c>
      <c r="N372" t="s">
        <v>7</v>
      </c>
      <c r="P372">
        <f t="shared" si="969"/>
        <v>-0.79651506202008449</v>
      </c>
      <c r="Q372">
        <f t="shared" si="970"/>
        <v>-740102.7031630259</v>
      </c>
      <c r="R372">
        <f t="shared" si="971"/>
        <v>-26184864.854538329</v>
      </c>
      <c r="S372">
        <f t="shared" si="972"/>
        <v>-261.8486485453833</v>
      </c>
      <c r="T372">
        <f t="shared" si="973"/>
        <v>-0.26184864854538331</v>
      </c>
    </row>
    <row r="373" spans="1:20" x14ac:dyDescent="0.25">
      <c r="A373" s="5">
        <v>44220</v>
      </c>
      <c r="B373">
        <v>22.705100000000002</v>
      </c>
      <c r="C373">
        <v>23.166899999999998</v>
      </c>
      <c r="D373">
        <v>22.408799999999999</v>
      </c>
      <c r="E373">
        <v>22.7027</v>
      </c>
      <c r="F373">
        <v>996202.15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-0.2246405487402687</v>
      </c>
      <c r="Q373">
        <f t="shared" si="970"/>
        <v>-223787.39763223549</v>
      </c>
      <c r="R373">
        <f t="shared" si="971"/>
        <v>-25444762.151375305</v>
      </c>
      <c r="S373">
        <f t="shared" si="972"/>
        <v>-254.44762151375306</v>
      </c>
      <c r="T373">
        <f t="shared" si="973"/>
        <v>-0.25444762151375305</v>
      </c>
    </row>
    <row r="374" spans="1:20" x14ac:dyDescent="0.25">
      <c r="A374" s="5">
        <v>44219</v>
      </c>
      <c r="B374">
        <v>22.2926</v>
      </c>
      <c r="C374">
        <v>23.573499999999999</v>
      </c>
      <c r="D374">
        <v>22.13</v>
      </c>
      <c r="E374">
        <v>22.697900000000001</v>
      </c>
      <c r="F374">
        <v>1758652.81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-0.21316245237270309</v>
      </c>
      <c r="Q374">
        <f t="shared" si="970"/>
        <v>-374878.74585174548</v>
      </c>
      <c r="R374">
        <f t="shared" si="971"/>
        <v>-25220974.753743071</v>
      </c>
      <c r="S374">
        <f t="shared" si="972"/>
        <v>-252.2097475374307</v>
      </c>
      <c r="T374">
        <f t="shared" si="973"/>
        <v>-0.2522097475374307</v>
      </c>
    </row>
    <row r="375" spans="1:20" x14ac:dyDescent="0.25">
      <c r="A375" s="5">
        <v>44218</v>
      </c>
      <c r="B375">
        <v>21.325099999999999</v>
      </c>
      <c r="C375">
        <v>23.305399999999999</v>
      </c>
      <c r="D375">
        <v>20.717600000000001</v>
      </c>
      <c r="E375">
        <v>22.284500000000001</v>
      </c>
      <c r="F375">
        <v>2190609.41</v>
      </c>
      <c r="G375">
        <v>0</v>
      </c>
      <c r="L375" t="s">
        <v>8</v>
      </c>
      <c r="M375" t="s">
        <v>7</v>
      </c>
      <c r="N375" t="s">
        <v>7</v>
      </c>
      <c r="P375">
        <f t="shared" si="969"/>
        <v>0.21099003014143419</v>
      </c>
      <c r="Q375">
        <f t="shared" si="970"/>
        <v>462196.74544400943</v>
      </c>
      <c r="R375">
        <f t="shared" si="971"/>
        <v>-24846096.007891327</v>
      </c>
      <c r="S375">
        <f t="shared" si="972"/>
        <v>-248.46096007891327</v>
      </c>
      <c r="T375">
        <f t="shared" si="973"/>
        <v>-0.24846096007891327</v>
      </c>
    </row>
    <row r="376" spans="1:20" x14ac:dyDescent="0.25">
      <c r="A376" s="5">
        <v>44217</v>
      </c>
      <c r="B376">
        <v>22.3399</v>
      </c>
      <c r="C376">
        <v>22.7194</v>
      </c>
      <c r="D376">
        <v>20.908300000000001</v>
      </c>
      <c r="E376">
        <v>21.325099999999999</v>
      </c>
      <c r="F376">
        <v>1090302.7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-0.5397272375904163</v>
      </c>
      <c r="Q376">
        <f t="shared" si="970"/>
        <v>-588466.06440837239</v>
      </c>
      <c r="R376">
        <f t="shared" si="971"/>
        <v>-25308292.753335338</v>
      </c>
      <c r="S376">
        <f t="shared" si="972"/>
        <v>-253.08292753335337</v>
      </c>
      <c r="T376">
        <f t="shared" si="973"/>
        <v>-0.25308292753335337</v>
      </c>
    </row>
    <row r="377" spans="1:20" x14ac:dyDescent="0.25">
      <c r="A377" s="5">
        <v>44216</v>
      </c>
      <c r="B377">
        <v>22.648099999999999</v>
      </c>
      <c r="C377">
        <v>23.125499999999999</v>
      </c>
      <c r="D377">
        <v>21.7</v>
      </c>
      <c r="E377">
        <v>22.338999999999999</v>
      </c>
      <c r="F377">
        <v>1313276.8600000001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-0.1034724658014738</v>
      </c>
      <c r="Q377">
        <f t="shared" si="970"/>
        <v>-135887.9949842169</v>
      </c>
      <c r="R377">
        <f t="shared" si="971"/>
        <v>-24719826.688926965</v>
      </c>
      <c r="S377">
        <f t="shared" si="972"/>
        <v>-247.19826688926966</v>
      </c>
      <c r="T377">
        <f t="shared" si="973"/>
        <v>-0.24719826688926966</v>
      </c>
    </row>
    <row r="378" spans="1:20" x14ac:dyDescent="0.25">
      <c r="A378" s="5">
        <v>44215</v>
      </c>
      <c r="B378">
        <v>23.7654</v>
      </c>
      <c r="C378">
        <v>24.288499999999999</v>
      </c>
      <c r="D378">
        <v>22.645099999999999</v>
      </c>
      <c r="E378">
        <v>22.657800000000002</v>
      </c>
      <c r="F378">
        <v>1392163.3</v>
      </c>
      <c r="G378">
        <v>0</v>
      </c>
      <c r="L378" t="s">
        <v>7</v>
      </c>
      <c r="M378" t="s">
        <v>8</v>
      </c>
      <c r="N378" t="s">
        <v>7</v>
      </c>
      <c r="P378">
        <f t="shared" si="969"/>
        <v>-0.98454423755628284</v>
      </c>
      <c r="Q378">
        <f t="shared" si="970"/>
        <v>-1370646.3547523387</v>
      </c>
      <c r="R378">
        <f t="shared" si="971"/>
        <v>-24583938.693942748</v>
      </c>
      <c r="S378">
        <f t="shared" si="972"/>
        <v>-245.83938693942747</v>
      </c>
      <c r="T378">
        <f t="shared" si="973"/>
        <v>-0.24583938693942747</v>
      </c>
    </row>
    <row r="379" spans="1:20" x14ac:dyDescent="0.25">
      <c r="A379" s="5">
        <v>44214</v>
      </c>
      <c r="B379">
        <v>24.3355</v>
      </c>
      <c r="C379">
        <v>24.927099999999999</v>
      </c>
      <c r="D379">
        <v>23.51</v>
      </c>
      <c r="E379">
        <v>23.7605</v>
      </c>
      <c r="F379">
        <v>1575697.57</v>
      </c>
      <c r="G379">
        <v>0</v>
      </c>
      <c r="L379" t="s">
        <v>7</v>
      </c>
      <c r="M379" t="s">
        <v>8</v>
      </c>
      <c r="N379" t="s">
        <v>7</v>
      </c>
      <c r="P379">
        <f t="shared" si="969"/>
        <v>-0.64646108249241518</v>
      </c>
      <c r="Q379">
        <f t="shared" si="970"/>
        <v>-1018627.1567828682</v>
      </c>
      <c r="R379">
        <f t="shared" si="971"/>
        <v>-23213292.339190409</v>
      </c>
      <c r="S379">
        <f t="shared" si="972"/>
        <v>-232.13292339190409</v>
      </c>
      <c r="T379">
        <f t="shared" si="973"/>
        <v>-0.23213292339190408</v>
      </c>
    </row>
    <row r="380" spans="1:20" x14ac:dyDescent="0.25">
      <c r="A380" s="5">
        <v>44213</v>
      </c>
      <c r="B380">
        <v>22.842600000000001</v>
      </c>
      <c r="C380">
        <v>26.1297</v>
      </c>
      <c r="D380">
        <v>22.400099999999998</v>
      </c>
      <c r="E380">
        <v>24.344200000000001</v>
      </c>
      <c r="F380">
        <v>3324552.24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4.2524667524668422E-2</v>
      </c>
      <c r="Q380">
        <f t="shared" si="970"/>
        <v>141375.47867439166</v>
      </c>
      <c r="R380">
        <f t="shared" si="971"/>
        <v>-22194665.182407539</v>
      </c>
      <c r="S380">
        <f t="shared" si="972"/>
        <v>-221.94665182407539</v>
      </c>
      <c r="T380">
        <f t="shared" si="973"/>
        <v>-0.22194665182407539</v>
      </c>
    </row>
    <row r="381" spans="1:20" x14ac:dyDescent="0.25">
      <c r="A381" s="5">
        <v>44212</v>
      </c>
      <c r="B381">
        <v>21.539100000000001</v>
      </c>
      <c r="C381">
        <v>25.038399999999999</v>
      </c>
      <c r="D381">
        <v>21.516300000000001</v>
      </c>
      <c r="E381">
        <v>22.843299999999999</v>
      </c>
      <c r="F381">
        <v>2154282.19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-0.24647227506317321</v>
      </c>
      <c r="Q381">
        <f t="shared" si="970"/>
        <v>-530970.8324973752</v>
      </c>
      <c r="R381">
        <f t="shared" si="971"/>
        <v>-22336040.661081932</v>
      </c>
      <c r="S381">
        <f t="shared" si="972"/>
        <v>-223.36040661081933</v>
      </c>
      <c r="T381">
        <f t="shared" si="973"/>
        <v>-0.22336040661081932</v>
      </c>
    </row>
    <row r="382" spans="1:20" x14ac:dyDescent="0.25">
      <c r="A382" s="5">
        <v>44211</v>
      </c>
      <c r="B382">
        <v>21.5778</v>
      </c>
      <c r="C382">
        <v>22.246300000000002</v>
      </c>
      <c r="D382">
        <v>21.322199999999999</v>
      </c>
      <c r="E382">
        <v>21.543500000000002</v>
      </c>
      <c r="F382">
        <v>821873.19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-0.5210475056811984</v>
      </c>
      <c r="Q382">
        <f t="shared" si="970"/>
        <v>-428234.97563574964</v>
      </c>
      <c r="R382">
        <f t="shared" si="971"/>
        <v>-21805069.828584556</v>
      </c>
      <c r="S382">
        <f t="shared" si="972"/>
        <v>-218.05069828584556</v>
      </c>
      <c r="T382">
        <f t="shared" si="973"/>
        <v>-0.21805069828584556</v>
      </c>
    </row>
    <row r="383" spans="1:20" x14ac:dyDescent="0.25">
      <c r="A383" s="5">
        <v>44210</v>
      </c>
      <c r="B383">
        <v>21.713100000000001</v>
      </c>
      <c r="C383">
        <v>22.310199999999998</v>
      </c>
      <c r="D383">
        <v>21.382400000000001</v>
      </c>
      <c r="E383">
        <v>21.573799999999999</v>
      </c>
      <c r="F383">
        <v>773935.26</v>
      </c>
      <c r="G383">
        <v>0</v>
      </c>
      <c r="L383" t="s">
        <v>7</v>
      </c>
      <c r="M383" t="s">
        <v>7</v>
      </c>
      <c r="N383" t="s">
        <v>7</v>
      </c>
      <c r="P383">
        <f t="shared" si="969"/>
        <v>-0.58741107997413566</v>
      </c>
      <c r="Q383">
        <f t="shared" si="970"/>
        <v>-454618.14690666349</v>
      </c>
      <c r="R383">
        <f t="shared" si="971"/>
        <v>-21376834.852948807</v>
      </c>
      <c r="S383">
        <f t="shared" si="972"/>
        <v>-213.76834852948807</v>
      </c>
      <c r="T383">
        <f t="shared" si="973"/>
        <v>-0.21376834852948806</v>
      </c>
    </row>
    <row r="384" spans="1:20" x14ac:dyDescent="0.25">
      <c r="A384" s="5">
        <v>44209</v>
      </c>
      <c r="B384">
        <v>21.043500000000002</v>
      </c>
      <c r="C384">
        <v>21.9099</v>
      </c>
      <c r="D384">
        <v>20.9602</v>
      </c>
      <c r="E384">
        <v>21.713100000000001</v>
      </c>
      <c r="F384">
        <v>563074.32999999996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0.585553332631358</v>
      </c>
      <c r="Q384">
        <f t="shared" si="970"/>
        <v>329710.05045066902</v>
      </c>
      <c r="R384">
        <f t="shared" si="971"/>
        <v>-20922216.706042144</v>
      </c>
      <c r="S384">
        <f t="shared" si="972"/>
        <v>-209.22216706042144</v>
      </c>
      <c r="T384">
        <f t="shared" si="973"/>
        <v>-0.20922216706042143</v>
      </c>
    </row>
    <row r="385" spans="1:20" x14ac:dyDescent="0.25">
      <c r="A385" s="5">
        <v>44208</v>
      </c>
      <c r="B385">
        <v>21.645099999999999</v>
      </c>
      <c r="C385">
        <v>21.928999999999998</v>
      </c>
      <c r="D385">
        <v>20.940999999999999</v>
      </c>
      <c r="E385">
        <v>21.0413</v>
      </c>
      <c r="F385">
        <v>813438.12</v>
      </c>
      <c r="G385">
        <v>0</v>
      </c>
      <c r="L385" t="s">
        <v>7</v>
      </c>
      <c r="M385" t="s">
        <v>7</v>
      </c>
      <c r="N385" t="s">
        <v>7</v>
      </c>
      <c r="P385">
        <f t="shared" si="969"/>
        <v>-0.79696356275303493</v>
      </c>
      <c r="Q385">
        <f t="shared" si="970"/>
        <v>-648280.54219433072</v>
      </c>
      <c r="R385">
        <f t="shared" si="971"/>
        <v>-21251926.756492812</v>
      </c>
      <c r="S385">
        <f t="shared" si="972"/>
        <v>-212.51926756492813</v>
      </c>
      <c r="T385">
        <f t="shared" si="973"/>
        <v>-0.21251926756492812</v>
      </c>
    </row>
    <row r="386" spans="1:20" x14ac:dyDescent="0.25">
      <c r="A386" s="5">
        <v>44207</v>
      </c>
      <c r="B386">
        <v>23.413599999999999</v>
      </c>
      <c r="C386">
        <v>23.543299999999999</v>
      </c>
      <c r="D386">
        <v>20.915800000000001</v>
      </c>
      <c r="E386">
        <v>21.639800000000001</v>
      </c>
      <c r="F386">
        <v>1484914.44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-0.44890580399619345</v>
      </c>
      <c r="Q386">
        <f t="shared" si="970"/>
        <v>-666586.71055375738</v>
      </c>
      <c r="R386">
        <f t="shared" si="971"/>
        <v>-20603646.214298483</v>
      </c>
      <c r="S386">
        <f t="shared" si="972"/>
        <v>-206.03646214298482</v>
      </c>
      <c r="T386">
        <f t="shared" si="973"/>
        <v>-0.20603646214298482</v>
      </c>
    </row>
    <row r="387" spans="1:20" x14ac:dyDescent="0.25">
      <c r="A387" s="5">
        <v>44206</v>
      </c>
      <c r="B387">
        <v>22.004999999999999</v>
      </c>
      <c r="C387">
        <v>24.344200000000001</v>
      </c>
      <c r="D387">
        <v>22.004999999999999</v>
      </c>
      <c r="E387">
        <v>23.4251</v>
      </c>
      <c r="F387">
        <v>2178920.9</v>
      </c>
      <c r="G387">
        <v>0</v>
      </c>
      <c r="L387" t="s">
        <v>8</v>
      </c>
      <c r="M387" t="s">
        <v>7</v>
      </c>
      <c r="N387" t="s">
        <v>7</v>
      </c>
      <c r="P387">
        <f t="shared" si="969"/>
        <v>0.21417578659370762</v>
      </c>
      <c r="Q387">
        <f t="shared" si="970"/>
        <v>466672.0976829693</v>
      </c>
      <c r="R387">
        <f t="shared" si="971"/>
        <v>-19937059.503744725</v>
      </c>
      <c r="S387">
        <f t="shared" si="972"/>
        <v>-199.37059503744726</v>
      </c>
      <c r="T387">
        <f t="shared" si="973"/>
        <v>-0.19937059503744725</v>
      </c>
    </row>
    <row r="388" spans="1:20" x14ac:dyDescent="0.25">
      <c r="A388" s="5">
        <v>44205</v>
      </c>
      <c r="B388">
        <v>21.604500000000002</v>
      </c>
      <c r="C388">
        <v>22.6</v>
      </c>
      <c r="D388">
        <v>21.34</v>
      </c>
      <c r="E388">
        <v>22.007100000000001</v>
      </c>
      <c r="F388">
        <v>611335.11</v>
      </c>
      <c r="G388">
        <v>0</v>
      </c>
      <c r="L388" t="s">
        <v>8</v>
      </c>
      <c r="M388" t="s">
        <v>7</v>
      </c>
      <c r="N388" t="s">
        <v>7</v>
      </c>
      <c r="P388">
        <f t="shared" si="969"/>
        <v>5.8888888888889733E-2</v>
      </c>
      <c r="Q388">
        <f t="shared" si="970"/>
        <v>36000.845366667185</v>
      </c>
      <c r="R388">
        <f t="shared" si="971"/>
        <v>-20403731.601427693</v>
      </c>
      <c r="S388">
        <f t="shared" si="972"/>
        <v>-204.03731601427694</v>
      </c>
      <c r="T388">
        <f t="shared" si="973"/>
        <v>-0.20403731601427694</v>
      </c>
    </row>
    <row r="389" spans="1:20" x14ac:dyDescent="0.25">
      <c r="A389" s="5">
        <v>44204</v>
      </c>
      <c r="B389">
        <v>22.0566</v>
      </c>
      <c r="C389">
        <v>22.290199999999999</v>
      </c>
      <c r="D389">
        <v>20.8888</v>
      </c>
      <c r="E389">
        <v>21.5989</v>
      </c>
      <c r="F389">
        <v>737513.43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1.3415156272300832E-2</v>
      </c>
      <c r="Q389">
        <f t="shared" si="970"/>
        <v>9893.8579163706017</v>
      </c>
      <c r="R389">
        <f t="shared" si="971"/>
        <v>-20439732.446794361</v>
      </c>
      <c r="S389">
        <f t="shared" si="972"/>
        <v>-204.3973244679436</v>
      </c>
      <c r="T389">
        <f t="shared" si="973"/>
        <v>-0.20439732446794359</v>
      </c>
    </row>
    <row r="390" spans="1:20" x14ac:dyDescent="0.25">
      <c r="A390" s="5">
        <v>44203</v>
      </c>
      <c r="B390">
        <v>21.9407</v>
      </c>
      <c r="C390">
        <v>22.966999999999999</v>
      </c>
      <c r="D390">
        <v>21.7943</v>
      </c>
      <c r="E390">
        <v>22.059799999999999</v>
      </c>
      <c r="F390">
        <v>1291722.6000000001</v>
      </c>
      <c r="G390">
        <v>0</v>
      </c>
      <c r="L390" t="s">
        <v>8</v>
      </c>
      <c r="M390" t="s">
        <v>7</v>
      </c>
      <c r="N390" t="s">
        <v>7</v>
      </c>
      <c r="P390">
        <f t="shared" ref="P390:P453" si="974">IF(C390=D390,0,((E390-D390)-(C390-E390))/(C390-D390))</f>
        <v>-0.54719877206446721</v>
      </c>
      <c r="Q390">
        <f t="shared" ref="Q390:Q453" si="975">F390*P390</f>
        <v>-706829.02056792099</v>
      </c>
      <c r="R390">
        <f t="shared" ref="R390:R453" si="976">R391+Q390</f>
        <v>-20449626.304710731</v>
      </c>
      <c r="S390">
        <f t="shared" ref="S390:S453" si="977">R390/100000</f>
        <v>-204.49626304710731</v>
      </c>
      <c r="T390">
        <f t="shared" ref="T390:T453" si="978">S390/1000</f>
        <v>-0.2044962630471073</v>
      </c>
    </row>
    <row r="391" spans="1:20" x14ac:dyDescent="0.25">
      <c r="A391" s="5">
        <v>44202</v>
      </c>
      <c r="B391">
        <v>21.603899999999999</v>
      </c>
      <c r="C391">
        <v>22.5778</v>
      </c>
      <c r="D391">
        <v>21.521799999999999</v>
      </c>
      <c r="E391">
        <v>21.9407</v>
      </c>
      <c r="F391">
        <v>953691.78</v>
      </c>
      <c r="G391">
        <v>0</v>
      </c>
      <c r="L391" t="s">
        <v>8</v>
      </c>
      <c r="M391" t="s">
        <v>7</v>
      </c>
      <c r="N391" t="s">
        <v>7</v>
      </c>
      <c r="P391">
        <f t="shared" si="974"/>
        <v>-0.20662878787878722</v>
      </c>
      <c r="Q391">
        <f t="shared" si="975"/>
        <v>-197060.17651136301</v>
      </c>
      <c r="R391">
        <f t="shared" si="976"/>
        <v>-19742797.284142811</v>
      </c>
      <c r="S391">
        <f t="shared" si="977"/>
        <v>-197.4279728414281</v>
      </c>
      <c r="T391">
        <f t="shared" si="978"/>
        <v>-0.1974279728414281</v>
      </c>
    </row>
    <row r="392" spans="1:20" x14ac:dyDescent="0.25">
      <c r="A392" s="5">
        <v>44201</v>
      </c>
      <c r="B392">
        <v>21.401499999999999</v>
      </c>
      <c r="C392">
        <v>22.457599999999999</v>
      </c>
      <c r="D392">
        <v>21.0014</v>
      </c>
      <c r="E392">
        <v>21.601900000000001</v>
      </c>
      <c r="F392">
        <v>1083908.33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-0.17525065238291354</v>
      </c>
      <c r="Q392">
        <f t="shared" si="975"/>
        <v>-189955.64195577434</v>
      </c>
      <c r="R392">
        <f t="shared" si="976"/>
        <v>-19545737.107631449</v>
      </c>
      <c r="S392">
        <f t="shared" si="977"/>
        <v>-195.45737107631447</v>
      </c>
      <c r="T392">
        <f t="shared" si="978"/>
        <v>-0.19545737107631447</v>
      </c>
    </row>
    <row r="393" spans="1:20" x14ac:dyDescent="0.25">
      <c r="A393" s="5">
        <v>44200</v>
      </c>
      <c r="B393">
        <v>21.439800000000002</v>
      </c>
      <c r="C393">
        <v>22.98</v>
      </c>
      <c r="D393">
        <v>20.9816</v>
      </c>
      <c r="E393">
        <v>21.405899999999999</v>
      </c>
      <c r="F393">
        <v>1303846.94</v>
      </c>
      <c r="G393">
        <v>0</v>
      </c>
      <c r="L393" t="s">
        <v>8</v>
      </c>
      <c r="M393" t="s">
        <v>7</v>
      </c>
      <c r="N393" t="s">
        <v>7</v>
      </c>
      <c r="P393">
        <f t="shared" si="974"/>
        <v>-0.57536028823058571</v>
      </c>
      <c r="Q393">
        <f t="shared" si="975"/>
        <v>-750181.75120696716</v>
      </c>
      <c r="R393">
        <f t="shared" si="976"/>
        <v>-19355781.465675674</v>
      </c>
      <c r="S393">
        <f t="shared" si="977"/>
        <v>-193.55781465675673</v>
      </c>
      <c r="T393">
        <f t="shared" si="978"/>
        <v>-0.19355781465675673</v>
      </c>
    </row>
    <row r="394" spans="1:20" x14ac:dyDescent="0.25">
      <c r="A394" s="5">
        <v>44199</v>
      </c>
      <c r="B394">
        <v>21.7669</v>
      </c>
      <c r="C394">
        <v>21.9999</v>
      </c>
      <c r="D394">
        <v>20.939699999999998</v>
      </c>
      <c r="E394">
        <v>21.4253</v>
      </c>
      <c r="F394">
        <v>1149838.47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-8.3946425202790498E-2</v>
      </c>
      <c r="Q394">
        <f t="shared" si="975"/>
        <v>-96524.829117146059</v>
      </c>
      <c r="R394">
        <f t="shared" si="976"/>
        <v>-18605599.714468706</v>
      </c>
      <c r="S394">
        <f t="shared" si="977"/>
        <v>-186.05599714468707</v>
      </c>
      <c r="T394">
        <f t="shared" si="978"/>
        <v>-0.18605599714468707</v>
      </c>
    </row>
    <row r="395" spans="1:20" x14ac:dyDescent="0.25">
      <c r="A395" s="5">
        <v>44198</v>
      </c>
      <c r="B395">
        <v>22.214400000000001</v>
      </c>
      <c r="C395">
        <v>23.2285</v>
      </c>
      <c r="D395">
        <v>21.3368</v>
      </c>
      <c r="E395">
        <v>21.776599999999998</v>
      </c>
      <c r="F395">
        <v>1085360.74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-0.53502140931437525</v>
      </c>
      <c r="Q395">
        <f t="shared" si="975"/>
        <v>-580691.23272929317</v>
      </c>
      <c r="R395">
        <f t="shared" si="976"/>
        <v>-18509074.885351561</v>
      </c>
      <c r="S395">
        <f t="shared" si="977"/>
        <v>-185.09074885351561</v>
      </c>
      <c r="T395">
        <f t="shared" si="978"/>
        <v>-0.18509074885351562</v>
      </c>
    </row>
    <row r="396" spans="1:20" x14ac:dyDescent="0.25">
      <c r="A396" s="5">
        <v>44197</v>
      </c>
      <c r="B396">
        <v>24.335599999999999</v>
      </c>
      <c r="C396">
        <v>25</v>
      </c>
      <c r="D396">
        <v>21.8948</v>
      </c>
      <c r="E396">
        <v>22.216899999999999</v>
      </c>
      <c r="F396">
        <v>1975066.69</v>
      </c>
      <c r="G396">
        <v>0</v>
      </c>
      <c r="L396" t="s">
        <v>7</v>
      </c>
      <c r="M396" t="s">
        <v>8</v>
      </c>
      <c r="N396" t="s">
        <v>7</v>
      </c>
      <c r="P396">
        <f t="shared" si="974"/>
        <v>-0.79254154321782888</v>
      </c>
      <c r="Q396">
        <f t="shared" si="975"/>
        <v>-1565322.4024507292</v>
      </c>
      <c r="R396">
        <f t="shared" si="976"/>
        <v>-17928383.652622268</v>
      </c>
      <c r="S396">
        <f t="shared" si="977"/>
        <v>-179.28383652622267</v>
      </c>
      <c r="T396">
        <f t="shared" si="978"/>
        <v>-0.17928383652622268</v>
      </c>
    </row>
    <row r="397" spans="1:20" x14ac:dyDescent="0.25">
      <c r="A397" s="5">
        <v>44196</v>
      </c>
      <c r="B397">
        <v>21.517499999999998</v>
      </c>
      <c r="C397">
        <v>26.2</v>
      </c>
      <c r="D397">
        <v>21.0867</v>
      </c>
      <c r="E397">
        <v>24.328399999999998</v>
      </c>
      <c r="F397">
        <v>1980304.58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0.26794829170985418</v>
      </c>
      <c r="Q397">
        <f t="shared" si="975"/>
        <v>530619.22927620029</v>
      </c>
      <c r="R397">
        <f t="shared" si="976"/>
        <v>-16363061.250171537</v>
      </c>
      <c r="S397">
        <f t="shared" si="977"/>
        <v>-163.63061250171538</v>
      </c>
      <c r="T397">
        <f t="shared" si="978"/>
        <v>-0.16363061250171537</v>
      </c>
    </row>
    <row r="398" spans="1:20" x14ac:dyDescent="0.25">
      <c r="A398" s="5">
        <v>44195</v>
      </c>
      <c r="B398">
        <v>20.448599999999999</v>
      </c>
      <c r="C398">
        <v>22.0122</v>
      </c>
      <c r="D398">
        <v>20.2212</v>
      </c>
      <c r="E398">
        <v>21.517299999999999</v>
      </c>
      <c r="F398">
        <v>1012089.23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0.44734785036292446</v>
      </c>
      <c r="Q398">
        <f t="shared" si="975"/>
        <v>452755.94141596742</v>
      </c>
      <c r="R398">
        <f t="shared" si="976"/>
        <v>-16893680.479447737</v>
      </c>
      <c r="S398">
        <f t="shared" si="977"/>
        <v>-168.93680479447738</v>
      </c>
      <c r="T398">
        <f t="shared" si="978"/>
        <v>-0.16893680479447737</v>
      </c>
    </row>
    <row r="399" spans="1:20" x14ac:dyDescent="0.25">
      <c r="A399" s="5">
        <v>44194</v>
      </c>
      <c r="B399">
        <v>21.994599999999998</v>
      </c>
      <c r="C399">
        <v>22.275500000000001</v>
      </c>
      <c r="D399">
        <v>19.959</v>
      </c>
      <c r="E399">
        <v>20.4405</v>
      </c>
      <c r="F399">
        <v>1136091.54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-0.5842866393265701</v>
      </c>
      <c r="Q399">
        <f t="shared" si="975"/>
        <v>-663803.10787394759</v>
      </c>
      <c r="R399">
        <f t="shared" si="976"/>
        <v>-17346436.420863703</v>
      </c>
      <c r="S399">
        <f t="shared" si="977"/>
        <v>-173.46436420863702</v>
      </c>
      <c r="T399">
        <f t="shared" si="978"/>
        <v>-0.17346436420863703</v>
      </c>
    </row>
    <row r="400" spans="1:20" x14ac:dyDescent="0.25">
      <c r="A400" s="5">
        <v>44193</v>
      </c>
      <c r="B400">
        <v>22.237300000000001</v>
      </c>
      <c r="C400">
        <v>23.102599999999999</v>
      </c>
      <c r="D400">
        <v>21.951499999999999</v>
      </c>
      <c r="E400">
        <v>21.9937</v>
      </c>
      <c r="F400">
        <v>583942.93000000005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-0.92667882894622333</v>
      </c>
      <c r="Q400">
        <f t="shared" si="975"/>
        <v>-541127.55054382654</v>
      </c>
      <c r="R400">
        <f t="shared" si="976"/>
        <v>-16682633.312989755</v>
      </c>
      <c r="S400">
        <f t="shared" si="977"/>
        <v>-166.82633312989753</v>
      </c>
      <c r="T400">
        <f t="shared" si="978"/>
        <v>-0.16682633312989753</v>
      </c>
    </row>
    <row r="401" spans="1:20" x14ac:dyDescent="0.25">
      <c r="A401" s="5">
        <v>44192</v>
      </c>
      <c r="B401">
        <v>23.5656</v>
      </c>
      <c r="C401">
        <v>23.697900000000001</v>
      </c>
      <c r="D401">
        <v>22.222300000000001</v>
      </c>
      <c r="E401">
        <v>22.236000000000001</v>
      </c>
      <c r="F401">
        <v>712076.66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-0.98143128219029541</v>
      </c>
      <c r="Q401">
        <f t="shared" si="975"/>
        <v>-698854.30944158311</v>
      </c>
      <c r="R401">
        <f t="shared" si="976"/>
        <v>-16141505.762445929</v>
      </c>
      <c r="S401">
        <f t="shared" si="977"/>
        <v>-161.41505762445928</v>
      </c>
      <c r="T401">
        <f t="shared" si="978"/>
        <v>-0.16141505762445929</v>
      </c>
    </row>
    <row r="402" spans="1:20" x14ac:dyDescent="0.25">
      <c r="A402" s="5">
        <v>44191</v>
      </c>
      <c r="B402">
        <v>24.349599999999999</v>
      </c>
      <c r="C402">
        <v>24.378499999999999</v>
      </c>
      <c r="D402">
        <v>23.434899999999999</v>
      </c>
      <c r="E402">
        <v>23.565200000000001</v>
      </c>
      <c r="F402">
        <v>318833.86</v>
      </c>
      <c r="G402">
        <v>0</v>
      </c>
      <c r="L402" t="s">
        <v>8</v>
      </c>
      <c r="M402" t="s">
        <v>7</v>
      </c>
      <c r="N402" t="s">
        <v>7</v>
      </c>
      <c r="P402">
        <f t="shared" si="974"/>
        <v>-0.72382365409071248</v>
      </c>
      <c r="Q402">
        <f t="shared" si="975"/>
        <v>-230779.48959304663</v>
      </c>
      <c r="R402">
        <f t="shared" si="976"/>
        <v>-15442651.453004345</v>
      </c>
      <c r="S402">
        <f t="shared" si="977"/>
        <v>-154.42651453004345</v>
      </c>
      <c r="T402">
        <f t="shared" si="978"/>
        <v>-0.15442651453004344</v>
      </c>
    </row>
    <row r="403" spans="1:20" x14ac:dyDescent="0.25">
      <c r="A403" s="5">
        <v>44190</v>
      </c>
      <c r="B403">
        <v>23.683</v>
      </c>
      <c r="C403">
        <v>24.590299999999999</v>
      </c>
      <c r="D403">
        <v>23.12</v>
      </c>
      <c r="E403">
        <v>24.349</v>
      </c>
      <c r="F403">
        <v>1254489.78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0.67176766646262764</v>
      </c>
      <c r="Q403">
        <f t="shared" si="975"/>
        <v>842725.67211181519</v>
      </c>
      <c r="R403">
        <f t="shared" si="976"/>
        <v>-15211871.9634113</v>
      </c>
      <c r="S403">
        <f t="shared" si="977"/>
        <v>-152.11871963411301</v>
      </c>
      <c r="T403">
        <f t="shared" si="978"/>
        <v>-0.152118719634113</v>
      </c>
    </row>
    <row r="404" spans="1:20" x14ac:dyDescent="0.25">
      <c r="A404" s="5">
        <v>44189</v>
      </c>
      <c r="B404">
        <v>22.334900000000001</v>
      </c>
      <c r="C404">
        <v>24.4495</v>
      </c>
      <c r="D404">
        <v>21.815100000000001</v>
      </c>
      <c r="E404">
        <v>23.699100000000001</v>
      </c>
      <c r="F404">
        <v>952827.63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0.43030671120558817</v>
      </c>
      <c r="Q404">
        <f t="shared" si="975"/>
        <v>410008.12381111505</v>
      </c>
      <c r="R404">
        <f t="shared" si="976"/>
        <v>-16054597.635523114</v>
      </c>
      <c r="S404">
        <f t="shared" si="977"/>
        <v>-160.54597635523115</v>
      </c>
      <c r="T404">
        <f t="shared" si="978"/>
        <v>-0.16054597635523116</v>
      </c>
    </row>
    <row r="405" spans="1:20" x14ac:dyDescent="0.25">
      <c r="A405" s="5">
        <v>44188</v>
      </c>
      <c r="B405">
        <v>24.621500000000001</v>
      </c>
      <c r="C405">
        <v>25.0122</v>
      </c>
      <c r="D405">
        <v>21.212599999999998</v>
      </c>
      <c r="E405">
        <v>22.335799999999999</v>
      </c>
      <c r="F405">
        <v>1171948.67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-0.40877987156542783</v>
      </c>
      <c r="Q405">
        <f t="shared" si="975"/>
        <v>-479069.02680387395</v>
      </c>
      <c r="R405">
        <f t="shared" si="976"/>
        <v>-16464605.759334229</v>
      </c>
      <c r="S405">
        <f t="shared" si="977"/>
        <v>-164.64605759334228</v>
      </c>
      <c r="T405">
        <f t="shared" si="978"/>
        <v>-0.16464605759334228</v>
      </c>
    </row>
    <row r="406" spans="1:20" x14ac:dyDescent="0.25">
      <c r="A406" s="5">
        <v>44187</v>
      </c>
      <c r="B406">
        <v>24.992000000000001</v>
      </c>
      <c r="C406">
        <v>25.589200000000002</v>
      </c>
      <c r="D406">
        <v>24.4</v>
      </c>
      <c r="E406">
        <v>24.621300000000002</v>
      </c>
      <c r="F406">
        <v>1231062.98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-0.62781701984527016</v>
      </c>
      <c r="Q406">
        <f t="shared" si="975"/>
        <v>-772882.29134543741</v>
      </c>
      <c r="R406">
        <f t="shared" si="976"/>
        <v>-15985536.732530355</v>
      </c>
      <c r="S406">
        <f t="shared" si="977"/>
        <v>-159.85536732530355</v>
      </c>
      <c r="T406">
        <f t="shared" si="978"/>
        <v>-0.15985536732530356</v>
      </c>
    </row>
    <row r="407" spans="1:20" x14ac:dyDescent="0.25">
      <c r="A407" s="5">
        <v>44186</v>
      </c>
      <c r="B407">
        <v>28.389700000000001</v>
      </c>
      <c r="C407">
        <v>28.396699999999999</v>
      </c>
      <c r="D407">
        <v>23.839200000000002</v>
      </c>
      <c r="E407">
        <v>24.996300000000002</v>
      </c>
      <c r="F407">
        <v>1351069.74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-0.49222161272627518</v>
      </c>
      <c r="Q407">
        <f t="shared" si="975"/>
        <v>-665025.72632846935</v>
      </c>
      <c r="R407">
        <f t="shared" si="976"/>
        <v>-15212654.441184917</v>
      </c>
      <c r="S407">
        <f t="shared" si="977"/>
        <v>-152.12654441184918</v>
      </c>
      <c r="T407">
        <f t="shared" si="978"/>
        <v>-0.15212654441184917</v>
      </c>
    </row>
    <row r="408" spans="1:20" x14ac:dyDescent="0.25">
      <c r="A408" s="5">
        <v>44185</v>
      </c>
      <c r="B408">
        <v>28.199400000000001</v>
      </c>
      <c r="C408">
        <v>28.489100000000001</v>
      </c>
      <c r="D408">
        <v>27.934200000000001</v>
      </c>
      <c r="E408">
        <v>28.389099999999999</v>
      </c>
      <c r="F408">
        <v>260830.23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0.63957469814380452</v>
      </c>
      <c r="Q408">
        <f t="shared" si="975"/>
        <v>166820.41561902911</v>
      </c>
      <c r="R408">
        <f t="shared" si="976"/>
        <v>-14547628.714856448</v>
      </c>
      <c r="S408">
        <f t="shared" si="977"/>
        <v>-145.47628714856447</v>
      </c>
      <c r="T408">
        <f t="shared" si="978"/>
        <v>-0.14547628714856448</v>
      </c>
    </row>
    <row r="409" spans="1:20" x14ac:dyDescent="0.25">
      <c r="A409" s="5">
        <v>44184</v>
      </c>
      <c r="B409">
        <v>28.460100000000001</v>
      </c>
      <c r="C409">
        <v>28.896799999999999</v>
      </c>
      <c r="D409">
        <v>28.0806</v>
      </c>
      <c r="E409">
        <v>28.200800000000001</v>
      </c>
      <c r="F409">
        <v>504450.37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-0.70546434697377913</v>
      </c>
      <c r="Q409">
        <f t="shared" si="975"/>
        <v>-355871.75085273129</v>
      </c>
      <c r="R409">
        <f t="shared" si="976"/>
        <v>-14714449.130475476</v>
      </c>
      <c r="S409">
        <f t="shared" si="977"/>
        <v>-147.14449130475475</v>
      </c>
      <c r="T409">
        <f t="shared" si="978"/>
        <v>-0.14714449130475477</v>
      </c>
    </row>
    <row r="410" spans="1:20" x14ac:dyDescent="0.25">
      <c r="A410" s="5">
        <v>44183</v>
      </c>
      <c r="B410">
        <v>28.436599999999999</v>
      </c>
      <c r="C410">
        <v>28.8596</v>
      </c>
      <c r="D410">
        <v>28.310099999999998</v>
      </c>
      <c r="E410">
        <v>28.457699999999999</v>
      </c>
      <c r="F410">
        <v>352202.43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-0.46278434940855279</v>
      </c>
      <c r="Q410">
        <f t="shared" si="975"/>
        <v>-162993.77242766134</v>
      </c>
      <c r="R410">
        <f t="shared" si="976"/>
        <v>-14358577.379622744</v>
      </c>
      <c r="S410">
        <f t="shared" si="977"/>
        <v>-143.58577379622744</v>
      </c>
      <c r="T410">
        <f t="shared" si="978"/>
        <v>-0.14358577379622744</v>
      </c>
    </row>
    <row r="411" spans="1:20" x14ac:dyDescent="0.25">
      <c r="A411" s="5">
        <v>44182</v>
      </c>
      <c r="B411">
        <v>28.411200000000001</v>
      </c>
      <c r="C411">
        <v>29.460799999999999</v>
      </c>
      <c r="D411">
        <v>28.283200000000001</v>
      </c>
      <c r="E411">
        <v>28.4405</v>
      </c>
      <c r="F411">
        <v>723195.22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-0.7328464673913051</v>
      </c>
      <c r="Q411">
        <f t="shared" si="975"/>
        <v>-529991.06221127766</v>
      </c>
      <c r="R411">
        <f t="shared" si="976"/>
        <v>-14195583.607195083</v>
      </c>
      <c r="S411">
        <f t="shared" si="977"/>
        <v>-141.95583607195084</v>
      </c>
      <c r="T411">
        <f t="shared" si="978"/>
        <v>-0.14195583607195084</v>
      </c>
    </row>
    <row r="412" spans="1:20" x14ac:dyDescent="0.25">
      <c r="A412" s="5">
        <v>44181</v>
      </c>
      <c r="B412">
        <v>29.123699999999999</v>
      </c>
      <c r="C412">
        <v>29.531300000000002</v>
      </c>
      <c r="D412">
        <v>27.821999999999999</v>
      </c>
      <c r="E412">
        <v>28.416</v>
      </c>
      <c r="F412">
        <v>691678.7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-0.30497864622945026</v>
      </c>
      <c r="Q412">
        <f t="shared" si="975"/>
        <v>-210947.23355174603</v>
      </c>
      <c r="R412">
        <f t="shared" si="976"/>
        <v>-13665592.544983806</v>
      </c>
      <c r="S412">
        <f t="shared" si="977"/>
        <v>-136.65592544983807</v>
      </c>
      <c r="T412">
        <f t="shared" si="978"/>
        <v>-0.13665592544983807</v>
      </c>
    </row>
    <row r="413" spans="1:20" x14ac:dyDescent="0.25">
      <c r="A413" s="5">
        <v>44180</v>
      </c>
      <c r="B413">
        <v>29.3385</v>
      </c>
      <c r="C413">
        <v>29.792999999999999</v>
      </c>
      <c r="D413">
        <v>29.03</v>
      </c>
      <c r="E413">
        <v>29.123699999999999</v>
      </c>
      <c r="F413">
        <v>457502.22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-0.75439056356487921</v>
      </c>
      <c r="Q413">
        <f t="shared" si="975"/>
        <v>-345135.35757798335</v>
      </c>
      <c r="R413">
        <f t="shared" si="976"/>
        <v>-13454645.31143206</v>
      </c>
      <c r="S413">
        <f t="shared" si="977"/>
        <v>-134.5464531143206</v>
      </c>
      <c r="T413">
        <f t="shared" si="978"/>
        <v>-0.13454645311432059</v>
      </c>
    </row>
    <row r="414" spans="1:20" x14ac:dyDescent="0.25">
      <c r="A414" s="5">
        <v>44179</v>
      </c>
      <c r="B414">
        <v>29.984300000000001</v>
      </c>
      <c r="C414">
        <v>30.1557</v>
      </c>
      <c r="D414">
        <v>29.087</v>
      </c>
      <c r="E414">
        <v>29.334700000000002</v>
      </c>
      <c r="F414">
        <v>535083.87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-0.53644614952745984</v>
      </c>
      <c r="Q414">
        <f t="shared" si="975"/>
        <v>-287043.68173575186</v>
      </c>
      <c r="R414">
        <f t="shared" si="976"/>
        <v>-13109509.953854077</v>
      </c>
      <c r="S414">
        <f t="shared" si="977"/>
        <v>-131.09509953854078</v>
      </c>
      <c r="T414">
        <f t="shared" si="978"/>
        <v>-0.13109509953854079</v>
      </c>
    </row>
    <row r="415" spans="1:20" x14ac:dyDescent="0.25">
      <c r="A415" s="5">
        <v>44178</v>
      </c>
      <c r="B415">
        <v>29.915600000000001</v>
      </c>
      <c r="C415">
        <v>30.354900000000001</v>
      </c>
      <c r="D415">
        <v>29.850899999999999</v>
      </c>
      <c r="E415">
        <v>29.99</v>
      </c>
      <c r="F415">
        <v>313538.96000000002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-0.44801587301587797</v>
      </c>
      <c r="Q415">
        <f t="shared" si="975"/>
        <v>-140470.43088889046</v>
      </c>
      <c r="R415">
        <f t="shared" si="976"/>
        <v>-12822466.272118324</v>
      </c>
      <c r="S415">
        <f t="shared" si="977"/>
        <v>-128.22466272118325</v>
      </c>
      <c r="T415">
        <f t="shared" si="978"/>
        <v>-0.12822466272118324</v>
      </c>
    </row>
    <row r="416" spans="1:20" x14ac:dyDescent="0.25">
      <c r="A416" s="5">
        <v>44177</v>
      </c>
      <c r="B416">
        <v>29.8293</v>
      </c>
      <c r="C416">
        <v>30.343800000000002</v>
      </c>
      <c r="D416">
        <v>29.769600000000001</v>
      </c>
      <c r="E416">
        <v>29.915700000000001</v>
      </c>
      <c r="F416">
        <v>475286.21</v>
      </c>
      <c r="G416">
        <v>0</v>
      </c>
      <c r="L416" t="s">
        <v>7</v>
      </c>
      <c r="M416" t="s">
        <v>8</v>
      </c>
      <c r="N416" t="s">
        <v>7</v>
      </c>
      <c r="P416">
        <f t="shared" si="974"/>
        <v>-0.49111807732497292</v>
      </c>
      <c r="Q416">
        <f t="shared" si="975"/>
        <v>-233421.64963427332</v>
      </c>
      <c r="R416">
        <f t="shared" si="976"/>
        <v>-12681995.841229433</v>
      </c>
      <c r="S416">
        <f t="shared" si="977"/>
        <v>-126.81995841229433</v>
      </c>
      <c r="T416">
        <f t="shared" si="978"/>
        <v>-0.12681995841229432</v>
      </c>
    </row>
    <row r="417" spans="1:20" x14ac:dyDescent="0.25">
      <c r="A417" s="5">
        <v>44176</v>
      </c>
      <c r="B417">
        <v>30.538</v>
      </c>
      <c r="C417">
        <v>30.723600000000001</v>
      </c>
      <c r="D417">
        <v>29.814</v>
      </c>
      <c r="E417">
        <v>29.8306</v>
      </c>
      <c r="F417">
        <v>998641.15</v>
      </c>
      <c r="G417">
        <v>0</v>
      </c>
      <c r="L417" t="s">
        <v>7</v>
      </c>
      <c r="M417" t="s">
        <v>8</v>
      </c>
      <c r="N417" t="s">
        <v>7</v>
      </c>
      <c r="P417">
        <f t="shared" si="974"/>
        <v>-0.96350043975373711</v>
      </c>
      <c r="Q417">
        <f t="shared" si="975"/>
        <v>-962191.18718117778</v>
      </c>
      <c r="R417">
        <f t="shared" si="976"/>
        <v>-12448574.191595159</v>
      </c>
      <c r="S417">
        <f t="shared" si="977"/>
        <v>-124.48574191595159</v>
      </c>
      <c r="T417">
        <f t="shared" si="978"/>
        <v>-0.12448574191595159</v>
      </c>
    </row>
    <row r="418" spans="1:20" x14ac:dyDescent="0.25">
      <c r="A418" s="5">
        <v>44175</v>
      </c>
      <c r="B418">
        <v>30.5001</v>
      </c>
      <c r="C418">
        <v>32.799999999999997</v>
      </c>
      <c r="D418">
        <v>30.459900000000001</v>
      </c>
      <c r="E418">
        <v>30.538</v>
      </c>
      <c r="F418">
        <v>1475987.52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-0.93325071578137742</v>
      </c>
      <c r="Q418">
        <f t="shared" si="975"/>
        <v>-1377466.4095243802</v>
      </c>
      <c r="R418">
        <f t="shared" si="976"/>
        <v>-11486383.004413981</v>
      </c>
      <c r="S418">
        <f t="shared" si="977"/>
        <v>-114.8638300441398</v>
      </c>
      <c r="T418">
        <f t="shared" si="978"/>
        <v>-0.1148638300441398</v>
      </c>
    </row>
    <row r="419" spans="1:20" x14ac:dyDescent="0.25">
      <c r="A419" s="5">
        <v>44174</v>
      </c>
      <c r="B419">
        <v>29.932200000000002</v>
      </c>
      <c r="C419">
        <v>31.400600000000001</v>
      </c>
      <c r="D419">
        <v>29.655200000000001</v>
      </c>
      <c r="E419">
        <v>30.5</v>
      </c>
      <c r="F419">
        <v>1331319.47</v>
      </c>
      <c r="G419">
        <v>0</v>
      </c>
      <c r="L419" t="s">
        <v>7</v>
      </c>
      <c r="M419" t="s">
        <v>8</v>
      </c>
      <c r="N419" t="s">
        <v>7</v>
      </c>
      <c r="P419">
        <f t="shared" si="974"/>
        <v>-3.1969749054658762E-2</v>
      </c>
      <c r="Q419">
        <f t="shared" si="975"/>
        <v>-42561.949367481306</v>
      </c>
      <c r="R419">
        <f t="shared" si="976"/>
        <v>-10108916.5948896</v>
      </c>
      <c r="S419">
        <f t="shared" si="977"/>
        <v>-101.089165948896</v>
      </c>
      <c r="T419">
        <f t="shared" si="978"/>
        <v>-0.101089165948896</v>
      </c>
    </row>
    <row r="420" spans="1:20" x14ac:dyDescent="0.25">
      <c r="A420" s="5">
        <v>44173</v>
      </c>
      <c r="B420">
        <v>30.482299999999999</v>
      </c>
      <c r="C420">
        <v>30.946100000000001</v>
      </c>
      <c r="D420">
        <v>29.7</v>
      </c>
      <c r="E420">
        <v>29.937000000000001</v>
      </c>
      <c r="F420">
        <v>929012.5</v>
      </c>
      <c r="G420">
        <v>0</v>
      </c>
      <c r="L420" t="s">
        <v>7</v>
      </c>
      <c r="M420" t="s">
        <v>8</v>
      </c>
      <c r="N420" t="s">
        <v>7</v>
      </c>
      <c r="P420">
        <f t="shared" si="974"/>
        <v>-0.61961319316266517</v>
      </c>
      <c r="Q420">
        <f t="shared" si="975"/>
        <v>-575628.40161303047</v>
      </c>
      <c r="R420">
        <f t="shared" si="976"/>
        <v>-10066354.645522118</v>
      </c>
      <c r="S420">
        <f t="shared" si="977"/>
        <v>-100.66354645522118</v>
      </c>
      <c r="T420">
        <f t="shared" si="978"/>
        <v>-0.10066354645522119</v>
      </c>
    </row>
    <row r="421" spans="1:20" x14ac:dyDescent="0.25">
      <c r="A421" s="5">
        <v>44172</v>
      </c>
      <c r="B421">
        <v>29.325199999999999</v>
      </c>
      <c r="C421">
        <v>34</v>
      </c>
      <c r="D421">
        <v>29.2744</v>
      </c>
      <c r="E421">
        <v>30.472999999999999</v>
      </c>
      <c r="F421">
        <v>1383098.17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-0.49272050110038978</v>
      </c>
      <c r="Q421">
        <f t="shared" si="975"/>
        <v>-681480.82339343207</v>
      </c>
      <c r="R421">
        <f t="shared" si="976"/>
        <v>-9490726.243909087</v>
      </c>
      <c r="S421">
        <f t="shared" si="977"/>
        <v>-94.907262439090871</v>
      </c>
      <c r="T421">
        <f t="shared" si="978"/>
        <v>-9.4907262439090867E-2</v>
      </c>
    </row>
    <row r="422" spans="1:20" x14ac:dyDescent="0.25">
      <c r="A422" s="5">
        <v>44171</v>
      </c>
      <c r="B422">
        <v>29.859300000000001</v>
      </c>
      <c r="C422">
        <v>30.078199999999999</v>
      </c>
      <c r="D422">
        <v>29.0152</v>
      </c>
      <c r="E422">
        <v>29.3247</v>
      </c>
      <c r="F422">
        <v>309980.14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-0.41768579492003721</v>
      </c>
      <c r="Q422">
        <f t="shared" si="975"/>
        <v>-129474.30118532442</v>
      </c>
      <c r="R422">
        <f t="shared" si="976"/>
        <v>-8809245.4205156546</v>
      </c>
      <c r="S422">
        <f t="shared" si="977"/>
        <v>-88.092454205156542</v>
      </c>
      <c r="T422">
        <f t="shared" si="978"/>
        <v>-8.8092454205156545E-2</v>
      </c>
    </row>
    <row r="423" spans="1:20" x14ac:dyDescent="0.25">
      <c r="A423" s="5">
        <v>44170</v>
      </c>
      <c r="B423">
        <v>29.0061</v>
      </c>
      <c r="C423">
        <v>30.183599999999998</v>
      </c>
      <c r="D423">
        <v>28.917400000000001</v>
      </c>
      <c r="E423">
        <v>29.857900000000001</v>
      </c>
      <c r="F423">
        <v>378043.89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0.48554730690254583</v>
      </c>
      <c r="Q423">
        <f t="shared" si="975"/>
        <v>183558.19268046229</v>
      </c>
      <c r="R423">
        <f t="shared" si="976"/>
        <v>-8679771.1193303298</v>
      </c>
      <c r="S423">
        <f t="shared" si="977"/>
        <v>-86.7977111933033</v>
      </c>
      <c r="T423">
        <f t="shared" si="978"/>
        <v>-8.6797711193303304E-2</v>
      </c>
    </row>
    <row r="424" spans="1:20" x14ac:dyDescent="0.25">
      <c r="A424" s="5">
        <v>44169</v>
      </c>
      <c r="B424">
        <v>30.420500000000001</v>
      </c>
      <c r="C424">
        <v>30.528300000000002</v>
      </c>
      <c r="D424">
        <v>28.917300000000001</v>
      </c>
      <c r="E424">
        <v>29.008500000000002</v>
      </c>
      <c r="F424">
        <v>663311.68000000005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-0.88677839851024132</v>
      </c>
      <c r="Q424">
        <f t="shared" si="975"/>
        <v>-588210.46930353774</v>
      </c>
      <c r="R424">
        <f t="shared" si="976"/>
        <v>-8863329.312010793</v>
      </c>
      <c r="S424">
        <f t="shared" si="977"/>
        <v>-88.633293120107936</v>
      </c>
      <c r="T424">
        <f t="shared" si="978"/>
        <v>-8.8633293120107939E-2</v>
      </c>
    </row>
    <row r="425" spans="1:20" x14ac:dyDescent="0.25">
      <c r="A425" s="5">
        <v>44168</v>
      </c>
      <c r="B425">
        <v>30.561299999999999</v>
      </c>
      <c r="C425">
        <v>30.900099999999998</v>
      </c>
      <c r="D425">
        <v>30.210899999999999</v>
      </c>
      <c r="E425">
        <v>30.424600000000002</v>
      </c>
      <c r="F425">
        <v>468646.74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-0.3798607080673157</v>
      </c>
      <c r="Q425">
        <f t="shared" si="975"/>
        <v>-178020.4824898392</v>
      </c>
      <c r="R425">
        <f t="shared" si="976"/>
        <v>-8275118.8427072549</v>
      </c>
      <c r="S425">
        <f t="shared" si="977"/>
        <v>-82.751188427072549</v>
      </c>
      <c r="T425">
        <f t="shared" si="978"/>
        <v>-8.2751188427072547E-2</v>
      </c>
    </row>
    <row r="426" spans="1:20" x14ac:dyDescent="0.25">
      <c r="A426" s="5">
        <v>44167</v>
      </c>
      <c r="B426">
        <v>30.322900000000001</v>
      </c>
      <c r="C426">
        <v>31.2971</v>
      </c>
      <c r="D426">
        <v>30.1</v>
      </c>
      <c r="E426">
        <v>30.575399999999998</v>
      </c>
      <c r="F426">
        <v>644848.67000000004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-0.20574722245426888</v>
      </c>
      <c r="Q426">
        <f t="shared" si="975"/>
        <v>-132675.82275582943</v>
      </c>
      <c r="R426">
        <f t="shared" si="976"/>
        <v>-8097098.3602174157</v>
      </c>
      <c r="S426">
        <f t="shared" si="977"/>
        <v>-80.970983602174158</v>
      </c>
      <c r="T426">
        <f t="shared" si="978"/>
        <v>-8.0970983602174154E-2</v>
      </c>
    </row>
    <row r="427" spans="1:20" x14ac:dyDescent="0.25">
      <c r="A427" s="5">
        <v>44166</v>
      </c>
      <c r="B427">
        <v>30.376799999999999</v>
      </c>
      <c r="C427">
        <v>31.976900000000001</v>
      </c>
      <c r="D427">
        <v>29.7195</v>
      </c>
      <c r="E427">
        <v>30.323</v>
      </c>
      <c r="F427">
        <v>819376.45</v>
      </c>
      <c r="G427">
        <v>0</v>
      </c>
      <c r="L427" t="s">
        <v>8</v>
      </c>
      <c r="M427" t="s">
        <v>7</v>
      </c>
      <c r="N427" t="s">
        <v>7</v>
      </c>
      <c r="P427">
        <f t="shared" si="974"/>
        <v>-0.46531407814299619</v>
      </c>
      <c r="Q427">
        <f t="shared" si="975"/>
        <v>-381267.39748383081</v>
      </c>
      <c r="R427">
        <f t="shared" si="976"/>
        <v>-7964422.5374615863</v>
      </c>
      <c r="S427">
        <f t="shared" si="977"/>
        <v>-79.644225374615857</v>
      </c>
      <c r="T427">
        <f t="shared" si="978"/>
        <v>-7.9644225374615851E-2</v>
      </c>
    </row>
    <row r="428" spans="1:20" x14ac:dyDescent="0.25">
      <c r="A428" s="5">
        <v>44165</v>
      </c>
      <c r="B428">
        <v>30.019300000000001</v>
      </c>
      <c r="C428">
        <v>30.8965</v>
      </c>
      <c r="D428">
        <v>30.0016</v>
      </c>
      <c r="E428">
        <v>30.3751</v>
      </c>
      <c r="F428">
        <v>639113.1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-0.16526986255447532</v>
      </c>
      <c r="Q428">
        <f t="shared" si="975"/>
        <v>-105626.13419376464</v>
      </c>
      <c r="R428">
        <f t="shared" si="976"/>
        <v>-7583155.139977756</v>
      </c>
      <c r="S428">
        <f t="shared" si="977"/>
        <v>-75.831551399777553</v>
      </c>
      <c r="T428">
        <f t="shared" si="978"/>
        <v>-7.5831551399777555E-2</v>
      </c>
    </row>
    <row r="429" spans="1:20" x14ac:dyDescent="0.25">
      <c r="A429" s="5">
        <v>44164</v>
      </c>
      <c r="B429">
        <v>29.942799999999998</v>
      </c>
      <c r="C429">
        <v>30.2</v>
      </c>
      <c r="D429">
        <v>29.7272</v>
      </c>
      <c r="E429">
        <v>30.001799999999999</v>
      </c>
      <c r="F429">
        <v>271826.75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0.16159052453468628</v>
      </c>
      <c r="Q429">
        <f t="shared" si="975"/>
        <v>43924.627115059033</v>
      </c>
      <c r="R429">
        <f t="shared" si="976"/>
        <v>-7477529.005783991</v>
      </c>
      <c r="S429">
        <f t="shared" si="977"/>
        <v>-74.775290057839911</v>
      </c>
      <c r="T429">
        <f t="shared" si="978"/>
        <v>-7.4775290057839908E-2</v>
      </c>
    </row>
    <row r="430" spans="1:20" x14ac:dyDescent="0.25">
      <c r="A430" s="5">
        <v>44163</v>
      </c>
      <c r="B430">
        <v>29.9194</v>
      </c>
      <c r="C430">
        <v>30.375399999999999</v>
      </c>
      <c r="D430">
        <v>29.6572</v>
      </c>
      <c r="E430">
        <v>29.943000000000001</v>
      </c>
      <c r="F430">
        <v>400740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-0.20412141464772479</v>
      </c>
      <c r="Q430">
        <f t="shared" si="975"/>
        <v>-81799.615705929231</v>
      </c>
      <c r="R430">
        <f t="shared" si="976"/>
        <v>-7521453.6328990497</v>
      </c>
      <c r="S430">
        <f t="shared" si="977"/>
        <v>-75.214536328990491</v>
      </c>
      <c r="T430">
        <f t="shared" si="978"/>
        <v>-7.5214536328990486E-2</v>
      </c>
    </row>
    <row r="431" spans="1:20" x14ac:dyDescent="0.25">
      <c r="A431" s="5">
        <v>44162</v>
      </c>
      <c r="B431">
        <v>29.892600000000002</v>
      </c>
      <c r="C431">
        <v>30.521100000000001</v>
      </c>
      <c r="D431">
        <v>29.285699999999999</v>
      </c>
      <c r="E431">
        <v>29.938700000000001</v>
      </c>
      <c r="F431">
        <v>578586.52</v>
      </c>
      <c r="G431">
        <v>0</v>
      </c>
      <c r="L431" t="s">
        <v>7</v>
      </c>
      <c r="M431" t="s">
        <v>7</v>
      </c>
      <c r="N431" t="s">
        <v>7</v>
      </c>
      <c r="P431">
        <f t="shared" si="974"/>
        <v>5.7147482596731684E-2</v>
      </c>
      <c r="Q431">
        <f t="shared" si="975"/>
        <v>33064.763082403551</v>
      </c>
      <c r="R431">
        <f t="shared" si="976"/>
        <v>-7439654.0171931209</v>
      </c>
      <c r="S431">
        <f t="shared" si="977"/>
        <v>-74.396540171931207</v>
      </c>
      <c r="T431">
        <f t="shared" si="978"/>
        <v>-7.4396540171931203E-2</v>
      </c>
    </row>
    <row r="432" spans="1:20" x14ac:dyDescent="0.25">
      <c r="A432" s="5">
        <v>44161</v>
      </c>
      <c r="B432">
        <v>30.991700000000002</v>
      </c>
      <c r="C432">
        <v>32.030099999999997</v>
      </c>
      <c r="D432">
        <v>28.830200000000001</v>
      </c>
      <c r="E432">
        <v>29.883500000000002</v>
      </c>
      <c r="F432">
        <v>1725341.81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-0.34166692709147067</v>
      </c>
      <c r="Q432">
        <f t="shared" si="975"/>
        <v>-589492.23440513609</v>
      </c>
      <c r="R432">
        <f t="shared" si="976"/>
        <v>-7472718.7802755246</v>
      </c>
      <c r="S432">
        <f t="shared" si="977"/>
        <v>-74.727187802755239</v>
      </c>
      <c r="T432">
        <f t="shared" si="978"/>
        <v>-7.4727187802755238E-2</v>
      </c>
    </row>
    <row r="433" spans="1:20" x14ac:dyDescent="0.25">
      <c r="A433" s="5">
        <v>44160</v>
      </c>
      <c r="B433">
        <v>29.758900000000001</v>
      </c>
      <c r="C433">
        <v>35.312199999999997</v>
      </c>
      <c r="D433">
        <v>29.5</v>
      </c>
      <c r="E433">
        <v>31.012799999999999</v>
      </c>
      <c r="F433">
        <v>2098325.9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-0.47943979904339173</v>
      </c>
      <c r="Q433">
        <f t="shared" si="975"/>
        <v>-1006020.947823544</v>
      </c>
      <c r="R433">
        <f t="shared" si="976"/>
        <v>-6883226.5458703889</v>
      </c>
      <c r="S433">
        <f t="shared" si="977"/>
        <v>-68.832265458703887</v>
      </c>
      <c r="T433">
        <f t="shared" si="978"/>
        <v>-6.8832265458703884E-2</v>
      </c>
    </row>
    <row r="434" spans="1:20" x14ac:dyDescent="0.25">
      <c r="A434" s="5">
        <v>44159</v>
      </c>
      <c r="B434">
        <v>29.185600000000001</v>
      </c>
      <c r="C434">
        <v>31</v>
      </c>
      <c r="D434">
        <v>29.0002</v>
      </c>
      <c r="E434">
        <v>29.775700000000001</v>
      </c>
      <c r="F434">
        <v>1081887.21</v>
      </c>
      <c r="G434">
        <v>0</v>
      </c>
      <c r="L434" t="s">
        <v>8</v>
      </c>
      <c r="M434" t="s">
        <v>7</v>
      </c>
      <c r="N434" t="s">
        <v>7</v>
      </c>
      <c r="P434">
        <f t="shared" si="974"/>
        <v>-0.22442244224422364</v>
      </c>
      <c r="Q434">
        <f t="shared" si="975"/>
        <v>-242799.76990098925</v>
      </c>
      <c r="R434">
        <f t="shared" si="976"/>
        <v>-5877205.5980468448</v>
      </c>
      <c r="S434">
        <f t="shared" si="977"/>
        <v>-58.772055980468451</v>
      </c>
      <c r="T434">
        <f t="shared" si="978"/>
        <v>-5.8772055980468453E-2</v>
      </c>
    </row>
    <row r="435" spans="1:20" x14ac:dyDescent="0.25">
      <c r="A435" s="5">
        <v>44158</v>
      </c>
      <c r="B435">
        <v>28.927900000000001</v>
      </c>
      <c r="C435">
        <v>29.48</v>
      </c>
      <c r="D435">
        <v>28.731400000000001</v>
      </c>
      <c r="E435">
        <v>29.183199999999999</v>
      </c>
      <c r="F435">
        <v>528273.79</v>
      </c>
      <c r="G435">
        <v>0</v>
      </c>
      <c r="L435" t="s">
        <v>7</v>
      </c>
      <c r="M435" t="s">
        <v>7</v>
      </c>
      <c r="N435" t="s">
        <v>7</v>
      </c>
      <c r="P435">
        <f t="shared" si="974"/>
        <v>0.20705316590969497</v>
      </c>
      <c r="Q435">
        <f t="shared" si="975"/>
        <v>109380.76068661337</v>
      </c>
      <c r="R435">
        <f t="shared" si="976"/>
        <v>-5634405.8281458551</v>
      </c>
      <c r="S435">
        <f t="shared" si="977"/>
        <v>-56.344058281458551</v>
      </c>
      <c r="T435">
        <f t="shared" si="978"/>
        <v>-5.6344058281458553E-2</v>
      </c>
    </row>
    <row r="436" spans="1:20" x14ac:dyDescent="0.25">
      <c r="A436" s="5">
        <v>44157</v>
      </c>
      <c r="B436">
        <v>29.936900000000001</v>
      </c>
      <c r="C436">
        <v>30.218699999999998</v>
      </c>
      <c r="D436">
        <v>28.587299999999999</v>
      </c>
      <c r="E436">
        <v>28.938199999999998</v>
      </c>
      <c r="F436">
        <v>685662.82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-0.56981733480446306</v>
      </c>
      <c r="Q436">
        <f t="shared" si="975"/>
        <v>-390702.56066691224</v>
      </c>
      <c r="R436">
        <f t="shared" si="976"/>
        <v>-5743786.5888324687</v>
      </c>
      <c r="S436">
        <f t="shared" si="977"/>
        <v>-57.437865888324687</v>
      </c>
      <c r="T436">
        <f t="shared" si="978"/>
        <v>-5.7437865888324689E-2</v>
      </c>
    </row>
    <row r="437" spans="1:20" x14ac:dyDescent="0.25">
      <c r="A437" s="5">
        <v>44156</v>
      </c>
      <c r="B437">
        <v>29.049700000000001</v>
      </c>
      <c r="C437">
        <v>31.145199999999999</v>
      </c>
      <c r="D437">
        <v>28.807500000000001</v>
      </c>
      <c r="E437">
        <v>29.936900000000001</v>
      </c>
      <c r="F437">
        <v>1071209.4099999999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-3.3751122898574397E-2</v>
      </c>
      <c r="Q437">
        <f t="shared" si="975"/>
        <v>-36154.520447019364</v>
      </c>
      <c r="R437">
        <f t="shared" si="976"/>
        <v>-5353084.0281655565</v>
      </c>
      <c r="S437">
        <f t="shared" si="977"/>
        <v>-53.530840281655564</v>
      </c>
      <c r="T437">
        <f t="shared" si="978"/>
        <v>-5.3530840281655563E-2</v>
      </c>
    </row>
    <row r="438" spans="1:20" x14ac:dyDescent="0.25">
      <c r="A438" s="5">
        <v>44155</v>
      </c>
      <c r="B438">
        <v>28.845199999999998</v>
      </c>
      <c r="C438">
        <v>30</v>
      </c>
      <c r="D438">
        <v>28.731400000000001</v>
      </c>
      <c r="E438">
        <v>29.051600000000001</v>
      </c>
      <c r="F438">
        <v>625457.86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-0.49519154973987073</v>
      </c>
      <c r="Q438">
        <f t="shared" si="975"/>
        <v>-309721.44699038309</v>
      </c>
      <c r="R438">
        <f t="shared" si="976"/>
        <v>-5316929.507718537</v>
      </c>
      <c r="S438">
        <f t="shared" si="977"/>
        <v>-53.169295077185367</v>
      </c>
      <c r="T438">
        <f t="shared" si="978"/>
        <v>-5.3169295077185368E-2</v>
      </c>
    </row>
    <row r="439" spans="1:20" x14ac:dyDescent="0.25">
      <c r="A439" s="5">
        <v>44154</v>
      </c>
      <c r="B439">
        <v>28.8202</v>
      </c>
      <c r="C439">
        <v>29.3398</v>
      </c>
      <c r="D439">
        <v>28.382100000000001</v>
      </c>
      <c r="E439">
        <v>28.832599999999999</v>
      </c>
      <c r="F439">
        <v>369770.07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-5.9204343740213966E-2</v>
      </c>
      <c r="Q439">
        <f t="shared" si="975"/>
        <v>-21891.994329122979</v>
      </c>
      <c r="R439">
        <f t="shared" si="976"/>
        <v>-5007208.0607281541</v>
      </c>
      <c r="S439">
        <f t="shared" si="977"/>
        <v>-50.072080607281542</v>
      </c>
      <c r="T439">
        <f t="shared" si="978"/>
        <v>-5.0072080607281542E-2</v>
      </c>
    </row>
    <row r="440" spans="1:20" x14ac:dyDescent="0.25">
      <c r="A440" s="5">
        <v>44153</v>
      </c>
      <c r="B440">
        <v>29.1068</v>
      </c>
      <c r="C440">
        <v>29.7911</v>
      </c>
      <c r="D440">
        <v>27.721299999999999</v>
      </c>
      <c r="E440">
        <v>28.820599999999999</v>
      </c>
      <c r="F440">
        <v>779951.97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6.2228234612038941E-2</v>
      </c>
      <c r="Q440">
        <f t="shared" si="975"/>
        <v>48535.034175281959</v>
      </c>
      <c r="R440">
        <f t="shared" si="976"/>
        <v>-4985316.0663990313</v>
      </c>
      <c r="S440">
        <f t="shared" si="977"/>
        <v>-49.853160663990316</v>
      </c>
      <c r="T440">
        <f t="shared" si="978"/>
        <v>-4.9853160663990315E-2</v>
      </c>
    </row>
    <row r="441" spans="1:20" x14ac:dyDescent="0.25">
      <c r="A441" s="5">
        <v>44152</v>
      </c>
      <c r="B441">
        <v>27.441400000000002</v>
      </c>
      <c r="C441">
        <v>30.0167</v>
      </c>
      <c r="D441">
        <v>27.3292</v>
      </c>
      <c r="E441">
        <v>29.111000000000001</v>
      </c>
      <c r="F441">
        <v>874683.52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0.32599069767441896</v>
      </c>
      <c r="Q441">
        <f t="shared" si="975"/>
        <v>285138.69092911662</v>
      </c>
      <c r="R441">
        <f t="shared" si="976"/>
        <v>-5033851.1005743137</v>
      </c>
      <c r="S441">
        <f t="shared" si="977"/>
        <v>-50.338511005743136</v>
      </c>
      <c r="T441">
        <f t="shared" si="978"/>
        <v>-5.0338511005743138E-2</v>
      </c>
    </row>
    <row r="442" spans="1:20" x14ac:dyDescent="0.25">
      <c r="A442" s="5">
        <v>44151</v>
      </c>
      <c r="B442">
        <v>27.730599999999999</v>
      </c>
      <c r="C442">
        <v>28.015999999999998</v>
      </c>
      <c r="D442">
        <v>27.183900000000001</v>
      </c>
      <c r="E442">
        <v>27.448</v>
      </c>
      <c r="F442">
        <v>603708.65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-0.36522052637904079</v>
      </c>
      <c r="Q442">
        <f t="shared" si="975"/>
        <v>-220486.7909325801</v>
      </c>
      <c r="R442">
        <f t="shared" si="976"/>
        <v>-5318989.7915034303</v>
      </c>
      <c r="S442">
        <f t="shared" si="977"/>
        <v>-53.189897915034301</v>
      </c>
      <c r="T442">
        <f t="shared" si="978"/>
        <v>-5.3189897915034298E-2</v>
      </c>
    </row>
    <row r="443" spans="1:20" x14ac:dyDescent="0.25">
      <c r="A443" s="5">
        <v>44150</v>
      </c>
      <c r="B443">
        <v>29.282499999999999</v>
      </c>
      <c r="C443">
        <v>29.3447</v>
      </c>
      <c r="D443">
        <v>27.441299999999998</v>
      </c>
      <c r="E443">
        <v>27.730599999999999</v>
      </c>
      <c r="F443">
        <v>534821.81999999995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-0.69601765262162385</v>
      </c>
      <c r="Q443">
        <f t="shared" si="975"/>
        <v>-372245.4277272246</v>
      </c>
      <c r="R443">
        <f t="shared" si="976"/>
        <v>-5098503.0005708504</v>
      </c>
      <c r="S443">
        <f t="shared" si="977"/>
        <v>-50.985030005708502</v>
      </c>
      <c r="T443">
        <f t="shared" si="978"/>
        <v>-5.0985030005708504E-2</v>
      </c>
    </row>
    <row r="444" spans="1:20" x14ac:dyDescent="0.25">
      <c r="A444" s="5">
        <v>44149</v>
      </c>
      <c r="B444">
        <v>29.16</v>
      </c>
      <c r="C444">
        <v>29.468499999999999</v>
      </c>
      <c r="D444">
        <v>28.473099999999999</v>
      </c>
      <c r="E444">
        <v>29.275300000000001</v>
      </c>
      <c r="F444">
        <v>504114.99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0.61181434599156648</v>
      </c>
      <c r="Q444">
        <f t="shared" si="975"/>
        <v>308424.78291139507</v>
      </c>
      <c r="R444">
        <f t="shared" si="976"/>
        <v>-4726257.5728436261</v>
      </c>
      <c r="S444">
        <f t="shared" si="977"/>
        <v>-47.262575728436261</v>
      </c>
      <c r="T444">
        <f t="shared" si="978"/>
        <v>-4.7262575728436264E-2</v>
      </c>
    </row>
    <row r="445" spans="1:20" x14ac:dyDescent="0.25">
      <c r="A445" s="5">
        <v>44148</v>
      </c>
      <c r="B445">
        <v>29.485099999999999</v>
      </c>
      <c r="C445">
        <v>30.050699999999999</v>
      </c>
      <c r="D445">
        <v>29.084700000000002</v>
      </c>
      <c r="E445">
        <v>29.155000000000001</v>
      </c>
      <c r="F445">
        <v>432455.91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-0.85445134575569404</v>
      </c>
      <c r="Q445">
        <f t="shared" si="975"/>
        <v>-369512.53427950328</v>
      </c>
      <c r="R445">
        <f t="shared" si="976"/>
        <v>-5034682.3557550209</v>
      </c>
      <c r="S445">
        <f t="shared" si="977"/>
        <v>-50.346823557550209</v>
      </c>
      <c r="T445">
        <f t="shared" si="978"/>
        <v>-5.0346823557550206E-2</v>
      </c>
    </row>
    <row r="446" spans="1:20" x14ac:dyDescent="0.25">
      <c r="A446" s="5">
        <v>44147</v>
      </c>
      <c r="B446">
        <v>30.109500000000001</v>
      </c>
      <c r="C446">
        <v>30.3338</v>
      </c>
      <c r="D446">
        <v>28.666699999999999</v>
      </c>
      <c r="E446">
        <v>29.495200000000001</v>
      </c>
      <c r="F446">
        <v>602392.93999999994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-6.0584248095481791E-3</v>
      </c>
      <c r="Q446">
        <f t="shared" si="975"/>
        <v>-3649.5523327926671</v>
      </c>
      <c r="R446">
        <f t="shared" si="976"/>
        <v>-4665169.8214755179</v>
      </c>
      <c r="S446">
        <f t="shared" si="977"/>
        <v>-46.651698214755179</v>
      </c>
      <c r="T446">
        <f t="shared" si="978"/>
        <v>-4.6651698214755177E-2</v>
      </c>
    </row>
    <row r="447" spans="1:20" x14ac:dyDescent="0.25">
      <c r="A447" s="5">
        <v>44146</v>
      </c>
      <c r="B447">
        <v>30.3614</v>
      </c>
      <c r="C447">
        <v>30.965399999999999</v>
      </c>
      <c r="D447">
        <v>29.845700000000001</v>
      </c>
      <c r="E447">
        <v>30.093900000000001</v>
      </c>
      <c r="F447">
        <v>553179.49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-0.55666696436545315</v>
      </c>
      <c r="Q447">
        <f t="shared" si="975"/>
        <v>-307936.74744752952</v>
      </c>
      <c r="R447">
        <f t="shared" si="976"/>
        <v>-4661520.2691427255</v>
      </c>
      <c r="S447">
        <f t="shared" si="977"/>
        <v>-46.615202691427257</v>
      </c>
      <c r="T447">
        <f t="shared" si="978"/>
        <v>-4.6615202691427257E-2</v>
      </c>
    </row>
    <row r="448" spans="1:20" x14ac:dyDescent="0.25">
      <c r="A448" s="5">
        <v>44145</v>
      </c>
      <c r="B448">
        <v>31.211600000000001</v>
      </c>
      <c r="C448">
        <v>31.316500000000001</v>
      </c>
      <c r="D448">
        <v>30.2852</v>
      </c>
      <c r="E448">
        <v>30.3614</v>
      </c>
      <c r="F448">
        <v>711348.49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-0.85222534664985961</v>
      </c>
      <c r="Q448">
        <f t="shared" si="975"/>
        <v>-606229.21347910422</v>
      </c>
      <c r="R448">
        <f t="shared" si="976"/>
        <v>-4353583.5216951957</v>
      </c>
      <c r="S448">
        <f t="shared" si="977"/>
        <v>-43.535835216951959</v>
      </c>
      <c r="T448">
        <f t="shared" si="978"/>
        <v>-4.3535835216951958E-2</v>
      </c>
    </row>
    <row r="449" spans="1:20" x14ac:dyDescent="0.25">
      <c r="A449" s="5">
        <v>44144</v>
      </c>
      <c r="B449">
        <v>30.758800000000001</v>
      </c>
      <c r="C449">
        <v>32.3992</v>
      </c>
      <c r="D449">
        <v>30.333200000000001</v>
      </c>
      <c r="E449">
        <v>31.218800000000002</v>
      </c>
      <c r="F449">
        <v>678300.25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-0.14269119070667899</v>
      </c>
      <c r="Q449">
        <f t="shared" si="975"/>
        <v>-96787.470329138028</v>
      </c>
      <c r="R449">
        <f t="shared" si="976"/>
        <v>-3747354.3082160917</v>
      </c>
      <c r="S449">
        <f t="shared" si="977"/>
        <v>-37.473543082160916</v>
      </c>
      <c r="T449">
        <f t="shared" si="978"/>
        <v>-3.7473543082160915E-2</v>
      </c>
    </row>
    <row r="450" spans="1:20" x14ac:dyDescent="0.25">
      <c r="A450" s="5">
        <v>44143</v>
      </c>
      <c r="B450">
        <v>29.935500000000001</v>
      </c>
      <c r="C450">
        <v>31.190200000000001</v>
      </c>
      <c r="D450">
        <v>29.5915</v>
      </c>
      <c r="E450">
        <v>30.758800000000001</v>
      </c>
      <c r="F450">
        <v>356552.66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0.46031150309626601</v>
      </c>
      <c r="Q450">
        <f t="shared" si="975"/>
        <v>164125.29085757188</v>
      </c>
      <c r="R450">
        <f t="shared" si="976"/>
        <v>-3650566.8378869537</v>
      </c>
      <c r="S450">
        <f t="shared" si="977"/>
        <v>-36.505668378869537</v>
      </c>
      <c r="T450">
        <f t="shared" si="978"/>
        <v>-3.6505668378869538E-2</v>
      </c>
    </row>
    <row r="451" spans="1:20" x14ac:dyDescent="0.25">
      <c r="A451" s="5">
        <v>44142</v>
      </c>
      <c r="B451">
        <v>31.701599999999999</v>
      </c>
      <c r="C451">
        <v>33.3249</v>
      </c>
      <c r="D451">
        <v>29.327500000000001</v>
      </c>
      <c r="E451">
        <v>29.935600000000001</v>
      </c>
      <c r="F451">
        <v>1342540.77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-0.69575223895532068</v>
      </c>
      <c r="Q451">
        <f t="shared" si="975"/>
        <v>-934075.7466163002</v>
      </c>
      <c r="R451">
        <f t="shared" si="976"/>
        <v>-3814692.1287445254</v>
      </c>
      <c r="S451">
        <f t="shared" si="977"/>
        <v>-38.146921287445252</v>
      </c>
      <c r="T451">
        <f t="shared" si="978"/>
        <v>-3.8146921287445255E-2</v>
      </c>
    </row>
    <row r="452" spans="1:20" x14ac:dyDescent="0.25">
      <c r="A452" s="5">
        <v>44141</v>
      </c>
      <c r="B452">
        <v>29.351800000000001</v>
      </c>
      <c r="C452">
        <v>33.299999999999997</v>
      </c>
      <c r="D452">
        <v>29.176100000000002</v>
      </c>
      <c r="E452">
        <v>31.680099999999999</v>
      </c>
      <c r="F452">
        <v>1324665.71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0.2143844419117828</v>
      </c>
      <c r="Q452">
        <f t="shared" si="975"/>
        <v>283987.71895802551</v>
      </c>
      <c r="R452">
        <f t="shared" si="976"/>
        <v>-2880616.3821282252</v>
      </c>
      <c r="S452">
        <f t="shared" si="977"/>
        <v>-28.806163821282251</v>
      </c>
      <c r="T452">
        <f t="shared" si="978"/>
        <v>-2.880616382128225E-2</v>
      </c>
    </row>
    <row r="453" spans="1:20" x14ac:dyDescent="0.25">
      <c r="A453" s="5">
        <v>44140</v>
      </c>
      <c r="B453">
        <v>28.8979</v>
      </c>
      <c r="C453">
        <v>30.252199999999998</v>
      </c>
      <c r="D453">
        <v>28.385300000000001</v>
      </c>
      <c r="E453">
        <v>29.354399999999998</v>
      </c>
      <c r="F453">
        <v>628207.44999999995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3.8191654614600327E-2</v>
      </c>
      <c r="Q453">
        <f t="shared" si="975"/>
        <v>23992.281956718802</v>
      </c>
      <c r="R453">
        <f t="shared" si="976"/>
        <v>-3164604.1010862505</v>
      </c>
      <c r="S453">
        <f t="shared" si="977"/>
        <v>-31.646041010862504</v>
      </c>
      <c r="T453">
        <f t="shared" si="978"/>
        <v>-3.1646041010862505E-2</v>
      </c>
    </row>
    <row r="454" spans="1:20" x14ac:dyDescent="0.25">
      <c r="A454" s="5">
        <v>44139</v>
      </c>
      <c r="B454">
        <v>28.8386</v>
      </c>
      <c r="C454">
        <v>29.532499999999999</v>
      </c>
      <c r="D454">
        <v>28.166799999999999</v>
      </c>
      <c r="E454">
        <v>28.896699999999999</v>
      </c>
      <c r="F454">
        <v>549375.41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6.8902394376510898E-2</v>
      </c>
      <c r="Q454">
        <f t="shared" ref="Q454:Q517" si="980">F454*P454</f>
        <v>37853.281160577368</v>
      </c>
      <c r="R454">
        <f t="shared" ref="R454:R517" si="981">R455+Q454</f>
        <v>-3188596.3830429693</v>
      </c>
      <c r="S454">
        <f t="shared" ref="S454:S517" si="982">R454/100000</f>
        <v>-31.885963830429692</v>
      </c>
      <c r="T454">
        <f t="shared" ref="T454:T517" si="983">S454/1000</f>
        <v>-3.1885963830429694E-2</v>
      </c>
    </row>
    <row r="455" spans="1:20" x14ac:dyDescent="0.25">
      <c r="A455" s="5">
        <v>44138</v>
      </c>
      <c r="B455">
        <v>29.625399999999999</v>
      </c>
      <c r="C455">
        <v>29.684999999999999</v>
      </c>
      <c r="D455">
        <v>27.908100000000001</v>
      </c>
      <c r="E455">
        <v>28.836400000000001</v>
      </c>
      <c r="F455">
        <v>603170.03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4.4853396364456441E-2</v>
      </c>
      <c r="Q455">
        <f t="shared" si="980"/>
        <v>27054.224430751085</v>
      </c>
      <c r="R455">
        <f t="shared" si="981"/>
        <v>-3226449.6642035465</v>
      </c>
      <c r="S455">
        <f t="shared" si="982"/>
        <v>-32.264496642035468</v>
      </c>
      <c r="T455">
        <f t="shared" si="983"/>
        <v>-3.226449664203547E-2</v>
      </c>
    </row>
    <row r="456" spans="1:20" x14ac:dyDescent="0.25">
      <c r="A456" s="5">
        <v>44137</v>
      </c>
      <c r="B456">
        <v>31.564499999999999</v>
      </c>
      <c r="C456">
        <v>31.978200000000001</v>
      </c>
      <c r="D456">
        <v>29.36</v>
      </c>
      <c r="E456">
        <v>29.6401</v>
      </c>
      <c r="F456">
        <v>661737.85</v>
      </c>
      <c r="G456">
        <v>0</v>
      </c>
      <c r="L456" t="s">
        <v>7</v>
      </c>
      <c r="M456" t="s">
        <v>7</v>
      </c>
      <c r="N456" t="s">
        <v>8</v>
      </c>
      <c r="P456">
        <f t="shared" si="979"/>
        <v>-0.78603620808188779</v>
      </c>
      <c r="Q456">
        <f t="shared" si="980"/>
        <v>-520149.91035826103</v>
      </c>
      <c r="R456">
        <f t="shared" si="981"/>
        <v>-3253503.8886342975</v>
      </c>
      <c r="S456">
        <f t="shared" si="982"/>
        <v>-32.535038886342974</v>
      </c>
      <c r="T456">
        <f t="shared" si="983"/>
        <v>-3.2535038886342973E-2</v>
      </c>
    </row>
    <row r="457" spans="1:20" x14ac:dyDescent="0.25">
      <c r="A457" s="5">
        <v>44136</v>
      </c>
      <c r="B457">
        <v>31.319600000000001</v>
      </c>
      <c r="C457">
        <v>31.887699999999999</v>
      </c>
      <c r="D457">
        <v>30.5975</v>
      </c>
      <c r="E457">
        <v>31.607600000000001</v>
      </c>
      <c r="F457">
        <v>334260.05</v>
      </c>
      <c r="G457">
        <v>0</v>
      </c>
      <c r="L457" t="s">
        <v>8</v>
      </c>
      <c r="M457" t="s">
        <v>7</v>
      </c>
      <c r="N457" t="s">
        <v>8</v>
      </c>
      <c r="P457">
        <f t="shared" si="979"/>
        <v>0.5658037513563825</v>
      </c>
      <c r="Q457">
        <f t="shared" si="980"/>
        <v>189125.59021857198</v>
      </c>
      <c r="R457">
        <f t="shared" si="981"/>
        <v>-2733353.9782760367</v>
      </c>
      <c r="S457">
        <f t="shared" si="982"/>
        <v>-27.333539782760369</v>
      </c>
      <c r="T457">
        <f t="shared" si="983"/>
        <v>-2.7333539782760367E-2</v>
      </c>
    </row>
    <row r="458" spans="1:20" x14ac:dyDescent="0.25">
      <c r="A458" s="5">
        <v>44135</v>
      </c>
      <c r="B458">
        <v>29.217300000000002</v>
      </c>
      <c r="C458">
        <v>32.430999999999997</v>
      </c>
      <c r="D458">
        <v>28.130600000000001</v>
      </c>
      <c r="E458">
        <v>31.284800000000001</v>
      </c>
      <c r="F458">
        <v>677740.01</v>
      </c>
      <c r="G458">
        <v>0</v>
      </c>
      <c r="L458" t="s">
        <v>7</v>
      </c>
      <c r="M458" t="s">
        <v>7</v>
      </c>
      <c r="N458" t="s">
        <v>8</v>
      </c>
      <c r="P458">
        <f t="shared" si="979"/>
        <v>0.46693330852944015</v>
      </c>
      <c r="Q458">
        <f t="shared" si="980"/>
        <v>316459.38519207586</v>
      </c>
      <c r="R458">
        <f t="shared" si="981"/>
        <v>-2922479.5684946086</v>
      </c>
      <c r="S458">
        <f t="shared" si="982"/>
        <v>-29.224795684946088</v>
      </c>
      <c r="T458">
        <f t="shared" si="983"/>
        <v>-2.9224795684946087E-2</v>
      </c>
    </row>
    <row r="459" spans="1:20" x14ac:dyDescent="0.25">
      <c r="A459" s="5">
        <v>44134</v>
      </c>
      <c r="B459">
        <v>32.520000000000003</v>
      </c>
      <c r="C459">
        <v>32.520000000000003</v>
      </c>
      <c r="D459">
        <v>28.567699999999999</v>
      </c>
      <c r="E459">
        <v>29.217500000000001</v>
      </c>
      <c r="F459">
        <v>956640.96</v>
      </c>
      <c r="G459">
        <v>0</v>
      </c>
      <c r="L459" t="s">
        <v>7</v>
      </c>
      <c r="M459" t="s">
        <v>7</v>
      </c>
      <c r="N459" t="s">
        <v>8</v>
      </c>
      <c r="P459">
        <f t="shared" si="979"/>
        <v>-0.67117880727677459</v>
      </c>
      <c r="Q459">
        <f t="shared" si="980"/>
        <v>-642077.13852490857</v>
      </c>
      <c r="R459">
        <f t="shared" si="981"/>
        <v>-3238938.9536866844</v>
      </c>
      <c r="S459">
        <f t="shared" si="982"/>
        <v>-32.389389536866844</v>
      </c>
      <c r="T459">
        <f t="shared" si="983"/>
        <v>-3.2389389536866847E-2</v>
      </c>
    </row>
    <row r="460" spans="1:20" x14ac:dyDescent="0.25">
      <c r="A460" s="5">
        <v>44133</v>
      </c>
      <c r="B460">
        <v>33.578200000000002</v>
      </c>
      <c r="C460">
        <v>34.183599999999998</v>
      </c>
      <c r="D460">
        <v>31.8001</v>
      </c>
      <c r="E460">
        <v>32.520000000000003</v>
      </c>
      <c r="F460">
        <v>614406.89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-0.39593035452066017</v>
      </c>
      <c r="Q460">
        <f t="shared" si="980"/>
        <v>-243262.33777763625</v>
      </c>
      <c r="R460">
        <f t="shared" si="981"/>
        <v>-2596861.8151617758</v>
      </c>
      <c r="S460">
        <f t="shared" si="982"/>
        <v>-25.968618151617758</v>
      </c>
      <c r="T460">
        <f t="shared" si="983"/>
        <v>-2.5968618151617759E-2</v>
      </c>
    </row>
    <row r="461" spans="1:20" x14ac:dyDescent="0.25">
      <c r="A461" s="5">
        <v>44132</v>
      </c>
      <c r="B461">
        <v>35.150599999999997</v>
      </c>
      <c r="C461">
        <v>36.5</v>
      </c>
      <c r="D461">
        <v>32.630899999999997</v>
      </c>
      <c r="E461">
        <v>33.616100000000003</v>
      </c>
      <c r="F461">
        <v>552030.18000000005</v>
      </c>
      <c r="G461">
        <v>0</v>
      </c>
      <c r="L461" t="s">
        <v>8</v>
      </c>
      <c r="M461" t="s">
        <v>7</v>
      </c>
      <c r="N461" t="s">
        <v>8</v>
      </c>
      <c r="P461">
        <f t="shared" si="979"/>
        <v>-0.49073427928975455</v>
      </c>
      <c r="Q461">
        <f t="shared" si="980"/>
        <v>-270900.13252849353</v>
      </c>
      <c r="R461">
        <f t="shared" si="981"/>
        <v>-2353599.4773841393</v>
      </c>
      <c r="S461">
        <f t="shared" si="982"/>
        <v>-23.535994773841391</v>
      </c>
      <c r="T461">
        <f t="shared" si="983"/>
        <v>-2.3535994773841391E-2</v>
      </c>
    </row>
    <row r="462" spans="1:20" x14ac:dyDescent="0.25">
      <c r="A462" s="5">
        <v>44131</v>
      </c>
      <c r="B462">
        <v>33.853999999999999</v>
      </c>
      <c r="C462">
        <v>37.9</v>
      </c>
      <c r="D462">
        <v>32.605600000000003</v>
      </c>
      <c r="E462">
        <v>35.1693</v>
      </c>
      <c r="F462">
        <v>571656.41</v>
      </c>
      <c r="G462">
        <v>0</v>
      </c>
      <c r="L462" t="s">
        <v>7</v>
      </c>
      <c r="M462" t="s">
        <v>7</v>
      </c>
      <c r="N462" t="s">
        <v>8</v>
      </c>
      <c r="P462">
        <f t="shared" si="979"/>
        <v>-3.1542762163796034E-2</v>
      </c>
      <c r="Q462">
        <f t="shared" si="980"/>
        <v>-18031.622180039474</v>
      </c>
      <c r="R462">
        <f t="shared" si="981"/>
        <v>-2082699.3448556457</v>
      </c>
      <c r="S462">
        <f t="shared" si="982"/>
        <v>-20.826993448556458</v>
      </c>
      <c r="T462">
        <f t="shared" si="983"/>
        <v>-2.0826993448556458E-2</v>
      </c>
    </row>
    <row r="463" spans="1:20" x14ac:dyDescent="0.25">
      <c r="A463" s="5">
        <v>44130</v>
      </c>
      <c r="B463">
        <v>38.782600000000002</v>
      </c>
      <c r="C463">
        <v>40.893900000000002</v>
      </c>
      <c r="D463">
        <v>31.979500000000002</v>
      </c>
      <c r="E463">
        <v>33.788699999999999</v>
      </c>
      <c r="F463">
        <v>1061248.8600000001</v>
      </c>
      <c r="G463">
        <v>0</v>
      </c>
      <c r="L463" t="s">
        <v>8</v>
      </c>
      <c r="M463" t="s">
        <v>8</v>
      </c>
      <c r="N463" t="s">
        <v>8</v>
      </c>
      <c r="P463">
        <f t="shared" si="979"/>
        <v>-0.59409494750067371</v>
      </c>
      <c r="Q463">
        <f t="shared" si="980"/>
        <v>-630482.58576684992</v>
      </c>
      <c r="R463">
        <f t="shared" si="981"/>
        <v>-2064667.7226756061</v>
      </c>
      <c r="S463">
        <f t="shared" si="982"/>
        <v>-20.646677226756061</v>
      </c>
      <c r="T463">
        <f t="shared" si="983"/>
        <v>-2.0646677226756061E-2</v>
      </c>
    </row>
    <row r="464" spans="1:20" x14ac:dyDescent="0.25">
      <c r="A464" s="5">
        <v>44129</v>
      </c>
      <c r="B464">
        <v>25.767199999999999</v>
      </c>
      <c r="C464">
        <v>39.777700000000003</v>
      </c>
      <c r="D464">
        <v>25.3386</v>
      </c>
      <c r="E464">
        <v>38.6663</v>
      </c>
      <c r="F464">
        <v>1500278.48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0.84605688720211047</v>
      </c>
      <c r="Q464">
        <f t="shared" si="980"/>
        <v>1269320.9407251137</v>
      </c>
      <c r="R464">
        <f t="shared" si="981"/>
        <v>-1434185.1369087561</v>
      </c>
      <c r="S464">
        <f t="shared" si="982"/>
        <v>-14.341851369087561</v>
      </c>
      <c r="T464">
        <f t="shared" si="983"/>
        <v>-1.434185136908756E-2</v>
      </c>
    </row>
    <row r="465" spans="1:20" x14ac:dyDescent="0.25">
      <c r="A465" s="5">
        <v>44128</v>
      </c>
      <c r="B465">
        <v>23.880600000000001</v>
      </c>
      <c r="C465">
        <v>26.7346</v>
      </c>
      <c r="D465">
        <v>22.257000000000001</v>
      </c>
      <c r="E465">
        <v>25.807600000000001</v>
      </c>
      <c r="F465">
        <v>772683.6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0.58593889583705561</v>
      </c>
      <c r="Q465">
        <f t="shared" si="980"/>
        <v>452745.37541540113</v>
      </c>
      <c r="R465">
        <f t="shared" si="981"/>
        <v>-2703506.0776338698</v>
      </c>
      <c r="S465">
        <f t="shared" si="982"/>
        <v>-27.0350607763387</v>
      </c>
      <c r="T465">
        <f t="shared" si="983"/>
        <v>-2.7035060776338701E-2</v>
      </c>
    </row>
    <row r="466" spans="1:20" x14ac:dyDescent="0.25">
      <c r="A466" s="5">
        <v>44127</v>
      </c>
      <c r="B466">
        <v>23.707000000000001</v>
      </c>
      <c r="C466">
        <v>25.7</v>
      </c>
      <c r="D466">
        <v>20.6023</v>
      </c>
      <c r="E466">
        <v>23.877099999999999</v>
      </c>
      <c r="F466">
        <v>832249.99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0.28481472036408545</v>
      </c>
      <c r="Q466">
        <f t="shared" si="980"/>
        <v>237037.0481748629</v>
      </c>
      <c r="R466">
        <f t="shared" si="981"/>
        <v>-3156251.4530492709</v>
      </c>
      <c r="S466">
        <f t="shared" si="982"/>
        <v>-31.562514530492709</v>
      </c>
      <c r="T466">
        <f t="shared" si="983"/>
        <v>-3.1562514530492712E-2</v>
      </c>
    </row>
    <row r="467" spans="1:20" x14ac:dyDescent="0.25">
      <c r="A467" s="5">
        <v>44126</v>
      </c>
      <c r="B467">
        <v>26.5197</v>
      </c>
      <c r="C467">
        <v>26.836200000000002</v>
      </c>
      <c r="D467">
        <v>22.6</v>
      </c>
      <c r="E467">
        <v>23.739000000000001</v>
      </c>
      <c r="F467">
        <v>703079.84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-0.46225390680326739</v>
      </c>
      <c r="Q467">
        <f t="shared" si="980"/>
        <v>-325001.40283461614</v>
      </c>
      <c r="R467">
        <f t="shared" si="981"/>
        <v>-3393288.5012241337</v>
      </c>
      <c r="S467">
        <f t="shared" si="982"/>
        <v>-33.932885012241336</v>
      </c>
      <c r="T467">
        <f t="shared" si="983"/>
        <v>-3.3932885012241336E-2</v>
      </c>
    </row>
    <row r="468" spans="1:20" x14ac:dyDescent="0.25">
      <c r="A468" s="5">
        <v>44125</v>
      </c>
      <c r="B468">
        <v>31.129300000000001</v>
      </c>
      <c r="C468">
        <v>31.887499999999999</v>
      </c>
      <c r="D468">
        <v>26.501300000000001</v>
      </c>
      <c r="E468">
        <v>26.502800000000001</v>
      </c>
      <c r="F468">
        <v>455344.06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-0.99944302105380411</v>
      </c>
      <c r="Q468">
        <f t="shared" si="980"/>
        <v>-455090.44294530462</v>
      </c>
      <c r="R468">
        <f t="shared" si="981"/>
        <v>-3068287.0983895175</v>
      </c>
      <c r="S468">
        <f t="shared" si="982"/>
        <v>-30.682870983895175</v>
      </c>
      <c r="T468">
        <f t="shared" si="983"/>
        <v>-3.0682870983895175E-2</v>
      </c>
    </row>
    <row r="469" spans="1:20" x14ac:dyDescent="0.25">
      <c r="A469" s="5">
        <v>44124</v>
      </c>
      <c r="B469">
        <v>33.920299999999997</v>
      </c>
      <c r="C469">
        <v>34</v>
      </c>
      <c r="D469">
        <v>30.1783</v>
      </c>
      <c r="E469">
        <v>31.175000000000001</v>
      </c>
      <c r="F469">
        <v>310168.39</v>
      </c>
      <c r="G469">
        <v>0</v>
      </c>
      <c r="L469" t="s">
        <v>8</v>
      </c>
      <c r="M469" t="s">
        <v>7</v>
      </c>
      <c r="N469" t="s">
        <v>7</v>
      </c>
      <c r="P469">
        <f t="shared" si="979"/>
        <v>-0.47839966507051801</v>
      </c>
      <c r="Q469">
        <f t="shared" si="980"/>
        <v>-148384.4538914618</v>
      </c>
      <c r="R469">
        <f t="shared" si="981"/>
        <v>-2613196.6554442127</v>
      </c>
      <c r="S469">
        <f t="shared" si="982"/>
        <v>-26.131966554442126</v>
      </c>
      <c r="T469">
        <f t="shared" si="983"/>
        <v>-2.6131966554442127E-2</v>
      </c>
    </row>
    <row r="470" spans="1:20" x14ac:dyDescent="0.25">
      <c r="A470" s="5">
        <v>44123</v>
      </c>
      <c r="B470">
        <v>32.356900000000003</v>
      </c>
      <c r="C470">
        <v>35</v>
      </c>
      <c r="D470">
        <v>29.932099999999998</v>
      </c>
      <c r="E470">
        <v>33.975499999999997</v>
      </c>
      <c r="F470">
        <v>814098.46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0.59569052270170963</v>
      </c>
      <c r="Q470">
        <f t="shared" si="980"/>
        <v>484950.73716805683</v>
      </c>
      <c r="R470">
        <f t="shared" si="981"/>
        <v>-2464812.201552751</v>
      </c>
      <c r="S470">
        <f t="shared" si="982"/>
        <v>-24.648122015527509</v>
      </c>
      <c r="T470">
        <f t="shared" si="983"/>
        <v>-2.4648122015527508E-2</v>
      </c>
    </row>
    <row r="471" spans="1:20" x14ac:dyDescent="0.25">
      <c r="A471" s="5">
        <v>44122</v>
      </c>
      <c r="B471">
        <v>42.236400000000003</v>
      </c>
      <c r="C471">
        <v>42.313600000000001</v>
      </c>
      <c r="D471">
        <v>31.772200000000002</v>
      </c>
      <c r="E471">
        <v>32.404899999999998</v>
      </c>
      <c r="F471">
        <v>593629.16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-0.87995901872616611</v>
      </c>
      <c r="Q471">
        <f t="shared" si="980"/>
        <v>-522369.33312083827</v>
      </c>
      <c r="R471">
        <f t="shared" si="981"/>
        <v>-2949762.9387208079</v>
      </c>
      <c r="S471">
        <f t="shared" si="982"/>
        <v>-29.497629387208079</v>
      </c>
      <c r="T471">
        <f t="shared" si="983"/>
        <v>-2.9497629387208079E-2</v>
      </c>
    </row>
    <row r="472" spans="1:20" x14ac:dyDescent="0.25">
      <c r="A472" s="5">
        <v>44121</v>
      </c>
      <c r="B472">
        <v>44.351199999999999</v>
      </c>
      <c r="C472">
        <v>50.627299999999998</v>
      </c>
      <c r="D472">
        <v>40.332500000000003</v>
      </c>
      <c r="E472">
        <v>42.24</v>
      </c>
      <c r="F472">
        <v>672950.78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-0.62942456385748147</v>
      </c>
      <c r="Q472">
        <f t="shared" si="980"/>
        <v>-423571.75119905197</v>
      </c>
      <c r="R472">
        <f t="shared" si="981"/>
        <v>-2427393.6055999696</v>
      </c>
      <c r="S472">
        <f t="shared" si="982"/>
        <v>-24.273936055999695</v>
      </c>
      <c r="T472">
        <f t="shared" si="983"/>
        <v>-2.4273936055999694E-2</v>
      </c>
    </row>
    <row r="473" spans="1:20" x14ac:dyDescent="0.25">
      <c r="A473" s="5">
        <v>44120</v>
      </c>
      <c r="B473">
        <v>62.590200000000003</v>
      </c>
      <c r="C473">
        <v>75.872500000000002</v>
      </c>
      <c r="D473">
        <v>38.830199999999998</v>
      </c>
      <c r="E473">
        <v>44.347999999999999</v>
      </c>
      <c r="F473">
        <v>1696876.76</v>
      </c>
      <c r="G473">
        <v>0</v>
      </c>
      <c r="L473" t="s">
        <v>8</v>
      </c>
      <c r="M473" t="s">
        <v>8</v>
      </c>
      <c r="N473" t="s">
        <v>8</v>
      </c>
      <c r="P473">
        <f t="shared" si="979"/>
        <v>-0.70208113427082008</v>
      </c>
      <c r="Q473">
        <f t="shared" si="980"/>
        <v>-1191345.1603785942</v>
      </c>
      <c r="R473">
        <f t="shared" si="981"/>
        <v>-2003821.8544009179</v>
      </c>
      <c r="S473">
        <f t="shared" si="982"/>
        <v>-20.03821854400918</v>
      </c>
      <c r="T473">
        <f t="shared" si="983"/>
        <v>-2.0038218544009178E-2</v>
      </c>
    </row>
    <row r="474" spans="1:20" x14ac:dyDescent="0.25">
      <c r="A474" s="5">
        <v>44119</v>
      </c>
      <c r="B474">
        <v>10</v>
      </c>
      <c r="C474">
        <v>430</v>
      </c>
      <c r="D474">
        <v>10</v>
      </c>
      <c r="E474">
        <v>62.541800000000002</v>
      </c>
      <c r="F474">
        <v>1083589.8400000001</v>
      </c>
      <c r="G474">
        <v>0</v>
      </c>
      <c r="P474">
        <f t="shared" si="979"/>
        <v>-0.74980095238095223</v>
      </c>
      <c r="Q474">
        <f t="shared" si="980"/>
        <v>-812476.6940223237</v>
      </c>
      <c r="R474">
        <f t="shared" si="981"/>
        <v>-812476.6940223237</v>
      </c>
      <c r="S474">
        <f t="shared" si="982"/>
        <v>-8.1247669402232372</v>
      </c>
      <c r="T474">
        <f t="shared" si="983"/>
        <v>-8.1247669402232364E-3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P439" sqref="GP43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$A$438</v>
      </c>
      <c r="D111" s="1" t="str">
        <f>ADDRESS(C121-1,D121,1,1)</f>
        <v>$GP$438</v>
      </c>
      <c r="E111"/>
    </row>
    <row r="112" spans="1:5" x14ac:dyDescent="0.25">
      <c r="A112" s="7">
        <v>12164.144957890772</v>
      </c>
      <c r="C112" s="1" t="str">
        <f>ADDRESS(C121,1,1,1)</f>
        <v>$A$439</v>
      </c>
      <c r="D112" s="1" t="str">
        <f>ADDRESS(C121,D121-1,1,1)</f>
        <v>$GO$439</v>
      </c>
      <c r="E112"/>
    </row>
    <row r="113" spans="1:5" x14ac:dyDescent="0.25">
      <c r="A113" s="7">
        <v>11925.63231165762</v>
      </c>
      <c r="C113" s="1" t="str">
        <f>ADDRESS(C121+1,1,1,1)</f>
        <v>$A$440</v>
      </c>
      <c r="D113" s="1" t="str">
        <f>ADDRESS(C121-1,D121+1,1,1)</f>
        <v>$GQ$438</v>
      </c>
    </row>
    <row r="114" spans="1:5" x14ac:dyDescent="0.25">
      <c r="A114" s="7">
        <v>11691.796383978059</v>
      </c>
      <c r="C114" s="1" t="str">
        <f>ADDRESS(C121,D121,1,1)</f>
        <v>$GP$439</v>
      </c>
      <c r="D114" s="1" t="str">
        <f>ADDRESS(C121+1,D121+1,1,1)</f>
        <v>$GQ$440</v>
      </c>
    </row>
    <row r="115" spans="1:5" x14ac:dyDescent="0.25">
      <c r="A115" s="7">
        <v>11462.545474488292</v>
      </c>
      <c r="C115" s="1" t="str">
        <f>ADDRESS(C121+1,D121,1,1)</f>
        <v>$GP$440</v>
      </c>
    </row>
    <row r="116" spans="1:5" x14ac:dyDescent="0.25">
      <c r="A116" s="7">
        <v>11237.789680870874</v>
      </c>
      <c r="C116" s="1">
        <f>C117-1</f>
        <v>438</v>
      </c>
    </row>
    <row r="117" spans="1:5" x14ac:dyDescent="0.25">
      <c r="A117" s="7">
        <v>11017.440863598895</v>
      </c>
      <c r="C117" s="1">
        <f>C121</f>
        <v>439</v>
      </c>
      <c r="D117" s="1">
        <f>D121</f>
        <v>198</v>
      </c>
    </row>
    <row r="118" spans="1:5" x14ac:dyDescent="0.25">
      <c r="A118" s="7">
        <v>10801.412611371465</v>
      </c>
      <c r="C118" s="1">
        <f>C117+1</f>
        <v>440</v>
      </c>
      <c r="D118" s="1">
        <f>D117+1</f>
        <v>199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439</v>
      </c>
      <c r="D121" s="19">
        <v>198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R439</v>
      </c>
      <c r="D123" s="1" t="str">
        <f>"C"&amp;D121</f>
        <v>C198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18.74240942595404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76" x14ac:dyDescent="0.25">
      <c r="A305" s="7">
        <v>266.22475550472598</v>
      </c>
      <c r="B305"/>
      <c r="C305"/>
      <c r="D305"/>
      <c r="E305"/>
    </row>
    <row r="306" spans="1:76" x14ac:dyDescent="0.25">
      <c r="A306" s="7">
        <v>261.00466225953528</v>
      </c>
      <c r="B306"/>
      <c r="C306"/>
      <c r="D306"/>
      <c r="E306"/>
    </row>
    <row r="307" spans="1:76" x14ac:dyDescent="0.25">
      <c r="A307" s="7">
        <v>255.88692378385809</v>
      </c>
      <c r="B307"/>
      <c r="C307"/>
      <c r="D307"/>
      <c r="E307"/>
    </row>
    <row r="308" spans="1:76" x14ac:dyDescent="0.25">
      <c r="A308" s="7">
        <v>250.8695331214295</v>
      </c>
      <c r="B308"/>
      <c r="C308"/>
      <c r="D308"/>
      <c r="E308"/>
    </row>
    <row r="309" spans="1:76" x14ac:dyDescent="0.25">
      <c r="A309" s="7">
        <v>245.95052266806812</v>
      </c>
      <c r="B309"/>
      <c r="C309"/>
      <c r="D309"/>
      <c r="E309"/>
    </row>
    <row r="310" spans="1:76" x14ac:dyDescent="0.25">
      <c r="A310" s="7">
        <v>241.12796340006679</v>
      </c>
      <c r="B310"/>
      <c r="C310"/>
      <c r="D310"/>
      <c r="E310"/>
    </row>
    <row r="311" spans="1:76" x14ac:dyDescent="0.25">
      <c r="A311" s="7">
        <v>236.39996411771253</v>
      </c>
      <c r="B311"/>
      <c r="C311"/>
      <c r="D311"/>
      <c r="E311"/>
      <c r="BW311" s="27" t="s">
        <v>8</v>
      </c>
    </row>
    <row r="312" spans="1:76" x14ac:dyDescent="0.25">
      <c r="A312" s="7">
        <v>231.76467070363972</v>
      </c>
      <c r="B312"/>
      <c r="C312"/>
      <c r="D312"/>
      <c r="E312"/>
      <c r="BW312" s="27" t="s">
        <v>8</v>
      </c>
      <c r="BX312" s="27" t="s">
        <v>7</v>
      </c>
    </row>
    <row r="313" spans="1:76" x14ac:dyDescent="0.25">
      <c r="A313" s="7">
        <v>227.22026539572522</v>
      </c>
      <c r="B313"/>
      <c r="C313"/>
      <c r="D313"/>
      <c r="E313"/>
      <c r="BW313" s="27" t="s">
        <v>8</v>
      </c>
      <c r="BX313" s="27" t="s">
        <v>7</v>
      </c>
    </row>
    <row r="314" spans="1:76" x14ac:dyDescent="0.25">
      <c r="A314" s="7">
        <v>222.76496607424042</v>
      </c>
      <c r="B314"/>
      <c r="C314"/>
      <c r="D314"/>
      <c r="E314"/>
      <c r="BW314" s="27" t="s">
        <v>8</v>
      </c>
      <c r="BX314" s="27" t="s">
        <v>7</v>
      </c>
    </row>
    <row r="315" spans="1:76" x14ac:dyDescent="0.25">
      <c r="A315" s="7">
        <v>218.39702556298079</v>
      </c>
      <c r="B315"/>
      <c r="C315"/>
      <c r="D315"/>
      <c r="E315"/>
      <c r="BW315" s="27" t="s">
        <v>8</v>
      </c>
      <c r="BX315" s="27" t="s">
        <v>7</v>
      </c>
    </row>
    <row r="316" spans="1:76" x14ac:dyDescent="0.25">
      <c r="A316" s="7">
        <v>214.1147309440988</v>
      </c>
      <c r="B316"/>
      <c r="C316"/>
      <c r="D316"/>
      <c r="E316"/>
      <c r="BW316" s="27" t="s">
        <v>8</v>
      </c>
      <c r="BX316" s="27" t="s">
        <v>7</v>
      </c>
    </row>
    <row r="317" spans="1:76" x14ac:dyDescent="0.25">
      <c r="A317" s="7">
        <v>209.91640288637137</v>
      </c>
      <c r="B317"/>
      <c r="C317"/>
      <c r="D317"/>
      <c r="E317"/>
      <c r="BW317" s="27" t="s">
        <v>8</v>
      </c>
      <c r="BX317" s="27" t="s">
        <v>7</v>
      </c>
    </row>
    <row r="318" spans="1:76" x14ac:dyDescent="0.25">
      <c r="A318" s="7">
        <v>205.80039498663859</v>
      </c>
      <c r="B318"/>
      <c r="C318"/>
      <c r="D318"/>
      <c r="E318"/>
      <c r="BW318" s="27" t="s">
        <v>8</v>
      </c>
      <c r="BX318" s="27" t="s">
        <v>7</v>
      </c>
    </row>
    <row r="319" spans="1:76" x14ac:dyDescent="0.25">
      <c r="A319" s="7">
        <v>201.76509312415547</v>
      </c>
      <c r="B319"/>
      <c r="C319"/>
      <c r="D319"/>
      <c r="E319"/>
      <c r="BW319" s="27" t="s">
        <v>8</v>
      </c>
      <c r="BX319" s="27" t="s">
        <v>7</v>
      </c>
    </row>
    <row r="320" spans="1:76" x14ac:dyDescent="0.25">
      <c r="A320" s="7">
        <v>197.80891482760339</v>
      </c>
      <c r="B320"/>
      <c r="C320"/>
      <c r="D320"/>
      <c r="E320"/>
      <c r="BW320" s="27" t="s">
        <v>8</v>
      </c>
      <c r="BX320" s="27" t="s">
        <v>7</v>
      </c>
    </row>
    <row r="321" spans="1:93" x14ac:dyDescent="0.25">
      <c r="A321" s="7">
        <v>193.93030865451311</v>
      </c>
      <c r="B321"/>
      <c r="C321"/>
      <c r="D321"/>
      <c r="E321"/>
      <c r="BW321" s="27" t="s">
        <v>8</v>
      </c>
      <c r="BX321" s="27" t="s">
        <v>7</v>
      </c>
      <c r="CE321" s="27" t="s">
        <v>8</v>
      </c>
    </row>
    <row r="322" spans="1:93" x14ac:dyDescent="0.25">
      <c r="A322" s="7">
        <v>190.127753582856</v>
      </c>
      <c r="B322"/>
      <c r="C322"/>
      <c r="D322"/>
      <c r="E322"/>
      <c r="BW322" s="27" t="s">
        <v>8</v>
      </c>
      <c r="BX322" s="27" t="s">
        <v>7</v>
      </c>
      <c r="BY322" s="27" t="s">
        <v>8</v>
      </c>
      <c r="CE322" s="27" t="s">
        <v>8</v>
      </c>
      <c r="CF322" s="27" t="s">
        <v>7</v>
      </c>
    </row>
    <row r="323" spans="1:93" x14ac:dyDescent="0.25">
      <c r="A323" s="7">
        <v>186.3997584145647</v>
      </c>
      <c r="B323"/>
      <c r="C323"/>
      <c r="D323"/>
      <c r="E323"/>
      <c r="BW323" s="27" t="s">
        <v>8</v>
      </c>
      <c r="BX323" s="27" t="s">
        <v>7</v>
      </c>
      <c r="BY323" s="27" t="s">
        <v>8</v>
      </c>
      <c r="BZ323" s="27" t="s">
        <v>7</v>
      </c>
      <c r="CA323" s="27" t="s">
        <v>8</v>
      </c>
      <c r="CE323" s="27" t="s">
        <v>8</v>
      </c>
      <c r="CF323" s="27" t="s">
        <v>7</v>
      </c>
    </row>
    <row r="324" spans="1:93" x14ac:dyDescent="0.25">
      <c r="A324" s="7">
        <v>182.7448611907497</v>
      </c>
      <c r="B324"/>
      <c r="C324"/>
      <c r="D324"/>
      <c r="E324"/>
      <c r="BW324" s="27" t="s">
        <v>8</v>
      </c>
      <c r="BX324" s="27" t="s">
        <v>7</v>
      </c>
      <c r="BY324" s="27" t="s">
        <v>8</v>
      </c>
      <c r="BZ324" s="27" t="s">
        <v>7</v>
      </c>
      <c r="CA324" s="27" t="s">
        <v>8</v>
      </c>
      <c r="CB324" s="27" t="s">
        <v>7</v>
      </c>
      <c r="CE324" s="27" t="s">
        <v>8</v>
      </c>
      <c r="CF324" s="27" t="s">
        <v>7</v>
      </c>
    </row>
    <row r="325" spans="1:93" x14ac:dyDescent="0.25">
      <c r="A325" s="7">
        <v>179.16162861838205</v>
      </c>
      <c r="B325"/>
      <c r="C325"/>
      <c r="D325"/>
      <c r="E325"/>
      <c r="BW325" s="27" t="s">
        <v>8</v>
      </c>
      <c r="BX325" s="27" t="s">
        <v>7</v>
      </c>
      <c r="BY325" s="27" t="s">
        <v>8</v>
      </c>
      <c r="BZ325" s="27" t="s">
        <v>7</v>
      </c>
      <c r="CA325" s="27" t="s">
        <v>8</v>
      </c>
      <c r="CB325" s="27" t="s">
        <v>7</v>
      </c>
      <c r="CC325" s="27" t="s">
        <v>8</v>
      </c>
      <c r="CE325" s="27" t="s">
        <v>8</v>
      </c>
      <c r="CF325" s="27" t="s">
        <v>7</v>
      </c>
    </row>
    <row r="326" spans="1:93" x14ac:dyDescent="0.25">
      <c r="A326" s="7">
        <v>175.6486555082177</v>
      </c>
      <c r="B326"/>
      <c r="C326"/>
      <c r="D326"/>
      <c r="E326"/>
      <c r="BW326" s="27" t="s">
        <v>8</v>
      </c>
      <c r="BX326" s="27" t="s">
        <v>7</v>
      </c>
      <c r="BY326" s="27" t="s">
        <v>8</v>
      </c>
      <c r="BZ326" s="27" t="s">
        <v>7</v>
      </c>
      <c r="CA326" s="27" t="s">
        <v>8</v>
      </c>
      <c r="CB326" s="27" t="s">
        <v>7</v>
      </c>
      <c r="CC326" s="27" t="s">
        <v>8</v>
      </c>
      <c r="CD326" s="27" t="s">
        <v>7</v>
      </c>
      <c r="CE326" s="27" t="s">
        <v>8</v>
      </c>
      <c r="CF326" s="27" t="s">
        <v>7</v>
      </c>
    </row>
    <row r="327" spans="1:93" x14ac:dyDescent="0.25">
      <c r="A327" s="7">
        <v>172.20456422374284</v>
      </c>
      <c r="B327"/>
      <c r="C327"/>
      <c r="D327"/>
      <c r="E327"/>
      <c r="BW327" s="27" t="s">
        <v>8</v>
      </c>
      <c r="BX327" s="27" t="s">
        <v>7</v>
      </c>
      <c r="BY327" s="27" t="s">
        <v>8</v>
      </c>
      <c r="BZ327" s="27" t="s">
        <v>7</v>
      </c>
      <c r="CA327" s="27" t="s">
        <v>8</v>
      </c>
      <c r="CB327" s="27" t="s">
        <v>7</v>
      </c>
      <c r="CC327" s="27" t="s">
        <v>8</v>
      </c>
      <c r="CD327" s="27" t="s">
        <v>7</v>
      </c>
      <c r="CE327" s="27" t="s">
        <v>8</v>
      </c>
      <c r="CF327" s="27" t="s">
        <v>7</v>
      </c>
    </row>
    <row r="328" spans="1:93" x14ac:dyDescent="0.25">
      <c r="A328" s="7">
        <v>168.82800414092435</v>
      </c>
      <c r="B328"/>
      <c r="C328"/>
      <c r="D328"/>
      <c r="E328"/>
      <c r="BW328" s="27" t="s">
        <v>8</v>
      </c>
      <c r="BX328" s="27" t="s">
        <v>7</v>
      </c>
      <c r="BY328" s="27" t="s">
        <v>8</v>
      </c>
      <c r="BZ328" s="27" t="s">
        <v>7</v>
      </c>
      <c r="CA328" s="27" t="s">
        <v>8</v>
      </c>
      <c r="CB328" s="27" t="s">
        <v>7</v>
      </c>
      <c r="CC328" s="27" t="s">
        <v>8</v>
      </c>
      <c r="CD328" s="27" t="s">
        <v>7</v>
      </c>
      <c r="CF328" s="27" t="s">
        <v>7</v>
      </c>
    </row>
    <row r="329" spans="1:93" x14ac:dyDescent="0.25">
      <c r="A329" s="7">
        <v>165.51765111855329</v>
      </c>
      <c r="B329"/>
      <c r="C329"/>
      <c r="D329"/>
      <c r="E329"/>
      <c r="BW329" s="27" t="s">
        <v>8</v>
      </c>
      <c r="BX329" s="27" t="s">
        <v>7</v>
      </c>
      <c r="BY329" s="27" t="s">
        <v>8</v>
      </c>
      <c r="BZ329" s="27" t="s">
        <v>7</v>
      </c>
      <c r="CA329" s="27" t="s">
        <v>8</v>
      </c>
      <c r="CB329" s="27" t="s">
        <v>7</v>
      </c>
      <c r="CC329" s="27" t="s">
        <v>8</v>
      </c>
      <c r="CF329" s="27" t="s">
        <v>7</v>
      </c>
      <c r="CK329" s="27" t="s">
        <v>8</v>
      </c>
      <c r="CM329" s="27" t="s">
        <v>8</v>
      </c>
    </row>
    <row r="330" spans="1:93" x14ac:dyDescent="0.25">
      <c r="A330" s="7">
        <v>162.2722069789738</v>
      </c>
      <c r="B330"/>
      <c r="C330"/>
      <c r="D330"/>
      <c r="E330"/>
      <c r="BW330" s="27" t="s">
        <v>8</v>
      </c>
      <c r="BX330" s="27" t="s">
        <v>7</v>
      </c>
      <c r="BZ330" s="27" t="s">
        <v>7</v>
      </c>
      <c r="CA330" s="27" t="s">
        <v>8</v>
      </c>
      <c r="CB330" s="27" t="s">
        <v>7</v>
      </c>
      <c r="CC330" s="27" t="s">
        <v>8</v>
      </c>
      <c r="CF330" s="27" t="s">
        <v>7</v>
      </c>
      <c r="CG330" s="27" t="s">
        <v>8</v>
      </c>
      <c r="CK330" s="27" t="s">
        <v>8</v>
      </c>
      <c r="CL330" s="27" t="s">
        <v>7</v>
      </c>
      <c r="CM330" s="27" t="s">
        <v>8</v>
      </c>
      <c r="CN330" s="27" t="s">
        <v>7</v>
      </c>
    </row>
    <row r="331" spans="1:93" x14ac:dyDescent="0.25">
      <c r="A331" s="7">
        <v>159.09039899899392</v>
      </c>
      <c r="B331"/>
      <c r="C331"/>
      <c r="D331"/>
      <c r="E331"/>
      <c r="BW331" s="27" t="s">
        <v>8</v>
      </c>
      <c r="BZ331" s="27" t="s">
        <v>7</v>
      </c>
      <c r="CA331" s="27" t="s">
        <v>8</v>
      </c>
      <c r="CB331" s="27" t="s">
        <v>7</v>
      </c>
      <c r="CF331" s="27" t="s">
        <v>7</v>
      </c>
      <c r="CG331" s="27" t="s">
        <v>8</v>
      </c>
      <c r="CH331" s="27" t="s">
        <v>7</v>
      </c>
      <c r="CK331" s="27" t="s">
        <v>8</v>
      </c>
      <c r="CL331" s="27" t="s">
        <v>7</v>
      </c>
      <c r="CM331" s="27" t="s">
        <v>8</v>
      </c>
      <c r="CN331" s="27" t="s">
        <v>7</v>
      </c>
    </row>
    <row r="332" spans="1:93" x14ac:dyDescent="0.25">
      <c r="A332" s="7">
        <v>155.97097941077834</v>
      </c>
      <c r="B332"/>
      <c r="C332"/>
      <c r="D332"/>
      <c r="E332"/>
      <c r="BW332" s="27" t="s">
        <v>8</v>
      </c>
      <c r="BZ332" s="27" t="s">
        <v>7</v>
      </c>
      <c r="CA332" s="27" t="s">
        <v>8</v>
      </c>
      <c r="CF332" s="27" t="s">
        <v>7</v>
      </c>
      <c r="CG332" s="27" t="s">
        <v>8</v>
      </c>
      <c r="CH332" s="27" t="s">
        <v>7</v>
      </c>
      <c r="CI332" s="27" t="s">
        <v>8</v>
      </c>
      <c r="CK332" s="27" t="s">
        <v>8</v>
      </c>
      <c r="CL332" s="27" t="s">
        <v>7</v>
      </c>
      <c r="CM332" s="27" t="s">
        <v>8</v>
      </c>
      <c r="CN332" s="27" t="s">
        <v>7</v>
      </c>
    </row>
    <row r="333" spans="1:93" x14ac:dyDescent="0.25">
      <c r="A333" s="7">
        <v>152.91272491252778</v>
      </c>
      <c r="B333"/>
      <c r="C333"/>
      <c r="D333"/>
      <c r="E333"/>
      <c r="BW333" s="27" t="s">
        <v>8</v>
      </c>
      <c r="BZ333" s="27" t="s">
        <v>7</v>
      </c>
      <c r="CA333" s="27" t="s">
        <v>8</v>
      </c>
      <c r="CF333" s="27" t="s">
        <v>7</v>
      </c>
      <c r="CG333" s="27" t="s">
        <v>8</v>
      </c>
      <c r="CH333" s="27" t="s">
        <v>7</v>
      </c>
      <c r="CI333" s="27" t="s">
        <v>8</v>
      </c>
      <c r="CJ333" s="27" t="s">
        <v>7</v>
      </c>
      <c r="CK333" s="27" t="s">
        <v>8</v>
      </c>
      <c r="CL333" s="27" t="s">
        <v>7</v>
      </c>
      <c r="CM333" s="27" t="s">
        <v>8</v>
      </c>
      <c r="CN333" s="27" t="s">
        <v>7</v>
      </c>
    </row>
    <row r="334" spans="1:93" x14ac:dyDescent="0.25">
      <c r="A334" s="7">
        <v>149.91443618875272</v>
      </c>
      <c r="B334"/>
      <c r="C334"/>
      <c r="D334"/>
      <c r="E334"/>
      <c r="BW334" s="27" t="s">
        <v>8</v>
      </c>
      <c r="BZ334" s="27" t="s">
        <v>7</v>
      </c>
      <c r="CA334" s="27" t="s">
        <v>8</v>
      </c>
      <c r="CF334" s="27" t="s">
        <v>7</v>
      </c>
      <c r="CG334" s="27" t="s">
        <v>8</v>
      </c>
      <c r="CH334" s="27" t="s">
        <v>7</v>
      </c>
      <c r="CI334" s="27" t="s">
        <v>8</v>
      </c>
      <c r="CJ334" s="27" t="s">
        <v>7</v>
      </c>
      <c r="CK334" s="27" t="s">
        <v>8</v>
      </c>
      <c r="CL334" s="27" t="s">
        <v>7</v>
      </c>
      <c r="CM334" s="27" t="s">
        <v>8</v>
      </c>
      <c r="CN334" s="27" t="s">
        <v>7</v>
      </c>
    </row>
    <row r="335" spans="1:93" x14ac:dyDescent="0.25">
      <c r="A335" s="7">
        <v>146.97493743995364</v>
      </c>
      <c r="B335"/>
      <c r="C335"/>
      <c r="D335"/>
      <c r="E335"/>
      <c r="BW335" s="27" t="s">
        <v>8</v>
      </c>
      <c r="BZ335" s="27" t="s">
        <v>7</v>
      </c>
      <c r="CA335" s="27" t="s">
        <v>8</v>
      </c>
      <c r="CF335" s="27" t="s">
        <v>7</v>
      </c>
      <c r="CG335" s="27" t="s">
        <v>8</v>
      </c>
      <c r="CH335" s="27" t="s">
        <v>7</v>
      </c>
      <c r="CJ335" s="27" t="s">
        <v>7</v>
      </c>
      <c r="CK335" s="27" t="s">
        <v>8</v>
      </c>
      <c r="CL335" s="27" t="s">
        <v>7</v>
      </c>
      <c r="CM335" s="27" t="s">
        <v>8</v>
      </c>
      <c r="CN335" s="27" t="s">
        <v>7</v>
      </c>
    </row>
    <row r="336" spans="1:93" x14ac:dyDescent="0.25">
      <c r="A336" s="7">
        <v>144.09307592152317</v>
      </c>
      <c r="B336"/>
      <c r="C336"/>
      <c r="D336"/>
      <c r="E336"/>
      <c r="BW336" s="27" t="s">
        <v>8</v>
      </c>
      <c r="BZ336" s="27" t="s">
        <v>7</v>
      </c>
      <c r="CA336" s="27" t="s">
        <v>8</v>
      </c>
      <c r="CF336" s="27" t="s">
        <v>7</v>
      </c>
      <c r="CG336" s="27" t="s">
        <v>8</v>
      </c>
      <c r="CJ336" s="27" t="s">
        <v>7</v>
      </c>
      <c r="CK336" s="27" t="s">
        <v>8</v>
      </c>
      <c r="CL336" s="27" t="s">
        <v>7</v>
      </c>
      <c r="CM336" s="27" t="s">
        <v>8</v>
      </c>
      <c r="CN336" s="27" t="s">
        <v>7</v>
      </c>
      <c r="CO336" s="27" t="s">
        <v>8</v>
      </c>
    </row>
    <row r="337" spans="1:134" x14ac:dyDescent="0.25">
      <c r="A337" s="7">
        <v>141.26772149168937</v>
      </c>
      <c r="B337"/>
      <c r="C337"/>
      <c r="D337"/>
      <c r="E337"/>
      <c r="BW337" s="27" t="s">
        <v>8</v>
      </c>
      <c r="BZ337" s="27" t="s">
        <v>7</v>
      </c>
      <c r="CA337" s="27" t="s">
        <v>8</v>
      </c>
      <c r="CF337" s="27" t="s">
        <v>7</v>
      </c>
      <c r="CG337" s="27" t="s">
        <v>8</v>
      </c>
      <c r="CJ337" s="27" t="s">
        <v>7</v>
      </c>
      <c r="CK337" s="27" t="s">
        <v>8</v>
      </c>
      <c r="CL337" s="27" t="s">
        <v>7</v>
      </c>
      <c r="CM337" s="27" t="s">
        <v>8</v>
      </c>
      <c r="CN337" s="27" t="s">
        <v>7</v>
      </c>
      <c r="CO337" s="27" t="s">
        <v>8</v>
      </c>
      <c r="CP337" s="27" t="s">
        <v>7</v>
      </c>
    </row>
    <row r="338" spans="1:134" x14ac:dyDescent="0.25">
      <c r="A338" s="7">
        <v>138.4977661683229</v>
      </c>
      <c r="B338"/>
      <c r="C338"/>
      <c r="D338"/>
      <c r="E338"/>
      <c r="BU338" s="27" t="s">
        <v>8</v>
      </c>
      <c r="BW338" s="27" t="s">
        <v>8</v>
      </c>
      <c r="BZ338" s="27" t="s">
        <v>7</v>
      </c>
      <c r="CA338" s="27" t="s">
        <v>8</v>
      </c>
      <c r="CF338" s="27" t="s">
        <v>7</v>
      </c>
      <c r="CG338" s="27" t="s">
        <v>8</v>
      </c>
      <c r="CJ338" s="27" t="s">
        <v>7</v>
      </c>
      <c r="CK338" s="27" t="s">
        <v>8</v>
      </c>
      <c r="CL338" s="27" t="s">
        <v>7</v>
      </c>
      <c r="CM338" s="27" t="s">
        <v>8</v>
      </c>
      <c r="CN338" s="27" t="s">
        <v>7</v>
      </c>
      <c r="CO338" s="27" t="s">
        <v>8</v>
      </c>
      <c r="CP338" s="27" t="s">
        <v>7</v>
      </c>
    </row>
    <row r="339" spans="1:134" x14ac:dyDescent="0.25">
      <c r="A339" s="7">
        <v>135.7821236944342</v>
      </c>
      <c r="B339"/>
      <c r="C339"/>
      <c r="D339"/>
      <c r="E339"/>
      <c r="BU339" s="27" t="s">
        <v>8</v>
      </c>
      <c r="BV339" s="27" t="s">
        <v>7</v>
      </c>
      <c r="BW339" s="27" t="s">
        <v>8</v>
      </c>
      <c r="BZ339" s="27" t="s">
        <v>7</v>
      </c>
      <c r="CF339" s="27" t="s">
        <v>7</v>
      </c>
      <c r="CG339" s="27" t="s">
        <v>8</v>
      </c>
      <c r="CJ339" s="27" t="s">
        <v>7</v>
      </c>
      <c r="CK339" s="27" t="s">
        <v>8</v>
      </c>
      <c r="CL339" s="27" t="s">
        <v>7</v>
      </c>
      <c r="CN339" s="27" t="s">
        <v>7</v>
      </c>
      <c r="CO339" s="27" t="s">
        <v>8</v>
      </c>
      <c r="CP339" s="27" t="s">
        <v>7</v>
      </c>
    </row>
    <row r="340" spans="1:134" x14ac:dyDescent="0.25">
      <c r="A340" s="7">
        <v>133.11972911219038</v>
      </c>
      <c r="B340"/>
      <c r="C340"/>
      <c r="D340"/>
      <c r="E340"/>
      <c r="BU340" s="27" t="s">
        <v>8</v>
      </c>
      <c r="BV340" s="27" t="s">
        <v>7</v>
      </c>
      <c r="BW340" s="27" t="s">
        <v>8</v>
      </c>
      <c r="CF340" s="27" t="s">
        <v>7</v>
      </c>
      <c r="CG340" s="27" t="s">
        <v>8</v>
      </c>
      <c r="CJ340" s="27" t="s">
        <v>7</v>
      </c>
      <c r="CK340" s="27" t="s">
        <v>8</v>
      </c>
      <c r="CN340" s="27" t="s">
        <v>7</v>
      </c>
      <c r="CO340" s="27" t="s">
        <v>8</v>
      </c>
      <c r="CP340" s="27" t="s">
        <v>7</v>
      </c>
    </row>
    <row r="341" spans="1:134" x14ac:dyDescent="0.25">
      <c r="A341" s="7">
        <v>130.50953834528468</v>
      </c>
      <c r="B341"/>
      <c r="C341"/>
      <c r="D341"/>
      <c r="E341"/>
      <c r="BU341" s="27" t="s">
        <v>8</v>
      </c>
      <c r="BV341" s="27" t="s">
        <v>7</v>
      </c>
      <c r="BW341" s="27" t="s">
        <v>8</v>
      </c>
      <c r="CF341" s="27" t="s">
        <v>7</v>
      </c>
      <c r="CJ341" s="27" t="s">
        <v>7</v>
      </c>
      <c r="CN341" s="27" t="s">
        <v>7</v>
      </c>
      <c r="CP341" s="27" t="s">
        <v>7</v>
      </c>
    </row>
    <row r="342" spans="1:134" x14ac:dyDescent="0.25">
      <c r="A342" s="7">
        <v>127.95052778949477</v>
      </c>
      <c r="B342"/>
      <c r="C342"/>
      <c r="D342"/>
      <c r="E342"/>
      <c r="BU342" s="27" t="s">
        <v>8</v>
      </c>
      <c r="BV342" s="27" t="s">
        <v>7</v>
      </c>
      <c r="BW342" s="27" t="s">
        <v>8</v>
      </c>
      <c r="CP342" s="27" t="s">
        <v>7</v>
      </c>
    </row>
    <row r="343" spans="1:134" x14ac:dyDescent="0.25">
      <c r="A343" s="7">
        <v>125.44169391126938</v>
      </c>
      <c r="B343"/>
      <c r="C343"/>
      <c r="D343"/>
      <c r="E343"/>
      <c r="BU343" s="27" t="s">
        <v>8</v>
      </c>
      <c r="BV343" s="27" t="s">
        <v>7</v>
      </c>
      <c r="BW343" s="27" t="s">
        <v>8</v>
      </c>
      <c r="CP343" s="27" t="s">
        <v>7</v>
      </c>
    </row>
    <row r="344" spans="1:134" x14ac:dyDescent="0.25">
      <c r="A344" s="7">
        <v>122.98205285418567</v>
      </c>
      <c r="B344"/>
      <c r="C344"/>
      <c r="D344"/>
      <c r="E344"/>
      <c r="BU344" s="27" t="s">
        <v>8</v>
      </c>
      <c r="BV344" s="27" t="s">
        <v>7</v>
      </c>
      <c r="CP344" s="27" t="s">
        <v>7</v>
      </c>
      <c r="CQ344" s="27" t="s">
        <v>8</v>
      </c>
    </row>
    <row r="345" spans="1:134" x14ac:dyDescent="0.25">
      <c r="A345" s="7">
        <v>120.5706400531232</v>
      </c>
      <c r="B345"/>
      <c r="C345"/>
      <c r="D345"/>
      <c r="E345"/>
      <c r="BU345" s="27" t="s">
        <v>8</v>
      </c>
      <c r="CP345" s="27" t="s">
        <v>7</v>
      </c>
      <c r="CQ345" s="27" t="s">
        <v>8</v>
      </c>
      <c r="CR345" s="27" t="s">
        <v>7</v>
      </c>
    </row>
    <row r="346" spans="1:134" x14ac:dyDescent="0.25">
      <c r="A346" s="7">
        <v>118.20650985600314</v>
      </c>
      <c r="B346"/>
      <c r="C346"/>
      <c r="D346"/>
      <c r="E346"/>
      <c r="BU346" s="27" t="s">
        <v>8</v>
      </c>
      <c r="CP346" s="27" t="s">
        <v>7</v>
      </c>
      <c r="CQ346" s="27" t="s">
        <v>8</v>
      </c>
      <c r="CR346" s="27" t="s">
        <v>7</v>
      </c>
      <c r="EC346" s="27" t="s">
        <v>8</v>
      </c>
    </row>
    <row r="347" spans="1:134" x14ac:dyDescent="0.25">
      <c r="A347" s="7">
        <v>115.88873515294425</v>
      </c>
      <c r="B347"/>
      <c r="C347"/>
      <c r="D347"/>
      <c r="E347"/>
      <c r="BU347" s="27" t="s">
        <v>8</v>
      </c>
      <c r="CP347" s="27" t="s">
        <v>7</v>
      </c>
      <c r="CQ347" s="27" t="s">
        <v>8</v>
      </c>
      <c r="CR347" s="27" t="s">
        <v>7</v>
      </c>
      <c r="EC347" s="27" t="s">
        <v>8</v>
      </c>
      <c r="ED347" s="27" t="s">
        <v>7</v>
      </c>
    </row>
    <row r="348" spans="1:134" x14ac:dyDescent="0.25">
      <c r="A348" s="7">
        <v>113.61640701269044</v>
      </c>
      <c r="B348"/>
      <c r="C348"/>
      <c r="D348"/>
      <c r="E348"/>
      <c r="BU348" s="27" t="s">
        <v>8</v>
      </c>
      <c r="CP348" s="27" t="s">
        <v>7</v>
      </c>
      <c r="CQ348" s="27" t="s">
        <v>8</v>
      </c>
      <c r="CR348" s="27" t="s">
        <v>7</v>
      </c>
      <c r="EC348" s="27" t="s">
        <v>8</v>
      </c>
      <c r="ED348" s="27" t="s">
        <v>7</v>
      </c>
    </row>
    <row r="349" spans="1:134" x14ac:dyDescent="0.25">
      <c r="A349" s="7">
        <v>111.38863432616711</v>
      </c>
      <c r="B349"/>
      <c r="C349"/>
      <c r="D349"/>
      <c r="E349"/>
      <c r="BU349" s="27" t="s">
        <v>8</v>
      </c>
      <c r="CP349" s="27" t="s">
        <v>7</v>
      </c>
      <c r="CQ349" s="27" t="s">
        <v>8</v>
      </c>
      <c r="CR349" s="27" t="s">
        <v>7</v>
      </c>
      <c r="EC349" s="27" t="s">
        <v>8</v>
      </c>
      <c r="ED349" s="27" t="s">
        <v>7</v>
      </c>
    </row>
    <row r="350" spans="1:134" x14ac:dyDescent="0.25">
      <c r="A350" s="7">
        <v>109.20454345702657</v>
      </c>
      <c r="B350"/>
      <c r="C350"/>
      <c r="D350"/>
      <c r="E350"/>
      <c r="BU350" s="27" t="s">
        <v>8</v>
      </c>
      <c r="CP350" s="27" t="s">
        <v>7</v>
      </c>
      <c r="CQ350" s="27" t="s">
        <v>8</v>
      </c>
      <c r="CR350" s="27" t="s">
        <v>7</v>
      </c>
      <c r="EC350" s="27" t="s">
        <v>8</v>
      </c>
      <c r="ED350" s="27" t="s">
        <v>7</v>
      </c>
    </row>
    <row r="351" spans="1:134" x14ac:dyDescent="0.25">
      <c r="A351" s="7">
        <v>107.06327789904566</v>
      </c>
      <c r="B351"/>
      <c r="C351"/>
      <c r="D351"/>
      <c r="E351"/>
      <c r="BU351" s="27" t="s">
        <v>8</v>
      </c>
      <c r="CP351" s="27" t="s">
        <v>7</v>
      </c>
      <c r="CQ351" s="27" t="s">
        <v>8</v>
      </c>
      <c r="CR351" s="27" t="s">
        <v>7</v>
      </c>
      <c r="EC351" s="27" t="s">
        <v>8</v>
      </c>
      <c r="ED351" s="27" t="s">
        <v>7</v>
      </c>
    </row>
    <row r="352" spans="1:134" x14ac:dyDescent="0.25">
      <c r="A352" s="7">
        <v>104.96399794024084</v>
      </c>
      <c r="B352"/>
      <c r="C352"/>
      <c r="D352"/>
      <c r="E352"/>
      <c r="BU352" s="27" t="s">
        <v>8</v>
      </c>
      <c r="CP352" s="27" t="s">
        <v>7</v>
      </c>
      <c r="CQ352" s="27" t="s">
        <v>8</v>
      </c>
      <c r="CR352" s="27" t="s">
        <v>7</v>
      </c>
      <c r="CS352" s="27" t="s">
        <v>8</v>
      </c>
      <c r="EC352" s="27" t="s">
        <v>8</v>
      </c>
      <c r="ED352" s="27" t="s">
        <v>7</v>
      </c>
    </row>
    <row r="353" spans="1:152" x14ac:dyDescent="0.25">
      <c r="A353" s="7">
        <v>102.90588033356946</v>
      </c>
      <c r="B353"/>
      <c r="C353"/>
      <c r="D353"/>
      <c r="E353"/>
      <c r="BU353" s="27" t="s">
        <v>8</v>
      </c>
      <c r="CP353" s="27" t="s">
        <v>7</v>
      </c>
      <c r="CQ353" s="27" t="s">
        <v>8</v>
      </c>
      <c r="CR353" s="27" t="s">
        <v>7</v>
      </c>
      <c r="CS353" s="27" t="s">
        <v>8</v>
      </c>
      <c r="CT353" s="27" t="s">
        <v>7</v>
      </c>
      <c r="EC353" s="27" t="s">
        <v>8</v>
      </c>
      <c r="ED353" s="27" t="s">
        <v>7</v>
      </c>
    </row>
    <row r="354" spans="1:152" x14ac:dyDescent="0.25">
      <c r="A354" s="7">
        <v>100.88811797408771</v>
      </c>
      <c r="B354"/>
      <c r="C354"/>
      <c r="D354"/>
      <c r="E354"/>
      <c r="BU354" s="27" t="s">
        <v>8</v>
      </c>
      <c r="CP354" s="27" t="s">
        <v>7</v>
      </c>
      <c r="CQ354" s="27" t="s">
        <v>8</v>
      </c>
      <c r="CR354" s="27" t="s">
        <v>7</v>
      </c>
      <c r="CS354" s="27" t="s">
        <v>8</v>
      </c>
      <c r="CT354" s="27" t="s">
        <v>7</v>
      </c>
      <c r="EC354" s="27" t="s">
        <v>8</v>
      </c>
      <c r="ED354" s="27" t="s">
        <v>7</v>
      </c>
    </row>
    <row r="355" spans="1:152" x14ac:dyDescent="0.25">
      <c r="A355" s="7">
        <v>98.909919582438931</v>
      </c>
      <c r="B355"/>
      <c r="C355"/>
      <c r="D355"/>
      <c r="E355"/>
      <c r="BU355" s="27" t="s">
        <v>8</v>
      </c>
      <c r="CP355" s="27" t="s">
        <v>7</v>
      </c>
      <c r="CQ355" s="27" t="s">
        <v>8</v>
      </c>
      <c r="CR355" s="27" t="s">
        <v>7</v>
      </c>
      <c r="CS355" s="27" t="s">
        <v>8</v>
      </c>
      <c r="CT355" s="27" t="s">
        <v>7</v>
      </c>
      <c r="EC355" s="27" t="s">
        <v>8</v>
      </c>
      <c r="ED355" s="27" t="s">
        <v>7</v>
      </c>
    </row>
    <row r="356" spans="1:152" x14ac:dyDescent="0.25">
      <c r="A356" s="7">
        <v>96.970509394547975</v>
      </c>
      <c r="B356"/>
      <c r="C356"/>
      <c r="D356"/>
      <c r="E356"/>
      <c r="BU356" s="27" t="s">
        <v>8</v>
      </c>
      <c r="CP356" s="27" t="s">
        <v>7</v>
      </c>
      <c r="CQ356" s="27" t="s">
        <v>8</v>
      </c>
      <c r="CR356" s="27" t="s">
        <v>7</v>
      </c>
      <c r="CS356" s="27" t="s">
        <v>8</v>
      </c>
      <c r="CT356" s="27" t="s">
        <v>7</v>
      </c>
      <c r="DA356" s="27" t="s">
        <v>8</v>
      </c>
      <c r="EC356" s="27" t="s">
        <v>8</v>
      </c>
      <c r="ED356" s="27" t="s">
        <v>7</v>
      </c>
    </row>
    <row r="357" spans="1:152" x14ac:dyDescent="0.25">
      <c r="A357" s="7">
        <v>95.069126857399979</v>
      </c>
      <c r="B357"/>
      <c r="C357"/>
      <c r="D357"/>
      <c r="E357"/>
      <c r="BQ357" s="27" t="s">
        <v>8</v>
      </c>
      <c r="BU357" s="27" t="s">
        <v>8</v>
      </c>
      <c r="CP357" s="27" t="s">
        <v>7</v>
      </c>
      <c r="CQ357" s="27" t="s">
        <v>8</v>
      </c>
      <c r="CR357" s="27" t="s">
        <v>7</v>
      </c>
      <c r="CT357" s="27" t="s">
        <v>7</v>
      </c>
      <c r="CU357" s="27" t="s">
        <v>8</v>
      </c>
      <c r="DA357" s="27" t="s">
        <v>8</v>
      </c>
      <c r="DB357" s="27" t="s">
        <v>7</v>
      </c>
      <c r="EC357" s="27" t="s">
        <v>8</v>
      </c>
      <c r="ED357" s="27" t="s">
        <v>7</v>
      </c>
    </row>
    <row r="358" spans="1:152" x14ac:dyDescent="0.25">
      <c r="A358" s="7">
        <v>93.205026330784293</v>
      </c>
      <c r="B358"/>
      <c r="C358"/>
      <c r="D358"/>
      <c r="E358"/>
      <c r="BQ358" s="27" t="s">
        <v>8</v>
      </c>
      <c r="BR358" s="27" t="s">
        <v>7</v>
      </c>
      <c r="BU358" s="27" t="s">
        <v>8</v>
      </c>
      <c r="CP358" s="27" t="s">
        <v>7</v>
      </c>
      <c r="CQ358" s="27" t="s">
        <v>8</v>
      </c>
      <c r="CT358" s="27" t="s">
        <v>7</v>
      </c>
      <c r="CU358" s="27" t="s">
        <v>8</v>
      </c>
      <c r="CV358" s="27" t="s">
        <v>7</v>
      </c>
      <c r="DA358" s="27" t="s">
        <v>8</v>
      </c>
      <c r="DB358" s="27" t="s">
        <v>7</v>
      </c>
      <c r="EC358" s="27" t="s">
        <v>8</v>
      </c>
      <c r="ED358" s="27" t="s">
        <v>7</v>
      </c>
      <c r="EE358" s="27" t="s">
        <v>8</v>
      </c>
    </row>
    <row r="359" spans="1:152" x14ac:dyDescent="0.25">
      <c r="A359" s="7">
        <v>91.377476794886562</v>
      </c>
      <c r="B359"/>
      <c r="C359"/>
      <c r="D359"/>
      <c r="E359"/>
      <c r="BQ359" s="27" t="s">
        <v>8</v>
      </c>
      <c r="BR359" s="27" t="s">
        <v>7</v>
      </c>
      <c r="BU359" s="27" t="s">
        <v>8</v>
      </c>
      <c r="CP359" s="27" t="s">
        <v>7</v>
      </c>
      <c r="CQ359" s="27" t="s">
        <v>8</v>
      </c>
      <c r="CT359" s="27" t="s">
        <v>7</v>
      </c>
      <c r="CU359" s="27" t="s">
        <v>8</v>
      </c>
      <c r="CV359" s="27" t="s">
        <v>7</v>
      </c>
      <c r="DA359" s="27" t="s">
        <v>8</v>
      </c>
      <c r="DB359" s="27" t="s">
        <v>7</v>
      </c>
      <c r="EC359" s="27" t="s">
        <v>8</v>
      </c>
      <c r="ED359" s="27" t="s">
        <v>7</v>
      </c>
      <c r="EE359" s="27" t="s">
        <v>8</v>
      </c>
      <c r="EF359" s="27" t="s">
        <v>7</v>
      </c>
    </row>
    <row r="360" spans="1:152" x14ac:dyDescent="0.25">
      <c r="A360" s="7">
        <v>89.58576156361427</v>
      </c>
      <c r="B360"/>
      <c r="C360"/>
      <c r="D360"/>
      <c r="E360"/>
      <c r="BQ360" s="27" t="s">
        <v>8</v>
      </c>
      <c r="BR360" s="27" t="s">
        <v>7</v>
      </c>
      <c r="BU360" s="27" t="s">
        <v>8</v>
      </c>
      <c r="CP360" s="27" t="s">
        <v>7</v>
      </c>
      <c r="CQ360" s="27" t="s">
        <v>8</v>
      </c>
      <c r="CT360" s="27" t="s">
        <v>7</v>
      </c>
      <c r="CU360" s="27" t="s">
        <v>8</v>
      </c>
      <c r="CV360" s="27" t="s">
        <v>7</v>
      </c>
      <c r="DA360" s="27" t="s">
        <v>8</v>
      </c>
      <c r="DB360" s="27" t="s">
        <v>7</v>
      </c>
      <c r="EC360" s="27" t="s">
        <v>8</v>
      </c>
      <c r="ED360" s="27" t="s">
        <v>7</v>
      </c>
      <c r="EE360" s="27" t="s">
        <v>8</v>
      </c>
      <c r="EF360" s="27" t="s">
        <v>7</v>
      </c>
      <c r="EI360" s="27" t="s">
        <v>8</v>
      </c>
    </row>
    <row r="361" spans="1:152" x14ac:dyDescent="0.25">
      <c r="A361" s="7">
        <v>87.829178003543404</v>
      </c>
      <c r="B361"/>
      <c r="C361"/>
      <c r="D361"/>
      <c r="E361"/>
      <c r="BQ361" s="27" t="s">
        <v>8</v>
      </c>
      <c r="BR361" s="27" t="s">
        <v>7</v>
      </c>
      <c r="BU361" s="27" t="s">
        <v>8</v>
      </c>
      <c r="CP361" s="27" t="s">
        <v>7</v>
      </c>
      <c r="CT361" s="27" t="s">
        <v>7</v>
      </c>
      <c r="CU361" s="27" t="s">
        <v>8</v>
      </c>
      <c r="CV361" s="27" t="s">
        <v>7</v>
      </c>
      <c r="DA361" s="27" t="s">
        <v>8</v>
      </c>
      <c r="DB361" s="27" t="s">
        <v>7</v>
      </c>
      <c r="EC361" s="27" t="s">
        <v>8</v>
      </c>
      <c r="ED361" s="27" t="s">
        <v>7</v>
      </c>
      <c r="EE361" s="27" t="s">
        <v>8</v>
      </c>
      <c r="EF361" s="27" t="s">
        <v>7</v>
      </c>
      <c r="EI361" s="27" t="s">
        <v>8</v>
      </c>
      <c r="EJ361" s="27" t="s">
        <v>7</v>
      </c>
    </row>
    <row r="362" spans="1:152" x14ac:dyDescent="0.25">
      <c r="A362" s="7">
        <v>86.107037258375883</v>
      </c>
      <c r="B362"/>
      <c r="C362"/>
      <c r="D362"/>
      <c r="E362"/>
      <c r="BQ362" s="27" t="s">
        <v>8</v>
      </c>
      <c r="BR362" s="27" t="s">
        <v>7</v>
      </c>
      <c r="BU362" s="27" t="s">
        <v>8</v>
      </c>
      <c r="CT362" s="27" t="s">
        <v>7</v>
      </c>
      <c r="CU362" s="27" t="s">
        <v>8</v>
      </c>
      <c r="CV362" s="27" t="s">
        <v>7</v>
      </c>
      <c r="DA362" s="27" t="s">
        <v>8</v>
      </c>
      <c r="DB362" s="27" t="s">
        <v>7</v>
      </c>
      <c r="EC362" s="27" t="s">
        <v>8</v>
      </c>
      <c r="ED362" s="27" t="s">
        <v>7</v>
      </c>
      <c r="EE362" s="27" t="s">
        <v>8</v>
      </c>
      <c r="EF362" s="27" t="s">
        <v>7</v>
      </c>
      <c r="EG362" s="27" t="s">
        <v>8</v>
      </c>
      <c r="EI362" s="27" t="s">
        <v>8</v>
      </c>
      <c r="EJ362" s="27" t="s">
        <v>7</v>
      </c>
      <c r="EK362" s="27" t="s">
        <v>8</v>
      </c>
    </row>
    <row r="363" spans="1:152" x14ac:dyDescent="0.25">
      <c r="A363" s="7">
        <v>84.418663978799884</v>
      </c>
      <c r="B363"/>
      <c r="C363"/>
      <c r="D363"/>
      <c r="E363"/>
      <c r="BQ363" s="27" t="s">
        <v>8</v>
      </c>
      <c r="BR363" s="27" t="s">
        <v>7</v>
      </c>
      <c r="BS363" s="27" t="s">
        <v>8</v>
      </c>
      <c r="BU363" s="27" t="s">
        <v>8</v>
      </c>
      <c r="CT363" s="27" t="s">
        <v>7</v>
      </c>
      <c r="CU363" s="27" t="s">
        <v>8</v>
      </c>
      <c r="CV363" s="27" t="s">
        <v>7</v>
      </c>
      <c r="DA363" s="27" t="s">
        <v>8</v>
      </c>
      <c r="DB363" s="27" t="s">
        <v>7</v>
      </c>
      <c r="EC363" s="27" t="s">
        <v>8</v>
      </c>
      <c r="ED363" s="27" t="s">
        <v>7</v>
      </c>
      <c r="EE363" s="27" t="s">
        <v>8</v>
      </c>
      <c r="EF363" s="27" t="s">
        <v>7</v>
      </c>
      <c r="EG363" s="27" t="s">
        <v>8</v>
      </c>
      <c r="EH363" s="27" t="s">
        <v>7</v>
      </c>
      <c r="EI363" s="27" t="s">
        <v>8</v>
      </c>
      <c r="EJ363" s="27" t="s">
        <v>7</v>
      </c>
      <c r="EK363" s="27" t="s">
        <v>8</v>
      </c>
      <c r="EL363" s="27" t="s">
        <v>7</v>
      </c>
    </row>
    <row r="364" spans="1:152" x14ac:dyDescent="0.25">
      <c r="A364" s="7">
        <v>82.763396057646943</v>
      </c>
      <c r="B364"/>
      <c r="C364"/>
      <c r="D364"/>
      <c r="E364"/>
      <c r="BQ364" s="27" t="s">
        <v>8</v>
      </c>
      <c r="BR364" s="27" t="s">
        <v>7</v>
      </c>
      <c r="BS364" s="27" t="s">
        <v>8</v>
      </c>
      <c r="BT364" s="27" t="s">
        <v>7</v>
      </c>
      <c r="BU364" s="27" t="s">
        <v>8</v>
      </c>
      <c r="CT364" s="27" t="s">
        <v>7</v>
      </c>
      <c r="CU364" s="27" t="s">
        <v>8</v>
      </c>
      <c r="CV364" s="27" t="s">
        <v>7</v>
      </c>
      <c r="DA364" s="27" t="s">
        <v>8</v>
      </c>
      <c r="DB364" s="27" t="s">
        <v>7</v>
      </c>
      <c r="EC364" s="27" t="s">
        <v>8</v>
      </c>
      <c r="ED364" s="27" t="s">
        <v>7</v>
      </c>
      <c r="EE364" s="27" t="s">
        <v>8</v>
      </c>
      <c r="EF364" s="27" t="s">
        <v>7</v>
      </c>
      <c r="EG364" s="27" t="s">
        <v>8</v>
      </c>
      <c r="EH364" s="27" t="s">
        <v>7</v>
      </c>
      <c r="EI364" s="27" t="s">
        <v>8</v>
      </c>
      <c r="EJ364" s="27" t="s">
        <v>7</v>
      </c>
      <c r="EK364" s="27" t="s">
        <v>8</v>
      </c>
      <c r="EL364" s="27" t="s">
        <v>7</v>
      </c>
    </row>
    <row r="365" spans="1:152" x14ac:dyDescent="0.25">
      <c r="A365" s="7">
        <v>81.140584370242095</v>
      </c>
      <c r="B365"/>
      <c r="C365"/>
      <c r="D365"/>
      <c r="E365"/>
      <c r="BQ365" s="27" t="s">
        <v>8</v>
      </c>
      <c r="BR365" s="27" t="s">
        <v>7</v>
      </c>
      <c r="BS365" s="27" t="s">
        <v>8</v>
      </c>
      <c r="BT365" s="27" t="s">
        <v>7</v>
      </c>
      <c r="BU365" s="27" t="s">
        <v>8</v>
      </c>
      <c r="CT365" s="27" t="s">
        <v>7</v>
      </c>
      <c r="CU365" s="27" t="s">
        <v>8</v>
      </c>
      <c r="CV365" s="27" t="s">
        <v>7</v>
      </c>
      <c r="DA365" s="27" t="s">
        <v>8</v>
      </c>
      <c r="DB365" s="27" t="s">
        <v>7</v>
      </c>
      <c r="EA365" s="27" t="s">
        <v>8</v>
      </c>
      <c r="EC365" s="27" t="s">
        <v>8</v>
      </c>
      <c r="ED365" s="27" t="s">
        <v>7</v>
      </c>
      <c r="EE365" s="27" t="s">
        <v>8</v>
      </c>
      <c r="EF365" s="27" t="s">
        <v>7</v>
      </c>
      <c r="EG365" s="27" t="s">
        <v>8</v>
      </c>
      <c r="EH365" s="27" t="s">
        <v>7</v>
      </c>
      <c r="EI365" s="27" t="s">
        <v>8</v>
      </c>
      <c r="EJ365" s="27" t="s">
        <v>7</v>
      </c>
      <c r="EL365" s="27" t="s">
        <v>7</v>
      </c>
      <c r="EU365" s="27" t="s">
        <v>8</v>
      </c>
    </row>
    <row r="366" spans="1:152" x14ac:dyDescent="0.25">
      <c r="A366" s="7">
        <v>79.549592519845191</v>
      </c>
      <c r="B366"/>
      <c r="C366"/>
      <c r="D366"/>
      <c r="E366"/>
      <c r="BQ366" s="27" t="s">
        <v>8</v>
      </c>
      <c r="BR366" s="27" t="s">
        <v>7</v>
      </c>
      <c r="BS366" s="27" t="s">
        <v>8</v>
      </c>
      <c r="BT366" s="27" t="s">
        <v>7</v>
      </c>
      <c r="BU366" s="27" t="s">
        <v>8</v>
      </c>
      <c r="CT366" s="27" t="s">
        <v>7</v>
      </c>
      <c r="CU366" s="27" t="s">
        <v>8</v>
      </c>
      <c r="CV366" s="27" t="s">
        <v>7</v>
      </c>
      <c r="CW366" s="27" t="s">
        <v>8</v>
      </c>
      <c r="DA366" s="27" t="s">
        <v>8</v>
      </c>
      <c r="DB366" s="27" t="s">
        <v>7</v>
      </c>
      <c r="EA366" s="27" t="s">
        <v>8</v>
      </c>
      <c r="EB366" s="27" t="s">
        <v>7</v>
      </c>
      <c r="EC366" s="27" t="s">
        <v>8</v>
      </c>
      <c r="ED366" s="27" t="s">
        <v>7</v>
      </c>
      <c r="EE366" s="27" t="s">
        <v>8</v>
      </c>
      <c r="EF366" s="27" t="s">
        <v>7</v>
      </c>
      <c r="EH366" s="27" t="s">
        <v>7</v>
      </c>
      <c r="EI366" s="27" t="s">
        <v>8</v>
      </c>
      <c r="EL366" s="27" t="s">
        <v>7</v>
      </c>
      <c r="EU366" s="27" t="s">
        <v>8</v>
      </c>
      <c r="EV366" s="27" t="s">
        <v>7</v>
      </c>
    </row>
    <row r="367" spans="1:152" x14ac:dyDescent="0.25">
      <c r="A367" s="7">
        <v>77.989796588083522</v>
      </c>
      <c r="B367"/>
      <c r="C367"/>
      <c r="D367"/>
      <c r="E367"/>
      <c r="BQ367" s="27" t="s">
        <v>8</v>
      </c>
      <c r="BR367" s="27" t="s">
        <v>7</v>
      </c>
      <c r="BS367" s="27" t="s">
        <v>8</v>
      </c>
      <c r="BT367" s="27" t="s">
        <v>7</v>
      </c>
      <c r="BU367" s="27" t="s">
        <v>8</v>
      </c>
      <c r="CT367" s="27" t="s">
        <v>7</v>
      </c>
      <c r="CU367" s="27" t="s">
        <v>8</v>
      </c>
      <c r="CV367" s="27" t="s">
        <v>7</v>
      </c>
      <c r="CW367" s="27" t="s">
        <v>8</v>
      </c>
      <c r="CX367" s="27" t="s">
        <v>7</v>
      </c>
      <c r="DA367" s="27" t="s">
        <v>8</v>
      </c>
      <c r="DB367" s="27" t="s">
        <v>7</v>
      </c>
      <c r="DC367" s="27" t="s">
        <v>8</v>
      </c>
      <c r="EA367" s="27" t="s">
        <v>8</v>
      </c>
      <c r="EB367" s="27" t="s">
        <v>7</v>
      </c>
      <c r="EC367" s="27" t="s">
        <v>8</v>
      </c>
      <c r="ED367" s="27" t="s">
        <v>7</v>
      </c>
      <c r="EE367" s="27" t="s">
        <v>8</v>
      </c>
      <c r="EH367" s="27" t="s">
        <v>7</v>
      </c>
      <c r="EI367" s="27" t="s">
        <v>8</v>
      </c>
      <c r="EL367" s="27" t="s">
        <v>7</v>
      </c>
      <c r="EU367" s="27" t="s">
        <v>8</v>
      </c>
      <c r="EV367" s="27" t="s">
        <v>7</v>
      </c>
    </row>
    <row r="368" spans="1:152" x14ac:dyDescent="0.25">
      <c r="A368" s="7">
        <v>76.460584890277957</v>
      </c>
      <c r="B368"/>
      <c r="C368"/>
      <c r="D368"/>
      <c r="E368"/>
      <c r="BQ368" s="27" t="s">
        <v>8</v>
      </c>
      <c r="BR368" s="27" t="s">
        <v>7</v>
      </c>
      <c r="BS368" s="27" t="s">
        <v>8</v>
      </c>
      <c r="BT368" s="27" t="s">
        <v>7</v>
      </c>
      <c r="BU368" s="27" t="s">
        <v>8</v>
      </c>
      <c r="CT368" s="27" t="s">
        <v>7</v>
      </c>
      <c r="CU368" s="27" t="s">
        <v>8</v>
      </c>
      <c r="CV368" s="27" t="s">
        <v>7</v>
      </c>
      <c r="CW368" s="27" t="s">
        <v>8</v>
      </c>
      <c r="CX368" s="27" t="s">
        <v>7</v>
      </c>
      <c r="DA368" s="27" t="s">
        <v>8</v>
      </c>
      <c r="DB368" s="27" t="s">
        <v>7</v>
      </c>
      <c r="DC368" s="27" t="s">
        <v>8</v>
      </c>
      <c r="DD368" s="27" t="s">
        <v>7</v>
      </c>
      <c r="DE368" s="27" t="s">
        <v>8</v>
      </c>
      <c r="EA368" s="27" t="s">
        <v>8</v>
      </c>
      <c r="EB368" s="27" t="s">
        <v>7</v>
      </c>
      <c r="EC368" s="27" t="s">
        <v>8</v>
      </c>
      <c r="ED368" s="27" t="s">
        <v>7</v>
      </c>
      <c r="EE368" s="27" t="s">
        <v>8</v>
      </c>
      <c r="EH368" s="27" t="s">
        <v>7</v>
      </c>
      <c r="EI368" s="27" t="s">
        <v>8</v>
      </c>
      <c r="EL368" s="27" t="s">
        <v>7</v>
      </c>
      <c r="EU368" s="27" t="s">
        <v>8</v>
      </c>
      <c r="EV368" s="27" t="s">
        <v>7</v>
      </c>
    </row>
    <row r="369" spans="1:176" x14ac:dyDescent="0.25">
      <c r="A369" s="7">
        <v>74.961357735566622</v>
      </c>
      <c r="B369"/>
      <c r="C369"/>
      <c r="D369"/>
      <c r="E369" t="s">
        <v>8</v>
      </c>
      <c r="BQ369" s="27" t="s">
        <v>8</v>
      </c>
      <c r="BR369" s="27" t="s">
        <v>7</v>
      </c>
      <c r="BT369" s="27" t="s">
        <v>7</v>
      </c>
      <c r="BU369" s="27" t="s">
        <v>8</v>
      </c>
      <c r="CT369" s="27" t="s">
        <v>7</v>
      </c>
      <c r="CU369" s="27" t="s">
        <v>8</v>
      </c>
      <c r="CV369" s="27" t="s">
        <v>7</v>
      </c>
      <c r="CW369" s="27" t="s">
        <v>8</v>
      </c>
      <c r="CX369" s="27" t="s">
        <v>7</v>
      </c>
      <c r="DA369" s="27" t="s">
        <v>8</v>
      </c>
      <c r="DB369" s="27" t="s">
        <v>7</v>
      </c>
      <c r="DC369" s="27" t="s">
        <v>8</v>
      </c>
      <c r="DD369" s="27" t="s">
        <v>7</v>
      </c>
      <c r="DE369" s="27" t="s">
        <v>8</v>
      </c>
      <c r="DF369" s="27" t="s">
        <v>7</v>
      </c>
      <c r="DU369" s="27" t="s">
        <v>8</v>
      </c>
      <c r="DW369" s="27" t="s">
        <v>8</v>
      </c>
      <c r="DY369" s="27" t="s">
        <v>8</v>
      </c>
      <c r="EA369" s="27" t="s">
        <v>8</v>
      </c>
      <c r="EB369" s="27" t="s">
        <v>7</v>
      </c>
      <c r="EC369" s="27" t="s">
        <v>8</v>
      </c>
      <c r="ED369" s="27" t="s">
        <v>7</v>
      </c>
      <c r="EE369" s="27" t="s">
        <v>8</v>
      </c>
      <c r="EH369" s="27" t="s">
        <v>7</v>
      </c>
      <c r="EI369" s="27" t="s">
        <v>8</v>
      </c>
      <c r="EL369" s="27" t="s">
        <v>7</v>
      </c>
      <c r="EM369" s="27" t="s">
        <v>8</v>
      </c>
      <c r="EU369" s="27" t="s">
        <v>8</v>
      </c>
      <c r="EV369" s="27" t="s">
        <v>7</v>
      </c>
    </row>
    <row r="370" spans="1:176" x14ac:dyDescent="0.25">
      <c r="A370" s="7">
        <v>73.491527191731976</v>
      </c>
      <c r="B370"/>
      <c r="C370"/>
      <c r="D370"/>
      <c r="E370" t="s">
        <v>8</v>
      </c>
      <c r="F370" s="27" t="s">
        <v>7</v>
      </c>
      <c r="BQ370" s="27" t="s">
        <v>8</v>
      </c>
      <c r="BT370" s="27" t="s">
        <v>7</v>
      </c>
      <c r="CT370" s="27" t="s">
        <v>7</v>
      </c>
      <c r="CU370" s="27" t="s">
        <v>8</v>
      </c>
      <c r="CV370" s="27" t="s">
        <v>7</v>
      </c>
      <c r="CW370" s="27" t="s">
        <v>8</v>
      </c>
      <c r="CX370" s="27" t="s">
        <v>7</v>
      </c>
      <c r="DA370" s="27" t="s">
        <v>8</v>
      </c>
      <c r="DB370" s="27" t="s">
        <v>7</v>
      </c>
      <c r="DC370" s="27" t="s">
        <v>8</v>
      </c>
      <c r="DD370" s="27" t="s">
        <v>7</v>
      </c>
      <c r="DE370" s="27" t="s">
        <v>8</v>
      </c>
      <c r="DF370" s="27" t="s">
        <v>7</v>
      </c>
      <c r="DU370" s="27" t="s">
        <v>8</v>
      </c>
      <c r="DV370" s="27" t="s">
        <v>7</v>
      </c>
      <c r="DW370" s="27" t="s">
        <v>8</v>
      </c>
      <c r="DX370" s="27" t="s">
        <v>7</v>
      </c>
      <c r="DY370" s="27" t="s">
        <v>8</v>
      </c>
      <c r="DZ370" s="27" t="s">
        <v>7</v>
      </c>
      <c r="EA370" s="27" t="s">
        <v>8</v>
      </c>
      <c r="EB370" s="27" t="s">
        <v>7</v>
      </c>
      <c r="EC370" s="27" t="s">
        <v>8</v>
      </c>
      <c r="ED370" s="27" t="s">
        <v>7</v>
      </c>
      <c r="EE370" s="27" t="s">
        <v>8</v>
      </c>
      <c r="EH370" s="27" t="s">
        <v>7</v>
      </c>
      <c r="EL370" s="27" t="s">
        <v>7</v>
      </c>
      <c r="EM370" s="27" t="s">
        <v>8</v>
      </c>
      <c r="EN370" s="27" t="s">
        <v>7</v>
      </c>
      <c r="EQ370" s="27" t="s">
        <v>8</v>
      </c>
      <c r="ES370" s="27" t="s">
        <v>8</v>
      </c>
      <c r="EU370" s="27" t="s">
        <v>8</v>
      </c>
      <c r="EV370" s="27" t="s">
        <v>7</v>
      </c>
      <c r="EW370" s="27" t="s">
        <v>8</v>
      </c>
    </row>
    <row r="371" spans="1:176" x14ac:dyDescent="0.25">
      <c r="A371" s="7">
        <v>72.050516854639184</v>
      </c>
      <c r="B371"/>
      <c r="C371"/>
      <c r="D371"/>
      <c r="E371" t="s">
        <v>8</v>
      </c>
      <c r="F371" s="27" t="s">
        <v>7</v>
      </c>
      <c r="BQ371" s="27" t="s">
        <v>8</v>
      </c>
      <c r="CT371" s="27" t="s">
        <v>7</v>
      </c>
      <c r="CU371" s="27" t="s">
        <v>8</v>
      </c>
      <c r="CV371" s="27" t="s">
        <v>7</v>
      </c>
      <c r="CW371" s="27" t="s">
        <v>8</v>
      </c>
      <c r="CX371" s="27" t="s">
        <v>7</v>
      </c>
      <c r="DA371" s="27" t="s">
        <v>8</v>
      </c>
      <c r="DB371" s="27" t="s">
        <v>7</v>
      </c>
      <c r="DC371" s="27" t="s">
        <v>8</v>
      </c>
      <c r="DD371" s="27" t="s">
        <v>7</v>
      </c>
      <c r="DE371" s="27" t="s">
        <v>8</v>
      </c>
      <c r="DF371" s="27" t="s">
        <v>7</v>
      </c>
      <c r="DU371" s="27" t="s">
        <v>8</v>
      </c>
      <c r="DV371" s="27" t="s">
        <v>7</v>
      </c>
      <c r="DW371" s="27" t="s">
        <v>8</v>
      </c>
      <c r="DX371" s="27" t="s">
        <v>7</v>
      </c>
      <c r="DY371" s="27" t="s">
        <v>8</v>
      </c>
      <c r="DZ371" s="27" t="s">
        <v>7</v>
      </c>
      <c r="EA371" s="27" t="s">
        <v>8</v>
      </c>
      <c r="EB371" s="27" t="s">
        <v>7</v>
      </c>
      <c r="EC371" s="27" t="s">
        <v>8</v>
      </c>
      <c r="ED371" s="27" t="s">
        <v>7</v>
      </c>
      <c r="EL371" s="27" t="s">
        <v>7</v>
      </c>
      <c r="EM371" s="27" t="s">
        <v>8</v>
      </c>
      <c r="EN371" s="27" t="s">
        <v>7</v>
      </c>
      <c r="EQ371" s="27" t="s">
        <v>8</v>
      </c>
      <c r="ER371" s="27" t="s">
        <v>7</v>
      </c>
      <c r="ES371" s="27" t="s">
        <v>8</v>
      </c>
      <c r="ET371" s="27" t="s">
        <v>7</v>
      </c>
      <c r="EU371" s="27" t="s">
        <v>8</v>
      </c>
      <c r="EV371" s="27" t="s">
        <v>7</v>
      </c>
      <c r="EW371" s="27" t="s">
        <v>8</v>
      </c>
      <c r="EX371" s="27" t="s">
        <v>7</v>
      </c>
    </row>
    <row r="372" spans="1:176" x14ac:dyDescent="0.25">
      <c r="A372" s="7">
        <v>70.637761622195271</v>
      </c>
      <c r="B372"/>
      <c r="C372"/>
      <c r="D372"/>
      <c r="E372" t="s">
        <v>8</v>
      </c>
      <c r="F372" s="27" t="s">
        <v>7</v>
      </c>
      <c r="BQ372" s="27" t="s">
        <v>8</v>
      </c>
      <c r="CT372" s="27" t="s">
        <v>7</v>
      </c>
      <c r="CU372" s="27" t="s">
        <v>8</v>
      </c>
      <c r="CV372" s="27" t="s">
        <v>7</v>
      </c>
      <c r="CW372" s="27" t="s">
        <v>8</v>
      </c>
      <c r="CX372" s="27" t="s">
        <v>7</v>
      </c>
      <c r="DA372" s="27" t="s">
        <v>8</v>
      </c>
      <c r="DB372" s="27" t="s">
        <v>7</v>
      </c>
      <c r="DD372" s="27" t="s">
        <v>7</v>
      </c>
      <c r="DE372" s="27" t="s">
        <v>8</v>
      </c>
      <c r="DF372" s="27" t="s">
        <v>7</v>
      </c>
      <c r="DS372" s="27" t="s">
        <v>8</v>
      </c>
      <c r="DU372" s="27" t="s">
        <v>8</v>
      </c>
      <c r="DV372" s="27" t="s">
        <v>7</v>
      </c>
      <c r="DW372" s="27" t="s">
        <v>8</v>
      </c>
      <c r="DX372" s="27" t="s">
        <v>7</v>
      </c>
      <c r="DZ372" s="27" t="s">
        <v>7</v>
      </c>
      <c r="EA372" s="27" t="s">
        <v>8</v>
      </c>
      <c r="EB372" s="27" t="s">
        <v>7</v>
      </c>
      <c r="EL372" s="27" t="s">
        <v>7</v>
      </c>
      <c r="EM372" s="27" t="s">
        <v>8</v>
      </c>
      <c r="EN372" s="27" t="s">
        <v>7</v>
      </c>
      <c r="EQ372" s="27" t="s">
        <v>8</v>
      </c>
      <c r="ER372" s="27" t="s">
        <v>7</v>
      </c>
      <c r="ES372" s="27" t="s">
        <v>8</v>
      </c>
      <c r="ET372" s="27" t="s">
        <v>7</v>
      </c>
      <c r="EU372" s="27" t="s">
        <v>8</v>
      </c>
      <c r="EV372" s="27" t="s">
        <v>7</v>
      </c>
      <c r="EW372" s="27" t="s">
        <v>8</v>
      </c>
      <c r="EX372" s="27" t="s">
        <v>7</v>
      </c>
      <c r="EY372" s="27" t="s">
        <v>8</v>
      </c>
    </row>
    <row r="373" spans="1:176" x14ac:dyDescent="0.25">
      <c r="A373" s="7">
        <v>69.252707472740454</v>
      </c>
      <c r="B373"/>
      <c r="C373"/>
      <c r="D373"/>
      <c r="E373" t="s">
        <v>8</v>
      </c>
      <c r="F373" s="27" t="s">
        <v>7</v>
      </c>
      <c r="BQ373" s="27" t="s">
        <v>8</v>
      </c>
      <c r="CT373" s="27" t="s">
        <v>7</v>
      </c>
      <c r="CU373" s="27" t="s">
        <v>8</v>
      </c>
      <c r="CV373" s="27" t="s">
        <v>7</v>
      </c>
      <c r="CW373" s="27" t="s">
        <v>8</v>
      </c>
      <c r="CX373" s="27" t="s">
        <v>7</v>
      </c>
      <c r="CY373" s="27" t="s">
        <v>8</v>
      </c>
      <c r="DA373" s="27" t="s">
        <v>8</v>
      </c>
      <c r="DD373" s="27" t="s">
        <v>7</v>
      </c>
      <c r="DE373" s="27" t="s">
        <v>8</v>
      </c>
      <c r="DF373" s="27" t="s">
        <v>7</v>
      </c>
      <c r="DS373" s="27" t="s">
        <v>8</v>
      </c>
      <c r="DT373" s="27" t="s">
        <v>7</v>
      </c>
      <c r="DU373" s="27" t="s">
        <v>8</v>
      </c>
      <c r="DV373" s="27" t="s">
        <v>7</v>
      </c>
      <c r="DZ373" s="27" t="s">
        <v>7</v>
      </c>
      <c r="EA373" s="27" t="s">
        <v>8</v>
      </c>
      <c r="EL373" s="27" t="s">
        <v>7</v>
      </c>
      <c r="EN373" s="27" t="s">
        <v>7</v>
      </c>
      <c r="EQ373" s="27" t="s">
        <v>8</v>
      </c>
      <c r="ER373" s="27" t="s">
        <v>7</v>
      </c>
      <c r="ES373" s="27" t="s">
        <v>8</v>
      </c>
      <c r="ET373" s="27" t="s">
        <v>7</v>
      </c>
      <c r="EV373" s="27" t="s">
        <v>7</v>
      </c>
      <c r="EX373" s="27" t="s">
        <v>7</v>
      </c>
      <c r="EY373" s="27" t="s">
        <v>8</v>
      </c>
      <c r="EZ373" s="27" t="s">
        <v>7</v>
      </c>
      <c r="FK373" s="27" t="s">
        <v>8</v>
      </c>
    </row>
    <row r="374" spans="1:176" x14ac:dyDescent="0.25">
      <c r="A374" s="7">
        <v>67.894811247784759</v>
      </c>
      <c r="B374"/>
      <c r="C374"/>
      <c r="D374"/>
      <c r="E374" t="s">
        <v>8</v>
      </c>
      <c r="F374" s="27" t="s">
        <v>7</v>
      </c>
      <c r="BQ374" s="27" t="s">
        <v>8</v>
      </c>
      <c r="CT374" s="27" t="s">
        <v>7</v>
      </c>
      <c r="CU374" s="27" t="s">
        <v>8</v>
      </c>
      <c r="CV374" s="27" t="s">
        <v>7</v>
      </c>
      <c r="CW374" s="27" t="s">
        <v>8</v>
      </c>
      <c r="CX374" s="27" t="s">
        <v>7</v>
      </c>
      <c r="CY374" s="27" t="s">
        <v>8</v>
      </c>
      <c r="CZ374" s="27" t="s">
        <v>7</v>
      </c>
      <c r="DA374" s="27" t="s">
        <v>8</v>
      </c>
      <c r="DD374" s="27" t="s">
        <v>7</v>
      </c>
      <c r="DE374" s="27" t="s">
        <v>8</v>
      </c>
      <c r="DF374" s="27" t="s">
        <v>7</v>
      </c>
      <c r="DS374" s="27" t="s">
        <v>8</v>
      </c>
      <c r="DT374" s="27" t="s">
        <v>7</v>
      </c>
      <c r="DU374" s="27" t="s">
        <v>8</v>
      </c>
      <c r="DZ374" s="27" t="s">
        <v>7</v>
      </c>
      <c r="EA374" s="27" t="s">
        <v>8</v>
      </c>
      <c r="EN374" s="27" t="s">
        <v>7</v>
      </c>
      <c r="EQ374" s="27" t="s">
        <v>8</v>
      </c>
      <c r="ER374" s="27" t="s">
        <v>7</v>
      </c>
      <c r="ES374" s="27" t="s">
        <v>8</v>
      </c>
      <c r="EX374" s="27" t="s">
        <v>7</v>
      </c>
      <c r="EY374" s="27" t="s">
        <v>8</v>
      </c>
      <c r="EZ374" s="27" t="s">
        <v>7</v>
      </c>
      <c r="FA374" s="27" t="s">
        <v>8</v>
      </c>
      <c r="FK374" s="27" t="s">
        <v>8</v>
      </c>
      <c r="FL374" s="27" t="s">
        <v>7</v>
      </c>
    </row>
    <row r="375" spans="1:176" x14ac:dyDescent="0.25">
      <c r="A375" s="7">
        <v>66.563540439004669</v>
      </c>
      <c r="B375"/>
      <c r="C375"/>
      <c r="D375"/>
      <c r="E375" t="s">
        <v>8</v>
      </c>
      <c r="F375" s="27" t="s">
        <v>7</v>
      </c>
      <c r="BQ375" s="27" t="s">
        <v>8</v>
      </c>
      <c r="CT375" s="27" t="s">
        <v>7</v>
      </c>
      <c r="CU375" s="27" t="s">
        <v>8</v>
      </c>
      <c r="CV375" s="27" t="s">
        <v>7</v>
      </c>
      <c r="CW375" s="27" t="s">
        <v>8</v>
      </c>
      <c r="CX375" s="27" t="s">
        <v>7</v>
      </c>
      <c r="CY375" s="27" t="s">
        <v>8</v>
      </c>
      <c r="CZ375" s="27" t="s">
        <v>7</v>
      </c>
      <c r="DA375" s="27" t="s">
        <v>8</v>
      </c>
      <c r="DD375" s="27" t="s">
        <v>7</v>
      </c>
      <c r="DF375" s="27" t="s">
        <v>7</v>
      </c>
      <c r="DS375" s="27" t="s">
        <v>8</v>
      </c>
      <c r="DT375" s="27" t="s">
        <v>7</v>
      </c>
      <c r="DU375" s="27" t="s">
        <v>8</v>
      </c>
      <c r="DZ375" s="27" t="s">
        <v>7</v>
      </c>
      <c r="EN375" s="27" t="s">
        <v>7</v>
      </c>
      <c r="EQ375" s="27" t="s">
        <v>8</v>
      </c>
      <c r="ER375" s="27" t="s">
        <v>7</v>
      </c>
      <c r="EX375" s="27" t="s">
        <v>7</v>
      </c>
      <c r="EY375" s="27" t="s">
        <v>8</v>
      </c>
      <c r="EZ375" s="27" t="s">
        <v>7</v>
      </c>
      <c r="FA375" s="27" t="s">
        <v>8</v>
      </c>
      <c r="FB375" s="27" t="s">
        <v>7</v>
      </c>
      <c r="FG375" s="27" t="s">
        <v>8</v>
      </c>
      <c r="FK375" s="27" t="s">
        <v>8</v>
      </c>
      <c r="FL375" s="27" t="s">
        <v>7</v>
      </c>
    </row>
    <row r="376" spans="1:176" x14ac:dyDescent="0.25">
      <c r="A376" s="7">
        <v>65.258372979416336</v>
      </c>
      <c r="B376"/>
      <c r="C376"/>
      <c r="D376"/>
      <c r="E376" t="s">
        <v>8</v>
      </c>
      <c r="F376" s="27" t="s">
        <v>7</v>
      </c>
      <c r="BQ376" s="27" t="s">
        <v>8</v>
      </c>
      <c r="CT376" s="27" t="s">
        <v>7</v>
      </c>
      <c r="CU376" s="27" t="s">
        <v>8</v>
      </c>
      <c r="CV376" s="27" t="s">
        <v>7</v>
      </c>
      <c r="CW376" s="27" t="s">
        <v>8</v>
      </c>
      <c r="CX376" s="27" t="s">
        <v>7</v>
      </c>
      <c r="CZ376" s="27" t="s">
        <v>7</v>
      </c>
      <c r="DF376" s="27" t="s">
        <v>7</v>
      </c>
      <c r="DI376" s="27" t="s">
        <v>8</v>
      </c>
      <c r="DS376" s="27" t="s">
        <v>8</v>
      </c>
      <c r="DT376" s="27" t="s">
        <v>7</v>
      </c>
      <c r="DU376" s="27" t="s">
        <v>8</v>
      </c>
      <c r="EN376" s="27" t="s">
        <v>7</v>
      </c>
      <c r="EQ376" s="27" t="s">
        <v>8</v>
      </c>
      <c r="EX376" s="27" t="s">
        <v>7</v>
      </c>
      <c r="EY376" s="27" t="s">
        <v>8</v>
      </c>
      <c r="EZ376" s="27" t="s">
        <v>7</v>
      </c>
      <c r="FA376" s="27" t="s">
        <v>8</v>
      </c>
      <c r="FB376" s="27" t="s">
        <v>7</v>
      </c>
      <c r="FC376" s="27" t="s">
        <v>8</v>
      </c>
      <c r="FG376" s="27" t="s">
        <v>8</v>
      </c>
      <c r="FH376" s="27" t="s">
        <v>7</v>
      </c>
      <c r="FI376" s="27" t="s">
        <v>8</v>
      </c>
      <c r="FK376" s="27" t="s">
        <v>8</v>
      </c>
      <c r="FL376" s="27" t="s">
        <v>7</v>
      </c>
    </row>
    <row r="377" spans="1:176" x14ac:dyDescent="0.25">
      <c r="A377" s="7">
        <v>63.978797038643471</v>
      </c>
      <c r="B377"/>
      <c r="C377"/>
      <c r="D377"/>
      <c r="E377" t="s">
        <v>8</v>
      </c>
      <c r="F377" s="27" t="s">
        <v>7</v>
      </c>
      <c r="BQ377" s="27" t="s">
        <v>8</v>
      </c>
      <c r="CT377" s="27" t="s">
        <v>7</v>
      </c>
      <c r="CU377" s="27" t="s">
        <v>8</v>
      </c>
      <c r="CV377" s="27" t="s">
        <v>7</v>
      </c>
      <c r="CW377" s="27" t="s">
        <v>8</v>
      </c>
      <c r="DF377" s="27" t="s">
        <v>7</v>
      </c>
      <c r="DI377" s="27" t="s">
        <v>8</v>
      </c>
      <c r="DJ377" s="27" t="s">
        <v>7</v>
      </c>
      <c r="DS377" s="27" t="s">
        <v>8</v>
      </c>
      <c r="DT377" s="27" t="s">
        <v>7</v>
      </c>
      <c r="DU377" s="27" t="s">
        <v>8</v>
      </c>
      <c r="EN377" s="27" t="s">
        <v>7</v>
      </c>
      <c r="EQ377" s="27" t="s">
        <v>8</v>
      </c>
      <c r="EX377" s="27" t="s">
        <v>7</v>
      </c>
      <c r="EY377" s="27" t="s">
        <v>8</v>
      </c>
      <c r="EZ377" s="27" t="s">
        <v>7</v>
      </c>
      <c r="FA377" s="27" t="s">
        <v>8</v>
      </c>
      <c r="FB377" s="27" t="s">
        <v>7</v>
      </c>
      <c r="FC377" s="27" t="s">
        <v>8</v>
      </c>
      <c r="FD377" s="27" t="s">
        <v>7</v>
      </c>
      <c r="FG377" s="27" t="s">
        <v>8</v>
      </c>
      <c r="FH377" s="27" t="s">
        <v>7</v>
      </c>
      <c r="FI377" s="27" t="s">
        <v>8</v>
      </c>
      <c r="FJ377" s="27" t="s">
        <v>7</v>
      </c>
      <c r="FK377" s="27" t="s">
        <v>8</v>
      </c>
      <c r="FL377" s="27" t="s">
        <v>7</v>
      </c>
    </row>
    <row r="378" spans="1:176" x14ac:dyDescent="0.25">
      <c r="A378" s="7">
        <v>62.724310822199477</v>
      </c>
      <c r="B378"/>
      <c r="C378"/>
      <c r="D378"/>
      <c r="E378" t="s">
        <v>8</v>
      </c>
      <c r="F378" s="27" t="s">
        <v>7</v>
      </c>
      <c r="BQ378" s="27" t="s">
        <v>8</v>
      </c>
      <c r="CT378" s="27" t="s">
        <v>7</v>
      </c>
      <c r="CU378" s="27" t="s">
        <v>8</v>
      </c>
      <c r="CV378" s="27" t="s">
        <v>7</v>
      </c>
      <c r="CW378" s="27" t="s">
        <v>8</v>
      </c>
      <c r="DF378" s="27" t="s">
        <v>7</v>
      </c>
      <c r="DI378" s="27" t="s">
        <v>8</v>
      </c>
      <c r="DJ378" s="27" t="s">
        <v>7</v>
      </c>
      <c r="DS378" s="27" t="s">
        <v>8</v>
      </c>
      <c r="DT378" s="27" t="s">
        <v>7</v>
      </c>
      <c r="DU378" s="27" t="s">
        <v>8</v>
      </c>
      <c r="EN378" s="27" t="s">
        <v>7</v>
      </c>
      <c r="EO378" s="27" t="s">
        <v>8</v>
      </c>
      <c r="EQ378" s="27" t="s">
        <v>8</v>
      </c>
      <c r="EX378" s="27" t="s">
        <v>7</v>
      </c>
      <c r="EY378" s="27" t="s">
        <v>8</v>
      </c>
      <c r="EZ378" s="27" t="s">
        <v>7</v>
      </c>
      <c r="FA378" s="27" t="s">
        <v>8</v>
      </c>
      <c r="FB378" s="27" t="s">
        <v>7</v>
      </c>
      <c r="FC378" s="27" t="s">
        <v>8</v>
      </c>
      <c r="FD378" s="27" t="s">
        <v>7</v>
      </c>
      <c r="FE378" s="27" t="s">
        <v>8</v>
      </c>
      <c r="FG378" s="27" t="s">
        <v>8</v>
      </c>
      <c r="FH378" s="27" t="s">
        <v>7</v>
      </c>
      <c r="FI378" s="27" t="s">
        <v>8</v>
      </c>
      <c r="FJ378" s="27" t="s">
        <v>7</v>
      </c>
      <c r="FK378" s="27" t="s">
        <v>8</v>
      </c>
      <c r="FL378" s="27" t="s">
        <v>7</v>
      </c>
    </row>
    <row r="379" spans="1:176" x14ac:dyDescent="0.25">
      <c r="A379" s="7">
        <v>61.494422374705366</v>
      </c>
      <c r="B379"/>
      <c r="C379"/>
      <c r="D379"/>
      <c r="E379" t="s">
        <v>8</v>
      </c>
      <c r="F379" s="27" t="s">
        <v>7</v>
      </c>
      <c r="BQ379" s="27" t="s">
        <v>8</v>
      </c>
      <c r="CT379" s="27" t="s">
        <v>7</v>
      </c>
      <c r="CU379" s="27" t="s">
        <v>8</v>
      </c>
      <c r="CV379" s="27" t="s">
        <v>7</v>
      </c>
      <c r="CW379" s="27" t="s">
        <v>8</v>
      </c>
      <c r="DF379" s="27" t="s">
        <v>7</v>
      </c>
      <c r="DI379" s="27" t="s">
        <v>8</v>
      </c>
      <c r="DJ379" s="27" t="s">
        <v>7</v>
      </c>
      <c r="DS379" s="27" t="s">
        <v>8</v>
      </c>
      <c r="DT379" s="27" t="s">
        <v>7</v>
      </c>
      <c r="EN379" s="27" t="s">
        <v>7</v>
      </c>
      <c r="EO379" s="27" t="s">
        <v>8</v>
      </c>
      <c r="EP379" s="27" t="s">
        <v>7</v>
      </c>
      <c r="EQ379" s="27" t="s">
        <v>8</v>
      </c>
      <c r="EX379" s="27" t="s">
        <v>7</v>
      </c>
      <c r="EZ379" s="27" t="s">
        <v>7</v>
      </c>
      <c r="FB379" s="27" t="s">
        <v>7</v>
      </c>
      <c r="FD379" s="27" t="s">
        <v>7</v>
      </c>
      <c r="FE379" s="27" t="s">
        <v>8</v>
      </c>
      <c r="FF379" s="27" t="s">
        <v>7</v>
      </c>
      <c r="FG379" s="27" t="s">
        <v>8</v>
      </c>
      <c r="FH379" s="27" t="s">
        <v>7</v>
      </c>
      <c r="FJ379" s="27" t="s">
        <v>7</v>
      </c>
      <c r="FK379" s="27" t="s">
        <v>8</v>
      </c>
      <c r="FL379" s="27" t="s">
        <v>7</v>
      </c>
    </row>
    <row r="380" spans="1:176" x14ac:dyDescent="0.25">
      <c r="A380" s="7">
        <v>60.288649386966043</v>
      </c>
      <c r="B380"/>
      <c r="C380"/>
      <c r="D380"/>
      <c r="E380" t="s">
        <v>8</v>
      </c>
      <c r="F380" s="27" t="s">
        <v>7</v>
      </c>
      <c r="BQ380" s="27" t="s">
        <v>8</v>
      </c>
      <c r="CT380" s="27" t="s">
        <v>7</v>
      </c>
      <c r="CU380" s="27" t="s">
        <v>8</v>
      </c>
      <c r="CV380" s="27" t="s">
        <v>7</v>
      </c>
      <c r="CW380" s="27" t="s">
        <v>8</v>
      </c>
      <c r="DF380" s="27" t="s">
        <v>7</v>
      </c>
      <c r="DI380" s="27" t="s">
        <v>8</v>
      </c>
      <c r="DJ380" s="27" t="s">
        <v>7</v>
      </c>
      <c r="DK380" s="27" t="s">
        <v>8</v>
      </c>
      <c r="DS380" s="27" t="s">
        <v>8</v>
      </c>
      <c r="EN380" s="27" t="s">
        <v>7</v>
      </c>
      <c r="EO380" s="27" t="s">
        <v>8</v>
      </c>
      <c r="EP380" s="27" t="s">
        <v>7</v>
      </c>
      <c r="EQ380" s="27" t="s">
        <v>8</v>
      </c>
      <c r="FD380" s="27" t="s">
        <v>7</v>
      </c>
      <c r="FE380" s="27" t="s">
        <v>8</v>
      </c>
      <c r="FF380" s="27" t="s">
        <v>7</v>
      </c>
      <c r="FG380" s="27" t="s">
        <v>8</v>
      </c>
      <c r="FJ380" s="27" t="s">
        <v>7</v>
      </c>
      <c r="FK380" s="27" t="s">
        <v>8</v>
      </c>
      <c r="FL380" s="27" t="s">
        <v>7</v>
      </c>
    </row>
    <row r="381" spans="1:176" x14ac:dyDescent="0.25">
      <c r="A381" s="7">
        <v>59.106519006829451</v>
      </c>
      <c r="B381"/>
      <c r="C381"/>
      <c r="D381"/>
      <c r="E381" t="s">
        <v>8</v>
      </c>
      <c r="F381" s="27" t="s">
        <v>7</v>
      </c>
      <c r="BQ381" s="27" t="s">
        <v>8</v>
      </c>
      <c r="CT381" s="27" t="s">
        <v>7</v>
      </c>
      <c r="CU381" s="27" t="s">
        <v>8</v>
      </c>
      <c r="CV381" s="27" t="s">
        <v>7</v>
      </c>
      <c r="CW381" s="27" t="s">
        <v>8</v>
      </c>
      <c r="DF381" s="27" t="s">
        <v>7</v>
      </c>
      <c r="DG381" s="27" t="s">
        <v>8</v>
      </c>
      <c r="DI381" s="27" t="s">
        <v>8</v>
      </c>
      <c r="DJ381" s="27" t="s">
        <v>7</v>
      </c>
      <c r="DK381" s="27" t="s">
        <v>8</v>
      </c>
      <c r="DL381" s="27" t="s">
        <v>7</v>
      </c>
      <c r="DS381" s="27" t="s">
        <v>8</v>
      </c>
      <c r="EN381" s="27" t="s">
        <v>7</v>
      </c>
      <c r="EO381" s="27" t="s">
        <v>8</v>
      </c>
      <c r="EP381" s="27" t="s">
        <v>7</v>
      </c>
      <c r="EQ381" s="27" t="s">
        <v>8</v>
      </c>
      <c r="FD381" s="27" t="s">
        <v>7</v>
      </c>
      <c r="FE381" s="27" t="s">
        <v>8</v>
      </c>
      <c r="FF381" s="27" t="s">
        <v>7</v>
      </c>
      <c r="FG381" s="27" t="s">
        <v>8</v>
      </c>
      <c r="FJ381" s="27" t="s">
        <v>7</v>
      </c>
      <c r="FL381" s="27" t="s">
        <v>7</v>
      </c>
      <c r="FQ381" s="27" t="s">
        <v>8</v>
      </c>
    </row>
    <row r="382" spans="1:176" x14ac:dyDescent="0.25">
      <c r="A382" s="7">
        <v>57.947567653754362</v>
      </c>
      <c r="B382"/>
      <c r="C382"/>
      <c r="D382"/>
      <c r="E382" t="s">
        <v>8</v>
      </c>
      <c r="F382" s="27" t="s">
        <v>7</v>
      </c>
      <c r="BQ382" s="27" t="s">
        <v>8</v>
      </c>
      <c r="CT382" s="27" t="s">
        <v>7</v>
      </c>
      <c r="CU382" s="27" t="s">
        <v>8</v>
      </c>
      <c r="CV382" s="27" t="s">
        <v>7</v>
      </c>
      <c r="CW382" s="27" t="s">
        <v>8</v>
      </c>
      <c r="DF382" s="27" t="s">
        <v>7</v>
      </c>
      <c r="DG382" s="27" t="s">
        <v>8</v>
      </c>
      <c r="DH382" s="27" t="s">
        <v>7</v>
      </c>
      <c r="DI382" s="27" t="s">
        <v>8</v>
      </c>
      <c r="DJ382" s="27" t="s">
        <v>7</v>
      </c>
      <c r="DK382" s="27" t="s">
        <v>8</v>
      </c>
      <c r="DL382" s="27" t="s">
        <v>7</v>
      </c>
      <c r="DQ382" s="27" t="s">
        <v>8</v>
      </c>
      <c r="DS382" s="27" t="s">
        <v>8</v>
      </c>
      <c r="EN382" s="27" t="s">
        <v>7</v>
      </c>
      <c r="EO382" s="27" t="s">
        <v>8</v>
      </c>
      <c r="EP382" s="27" t="s">
        <v>7</v>
      </c>
      <c r="EQ382" s="27" t="s">
        <v>8</v>
      </c>
      <c r="FD382" s="27" t="s">
        <v>7</v>
      </c>
      <c r="FE382" s="27" t="s">
        <v>8</v>
      </c>
      <c r="FF382" s="27" t="s">
        <v>7</v>
      </c>
      <c r="FL382" s="27" t="s">
        <v>7</v>
      </c>
      <c r="FM382" s="27" t="s">
        <v>8</v>
      </c>
      <c r="FQ382" s="27" t="s">
        <v>8</v>
      </c>
      <c r="FR382" s="27" t="s">
        <v>7</v>
      </c>
    </row>
    <row r="383" spans="1:176" x14ac:dyDescent="0.25">
      <c r="A383" s="7">
        <v>56.811340837014079</v>
      </c>
      <c r="B383"/>
      <c r="C383"/>
      <c r="D383"/>
      <c r="E383" t="s">
        <v>8</v>
      </c>
      <c r="F383" s="27" t="s">
        <v>7</v>
      </c>
      <c r="BO383" s="27" t="s">
        <v>8</v>
      </c>
      <c r="BQ383" s="27" t="s">
        <v>8</v>
      </c>
      <c r="CT383" s="27" t="s">
        <v>7</v>
      </c>
      <c r="CU383" s="27" t="s">
        <v>8</v>
      </c>
      <c r="CV383" s="27" t="s">
        <v>7</v>
      </c>
      <c r="CW383" s="27" t="s">
        <v>8</v>
      </c>
      <c r="DF383" s="27" t="s">
        <v>7</v>
      </c>
      <c r="DG383" s="27" t="s">
        <v>8</v>
      </c>
      <c r="DH383" s="27" t="s">
        <v>7</v>
      </c>
      <c r="DI383" s="27" t="s">
        <v>8</v>
      </c>
      <c r="DJ383" s="27" t="s">
        <v>7</v>
      </c>
      <c r="DK383" s="27" t="s">
        <v>8</v>
      </c>
      <c r="DL383" s="27" t="s">
        <v>7</v>
      </c>
      <c r="DQ383" s="27" t="s">
        <v>8</v>
      </c>
      <c r="DR383" s="27" t="s">
        <v>7</v>
      </c>
      <c r="DS383" s="27" t="s">
        <v>8</v>
      </c>
      <c r="EN383" s="27" t="s">
        <v>7</v>
      </c>
      <c r="EO383" s="27" t="s">
        <v>8</v>
      </c>
      <c r="EP383" s="27" t="s">
        <v>7</v>
      </c>
      <c r="EQ383" s="27" t="s">
        <v>8</v>
      </c>
      <c r="FD383" s="27" t="s">
        <v>7</v>
      </c>
      <c r="FE383" s="27" t="s">
        <v>8</v>
      </c>
      <c r="FL383" s="27" t="s">
        <v>7</v>
      </c>
      <c r="FM383" s="27" t="s">
        <v>8</v>
      </c>
      <c r="FN383" s="27" t="s">
        <v>7</v>
      </c>
      <c r="FQ383" s="27" t="s">
        <v>8</v>
      </c>
      <c r="FR383" s="27" t="s">
        <v>7</v>
      </c>
      <c r="FS383" s="27" t="s">
        <v>8</v>
      </c>
    </row>
    <row r="384" spans="1:176" x14ac:dyDescent="0.25">
      <c r="A384" s="7">
        <v>55.69739297746478</v>
      </c>
      <c r="B384"/>
      <c r="C384"/>
      <c r="D384"/>
      <c r="E384" t="s">
        <v>8</v>
      </c>
      <c r="F384" s="27" t="s">
        <v>7</v>
      </c>
      <c r="BO384" s="27" t="s">
        <v>8</v>
      </c>
      <c r="BP384" s="27" t="s">
        <v>7</v>
      </c>
      <c r="BQ384" s="27" t="s">
        <v>8</v>
      </c>
      <c r="CT384" s="27" t="s">
        <v>7</v>
      </c>
      <c r="CV384" s="27" t="s">
        <v>7</v>
      </c>
      <c r="DF384" s="27" t="s">
        <v>7</v>
      </c>
      <c r="DG384" s="27" t="s">
        <v>8</v>
      </c>
      <c r="DH384" s="27" t="s">
        <v>7</v>
      </c>
      <c r="DI384" s="27" t="s">
        <v>8</v>
      </c>
      <c r="DJ384" s="27" t="s">
        <v>7</v>
      </c>
      <c r="DL384" s="27" t="s">
        <v>7</v>
      </c>
      <c r="DQ384" s="27" t="s">
        <v>8</v>
      </c>
      <c r="DR384" s="27" t="s">
        <v>7</v>
      </c>
      <c r="DS384" s="27" t="s">
        <v>8</v>
      </c>
      <c r="EN384" s="27" t="s">
        <v>7</v>
      </c>
      <c r="EO384" s="27" t="s">
        <v>8</v>
      </c>
      <c r="EP384" s="27" t="s">
        <v>7</v>
      </c>
      <c r="FD384" s="27" t="s">
        <v>7</v>
      </c>
      <c r="FE384" s="27" t="s">
        <v>8</v>
      </c>
      <c r="FL384" s="27" t="s">
        <v>7</v>
      </c>
      <c r="FM384" s="27" t="s">
        <v>8</v>
      </c>
      <c r="FN384" s="27" t="s">
        <v>7</v>
      </c>
      <c r="FQ384" s="27" t="s">
        <v>8</v>
      </c>
      <c r="FR384" s="27" t="s">
        <v>7</v>
      </c>
      <c r="FS384" s="27" t="s">
        <v>8</v>
      </c>
      <c r="FT384" s="27" t="s">
        <v>7</v>
      </c>
    </row>
    <row r="385" spans="1:185" x14ac:dyDescent="0.25">
      <c r="A385" s="7">
        <v>54.605287232808607</v>
      </c>
      <c r="B385"/>
      <c r="C385"/>
      <c r="D385"/>
      <c r="E385" t="s">
        <v>8</v>
      </c>
      <c r="F385" s="27" t="s">
        <v>7</v>
      </c>
      <c r="BO385" s="27" t="s">
        <v>8</v>
      </c>
      <c r="BP385" s="27" t="s">
        <v>7</v>
      </c>
      <c r="BQ385" s="27" t="s">
        <v>8</v>
      </c>
      <c r="DF385" s="27" t="s">
        <v>7</v>
      </c>
      <c r="DG385" s="27" t="s">
        <v>8</v>
      </c>
      <c r="DH385" s="27" t="s">
        <v>7</v>
      </c>
      <c r="DI385" s="27" t="s">
        <v>8</v>
      </c>
      <c r="DL385" s="27" t="s">
        <v>7</v>
      </c>
      <c r="DQ385" s="27" t="s">
        <v>8</v>
      </c>
      <c r="DR385" s="27" t="s">
        <v>7</v>
      </c>
      <c r="DS385" s="27" t="s">
        <v>8</v>
      </c>
      <c r="EN385" s="27" t="s">
        <v>7</v>
      </c>
      <c r="EO385" s="27" t="s">
        <v>8</v>
      </c>
      <c r="FD385" s="27" t="s">
        <v>7</v>
      </c>
      <c r="FE385" s="27" t="s">
        <v>8</v>
      </c>
      <c r="FL385" s="27" t="s">
        <v>7</v>
      </c>
      <c r="FM385" s="27" t="s">
        <v>8</v>
      </c>
      <c r="FN385" s="27" t="s">
        <v>7</v>
      </c>
      <c r="FO385" s="27" t="s">
        <v>8</v>
      </c>
      <c r="FQ385" s="27" t="s">
        <v>8</v>
      </c>
      <c r="FR385" s="27" t="s">
        <v>7</v>
      </c>
      <c r="FS385" s="27" t="s">
        <v>8</v>
      </c>
      <c r="FT385" s="27" t="s">
        <v>7</v>
      </c>
    </row>
    <row r="386" spans="1:185" x14ac:dyDescent="0.25">
      <c r="A386" s="7">
        <v>53.534595326282947</v>
      </c>
      <c r="B386"/>
      <c r="C386"/>
      <c r="D386"/>
      <c r="E386" t="s">
        <v>8</v>
      </c>
      <c r="F386" s="27" t="s">
        <v>7</v>
      </c>
      <c r="BO386" s="27" t="s">
        <v>8</v>
      </c>
      <c r="BP386" s="27" t="s">
        <v>7</v>
      </c>
      <c r="BQ386" s="27" t="s">
        <v>8</v>
      </c>
      <c r="DF386" s="27" t="s">
        <v>7</v>
      </c>
      <c r="DG386" s="27" t="s">
        <v>8</v>
      </c>
      <c r="DH386" s="27" t="s">
        <v>7</v>
      </c>
      <c r="DI386" s="27" t="s">
        <v>8</v>
      </c>
      <c r="DL386" s="27" t="s">
        <v>7</v>
      </c>
      <c r="DQ386" s="27" t="s">
        <v>8</v>
      </c>
      <c r="DR386" s="27" t="s">
        <v>7</v>
      </c>
      <c r="EN386" s="27" t="s">
        <v>7</v>
      </c>
      <c r="EO386" s="27" t="s">
        <v>8</v>
      </c>
      <c r="FD386" s="27" t="s">
        <v>7</v>
      </c>
      <c r="FE386" s="27" t="s">
        <v>8</v>
      </c>
      <c r="FL386" s="27" t="s">
        <v>7</v>
      </c>
      <c r="FM386" s="27" t="s">
        <v>8</v>
      </c>
      <c r="FN386" s="27" t="s">
        <v>7</v>
      </c>
      <c r="FO386" s="27" t="s">
        <v>8</v>
      </c>
      <c r="FP386" s="27" t="s">
        <v>7</v>
      </c>
      <c r="FQ386" s="27" t="s">
        <v>8</v>
      </c>
      <c r="FR386" s="27" t="s">
        <v>7</v>
      </c>
      <c r="FS386" s="27" t="s">
        <v>8</v>
      </c>
      <c r="FT386" s="27" t="s">
        <v>7</v>
      </c>
    </row>
    <row r="387" spans="1:185" x14ac:dyDescent="0.25">
      <c r="A387" s="7">
        <v>52.484897378708773</v>
      </c>
      <c r="B387"/>
      <c r="C387"/>
      <c r="D387"/>
      <c r="E387" t="s">
        <v>8</v>
      </c>
      <c r="F387" s="27" t="s">
        <v>7</v>
      </c>
      <c r="BA387" s="27" t="s">
        <v>8</v>
      </c>
      <c r="BO387" s="27" t="s">
        <v>8</v>
      </c>
      <c r="BP387" s="27" t="s">
        <v>7</v>
      </c>
      <c r="BQ387" s="27" t="s">
        <v>8</v>
      </c>
      <c r="DF387" s="27" t="s">
        <v>7</v>
      </c>
      <c r="DG387" s="27" t="s">
        <v>8</v>
      </c>
      <c r="DH387" s="27" t="s">
        <v>7</v>
      </c>
      <c r="DI387" s="27" t="s">
        <v>8</v>
      </c>
      <c r="DL387" s="27" t="s">
        <v>7</v>
      </c>
      <c r="DO387" s="27" t="s">
        <v>8</v>
      </c>
      <c r="DQ387" s="27" t="s">
        <v>8</v>
      </c>
      <c r="EN387" s="27" t="s">
        <v>7</v>
      </c>
      <c r="EO387" s="27" t="s">
        <v>8</v>
      </c>
      <c r="FD387" s="27" t="s">
        <v>7</v>
      </c>
      <c r="FL387" s="27" t="s">
        <v>7</v>
      </c>
      <c r="FN387" s="27" t="s">
        <v>7</v>
      </c>
      <c r="FO387" s="27" t="s">
        <v>8</v>
      </c>
      <c r="FP387" s="27" t="s">
        <v>7</v>
      </c>
      <c r="FQ387" s="27" t="s">
        <v>8</v>
      </c>
      <c r="FR387" s="27" t="s">
        <v>7</v>
      </c>
      <c r="FT387" s="27" t="s">
        <v>7</v>
      </c>
    </row>
    <row r="388" spans="1:185" x14ac:dyDescent="0.25">
      <c r="A388" s="7">
        <v>51.455781743832127</v>
      </c>
      <c r="B388"/>
      <c r="C388"/>
      <c r="D388"/>
      <c r="E388" t="s">
        <v>8</v>
      </c>
      <c r="F388" s="27" t="s">
        <v>7</v>
      </c>
      <c r="AW388" s="27" t="s">
        <v>8</v>
      </c>
      <c r="BA388" s="27" t="s">
        <v>8</v>
      </c>
      <c r="BB388" s="27" t="s">
        <v>7</v>
      </c>
      <c r="BO388" s="27" t="s">
        <v>8</v>
      </c>
      <c r="BP388" s="27" t="s">
        <v>7</v>
      </c>
      <c r="DF388" s="27" t="s">
        <v>7</v>
      </c>
      <c r="DG388" s="27" t="s">
        <v>8</v>
      </c>
      <c r="DH388" s="27" t="s">
        <v>7</v>
      </c>
      <c r="DI388" s="27" t="s">
        <v>8</v>
      </c>
      <c r="DL388" s="27" t="s">
        <v>7</v>
      </c>
      <c r="DO388" s="27" t="s">
        <v>8</v>
      </c>
      <c r="DP388" s="27" t="s">
        <v>7</v>
      </c>
      <c r="DQ388" s="27" t="s">
        <v>8</v>
      </c>
      <c r="EN388" s="27" t="s">
        <v>7</v>
      </c>
      <c r="EO388" s="27" t="s">
        <v>8</v>
      </c>
      <c r="FN388" s="27" t="s">
        <v>7</v>
      </c>
      <c r="FP388" s="27" t="s">
        <v>7</v>
      </c>
      <c r="FQ388" s="27" t="s">
        <v>8</v>
      </c>
      <c r="FT388" s="27" t="s">
        <v>7</v>
      </c>
    </row>
    <row r="389" spans="1:185" x14ac:dyDescent="0.25">
      <c r="A389" s="7">
        <v>50.446844846894244</v>
      </c>
      <c r="B389"/>
      <c r="C389"/>
      <c r="D389"/>
      <c r="E389" t="s">
        <v>8</v>
      </c>
      <c r="F389" s="27" t="s">
        <v>7</v>
      </c>
      <c r="AW389" s="27" t="s">
        <v>8</v>
      </c>
      <c r="AX389" s="27" t="s">
        <v>7</v>
      </c>
      <c r="BA389" s="27" t="s">
        <v>8</v>
      </c>
      <c r="BB389" s="27" t="s">
        <v>7</v>
      </c>
      <c r="BO389" s="27" t="s">
        <v>8</v>
      </c>
      <c r="DF389" s="27" t="s">
        <v>7</v>
      </c>
      <c r="DG389" s="27" t="s">
        <v>8</v>
      </c>
      <c r="DH389" s="27" t="s">
        <v>7</v>
      </c>
      <c r="DL389" s="27" t="s">
        <v>7</v>
      </c>
      <c r="DM389" s="27" t="s">
        <v>8</v>
      </c>
      <c r="DO389" s="27" t="s">
        <v>8</v>
      </c>
      <c r="DP389" s="27" t="s">
        <v>7</v>
      </c>
      <c r="DQ389" s="27" t="s">
        <v>8</v>
      </c>
      <c r="EN389" s="27" t="s">
        <v>7</v>
      </c>
      <c r="FP389" s="27" t="s">
        <v>7</v>
      </c>
      <c r="FT389" s="27" t="s">
        <v>7</v>
      </c>
    </row>
    <row r="390" spans="1:185" x14ac:dyDescent="0.25">
      <c r="A390" s="7">
        <v>49.457691026366902</v>
      </c>
      <c r="B390"/>
      <c r="C390"/>
      <c r="D390"/>
      <c r="E390" t="s">
        <v>8</v>
      </c>
      <c r="F390" s="27" t="s">
        <v>7</v>
      </c>
      <c r="AW390" s="27" t="s">
        <v>8</v>
      </c>
      <c r="AX390" s="27" t="s">
        <v>7</v>
      </c>
      <c r="BA390" s="27" t="s">
        <v>8</v>
      </c>
      <c r="BB390" s="27" t="s">
        <v>7</v>
      </c>
      <c r="BG390" s="27" t="s">
        <v>8</v>
      </c>
      <c r="BO390" s="27" t="s">
        <v>8</v>
      </c>
      <c r="DF390" s="27" t="s">
        <v>7</v>
      </c>
      <c r="DG390" s="27" t="s">
        <v>8</v>
      </c>
      <c r="DL390" s="27" t="s">
        <v>7</v>
      </c>
      <c r="DM390" s="27" t="s">
        <v>8</v>
      </c>
      <c r="DN390" s="27" t="s">
        <v>7</v>
      </c>
      <c r="DO390" s="27" t="s">
        <v>8</v>
      </c>
      <c r="DP390" s="27" t="s">
        <v>7</v>
      </c>
      <c r="DQ390" s="27" t="s">
        <v>8</v>
      </c>
      <c r="FT390" s="27" t="s">
        <v>7</v>
      </c>
    </row>
    <row r="391" spans="1:185" x14ac:dyDescent="0.25">
      <c r="A391" s="7">
        <v>48.487932378791079</v>
      </c>
      <c r="B391"/>
      <c r="C391"/>
      <c r="D391"/>
      <c r="E391" t="s">
        <v>8</v>
      </c>
      <c r="F391" s="27" t="s">
        <v>7</v>
      </c>
      <c r="AW391" s="27" t="s">
        <v>8</v>
      </c>
      <c r="AX391" s="27" t="s">
        <v>7</v>
      </c>
      <c r="BA391" s="27" t="s">
        <v>8</v>
      </c>
      <c r="BB391" s="27" t="s">
        <v>7</v>
      </c>
      <c r="BG391" s="27" t="s">
        <v>8</v>
      </c>
      <c r="BH391" s="27" t="s">
        <v>7</v>
      </c>
      <c r="BO391" s="27" t="s">
        <v>8</v>
      </c>
      <c r="DF391" s="27" t="s">
        <v>7</v>
      </c>
      <c r="DG391" s="27" t="s">
        <v>8</v>
      </c>
      <c r="DL391" s="27" t="s">
        <v>7</v>
      </c>
      <c r="DM391" s="27" t="s">
        <v>8</v>
      </c>
      <c r="DN391" s="27" t="s">
        <v>7</v>
      </c>
      <c r="DO391" s="27" t="s">
        <v>8</v>
      </c>
      <c r="DP391" s="27" t="s">
        <v>7</v>
      </c>
      <c r="DQ391" s="27" t="s">
        <v>8</v>
      </c>
      <c r="FT391" s="27" t="s">
        <v>7</v>
      </c>
    </row>
    <row r="392" spans="1:185" x14ac:dyDescent="0.25">
      <c r="A392" s="7">
        <v>47.537188606657921</v>
      </c>
      <c r="B392"/>
      <c r="C392"/>
      <c r="D392"/>
      <c r="E392" t="s">
        <v>8</v>
      </c>
      <c r="F392" s="27" t="s">
        <v>7</v>
      </c>
      <c r="AW392" s="27" t="s">
        <v>8</v>
      </c>
      <c r="AX392" s="27" t="s">
        <v>7</v>
      </c>
      <c r="BA392" s="27" t="s">
        <v>8</v>
      </c>
      <c r="BB392" s="27" t="s">
        <v>7</v>
      </c>
      <c r="BG392" s="27" t="s">
        <v>8</v>
      </c>
      <c r="BH392" s="27" t="s">
        <v>7</v>
      </c>
      <c r="BO392" s="27" t="s">
        <v>8</v>
      </c>
      <c r="DF392" s="27" t="s">
        <v>7</v>
      </c>
      <c r="DG392" s="27" t="s">
        <v>8</v>
      </c>
      <c r="DL392" s="27" t="s">
        <v>7</v>
      </c>
      <c r="DM392" s="27" t="s">
        <v>8</v>
      </c>
      <c r="DN392" s="27" t="s">
        <v>7</v>
      </c>
      <c r="DP392" s="27" t="s">
        <v>7</v>
      </c>
      <c r="FT392" s="27" t="s">
        <v>7</v>
      </c>
    </row>
    <row r="393" spans="1:185" x14ac:dyDescent="0.25">
      <c r="A393" s="7">
        <v>46.605086869272469</v>
      </c>
      <c r="B393"/>
      <c r="C393"/>
      <c r="D393"/>
      <c r="E393" t="s">
        <v>8</v>
      </c>
      <c r="F393" s="27" t="s">
        <v>7</v>
      </c>
      <c r="AW393" s="27" t="s">
        <v>8</v>
      </c>
      <c r="AX393" s="27" t="s">
        <v>7</v>
      </c>
      <c r="BA393" s="27" t="s">
        <v>8</v>
      </c>
      <c r="BB393" s="27" t="s">
        <v>7</v>
      </c>
      <c r="BG393" s="27" t="s">
        <v>8</v>
      </c>
      <c r="BH393" s="27" t="s">
        <v>7</v>
      </c>
      <c r="BO393" s="27" t="s">
        <v>8</v>
      </c>
      <c r="DF393" s="27" t="s">
        <v>7</v>
      </c>
      <c r="DG393" s="27" t="s">
        <v>8</v>
      </c>
      <c r="DL393" s="27" t="s">
        <v>7</v>
      </c>
      <c r="DM393" s="27" t="s">
        <v>8</v>
      </c>
      <c r="FT393" s="27" t="s">
        <v>7</v>
      </c>
    </row>
    <row r="394" spans="1:185" x14ac:dyDescent="0.25">
      <c r="A394" s="7">
        <v>45.691261636541633</v>
      </c>
      <c r="B394"/>
      <c r="C394"/>
      <c r="D394"/>
      <c r="E394" t="s">
        <v>8</v>
      </c>
      <c r="F394" s="27" t="s">
        <v>7</v>
      </c>
      <c r="AW394" s="27" t="s">
        <v>8</v>
      </c>
      <c r="AX394" s="27" t="s">
        <v>7</v>
      </c>
      <c r="BA394" s="27" t="s">
        <v>8</v>
      </c>
      <c r="BB394" s="27" t="s">
        <v>7</v>
      </c>
      <c r="BC394" s="27" t="s">
        <v>8</v>
      </c>
      <c r="BG394" s="27" t="s">
        <v>8</v>
      </c>
      <c r="BH394" s="27" t="s">
        <v>7</v>
      </c>
      <c r="BO394" s="27" t="s">
        <v>8</v>
      </c>
      <c r="DF394" s="27" t="s">
        <v>7</v>
      </c>
      <c r="DG394" s="27" t="s">
        <v>8</v>
      </c>
      <c r="DL394" s="27" t="s">
        <v>7</v>
      </c>
      <c r="DM394" s="27" t="s">
        <v>8</v>
      </c>
      <c r="FT394" s="27" t="s">
        <v>7</v>
      </c>
    </row>
    <row r="395" spans="1:185" x14ac:dyDescent="0.25">
      <c r="A395" s="7">
        <v>44.795354545629053</v>
      </c>
      <c r="B395"/>
      <c r="C395"/>
      <c r="D395"/>
      <c r="E395" t="s">
        <v>8</v>
      </c>
      <c r="F395" s="27" t="s">
        <v>7</v>
      </c>
      <c r="AW395" s="27" t="s">
        <v>8</v>
      </c>
      <c r="AX395" s="27" t="s">
        <v>7</v>
      </c>
      <c r="AY395" s="27" t="s">
        <v>8</v>
      </c>
      <c r="BA395" s="27" t="s">
        <v>8</v>
      </c>
      <c r="BB395" s="27" t="s">
        <v>7</v>
      </c>
      <c r="BC395" s="27" t="s">
        <v>8</v>
      </c>
      <c r="BD395" s="27" t="s">
        <v>7</v>
      </c>
      <c r="BG395" s="27" t="s">
        <v>8</v>
      </c>
      <c r="BH395" s="27" t="s">
        <v>7</v>
      </c>
      <c r="BM395" s="27" t="s">
        <v>8</v>
      </c>
      <c r="BO395" s="27" t="s">
        <v>8</v>
      </c>
      <c r="DF395" s="27" t="s">
        <v>7</v>
      </c>
      <c r="DG395" s="27" t="s">
        <v>8</v>
      </c>
      <c r="DL395" s="18" t="s">
        <v>7</v>
      </c>
      <c r="DM395" s="27" t="s">
        <v>8</v>
      </c>
      <c r="FT395" s="27" t="s">
        <v>7</v>
      </c>
    </row>
    <row r="396" spans="1:185" x14ac:dyDescent="0.25">
      <c r="A396" s="7">
        <v>43.917014260420636</v>
      </c>
      <c r="B396"/>
      <c r="C396"/>
      <c r="D396"/>
      <c r="E396" t="s">
        <v>8</v>
      </c>
      <c r="F396" s="27" t="s">
        <v>7</v>
      </c>
      <c r="AW396" s="27" t="s">
        <v>8</v>
      </c>
      <c r="AX396" s="27" t="s">
        <v>7</v>
      </c>
      <c r="AY396" s="27" t="s">
        <v>8</v>
      </c>
      <c r="AZ396" s="27" t="s">
        <v>7</v>
      </c>
      <c r="BA396" s="27" t="s">
        <v>8</v>
      </c>
      <c r="BB396" s="27" t="s">
        <v>7</v>
      </c>
      <c r="BC396" s="27" t="s">
        <v>8</v>
      </c>
      <c r="BD396" s="27" t="s">
        <v>7</v>
      </c>
      <c r="BE396" s="27" t="s">
        <v>8</v>
      </c>
      <c r="BG396" s="27" t="s">
        <v>8</v>
      </c>
      <c r="BH396" s="27" t="s">
        <v>7</v>
      </c>
      <c r="BM396" s="27" t="s">
        <v>8</v>
      </c>
      <c r="BN396" s="27" t="s">
        <v>7</v>
      </c>
      <c r="BO396" s="27" t="s">
        <v>8</v>
      </c>
      <c r="DF396" s="27" t="s">
        <v>7</v>
      </c>
      <c r="DG396" s="27" t="s">
        <v>8</v>
      </c>
      <c r="DL396" s="27" t="s">
        <v>7</v>
      </c>
      <c r="DM396" s="27" t="s">
        <v>8</v>
      </c>
      <c r="FT396" s="27" t="s">
        <v>7</v>
      </c>
    </row>
    <row r="397" spans="1:185" x14ac:dyDescent="0.25">
      <c r="A397" s="7">
        <v>43.055896333745721</v>
      </c>
      <c r="B397"/>
      <c r="C397"/>
      <c r="D397"/>
      <c r="E397" t="s">
        <v>8</v>
      </c>
      <c r="F397" s="27" t="s">
        <v>7</v>
      </c>
      <c r="AW397" s="27" t="s">
        <v>8</v>
      </c>
      <c r="AX397" s="27" t="s">
        <v>7</v>
      </c>
      <c r="AY397" s="27" t="s">
        <v>8</v>
      </c>
      <c r="AZ397" s="27" t="s">
        <v>7</v>
      </c>
      <c r="BA397" s="27" t="s">
        <v>8</v>
      </c>
      <c r="BB397" s="27" t="s">
        <v>7</v>
      </c>
      <c r="BC397" s="27" t="s">
        <v>8</v>
      </c>
      <c r="BD397" s="27" t="s">
        <v>7</v>
      </c>
      <c r="BE397" s="27" t="s">
        <v>8</v>
      </c>
      <c r="BF397" s="27" t="s">
        <v>7</v>
      </c>
      <c r="BG397" s="27" t="s">
        <v>8</v>
      </c>
      <c r="BH397" s="27" t="s">
        <v>7</v>
      </c>
      <c r="BM397" s="27" t="s">
        <v>8</v>
      </c>
      <c r="BN397" s="27" t="s">
        <v>7</v>
      </c>
      <c r="BO397" s="27" t="s">
        <v>8</v>
      </c>
      <c r="DF397" s="27" t="s">
        <v>7</v>
      </c>
      <c r="DL397" s="27" t="s">
        <v>7</v>
      </c>
      <c r="DM397" s="27" t="s">
        <v>8</v>
      </c>
      <c r="FT397" s="27" t="s">
        <v>7</v>
      </c>
      <c r="FW397" s="27" t="s">
        <v>8</v>
      </c>
    </row>
    <row r="398" spans="1:185" x14ac:dyDescent="0.25">
      <c r="A398" s="7">
        <v>42.211663072299729</v>
      </c>
      <c r="B398"/>
      <c r="C398"/>
      <c r="D398"/>
      <c r="E398" t="s">
        <v>8</v>
      </c>
      <c r="F398" s="27" t="s">
        <v>7</v>
      </c>
      <c r="AW398" s="27" t="s">
        <v>8</v>
      </c>
      <c r="AX398" s="27" t="s">
        <v>7</v>
      </c>
      <c r="AY398" s="27" t="s">
        <v>8</v>
      </c>
      <c r="AZ398" s="27" t="s">
        <v>7</v>
      </c>
      <c r="BA398" s="27" t="s">
        <v>8</v>
      </c>
      <c r="BB398" s="27" t="s">
        <v>7</v>
      </c>
      <c r="BC398" s="27" t="s">
        <v>8</v>
      </c>
      <c r="BD398" s="27" t="s">
        <v>7</v>
      </c>
      <c r="BE398" s="27" t="s">
        <v>8</v>
      </c>
      <c r="BF398" s="27" t="s">
        <v>7</v>
      </c>
      <c r="BG398" s="27" t="s">
        <v>8</v>
      </c>
      <c r="BH398" s="27" t="s">
        <v>7</v>
      </c>
      <c r="BM398" s="27" t="s">
        <v>8</v>
      </c>
      <c r="BN398" s="27" t="s">
        <v>7</v>
      </c>
      <c r="BO398" s="27" t="s">
        <v>8</v>
      </c>
      <c r="DL398" s="27" t="s">
        <v>7</v>
      </c>
      <c r="DM398" s="27" t="s">
        <v>8</v>
      </c>
      <c r="FT398" s="27" t="s">
        <v>7</v>
      </c>
      <c r="FW398" s="27" t="s">
        <v>8</v>
      </c>
      <c r="FX398" s="27" t="s">
        <v>7</v>
      </c>
    </row>
    <row r="399" spans="1:185" x14ac:dyDescent="0.25">
      <c r="A399" s="7">
        <v>41.383983404215421</v>
      </c>
      <c r="B399"/>
      <c r="C399"/>
      <c r="D399"/>
      <c r="E399" t="s">
        <v>8</v>
      </c>
      <c r="F399" s="27" t="s">
        <v>7</v>
      </c>
      <c r="AW399" s="27" t="s">
        <v>8</v>
      </c>
      <c r="AX399" s="27" t="s">
        <v>7</v>
      </c>
      <c r="AY399" s="27" t="s">
        <v>8</v>
      </c>
      <c r="AZ399" s="27" t="s">
        <v>7</v>
      </c>
      <c r="BA399" s="27" t="s">
        <v>8</v>
      </c>
      <c r="BB399" s="27" t="s">
        <v>7</v>
      </c>
      <c r="BC399" s="27" t="s">
        <v>8</v>
      </c>
      <c r="BD399" s="27" t="s">
        <v>7</v>
      </c>
      <c r="BE399" s="27" t="s">
        <v>8</v>
      </c>
      <c r="BF399" s="27" t="s">
        <v>7</v>
      </c>
      <c r="BH399" s="27" t="s">
        <v>7</v>
      </c>
      <c r="BM399" s="27" t="s">
        <v>8</v>
      </c>
      <c r="BN399" s="27" t="s">
        <v>7</v>
      </c>
      <c r="BO399" s="27" t="s">
        <v>8</v>
      </c>
      <c r="DL399" s="27" t="s">
        <v>7</v>
      </c>
      <c r="DM399" s="27" t="s">
        <v>8</v>
      </c>
      <c r="FT399" s="27" t="s">
        <v>7</v>
      </c>
      <c r="FU399" s="27" t="s">
        <v>8</v>
      </c>
      <c r="FW399" s="27" t="s">
        <v>8</v>
      </c>
      <c r="FX399" s="27" t="s">
        <v>7</v>
      </c>
    </row>
    <row r="400" spans="1:185" x14ac:dyDescent="0.25">
      <c r="A400" s="7">
        <v>40.572532749230803</v>
      </c>
      <c r="B400"/>
      <c r="C400"/>
      <c r="D400"/>
      <c r="E400" t="s">
        <v>8</v>
      </c>
      <c r="F400" s="27" t="s">
        <v>7</v>
      </c>
      <c r="I400" s="27" t="s">
        <v>8</v>
      </c>
      <c r="AW400" s="27" t="s">
        <v>8</v>
      </c>
      <c r="AX400" s="27" t="s">
        <v>7</v>
      </c>
      <c r="AY400" s="27" t="s">
        <v>8</v>
      </c>
      <c r="AZ400" s="27" t="s">
        <v>7</v>
      </c>
      <c r="BA400" s="27" t="s">
        <v>8</v>
      </c>
      <c r="BB400" s="27" t="s">
        <v>7</v>
      </c>
      <c r="BC400" s="27" t="s">
        <v>8</v>
      </c>
      <c r="BD400" s="27" t="s">
        <v>7</v>
      </c>
      <c r="BH400" s="27" t="s">
        <v>7</v>
      </c>
      <c r="BM400" s="27" t="s">
        <v>8</v>
      </c>
      <c r="BN400" s="27" t="s">
        <v>7</v>
      </c>
      <c r="BO400" s="27" t="s">
        <v>8</v>
      </c>
      <c r="DL400" s="27" t="s">
        <v>7</v>
      </c>
      <c r="FT400" s="27" t="s">
        <v>7</v>
      </c>
      <c r="FU400" s="27" t="s">
        <v>8</v>
      </c>
      <c r="FV400" s="27" t="s">
        <v>7</v>
      </c>
      <c r="FW400" s="27" t="s">
        <v>8</v>
      </c>
      <c r="FX400" s="27" t="s">
        <v>7</v>
      </c>
      <c r="FY400" s="27" t="s">
        <v>8</v>
      </c>
      <c r="GC400" s="27" t="s">
        <v>8</v>
      </c>
    </row>
    <row r="401" spans="1:194" x14ac:dyDescent="0.25">
      <c r="A401" s="7">
        <v>39.776992891402749</v>
      </c>
      <c r="B401"/>
      <c r="C401"/>
      <c r="D401"/>
      <c r="E401" t="s">
        <v>8</v>
      </c>
      <c r="F401" s="27" t="s">
        <v>7</v>
      </c>
      <c r="I401" s="27" t="s">
        <v>8</v>
      </c>
      <c r="J401" s="27" t="s">
        <v>7</v>
      </c>
      <c r="AW401" s="27" t="s">
        <v>8</v>
      </c>
      <c r="AX401" s="27" t="s">
        <v>7</v>
      </c>
      <c r="AY401" s="27" t="s">
        <v>8</v>
      </c>
      <c r="AZ401" s="27" t="s">
        <v>7</v>
      </c>
      <c r="BB401" s="27" t="s">
        <v>7</v>
      </c>
      <c r="BC401" s="27" t="s">
        <v>8</v>
      </c>
      <c r="BH401" s="27" t="s">
        <v>7</v>
      </c>
      <c r="BM401" s="27" t="s">
        <v>8</v>
      </c>
      <c r="BN401" s="27" t="s">
        <v>7</v>
      </c>
      <c r="BO401" s="27" t="s">
        <v>8</v>
      </c>
      <c r="FT401" s="27" t="s">
        <v>7</v>
      </c>
      <c r="FU401" s="27" t="s">
        <v>8</v>
      </c>
      <c r="FV401" s="27" t="s">
        <v>7</v>
      </c>
      <c r="FW401" s="27" t="s">
        <v>8</v>
      </c>
      <c r="FX401" s="27" t="s">
        <v>7</v>
      </c>
      <c r="FY401" s="27" t="s">
        <v>8</v>
      </c>
      <c r="FZ401" s="27" t="s">
        <v>7</v>
      </c>
      <c r="GC401" s="27" t="s">
        <v>8</v>
      </c>
      <c r="GD401" s="27" t="s">
        <v>7</v>
      </c>
    </row>
    <row r="402" spans="1:194" x14ac:dyDescent="0.25">
      <c r="A402" s="7">
        <v>38.997051854316418</v>
      </c>
      <c r="B402"/>
      <c r="C402"/>
      <c r="D402"/>
      <c r="E402" t="s">
        <v>8</v>
      </c>
      <c r="F402" s="27" t="s">
        <v>7</v>
      </c>
      <c r="I402" s="27" t="s">
        <v>8</v>
      </c>
      <c r="J402" s="27" t="s">
        <v>7</v>
      </c>
      <c r="AW402" s="27" t="s">
        <v>8</v>
      </c>
      <c r="AX402" s="27" t="s">
        <v>7</v>
      </c>
      <c r="AY402" s="27" t="s">
        <v>8</v>
      </c>
      <c r="BB402" s="27" t="s">
        <v>7</v>
      </c>
      <c r="BC402" s="27" t="s">
        <v>8</v>
      </c>
      <c r="BH402" s="27" t="s">
        <v>7</v>
      </c>
      <c r="BM402" s="27" t="s">
        <v>8</v>
      </c>
      <c r="BN402" s="27" t="s">
        <v>7</v>
      </c>
      <c r="FT402" s="27" t="s">
        <v>7</v>
      </c>
      <c r="FU402" s="27" t="s">
        <v>8</v>
      </c>
      <c r="FV402" s="27" t="s">
        <v>7</v>
      </c>
      <c r="FW402" s="27" t="s">
        <v>8</v>
      </c>
      <c r="FX402" s="27" t="s">
        <v>7</v>
      </c>
      <c r="FY402" s="27" t="s">
        <v>8</v>
      </c>
      <c r="FZ402" s="27" t="s">
        <v>7</v>
      </c>
      <c r="GC402" s="27" t="s">
        <v>8</v>
      </c>
      <c r="GD402" s="27" t="s">
        <v>7</v>
      </c>
    </row>
    <row r="403" spans="1:194" x14ac:dyDescent="0.25">
      <c r="A403" s="7">
        <v>38.232403778741585</v>
      </c>
      <c r="B403"/>
      <c r="C403"/>
      <c r="D403"/>
      <c r="E403" t="s">
        <v>8</v>
      </c>
      <c r="F403" s="27" t="s">
        <v>7</v>
      </c>
      <c r="I403" s="27" t="s">
        <v>8</v>
      </c>
      <c r="J403" s="27" t="s">
        <v>7</v>
      </c>
      <c r="AW403" s="27" t="s">
        <v>8</v>
      </c>
      <c r="AX403" s="27" t="s">
        <v>7</v>
      </c>
      <c r="AY403" s="27" t="s">
        <v>8</v>
      </c>
      <c r="BB403" s="27" t="s">
        <v>7</v>
      </c>
      <c r="BC403" s="27" t="s">
        <v>8</v>
      </c>
      <c r="BH403" s="27" t="s">
        <v>7</v>
      </c>
      <c r="BI403" s="27" t="s">
        <v>8</v>
      </c>
      <c r="BK403" s="27" t="s">
        <v>8</v>
      </c>
      <c r="BM403" s="27" t="s">
        <v>8</v>
      </c>
      <c r="FT403" s="27" t="s">
        <v>7</v>
      </c>
      <c r="FU403" s="27" t="s">
        <v>8</v>
      </c>
      <c r="FV403" s="27" t="s">
        <v>7</v>
      </c>
      <c r="FW403" s="27" t="s">
        <v>8</v>
      </c>
      <c r="FX403" s="27" t="s">
        <v>7</v>
      </c>
      <c r="FY403" s="27" t="s">
        <v>8</v>
      </c>
      <c r="FZ403" s="27" t="s">
        <v>7</v>
      </c>
      <c r="GA403" s="27" t="s">
        <v>8</v>
      </c>
      <c r="GC403" s="27" t="s">
        <v>8</v>
      </c>
      <c r="GD403" s="27" t="s">
        <v>7</v>
      </c>
      <c r="GE403" s="27" t="s">
        <v>8</v>
      </c>
    </row>
    <row r="404" spans="1:194" x14ac:dyDescent="0.25">
      <c r="A404" s="7">
        <v>37.48274880268783</v>
      </c>
      <c r="B404"/>
      <c r="C404"/>
      <c r="D404"/>
      <c r="E404" t="s">
        <v>8</v>
      </c>
      <c r="F404" s="27" t="s">
        <v>7</v>
      </c>
      <c r="I404" s="27" t="s">
        <v>8</v>
      </c>
      <c r="J404" s="27" t="s">
        <v>7</v>
      </c>
      <c r="AW404" s="27" t="s">
        <v>8</v>
      </c>
      <c r="AX404" s="27" t="s">
        <v>7</v>
      </c>
      <c r="AY404" s="27" t="s">
        <v>8</v>
      </c>
      <c r="BB404" s="27" t="s">
        <v>7</v>
      </c>
      <c r="BC404" s="27" t="s">
        <v>8</v>
      </c>
      <c r="BH404" s="27" t="s">
        <v>7</v>
      </c>
      <c r="BI404" s="27" t="s">
        <v>8</v>
      </c>
      <c r="BJ404" s="27" t="s">
        <v>7</v>
      </c>
      <c r="BK404" s="27" t="s">
        <v>8</v>
      </c>
      <c r="BL404" s="27" t="s">
        <v>7</v>
      </c>
      <c r="BM404" s="27" t="s">
        <v>8</v>
      </c>
      <c r="FT404" s="27" t="s">
        <v>7</v>
      </c>
      <c r="FU404" s="27" t="s">
        <v>8</v>
      </c>
      <c r="FV404" s="27" t="s">
        <v>7</v>
      </c>
      <c r="FW404" s="27" t="s">
        <v>8</v>
      </c>
      <c r="FX404" s="27" t="s">
        <v>7</v>
      </c>
      <c r="FZ404" s="27" t="s">
        <v>7</v>
      </c>
      <c r="GA404" s="27" t="s">
        <v>8</v>
      </c>
      <c r="GB404" s="27" t="s">
        <v>7</v>
      </c>
      <c r="GC404" s="27" t="s">
        <v>8</v>
      </c>
      <c r="GD404" s="27" t="s">
        <v>7</v>
      </c>
      <c r="GE404" s="27" t="s">
        <v>8</v>
      </c>
      <c r="GF404" s="27" t="s">
        <v>7</v>
      </c>
    </row>
    <row r="405" spans="1:194" x14ac:dyDescent="0.25">
      <c r="A405" s="7">
        <v>36.747792943811596</v>
      </c>
      <c r="B405"/>
      <c r="C405"/>
      <c r="D405"/>
      <c r="E405" t="s">
        <v>8</v>
      </c>
      <c r="F405" s="27" t="s">
        <v>7</v>
      </c>
      <c r="I405" s="27" t="s">
        <v>8</v>
      </c>
      <c r="J405" s="27" t="s">
        <v>7</v>
      </c>
      <c r="AW405" s="27" t="s">
        <v>8</v>
      </c>
      <c r="AX405" s="27" t="s">
        <v>7</v>
      </c>
      <c r="AY405" s="27" t="s">
        <v>8</v>
      </c>
      <c r="BB405" s="27" t="s">
        <v>7</v>
      </c>
      <c r="BH405" s="27" t="s">
        <v>7</v>
      </c>
      <c r="BI405" s="27" t="s">
        <v>8</v>
      </c>
      <c r="BJ405" s="27" t="s">
        <v>7</v>
      </c>
      <c r="BK405" s="27" t="s">
        <v>8</v>
      </c>
      <c r="BL405" s="27" t="s">
        <v>7</v>
      </c>
      <c r="BM405" s="27" t="s">
        <v>8</v>
      </c>
      <c r="FT405" s="27" t="s">
        <v>7</v>
      </c>
      <c r="FU405" s="27" t="s">
        <v>8</v>
      </c>
      <c r="FV405" s="27" t="s">
        <v>7</v>
      </c>
      <c r="FW405" s="27" t="s">
        <v>8</v>
      </c>
      <c r="FZ405" s="27" t="s">
        <v>7</v>
      </c>
      <c r="GA405" s="27" t="s">
        <v>8</v>
      </c>
      <c r="GB405" s="27" t="s">
        <v>7</v>
      </c>
      <c r="GC405" s="27" t="s">
        <v>8</v>
      </c>
      <c r="GD405" s="27" t="s">
        <v>7</v>
      </c>
      <c r="GE405" s="27" t="s">
        <v>8</v>
      </c>
      <c r="GF405" s="27" t="s">
        <v>7</v>
      </c>
    </row>
    <row r="406" spans="1:194" x14ac:dyDescent="0.25">
      <c r="A406" s="7">
        <v>36.027247984129012</v>
      </c>
      <c r="B406"/>
      <c r="C406"/>
      <c r="D406"/>
      <c r="E406" t="s">
        <v>8</v>
      </c>
      <c r="F406" s="27" t="s">
        <v>7</v>
      </c>
      <c r="I406" s="27" t="s">
        <v>8</v>
      </c>
      <c r="J406" s="27" t="s">
        <v>7</v>
      </c>
      <c r="K406" s="27" t="s">
        <v>8</v>
      </c>
      <c r="AW406" s="27" t="s">
        <v>8</v>
      </c>
      <c r="AX406" s="27" t="s">
        <v>7</v>
      </c>
      <c r="AY406" s="27" t="s">
        <v>8</v>
      </c>
      <c r="BH406" s="27" t="s">
        <v>7</v>
      </c>
      <c r="BI406" s="27" t="s">
        <v>8</v>
      </c>
      <c r="BJ406" s="27" t="s">
        <v>7</v>
      </c>
      <c r="BK406" s="27" t="s">
        <v>8</v>
      </c>
      <c r="BL406" s="27" t="s">
        <v>7</v>
      </c>
      <c r="BM406" s="27" t="s">
        <v>8</v>
      </c>
      <c r="FT406" s="27" t="s">
        <v>7</v>
      </c>
      <c r="FU406" s="27" t="s">
        <v>8</v>
      </c>
      <c r="FV406" s="27" t="s">
        <v>7</v>
      </c>
      <c r="FZ406" s="27" t="s">
        <v>7</v>
      </c>
      <c r="GA406" s="27" t="s">
        <v>8</v>
      </c>
      <c r="GB406" s="27" t="s">
        <v>7</v>
      </c>
      <c r="GC406" s="27" t="s">
        <v>8</v>
      </c>
      <c r="GD406" s="27" t="s">
        <v>7</v>
      </c>
      <c r="GE406" s="27" t="s">
        <v>8</v>
      </c>
      <c r="GF406" s="27" t="s">
        <v>7</v>
      </c>
    </row>
    <row r="407" spans="1:194" x14ac:dyDescent="0.25">
      <c r="A407" s="7">
        <v>35.320831356989224</v>
      </c>
      <c r="B407"/>
      <c r="C407"/>
      <c r="D407"/>
      <c r="E407" t="s">
        <v>8</v>
      </c>
      <c r="F407" s="27" t="s">
        <v>7</v>
      </c>
      <c r="I407" s="27" t="s">
        <v>8</v>
      </c>
      <c r="J407" s="27" t="s">
        <v>7</v>
      </c>
      <c r="K407" s="27" t="s">
        <v>8</v>
      </c>
      <c r="L407" s="27" t="s">
        <v>7</v>
      </c>
      <c r="AW407" s="27" t="s">
        <v>8</v>
      </c>
      <c r="AX407" s="27" t="s">
        <v>7</v>
      </c>
      <c r="BH407" s="27" t="s">
        <v>7</v>
      </c>
      <c r="BI407" s="27" t="s">
        <v>8</v>
      </c>
      <c r="BJ407" s="27" t="s">
        <v>7</v>
      </c>
      <c r="BK407" s="27" t="s">
        <v>8</v>
      </c>
      <c r="BL407" s="27" t="s">
        <v>7</v>
      </c>
      <c r="FT407" s="27" t="s">
        <v>7</v>
      </c>
      <c r="FU407" s="27" t="s">
        <v>8</v>
      </c>
      <c r="FZ407" s="27" t="s">
        <v>7</v>
      </c>
      <c r="GB407" s="27" t="s">
        <v>7</v>
      </c>
      <c r="GC407" s="27" t="s">
        <v>8</v>
      </c>
      <c r="GD407" s="27" t="s">
        <v>7</v>
      </c>
      <c r="GE407" s="27" t="s">
        <v>8</v>
      </c>
      <c r="GF407" s="27" t="s">
        <v>7</v>
      </c>
    </row>
    <row r="408" spans="1:194" x14ac:dyDescent="0.25">
      <c r="A408" s="7">
        <v>34.628266036263945</v>
      </c>
      <c r="B408"/>
      <c r="C408"/>
      <c r="D408"/>
      <c r="E408" t="s">
        <v>8</v>
      </c>
      <c r="F408" s="27" t="s">
        <v>7</v>
      </c>
      <c r="I408" s="27" t="s">
        <v>8</v>
      </c>
      <c r="J408" s="27" t="s">
        <v>7</v>
      </c>
      <c r="K408" s="27" t="s">
        <v>8</v>
      </c>
      <c r="L408" s="27" t="s">
        <v>7</v>
      </c>
      <c r="W408" s="27" t="s">
        <v>8</v>
      </c>
      <c r="AW408" s="27" t="s">
        <v>8</v>
      </c>
      <c r="BH408" s="27" t="s">
        <v>7</v>
      </c>
      <c r="BI408" s="27" t="s">
        <v>8</v>
      </c>
      <c r="BJ408" s="27" t="s">
        <v>7</v>
      </c>
      <c r="BK408" s="27" t="s">
        <v>8</v>
      </c>
      <c r="FT408" s="27" t="s">
        <v>7</v>
      </c>
      <c r="FU408" s="27" t="s">
        <v>8</v>
      </c>
      <c r="GB408" s="27" t="s">
        <v>7</v>
      </c>
      <c r="GC408" s="27" t="s">
        <v>8</v>
      </c>
      <c r="GD408" s="27" t="s">
        <v>7</v>
      </c>
      <c r="GE408" s="27" t="s">
        <v>8</v>
      </c>
      <c r="GF408" s="27" t="s">
        <v>7</v>
      </c>
    </row>
    <row r="409" spans="1:194" x14ac:dyDescent="0.25">
      <c r="A409" s="7">
        <v>33.949280427709752</v>
      </c>
      <c r="B409"/>
      <c r="C409"/>
      <c r="D409"/>
      <c r="E409" t="s">
        <v>8</v>
      </c>
      <c r="F409" s="27" t="s">
        <v>7</v>
      </c>
      <c r="G409" s="27" t="s">
        <v>8</v>
      </c>
      <c r="I409" s="27" t="s">
        <v>8</v>
      </c>
      <c r="J409" s="27" t="s">
        <v>7</v>
      </c>
      <c r="K409" s="27" t="s">
        <v>8</v>
      </c>
      <c r="L409" s="27" t="s">
        <v>7</v>
      </c>
      <c r="W409" s="27" t="s">
        <v>8</v>
      </c>
      <c r="X409" s="27" t="s">
        <v>7</v>
      </c>
      <c r="AA409" s="27" t="s">
        <v>8</v>
      </c>
      <c r="AW409" s="27" t="s">
        <v>8</v>
      </c>
      <c r="BH409" s="27" t="s">
        <v>7</v>
      </c>
      <c r="BI409" s="27" t="s">
        <v>8</v>
      </c>
      <c r="BJ409" s="27" t="s">
        <v>7</v>
      </c>
      <c r="BK409" s="27" t="s">
        <v>8</v>
      </c>
      <c r="FT409" s="27" t="s">
        <v>7</v>
      </c>
      <c r="FU409" s="27" t="s">
        <v>8</v>
      </c>
      <c r="GB409" s="27" t="s">
        <v>7</v>
      </c>
      <c r="GD409" s="27" t="s">
        <v>7</v>
      </c>
      <c r="GF409" s="27" t="s">
        <v>7</v>
      </c>
    </row>
    <row r="410" spans="1:194" x14ac:dyDescent="0.25">
      <c r="A410" s="7">
        <v>33.28360826246054</v>
      </c>
      <c r="B410"/>
      <c r="C410"/>
      <c r="D410"/>
      <c r="E410" t="s">
        <v>8</v>
      </c>
      <c r="F410" s="27" t="s">
        <v>7</v>
      </c>
      <c r="G410" s="27" t="s">
        <v>8</v>
      </c>
      <c r="H410" s="27" t="s">
        <v>7</v>
      </c>
      <c r="I410" s="27" t="s">
        <v>8</v>
      </c>
      <c r="J410" s="27" t="s">
        <v>7</v>
      </c>
      <c r="K410" s="27" t="s">
        <v>8</v>
      </c>
      <c r="L410" s="27" t="s">
        <v>7</v>
      </c>
      <c r="O410" s="27" t="s">
        <v>8</v>
      </c>
      <c r="W410" s="27" t="s">
        <v>8</v>
      </c>
      <c r="X410" s="27" t="s">
        <v>7</v>
      </c>
      <c r="AA410" s="27" t="s">
        <v>8</v>
      </c>
      <c r="AB410" s="27" t="s">
        <v>7</v>
      </c>
      <c r="AW410" s="27" t="s">
        <v>8</v>
      </c>
      <c r="BH410" s="27" t="s">
        <v>7</v>
      </c>
      <c r="BI410" s="27" t="s">
        <v>8</v>
      </c>
      <c r="BJ410" s="27" t="s">
        <v>7</v>
      </c>
      <c r="FT410" s="27" t="s">
        <v>7</v>
      </c>
      <c r="GF410" s="27" t="s">
        <v>7</v>
      </c>
    </row>
    <row r="411" spans="1:194" x14ac:dyDescent="0.25">
      <c r="A411" s="7">
        <v>32.630988492608374</v>
      </c>
      <c r="B411"/>
      <c r="C411"/>
      <c r="D411"/>
      <c r="E411" t="s">
        <v>8</v>
      </c>
      <c r="F411" s="27" t="s">
        <v>7</v>
      </c>
      <c r="G411" s="27" t="s">
        <v>8</v>
      </c>
      <c r="H411" s="27" t="s">
        <v>7</v>
      </c>
      <c r="I411" s="27" t="s">
        <v>8</v>
      </c>
      <c r="J411" s="27" t="s">
        <v>7</v>
      </c>
      <c r="L411" s="27" t="s">
        <v>7</v>
      </c>
      <c r="O411" s="27" t="s">
        <v>8</v>
      </c>
      <c r="P411" s="27" t="s">
        <v>7</v>
      </c>
      <c r="W411" s="27" t="s">
        <v>8</v>
      </c>
      <c r="X411" s="27" t="s">
        <v>7</v>
      </c>
      <c r="AA411" s="27" t="s">
        <v>8</v>
      </c>
      <c r="AB411" s="27" t="s">
        <v>7</v>
      </c>
      <c r="AC411" s="27" t="s">
        <v>8</v>
      </c>
      <c r="AW411" s="27" t="s">
        <v>8</v>
      </c>
      <c r="BH411" s="27" t="s">
        <v>7</v>
      </c>
      <c r="BI411" s="27" t="s">
        <v>8</v>
      </c>
      <c r="GF411" s="27" t="s">
        <v>7</v>
      </c>
    </row>
    <row r="412" spans="1:194" x14ac:dyDescent="0.25">
      <c r="A412" s="7">
        <v>31.99116518883174</v>
      </c>
      <c r="B412"/>
      <c r="C412"/>
      <c r="D412"/>
      <c r="E412" t="s">
        <v>8</v>
      </c>
      <c r="F412" s="27" t="s">
        <v>7</v>
      </c>
      <c r="G412" s="27" t="s">
        <v>8</v>
      </c>
      <c r="H412" s="27" t="s">
        <v>7</v>
      </c>
      <c r="I412" s="27" t="s">
        <v>8</v>
      </c>
      <c r="L412" s="27" t="s">
        <v>7</v>
      </c>
      <c r="O412" s="27" t="s">
        <v>8</v>
      </c>
      <c r="P412" s="27" t="s">
        <v>7</v>
      </c>
      <c r="Q412" s="27" t="s">
        <v>8</v>
      </c>
      <c r="W412" s="27" t="s">
        <v>8</v>
      </c>
      <c r="X412" s="27" t="s">
        <v>7</v>
      </c>
      <c r="AA412" s="27" t="s">
        <v>8</v>
      </c>
      <c r="AB412" s="27" t="s">
        <v>7</v>
      </c>
      <c r="AC412" s="27" t="s">
        <v>8</v>
      </c>
      <c r="AD412" s="27" t="s">
        <v>7</v>
      </c>
      <c r="AW412" s="27" t="s">
        <v>8</v>
      </c>
      <c r="BH412" s="27" t="s">
        <v>7</v>
      </c>
      <c r="GF412" s="27" t="s">
        <v>7</v>
      </c>
    </row>
    <row r="413" spans="1:194" x14ac:dyDescent="0.25">
      <c r="A413" s="7">
        <v>31.363887440031117</v>
      </c>
      <c r="B413"/>
      <c r="C413"/>
      <c r="D413"/>
      <c r="E413" t="s">
        <v>8</v>
      </c>
      <c r="F413" s="27" t="s">
        <v>7</v>
      </c>
      <c r="G413" s="27" t="s">
        <v>8</v>
      </c>
      <c r="H413" s="27" t="s">
        <v>7</v>
      </c>
      <c r="I413" s="27" t="s">
        <v>8</v>
      </c>
      <c r="L413" s="27" t="s">
        <v>7</v>
      </c>
      <c r="M413" s="27" t="s">
        <v>8</v>
      </c>
      <c r="O413" s="27" t="s">
        <v>8</v>
      </c>
      <c r="P413" s="27" t="s">
        <v>7</v>
      </c>
      <c r="Q413" s="27" t="s">
        <v>8</v>
      </c>
      <c r="R413" s="27" t="s">
        <v>7</v>
      </c>
      <c r="W413" s="27" t="s">
        <v>8</v>
      </c>
      <c r="X413" s="27" t="s">
        <v>7</v>
      </c>
      <c r="Y413" s="27" t="s">
        <v>8</v>
      </c>
      <c r="AA413" s="27" t="s">
        <v>8</v>
      </c>
      <c r="AB413" s="27" t="s">
        <v>7</v>
      </c>
      <c r="AC413" s="27" t="s">
        <v>8</v>
      </c>
      <c r="AD413" s="27" t="s">
        <v>7</v>
      </c>
      <c r="AW413" s="27" t="s">
        <v>8</v>
      </c>
      <c r="GF413" s="27" t="s">
        <v>7</v>
      </c>
      <c r="GK413" s="27" t="s">
        <v>8</v>
      </c>
    </row>
    <row r="414" spans="1:194" x14ac:dyDescent="0.25">
      <c r="A414" s="7">
        <v>30.748909254932467</v>
      </c>
      <c r="B414"/>
      <c r="C414"/>
      <c r="D414"/>
      <c r="E414" t="s">
        <v>8</v>
      </c>
      <c r="F414" s="27" t="s">
        <v>7</v>
      </c>
      <c r="G414" s="27" t="s">
        <v>8</v>
      </c>
      <c r="H414" s="27" t="s">
        <v>7</v>
      </c>
      <c r="I414" s="27" t="s">
        <v>8</v>
      </c>
      <c r="L414" s="27" t="s">
        <v>7</v>
      </c>
      <c r="M414" s="27" t="s">
        <v>8</v>
      </c>
      <c r="N414" s="27" t="s">
        <v>7</v>
      </c>
      <c r="O414" s="27" t="s">
        <v>8</v>
      </c>
      <c r="P414" s="27" t="s">
        <v>7</v>
      </c>
      <c r="Q414" s="27" t="s">
        <v>8</v>
      </c>
      <c r="R414" s="27" t="s">
        <v>7</v>
      </c>
      <c r="U414" s="27" t="s">
        <v>8</v>
      </c>
      <c r="W414" s="27" t="s">
        <v>8</v>
      </c>
      <c r="X414" s="27" t="s">
        <v>7</v>
      </c>
      <c r="Y414" s="27" t="s">
        <v>8</v>
      </c>
      <c r="Z414" s="27" t="s">
        <v>7</v>
      </c>
      <c r="AA414" s="27" t="s">
        <v>8</v>
      </c>
      <c r="AB414" s="27" t="s">
        <v>7</v>
      </c>
      <c r="AC414" s="27" t="s">
        <v>8</v>
      </c>
      <c r="AD414" s="27" t="s">
        <v>7</v>
      </c>
      <c r="AW414" s="27" t="s">
        <v>8</v>
      </c>
      <c r="GF414" s="27" t="s">
        <v>7</v>
      </c>
      <c r="GG414" s="27" t="s">
        <v>8</v>
      </c>
      <c r="GI414" s="27" t="s">
        <v>8</v>
      </c>
      <c r="GK414" s="27" t="s">
        <v>8</v>
      </c>
      <c r="GL414" s="27" t="s">
        <v>7</v>
      </c>
    </row>
    <row r="415" spans="1:194" x14ac:dyDescent="0.25">
      <c r="A415" s="7">
        <v>30.145989465620065</v>
      </c>
      <c r="B415"/>
      <c r="C415"/>
      <c r="D415"/>
      <c r="E415" t="s">
        <v>8</v>
      </c>
      <c r="F415" s="27" t="s">
        <v>7</v>
      </c>
      <c r="H415" s="27" t="s">
        <v>7</v>
      </c>
      <c r="I415" s="27" t="s">
        <v>8</v>
      </c>
      <c r="L415" s="27" t="s">
        <v>7</v>
      </c>
      <c r="M415" s="27" t="s">
        <v>8</v>
      </c>
      <c r="N415" s="27" t="s">
        <v>7</v>
      </c>
      <c r="O415" s="27" t="s">
        <v>8</v>
      </c>
      <c r="P415" s="27" t="s">
        <v>7</v>
      </c>
      <c r="Q415" s="27" t="s">
        <v>8</v>
      </c>
      <c r="R415" s="27" t="s">
        <v>7</v>
      </c>
      <c r="U415" s="27" t="s">
        <v>8</v>
      </c>
      <c r="V415" s="27" t="s">
        <v>7</v>
      </c>
      <c r="W415" s="27" t="s">
        <v>8</v>
      </c>
      <c r="X415" s="27" t="s">
        <v>7</v>
      </c>
      <c r="Y415" s="27" t="s">
        <v>8</v>
      </c>
      <c r="Z415" s="27" t="s">
        <v>7</v>
      </c>
      <c r="AA415" s="27" t="s">
        <v>8</v>
      </c>
      <c r="AB415" s="27" t="s">
        <v>7</v>
      </c>
      <c r="AD415" s="27" t="s">
        <v>7</v>
      </c>
      <c r="AW415" s="27" t="s">
        <v>8</v>
      </c>
      <c r="GF415" s="27" t="s">
        <v>7</v>
      </c>
      <c r="GG415" s="27" t="s">
        <v>8</v>
      </c>
      <c r="GH415" s="27" t="s">
        <v>7</v>
      </c>
      <c r="GI415" s="27" t="s">
        <v>8</v>
      </c>
      <c r="GJ415" s="27" t="s">
        <v>7</v>
      </c>
      <c r="GK415" s="27" t="s">
        <v>8</v>
      </c>
      <c r="GL415" s="27" t="s">
        <v>7</v>
      </c>
    </row>
    <row r="416" spans="1:194" x14ac:dyDescent="0.25">
      <c r="A416" s="7">
        <v>29.55489163296085</v>
      </c>
      <c r="B416"/>
      <c r="C416"/>
      <c r="D416"/>
      <c r="E416" t="s">
        <v>8</v>
      </c>
      <c r="H416" s="27" t="s">
        <v>7</v>
      </c>
      <c r="I416" s="27" t="s">
        <v>8</v>
      </c>
      <c r="L416" s="27" t="s">
        <v>7</v>
      </c>
      <c r="M416" s="27" t="s">
        <v>8</v>
      </c>
      <c r="N416" s="27" t="s">
        <v>7</v>
      </c>
      <c r="O416" s="27" t="s">
        <v>8</v>
      </c>
      <c r="P416" s="27" t="s">
        <v>7</v>
      </c>
      <c r="R416" s="27" t="s">
        <v>7</v>
      </c>
      <c r="S416" s="27" t="s">
        <v>8</v>
      </c>
      <c r="U416" s="27" t="s">
        <v>8</v>
      </c>
      <c r="V416" s="27" t="s">
        <v>7</v>
      </c>
      <c r="W416" s="27" t="s">
        <v>8</v>
      </c>
      <c r="X416" s="27" t="s">
        <v>7</v>
      </c>
      <c r="Y416" s="27" t="s">
        <v>8</v>
      </c>
      <c r="Z416" s="27" t="s">
        <v>7</v>
      </c>
      <c r="AA416" s="27" t="s">
        <v>8</v>
      </c>
      <c r="AD416" s="27" t="s">
        <v>7</v>
      </c>
      <c r="AW416" s="27" t="s">
        <v>8</v>
      </c>
      <c r="GF416" s="27" t="s">
        <v>7</v>
      </c>
      <c r="GG416" s="27" t="s">
        <v>8</v>
      </c>
      <c r="GH416" s="27" t="s">
        <v>7</v>
      </c>
      <c r="GI416" s="27" t="s">
        <v>8</v>
      </c>
      <c r="GJ416" s="27" t="s">
        <v>7</v>
      </c>
      <c r="GK416" s="27" t="s">
        <v>8</v>
      </c>
      <c r="GL416" s="27" t="s">
        <v>7</v>
      </c>
    </row>
    <row r="417" spans="1:194" x14ac:dyDescent="0.25">
      <c r="A417" s="7">
        <v>28.975383953883185</v>
      </c>
      <c r="B417"/>
      <c r="C417"/>
      <c r="D417"/>
      <c r="E417" t="s">
        <v>8</v>
      </c>
      <c r="H417" s="27" t="s">
        <v>7</v>
      </c>
      <c r="I417" s="27" t="s">
        <v>8</v>
      </c>
      <c r="L417" s="27" t="s">
        <v>7</v>
      </c>
      <c r="M417" s="27" t="s">
        <v>8</v>
      </c>
      <c r="N417" s="27" t="s">
        <v>7</v>
      </c>
      <c r="O417" s="27" t="s">
        <v>8</v>
      </c>
      <c r="R417" s="27" t="s">
        <v>7</v>
      </c>
      <c r="S417" s="27" t="s">
        <v>8</v>
      </c>
      <c r="T417" s="27" t="s">
        <v>7</v>
      </c>
      <c r="U417" s="27" t="s">
        <v>8</v>
      </c>
      <c r="V417" s="27" t="s">
        <v>7</v>
      </c>
      <c r="X417" s="27" t="s">
        <v>7</v>
      </c>
      <c r="Z417" s="27" t="s">
        <v>7</v>
      </c>
      <c r="AD417" s="27" t="s">
        <v>7</v>
      </c>
      <c r="AW417" s="27" t="s">
        <v>8</v>
      </c>
      <c r="GF417" s="27" t="s">
        <v>7</v>
      </c>
      <c r="GG417" s="27" t="s">
        <v>8</v>
      </c>
      <c r="GH417" s="27" t="s">
        <v>7</v>
      </c>
      <c r="GI417" s="27" t="s">
        <v>8</v>
      </c>
      <c r="GJ417" s="27" t="s">
        <v>7</v>
      </c>
      <c r="GK417" s="27" t="s">
        <v>8</v>
      </c>
      <c r="GL417" s="27" t="s">
        <v>7</v>
      </c>
    </row>
    <row r="418" spans="1:194" x14ac:dyDescent="0.25">
      <c r="A418" s="7">
        <v>28.407239170473709</v>
      </c>
      <c r="B418"/>
      <c r="C418"/>
      <c r="D418"/>
      <c r="E418" t="s">
        <v>8</v>
      </c>
      <c r="H418" s="27" t="s">
        <v>7</v>
      </c>
      <c r="I418" s="27" t="s">
        <v>8</v>
      </c>
      <c r="L418" s="27" t="s">
        <v>7</v>
      </c>
      <c r="N418" s="27" t="s">
        <v>7</v>
      </c>
      <c r="R418" s="27" t="s">
        <v>7</v>
      </c>
      <c r="S418" s="27" t="s">
        <v>8</v>
      </c>
      <c r="T418" s="27" t="s">
        <v>7</v>
      </c>
      <c r="U418" s="27" t="s">
        <v>8</v>
      </c>
      <c r="AD418" s="27" t="s">
        <v>7</v>
      </c>
      <c r="AW418" s="27" t="s">
        <v>8</v>
      </c>
      <c r="GF418" s="27" t="s">
        <v>7</v>
      </c>
      <c r="GH418" s="27" t="s">
        <v>7</v>
      </c>
      <c r="GI418" s="27" t="s">
        <v>8</v>
      </c>
      <c r="GJ418" s="27" t="s">
        <v>7</v>
      </c>
      <c r="GL418" s="27" t="s">
        <v>7</v>
      </c>
    </row>
    <row r="419" spans="1:194" x14ac:dyDescent="0.25">
      <c r="A419" s="7">
        <v>27.850234480856578</v>
      </c>
      <c r="B419"/>
      <c r="C419"/>
      <c r="D419"/>
      <c r="E419" t="s">
        <v>8</v>
      </c>
      <c r="H419" s="27" t="s">
        <v>7</v>
      </c>
      <c r="I419" s="27" t="s">
        <v>8</v>
      </c>
      <c r="R419" s="27" t="s">
        <v>7</v>
      </c>
      <c r="S419" s="27" t="s">
        <v>8</v>
      </c>
      <c r="T419" s="27" t="s">
        <v>7</v>
      </c>
      <c r="AD419" s="27" t="s">
        <v>7</v>
      </c>
      <c r="AW419" s="27" t="s">
        <v>8</v>
      </c>
      <c r="GH419" s="27" t="s">
        <v>7</v>
      </c>
      <c r="GI419" s="27" t="s">
        <v>8</v>
      </c>
      <c r="GL419" s="27" t="s">
        <v>7</v>
      </c>
    </row>
    <row r="420" spans="1:194" x14ac:dyDescent="0.25">
      <c r="A420" s="7">
        <v>27.304151451820175</v>
      </c>
      <c r="B420"/>
      <c r="C420"/>
      <c r="D420"/>
      <c r="E420" t="s">
        <v>8</v>
      </c>
      <c r="H420" s="27" t="s">
        <v>7</v>
      </c>
      <c r="I420" s="27" t="s">
        <v>8</v>
      </c>
      <c r="R420" s="27" t="s">
        <v>7</v>
      </c>
      <c r="AD420" s="27" t="s">
        <v>7</v>
      </c>
      <c r="AW420" s="27" t="s">
        <v>8</v>
      </c>
      <c r="GH420" s="27" t="s">
        <v>7</v>
      </c>
      <c r="GI420" s="27" t="s">
        <v>8</v>
      </c>
      <c r="GL420" s="27" t="s">
        <v>7</v>
      </c>
    </row>
    <row r="421" spans="1:194" x14ac:dyDescent="0.25">
      <c r="A421" s="7">
        <v>26.768775933157034</v>
      </c>
      <c r="B421"/>
      <c r="C421"/>
      <c r="D421"/>
      <c r="E421" t="s">
        <v>8</v>
      </c>
      <c r="H421" s="27" t="s">
        <v>7</v>
      </c>
      <c r="I421" s="27" t="s">
        <v>8</v>
      </c>
      <c r="AD421" s="27" t="s">
        <v>7</v>
      </c>
      <c r="AW421" s="27" t="s">
        <v>8</v>
      </c>
      <c r="GH421" s="27" t="s">
        <v>7</v>
      </c>
      <c r="GL421" s="27" t="s">
        <v>7</v>
      </c>
    </row>
    <row r="422" spans="1:194" x14ac:dyDescent="0.25">
      <c r="A422" s="7">
        <v>26.243897973683367</v>
      </c>
      <c r="B422"/>
      <c r="C422"/>
      <c r="D422"/>
      <c r="E422" t="s">
        <v>8</v>
      </c>
      <c r="H422" s="27" t="s">
        <v>7</v>
      </c>
      <c r="I422" s="27" t="s">
        <v>8</v>
      </c>
      <c r="AD422" s="27" t="s">
        <v>7</v>
      </c>
      <c r="AW422" s="27" t="s">
        <v>8</v>
      </c>
      <c r="GL422" s="27" t="s">
        <v>7</v>
      </c>
    </row>
    <row r="423" spans="1:194" x14ac:dyDescent="0.25">
      <c r="A423" s="7">
        <v>25.729311738905263</v>
      </c>
      <c r="B423"/>
      <c r="C423"/>
      <c r="D423"/>
      <c r="E423" t="s">
        <v>8</v>
      </c>
      <c r="H423" s="27" t="s">
        <v>7</v>
      </c>
      <c r="I423" s="27" t="s">
        <v>8</v>
      </c>
      <c r="AD423" s="27" t="s">
        <v>7</v>
      </c>
      <c r="AG423" s="27" t="s">
        <v>8</v>
      </c>
      <c r="AO423" s="27" t="s">
        <v>8</v>
      </c>
      <c r="AW423" s="27" t="s">
        <v>8</v>
      </c>
      <c r="GL423" s="27" t="s">
        <v>7</v>
      </c>
    </row>
    <row r="424" spans="1:194" x14ac:dyDescent="0.25">
      <c r="A424" s="7">
        <v>25.224815430299277</v>
      </c>
      <c r="B424"/>
      <c r="C424"/>
      <c r="D424"/>
      <c r="E424" t="s">
        <v>8</v>
      </c>
      <c r="H424" s="27" t="s">
        <v>7</v>
      </c>
      <c r="I424" s="27" t="s">
        <v>8</v>
      </c>
      <c r="AD424" s="27" t="s">
        <v>7</v>
      </c>
      <c r="AG424" s="27" t="s">
        <v>8</v>
      </c>
      <c r="AH424" s="27" t="s">
        <v>7</v>
      </c>
      <c r="AO424" s="27" t="s">
        <v>8</v>
      </c>
      <c r="AP424" s="27" t="s">
        <v>7</v>
      </c>
      <c r="AU424" s="27" t="s">
        <v>8</v>
      </c>
      <c r="AW424" s="27" t="s">
        <v>8</v>
      </c>
      <c r="GL424" s="27" t="s">
        <v>7</v>
      </c>
    </row>
    <row r="425" spans="1:194" x14ac:dyDescent="0.25">
      <c r="A425" s="7">
        <v>24.73021120617576</v>
      </c>
      <c r="B425"/>
      <c r="C425"/>
      <c r="D425"/>
      <c r="E425" t="s">
        <v>8</v>
      </c>
      <c r="H425" s="27" t="s">
        <v>7</v>
      </c>
      <c r="I425" s="27" t="s">
        <v>8</v>
      </c>
      <c r="AD425" s="27" t="s">
        <v>7</v>
      </c>
      <c r="AG425" s="27" t="s">
        <v>8</v>
      </c>
      <c r="AH425" s="27" t="s">
        <v>7</v>
      </c>
      <c r="AO425" s="27" t="s">
        <v>8</v>
      </c>
      <c r="AP425" s="27" t="s">
        <v>7</v>
      </c>
      <c r="AU425" s="27" t="s">
        <v>8</v>
      </c>
      <c r="AV425" s="27" t="s">
        <v>7</v>
      </c>
      <c r="AW425" s="27" t="s">
        <v>8</v>
      </c>
      <c r="GL425" s="27" t="s">
        <v>7</v>
      </c>
    </row>
    <row r="426" spans="1:194" x14ac:dyDescent="0.25">
      <c r="A426" s="7">
        <v>24.24530510409388</v>
      </c>
      <c r="B426"/>
      <c r="C426"/>
      <c r="D426"/>
      <c r="E426" t="s">
        <v>8</v>
      </c>
      <c r="H426" s="27" t="s">
        <v>7</v>
      </c>
      <c r="I426" s="27" t="s">
        <v>8</v>
      </c>
      <c r="AD426" s="27" t="s">
        <v>7</v>
      </c>
      <c r="AE426" s="27" t="s">
        <v>8</v>
      </c>
      <c r="AG426" s="27" t="s">
        <v>8</v>
      </c>
      <c r="AH426" s="27" t="s">
        <v>7</v>
      </c>
      <c r="AM426" s="27" t="s">
        <v>8</v>
      </c>
      <c r="AO426" s="27" t="s">
        <v>8</v>
      </c>
      <c r="AP426" s="27" t="s">
        <v>7</v>
      </c>
      <c r="AU426" s="27" t="s">
        <v>8</v>
      </c>
      <c r="AV426" s="27" t="s">
        <v>7</v>
      </c>
      <c r="AW426" s="27" t="s">
        <v>8</v>
      </c>
      <c r="GL426" s="27" t="s">
        <v>7</v>
      </c>
    </row>
    <row r="427" spans="1:194" x14ac:dyDescent="0.25">
      <c r="A427" s="7">
        <v>23.769906964797922</v>
      </c>
      <c r="B427"/>
      <c r="C427"/>
      <c r="D427"/>
      <c r="E427" t="s">
        <v>8</v>
      </c>
      <c r="H427" s="27" t="s">
        <v>7</v>
      </c>
      <c r="I427" s="27" t="s">
        <v>8</v>
      </c>
      <c r="AD427" s="27" t="s">
        <v>7</v>
      </c>
      <c r="AE427" s="27" t="s">
        <v>8</v>
      </c>
      <c r="AF427" s="27" t="s">
        <v>7</v>
      </c>
      <c r="AG427" s="27" t="s">
        <v>8</v>
      </c>
      <c r="AH427" s="27" t="s">
        <v>7</v>
      </c>
      <c r="AM427" s="27" t="s">
        <v>8</v>
      </c>
      <c r="AN427" s="27" t="s">
        <v>7</v>
      </c>
      <c r="AO427" s="27" t="s">
        <v>8</v>
      </c>
      <c r="AP427" s="27" t="s">
        <v>7</v>
      </c>
      <c r="AS427" s="27" t="s">
        <v>8</v>
      </c>
      <c r="AU427" s="27" t="s">
        <v>8</v>
      </c>
      <c r="AV427" s="27" t="s">
        <v>7</v>
      </c>
      <c r="GL427" s="27" t="s">
        <v>7</v>
      </c>
    </row>
    <row r="428" spans="1:194" x14ac:dyDescent="0.25">
      <c r="A428" s="7">
        <v>23.303830357645023</v>
      </c>
      <c r="B428"/>
      <c r="C428"/>
      <c r="D428"/>
      <c r="E428" t="s">
        <v>8</v>
      </c>
      <c r="H428" s="27" t="s">
        <v>7</v>
      </c>
      <c r="I428" s="27" t="s">
        <v>8</v>
      </c>
      <c r="AD428" s="27" t="s">
        <v>7</v>
      </c>
      <c r="AE428" s="27" t="s">
        <v>8</v>
      </c>
      <c r="AF428" s="27" t="s">
        <v>7</v>
      </c>
      <c r="AG428" s="27" t="s">
        <v>8</v>
      </c>
      <c r="AH428" s="27" t="s">
        <v>7</v>
      </c>
      <c r="AM428" s="27" t="s">
        <v>8</v>
      </c>
      <c r="AN428" s="27" t="s">
        <v>7</v>
      </c>
      <c r="AO428" s="27" t="s">
        <v>8</v>
      </c>
      <c r="AP428" s="27" t="s">
        <v>7</v>
      </c>
      <c r="AQ428" s="27" t="s">
        <v>8</v>
      </c>
      <c r="AS428" s="27" t="s">
        <v>8</v>
      </c>
      <c r="AT428" s="27" t="s">
        <v>7</v>
      </c>
      <c r="AU428" s="27" t="s">
        <v>8</v>
      </c>
      <c r="GL428" s="27" t="s">
        <v>7</v>
      </c>
    </row>
    <row r="429" spans="1:194" x14ac:dyDescent="0.25">
      <c r="A429" s="7">
        <v>22.84689250749512</v>
      </c>
      <c r="B429"/>
      <c r="C429"/>
      <c r="D429"/>
      <c r="E429" t="s">
        <v>8</v>
      </c>
      <c r="H429" s="27" t="s">
        <v>7</v>
      </c>
      <c r="I429" s="27" t="s">
        <v>8</v>
      </c>
      <c r="AD429" s="27" t="s">
        <v>7</v>
      </c>
      <c r="AE429" s="27" t="s">
        <v>8</v>
      </c>
      <c r="AF429" s="27" t="s">
        <v>7</v>
      </c>
      <c r="AG429" s="27" t="s">
        <v>8</v>
      </c>
      <c r="AH429" s="27" t="s">
        <v>7</v>
      </c>
      <c r="AI429" s="27" t="s">
        <v>8</v>
      </c>
      <c r="AK429" s="27" t="s">
        <v>8</v>
      </c>
      <c r="AM429" s="27" t="s">
        <v>8</v>
      </c>
      <c r="AN429" s="27" t="s">
        <v>7</v>
      </c>
      <c r="AO429" s="27" t="s">
        <v>8</v>
      </c>
      <c r="AP429" s="27" t="s">
        <v>7</v>
      </c>
      <c r="AQ429" s="27" t="s">
        <v>8</v>
      </c>
      <c r="AR429" s="27" t="s">
        <v>7</v>
      </c>
      <c r="AS429" s="27" t="s">
        <v>8</v>
      </c>
      <c r="AT429" s="27" t="s">
        <v>7</v>
      </c>
      <c r="AU429" s="27" t="s">
        <v>8</v>
      </c>
      <c r="GL429" s="27" t="s">
        <v>7</v>
      </c>
    </row>
    <row r="430" spans="1:194" x14ac:dyDescent="0.25">
      <c r="A430" s="7">
        <v>22.398914223034431</v>
      </c>
      <c r="B430"/>
      <c r="C430"/>
      <c r="D430"/>
      <c r="E430" t="s">
        <v>8</v>
      </c>
      <c r="H430" s="27" t="s">
        <v>7</v>
      </c>
      <c r="I430" s="27" t="s">
        <v>8</v>
      </c>
      <c r="AD430" s="27" t="s">
        <v>7</v>
      </c>
      <c r="AE430" s="27" t="s">
        <v>8</v>
      </c>
      <c r="AF430" s="27" t="s">
        <v>7</v>
      </c>
      <c r="AG430" s="27" t="s">
        <v>8</v>
      </c>
      <c r="AH430" s="27" t="s">
        <v>7</v>
      </c>
      <c r="AI430" s="27" t="s">
        <v>8</v>
      </c>
      <c r="AJ430" s="27" t="s">
        <v>7</v>
      </c>
      <c r="AK430" s="27" t="s">
        <v>8</v>
      </c>
      <c r="AL430" s="27" t="s">
        <v>7</v>
      </c>
      <c r="AM430" s="27" t="s">
        <v>8</v>
      </c>
      <c r="AN430" s="27" t="s">
        <v>7</v>
      </c>
      <c r="AO430" s="27" t="s">
        <v>8</v>
      </c>
      <c r="AP430" s="27" t="s">
        <v>7</v>
      </c>
      <c r="AQ430" s="27" t="s">
        <v>8</v>
      </c>
      <c r="AR430" s="27" t="s">
        <v>7</v>
      </c>
      <c r="AS430" s="27" t="s">
        <v>8</v>
      </c>
      <c r="AT430" s="27" t="s">
        <v>7</v>
      </c>
      <c r="GL430" s="27" t="s">
        <v>7</v>
      </c>
    </row>
    <row r="431" spans="1:194" x14ac:dyDescent="0.25">
      <c r="A431" s="7">
        <v>21.959719826504344</v>
      </c>
      <c r="B431"/>
      <c r="C431"/>
      <c r="D431"/>
      <c r="E431" t="s">
        <v>8</v>
      </c>
      <c r="H431" s="27" t="s">
        <v>7</v>
      </c>
      <c r="I431" s="27" t="s">
        <v>8</v>
      </c>
      <c r="AD431" s="27" t="s">
        <v>7</v>
      </c>
      <c r="AE431" s="27" t="s">
        <v>8</v>
      </c>
      <c r="AF431" s="27" t="s">
        <v>7</v>
      </c>
      <c r="AG431" s="27" t="s">
        <v>8</v>
      </c>
      <c r="AH431" s="27" t="s">
        <v>7</v>
      </c>
      <c r="AI431" s="27" t="s">
        <v>8</v>
      </c>
      <c r="AJ431" s="27" t="s">
        <v>7</v>
      </c>
      <c r="AK431" s="27" t="s">
        <v>8</v>
      </c>
      <c r="AL431" s="27" t="s">
        <v>7</v>
      </c>
      <c r="AM431" s="27" t="s">
        <v>8</v>
      </c>
      <c r="AN431" s="27" t="s">
        <v>7</v>
      </c>
      <c r="AO431" s="27" t="s">
        <v>8</v>
      </c>
      <c r="AP431" s="27" t="s">
        <v>7</v>
      </c>
      <c r="AQ431" s="27" t="s">
        <v>8</v>
      </c>
      <c r="AR431" s="27" t="s">
        <v>7</v>
      </c>
      <c r="AS431" s="27" t="s">
        <v>8</v>
      </c>
      <c r="GL431" s="27" t="s">
        <v>7</v>
      </c>
    </row>
    <row r="432" spans="1:194" x14ac:dyDescent="0.25">
      <c r="A432" s="7">
        <v>21.52913708480818</v>
      </c>
      <c r="B432"/>
      <c r="C432"/>
      <c r="D432"/>
      <c r="E432" t="s">
        <v>8</v>
      </c>
      <c r="H432" s="27" t="s">
        <v>7</v>
      </c>
      <c r="I432" s="27" t="s">
        <v>8</v>
      </c>
      <c r="AD432" s="27" t="s">
        <v>7</v>
      </c>
      <c r="AF432" s="27" t="s">
        <v>7</v>
      </c>
      <c r="AG432" s="27" t="s">
        <v>8</v>
      </c>
      <c r="AH432" s="27" t="s">
        <v>7</v>
      </c>
      <c r="AI432" s="27" t="s">
        <v>8</v>
      </c>
      <c r="AJ432" s="27" t="s">
        <v>7</v>
      </c>
      <c r="AK432" s="27" t="s">
        <v>8</v>
      </c>
      <c r="AL432" s="27" t="s">
        <v>7</v>
      </c>
      <c r="AM432" s="27" t="s">
        <v>8</v>
      </c>
      <c r="AN432" s="27" t="s">
        <v>7</v>
      </c>
      <c r="AO432" s="27" t="s">
        <v>8</v>
      </c>
      <c r="AP432" s="27" t="s">
        <v>7</v>
      </c>
      <c r="AQ432" s="27" t="s">
        <v>8</v>
      </c>
      <c r="AR432" s="27" t="s">
        <v>7</v>
      </c>
      <c r="GL432" s="27" t="s">
        <v>7</v>
      </c>
    </row>
    <row r="433" spans="1:198" x14ac:dyDescent="0.25">
      <c r="A433" s="7">
        <v>21.106997141968804</v>
      </c>
      <c r="B433"/>
      <c r="C433"/>
      <c r="D433"/>
      <c r="E433" t="s">
        <v>8</v>
      </c>
      <c r="H433" s="27" t="s">
        <v>7</v>
      </c>
      <c r="I433" s="27" t="s">
        <v>8</v>
      </c>
      <c r="AF433" s="27" t="s">
        <v>7</v>
      </c>
      <c r="AG433" s="27" t="s">
        <v>8</v>
      </c>
      <c r="AH433" s="27" t="s">
        <v>7</v>
      </c>
      <c r="AJ433" s="27" t="s">
        <v>7</v>
      </c>
      <c r="AL433" s="27" t="s">
        <v>7</v>
      </c>
      <c r="AN433" s="27" t="s">
        <v>7</v>
      </c>
      <c r="AP433" s="27" t="s">
        <v>7</v>
      </c>
      <c r="GL433" s="27" t="s">
        <v>7</v>
      </c>
    </row>
    <row r="434" spans="1:198" x14ac:dyDescent="0.25">
      <c r="A434" s="7">
        <v>20.693134452910591</v>
      </c>
      <c r="B434"/>
      <c r="C434"/>
      <c r="D434"/>
      <c r="E434" t="s">
        <v>8</v>
      </c>
      <c r="H434" s="27" t="s">
        <v>7</v>
      </c>
      <c r="AF434" s="27" t="s">
        <v>7</v>
      </c>
      <c r="AG434" s="27" t="s">
        <v>8</v>
      </c>
      <c r="GL434" s="27" t="s">
        <v>7</v>
      </c>
    </row>
    <row r="435" spans="1:198" x14ac:dyDescent="0.25">
      <c r="A435" s="7">
        <v>20.287386718539796</v>
      </c>
      <c r="B435"/>
      <c r="C435"/>
      <c r="D435"/>
      <c r="E435" t="s">
        <v>8</v>
      </c>
      <c r="AF435" s="27" t="s">
        <v>7</v>
      </c>
      <c r="GL435" s="27" t="s">
        <v>7</v>
      </c>
      <c r="GO435" s="27" t="s">
        <v>8</v>
      </c>
    </row>
    <row r="436" spans="1:198" x14ac:dyDescent="0.25">
      <c r="A436" s="7">
        <v>19.889594822097838</v>
      </c>
      <c r="B436"/>
      <c r="C436"/>
      <c r="D436"/>
      <c r="E436" t="s">
        <v>8</v>
      </c>
      <c r="GL436" s="27" t="s">
        <v>7</v>
      </c>
      <c r="GM436" s="27" t="s">
        <v>8</v>
      </c>
      <c r="GO436" s="27" t="s">
        <v>8</v>
      </c>
      <c r="GP436" s="27" t="s">
        <v>7</v>
      </c>
    </row>
    <row r="437" spans="1:198" x14ac:dyDescent="0.25">
      <c r="A437" s="7">
        <v>19.499602766762585</v>
      </c>
      <c r="B437"/>
      <c r="C437"/>
      <c r="D437"/>
      <c r="E437" t="s">
        <v>8</v>
      </c>
      <c r="GL437" s="27" t="s">
        <v>7</v>
      </c>
      <c r="GM437" s="27" t="s">
        <v>8</v>
      </c>
      <c r="GN437" s="27" t="s">
        <v>7</v>
      </c>
      <c r="GO437" s="27" t="s">
        <v>8</v>
      </c>
      <c r="GP437" s="27" t="s">
        <v>7</v>
      </c>
    </row>
    <row r="438" spans="1:198" x14ac:dyDescent="0.25">
      <c r="A438" s="7">
        <v>19.117257614473122</v>
      </c>
      <c r="B438"/>
      <c r="C438"/>
      <c r="D438"/>
      <c r="E438" t="s">
        <v>8</v>
      </c>
      <c r="GL438" s="27" t="s">
        <v>7</v>
      </c>
      <c r="GM438" s="27" t="s">
        <v>8</v>
      </c>
      <c r="GN438" s="27" t="s">
        <v>7</v>
      </c>
      <c r="GO438" s="27" t="s">
        <v>8</v>
      </c>
      <c r="GP438" s="27" t="s">
        <v>7</v>
      </c>
    </row>
    <row r="439" spans="1:198" x14ac:dyDescent="0.25">
      <c r="A439" s="7">
        <v>18.74240942595404</v>
      </c>
      <c r="B439"/>
      <c r="C439"/>
      <c r="D439"/>
      <c r="E439" t="s">
        <v>8</v>
      </c>
      <c r="GL439" s="27" t="s">
        <v>7</v>
      </c>
      <c r="GM439" s="27" t="s">
        <v>8</v>
      </c>
      <c r="GN439" s="27" t="s">
        <v>7</v>
      </c>
      <c r="GO439" s="27" t="s">
        <v>8</v>
      </c>
      <c r="GP439" s="27" t="s">
        <v>7</v>
      </c>
    </row>
    <row r="440" spans="1:198" x14ac:dyDescent="0.25">
      <c r="A440" s="7">
        <v>18.374911201915726</v>
      </c>
      <c r="B440"/>
      <c r="C440"/>
      <c r="D440"/>
      <c r="E440" t="s">
        <v>8</v>
      </c>
      <c r="GL440" s="27" t="s">
        <v>7</v>
      </c>
      <c r="GM440" s="27" t="s">
        <v>8</v>
      </c>
      <c r="GN440" s="27" t="s">
        <v>7</v>
      </c>
      <c r="GO440" s="27" t="s">
        <v>8</v>
      </c>
    </row>
    <row r="441" spans="1:198" x14ac:dyDescent="0.25">
      <c r="A441" s="7">
        <v>18.014618825407574</v>
      </c>
      <c r="B441"/>
      <c r="C441"/>
      <c r="D441"/>
      <c r="E441" t="s">
        <v>8</v>
      </c>
      <c r="GL441" s="27" t="s">
        <v>7</v>
      </c>
      <c r="GM441" s="27" t="s">
        <v>8</v>
      </c>
      <c r="GN441" s="27" t="s">
        <v>7</v>
      </c>
      <c r="GO441" s="27" t="s">
        <v>8</v>
      </c>
    </row>
    <row r="442" spans="1:198" x14ac:dyDescent="0.25">
      <c r="A442" s="7">
        <v>17.661391005301542</v>
      </c>
      <c r="B442"/>
      <c r="C442"/>
      <c r="D442"/>
      <c r="E442" t="s">
        <v>8</v>
      </c>
      <c r="GL442" s="27" t="s">
        <v>7</v>
      </c>
      <c r="GM442" s="27" t="s">
        <v>8</v>
      </c>
      <c r="GN442" s="27" t="s">
        <v>7</v>
      </c>
      <c r="GO442" s="27" t="s">
        <v>8</v>
      </c>
    </row>
    <row r="443" spans="1:198" x14ac:dyDescent="0.25">
      <c r="A443" s="7">
        <v>17.315089220883866</v>
      </c>
      <c r="B443"/>
      <c r="C443"/>
      <c r="D443"/>
      <c r="E443" t="s">
        <v>8</v>
      </c>
      <c r="GL443" s="27" t="s">
        <v>7</v>
      </c>
      <c r="GM443" s="27" t="s">
        <v>8</v>
      </c>
      <c r="GN443" s="27" t="s">
        <v>7</v>
      </c>
      <c r="GO443" s="27" t="s">
        <v>8</v>
      </c>
    </row>
    <row r="444" spans="1:198" x14ac:dyDescent="0.25">
      <c r="A444" s="7">
        <v>16.975577667533202</v>
      </c>
      <c r="B444"/>
      <c r="C444"/>
      <c r="D444"/>
      <c r="E444" t="s">
        <v>8</v>
      </c>
      <c r="GL444" s="27" t="s">
        <v>7</v>
      </c>
      <c r="GN444" s="27" t="s">
        <v>7</v>
      </c>
    </row>
    <row r="445" spans="1:198" x14ac:dyDescent="0.25">
      <c r="A445" s="7">
        <v>16.642723203463923</v>
      </c>
      <c r="B445"/>
      <c r="C445"/>
      <c r="D445"/>
      <c r="E445" t="s">
        <v>8</v>
      </c>
    </row>
    <row r="446" spans="1:198" x14ac:dyDescent="0.25">
      <c r="A446" s="7">
        <v>16.316395297513651</v>
      </c>
      <c r="B446"/>
      <c r="C446"/>
      <c r="D446"/>
      <c r="E446" t="s">
        <v>8</v>
      </c>
    </row>
    <row r="447" spans="1:198" x14ac:dyDescent="0.25">
      <c r="A447" s="7">
        <v>15.996465977954561</v>
      </c>
      <c r="B447"/>
      <c r="C447"/>
      <c r="D447"/>
      <c r="E447" t="s">
        <v>8</v>
      </c>
    </row>
    <row r="448" spans="1:198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75" operator="equal">
      <formula>$U$1</formula>
    </cfRule>
    <cfRule type="cellIs" dxfId="89" priority="876" operator="equal">
      <formula>$S$1</formula>
    </cfRule>
  </conditionalFormatting>
  <conditionalFormatting sqref="D27">
    <cfRule type="cellIs" dxfId="88" priority="873" operator="equal">
      <formula>$S$1</formula>
    </cfRule>
    <cfRule type="cellIs" dxfId="87" priority="874" operator="equal">
      <formula>$U$1</formula>
    </cfRule>
  </conditionalFormatting>
  <conditionalFormatting sqref="C164">
    <cfRule type="cellIs" dxfId="86" priority="871" operator="equal">
      <formula>$U$1</formula>
    </cfRule>
    <cfRule type="cellIs" dxfId="85" priority="872" operator="equal">
      <formula>$S$1</formula>
    </cfRule>
  </conditionalFormatting>
  <conditionalFormatting sqref="D164">
    <cfRule type="cellIs" dxfId="84" priority="869" operator="equal">
      <formula>$S$1</formula>
    </cfRule>
    <cfRule type="cellIs" dxfId="83" priority="870" operator="equal">
      <formula>$U$1</formula>
    </cfRule>
  </conditionalFormatting>
  <conditionalFormatting sqref="C55">
    <cfRule type="cellIs" dxfId="82" priority="867" operator="equal">
      <formula>$U$1</formula>
    </cfRule>
    <cfRule type="cellIs" dxfId="81" priority="868" operator="equal">
      <formula>$S$1</formula>
    </cfRule>
  </conditionalFormatting>
  <conditionalFormatting sqref="D55">
    <cfRule type="cellIs" dxfId="80" priority="865" operator="equal">
      <formula>$S$1</formula>
    </cfRule>
    <cfRule type="cellIs" dxfId="79" priority="866" operator="equal">
      <formula>$U$1</formula>
    </cfRule>
  </conditionalFormatting>
  <conditionalFormatting sqref="C89">
    <cfRule type="cellIs" dxfId="78" priority="863" operator="equal">
      <formula>$U$1</formula>
    </cfRule>
    <cfRule type="cellIs" dxfId="77" priority="864" operator="equal">
      <formula>$S$1</formula>
    </cfRule>
  </conditionalFormatting>
  <conditionalFormatting sqref="D89">
    <cfRule type="cellIs" dxfId="76" priority="861" operator="equal">
      <formula>$S$1</formula>
    </cfRule>
    <cfRule type="cellIs" dxfId="75" priority="862" operator="equal">
      <formula>$U$1</formula>
    </cfRule>
  </conditionalFormatting>
  <conditionalFormatting sqref="C136">
    <cfRule type="cellIs" dxfId="74" priority="859" operator="equal">
      <formula>$U$1</formula>
    </cfRule>
    <cfRule type="cellIs" dxfId="73" priority="860" operator="equal">
      <formula>$S$1</formula>
    </cfRule>
  </conditionalFormatting>
  <conditionalFormatting sqref="D136">
    <cfRule type="cellIs" dxfId="72" priority="857" operator="equal">
      <formula>$S$1</formula>
    </cfRule>
    <cfRule type="cellIs" dxfId="71" priority="858" operator="equal">
      <formula>$U$1</formula>
    </cfRule>
  </conditionalFormatting>
  <conditionalFormatting sqref="C1">
    <cfRule type="cellIs" dxfId="70" priority="85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41" zoomScale="90" zoomScaleNormal="90" workbookViewId="0">
      <pane xSplit="4" topLeftCell="AB1" activePane="topRight" state="frozen"/>
      <selection activeCell="A109" sqref="A109"/>
      <selection pane="topRight" activeCell="BO179" sqref="BO17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$A$178</v>
      </c>
      <c r="D111" s="1" t="str">
        <f>ADDRESS(C121-1,D121,1,1)</f>
        <v>$BO$178</v>
      </c>
      <c r="E111"/>
    </row>
    <row r="112" spans="1:5" x14ac:dyDescent="0.25">
      <c r="A112" s="30">
        <v>515.50191262726139</v>
      </c>
      <c r="C112" s="1" t="str">
        <f>ADDRESS(C121,1,1,1)</f>
        <v>$A$179</v>
      </c>
      <c r="D112" s="1" t="str">
        <f>ADDRESS(C121,D121-1,1,1)</f>
        <v>$BN$179</v>
      </c>
      <c r="E112"/>
    </row>
    <row r="113" spans="1:27" x14ac:dyDescent="0.25">
      <c r="A113" s="30">
        <v>490.95420250215363</v>
      </c>
      <c r="C113" s="1" t="str">
        <f>ADDRESS(C121+1,1,1,1)</f>
        <v>$A$180</v>
      </c>
      <c r="D113" s="1" t="str">
        <f>ADDRESS(C121-1,D121+1,1,1)</f>
        <v>$BP$178</v>
      </c>
    </row>
    <row r="114" spans="1:27" x14ac:dyDescent="0.25">
      <c r="A114" s="30">
        <v>467.57543095443202</v>
      </c>
      <c r="C114" s="1" t="str">
        <f>ADDRESS(C121,D121,1,1)</f>
        <v>$BO$179</v>
      </c>
      <c r="D114" s="1" t="str">
        <f>ADDRESS(C121+1,D121+1,1,1)</f>
        <v>$BP$180</v>
      </c>
    </row>
    <row r="115" spans="1:27" x14ac:dyDescent="0.25">
      <c r="A115" s="30">
        <v>445.30993424231622</v>
      </c>
      <c r="C115" s="1" t="str">
        <f>ADDRESS(C121+1,D121,1,1)</f>
        <v>$BO$180</v>
      </c>
    </row>
    <row r="116" spans="1:27" x14ac:dyDescent="0.25">
      <c r="A116" s="30">
        <v>424.10469927839637</v>
      </c>
      <c r="C116" s="1">
        <f>C117-1</f>
        <v>178</v>
      </c>
    </row>
    <row r="117" spans="1:27" x14ac:dyDescent="0.25">
      <c r="A117" s="30">
        <v>403.9092374079965</v>
      </c>
      <c r="C117" s="1">
        <f>C121</f>
        <v>179</v>
      </c>
      <c r="D117" s="1">
        <f>D121</f>
        <v>67</v>
      </c>
    </row>
    <row r="118" spans="1:27" x14ac:dyDescent="0.25">
      <c r="A118" s="30">
        <v>384.6754641980919</v>
      </c>
      <c r="C118" s="1">
        <f>C117+1</f>
        <v>180</v>
      </c>
      <c r="D118" s="1">
        <f>D117+1</f>
        <v>68</v>
      </c>
    </row>
    <row r="119" spans="1:27" x14ac:dyDescent="0.25">
      <c r="A119" s="30">
        <v>366.35758495056371</v>
      </c>
    </row>
    <row r="120" spans="1:27" x14ac:dyDescent="0.25">
      <c r="A120" s="30">
        <v>348.91198566720351</v>
      </c>
      <c r="C120" s="1" t="s">
        <v>9</v>
      </c>
    </row>
    <row r="121" spans="1:27" x14ac:dyDescent="0.25">
      <c r="A121" s="30">
        <v>332.29712920686046</v>
      </c>
      <c r="C121" s="18">
        <v>179</v>
      </c>
      <c r="D121" s="19">
        <v>67</v>
      </c>
      <c r="E121" s="19"/>
    </row>
    <row r="122" spans="1:27" x14ac:dyDescent="0.25">
      <c r="A122" s="30">
        <v>316.47345638748612</v>
      </c>
      <c r="C122" s="1" t="str">
        <f>INDEX(1:1048576,C117,D117)</f>
        <v>X</v>
      </c>
    </row>
    <row r="123" spans="1:27" x14ac:dyDescent="0.25">
      <c r="A123" s="30">
        <v>301.40329179760585</v>
      </c>
      <c r="C123" s="1" t="str">
        <f>"R"&amp;C121</f>
        <v>R179</v>
      </c>
      <c r="D123" s="1" t="str">
        <f>"C"&amp;D121</f>
        <v>C67</v>
      </c>
    </row>
    <row r="124" spans="1:27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27" x14ac:dyDescent="0.25">
      <c r="A125" s="30">
        <v>273.38167056472184</v>
      </c>
    </row>
    <row r="126" spans="1:27" x14ac:dyDescent="0.25">
      <c r="A126" s="30">
        <v>260.36349577592557</v>
      </c>
      <c r="C126" s="1" t="s">
        <v>10</v>
      </c>
    </row>
    <row r="127" spans="1:27" x14ac:dyDescent="0.25">
      <c r="A127" s="30">
        <v>247.96523407231004</v>
      </c>
      <c r="C127" s="30">
        <v>19.613145188829147</v>
      </c>
      <c r="D127"/>
    </row>
    <row r="128" spans="1:27" x14ac:dyDescent="0.25">
      <c r="A128" s="30">
        <v>236.15736578315241</v>
      </c>
      <c r="AA128" s="27" t="s">
        <v>8</v>
      </c>
    </row>
    <row r="129" spans="1:53" x14ac:dyDescent="0.25">
      <c r="A129" s="30">
        <v>224.91177693633563</v>
      </c>
      <c r="C129" s="1" t="s">
        <v>11</v>
      </c>
      <c r="D129" s="1" t="s">
        <v>12</v>
      </c>
      <c r="E129"/>
      <c r="AA129" s="27" t="s">
        <v>8</v>
      </c>
      <c r="AB129" s="27" t="s">
        <v>7</v>
      </c>
    </row>
    <row r="130" spans="1:53" x14ac:dyDescent="0.25">
      <c r="A130" s="30">
        <v>214.20169232031964</v>
      </c>
      <c r="C130" s="6"/>
      <c r="D130" s="6"/>
      <c r="E130"/>
      <c r="AA130" s="27" t="s">
        <v>8</v>
      </c>
      <c r="AB130" s="27" t="s">
        <v>7</v>
      </c>
    </row>
    <row r="131" spans="1:53" x14ac:dyDescent="0.25">
      <c r="A131" s="30">
        <v>204.00161173363773</v>
      </c>
      <c r="E131"/>
      <c r="AA131" s="27" t="s">
        <v>8</v>
      </c>
      <c r="AB131" s="27" t="s">
        <v>7</v>
      </c>
    </row>
    <row r="132" spans="1:53" x14ac:dyDescent="0.25">
      <c r="A132" s="30">
        <v>194.28724927013116</v>
      </c>
      <c r="C132" s="1" t="s">
        <v>13</v>
      </c>
      <c r="E132"/>
      <c r="AA132" s="27" t="s">
        <v>8</v>
      </c>
      <c r="AB132" s="27" t="s">
        <v>7</v>
      </c>
      <c r="AE132" s="27" t="s">
        <v>8</v>
      </c>
    </row>
    <row r="133" spans="1:53" x14ac:dyDescent="0.25">
      <c r="A133" s="30">
        <v>185.03547549536299</v>
      </c>
      <c r="C133" s="1" t="str">
        <f>C122</f>
        <v>X</v>
      </c>
      <c r="E133"/>
      <c r="AA133" s="27" t="s">
        <v>8</v>
      </c>
      <c r="AB133" s="27" t="s">
        <v>7</v>
      </c>
      <c r="AC133" s="27" t="s">
        <v>8</v>
      </c>
      <c r="AE133" s="27" t="s">
        <v>8</v>
      </c>
      <c r="AF133" s="27" t="s">
        <v>7</v>
      </c>
    </row>
    <row r="134" spans="1:53" x14ac:dyDescent="0.25">
      <c r="A134" s="30">
        <v>176.22426237653616</v>
      </c>
      <c r="C134"/>
      <c r="E134"/>
      <c r="AA134" s="27" t="s">
        <v>8</v>
      </c>
      <c r="AB134" s="27" t="s">
        <v>7</v>
      </c>
      <c r="AC134" s="27" t="s">
        <v>8</v>
      </c>
      <c r="AD134" s="27" t="s">
        <v>7</v>
      </c>
      <c r="AE134" s="27" t="s">
        <v>8</v>
      </c>
      <c r="AF134" s="27" t="s">
        <v>7</v>
      </c>
    </row>
    <row r="135" spans="1:53" x14ac:dyDescent="0.25">
      <c r="A135" s="30">
        <v>167.83263083479633</v>
      </c>
      <c r="C135" s="1" t="s">
        <v>14</v>
      </c>
      <c r="E135"/>
      <c r="AA135" s="27" t="s">
        <v>8</v>
      </c>
      <c r="AB135" s="27" t="s">
        <v>7</v>
      </c>
      <c r="AC135" s="27" t="s">
        <v>8</v>
      </c>
      <c r="AD135" s="27" t="s">
        <v>7</v>
      </c>
      <c r="AE135" s="27" t="s">
        <v>8</v>
      </c>
      <c r="AF135" s="27" t="s">
        <v>7</v>
      </c>
      <c r="AI135" s="33" t="s">
        <v>8</v>
      </c>
    </row>
    <row r="136" spans="1:53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  <c r="AA136" s="27" t="s">
        <v>8</v>
      </c>
      <c r="AB136" s="27" t="s">
        <v>7</v>
      </c>
      <c r="AC136" s="27" t="s">
        <v>8</v>
      </c>
      <c r="AD136" s="27" t="s">
        <v>7</v>
      </c>
      <c r="AF136" s="27" t="s">
        <v>7</v>
      </c>
      <c r="AG136" s="27" t="s">
        <v>8</v>
      </c>
      <c r="AI136" s="27" t="s">
        <v>8</v>
      </c>
      <c r="AJ136" s="27" t="s">
        <v>7</v>
      </c>
      <c r="AK136" s="31" t="s">
        <v>8</v>
      </c>
    </row>
    <row r="137" spans="1:53" x14ac:dyDescent="0.25">
      <c r="A137" s="30">
        <v>152.22914361432771</v>
      </c>
      <c r="E137"/>
      <c r="AA137" s="27" t="s">
        <v>8</v>
      </c>
      <c r="AB137" s="27" t="s">
        <v>7</v>
      </c>
      <c r="AC137" s="27" t="s">
        <v>8</v>
      </c>
      <c r="AF137" s="34" t="s">
        <v>7</v>
      </c>
      <c r="AG137" s="27" t="s">
        <v>8</v>
      </c>
      <c r="AH137" s="27" t="s">
        <v>7</v>
      </c>
      <c r="AI137" s="27" t="s">
        <v>8</v>
      </c>
      <c r="AJ137" s="27" t="s">
        <v>7</v>
      </c>
      <c r="AK137" s="27" t="s">
        <v>8</v>
      </c>
      <c r="AL137" s="31" t="s">
        <v>7</v>
      </c>
    </row>
    <row r="138" spans="1:53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AA138" s="27" t="s">
        <v>8</v>
      </c>
      <c r="AB138" s="27" t="s">
        <v>7</v>
      </c>
      <c r="AC138" s="27" t="s">
        <v>8</v>
      </c>
      <c r="AF138" s="27" t="s">
        <v>7</v>
      </c>
      <c r="AG138" s="27" t="s">
        <v>8</v>
      </c>
      <c r="AH138" s="27" t="s">
        <v>7</v>
      </c>
      <c r="AI138" s="27" t="s">
        <v>8</v>
      </c>
      <c r="AJ138" s="27" t="s">
        <v>7</v>
      </c>
      <c r="AK138" s="27" t="s">
        <v>8</v>
      </c>
      <c r="AL138" s="27" t="s">
        <v>7</v>
      </c>
      <c r="AM138" s="31"/>
    </row>
    <row r="139" spans="1:53" x14ac:dyDescent="0.25">
      <c r="A139" s="30">
        <v>138.07632073861922</v>
      </c>
      <c r="E139"/>
      <c r="AA139" s="27" t="s">
        <v>8</v>
      </c>
      <c r="AB139" s="27" t="s">
        <v>7</v>
      </c>
      <c r="AF139" s="27" t="s">
        <v>7</v>
      </c>
      <c r="AG139" s="27" t="s">
        <v>8</v>
      </c>
      <c r="AH139" s="27" t="s">
        <v>7</v>
      </c>
      <c r="AI139" s="27" t="s">
        <v>8</v>
      </c>
      <c r="AJ139" s="27" t="s">
        <v>7</v>
      </c>
      <c r="AL139" s="27" t="s">
        <v>7</v>
      </c>
      <c r="AN139" s="31"/>
    </row>
    <row r="140" spans="1:53" x14ac:dyDescent="0.25">
      <c r="A140" s="30">
        <v>131.50125784630401</v>
      </c>
      <c r="C140" s="1">
        <v>0</v>
      </c>
      <c r="E140"/>
      <c r="AA140" s="27" t="s">
        <v>8</v>
      </c>
      <c r="AF140" s="32" t="s">
        <v>7</v>
      </c>
      <c r="AH140" s="32" t="s">
        <v>7</v>
      </c>
      <c r="AL140" s="34" t="s">
        <v>7</v>
      </c>
      <c r="AO140" s="31"/>
    </row>
    <row r="141" spans="1:53" x14ac:dyDescent="0.25">
      <c r="A141" s="30">
        <v>125.23929318695619</v>
      </c>
      <c r="C141" s="1">
        <v>1</v>
      </c>
      <c r="E141"/>
      <c r="AA141" s="27" t="s">
        <v>8</v>
      </c>
      <c r="AL141" s="27" t="s">
        <v>7</v>
      </c>
      <c r="AP141" s="31"/>
    </row>
    <row r="142" spans="1:53" x14ac:dyDescent="0.25">
      <c r="A142" s="30">
        <v>119.27551732091065</v>
      </c>
      <c r="C142" s="1">
        <v>2</v>
      </c>
      <c r="E142"/>
      <c r="AA142" s="27" t="s">
        <v>8</v>
      </c>
      <c r="AL142" s="27" t="s">
        <v>7</v>
      </c>
      <c r="AM142" s="27" t="s">
        <v>8</v>
      </c>
      <c r="AQ142" s="31"/>
      <c r="AY142" s="31" t="s">
        <v>8</v>
      </c>
    </row>
    <row r="143" spans="1:53" x14ac:dyDescent="0.25">
      <c r="A143" s="30">
        <v>113.59573078181967</v>
      </c>
      <c r="C143" s="1">
        <v>3</v>
      </c>
      <c r="E143"/>
      <c r="AA143" s="27" t="s">
        <v>8</v>
      </c>
      <c r="AL143" s="27" t="s">
        <v>7</v>
      </c>
      <c r="AM143" s="27" t="s">
        <v>8</v>
      </c>
      <c r="AN143" s="27" t="s">
        <v>7</v>
      </c>
      <c r="AR143" s="31"/>
      <c r="AY143" s="27" t="s">
        <v>8</v>
      </c>
      <c r="AZ143" s="31" t="s">
        <v>7</v>
      </c>
    </row>
    <row r="144" spans="1:53" x14ac:dyDescent="0.25">
      <c r="A144" s="30">
        <v>108.18641026839968</v>
      </c>
      <c r="C144" s="1">
        <v>4</v>
      </c>
      <c r="E144"/>
      <c r="AA144" s="27" t="s">
        <v>8</v>
      </c>
      <c r="AL144" s="27" t="s">
        <v>7</v>
      </c>
      <c r="AM144" s="27" t="s">
        <v>8</v>
      </c>
      <c r="AN144" s="27" t="s">
        <v>7</v>
      </c>
      <c r="AS144" s="31"/>
      <c r="AY144" s="27" t="s">
        <v>8</v>
      </c>
      <c r="AZ144" s="27" t="s">
        <v>7</v>
      </c>
      <c r="BA144" s="31"/>
    </row>
    <row r="145" spans="1:69" x14ac:dyDescent="0.25">
      <c r="A145" s="30">
        <v>103.03467644609493</v>
      </c>
      <c r="E145"/>
      <c r="AA145" s="27" t="s">
        <v>8</v>
      </c>
      <c r="AL145" s="27" t="s">
        <v>7</v>
      </c>
      <c r="AM145" s="27" t="s">
        <v>8</v>
      </c>
      <c r="AN145" s="27" t="s">
        <v>7</v>
      </c>
      <c r="AT145" s="31"/>
      <c r="AY145" s="27" t="s">
        <v>8</v>
      </c>
      <c r="AZ145" s="27" t="s">
        <v>7</v>
      </c>
      <c r="BB145" s="31"/>
    </row>
    <row r="146" spans="1:69" x14ac:dyDescent="0.25">
      <c r="A146" s="30">
        <v>98.128263281995174</v>
      </c>
      <c r="E146"/>
      <c r="AA146" s="27" t="s">
        <v>8</v>
      </c>
      <c r="AL146" s="27" t="s">
        <v>7</v>
      </c>
      <c r="AM146" s="27" t="s">
        <v>8</v>
      </c>
      <c r="AN146" s="27" t="s">
        <v>7</v>
      </c>
      <c r="AU146" s="31"/>
      <c r="AY146" s="27" t="s">
        <v>8</v>
      </c>
      <c r="AZ146" s="27" t="s">
        <v>7</v>
      </c>
      <c r="BC146" s="31"/>
    </row>
    <row r="147" spans="1:69" x14ac:dyDescent="0.25">
      <c r="A147" s="30">
        <v>93.455488839995397</v>
      </c>
      <c r="E147"/>
      <c r="Y147" s="27" t="s">
        <v>8</v>
      </c>
      <c r="AA147" s="27" t="s">
        <v>8</v>
      </c>
      <c r="AL147" s="27" t="s">
        <v>7</v>
      </c>
      <c r="AM147" s="27" t="s">
        <v>8</v>
      </c>
      <c r="AN147" s="27" t="s">
        <v>7</v>
      </c>
      <c r="AO147" s="27" t="s">
        <v>8</v>
      </c>
      <c r="AS147" s="27" t="s">
        <v>8</v>
      </c>
      <c r="AV147" s="31"/>
      <c r="AY147" s="27" t="s">
        <v>8</v>
      </c>
      <c r="AZ147" s="27" t="s">
        <v>7</v>
      </c>
      <c r="BA147" s="27" t="s">
        <v>8</v>
      </c>
      <c r="BD147" s="31"/>
    </row>
    <row r="148" spans="1:69" x14ac:dyDescent="0.25">
      <c r="A148" s="30">
        <v>89.005227466662276</v>
      </c>
      <c r="E148"/>
      <c r="Y148" s="27" t="s">
        <v>8</v>
      </c>
      <c r="Z148" s="27" t="s">
        <v>7</v>
      </c>
      <c r="AA148" s="27" t="s">
        <v>8</v>
      </c>
      <c r="AL148" s="27" t="s">
        <v>7</v>
      </c>
      <c r="AN148" s="27" t="s">
        <v>7</v>
      </c>
      <c r="AO148" s="27" t="s">
        <v>8</v>
      </c>
      <c r="AP148" s="27" t="s">
        <v>7</v>
      </c>
      <c r="AS148" s="27" t="s">
        <v>8</v>
      </c>
      <c r="AT148" s="27" t="s">
        <v>7</v>
      </c>
      <c r="AW148" s="31"/>
      <c r="AY148" s="27" t="s">
        <v>8</v>
      </c>
      <c r="AZ148" s="27" t="s">
        <v>7</v>
      </c>
      <c r="BA148" s="27" t="s">
        <v>8</v>
      </c>
      <c r="BB148" s="27" t="s">
        <v>7</v>
      </c>
      <c r="BC148" s="27" t="s">
        <v>8</v>
      </c>
      <c r="BE148" s="31"/>
    </row>
    <row r="149" spans="1:69" x14ac:dyDescent="0.25">
      <c r="A149" s="30">
        <v>84.766883301583121</v>
      </c>
      <c r="E149"/>
      <c r="Y149" s="27" t="s">
        <v>8</v>
      </c>
      <c r="Z149" s="27" t="s">
        <v>7</v>
      </c>
      <c r="AA149" s="27" t="s">
        <v>8</v>
      </c>
      <c r="AN149" s="27" t="s">
        <v>7</v>
      </c>
      <c r="AO149" s="27" t="s">
        <v>8</v>
      </c>
      <c r="AP149" s="27" t="s">
        <v>7</v>
      </c>
      <c r="AS149" s="27" t="s">
        <v>8</v>
      </c>
      <c r="AT149" s="27" t="s">
        <v>7</v>
      </c>
      <c r="AX149" s="31"/>
      <c r="AY149" s="27" t="s">
        <v>8</v>
      </c>
      <c r="AZ149" s="27" t="s">
        <v>7</v>
      </c>
      <c r="BA149" s="27" t="s">
        <v>8</v>
      </c>
      <c r="BB149" s="27" t="s">
        <v>7</v>
      </c>
      <c r="BC149" s="27" t="s">
        <v>8</v>
      </c>
      <c r="BD149" s="27" t="s">
        <v>7</v>
      </c>
      <c r="BF149" s="31"/>
    </row>
    <row r="150" spans="1:69" x14ac:dyDescent="0.25">
      <c r="A150" s="30">
        <v>80.730365049126775</v>
      </c>
      <c r="E150"/>
      <c r="Y150" s="27" t="s">
        <v>8</v>
      </c>
      <c r="Z150" s="27" t="s">
        <v>7</v>
      </c>
      <c r="AA150" s="27" t="s">
        <v>8</v>
      </c>
      <c r="AN150" s="27" t="s">
        <v>7</v>
      </c>
      <c r="AO150" s="27" t="s">
        <v>8</v>
      </c>
      <c r="AP150" s="27" t="s">
        <v>7</v>
      </c>
      <c r="AS150" s="33" t="s">
        <v>8</v>
      </c>
      <c r="AT150" s="27" t="s">
        <v>7</v>
      </c>
      <c r="AY150" s="31" t="s">
        <v>8</v>
      </c>
      <c r="AZ150" s="27" t="s">
        <v>7</v>
      </c>
      <c r="BA150" s="27" t="s">
        <v>8</v>
      </c>
      <c r="BB150" s="27" t="s">
        <v>7</v>
      </c>
      <c r="BC150" s="27" t="s">
        <v>8</v>
      </c>
      <c r="BD150" s="27" t="s">
        <v>7</v>
      </c>
      <c r="BE150" s="27" t="s">
        <v>8</v>
      </c>
      <c r="BG150" s="31"/>
    </row>
    <row r="151" spans="1:69" x14ac:dyDescent="0.25">
      <c r="A151" s="30">
        <v>76.886061951549308</v>
      </c>
      <c r="E151"/>
      <c r="Y151" s="27" t="s">
        <v>8</v>
      </c>
      <c r="Z151" s="27" t="s">
        <v>7</v>
      </c>
      <c r="AN151" s="27" t="s">
        <v>7</v>
      </c>
      <c r="AO151" s="27" t="s">
        <v>8</v>
      </c>
      <c r="AP151" s="27" t="s">
        <v>7</v>
      </c>
      <c r="AQ151" s="27" t="s">
        <v>8</v>
      </c>
      <c r="AS151" s="27" t="s">
        <v>8</v>
      </c>
      <c r="AT151" s="27" t="s">
        <v>7</v>
      </c>
      <c r="AU151" s="27" t="s">
        <v>8</v>
      </c>
      <c r="AY151" s="27" t="s">
        <v>8</v>
      </c>
      <c r="AZ151" s="31" t="s">
        <v>7</v>
      </c>
      <c r="BA151" s="27" t="s">
        <v>8</v>
      </c>
      <c r="BB151" s="27" t="s">
        <v>7</v>
      </c>
      <c r="BC151" s="27" t="s">
        <v>8</v>
      </c>
      <c r="BD151" s="27" t="s">
        <v>7</v>
      </c>
      <c r="BE151" s="27" t="s">
        <v>8</v>
      </c>
      <c r="BF151" s="27" t="s">
        <v>7</v>
      </c>
      <c r="BH151" s="31"/>
    </row>
    <row r="152" spans="1:69" x14ac:dyDescent="0.25">
      <c r="A152" s="30">
        <v>73.22482090623744</v>
      </c>
      <c r="E152" t="s">
        <v>8</v>
      </c>
      <c r="Y152" s="27" t="s">
        <v>8</v>
      </c>
      <c r="AN152" s="27" t="s">
        <v>7</v>
      </c>
      <c r="AO152" s="27" t="s">
        <v>8</v>
      </c>
      <c r="AP152" s="27" t="s">
        <v>7</v>
      </c>
      <c r="AQ152" s="27" t="s">
        <v>8</v>
      </c>
      <c r="AR152" s="27" t="s">
        <v>7</v>
      </c>
      <c r="AS152" s="27" t="s">
        <v>8</v>
      </c>
      <c r="AT152" s="27" t="s">
        <v>7</v>
      </c>
      <c r="AU152" s="27" t="s">
        <v>8</v>
      </c>
      <c r="AV152" s="27" t="s">
        <v>7</v>
      </c>
      <c r="AY152" s="27" t="s">
        <v>8</v>
      </c>
      <c r="AZ152" s="32" t="s">
        <v>7</v>
      </c>
      <c r="BB152" s="32" t="s">
        <v>7</v>
      </c>
      <c r="BD152" s="27" t="s">
        <v>7</v>
      </c>
      <c r="BE152" s="27" t="s">
        <v>8</v>
      </c>
      <c r="BF152" s="27" t="s">
        <v>7</v>
      </c>
      <c r="BI152" s="31"/>
    </row>
    <row r="153" spans="1:69" x14ac:dyDescent="0.25">
      <c r="A153" s="30">
        <v>69.737924672607079</v>
      </c>
      <c r="C153" s="7"/>
      <c r="D153"/>
      <c r="E153" t="s">
        <v>8</v>
      </c>
      <c r="F153" s="27" t="s">
        <v>7</v>
      </c>
      <c r="Y153" s="27" t="s">
        <v>8</v>
      </c>
      <c r="AN153" s="31" t="s">
        <v>7</v>
      </c>
      <c r="AO153" s="27" t="s">
        <v>8</v>
      </c>
      <c r="AP153" s="27" t="s">
        <v>7</v>
      </c>
      <c r="AQ153" s="27" t="s">
        <v>8</v>
      </c>
      <c r="AR153" s="27" t="s">
        <v>7</v>
      </c>
      <c r="AS153" s="27" t="s">
        <v>8</v>
      </c>
      <c r="AT153" s="27" t="s">
        <v>7</v>
      </c>
      <c r="AU153" s="27" t="s">
        <v>8</v>
      </c>
      <c r="AV153" s="27" t="s">
        <v>7</v>
      </c>
      <c r="AY153" s="27" t="s">
        <v>8</v>
      </c>
      <c r="BD153" s="34" t="s">
        <v>7</v>
      </c>
      <c r="BE153" s="27" t="s">
        <v>8</v>
      </c>
      <c r="BF153" s="27" t="s">
        <v>7</v>
      </c>
      <c r="BJ153" s="31"/>
    </row>
    <row r="154" spans="1:69" x14ac:dyDescent="0.25">
      <c r="A154" s="30">
        <v>66.417071116768639</v>
      </c>
      <c r="E154" t="s">
        <v>8</v>
      </c>
      <c r="F154" s="27" t="s">
        <v>7</v>
      </c>
      <c r="Y154" s="27" t="s">
        <v>8</v>
      </c>
      <c r="AM154" s="31"/>
      <c r="AN154" s="27" t="s">
        <v>7</v>
      </c>
      <c r="AO154" s="27" t="s">
        <v>8</v>
      </c>
      <c r="AP154" s="27" t="s">
        <v>7</v>
      </c>
      <c r="AQ154" s="27" t="s">
        <v>8</v>
      </c>
      <c r="AR154" s="32" t="s">
        <v>7</v>
      </c>
      <c r="AT154" s="32" t="s">
        <v>7</v>
      </c>
      <c r="AV154" s="27" t="s">
        <v>7</v>
      </c>
      <c r="AY154" s="33" t="s">
        <v>8</v>
      </c>
      <c r="BD154" s="27" t="s">
        <v>7</v>
      </c>
      <c r="BE154" s="27" t="s">
        <v>8</v>
      </c>
      <c r="BF154" s="27" t="s">
        <v>7</v>
      </c>
      <c r="BG154" s="27" t="s">
        <v>8</v>
      </c>
      <c r="BK154" s="31"/>
    </row>
    <row r="155" spans="1:69" x14ac:dyDescent="0.25">
      <c r="A155" s="30">
        <v>63.254353444541557</v>
      </c>
      <c r="E155" t="s">
        <v>8</v>
      </c>
      <c r="F155" s="27" t="s">
        <v>7</v>
      </c>
      <c r="Y155" s="27" t="s">
        <v>8</v>
      </c>
      <c r="AL155" s="31"/>
      <c r="AN155" s="27" t="s">
        <v>7</v>
      </c>
      <c r="AO155" s="27" t="s">
        <v>8</v>
      </c>
      <c r="AP155" s="27" t="s">
        <v>7</v>
      </c>
      <c r="AQ155" s="27" t="s">
        <v>8</v>
      </c>
      <c r="AV155" s="34" t="s">
        <v>7</v>
      </c>
      <c r="AW155" s="27" t="s">
        <v>8</v>
      </c>
      <c r="AY155" s="27" t="s">
        <v>8</v>
      </c>
      <c r="BD155" s="27" t="s">
        <v>7</v>
      </c>
      <c r="BE155" s="27" t="s">
        <v>8</v>
      </c>
      <c r="BF155" s="27" t="s">
        <v>7</v>
      </c>
      <c r="BG155" s="27" t="s">
        <v>8</v>
      </c>
      <c r="BH155" s="27" t="s">
        <v>7</v>
      </c>
      <c r="BL155" s="31"/>
    </row>
    <row r="156" spans="1:69" x14ac:dyDescent="0.25">
      <c r="A156" s="30">
        <v>60.242241375753864</v>
      </c>
      <c r="C156"/>
      <c r="D156"/>
      <c r="E156" t="s">
        <v>8</v>
      </c>
      <c r="F156" s="27" t="s">
        <v>7</v>
      </c>
      <c r="Y156" s="27" t="s">
        <v>8</v>
      </c>
      <c r="AK156" s="31"/>
      <c r="AN156" s="27" t="s">
        <v>7</v>
      </c>
      <c r="AO156" s="27" t="s">
        <v>8</v>
      </c>
      <c r="AP156" s="27" t="s">
        <v>7</v>
      </c>
      <c r="AQ156" s="27" t="s">
        <v>8</v>
      </c>
      <c r="AV156" s="27" t="s">
        <v>7</v>
      </c>
      <c r="AW156" s="27" t="s">
        <v>8</v>
      </c>
      <c r="AX156" s="27" t="s">
        <v>7</v>
      </c>
      <c r="AY156" s="27" t="s">
        <v>8</v>
      </c>
      <c r="BD156" s="27" t="s">
        <v>7</v>
      </c>
      <c r="BE156" s="27" t="s">
        <v>8</v>
      </c>
      <c r="BF156" s="27" t="s">
        <v>7</v>
      </c>
      <c r="BG156" s="27" t="s">
        <v>8</v>
      </c>
      <c r="BH156" s="27" t="s">
        <v>7</v>
      </c>
      <c r="BM156" s="31"/>
    </row>
    <row r="157" spans="1:69" x14ac:dyDescent="0.25">
      <c r="A157" s="30">
        <v>57.373563215003678</v>
      </c>
      <c r="E157" t="s">
        <v>8</v>
      </c>
      <c r="F157" s="27" t="s">
        <v>7</v>
      </c>
      <c r="Y157" s="27" t="s">
        <v>8</v>
      </c>
      <c r="AJ157" s="31"/>
      <c r="AN157" s="32" t="s">
        <v>7</v>
      </c>
      <c r="AP157" s="32" t="s">
        <v>7</v>
      </c>
      <c r="AV157" s="27" t="s">
        <v>7</v>
      </c>
      <c r="AW157" s="27" t="s">
        <v>8</v>
      </c>
      <c r="AX157" s="27" t="s">
        <v>7</v>
      </c>
      <c r="AY157" s="27" t="s">
        <v>8</v>
      </c>
      <c r="BD157" s="27" t="s">
        <v>7</v>
      </c>
      <c r="BE157" s="27" t="s">
        <v>8</v>
      </c>
      <c r="BF157" s="27" t="s">
        <v>7</v>
      </c>
      <c r="BG157" s="27" t="s">
        <v>8</v>
      </c>
      <c r="BH157" s="27" t="s">
        <v>7</v>
      </c>
      <c r="BI157" s="27" t="s">
        <v>8</v>
      </c>
      <c r="BN157" s="31"/>
    </row>
    <row r="158" spans="1:69" x14ac:dyDescent="0.25">
      <c r="A158" s="30">
        <v>54.641488776193974</v>
      </c>
      <c r="E158" t="s">
        <v>8</v>
      </c>
      <c r="F158" s="27" t="s">
        <v>7</v>
      </c>
      <c r="Y158" s="27" t="s">
        <v>8</v>
      </c>
      <c r="AI158" s="31"/>
      <c r="AV158" s="27" t="s">
        <v>7</v>
      </c>
      <c r="AW158" s="27" t="s">
        <v>8</v>
      </c>
      <c r="AX158" s="27" t="s">
        <v>7</v>
      </c>
      <c r="AY158" s="27" t="s">
        <v>8</v>
      </c>
      <c r="BD158" s="31" t="s">
        <v>7</v>
      </c>
      <c r="BE158" s="27" t="s">
        <v>8</v>
      </c>
      <c r="BF158" s="27" t="s">
        <v>7</v>
      </c>
      <c r="BG158" s="27" t="s">
        <v>8</v>
      </c>
      <c r="BH158" s="27" t="s">
        <v>7</v>
      </c>
      <c r="BI158" s="27" t="s">
        <v>8</v>
      </c>
      <c r="BJ158" s="27" t="s">
        <v>7</v>
      </c>
      <c r="BO158" s="31"/>
    </row>
    <row r="159" spans="1:69" x14ac:dyDescent="0.25">
      <c r="A159" s="30">
        <v>52.039513120184736</v>
      </c>
      <c r="E159" t="s">
        <v>8</v>
      </c>
      <c r="F159" s="27" t="s">
        <v>7</v>
      </c>
      <c r="S159" s="27" t="s">
        <v>8</v>
      </c>
      <c r="Y159" s="27" t="s">
        <v>8</v>
      </c>
      <c r="AH159" s="31"/>
      <c r="AV159" s="27" t="s">
        <v>7</v>
      </c>
      <c r="AW159" s="27" t="s">
        <v>8</v>
      </c>
      <c r="AX159" s="27" t="s">
        <v>7</v>
      </c>
      <c r="AY159" s="27" t="s">
        <v>8</v>
      </c>
      <c r="BC159" s="31"/>
      <c r="BD159" s="32" t="s">
        <v>7</v>
      </c>
      <c r="BF159" s="32" t="s">
        <v>7</v>
      </c>
      <c r="BH159" s="27" t="s">
        <v>7</v>
      </c>
      <c r="BI159" s="27" t="s">
        <v>8</v>
      </c>
      <c r="BJ159" s="27" t="s">
        <v>7</v>
      </c>
      <c r="BP159" s="31"/>
    </row>
    <row r="160" spans="1:69" x14ac:dyDescent="0.25">
      <c r="A160" s="30">
        <v>49.561441066842605</v>
      </c>
      <c r="C160"/>
      <c r="E160" t="s">
        <v>8</v>
      </c>
      <c r="F160" s="27" t="s">
        <v>7</v>
      </c>
      <c r="Q160" s="27" t="s">
        <v>8</v>
      </c>
      <c r="S160" s="27" t="s">
        <v>8</v>
      </c>
      <c r="T160" s="27" t="s">
        <v>7</v>
      </c>
      <c r="Y160" s="27" t="s">
        <v>8</v>
      </c>
      <c r="AG160" s="31"/>
      <c r="AV160" s="27" t="s">
        <v>7</v>
      </c>
      <c r="AW160" s="27" t="s">
        <v>8</v>
      </c>
      <c r="AX160" s="27" t="s">
        <v>7</v>
      </c>
      <c r="AY160" s="27" t="s">
        <v>8</v>
      </c>
      <c r="BB160" s="31"/>
      <c r="BH160" s="27" t="s">
        <v>7</v>
      </c>
      <c r="BJ160" s="27" t="s">
        <v>7</v>
      </c>
      <c r="BQ160" s="31"/>
    </row>
    <row r="161" spans="1:66" x14ac:dyDescent="0.25">
      <c r="A161" s="30">
        <v>47.201372444612005</v>
      </c>
      <c r="E161" t="s">
        <v>8</v>
      </c>
      <c r="F161" s="27" t="s">
        <v>7</v>
      </c>
      <c r="Q161" s="27" t="s">
        <v>8</v>
      </c>
      <c r="R161" s="27" t="s">
        <v>7</v>
      </c>
      <c r="S161" s="27" t="s">
        <v>8</v>
      </c>
      <c r="T161" s="27" t="s">
        <v>7</v>
      </c>
      <c r="U161" s="27" t="s">
        <v>8</v>
      </c>
      <c r="Y161" s="33" t="s">
        <v>8</v>
      </c>
      <c r="AF161" s="31"/>
      <c r="AV161" s="27" t="s">
        <v>7</v>
      </c>
      <c r="AW161" s="27" t="s">
        <v>8</v>
      </c>
      <c r="AX161" s="27" t="s">
        <v>7</v>
      </c>
      <c r="AY161" s="27" t="s">
        <v>8</v>
      </c>
      <c r="BA161" s="31"/>
      <c r="BJ161" s="27" t="s">
        <v>7</v>
      </c>
    </row>
    <row r="162" spans="1:66" x14ac:dyDescent="0.25">
      <c r="A162" s="30">
        <v>44.95368804248762</v>
      </c>
      <c r="E162" t="s">
        <v>8</v>
      </c>
      <c r="F162" s="27" t="s">
        <v>7</v>
      </c>
      <c r="Q162" s="27" t="s">
        <v>8</v>
      </c>
      <c r="R162" s="27" t="s">
        <v>7</v>
      </c>
      <c r="S162" s="27" t="s">
        <v>8</v>
      </c>
      <c r="T162" s="27" t="s">
        <v>7</v>
      </c>
      <c r="U162" s="27" t="s">
        <v>8</v>
      </c>
      <c r="V162" s="27" t="s">
        <v>7</v>
      </c>
      <c r="W162" s="27" t="s">
        <v>8</v>
      </c>
      <c r="Y162" s="27" t="s">
        <v>8</v>
      </c>
      <c r="AE162" s="31"/>
      <c r="AV162" s="27" t="s">
        <v>7</v>
      </c>
      <c r="AW162" s="27" t="s">
        <v>8</v>
      </c>
      <c r="AX162" s="18" t="s">
        <v>7</v>
      </c>
      <c r="AY162" s="27" t="s">
        <v>8</v>
      </c>
      <c r="AZ162" s="31"/>
      <c r="BJ162" s="27" t="s">
        <v>7</v>
      </c>
    </row>
    <row r="163" spans="1:66" x14ac:dyDescent="0.25">
      <c r="A163" s="30">
        <v>42.81303623094059</v>
      </c>
      <c r="E163" t="s">
        <v>8</v>
      </c>
      <c r="F163" s="27" t="s">
        <v>7</v>
      </c>
      <c r="Q163" s="27" t="s">
        <v>8</v>
      </c>
      <c r="R163" s="27" t="s">
        <v>7</v>
      </c>
      <c r="S163" s="27" t="s">
        <v>8</v>
      </c>
      <c r="T163" s="27" t="s">
        <v>7</v>
      </c>
      <c r="U163" s="27" t="s">
        <v>8</v>
      </c>
      <c r="V163" s="27" t="s">
        <v>7</v>
      </c>
      <c r="W163" s="27" t="s">
        <v>8</v>
      </c>
      <c r="X163" s="27" t="s">
        <v>7</v>
      </c>
      <c r="Y163" s="27" t="s">
        <v>8</v>
      </c>
      <c r="AD163" s="31"/>
      <c r="AV163" s="27" t="s">
        <v>7</v>
      </c>
      <c r="AX163" s="27" t="s">
        <v>7</v>
      </c>
      <c r="AY163" s="31" t="s">
        <v>8</v>
      </c>
      <c r="BJ163" s="27" t="s">
        <v>7</v>
      </c>
      <c r="BK163" s="27" t="s">
        <v>8</v>
      </c>
    </row>
    <row r="164" spans="1:66" x14ac:dyDescent="0.25">
      <c r="A164" s="30">
        <v>40.774320219943419</v>
      </c>
      <c r="E164" t="s">
        <v>8</v>
      </c>
      <c r="F164" s="27" t="s">
        <v>7</v>
      </c>
      <c r="G164" s="27" t="s">
        <v>8</v>
      </c>
      <c r="Q164" s="27" t="s">
        <v>8</v>
      </c>
      <c r="R164" s="27" t="s">
        <v>7</v>
      </c>
      <c r="S164" s="27" t="s">
        <v>8</v>
      </c>
      <c r="T164" s="27" t="s">
        <v>7</v>
      </c>
      <c r="U164" s="27" t="s">
        <v>8</v>
      </c>
      <c r="V164" s="27" t="s">
        <v>7</v>
      </c>
      <c r="W164" s="27" t="s">
        <v>8</v>
      </c>
      <c r="X164" s="27" t="s">
        <v>7</v>
      </c>
      <c r="Y164" s="27" t="s">
        <v>8</v>
      </c>
      <c r="AC164" s="31"/>
      <c r="AX164" s="31" t="s">
        <v>7</v>
      </c>
      <c r="BJ164" s="27" t="s">
        <v>7</v>
      </c>
      <c r="BK164" s="27" t="s">
        <v>8</v>
      </c>
      <c r="BL164" s="27" t="s">
        <v>7</v>
      </c>
      <c r="BM164" s="27" t="s">
        <v>8</v>
      </c>
    </row>
    <row r="165" spans="1:66" x14ac:dyDescent="0.25">
      <c r="A165" s="30">
        <v>38.832685923755633</v>
      </c>
      <c r="E165" t="s">
        <v>8</v>
      </c>
      <c r="F165" s="27" t="s">
        <v>7</v>
      </c>
      <c r="G165" s="27" t="s">
        <v>8</v>
      </c>
      <c r="H165" s="27" t="s">
        <v>7</v>
      </c>
      <c r="Q165" s="27" t="s">
        <v>8</v>
      </c>
      <c r="R165" s="27" t="s">
        <v>7</v>
      </c>
      <c r="S165" s="27" t="s">
        <v>8</v>
      </c>
      <c r="T165" s="27" t="s">
        <v>7</v>
      </c>
      <c r="U165" s="27" t="s">
        <v>8</v>
      </c>
      <c r="V165" s="27" t="s">
        <v>7</v>
      </c>
      <c r="W165" s="27" t="s">
        <v>8</v>
      </c>
      <c r="X165" s="27" t="s">
        <v>7</v>
      </c>
      <c r="AB165" s="31"/>
      <c r="BJ165" s="27" t="s">
        <v>7</v>
      </c>
      <c r="BK165" s="27" t="s">
        <v>8</v>
      </c>
      <c r="BL165" s="27" t="s">
        <v>7</v>
      </c>
      <c r="BM165" s="27" t="s">
        <v>8</v>
      </c>
      <c r="BN165" s="27" t="s">
        <v>7</v>
      </c>
    </row>
    <row r="166" spans="1:66" x14ac:dyDescent="0.25">
      <c r="A166" s="30">
        <v>36.983510403576794</v>
      </c>
      <c r="E166" t="s">
        <v>8</v>
      </c>
      <c r="F166" s="27" t="s">
        <v>7</v>
      </c>
      <c r="G166" s="27" t="s">
        <v>8</v>
      </c>
      <c r="H166" s="27" t="s">
        <v>7</v>
      </c>
      <c r="Q166" s="27" t="s">
        <v>8</v>
      </c>
      <c r="R166" s="27" t="s">
        <v>7</v>
      </c>
      <c r="S166" s="27" t="s">
        <v>8</v>
      </c>
      <c r="T166" s="27" t="s">
        <v>7</v>
      </c>
      <c r="V166" s="27" t="s">
        <v>7</v>
      </c>
      <c r="W166" s="27" t="s">
        <v>8</v>
      </c>
      <c r="AA166" s="31"/>
      <c r="BJ166" s="27" t="s">
        <v>7</v>
      </c>
      <c r="BK166" s="27" t="s">
        <v>8</v>
      </c>
      <c r="BL166" s="27" t="s">
        <v>7</v>
      </c>
      <c r="BM166" s="27" t="s">
        <v>8</v>
      </c>
      <c r="BN166" s="27" t="s">
        <v>7</v>
      </c>
    </row>
    <row r="167" spans="1:66" x14ac:dyDescent="0.25">
      <c r="A167" s="30">
        <v>35.222390860549325</v>
      </c>
      <c r="E167" t="s">
        <v>8</v>
      </c>
      <c r="F167" s="27" t="s">
        <v>7</v>
      </c>
      <c r="G167" s="27" t="s">
        <v>8</v>
      </c>
      <c r="H167" s="27" t="s">
        <v>7</v>
      </c>
      <c r="I167" s="27" t="s">
        <v>8</v>
      </c>
      <c r="Q167" s="27" t="s">
        <v>8</v>
      </c>
      <c r="R167" s="27" t="s">
        <v>7</v>
      </c>
      <c r="V167" s="34" t="s">
        <v>7</v>
      </c>
      <c r="W167" s="27" t="s">
        <v>8</v>
      </c>
      <c r="Z167" s="31"/>
      <c r="BJ167" s="27" t="s">
        <v>7</v>
      </c>
      <c r="BK167" s="27" t="s">
        <v>8</v>
      </c>
      <c r="BL167" s="27" t="s">
        <v>7</v>
      </c>
      <c r="BN167" s="27" t="s">
        <v>7</v>
      </c>
    </row>
    <row r="168" spans="1:66" x14ac:dyDescent="0.25">
      <c r="A168" s="30">
        <v>33.545134152904119</v>
      </c>
      <c r="E168" t="s">
        <v>8</v>
      </c>
      <c r="F168" s="27" t="s">
        <v>7</v>
      </c>
      <c r="G168" s="27" t="s">
        <v>8</v>
      </c>
      <c r="H168" s="27" t="s">
        <v>7</v>
      </c>
      <c r="I168" s="27" t="s">
        <v>8</v>
      </c>
      <c r="J168" s="27" t="s">
        <v>7</v>
      </c>
      <c r="K168" s="27" t="s">
        <v>8</v>
      </c>
      <c r="Q168" s="27" t="s">
        <v>8</v>
      </c>
      <c r="V168" s="27" t="s">
        <v>7</v>
      </c>
      <c r="W168" s="27" t="s">
        <v>8</v>
      </c>
      <c r="Y168" s="31"/>
      <c r="BJ168" s="27" t="s">
        <v>7</v>
      </c>
      <c r="BN168" s="27" t="s">
        <v>7</v>
      </c>
    </row>
    <row r="169" spans="1:66" x14ac:dyDescent="0.25">
      <c r="A169" s="30">
        <v>31.947746812289637</v>
      </c>
      <c r="E169" t="s">
        <v>8</v>
      </c>
      <c r="F169" s="27" t="s">
        <v>7</v>
      </c>
      <c r="G169" s="27" t="s">
        <v>8</v>
      </c>
      <c r="H169" s="27" t="s">
        <v>7</v>
      </c>
      <c r="I169" s="27" t="s">
        <v>8</v>
      </c>
      <c r="J169" s="27" t="s">
        <v>7</v>
      </c>
      <c r="K169" s="27" t="s">
        <v>8</v>
      </c>
      <c r="L169" s="27" t="s">
        <v>7</v>
      </c>
      <c r="Q169" s="27" t="s">
        <v>8</v>
      </c>
      <c r="V169" s="27" t="s">
        <v>7</v>
      </c>
      <c r="X169" s="31"/>
      <c r="BN169" s="27" t="s">
        <v>7</v>
      </c>
    </row>
    <row r="170" spans="1:66" x14ac:dyDescent="0.25">
      <c r="A170" s="30">
        <v>30.426425535513939</v>
      </c>
      <c r="E170" t="s">
        <v>8</v>
      </c>
      <c r="F170" s="27" t="s">
        <v>7</v>
      </c>
      <c r="G170" s="27" t="s">
        <v>8</v>
      </c>
      <c r="H170" s="27" t="s">
        <v>7</v>
      </c>
      <c r="I170" s="27" t="s">
        <v>8</v>
      </c>
      <c r="J170" s="27" t="s">
        <v>7</v>
      </c>
      <c r="K170" s="27" t="s">
        <v>8</v>
      </c>
      <c r="L170" s="27" t="s">
        <v>7</v>
      </c>
      <c r="Q170" s="27" t="s">
        <v>8</v>
      </c>
      <c r="W170" s="31"/>
      <c r="BN170" s="27" t="s">
        <v>7</v>
      </c>
    </row>
    <row r="171" spans="1:66" x14ac:dyDescent="0.25">
      <c r="A171" s="30">
        <v>28.977548129060892</v>
      </c>
      <c r="E171" t="s">
        <v>8</v>
      </c>
      <c r="F171" s="27" t="s">
        <v>7</v>
      </c>
      <c r="G171" s="27" t="s">
        <v>8</v>
      </c>
      <c r="H171" s="27" t="s">
        <v>7</v>
      </c>
      <c r="I171" s="27" t="s">
        <v>8</v>
      </c>
      <c r="J171" s="27" t="s">
        <v>7</v>
      </c>
      <c r="L171" s="27" t="s">
        <v>7</v>
      </c>
      <c r="Q171" s="27" t="s">
        <v>8</v>
      </c>
      <c r="V171" s="31"/>
      <c r="BN171" s="27" t="s">
        <v>7</v>
      </c>
    </row>
    <row r="172" spans="1:66" x14ac:dyDescent="0.25">
      <c r="A172" s="30">
        <v>27.597664884819896</v>
      </c>
      <c r="E172" t="s">
        <v>8</v>
      </c>
      <c r="F172" s="27" t="s">
        <v>7</v>
      </c>
      <c r="G172" s="27" t="s">
        <v>8</v>
      </c>
      <c r="H172" s="27" t="s">
        <v>7</v>
      </c>
      <c r="L172" s="27" t="s">
        <v>7</v>
      </c>
      <c r="Q172" s="27" t="s">
        <v>8</v>
      </c>
      <c r="U172" s="31"/>
      <c r="BN172" s="27" t="s">
        <v>7</v>
      </c>
    </row>
    <row r="173" spans="1:66" x14ac:dyDescent="0.25">
      <c r="A173" s="30">
        <v>26.283490366495137</v>
      </c>
      <c r="E173" t="s">
        <v>8</v>
      </c>
      <c r="F173" s="27" t="s">
        <v>7</v>
      </c>
      <c r="G173" s="27" t="s">
        <v>8</v>
      </c>
      <c r="L173" s="27" t="s">
        <v>7</v>
      </c>
      <c r="Q173" s="33" t="s">
        <v>8</v>
      </c>
      <c r="T173" s="31"/>
      <c r="BN173" s="27" t="s">
        <v>7</v>
      </c>
    </row>
    <row r="174" spans="1:66" x14ac:dyDescent="0.25">
      <c r="A174" s="30">
        <v>25.031895587138223</v>
      </c>
      <c r="E174" t="s">
        <v>8</v>
      </c>
      <c r="F174" s="27" t="s">
        <v>7</v>
      </c>
      <c r="G174" s="27" t="s">
        <v>8</v>
      </c>
      <c r="L174" s="27" t="s">
        <v>7</v>
      </c>
      <c r="M174" s="32" t="s">
        <v>8</v>
      </c>
      <c r="O174" s="32" t="s">
        <v>8</v>
      </c>
      <c r="Q174" s="27" t="s">
        <v>8</v>
      </c>
      <c r="S174" s="31"/>
      <c r="BN174" s="27" t="s">
        <v>7</v>
      </c>
    </row>
    <row r="175" spans="1:66" x14ac:dyDescent="0.25">
      <c r="A175" s="30">
        <v>23.839900559179259</v>
      </c>
      <c r="E175" t="s">
        <v>8</v>
      </c>
      <c r="F175" s="27" t="s">
        <v>7</v>
      </c>
      <c r="G175" s="27" t="s">
        <v>8</v>
      </c>
      <c r="L175" s="27" t="s">
        <v>7</v>
      </c>
      <c r="M175" s="27" t="s">
        <v>8</v>
      </c>
      <c r="N175" s="27" t="s">
        <v>7</v>
      </c>
      <c r="O175" s="27" t="s">
        <v>8</v>
      </c>
      <c r="P175" s="27" t="s">
        <v>7</v>
      </c>
      <c r="Q175" s="27" t="s">
        <v>8</v>
      </c>
      <c r="R175" s="31"/>
      <c r="BN175" s="27" t="s">
        <v>7</v>
      </c>
    </row>
    <row r="176" spans="1:66" x14ac:dyDescent="0.25">
      <c r="A176" s="30">
        <v>22.704667199218342</v>
      </c>
      <c r="E176" t="s">
        <v>8</v>
      </c>
      <c r="F176" s="27" t="s">
        <v>7</v>
      </c>
      <c r="G176" s="27" t="s">
        <v>8</v>
      </c>
      <c r="L176" s="27" t="s">
        <v>7</v>
      </c>
      <c r="M176" s="27" t="s">
        <v>8</v>
      </c>
      <c r="N176" s="27" t="s">
        <v>7</v>
      </c>
      <c r="O176" s="27" t="s">
        <v>8</v>
      </c>
      <c r="P176" s="27" t="s">
        <v>7</v>
      </c>
      <c r="Q176" s="31" t="s">
        <v>8</v>
      </c>
      <c r="BN176" s="27" t="s">
        <v>7</v>
      </c>
    </row>
    <row r="177" spans="1:67" x14ac:dyDescent="0.25">
      <c r="A177" s="30">
        <v>21.623492570684135</v>
      </c>
      <c r="E177" t="s">
        <v>8</v>
      </c>
      <c r="F177" s="27" t="s">
        <v>7</v>
      </c>
      <c r="L177" s="27" t="s">
        <v>7</v>
      </c>
      <c r="M177" s="27" t="s">
        <v>8</v>
      </c>
      <c r="N177" s="32" t="s">
        <v>7</v>
      </c>
      <c r="P177" s="32" t="s">
        <v>7</v>
      </c>
      <c r="BN177" s="27" t="s">
        <v>7</v>
      </c>
    </row>
    <row r="178" spans="1:67" x14ac:dyDescent="0.25">
      <c r="A178" s="30">
        <v>20.593802448270605</v>
      </c>
      <c r="C178" s="7"/>
      <c r="D178"/>
      <c r="E178" t="s">
        <v>8</v>
      </c>
      <c r="L178" s="27" t="s">
        <v>7</v>
      </c>
      <c r="BN178" s="27" t="s">
        <v>7</v>
      </c>
    </row>
    <row r="179" spans="1:67" x14ac:dyDescent="0.25">
      <c r="A179" s="30">
        <v>19.613145188829147</v>
      </c>
      <c r="E179" t="s">
        <v>8</v>
      </c>
      <c r="BN179" s="27" t="s">
        <v>7</v>
      </c>
      <c r="BO179" s="27" t="s">
        <v>8</v>
      </c>
    </row>
    <row r="180" spans="1:67" x14ac:dyDescent="0.25">
      <c r="A180" s="30">
        <v>18.679185894122998</v>
      </c>
      <c r="E180" t="s">
        <v>8</v>
      </c>
      <c r="BN180" s="27" t="s">
        <v>7</v>
      </c>
      <c r="BO180" s="27" t="s">
        <v>8</v>
      </c>
    </row>
    <row r="181" spans="1:67" x14ac:dyDescent="0.25">
      <c r="A181" s="30">
        <v>17.78970085154571</v>
      </c>
      <c r="C181"/>
      <c r="D181"/>
      <c r="E181" t="s">
        <v>8</v>
      </c>
      <c r="BN181" s="27" t="s">
        <v>7</v>
      </c>
      <c r="BO181" s="27" t="s">
        <v>8</v>
      </c>
    </row>
    <row r="182" spans="1:67" x14ac:dyDescent="0.25">
      <c r="A182" s="30">
        <v>16.942572239567344</v>
      </c>
      <c r="E182" t="s">
        <v>8</v>
      </c>
      <c r="BN182" s="27" t="s">
        <v>7</v>
      </c>
    </row>
    <row r="183" spans="1:67" x14ac:dyDescent="0.25">
      <c r="A183" s="30">
        <v>16.135783085302233</v>
      </c>
      <c r="E183" t="s">
        <v>8</v>
      </c>
    </row>
    <row r="184" spans="1:67" x14ac:dyDescent="0.25">
      <c r="A184" s="30">
        <v>15.367412462192602</v>
      </c>
      <c r="E184" t="s">
        <v>8</v>
      </c>
    </row>
    <row r="185" spans="1:67" x14ac:dyDescent="0.25">
      <c r="A185" s="30">
        <v>14.635630916373906</v>
      </c>
      <c r="C185"/>
      <c r="E185" t="s">
        <v>8</v>
      </c>
    </row>
    <row r="186" spans="1:67" x14ac:dyDescent="0.25">
      <c r="A186" s="30">
        <v>13.938696110832291</v>
      </c>
      <c r="E186" t="s">
        <v>8</v>
      </c>
    </row>
    <row r="187" spans="1:67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67" x14ac:dyDescent="0.25">
      <c r="A188" s="30">
        <v>12.64280826379346</v>
      </c>
      <c r="E188" t="s">
        <v>8</v>
      </c>
    </row>
    <row r="189" spans="1:67" x14ac:dyDescent="0.25">
      <c r="A189" s="30">
        <v>12.04076977504139</v>
      </c>
      <c r="E189" t="s">
        <v>8</v>
      </c>
    </row>
    <row r="190" spans="1:67" x14ac:dyDescent="0.25">
      <c r="A190" s="30">
        <v>11.467399785753704</v>
      </c>
      <c r="E190" t="s">
        <v>8</v>
      </c>
    </row>
    <row r="191" spans="1:67" x14ac:dyDescent="0.25">
      <c r="A191" s="30">
        <v>10.921333129289241</v>
      </c>
      <c r="E191" t="s">
        <v>8</v>
      </c>
    </row>
    <row r="192" spans="1:67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90" operator="equal">
      <formula>$U$1</formula>
    </cfRule>
    <cfRule type="cellIs" dxfId="67" priority="891" operator="equal">
      <formula>$S$1</formula>
    </cfRule>
  </conditionalFormatting>
  <conditionalFormatting sqref="D136">
    <cfRule type="cellIs" dxfId="66" priority="888" operator="equal">
      <formula>$S$1</formula>
    </cfRule>
    <cfRule type="cellIs" dxfId="65" priority="889" operator="equal">
      <formula>$U$1</formula>
    </cfRule>
  </conditionalFormatting>
  <conditionalFormatting sqref="C162">
    <cfRule type="cellIs" dxfId="64" priority="886" operator="equal">
      <formula>$U$1</formula>
    </cfRule>
    <cfRule type="cellIs" dxfId="63" priority="887" operator="equal">
      <formula>$S$1</formula>
    </cfRule>
  </conditionalFormatting>
  <conditionalFormatting sqref="D162">
    <cfRule type="cellIs" dxfId="62" priority="884" operator="equal">
      <formula>$S$1</formula>
    </cfRule>
    <cfRule type="cellIs" dxfId="61" priority="885" operator="equal">
      <formula>$U$1</formula>
    </cfRule>
  </conditionalFormatting>
  <conditionalFormatting sqref="C187">
    <cfRule type="cellIs" dxfId="60" priority="882" operator="equal">
      <formula>$U$1</formula>
    </cfRule>
    <cfRule type="cellIs" dxfId="59" priority="883" operator="equal">
      <formula>$S$1</formula>
    </cfRule>
  </conditionalFormatting>
  <conditionalFormatting sqref="D187">
    <cfRule type="cellIs" dxfId="58" priority="880" operator="equal">
      <formula>$S$1</formula>
    </cfRule>
    <cfRule type="cellIs" dxfId="57" priority="881" operator="equal">
      <formula>$U$1</formula>
    </cfRule>
  </conditionalFormatting>
  <conditionalFormatting sqref="C212">
    <cfRule type="cellIs" dxfId="56" priority="878" operator="equal">
      <formula>$U$1</formula>
    </cfRule>
    <cfRule type="cellIs" dxfId="55" priority="879" operator="equal">
      <formula>$S$1</formula>
    </cfRule>
  </conditionalFormatting>
  <conditionalFormatting sqref="D212">
    <cfRule type="cellIs" dxfId="54" priority="876" operator="equal">
      <formula>$S$1</formula>
    </cfRule>
    <cfRule type="cellIs" dxfId="53" priority="877" operator="equal">
      <formula>$U$1</formula>
    </cfRule>
  </conditionalFormatting>
  <conditionalFormatting sqref="C237">
    <cfRule type="cellIs" dxfId="52" priority="874" operator="equal">
      <formula>$U$1</formula>
    </cfRule>
    <cfRule type="cellIs" dxfId="51" priority="875" operator="equal">
      <formula>$S$1</formula>
    </cfRule>
  </conditionalFormatting>
  <conditionalFormatting sqref="D237">
    <cfRule type="cellIs" dxfId="50" priority="872" operator="equal">
      <formula>$S$1</formula>
    </cfRule>
    <cfRule type="cellIs" dxfId="49" priority="873" operator="equal">
      <formula>$U$1</formula>
    </cfRule>
  </conditionalFormatting>
  <conditionalFormatting sqref="C106">
    <cfRule type="cellIs" dxfId="48" priority="870" operator="equal">
      <formula>$U$1</formula>
    </cfRule>
    <cfRule type="cellIs" dxfId="47" priority="871" operator="equal">
      <formula>$S$1</formula>
    </cfRule>
  </conditionalFormatting>
  <conditionalFormatting sqref="D106">
    <cfRule type="cellIs" dxfId="46" priority="868" operator="equal">
      <formula>$S$1</formula>
    </cfRule>
    <cfRule type="cellIs" dxfId="45" priority="869" operator="equal">
      <formula>$U$1</formula>
    </cfRule>
  </conditionalFormatting>
  <conditionalFormatting sqref="C81">
    <cfRule type="cellIs" dxfId="44" priority="866" operator="equal">
      <formula>$U$1</formula>
    </cfRule>
    <cfRule type="cellIs" dxfId="43" priority="867" operator="equal">
      <formula>$S$1</formula>
    </cfRule>
  </conditionalFormatting>
  <conditionalFormatting sqref="D81">
    <cfRule type="cellIs" dxfId="42" priority="864" operator="equal">
      <formula>$S$1</formula>
    </cfRule>
    <cfRule type="cellIs" dxfId="41" priority="865" operator="equal">
      <formula>$U$1</formula>
    </cfRule>
  </conditionalFormatting>
  <conditionalFormatting sqref="C56">
    <cfRule type="cellIs" dxfId="40" priority="862" operator="equal">
      <formula>$U$1</formula>
    </cfRule>
    <cfRule type="cellIs" dxfId="39" priority="863" operator="equal">
      <formula>$S$1</formula>
    </cfRule>
  </conditionalFormatting>
  <conditionalFormatting sqref="D56">
    <cfRule type="cellIs" dxfId="38" priority="860" operator="equal">
      <formula>$S$1</formula>
    </cfRule>
    <cfRule type="cellIs" dxfId="37" priority="861" operator="equal">
      <formula>$U$1</formula>
    </cfRule>
  </conditionalFormatting>
  <conditionalFormatting sqref="C31">
    <cfRule type="cellIs" dxfId="36" priority="858" operator="equal">
      <formula>$U$1</formula>
    </cfRule>
    <cfRule type="cellIs" dxfId="35" priority="859" operator="equal">
      <formula>$S$1</formula>
    </cfRule>
  </conditionalFormatting>
  <conditionalFormatting sqref="D31">
    <cfRule type="cellIs" dxfId="34" priority="856" operator="equal">
      <formula>$S$1</formula>
    </cfRule>
    <cfRule type="cellIs" dxfId="33" priority="85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56" zoomScale="90" zoomScaleNormal="90" workbookViewId="0">
      <pane xSplit="4" topLeftCell="G1" activePane="topRight" state="frozen"/>
      <selection activeCell="A109" sqref="A109"/>
      <selection pane="topRight" activeCell="AB91" sqref="AB9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13" x14ac:dyDescent="0.25">
      <c r="A49" s="30">
        <v>955.59381772732638</v>
      </c>
      <c r="C49" s="1">
        <f>C38</f>
        <v>0</v>
      </c>
      <c r="E49"/>
    </row>
    <row r="50" spans="1:13" x14ac:dyDescent="0.25">
      <c r="A50" s="30">
        <v>868.72165247938756</v>
      </c>
      <c r="C50"/>
      <c r="D50"/>
      <c r="E50"/>
    </row>
    <row r="51" spans="1:13" x14ac:dyDescent="0.25">
      <c r="A51" s="30">
        <v>789.74695679944318</v>
      </c>
      <c r="C51" s="1" t="s">
        <v>14</v>
      </c>
      <c r="E51"/>
    </row>
    <row r="52" spans="1:13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13" x14ac:dyDescent="0.25">
      <c r="A53" s="30">
        <v>652.68343537144051</v>
      </c>
      <c r="E53"/>
    </row>
    <row r="54" spans="1:13" x14ac:dyDescent="0.25">
      <c r="A54" s="30">
        <v>593.34857761040041</v>
      </c>
      <c r="E54"/>
    </row>
    <row r="55" spans="1:13" x14ac:dyDescent="0.25">
      <c r="A55" s="30">
        <v>539.40779782763673</v>
      </c>
      <c r="E55"/>
    </row>
    <row r="56" spans="1:13" x14ac:dyDescent="0.25">
      <c r="A56" s="30">
        <v>490.37072529785149</v>
      </c>
      <c r="E56"/>
    </row>
    <row r="57" spans="1:13" x14ac:dyDescent="0.25">
      <c r="A57" s="30">
        <v>445.79156845259223</v>
      </c>
      <c r="E57"/>
    </row>
    <row r="58" spans="1:13" x14ac:dyDescent="0.25">
      <c r="A58" s="30">
        <v>405.26506222962928</v>
      </c>
      <c r="E58"/>
    </row>
    <row r="59" spans="1:13" x14ac:dyDescent="0.25">
      <c r="A59" s="30">
        <v>368.42278384511752</v>
      </c>
      <c r="E59"/>
    </row>
    <row r="60" spans="1:13" x14ac:dyDescent="0.25">
      <c r="A60" s="30">
        <v>334.92980349556137</v>
      </c>
      <c r="E60"/>
    </row>
    <row r="61" spans="1:13" x14ac:dyDescent="0.25">
      <c r="A61" s="30">
        <v>304.48163954141938</v>
      </c>
      <c r="E61"/>
    </row>
    <row r="62" spans="1:13" x14ac:dyDescent="0.25">
      <c r="A62" s="30">
        <v>276.80149049219943</v>
      </c>
      <c r="E62"/>
    </row>
    <row r="63" spans="1:13" x14ac:dyDescent="0.25">
      <c r="A63" s="30">
        <v>251.63771862927217</v>
      </c>
      <c r="E63"/>
    </row>
    <row r="64" spans="1:13" x14ac:dyDescent="0.25">
      <c r="A64" s="30">
        <v>228.76156239024741</v>
      </c>
      <c r="E64"/>
      <c r="M64" s="31" t="s">
        <v>8</v>
      </c>
    </row>
    <row r="65" spans="1:29" x14ac:dyDescent="0.25">
      <c r="A65" s="30">
        <v>207.96505671840671</v>
      </c>
      <c r="E65"/>
      <c r="M65" s="27" t="s">
        <v>8</v>
      </c>
      <c r="N65" s="31" t="s">
        <v>7</v>
      </c>
    </row>
    <row r="66" spans="1:29" x14ac:dyDescent="0.25">
      <c r="A66" s="30">
        <v>189.05914247127882</v>
      </c>
      <c r="E66"/>
      <c r="M66" s="27" t="s">
        <v>8</v>
      </c>
      <c r="N66" s="27" t="s">
        <v>7</v>
      </c>
      <c r="O66" s="31" t="s">
        <v>8</v>
      </c>
    </row>
    <row r="67" spans="1:29" x14ac:dyDescent="0.25">
      <c r="A67" s="30">
        <v>171.87194770116255</v>
      </c>
      <c r="C67" s="1" t="s">
        <v>15</v>
      </c>
      <c r="E67"/>
      <c r="M67" s="27" t="s">
        <v>8</v>
      </c>
      <c r="N67" s="27" t="s">
        <v>7</v>
      </c>
      <c r="O67" s="27" t="s">
        <v>8</v>
      </c>
      <c r="P67" s="31" t="s">
        <v>7</v>
      </c>
    </row>
    <row r="68" spans="1:29" x14ac:dyDescent="0.25">
      <c r="A68" s="30">
        <v>156.24722518287504</v>
      </c>
      <c r="C68" s="7">
        <v>0.11167815779424731</v>
      </c>
      <c r="D68"/>
      <c r="E68"/>
      <c r="M68" s="27" t="s">
        <v>8</v>
      </c>
      <c r="N68" s="27" t="s">
        <v>7</v>
      </c>
      <c r="O68" s="27" t="s">
        <v>8</v>
      </c>
      <c r="P68" s="27" t="s">
        <v>7</v>
      </c>
      <c r="Q68" s="31"/>
    </row>
    <row r="69" spans="1:29" x14ac:dyDescent="0.25">
      <c r="A69" s="30">
        <v>142.04293198443185</v>
      </c>
      <c r="E69"/>
      <c r="M69" s="27" t="s">
        <v>8</v>
      </c>
      <c r="N69" s="27" t="s">
        <v>7</v>
      </c>
      <c r="P69" s="27" t="s">
        <v>7</v>
      </c>
      <c r="R69" s="31"/>
    </row>
    <row r="70" spans="1:29" x14ac:dyDescent="0.25">
      <c r="A70" s="30">
        <v>129.1299381676653</v>
      </c>
      <c r="C70" s="1" t="s">
        <v>11</v>
      </c>
      <c r="D70" s="1" t="s">
        <v>12</v>
      </c>
      <c r="E70"/>
      <c r="M70" s="27" t="s">
        <v>8</v>
      </c>
      <c r="P70" s="34" t="s">
        <v>7</v>
      </c>
      <c r="S70" s="31"/>
    </row>
    <row r="71" spans="1:29" x14ac:dyDescent="0.25">
      <c r="A71" s="30">
        <v>117.39085287969573</v>
      </c>
      <c r="C71"/>
      <c r="D71"/>
      <c r="E71"/>
      <c r="M71" s="27" t="s">
        <v>8</v>
      </c>
      <c r="P71" s="27" t="s">
        <v>7</v>
      </c>
      <c r="Q71" s="27" t="s">
        <v>8</v>
      </c>
      <c r="T71" s="31"/>
      <c r="Y71" s="31" t="s">
        <v>8</v>
      </c>
    </row>
    <row r="72" spans="1:29" x14ac:dyDescent="0.25">
      <c r="A72" s="30">
        <v>106.71895716335975</v>
      </c>
      <c r="E72"/>
      <c r="M72" s="27" t="s">
        <v>8</v>
      </c>
      <c r="P72" s="27" t="s">
        <v>7</v>
      </c>
      <c r="Q72" s="27" t="s">
        <v>8</v>
      </c>
      <c r="R72" s="27" t="s">
        <v>7</v>
      </c>
      <c r="U72" s="31"/>
      <c r="Y72" s="27" t="s">
        <v>8</v>
      </c>
      <c r="Z72" s="31" t="s">
        <v>7</v>
      </c>
    </row>
    <row r="73" spans="1:29" x14ac:dyDescent="0.25">
      <c r="A73" s="30">
        <v>97.017233784872488</v>
      </c>
      <c r="C73" s="1" t="s">
        <v>13</v>
      </c>
      <c r="E73"/>
      <c r="M73" s="27" t="s">
        <v>8</v>
      </c>
      <c r="P73" s="27" t="s">
        <v>7</v>
      </c>
      <c r="Q73" s="27" t="s">
        <v>8</v>
      </c>
      <c r="R73" s="27" t="s">
        <v>7</v>
      </c>
      <c r="U73" s="33" t="s">
        <v>8</v>
      </c>
      <c r="V73" s="31"/>
      <c r="Y73" s="27" t="s">
        <v>8</v>
      </c>
      <c r="Z73" s="27" t="s">
        <v>7</v>
      </c>
      <c r="AA73" s="31"/>
    </row>
    <row r="74" spans="1:29" x14ac:dyDescent="0.25">
      <c r="A74" s="30">
        <v>88.197485258974979</v>
      </c>
      <c r="C74" s="1">
        <f>C63</f>
        <v>0</v>
      </c>
      <c r="E74"/>
      <c r="M74" s="27" t="s">
        <v>8</v>
      </c>
      <c r="P74" s="27" t="s">
        <v>7</v>
      </c>
      <c r="R74" s="27" t="s">
        <v>7</v>
      </c>
      <c r="S74" s="27" t="s">
        <v>8</v>
      </c>
      <c r="U74" s="27" t="s">
        <v>8</v>
      </c>
      <c r="V74" s="27" t="s">
        <v>7</v>
      </c>
      <c r="W74" s="31"/>
      <c r="Y74" s="27" t="s">
        <v>8</v>
      </c>
      <c r="Z74" s="27" t="s">
        <v>7</v>
      </c>
      <c r="AB74" s="31"/>
    </row>
    <row r="75" spans="1:29" x14ac:dyDescent="0.25">
      <c r="A75" s="30">
        <v>80.179532053613613</v>
      </c>
      <c r="C75"/>
      <c r="D75"/>
      <c r="E75"/>
      <c r="M75" s="27" t="s">
        <v>8</v>
      </c>
      <c r="R75" s="27" t="s">
        <v>7</v>
      </c>
      <c r="S75" s="27" t="s">
        <v>8</v>
      </c>
      <c r="T75" s="27" t="s">
        <v>7</v>
      </c>
      <c r="U75" s="27" t="s">
        <v>8</v>
      </c>
      <c r="V75" s="27" t="s">
        <v>7</v>
      </c>
      <c r="X75" s="31"/>
      <c r="Y75" s="27" t="s">
        <v>8</v>
      </c>
      <c r="Z75" s="27" t="s">
        <v>7</v>
      </c>
      <c r="AA75" s="27" t="s">
        <v>8</v>
      </c>
      <c r="AC75" s="31"/>
    </row>
    <row r="76" spans="1:29" x14ac:dyDescent="0.25">
      <c r="A76" s="30">
        <v>72.890483685103277</v>
      </c>
      <c r="C76" s="1" t="s">
        <v>14</v>
      </c>
      <c r="E76" t="s">
        <v>8</v>
      </c>
      <c r="M76" s="27" t="s">
        <v>8</v>
      </c>
      <c r="R76" s="27" t="s">
        <v>7</v>
      </c>
      <c r="S76" s="27" t="s">
        <v>8</v>
      </c>
      <c r="T76" s="27" t="s">
        <v>7</v>
      </c>
      <c r="U76" s="27" t="s">
        <v>8</v>
      </c>
      <c r="V76" s="27" t="s">
        <v>7</v>
      </c>
      <c r="Y76" s="33" t="s">
        <v>8</v>
      </c>
      <c r="Z76" s="27" t="s">
        <v>7</v>
      </c>
      <c r="AA76" s="27" t="s">
        <v>8</v>
      </c>
      <c r="AB76" s="27" t="s">
        <v>7</v>
      </c>
    </row>
    <row r="77" spans="1:29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F77" s="27" t="s">
        <v>7</v>
      </c>
      <c r="M77" s="27" t="s">
        <v>8</v>
      </c>
      <c r="R77" s="27" t="s">
        <v>7</v>
      </c>
      <c r="S77" s="27" t="s">
        <v>8</v>
      </c>
      <c r="T77" s="27" t="s">
        <v>7</v>
      </c>
      <c r="U77" s="27" t="s">
        <v>8</v>
      </c>
      <c r="V77" s="27" t="s">
        <v>7</v>
      </c>
      <c r="W77" s="27" t="s">
        <v>8</v>
      </c>
      <c r="Y77" s="27" t="s">
        <v>8</v>
      </c>
      <c r="Z77" s="31" t="s">
        <v>7</v>
      </c>
      <c r="AA77" s="27" t="s">
        <v>8</v>
      </c>
      <c r="AB77" s="27" t="s">
        <v>7</v>
      </c>
    </row>
    <row r="78" spans="1:29" x14ac:dyDescent="0.25">
      <c r="A78" s="30">
        <v>60.240069161242367</v>
      </c>
      <c r="E78" t="s">
        <v>8</v>
      </c>
      <c r="F78" s="27" t="s">
        <v>7</v>
      </c>
      <c r="M78" s="27" t="s">
        <v>8</v>
      </c>
      <c r="R78" s="32" t="s">
        <v>7</v>
      </c>
      <c r="T78" s="32" t="s">
        <v>7</v>
      </c>
      <c r="V78" s="27" t="s">
        <v>7</v>
      </c>
      <c r="W78" s="27" t="s">
        <v>8</v>
      </c>
      <c r="X78" s="27" t="s">
        <v>7</v>
      </c>
      <c r="Y78" s="27" t="s">
        <v>8</v>
      </c>
      <c r="Z78" s="27" t="s">
        <v>7</v>
      </c>
      <c r="AA78" s="31" t="s">
        <v>8</v>
      </c>
      <c r="AB78" s="27" t="s">
        <v>7</v>
      </c>
    </row>
    <row r="79" spans="1:29" x14ac:dyDescent="0.25">
      <c r="A79" s="30">
        <v>54.763699237493057</v>
      </c>
      <c r="E79" t="s">
        <v>8</v>
      </c>
      <c r="F79" s="27" t="s">
        <v>7</v>
      </c>
      <c r="M79" s="33" t="s">
        <v>8</v>
      </c>
      <c r="V79" s="34" t="s">
        <v>7</v>
      </c>
      <c r="W79" s="27" t="s">
        <v>8</v>
      </c>
      <c r="X79" s="27" t="s">
        <v>7</v>
      </c>
      <c r="Y79" s="27" t="s">
        <v>8</v>
      </c>
      <c r="Z79" s="27" t="s">
        <v>7</v>
      </c>
      <c r="AA79" s="31"/>
      <c r="AB79" s="27" t="s">
        <v>7</v>
      </c>
    </row>
    <row r="80" spans="1:29" x14ac:dyDescent="0.25">
      <c r="A80" s="30">
        <v>49.785181124993684</v>
      </c>
      <c r="E80" t="s">
        <v>8</v>
      </c>
      <c r="F80" s="27" t="s">
        <v>7</v>
      </c>
      <c r="I80" s="35" t="s">
        <v>8</v>
      </c>
      <c r="K80" s="35" t="s">
        <v>8</v>
      </c>
      <c r="M80" s="27" t="s">
        <v>8</v>
      </c>
      <c r="V80" s="27" t="s">
        <v>7</v>
      </c>
      <c r="W80" s="27" t="s">
        <v>8</v>
      </c>
      <c r="X80" s="27" t="s">
        <v>7</v>
      </c>
      <c r="Y80" s="27" t="s">
        <v>8</v>
      </c>
      <c r="Z80" s="31"/>
      <c r="AB80" s="34" t="s">
        <v>7</v>
      </c>
    </row>
    <row r="81" spans="1:28" x14ac:dyDescent="0.25">
      <c r="A81" s="30">
        <v>45.259255568176073</v>
      </c>
      <c r="E81" t="s">
        <v>8</v>
      </c>
      <c r="F81" s="27" t="s">
        <v>7</v>
      </c>
      <c r="I81" s="27" t="s">
        <v>8</v>
      </c>
      <c r="J81" s="27" t="s">
        <v>7</v>
      </c>
      <c r="K81" s="27" t="s">
        <v>8</v>
      </c>
      <c r="L81" s="27" t="s">
        <v>7</v>
      </c>
      <c r="M81" s="27" t="s">
        <v>8</v>
      </c>
      <c r="V81" s="27" t="s">
        <v>7</v>
      </c>
      <c r="X81" s="18" t="s">
        <v>7</v>
      </c>
      <c r="Y81" s="31" t="s">
        <v>8</v>
      </c>
      <c r="AB81" s="27" t="s">
        <v>7</v>
      </c>
    </row>
    <row r="82" spans="1:28" x14ac:dyDescent="0.25">
      <c r="A82" s="30">
        <v>41.144777789250973</v>
      </c>
      <c r="E82" t="s">
        <v>8</v>
      </c>
      <c r="F82" s="27" t="s">
        <v>7</v>
      </c>
      <c r="I82" s="27" t="s">
        <v>8</v>
      </c>
      <c r="J82" s="27" t="s">
        <v>7</v>
      </c>
      <c r="K82" s="27" t="s">
        <v>8</v>
      </c>
      <c r="L82" s="27" t="s">
        <v>7</v>
      </c>
      <c r="M82" s="27" t="s">
        <v>8</v>
      </c>
      <c r="X82" s="31" t="s">
        <v>7</v>
      </c>
      <c r="AB82" s="27" t="s">
        <v>7</v>
      </c>
    </row>
    <row r="83" spans="1:28" x14ac:dyDescent="0.25">
      <c r="A83" s="30">
        <v>37.404343444773609</v>
      </c>
      <c r="E83" t="s">
        <v>8</v>
      </c>
      <c r="F83" s="27" t="s">
        <v>7</v>
      </c>
      <c r="G83" s="27" t="s">
        <v>8</v>
      </c>
      <c r="I83" s="27" t="s">
        <v>8</v>
      </c>
      <c r="J83" s="27" t="s">
        <v>7</v>
      </c>
      <c r="L83" s="27" t="s">
        <v>7</v>
      </c>
      <c r="M83" s="27" t="s">
        <v>8</v>
      </c>
      <c r="AB83" s="27" t="s">
        <v>7</v>
      </c>
    </row>
    <row r="84" spans="1:28" x14ac:dyDescent="0.25">
      <c r="A84" s="30">
        <v>34.003948586157826</v>
      </c>
      <c r="E84" t="s">
        <v>8</v>
      </c>
      <c r="F84" s="27" t="s">
        <v>7</v>
      </c>
      <c r="G84" s="27" t="s">
        <v>8</v>
      </c>
      <c r="H84" s="27" t="s">
        <v>7</v>
      </c>
      <c r="I84" s="27" t="s">
        <v>8</v>
      </c>
      <c r="L84" s="34" t="s">
        <v>7</v>
      </c>
      <c r="AB84" s="27" t="s">
        <v>7</v>
      </c>
    </row>
    <row r="85" spans="1:28" x14ac:dyDescent="0.25">
      <c r="A85" s="30">
        <v>30.912680532870748</v>
      </c>
      <c r="E85" t="s">
        <v>8</v>
      </c>
      <c r="F85" s="27" t="s">
        <v>7</v>
      </c>
      <c r="G85" s="27" t="s">
        <v>8</v>
      </c>
      <c r="H85" s="27" t="s">
        <v>7</v>
      </c>
      <c r="I85" s="27" t="s">
        <v>8</v>
      </c>
      <c r="AB85" s="27" t="s">
        <v>7</v>
      </c>
    </row>
    <row r="86" spans="1:28" x14ac:dyDescent="0.25">
      <c r="A86" s="30">
        <v>28.102436848064315</v>
      </c>
      <c r="E86" t="s">
        <v>8</v>
      </c>
      <c r="F86" s="27" t="s">
        <v>7</v>
      </c>
      <c r="G86" s="27" t="s">
        <v>8</v>
      </c>
      <c r="H86" s="27" t="s">
        <v>7</v>
      </c>
      <c r="I86" s="27" t="s">
        <v>8</v>
      </c>
      <c r="AB86" s="27" t="s">
        <v>7</v>
      </c>
    </row>
    <row r="87" spans="1:28" x14ac:dyDescent="0.25">
      <c r="A87" s="30">
        <v>25.547669861876649</v>
      </c>
      <c r="E87" t="s">
        <v>8</v>
      </c>
      <c r="F87" s="27" t="s">
        <v>7</v>
      </c>
      <c r="G87" s="27" t="s">
        <v>8</v>
      </c>
      <c r="H87" s="27" t="s">
        <v>7</v>
      </c>
      <c r="I87" s="27" t="s">
        <v>8</v>
      </c>
      <c r="AB87" s="27" t="s">
        <v>7</v>
      </c>
    </row>
    <row r="88" spans="1:28" x14ac:dyDescent="0.25">
      <c r="A88" s="30">
        <v>23.225154419887861</v>
      </c>
      <c r="E88" t="s">
        <v>8</v>
      </c>
      <c r="F88" s="27" t="s">
        <v>7</v>
      </c>
      <c r="G88" s="27" t="s">
        <v>8</v>
      </c>
      <c r="H88" s="27" t="s">
        <v>7</v>
      </c>
      <c r="I88" s="27" t="s">
        <v>8</v>
      </c>
      <c r="AB88" s="27" t="s">
        <v>7</v>
      </c>
    </row>
    <row r="89" spans="1:28" x14ac:dyDescent="0.25">
      <c r="A89" s="30">
        <v>21.113776745352599</v>
      </c>
      <c r="E89" t="s">
        <v>8</v>
      </c>
      <c r="F89" s="27" t="s">
        <v>7</v>
      </c>
      <c r="H89" s="27" t="s">
        <v>7</v>
      </c>
      <c r="AB89" s="27" t="s">
        <v>7</v>
      </c>
    </row>
    <row r="90" spans="1:28" x14ac:dyDescent="0.25">
      <c r="A90" s="30">
        <v>19.194342495775089</v>
      </c>
      <c r="E90" t="s">
        <v>8</v>
      </c>
      <c r="AB90" s="27" t="s">
        <v>7</v>
      </c>
    </row>
    <row r="91" spans="1:28" x14ac:dyDescent="0.25">
      <c r="A91" s="30">
        <v>17.449402268886445</v>
      </c>
      <c r="E91" t="s">
        <v>8</v>
      </c>
      <c r="AB91" s="27" t="s">
        <v>7</v>
      </c>
    </row>
    <row r="92" spans="1:28" x14ac:dyDescent="0.25">
      <c r="A92" s="30">
        <v>15.863092971714948</v>
      </c>
      <c r="C92" s="1" t="s">
        <v>15</v>
      </c>
      <c r="E92" t="s">
        <v>8</v>
      </c>
    </row>
    <row r="93" spans="1:28" x14ac:dyDescent="0.25">
      <c r="A93" s="30">
        <v>14.420993610649951</v>
      </c>
      <c r="C93" s="7">
        <v>0.11167815779424731</v>
      </c>
      <c r="D93"/>
      <c r="E93" t="s">
        <v>8</v>
      </c>
    </row>
    <row r="94" spans="1:28" x14ac:dyDescent="0.25">
      <c r="A94" s="30">
        <v>13.109994191499954</v>
      </c>
      <c r="E94" t="s">
        <v>8</v>
      </c>
    </row>
    <row r="95" spans="1:28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28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$A$90</v>
      </c>
      <c r="D111" s="1" t="str">
        <f>ADDRESS(C121-1,D121,1,1)</f>
        <v>$AB$90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$A$91</v>
      </c>
      <c r="D112" s="1" t="str">
        <f>ADDRESS(C121,D121-1,1,1)</f>
        <v>$AA$91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$A$92</v>
      </c>
      <c r="D113" s="1" t="str">
        <f>ADDRESS(C121-1,D121+1,1,1)</f>
        <v>$AC$90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$AB$91</v>
      </c>
      <c r="D114" s="1" t="str">
        <f>ADDRESS(C121+1,D121+1,1,1)</f>
        <v>$AC$92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$AB$92</v>
      </c>
      <c r="E115" s="1" t="s">
        <v>8</v>
      </c>
    </row>
    <row r="116" spans="1:5" x14ac:dyDescent="0.25">
      <c r="A116" s="30">
        <v>1.6105100000000008</v>
      </c>
      <c r="C116" s="1">
        <f>C117-1</f>
        <v>90</v>
      </c>
      <c r="E116" s="1" t="s">
        <v>8</v>
      </c>
    </row>
    <row r="117" spans="1:5" x14ac:dyDescent="0.25">
      <c r="A117" s="30">
        <v>1.4641000000000006</v>
      </c>
      <c r="C117" s="1">
        <f>C121</f>
        <v>91</v>
      </c>
      <c r="D117" s="1">
        <f>D121</f>
        <v>28</v>
      </c>
      <c r="E117" s="1" t="s">
        <v>8</v>
      </c>
    </row>
    <row r="118" spans="1:5" x14ac:dyDescent="0.25">
      <c r="A118" s="30">
        <v>1.3310000000000004</v>
      </c>
      <c r="C118" s="1">
        <f>C117+1</f>
        <v>92</v>
      </c>
      <c r="D118" s="1">
        <f>D117+1</f>
        <v>29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91</v>
      </c>
      <c r="D121" s="19">
        <v>28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R91</v>
      </c>
      <c r="D123" s="1" t="str">
        <f>"C"&amp;D121</f>
        <v>C28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17.449402268886445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74" operator="equal">
      <formula>$U$1</formula>
    </cfRule>
    <cfRule type="cellIs" dxfId="30" priority="875" operator="equal">
      <formula>$S$1</formula>
    </cfRule>
  </conditionalFormatting>
  <conditionalFormatting sqref="D136">
    <cfRule type="cellIs" dxfId="29" priority="872" operator="equal">
      <formula>$S$1</formula>
    </cfRule>
    <cfRule type="cellIs" dxfId="28" priority="873" operator="equal">
      <formula>$U$1</formula>
    </cfRule>
  </conditionalFormatting>
  <conditionalFormatting sqref="C102">
    <cfRule type="cellIs" dxfId="27" priority="870" operator="equal">
      <formula>$U$1</formula>
    </cfRule>
    <cfRule type="cellIs" dxfId="26" priority="871" operator="equal">
      <formula>$S$1</formula>
    </cfRule>
  </conditionalFormatting>
  <conditionalFormatting sqref="D102">
    <cfRule type="cellIs" dxfId="25" priority="868" operator="equal">
      <formula>$S$1</formula>
    </cfRule>
    <cfRule type="cellIs" dxfId="24" priority="869" operator="equal">
      <formula>$U$1</formula>
    </cfRule>
  </conditionalFormatting>
  <conditionalFormatting sqref="C77">
    <cfRule type="cellIs" dxfId="23" priority="866" operator="equal">
      <formula>$U$1</formula>
    </cfRule>
    <cfRule type="cellIs" dxfId="22" priority="867" operator="equal">
      <formula>$S$1</formula>
    </cfRule>
  </conditionalFormatting>
  <conditionalFormatting sqref="D77">
    <cfRule type="cellIs" dxfId="21" priority="864" operator="equal">
      <formula>$S$1</formula>
    </cfRule>
    <cfRule type="cellIs" dxfId="20" priority="865" operator="equal">
      <formula>$U$1</formula>
    </cfRule>
  </conditionalFormatting>
  <conditionalFormatting sqref="C52">
    <cfRule type="cellIs" dxfId="19" priority="862" operator="equal">
      <formula>$U$1</formula>
    </cfRule>
    <cfRule type="cellIs" dxfId="18" priority="863" operator="equal">
      <formula>$S$1</formula>
    </cfRule>
  </conditionalFormatting>
  <conditionalFormatting sqref="D52">
    <cfRule type="cellIs" dxfId="17" priority="860" operator="equal">
      <formula>$S$1</formula>
    </cfRule>
    <cfRule type="cellIs" dxfId="16" priority="861" operator="equal">
      <formula>$U$1</formula>
    </cfRule>
  </conditionalFormatting>
  <conditionalFormatting sqref="C26">
    <cfRule type="cellIs" dxfId="15" priority="858" operator="equal">
      <formula>$U$1</formula>
    </cfRule>
    <cfRule type="cellIs" dxfId="14" priority="859" operator="equal">
      <formula>$S$1</formula>
    </cfRule>
  </conditionalFormatting>
  <conditionalFormatting sqref="D26">
    <cfRule type="cellIs" dxfId="13" priority="856" operator="equal">
      <formula>$S$1</formula>
    </cfRule>
    <cfRule type="cellIs" dxfId="12" priority="85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40.774320219943419</v>
      </c>
      <c r="F3" s="30">
        <v>42.81303623094059</v>
      </c>
      <c r="G3" s="30">
        <v>80.730365049126775</v>
      </c>
      <c r="H3" s="25">
        <f>IF(G3="","",(3*(G3-F3))+E3)</f>
        <v>154.526306674502</v>
      </c>
      <c r="I3" s="7"/>
      <c r="J3" s="7">
        <f>(E3+G3)/2</f>
        <v>60.752342634535097</v>
      </c>
      <c r="K3" s="7">
        <f>H3/2</f>
        <v>77.263153337250998</v>
      </c>
      <c r="M3" s="26">
        <f>IF(OR(J3="",H3=""),"",H3/J3)</f>
        <v>2.5435448243383529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2022-01-28T01:16:33Z</dcterms:modified>
</cp:coreProperties>
</file>