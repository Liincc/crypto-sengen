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BBE1B23-DBF2-4E63-A655-7787ED2C7C8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54" i="1"/>
  <c r="Q1054" i="1" s="1"/>
  <c r="R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054" i="1"/>
  <c r="T105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5"/>
  <c r="C122" i="5"/>
  <c r="C133" i="5" s="1"/>
  <c r="D136" i="5" s="1"/>
  <c r="C116" i="4"/>
  <c r="C122" i="4"/>
  <c r="C133" i="4" s="1"/>
  <c r="D136" i="4" s="1"/>
  <c r="C116" i="3"/>
  <c r="R1053" i="1"/>
  <c r="S1053" i="1" s="1"/>
  <c r="T1053" i="1" s="1"/>
  <c r="C122" i="3"/>
  <c r="C133" i="3" s="1"/>
  <c r="C136" i="3" s="1"/>
  <c r="R1052" i="1" l="1"/>
  <c r="R1051" i="1" s="1"/>
  <c r="C136" i="5"/>
  <c r="C138" i="5" s="1"/>
  <c r="C136" i="4"/>
  <c r="C138" i="4" s="1"/>
  <c r="D136" i="3"/>
  <c r="C138" i="3" s="1"/>
  <c r="S1052" i="1" l="1"/>
  <c r="T1052" i="1" s="1"/>
  <c r="R1050" i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<sst xmlns="http://schemas.openxmlformats.org/spreadsheetml/2006/main" count="7261" uniqueCount="34">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</sst>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144</c:v>
                </c:pt>
                <c:pt idx="1">
                  <c:v>148.19999999999999</c:v>
                </c:pt>
                <c:pt idx="2">
                  <c:v>144.80000000000001</c:v>
                </c:pt>
                <c:pt idx="3">
                  <c:v>146.69999999999999</c:v>
                </c:pt>
                <c:pt idx="4">
                  <c:v>157</c:v>
                </c:pt>
                <c:pt idx="5">
                  <c:v>152.19999999999999</c:v>
                </c:pt>
                <c:pt idx="6">
                  <c:v>173</c:v>
                </c:pt>
                <c:pt idx="7">
                  <c:v>188.6</c:v>
                </c:pt>
                <c:pt idx="8">
                  <c:v>201.4</c:v>
                </c:pt>
                <c:pt idx="9">
                  <c:v>204.1</c:v>
                </c:pt>
                <c:pt idx="10">
                  <c:v>214.4</c:v>
                </c:pt>
                <c:pt idx="11">
                  <c:v>224.1</c:v>
                </c:pt>
                <c:pt idx="12">
                  <c:v>217.7</c:v>
                </c:pt>
                <c:pt idx="13">
                  <c:v>229.8</c:v>
                </c:pt>
                <c:pt idx="14">
                  <c:v>223.6</c:v>
                </c:pt>
                <c:pt idx="15">
                  <c:v>199.1</c:v>
                </c:pt>
                <c:pt idx="16">
                  <c:v>192.9</c:v>
                </c:pt>
                <c:pt idx="17">
                  <c:v>182.4</c:v>
                </c:pt>
                <c:pt idx="18">
                  <c:v>191</c:v>
                </c:pt>
                <c:pt idx="19">
                  <c:v>183.9</c:v>
                </c:pt>
                <c:pt idx="20">
                  <c:v>194.7</c:v>
                </c:pt>
                <c:pt idx="21">
                  <c:v>204.4</c:v>
                </c:pt>
                <c:pt idx="22">
                  <c:v>206.5</c:v>
                </c:pt>
                <c:pt idx="23">
                  <c:v>222.1</c:v>
                </c:pt>
                <c:pt idx="24">
                  <c:v>231.5</c:v>
                </c:pt>
                <c:pt idx="25">
                  <c:v>239.7</c:v>
                </c:pt>
                <c:pt idx="26">
                  <c:v>250.1</c:v>
                </c:pt>
                <c:pt idx="27">
                  <c:v>228.7</c:v>
                </c:pt>
                <c:pt idx="28">
                  <c:v>225.4</c:v>
                </c:pt>
                <c:pt idx="29">
                  <c:v>214.7</c:v>
                </c:pt>
                <c:pt idx="30">
                  <c:v>208.8</c:v>
                </c:pt>
                <c:pt idx="31">
                  <c:v>220.7</c:v>
                </c:pt>
                <c:pt idx="32">
                  <c:v>217.1</c:v>
                </c:pt>
                <c:pt idx="33">
                  <c:v>211.1</c:v>
                </c:pt>
                <c:pt idx="34">
                  <c:v>204.3</c:v>
                </c:pt>
                <c:pt idx="35">
                  <c:v>209.8</c:v>
                </c:pt>
                <c:pt idx="36">
                  <c:v>190.6</c:v>
                </c:pt>
                <c:pt idx="37">
                  <c:v>189.1</c:v>
                </c:pt>
                <c:pt idx="38">
                  <c:v>189</c:v>
                </c:pt>
                <c:pt idx="39">
                  <c:v>184</c:v>
                </c:pt>
                <c:pt idx="40">
                  <c:v>181.2</c:v>
                </c:pt>
                <c:pt idx="41">
                  <c:v>181.6</c:v>
                </c:pt>
                <c:pt idx="42">
                  <c:v>187.1</c:v>
                </c:pt>
                <c:pt idx="43">
                  <c:v>188.1</c:v>
                </c:pt>
                <c:pt idx="44">
                  <c:v>186.7</c:v>
                </c:pt>
                <c:pt idx="45">
                  <c:v>183.8</c:v>
                </c:pt>
                <c:pt idx="46">
                  <c:v>197.9</c:v>
                </c:pt>
                <c:pt idx="47">
                  <c:v>193.7</c:v>
                </c:pt>
                <c:pt idx="48">
                  <c:v>189.9</c:v>
                </c:pt>
                <c:pt idx="49">
                  <c:v>189.1</c:v>
                </c:pt>
                <c:pt idx="50">
                  <c:v>209.7</c:v>
                </c:pt>
                <c:pt idx="51">
                  <c:v>207</c:v>
                </c:pt>
                <c:pt idx="52">
                  <c:v>201</c:v>
                </c:pt>
                <c:pt idx="53">
                  <c:v>201.3</c:v>
                </c:pt>
                <c:pt idx="54">
                  <c:v>204.7</c:v>
                </c:pt>
                <c:pt idx="55">
                  <c:v>223.4</c:v>
                </c:pt>
                <c:pt idx="56">
                  <c:v>239.5</c:v>
                </c:pt>
                <c:pt idx="57">
                  <c:v>230.6</c:v>
                </c:pt>
                <c:pt idx="58">
                  <c:v>238</c:v>
                </c:pt>
                <c:pt idx="59">
                  <c:v>235.8</c:v>
                </c:pt>
                <c:pt idx="60">
                  <c:v>239.1</c:v>
                </c:pt>
                <c:pt idx="61">
                  <c:v>228.1</c:v>
                </c:pt>
                <c:pt idx="62">
                  <c:v>226.9</c:v>
                </c:pt>
                <c:pt idx="63">
                  <c:v>248.2</c:v>
                </c:pt>
                <c:pt idx="64">
                  <c:v>242.9</c:v>
                </c:pt>
                <c:pt idx="65">
                  <c:v>237.4</c:v>
                </c:pt>
                <c:pt idx="66">
                  <c:v>231.7</c:v>
                </c:pt>
                <c:pt idx="67">
                  <c:v>250.5</c:v>
                </c:pt>
                <c:pt idx="68">
                  <c:v>247.2</c:v>
                </c:pt>
                <c:pt idx="69">
                  <c:v>238.3</c:v>
                </c:pt>
                <c:pt idx="70">
                  <c:v>226.4</c:v>
                </c:pt>
                <c:pt idx="71">
                  <c:v>241.6</c:v>
                </c:pt>
                <c:pt idx="72">
                  <c:v>240.7</c:v>
                </c:pt>
                <c:pt idx="73">
                  <c:v>268.10000000000002</c:v>
                </c:pt>
                <c:pt idx="74">
                  <c:v>275</c:v>
                </c:pt>
                <c:pt idx="75">
                  <c:v>270.7</c:v>
                </c:pt>
                <c:pt idx="76">
                  <c:v>260.7</c:v>
                </c:pt>
                <c:pt idx="77">
                  <c:v>263.8</c:v>
                </c:pt>
                <c:pt idx="78">
                  <c:v>267.10000000000002</c:v>
                </c:pt>
                <c:pt idx="79">
                  <c:v>289.39999999999998</c:v>
                </c:pt>
                <c:pt idx="80">
                  <c:v>275</c:v>
                </c:pt>
                <c:pt idx="81">
                  <c:v>266.8</c:v>
                </c:pt>
                <c:pt idx="82">
                  <c:v>259.89999999999998</c:v>
                </c:pt>
                <c:pt idx="83">
                  <c:v>255</c:v>
                </c:pt>
                <c:pt idx="84">
                  <c:v>260.7</c:v>
                </c:pt>
                <c:pt idx="85">
                  <c:v>266.10000000000002</c:v>
                </c:pt>
                <c:pt idx="86">
                  <c:v>275</c:v>
                </c:pt>
                <c:pt idx="87">
                  <c:v>271.10000000000002</c:v>
                </c:pt>
                <c:pt idx="88">
                  <c:v>274.89999999999998</c:v>
                </c:pt>
                <c:pt idx="89">
                  <c:v>263.3</c:v>
                </c:pt>
                <c:pt idx="90">
                  <c:v>269</c:v>
                </c:pt>
                <c:pt idx="91">
                  <c:v>267.2</c:v>
                </c:pt>
                <c:pt idx="92">
                  <c:v>255.6</c:v>
                </c:pt>
                <c:pt idx="93">
                  <c:v>279.89999999999998</c:v>
                </c:pt>
                <c:pt idx="94">
                  <c:v>286.60000000000002</c:v>
                </c:pt>
                <c:pt idx="95">
                  <c:v>289.3</c:v>
                </c:pt>
                <c:pt idx="96">
                  <c:v>267.3</c:v>
                </c:pt>
                <c:pt idx="97">
                  <c:v>266.3</c:v>
                </c:pt>
                <c:pt idx="98">
                  <c:v>271</c:v>
                </c:pt>
                <c:pt idx="99">
                  <c:v>260</c:v>
                </c:pt>
                <c:pt idx="100">
                  <c:v>255</c:v>
                </c:pt>
                <c:pt idx="101">
                  <c:v>256.5</c:v>
                </c:pt>
                <c:pt idx="102">
                  <c:v>261.10000000000002</c:v>
                </c:pt>
                <c:pt idx="103">
                  <c:v>268</c:v>
                </c:pt>
                <c:pt idx="104">
                  <c:v>274.10000000000002</c:v>
                </c:pt>
                <c:pt idx="105">
                  <c:v>266.8</c:v>
                </c:pt>
                <c:pt idx="106">
                  <c:v>274.3</c:v>
                </c:pt>
                <c:pt idx="107">
                  <c:v>277.2</c:v>
                </c:pt>
                <c:pt idx="108">
                  <c:v>276.7</c:v>
                </c:pt>
                <c:pt idx="109">
                  <c:v>270</c:v>
                </c:pt>
                <c:pt idx="110">
                  <c:v>278.39999999999998</c:v>
                </c:pt>
                <c:pt idx="111">
                  <c:v>277.89999999999998</c:v>
                </c:pt>
                <c:pt idx="112">
                  <c:v>277.8</c:v>
                </c:pt>
                <c:pt idx="113">
                  <c:v>286.5</c:v>
                </c:pt>
                <c:pt idx="114">
                  <c:v>270.8</c:v>
                </c:pt>
                <c:pt idx="115">
                  <c:v>263.39999999999998</c:v>
                </c:pt>
                <c:pt idx="116">
                  <c:v>258.10000000000002</c:v>
                </c:pt>
                <c:pt idx="117">
                  <c:v>252.8</c:v>
                </c:pt>
                <c:pt idx="118">
                  <c:v>257.5</c:v>
                </c:pt>
                <c:pt idx="119">
                  <c:v>251.1</c:v>
                </c:pt>
                <c:pt idx="120">
                  <c:v>233.6</c:v>
                </c:pt>
                <c:pt idx="121">
                  <c:v>229.6</c:v>
                </c:pt>
                <c:pt idx="122">
                  <c:v>234.3</c:v>
                </c:pt>
                <c:pt idx="123">
                  <c:v>234.2</c:v>
                </c:pt>
                <c:pt idx="124">
                  <c:v>235.8</c:v>
                </c:pt>
                <c:pt idx="125">
                  <c:v>233.6</c:v>
                </c:pt>
                <c:pt idx="126">
                  <c:v>249.1</c:v>
                </c:pt>
                <c:pt idx="127">
                  <c:v>245.1</c:v>
                </c:pt>
                <c:pt idx="128">
                  <c:v>218</c:v>
                </c:pt>
                <c:pt idx="129">
                  <c:v>241.2</c:v>
                </c:pt>
                <c:pt idx="130">
                  <c:v>259.8</c:v>
                </c:pt>
                <c:pt idx="131">
                  <c:v>271.7</c:v>
                </c:pt>
                <c:pt idx="132">
                  <c:v>262.7</c:v>
                </c:pt>
                <c:pt idx="133">
                  <c:v>264</c:v>
                </c:pt>
                <c:pt idx="134">
                  <c:v>269.3</c:v>
                </c:pt>
                <c:pt idx="135">
                  <c:v>269.10000000000002</c:v>
                </c:pt>
                <c:pt idx="136">
                  <c:v>263.3</c:v>
                </c:pt>
                <c:pt idx="137">
                  <c:v>256.2</c:v>
                </c:pt>
                <c:pt idx="138">
                  <c:v>249.8</c:v>
                </c:pt>
                <c:pt idx="139">
                  <c:v>249.2</c:v>
                </c:pt>
                <c:pt idx="140">
                  <c:v>261.8</c:v>
                </c:pt>
                <c:pt idx="141">
                  <c:v>257.10000000000002</c:v>
                </c:pt>
                <c:pt idx="142">
                  <c:v>263.2</c:v>
                </c:pt>
                <c:pt idx="143">
                  <c:v>314.8</c:v>
                </c:pt>
                <c:pt idx="144">
                  <c:v>315.39999999999998</c:v>
                </c:pt>
                <c:pt idx="145">
                  <c:v>305.10000000000002</c:v>
                </c:pt>
                <c:pt idx="146">
                  <c:v>304.10000000000002</c:v>
                </c:pt>
                <c:pt idx="147">
                  <c:v>302.5</c:v>
                </c:pt>
                <c:pt idx="148">
                  <c:v>302.89999999999998</c:v>
                </c:pt>
                <c:pt idx="149">
                  <c:v>285.8</c:v>
                </c:pt>
                <c:pt idx="150">
                  <c:v>281.8</c:v>
                </c:pt>
                <c:pt idx="151">
                  <c:v>291.39999999999998</c:v>
                </c:pt>
                <c:pt idx="152">
                  <c:v>300.5</c:v>
                </c:pt>
                <c:pt idx="153">
                  <c:v>315</c:v>
                </c:pt>
                <c:pt idx="154">
                  <c:v>291.39999999999998</c:v>
                </c:pt>
                <c:pt idx="155">
                  <c:v>314.29000000000002</c:v>
                </c:pt>
                <c:pt idx="156">
                  <c:v>307.33</c:v>
                </c:pt>
                <c:pt idx="157">
                  <c:v>318.17</c:v>
                </c:pt>
                <c:pt idx="158">
                  <c:v>289.29000000000002</c:v>
                </c:pt>
                <c:pt idx="159">
                  <c:v>287.98</c:v>
                </c:pt>
                <c:pt idx="160">
                  <c:v>282.06</c:v>
                </c:pt>
                <c:pt idx="161">
                  <c:v>264.19</c:v>
                </c:pt>
                <c:pt idx="162">
                  <c:v>252.51</c:v>
                </c:pt>
                <c:pt idx="163">
                  <c:v>256.23</c:v>
                </c:pt>
                <c:pt idx="164">
                  <c:v>266.5</c:v>
                </c:pt>
                <c:pt idx="165">
                  <c:v>271.86</c:v>
                </c:pt>
                <c:pt idx="166">
                  <c:v>271.60000000000002</c:v>
                </c:pt>
                <c:pt idx="167">
                  <c:v>272.89</c:v>
                </c:pt>
                <c:pt idx="168">
                  <c:v>257.42</c:v>
                </c:pt>
                <c:pt idx="169">
                  <c:v>268.02999999999997</c:v>
                </c:pt>
                <c:pt idx="170">
                  <c:v>266.33999999999997</c:v>
                </c:pt>
                <c:pt idx="171">
                  <c:v>269.31</c:v>
                </c:pt>
                <c:pt idx="172">
                  <c:v>257.12</c:v>
                </c:pt>
                <c:pt idx="173">
                  <c:v>271.83</c:v>
                </c:pt>
                <c:pt idx="174">
                  <c:v>263.08999999999997</c:v>
                </c:pt>
                <c:pt idx="175">
                  <c:v>252.84</c:v>
                </c:pt>
                <c:pt idx="176">
                  <c:v>244.38</c:v>
                </c:pt>
                <c:pt idx="177">
                  <c:v>226.02</c:v>
                </c:pt>
                <c:pt idx="178">
                  <c:v>232.58</c:v>
                </c:pt>
                <c:pt idx="179">
                  <c:v>235.45</c:v>
                </c:pt>
                <c:pt idx="180">
                  <c:v>239.86</c:v>
                </c:pt>
                <c:pt idx="181">
                  <c:v>242.01</c:v>
                </c:pt>
                <c:pt idx="182">
                  <c:v>241.67</c:v>
                </c:pt>
                <c:pt idx="183">
                  <c:v>235.44</c:v>
                </c:pt>
                <c:pt idx="184">
                  <c:v>225.59</c:v>
                </c:pt>
                <c:pt idx="185">
                  <c:v>218.07</c:v>
                </c:pt>
                <c:pt idx="186">
                  <c:v>212.91</c:v>
                </c:pt>
                <c:pt idx="187">
                  <c:v>208.52</c:v>
                </c:pt>
                <c:pt idx="188">
                  <c:v>203.96</c:v>
                </c:pt>
                <c:pt idx="189">
                  <c:v>197.7</c:v>
                </c:pt>
                <c:pt idx="190">
                  <c:v>196.77</c:v>
                </c:pt>
                <c:pt idx="191">
                  <c:v>182.89</c:v>
                </c:pt>
                <c:pt idx="192">
                  <c:v>189.02</c:v>
                </c:pt>
                <c:pt idx="193">
                  <c:v>199.41</c:v>
                </c:pt>
                <c:pt idx="194">
                  <c:v>197.56</c:v>
                </c:pt>
                <c:pt idx="195">
                  <c:v>192.95</c:v>
                </c:pt>
                <c:pt idx="196">
                  <c:v>196.71</c:v>
                </c:pt>
                <c:pt idx="197">
                  <c:v>203.38</c:v>
                </c:pt>
                <c:pt idx="198">
                  <c:v>203.83</c:v>
                </c:pt>
                <c:pt idx="199">
                  <c:v>206.25</c:v>
                </c:pt>
                <c:pt idx="200">
                  <c:v>211.52</c:v>
                </c:pt>
                <c:pt idx="201">
                  <c:v>209.7</c:v>
                </c:pt>
                <c:pt idx="202">
                  <c:v>212.87</c:v>
                </c:pt>
                <c:pt idx="203">
                  <c:v>205.23</c:v>
                </c:pt>
                <c:pt idx="204">
                  <c:v>215.17</c:v>
                </c:pt>
                <c:pt idx="205">
                  <c:v>221.75</c:v>
                </c:pt>
                <c:pt idx="206">
                  <c:v>214.47</c:v>
                </c:pt>
                <c:pt idx="207">
                  <c:v>219.92</c:v>
                </c:pt>
                <c:pt idx="208">
                  <c:v>214.86</c:v>
                </c:pt>
                <c:pt idx="209">
                  <c:v>211.35</c:v>
                </c:pt>
                <c:pt idx="210">
                  <c:v>205.44</c:v>
                </c:pt>
                <c:pt idx="211">
                  <c:v>223.06</c:v>
                </c:pt>
                <c:pt idx="212">
                  <c:v>217.89</c:v>
                </c:pt>
                <c:pt idx="213">
                  <c:v>213.17</c:v>
                </c:pt>
                <c:pt idx="214">
                  <c:v>211.92</c:v>
                </c:pt>
                <c:pt idx="215">
                  <c:v>202.84</c:v>
                </c:pt>
                <c:pt idx="216">
                  <c:v>194.95</c:v>
                </c:pt>
                <c:pt idx="217">
                  <c:v>225.74</c:v>
                </c:pt>
                <c:pt idx="218">
                  <c:v>218.51</c:v>
                </c:pt>
                <c:pt idx="219">
                  <c:v>201.81</c:v>
                </c:pt>
                <c:pt idx="220">
                  <c:v>203.05</c:v>
                </c:pt>
                <c:pt idx="221">
                  <c:v>264.52999999999997</c:v>
                </c:pt>
                <c:pt idx="222">
                  <c:v>267.89999999999998</c:v>
                </c:pt>
                <c:pt idx="223">
                  <c:v>265.77</c:v>
                </c:pt>
                <c:pt idx="224">
                  <c:v>277.12</c:v>
                </c:pt>
                <c:pt idx="225">
                  <c:v>262.94</c:v>
                </c:pt>
                <c:pt idx="226">
                  <c:v>278.14999999999998</c:v>
                </c:pt>
                <c:pt idx="227">
                  <c:v>275.57</c:v>
                </c:pt>
                <c:pt idx="228">
                  <c:v>260.75</c:v>
                </c:pt>
                <c:pt idx="229">
                  <c:v>243.04</c:v>
                </c:pt>
                <c:pt idx="230">
                  <c:v>242.89</c:v>
                </c:pt>
                <c:pt idx="231">
                  <c:v>255.6</c:v>
                </c:pt>
                <c:pt idx="232">
                  <c:v>274.87</c:v>
                </c:pt>
                <c:pt idx="233">
                  <c:v>253.61</c:v>
                </c:pt>
                <c:pt idx="234">
                  <c:v>249.02</c:v>
                </c:pt>
                <c:pt idx="235">
                  <c:v>272.5</c:v>
                </c:pt>
                <c:pt idx="236">
                  <c:v>264.01</c:v>
                </c:pt>
                <c:pt idx="237">
                  <c:v>287.36</c:v>
                </c:pt>
                <c:pt idx="238">
                  <c:v>309.57</c:v>
                </c:pt>
                <c:pt idx="239">
                  <c:v>294.63</c:v>
                </c:pt>
                <c:pt idx="240">
                  <c:v>266.37</c:v>
                </c:pt>
                <c:pt idx="241">
                  <c:v>272.20999999999998</c:v>
                </c:pt>
                <c:pt idx="242">
                  <c:v>261.89999999999998</c:v>
                </c:pt>
                <c:pt idx="243">
                  <c:v>243.16</c:v>
                </c:pt>
                <c:pt idx="244">
                  <c:v>262.10000000000002</c:v>
                </c:pt>
                <c:pt idx="245">
                  <c:v>252.84</c:v>
                </c:pt>
                <c:pt idx="246">
                  <c:v>268.52999999999997</c:v>
                </c:pt>
                <c:pt idx="247">
                  <c:v>246.62</c:v>
                </c:pt>
                <c:pt idx="248">
                  <c:v>256.22000000000003</c:v>
                </c:pt>
                <c:pt idx="249">
                  <c:v>225.5</c:v>
                </c:pt>
                <c:pt idx="250">
                  <c:v>231.12</c:v>
                </c:pt>
                <c:pt idx="251">
                  <c:v>256.2</c:v>
                </c:pt>
                <c:pt idx="252">
                  <c:v>280.79000000000002</c:v>
                </c:pt>
                <c:pt idx="253">
                  <c:v>197.34</c:v>
                </c:pt>
                <c:pt idx="254">
                  <c:v>341.02</c:v>
                </c:pt>
                <c:pt idx="255">
                  <c:v>339.87</c:v>
                </c:pt>
                <c:pt idx="256">
                  <c:v>390.65</c:v>
                </c:pt>
                <c:pt idx="257">
                  <c:v>382.38</c:v>
                </c:pt>
                <c:pt idx="258">
                  <c:v>412.91</c:v>
                </c:pt>
                <c:pt idx="259">
                  <c:v>402.34</c:v>
                </c:pt>
                <c:pt idx="260">
                  <c:v>396.06</c:v>
                </c:pt>
                <c:pt idx="261">
                  <c:v>453.41</c:v>
                </c:pt>
                <c:pt idx="262">
                  <c:v>441.03</c:v>
                </c:pt>
                <c:pt idx="263">
                  <c:v>484</c:v>
                </c:pt>
                <c:pt idx="264">
                  <c:v>475.59</c:v>
                </c:pt>
                <c:pt idx="265">
                  <c:v>454.81</c:v>
                </c:pt>
                <c:pt idx="266">
                  <c:v>422.45</c:v>
                </c:pt>
                <c:pt idx="267">
                  <c:v>417.16</c:v>
                </c:pt>
                <c:pt idx="268">
                  <c:v>379.54</c:v>
                </c:pt>
                <c:pt idx="269">
                  <c:v>411.31</c:v>
                </c:pt>
                <c:pt idx="270">
                  <c:v>404.46</c:v>
                </c:pt>
                <c:pt idx="271">
                  <c:v>425.76</c:v>
                </c:pt>
                <c:pt idx="272">
                  <c:v>421.78</c:v>
                </c:pt>
                <c:pt idx="273">
                  <c:v>407.32</c:v>
                </c:pt>
                <c:pt idx="274">
                  <c:v>413.54</c:v>
                </c:pt>
                <c:pt idx="275">
                  <c:v>401.6</c:v>
                </c:pt>
                <c:pt idx="276">
                  <c:v>405.46</c:v>
                </c:pt>
                <c:pt idx="277">
                  <c:v>355.44</c:v>
                </c:pt>
                <c:pt idx="278">
                  <c:v>381.18</c:v>
                </c:pt>
                <c:pt idx="279">
                  <c:v>354.37</c:v>
                </c:pt>
                <c:pt idx="280">
                  <c:v>346.68</c:v>
                </c:pt>
                <c:pt idx="281">
                  <c:v>375.44</c:v>
                </c:pt>
                <c:pt idx="282">
                  <c:v>404.34</c:v>
                </c:pt>
                <c:pt idx="283">
                  <c:v>358.07</c:v>
                </c:pt>
                <c:pt idx="284">
                  <c:v>338.48</c:v>
                </c:pt>
                <c:pt idx="285">
                  <c:v>363.77</c:v>
                </c:pt>
                <c:pt idx="286">
                  <c:v>340.66</c:v>
                </c:pt>
                <c:pt idx="287">
                  <c:v>344.4</c:v>
                </c:pt>
                <c:pt idx="288">
                  <c:v>320.64999999999998</c:v>
                </c:pt>
                <c:pt idx="289">
                  <c:v>327.43</c:v>
                </c:pt>
                <c:pt idx="290">
                  <c:v>314.32</c:v>
                </c:pt>
                <c:pt idx="291">
                  <c:v>328.9</c:v>
                </c:pt>
                <c:pt idx="292">
                  <c:v>291.72000000000003</c:v>
                </c:pt>
                <c:pt idx="293">
                  <c:v>273.37</c:v>
                </c:pt>
                <c:pt idx="294">
                  <c:v>269.69</c:v>
                </c:pt>
                <c:pt idx="295">
                  <c:v>257.44</c:v>
                </c:pt>
                <c:pt idx="296">
                  <c:v>270.68</c:v>
                </c:pt>
                <c:pt idx="297">
                  <c:v>265.37</c:v>
                </c:pt>
                <c:pt idx="298">
                  <c:v>263.60000000000002</c:v>
                </c:pt>
                <c:pt idx="299">
                  <c:v>257.23</c:v>
                </c:pt>
                <c:pt idx="300">
                  <c:v>257.7</c:v>
                </c:pt>
                <c:pt idx="301">
                  <c:v>250.65</c:v>
                </c:pt>
                <c:pt idx="302">
                  <c:v>245.8</c:v>
                </c:pt>
                <c:pt idx="303">
                  <c:v>244.39</c:v>
                </c:pt>
                <c:pt idx="304">
                  <c:v>233.8</c:v>
                </c:pt>
                <c:pt idx="305">
                  <c:v>232.66</c:v>
                </c:pt>
                <c:pt idx="306">
                  <c:v>221.27</c:v>
                </c:pt>
                <c:pt idx="307">
                  <c:v>221.7</c:v>
                </c:pt>
                <c:pt idx="308">
                  <c:v>214.33</c:v>
                </c:pt>
                <c:pt idx="309">
                  <c:v>210.67</c:v>
                </c:pt>
                <c:pt idx="310">
                  <c:v>218.02</c:v>
                </c:pt>
                <c:pt idx="311">
                  <c:v>217.08</c:v>
                </c:pt>
                <c:pt idx="312">
                  <c:v>231.66</c:v>
                </c:pt>
                <c:pt idx="313">
                  <c:v>231.95</c:v>
                </c:pt>
                <c:pt idx="314">
                  <c:v>231.43</c:v>
                </c:pt>
                <c:pt idx="315">
                  <c:v>228.04</c:v>
                </c:pt>
                <c:pt idx="316">
                  <c:v>236.2</c:v>
                </c:pt>
                <c:pt idx="317">
                  <c:v>229.92</c:v>
                </c:pt>
                <c:pt idx="318">
                  <c:v>221.88</c:v>
                </c:pt>
                <c:pt idx="319">
                  <c:v>232.25</c:v>
                </c:pt>
                <c:pt idx="320">
                  <c:v>239.46</c:v>
                </c:pt>
                <c:pt idx="321">
                  <c:v>222.85</c:v>
                </c:pt>
                <c:pt idx="322">
                  <c:v>221.11</c:v>
                </c:pt>
                <c:pt idx="323">
                  <c:v>220.19</c:v>
                </c:pt>
                <c:pt idx="324">
                  <c:v>225.16</c:v>
                </c:pt>
                <c:pt idx="325">
                  <c:v>221.08</c:v>
                </c:pt>
                <c:pt idx="326">
                  <c:v>208.99</c:v>
                </c:pt>
                <c:pt idx="327">
                  <c:v>204.35</c:v>
                </c:pt>
                <c:pt idx="328">
                  <c:v>205.84</c:v>
                </c:pt>
                <c:pt idx="329">
                  <c:v>217.52</c:v>
                </c:pt>
                <c:pt idx="330">
                  <c:v>218.7</c:v>
                </c:pt>
                <c:pt idx="331">
                  <c:v>220.04</c:v>
                </c:pt>
                <c:pt idx="332">
                  <c:v>230.4</c:v>
                </c:pt>
                <c:pt idx="333">
                  <c:v>219.18</c:v>
                </c:pt>
                <c:pt idx="334">
                  <c:v>209.26</c:v>
                </c:pt>
                <c:pt idx="335">
                  <c:v>204.2</c:v>
                </c:pt>
                <c:pt idx="336">
                  <c:v>198.98</c:v>
                </c:pt>
                <c:pt idx="337">
                  <c:v>204.27</c:v>
                </c:pt>
                <c:pt idx="338">
                  <c:v>220.85</c:v>
                </c:pt>
                <c:pt idx="339">
                  <c:v>224.22</c:v>
                </c:pt>
                <c:pt idx="340">
                  <c:v>247.28</c:v>
                </c:pt>
                <c:pt idx="341">
                  <c:v>255.11</c:v>
                </c:pt>
                <c:pt idx="342">
                  <c:v>282.51</c:v>
                </c:pt>
                <c:pt idx="343">
                  <c:v>260.94</c:v>
                </c:pt>
                <c:pt idx="344">
                  <c:v>272.25</c:v>
                </c:pt>
                <c:pt idx="345">
                  <c:v>221.48</c:v>
                </c:pt>
                <c:pt idx="346">
                  <c:v>228.21</c:v>
                </c:pt>
                <c:pt idx="347">
                  <c:v>230.14</c:v>
                </c:pt>
                <c:pt idx="348">
                  <c:v>240.99</c:v>
                </c:pt>
                <c:pt idx="349">
                  <c:v>200.64</c:v>
                </c:pt>
                <c:pt idx="350">
                  <c:v>190.49</c:v>
                </c:pt>
                <c:pt idx="351">
                  <c:v>175.6</c:v>
                </c:pt>
                <c:pt idx="352">
                  <c:v>169.14</c:v>
                </c:pt>
                <c:pt idx="353">
                  <c:v>163.21</c:v>
                </c:pt>
                <c:pt idx="354">
                  <c:v>150.31</c:v>
                </c:pt>
                <c:pt idx="355">
                  <c:v>152.06</c:v>
                </c:pt>
                <c:pt idx="356">
                  <c:v>155.4</c:v>
                </c:pt>
                <c:pt idx="357">
                  <c:v>148.04</c:v>
                </c:pt>
                <c:pt idx="358">
                  <c:v>154.6</c:v>
                </c:pt>
                <c:pt idx="359">
                  <c:v>151.19</c:v>
                </c:pt>
                <c:pt idx="360">
                  <c:v>143.36000000000001</c:v>
                </c:pt>
                <c:pt idx="361">
                  <c:v>137.72999999999999</c:v>
                </c:pt>
                <c:pt idx="362">
                  <c:v>139.43</c:v>
                </c:pt>
                <c:pt idx="363">
                  <c:v>140.31</c:v>
                </c:pt>
                <c:pt idx="364">
                  <c:v>135.43</c:v>
                </c:pt>
                <c:pt idx="365">
                  <c:v>125.45</c:v>
                </c:pt>
                <c:pt idx="366">
                  <c:v>137.85</c:v>
                </c:pt>
                <c:pt idx="367">
                  <c:v>137.16</c:v>
                </c:pt>
                <c:pt idx="368">
                  <c:v>138.03</c:v>
                </c:pt>
                <c:pt idx="369">
                  <c:v>139.03</c:v>
                </c:pt>
                <c:pt idx="370">
                  <c:v>135.79</c:v>
                </c:pt>
                <c:pt idx="371">
                  <c:v>130.53</c:v>
                </c:pt>
                <c:pt idx="372">
                  <c:v>152.77000000000001</c:v>
                </c:pt>
                <c:pt idx="373">
                  <c:v>157.27000000000001</c:v>
                </c:pt>
                <c:pt idx="374">
                  <c:v>156.97999999999999</c:v>
                </c:pt>
                <c:pt idx="375">
                  <c:v>159.65</c:v>
                </c:pt>
                <c:pt idx="376">
                  <c:v>155.56</c:v>
                </c:pt>
                <c:pt idx="377">
                  <c:v>156.97999999999999</c:v>
                </c:pt>
                <c:pt idx="378">
                  <c:v>163.81</c:v>
                </c:pt>
                <c:pt idx="379">
                  <c:v>171.55</c:v>
                </c:pt>
                <c:pt idx="380">
                  <c:v>159.09</c:v>
                </c:pt>
                <c:pt idx="381">
                  <c:v>157.96</c:v>
                </c:pt>
                <c:pt idx="382">
                  <c:v>184.89</c:v>
                </c:pt>
                <c:pt idx="383">
                  <c:v>147.4</c:v>
                </c:pt>
                <c:pt idx="384">
                  <c:v>142.11000000000001</c:v>
                </c:pt>
                <c:pt idx="385">
                  <c:v>142.9</c:v>
                </c:pt>
                <c:pt idx="386">
                  <c:v>142.31</c:v>
                </c:pt>
                <c:pt idx="387">
                  <c:v>136</c:v>
                </c:pt>
                <c:pt idx="388">
                  <c:v>133.79</c:v>
                </c:pt>
                <c:pt idx="389">
                  <c:v>138.26</c:v>
                </c:pt>
                <c:pt idx="390">
                  <c:v>143.52000000000001</c:v>
                </c:pt>
                <c:pt idx="391">
                  <c:v>135.81</c:v>
                </c:pt>
                <c:pt idx="392">
                  <c:v>156.22</c:v>
                </c:pt>
                <c:pt idx="393">
                  <c:v>159.55000000000001</c:v>
                </c:pt>
                <c:pt idx="394">
                  <c:v>161.54</c:v>
                </c:pt>
                <c:pt idx="395">
                  <c:v>166.64</c:v>
                </c:pt>
                <c:pt idx="396">
                  <c:v>156.99</c:v>
                </c:pt>
                <c:pt idx="397">
                  <c:v>168.21</c:v>
                </c:pt>
                <c:pt idx="398">
                  <c:v>159.13999999999999</c:v>
                </c:pt>
                <c:pt idx="399">
                  <c:v>156.86000000000001</c:v>
                </c:pt>
                <c:pt idx="400">
                  <c:v>150.91999999999999</c:v>
                </c:pt>
                <c:pt idx="401">
                  <c:v>156.56</c:v>
                </c:pt>
                <c:pt idx="402">
                  <c:v>145.66</c:v>
                </c:pt>
                <c:pt idx="403">
                  <c:v>152.41999999999999</c:v>
                </c:pt>
                <c:pt idx="404">
                  <c:v>154.6</c:v>
                </c:pt>
                <c:pt idx="405">
                  <c:v>154.44</c:v>
                </c:pt>
                <c:pt idx="406">
                  <c:v>160.41999999999999</c:v>
                </c:pt>
                <c:pt idx="407">
                  <c:v>158.93</c:v>
                </c:pt>
                <c:pt idx="408">
                  <c:v>150.5</c:v>
                </c:pt>
                <c:pt idx="409">
                  <c:v>152.52000000000001</c:v>
                </c:pt>
                <c:pt idx="410">
                  <c:v>152.12</c:v>
                </c:pt>
                <c:pt idx="411">
                  <c:v>146.82</c:v>
                </c:pt>
                <c:pt idx="412">
                  <c:v>141.43</c:v>
                </c:pt>
                <c:pt idx="413">
                  <c:v>133.6</c:v>
                </c:pt>
                <c:pt idx="414">
                  <c:v>132.46</c:v>
                </c:pt>
                <c:pt idx="415">
                  <c:v>135.87</c:v>
                </c:pt>
                <c:pt idx="416">
                  <c:v>138.61000000000001</c:v>
                </c:pt>
                <c:pt idx="417">
                  <c:v>134.33000000000001</c:v>
                </c:pt>
                <c:pt idx="418">
                  <c:v>133.49</c:v>
                </c:pt>
                <c:pt idx="419">
                  <c:v>126.57</c:v>
                </c:pt>
                <c:pt idx="420">
                  <c:v>133.54</c:v>
                </c:pt>
                <c:pt idx="421">
                  <c:v>127.92</c:v>
                </c:pt>
                <c:pt idx="422">
                  <c:v>125.79</c:v>
                </c:pt>
                <c:pt idx="423">
                  <c:v>130.65</c:v>
                </c:pt>
                <c:pt idx="424">
                  <c:v>123.94</c:v>
                </c:pt>
                <c:pt idx="425">
                  <c:v>122.03</c:v>
                </c:pt>
                <c:pt idx="426">
                  <c:v>117.32</c:v>
                </c:pt>
                <c:pt idx="427">
                  <c:v>119.98</c:v>
                </c:pt>
                <c:pt idx="428">
                  <c:v>128.80000000000001</c:v>
                </c:pt>
                <c:pt idx="429">
                  <c:v>135.15</c:v>
                </c:pt>
                <c:pt idx="430">
                  <c:v>129.88</c:v>
                </c:pt>
                <c:pt idx="431">
                  <c:v>123.65</c:v>
                </c:pt>
                <c:pt idx="432">
                  <c:v>128.46</c:v>
                </c:pt>
                <c:pt idx="433">
                  <c:v>121.04</c:v>
                </c:pt>
                <c:pt idx="434">
                  <c:v>118.49</c:v>
                </c:pt>
                <c:pt idx="435">
                  <c:v>123.51</c:v>
                </c:pt>
                <c:pt idx="436">
                  <c:v>125.55</c:v>
                </c:pt>
                <c:pt idx="437">
                  <c:v>118.52</c:v>
                </c:pt>
                <c:pt idx="438">
                  <c:v>114.6</c:v>
                </c:pt>
                <c:pt idx="439">
                  <c:v>116.89</c:v>
                </c:pt>
                <c:pt idx="440">
                  <c:v>114.09</c:v>
                </c:pt>
                <c:pt idx="441">
                  <c:v>112.16</c:v>
                </c:pt>
                <c:pt idx="442">
                  <c:v>113.13</c:v>
                </c:pt>
                <c:pt idx="443">
                  <c:v>115.54</c:v>
                </c:pt>
                <c:pt idx="444">
                  <c:v>115.89</c:v>
                </c:pt>
                <c:pt idx="445">
                  <c:v>120.33</c:v>
                </c:pt>
                <c:pt idx="446">
                  <c:v>110.96</c:v>
                </c:pt>
                <c:pt idx="447">
                  <c:v>119.37</c:v>
                </c:pt>
                <c:pt idx="448">
                  <c:v>119.56</c:v>
                </c:pt>
                <c:pt idx="449">
                  <c:v>115.67</c:v>
                </c:pt>
                <c:pt idx="450">
                  <c:v>121.13</c:v>
                </c:pt>
                <c:pt idx="451">
                  <c:v>118.82</c:v>
                </c:pt>
                <c:pt idx="452">
                  <c:v>127.08</c:v>
                </c:pt>
                <c:pt idx="453">
                  <c:v>126.52</c:v>
                </c:pt>
                <c:pt idx="454">
                  <c:v>122.98</c:v>
                </c:pt>
                <c:pt idx="455">
                  <c:v>124.38</c:v>
                </c:pt>
                <c:pt idx="456">
                  <c:v>126.32</c:v>
                </c:pt>
                <c:pt idx="457">
                  <c:v>133.83000000000001</c:v>
                </c:pt>
                <c:pt idx="458">
                  <c:v>131.41999999999999</c:v>
                </c:pt>
                <c:pt idx="459">
                  <c:v>131.08000000000001</c:v>
                </c:pt>
                <c:pt idx="460">
                  <c:v>129.31</c:v>
                </c:pt>
                <c:pt idx="461">
                  <c:v>127.47</c:v>
                </c:pt>
                <c:pt idx="462">
                  <c:v>127.6</c:v>
                </c:pt>
                <c:pt idx="463">
                  <c:v>121.24</c:v>
                </c:pt>
                <c:pt idx="464">
                  <c:v>118.25</c:v>
                </c:pt>
                <c:pt idx="465">
                  <c:v>125.77</c:v>
                </c:pt>
                <c:pt idx="466">
                  <c:v>124.44</c:v>
                </c:pt>
                <c:pt idx="467">
                  <c:v>120.1</c:v>
                </c:pt>
                <c:pt idx="468">
                  <c:v>120.62</c:v>
                </c:pt>
                <c:pt idx="469">
                  <c:v>130.22</c:v>
                </c:pt>
                <c:pt idx="470">
                  <c:v>128.41</c:v>
                </c:pt>
                <c:pt idx="471">
                  <c:v>127.97</c:v>
                </c:pt>
                <c:pt idx="472">
                  <c:v>129</c:v>
                </c:pt>
                <c:pt idx="473">
                  <c:v>125.81</c:v>
                </c:pt>
                <c:pt idx="474">
                  <c:v>115.88</c:v>
                </c:pt>
                <c:pt idx="475">
                  <c:v>115.92</c:v>
                </c:pt>
                <c:pt idx="476">
                  <c:v>111.36</c:v>
                </c:pt>
                <c:pt idx="477">
                  <c:v>110.29</c:v>
                </c:pt>
                <c:pt idx="478">
                  <c:v>106.43</c:v>
                </c:pt>
                <c:pt idx="479">
                  <c:v>112.73</c:v>
                </c:pt>
                <c:pt idx="480">
                  <c:v>105.46</c:v>
                </c:pt>
                <c:pt idx="481">
                  <c:v>103.58</c:v>
                </c:pt>
                <c:pt idx="482">
                  <c:v>101.61</c:v>
                </c:pt>
                <c:pt idx="483">
                  <c:v>103.74</c:v>
                </c:pt>
                <c:pt idx="484">
                  <c:v>108.6</c:v>
                </c:pt>
                <c:pt idx="485">
                  <c:v>100.51</c:v>
                </c:pt>
                <c:pt idx="486">
                  <c:v>95.12</c:v>
                </c:pt>
                <c:pt idx="487">
                  <c:v>97.09</c:v>
                </c:pt>
                <c:pt idx="488">
                  <c:v>94.63</c:v>
                </c:pt>
                <c:pt idx="489">
                  <c:v>92.93</c:v>
                </c:pt>
                <c:pt idx="490">
                  <c:v>91.84</c:v>
                </c:pt>
                <c:pt idx="491">
                  <c:v>87.17</c:v>
                </c:pt>
                <c:pt idx="492">
                  <c:v>92.56</c:v>
                </c:pt>
                <c:pt idx="493">
                  <c:v>89.13</c:v>
                </c:pt>
                <c:pt idx="494">
                  <c:v>92.63</c:v>
                </c:pt>
                <c:pt idx="495">
                  <c:v>94.61</c:v>
                </c:pt>
                <c:pt idx="496">
                  <c:v>92.47</c:v>
                </c:pt>
                <c:pt idx="497">
                  <c:v>92.82</c:v>
                </c:pt>
                <c:pt idx="498">
                  <c:v>88.27</c:v>
                </c:pt>
                <c:pt idx="499">
                  <c:v>91.16</c:v>
                </c:pt>
                <c:pt idx="500">
                  <c:v>91.68</c:v>
                </c:pt>
                <c:pt idx="501">
                  <c:v>86.18</c:v>
                </c:pt>
                <c:pt idx="502">
                  <c:v>86.7</c:v>
                </c:pt>
                <c:pt idx="503">
                  <c:v>83.95</c:v>
                </c:pt>
                <c:pt idx="504">
                  <c:v>85.61</c:v>
                </c:pt>
                <c:pt idx="505">
                  <c:v>84.26</c:v>
                </c:pt>
                <c:pt idx="506">
                  <c:v>84.19</c:v>
                </c:pt>
                <c:pt idx="507">
                  <c:v>82.56</c:v>
                </c:pt>
                <c:pt idx="508">
                  <c:v>80.150000000000006</c:v>
                </c:pt>
                <c:pt idx="509">
                  <c:v>77.709999999999994</c:v>
                </c:pt>
                <c:pt idx="510">
                  <c:v>82.08</c:v>
                </c:pt>
                <c:pt idx="511">
                  <c:v>77.099999999999994</c:v>
                </c:pt>
                <c:pt idx="512">
                  <c:v>91.07</c:v>
                </c:pt>
                <c:pt idx="513">
                  <c:v>96.99</c:v>
                </c:pt>
                <c:pt idx="514">
                  <c:v>93.1</c:v>
                </c:pt>
                <c:pt idx="515">
                  <c:v>96.25</c:v>
                </c:pt>
                <c:pt idx="516">
                  <c:v>92.65</c:v>
                </c:pt>
                <c:pt idx="517">
                  <c:v>94.43</c:v>
                </c:pt>
                <c:pt idx="518">
                  <c:v>89.66</c:v>
                </c:pt>
                <c:pt idx="519">
                  <c:v>88.93</c:v>
                </c:pt>
                <c:pt idx="520">
                  <c:v>88.63</c:v>
                </c:pt>
                <c:pt idx="521">
                  <c:v>93.64</c:v>
                </c:pt>
                <c:pt idx="522">
                  <c:v>91.26</c:v>
                </c:pt>
                <c:pt idx="523">
                  <c:v>94.5</c:v>
                </c:pt>
                <c:pt idx="524">
                  <c:v>92.21</c:v>
                </c:pt>
                <c:pt idx="525">
                  <c:v>101.56</c:v>
                </c:pt>
                <c:pt idx="526">
                  <c:v>91.31</c:v>
                </c:pt>
                <c:pt idx="527">
                  <c:v>93.43</c:v>
                </c:pt>
                <c:pt idx="528">
                  <c:v>93.49</c:v>
                </c:pt>
                <c:pt idx="529">
                  <c:v>91.2</c:v>
                </c:pt>
                <c:pt idx="530">
                  <c:v>89.76</c:v>
                </c:pt>
                <c:pt idx="531">
                  <c:v>91.42</c:v>
                </c:pt>
                <c:pt idx="532">
                  <c:v>92.03</c:v>
                </c:pt>
                <c:pt idx="533">
                  <c:v>89.54</c:v>
                </c:pt>
                <c:pt idx="534">
                  <c:v>87.25</c:v>
                </c:pt>
                <c:pt idx="535">
                  <c:v>93.76</c:v>
                </c:pt>
                <c:pt idx="536">
                  <c:v>92.9</c:v>
                </c:pt>
                <c:pt idx="537">
                  <c:v>94.87</c:v>
                </c:pt>
                <c:pt idx="538">
                  <c:v>94.01</c:v>
                </c:pt>
                <c:pt idx="539">
                  <c:v>95.49</c:v>
                </c:pt>
                <c:pt idx="540">
                  <c:v>90.39</c:v>
                </c:pt>
                <c:pt idx="541">
                  <c:v>87.24</c:v>
                </c:pt>
                <c:pt idx="542">
                  <c:v>89.06</c:v>
                </c:pt>
                <c:pt idx="543">
                  <c:v>85</c:v>
                </c:pt>
                <c:pt idx="544">
                  <c:v>89.64</c:v>
                </c:pt>
                <c:pt idx="545">
                  <c:v>84.55</c:v>
                </c:pt>
                <c:pt idx="546">
                  <c:v>80.92</c:v>
                </c:pt>
                <c:pt idx="547">
                  <c:v>79.11</c:v>
                </c:pt>
                <c:pt idx="548">
                  <c:v>81.2</c:v>
                </c:pt>
                <c:pt idx="549">
                  <c:v>78.430000000000007</c:v>
                </c:pt>
                <c:pt idx="550">
                  <c:v>78.16</c:v>
                </c:pt>
                <c:pt idx="551">
                  <c:v>73.61</c:v>
                </c:pt>
                <c:pt idx="552">
                  <c:v>71.540000000000006</c:v>
                </c:pt>
                <c:pt idx="553">
                  <c:v>73.02</c:v>
                </c:pt>
                <c:pt idx="554">
                  <c:v>71.48</c:v>
                </c:pt>
                <c:pt idx="555">
                  <c:v>69.63</c:v>
                </c:pt>
                <c:pt idx="556">
                  <c:v>69.31</c:v>
                </c:pt>
                <c:pt idx="557">
                  <c:v>68.91</c:v>
                </c:pt>
                <c:pt idx="558">
                  <c:v>68.39</c:v>
                </c:pt>
                <c:pt idx="559">
                  <c:v>67.64</c:v>
                </c:pt>
                <c:pt idx="560">
                  <c:v>67.7</c:v>
                </c:pt>
                <c:pt idx="561">
                  <c:v>70.63</c:v>
                </c:pt>
                <c:pt idx="562">
                  <c:v>67.81</c:v>
                </c:pt>
                <c:pt idx="563">
                  <c:v>69.260000000000005</c:v>
                </c:pt>
                <c:pt idx="564">
                  <c:v>69.22</c:v>
                </c:pt>
                <c:pt idx="565">
                  <c:v>68.739999999999995</c:v>
                </c:pt>
                <c:pt idx="566">
                  <c:v>67.25</c:v>
                </c:pt>
                <c:pt idx="567">
                  <c:v>67.28</c:v>
                </c:pt>
                <c:pt idx="568">
                  <c:v>66.27</c:v>
                </c:pt>
                <c:pt idx="569">
                  <c:v>64.59</c:v>
                </c:pt>
                <c:pt idx="570">
                  <c:v>64.95</c:v>
                </c:pt>
                <c:pt idx="571">
                  <c:v>63.33</c:v>
                </c:pt>
                <c:pt idx="572">
                  <c:v>64.22</c:v>
                </c:pt>
                <c:pt idx="573">
                  <c:v>62.66</c:v>
                </c:pt>
                <c:pt idx="574">
                  <c:v>65.2</c:v>
                </c:pt>
                <c:pt idx="575">
                  <c:v>64.52</c:v>
                </c:pt>
                <c:pt idx="576">
                  <c:v>63.48</c:v>
                </c:pt>
                <c:pt idx="577">
                  <c:v>64.19</c:v>
                </c:pt>
                <c:pt idx="578">
                  <c:v>63.29</c:v>
                </c:pt>
                <c:pt idx="579">
                  <c:v>62.08</c:v>
                </c:pt>
                <c:pt idx="580">
                  <c:v>64</c:v>
                </c:pt>
                <c:pt idx="581">
                  <c:v>64.3</c:v>
                </c:pt>
                <c:pt idx="582">
                  <c:v>64.83</c:v>
                </c:pt>
                <c:pt idx="583">
                  <c:v>66.87</c:v>
                </c:pt>
                <c:pt idx="584">
                  <c:v>66.16</c:v>
                </c:pt>
                <c:pt idx="585">
                  <c:v>64.48</c:v>
                </c:pt>
                <c:pt idx="586">
                  <c:v>64.06</c:v>
                </c:pt>
                <c:pt idx="587">
                  <c:v>64.09</c:v>
                </c:pt>
                <c:pt idx="588">
                  <c:v>64.930000000000007</c:v>
                </c:pt>
                <c:pt idx="589">
                  <c:v>65.09</c:v>
                </c:pt>
                <c:pt idx="590">
                  <c:v>66</c:v>
                </c:pt>
                <c:pt idx="591">
                  <c:v>64.53</c:v>
                </c:pt>
                <c:pt idx="592">
                  <c:v>65.39</c:v>
                </c:pt>
                <c:pt idx="593">
                  <c:v>66.58</c:v>
                </c:pt>
                <c:pt idx="594">
                  <c:v>65.69</c:v>
                </c:pt>
                <c:pt idx="595">
                  <c:v>63.71</c:v>
                </c:pt>
                <c:pt idx="596">
                  <c:v>69.67</c:v>
                </c:pt>
                <c:pt idx="597">
                  <c:v>67.989999999999995</c:v>
                </c:pt>
                <c:pt idx="598">
                  <c:v>68.28</c:v>
                </c:pt>
                <c:pt idx="599">
                  <c:v>66.39</c:v>
                </c:pt>
                <c:pt idx="600">
                  <c:v>67.7</c:v>
                </c:pt>
                <c:pt idx="601">
                  <c:v>67.45</c:v>
                </c:pt>
                <c:pt idx="602">
                  <c:v>68.14</c:v>
                </c:pt>
                <c:pt idx="603">
                  <c:v>67.16</c:v>
                </c:pt>
                <c:pt idx="604">
                  <c:v>66.66</c:v>
                </c:pt>
                <c:pt idx="605">
                  <c:v>67.72</c:v>
                </c:pt>
                <c:pt idx="606">
                  <c:v>64.94</c:v>
                </c:pt>
                <c:pt idx="607">
                  <c:v>68.36</c:v>
                </c:pt>
                <c:pt idx="608">
                  <c:v>66.05</c:v>
                </c:pt>
                <c:pt idx="609">
                  <c:v>67.150000000000006</c:v>
                </c:pt>
                <c:pt idx="610">
                  <c:v>64.47</c:v>
                </c:pt>
                <c:pt idx="611">
                  <c:v>61.91</c:v>
                </c:pt>
                <c:pt idx="612">
                  <c:v>61.54</c:v>
                </c:pt>
                <c:pt idx="613">
                  <c:v>60.64</c:v>
                </c:pt>
                <c:pt idx="614">
                  <c:v>63.46</c:v>
                </c:pt>
                <c:pt idx="615">
                  <c:v>62.89</c:v>
                </c:pt>
                <c:pt idx="616">
                  <c:v>61.65</c:v>
                </c:pt>
                <c:pt idx="617">
                  <c:v>64.66</c:v>
                </c:pt>
                <c:pt idx="618">
                  <c:v>66.7</c:v>
                </c:pt>
                <c:pt idx="619">
                  <c:v>66.959999999999994</c:v>
                </c:pt>
                <c:pt idx="620">
                  <c:v>65.22</c:v>
                </c:pt>
                <c:pt idx="621">
                  <c:v>65.42</c:v>
                </c:pt>
                <c:pt idx="622">
                  <c:v>62.77</c:v>
                </c:pt>
                <c:pt idx="623">
                  <c:v>65.28</c:v>
                </c:pt>
                <c:pt idx="624">
                  <c:v>65</c:v>
                </c:pt>
                <c:pt idx="625">
                  <c:v>61.5</c:v>
                </c:pt>
                <c:pt idx="626">
                  <c:v>59.36</c:v>
                </c:pt>
                <c:pt idx="627">
                  <c:v>58.85</c:v>
                </c:pt>
                <c:pt idx="628">
                  <c:v>63.05</c:v>
                </c:pt>
                <c:pt idx="629">
                  <c:v>63.39</c:v>
                </c:pt>
                <c:pt idx="630">
                  <c:v>64.599999999999994</c:v>
                </c:pt>
                <c:pt idx="631">
                  <c:v>57.85</c:v>
                </c:pt>
                <c:pt idx="632">
                  <c:v>60.31</c:v>
                </c:pt>
                <c:pt idx="633">
                  <c:v>61.06</c:v>
                </c:pt>
                <c:pt idx="634">
                  <c:v>62.37</c:v>
                </c:pt>
                <c:pt idx="635">
                  <c:v>64.540000000000006</c:v>
                </c:pt>
                <c:pt idx="636">
                  <c:v>63.45</c:v>
                </c:pt>
                <c:pt idx="637">
                  <c:v>62.28</c:v>
                </c:pt>
                <c:pt idx="638">
                  <c:v>66.319999999999993</c:v>
                </c:pt>
                <c:pt idx="639">
                  <c:v>62.07</c:v>
                </c:pt>
                <c:pt idx="640">
                  <c:v>62.36</c:v>
                </c:pt>
                <c:pt idx="641">
                  <c:v>61.33</c:v>
                </c:pt>
                <c:pt idx="642">
                  <c:v>60.55</c:v>
                </c:pt>
                <c:pt idx="643">
                  <c:v>60.68</c:v>
                </c:pt>
                <c:pt idx="644">
                  <c:v>59.27</c:v>
                </c:pt>
                <c:pt idx="645">
                  <c:v>56.95</c:v>
                </c:pt>
                <c:pt idx="646">
                  <c:v>55.14</c:v>
                </c:pt>
                <c:pt idx="647">
                  <c:v>54.69</c:v>
                </c:pt>
                <c:pt idx="648">
                  <c:v>57.05</c:v>
                </c:pt>
                <c:pt idx="649">
                  <c:v>58.04</c:v>
                </c:pt>
                <c:pt idx="650">
                  <c:v>56.21</c:v>
                </c:pt>
                <c:pt idx="651">
                  <c:v>56.9</c:v>
                </c:pt>
                <c:pt idx="652">
                  <c:v>53.12</c:v>
                </c:pt>
                <c:pt idx="653">
                  <c:v>54.09</c:v>
                </c:pt>
                <c:pt idx="654">
                  <c:v>52.98</c:v>
                </c:pt>
                <c:pt idx="655">
                  <c:v>53.68</c:v>
                </c:pt>
                <c:pt idx="656">
                  <c:v>53.86</c:v>
                </c:pt>
                <c:pt idx="657">
                  <c:v>53.7</c:v>
                </c:pt>
                <c:pt idx="658">
                  <c:v>58.4</c:v>
                </c:pt>
                <c:pt idx="659">
                  <c:v>57.88</c:v>
                </c:pt>
                <c:pt idx="660">
                  <c:v>55.94</c:v>
                </c:pt>
                <c:pt idx="661">
                  <c:v>58.93</c:v>
                </c:pt>
                <c:pt idx="662">
                  <c:v>53.15</c:v>
                </c:pt>
                <c:pt idx="663">
                  <c:v>54.11</c:v>
                </c:pt>
                <c:pt idx="664">
                  <c:v>52.96</c:v>
                </c:pt>
                <c:pt idx="665">
                  <c:v>50.75</c:v>
                </c:pt>
                <c:pt idx="666">
                  <c:v>48.47</c:v>
                </c:pt>
                <c:pt idx="667">
                  <c:v>47.6</c:v>
                </c:pt>
                <c:pt idx="668">
                  <c:v>46.41</c:v>
                </c:pt>
                <c:pt idx="669">
                  <c:v>44.04</c:v>
                </c:pt>
                <c:pt idx="670">
                  <c:v>47.11</c:v>
                </c:pt>
                <c:pt idx="671">
                  <c:v>47.7</c:v>
                </c:pt>
                <c:pt idx="672">
                  <c:v>50.28</c:v>
                </c:pt>
                <c:pt idx="673">
                  <c:v>47.15</c:v>
                </c:pt>
                <c:pt idx="674">
                  <c:v>47.26</c:v>
                </c:pt>
                <c:pt idx="675">
                  <c:v>44.45</c:v>
                </c:pt>
                <c:pt idx="676">
                  <c:v>38.21</c:v>
                </c:pt>
                <c:pt idx="677">
                  <c:v>41.23</c:v>
                </c:pt>
                <c:pt idx="678">
                  <c:v>40.33</c:v>
                </c:pt>
                <c:pt idx="679">
                  <c:v>40.869999999999997</c:v>
                </c:pt>
                <c:pt idx="680">
                  <c:v>37.119999999999997</c:v>
                </c:pt>
                <c:pt idx="681">
                  <c:v>36.26</c:v>
                </c:pt>
                <c:pt idx="682">
                  <c:v>34</c:v>
                </c:pt>
                <c:pt idx="683">
                  <c:v>38.01</c:v>
                </c:pt>
                <c:pt idx="684">
                  <c:v>36.21</c:v>
                </c:pt>
                <c:pt idx="685">
                  <c:v>36.92</c:v>
                </c:pt>
                <c:pt idx="686">
                  <c:v>31.81</c:v>
                </c:pt>
                <c:pt idx="687">
                  <c:v>54.2</c:v>
                </c:pt>
                <c:pt idx="688">
                  <c:v>54.82</c:v>
                </c:pt>
                <c:pt idx="689">
                  <c:v>55.77</c:v>
                </c:pt>
                <c:pt idx="690">
                  <c:v>56.44</c:v>
                </c:pt>
                <c:pt idx="691">
                  <c:v>65.709999999999994</c:v>
                </c:pt>
                <c:pt idx="692">
                  <c:v>69.13</c:v>
                </c:pt>
                <c:pt idx="693">
                  <c:v>68.459999999999994</c:v>
                </c:pt>
                <c:pt idx="694">
                  <c:v>65.680000000000007</c:v>
                </c:pt>
                <c:pt idx="695">
                  <c:v>65.89</c:v>
                </c:pt>
                <c:pt idx="696">
                  <c:v>68.78</c:v>
                </c:pt>
                <c:pt idx="697">
                  <c:v>64.53</c:v>
                </c:pt>
                <c:pt idx="698">
                  <c:v>65.92</c:v>
                </c:pt>
                <c:pt idx="699">
                  <c:v>68.41</c:v>
                </c:pt>
                <c:pt idx="700">
                  <c:v>70.260000000000005</c:v>
                </c:pt>
                <c:pt idx="701">
                  <c:v>70.61</c:v>
                </c:pt>
                <c:pt idx="702">
                  <c:v>76.489999999999995</c:v>
                </c:pt>
                <c:pt idx="703">
                  <c:v>79.2</c:v>
                </c:pt>
                <c:pt idx="704">
                  <c:v>85.05</c:v>
                </c:pt>
                <c:pt idx="705">
                  <c:v>78.900000000000006</c:v>
                </c:pt>
                <c:pt idx="706">
                  <c:v>80.290000000000006</c:v>
                </c:pt>
                <c:pt idx="707">
                  <c:v>76.39</c:v>
                </c:pt>
                <c:pt idx="708">
                  <c:v>77.69</c:v>
                </c:pt>
                <c:pt idx="709">
                  <c:v>86.34</c:v>
                </c:pt>
                <c:pt idx="710">
                  <c:v>82.59</c:v>
                </c:pt>
                <c:pt idx="711">
                  <c:v>87.8</c:v>
                </c:pt>
                <c:pt idx="712">
                  <c:v>89.1</c:v>
                </c:pt>
                <c:pt idx="713">
                  <c:v>95.16</c:v>
                </c:pt>
                <c:pt idx="714">
                  <c:v>92.25</c:v>
                </c:pt>
                <c:pt idx="715">
                  <c:v>94.29</c:v>
                </c:pt>
                <c:pt idx="716">
                  <c:v>89.36</c:v>
                </c:pt>
                <c:pt idx="717">
                  <c:v>84.53</c:v>
                </c:pt>
                <c:pt idx="718">
                  <c:v>87.59</c:v>
                </c:pt>
                <c:pt idx="719">
                  <c:v>80.64</c:v>
                </c:pt>
                <c:pt idx="720">
                  <c:v>79.48</c:v>
                </c:pt>
                <c:pt idx="721">
                  <c:v>78.3</c:v>
                </c:pt>
                <c:pt idx="722">
                  <c:v>77.84</c:v>
                </c:pt>
                <c:pt idx="723">
                  <c:v>75.17</c:v>
                </c:pt>
                <c:pt idx="724">
                  <c:v>76.739999999999995</c:v>
                </c:pt>
                <c:pt idx="725">
                  <c:v>74.89</c:v>
                </c:pt>
                <c:pt idx="726">
                  <c:v>73.22</c:v>
                </c:pt>
                <c:pt idx="727">
                  <c:v>72.16</c:v>
                </c:pt>
                <c:pt idx="728">
                  <c:v>74.83</c:v>
                </c:pt>
                <c:pt idx="729">
                  <c:v>70.02</c:v>
                </c:pt>
                <c:pt idx="730">
                  <c:v>67.709999999999994</c:v>
                </c:pt>
                <c:pt idx="731">
                  <c:v>65.44</c:v>
                </c:pt>
                <c:pt idx="732">
                  <c:v>63.97</c:v>
                </c:pt>
                <c:pt idx="733">
                  <c:v>61.35</c:v>
                </c:pt>
                <c:pt idx="734">
                  <c:v>61.67</c:v>
                </c:pt>
                <c:pt idx="735">
                  <c:v>62.55</c:v>
                </c:pt>
                <c:pt idx="736">
                  <c:v>65</c:v>
                </c:pt>
                <c:pt idx="737">
                  <c:v>65.87</c:v>
                </c:pt>
                <c:pt idx="738">
                  <c:v>64.959999999999994</c:v>
                </c:pt>
                <c:pt idx="739">
                  <c:v>65.17</c:v>
                </c:pt>
                <c:pt idx="740">
                  <c:v>67</c:v>
                </c:pt>
                <c:pt idx="741">
                  <c:v>68.95</c:v>
                </c:pt>
                <c:pt idx="742">
                  <c:v>65.63</c:v>
                </c:pt>
                <c:pt idx="743">
                  <c:v>68.47</c:v>
                </c:pt>
                <c:pt idx="744">
                  <c:v>62.55</c:v>
                </c:pt>
                <c:pt idx="745">
                  <c:v>57.72</c:v>
                </c:pt>
                <c:pt idx="746">
                  <c:v>59.19</c:v>
                </c:pt>
                <c:pt idx="747">
                  <c:v>58.25</c:v>
                </c:pt>
                <c:pt idx="748">
                  <c:v>58.42</c:v>
                </c:pt>
                <c:pt idx="749">
                  <c:v>58.68</c:v>
                </c:pt>
                <c:pt idx="750">
                  <c:v>59.44</c:v>
                </c:pt>
                <c:pt idx="751">
                  <c:v>58.36</c:v>
                </c:pt>
                <c:pt idx="752">
                  <c:v>58.91</c:v>
                </c:pt>
                <c:pt idx="753">
                  <c:v>53.69</c:v>
                </c:pt>
                <c:pt idx="754">
                  <c:v>50.37</c:v>
                </c:pt>
                <c:pt idx="755">
                  <c:v>50.93</c:v>
                </c:pt>
                <c:pt idx="756">
                  <c:v>45.5</c:v>
                </c:pt>
                <c:pt idx="757">
                  <c:v>45.82</c:v>
                </c:pt>
                <c:pt idx="758">
                  <c:v>44.69</c:v>
                </c:pt>
                <c:pt idx="759">
                  <c:v>46.17</c:v>
                </c:pt>
                <c:pt idx="760">
                  <c:v>46.5</c:v>
                </c:pt>
                <c:pt idx="761">
                  <c:v>45.43</c:v>
                </c:pt>
                <c:pt idx="762">
                  <c:v>45.11</c:v>
                </c:pt>
                <c:pt idx="763">
                  <c:v>45.31</c:v>
                </c:pt>
                <c:pt idx="764">
                  <c:v>45.99</c:v>
                </c:pt>
                <c:pt idx="765">
                  <c:v>45.82</c:v>
                </c:pt>
                <c:pt idx="766">
                  <c:v>47.18</c:v>
                </c:pt>
                <c:pt idx="767">
                  <c:v>47.34</c:v>
                </c:pt>
                <c:pt idx="768">
                  <c:v>44.97</c:v>
                </c:pt>
                <c:pt idx="769">
                  <c:v>46.64</c:v>
                </c:pt>
                <c:pt idx="770">
                  <c:v>47.45</c:v>
                </c:pt>
                <c:pt idx="771">
                  <c:v>47.76</c:v>
                </c:pt>
                <c:pt idx="772">
                  <c:v>45.04</c:v>
                </c:pt>
                <c:pt idx="773">
                  <c:v>49.11</c:v>
                </c:pt>
                <c:pt idx="774">
                  <c:v>50.8</c:v>
                </c:pt>
                <c:pt idx="775">
                  <c:v>51.31</c:v>
                </c:pt>
                <c:pt idx="776">
                  <c:v>52.49</c:v>
                </c:pt>
                <c:pt idx="777">
                  <c:v>52.93</c:v>
                </c:pt>
                <c:pt idx="778">
                  <c:v>52.95</c:v>
                </c:pt>
                <c:pt idx="779">
                  <c:v>52.7</c:v>
                </c:pt>
                <c:pt idx="780">
                  <c:v>54.41</c:v>
                </c:pt>
                <c:pt idx="781">
                  <c:v>53.68</c:v>
                </c:pt>
                <c:pt idx="782">
                  <c:v>54.38</c:v>
                </c:pt>
                <c:pt idx="783">
                  <c:v>54.03</c:v>
                </c:pt>
                <c:pt idx="784">
                  <c:v>53.78</c:v>
                </c:pt>
                <c:pt idx="785">
                  <c:v>52.61</c:v>
                </c:pt>
                <c:pt idx="786">
                  <c:v>53.35</c:v>
                </c:pt>
                <c:pt idx="787">
                  <c:v>53.88</c:v>
                </c:pt>
                <c:pt idx="788">
                  <c:v>53.38</c:v>
                </c:pt>
                <c:pt idx="789">
                  <c:v>54.86</c:v>
                </c:pt>
                <c:pt idx="790">
                  <c:v>55.77</c:v>
                </c:pt>
                <c:pt idx="791">
                  <c:v>53.81</c:v>
                </c:pt>
                <c:pt idx="792">
                  <c:v>55.79</c:v>
                </c:pt>
                <c:pt idx="793">
                  <c:v>51.18</c:v>
                </c:pt>
                <c:pt idx="794">
                  <c:v>49.87</c:v>
                </c:pt>
                <c:pt idx="795">
                  <c:v>47.44</c:v>
                </c:pt>
                <c:pt idx="796">
                  <c:v>51.58</c:v>
                </c:pt>
                <c:pt idx="797">
                  <c:v>50.99</c:v>
                </c:pt>
                <c:pt idx="798">
                  <c:v>54.11</c:v>
                </c:pt>
                <c:pt idx="799">
                  <c:v>57.9</c:v>
                </c:pt>
                <c:pt idx="800">
                  <c:v>58.53</c:v>
                </c:pt>
                <c:pt idx="801">
                  <c:v>58.41</c:v>
                </c:pt>
                <c:pt idx="802">
                  <c:v>61.73</c:v>
                </c:pt>
                <c:pt idx="803">
                  <c:v>61.38</c:v>
                </c:pt>
                <c:pt idx="804">
                  <c:v>61.9</c:v>
                </c:pt>
                <c:pt idx="805">
                  <c:v>65.02</c:v>
                </c:pt>
                <c:pt idx="806">
                  <c:v>65.25</c:v>
                </c:pt>
                <c:pt idx="807">
                  <c:v>62.26</c:v>
                </c:pt>
                <c:pt idx="808">
                  <c:v>61.72</c:v>
                </c:pt>
                <c:pt idx="809">
                  <c:v>63.78</c:v>
                </c:pt>
                <c:pt idx="810">
                  <c:v>61.83</c:v>
                </c:pt>
                <c:pt idx="811">
                  <c:v>60.77</c:v>
                </c:pt>
                <c:pt idx="812">
                  <c:v>63.07</c:v>
                </c:pt>
                <c:pt idx="813">
                  <c:v>64</c:v>
                </c:pt>
                <c:pt idx="814">
                  <c:v>62.8</c:v>
                </c:pt>
                <c:pt idx="815">
                  <c:v>62.98</c:v>
                </c:pt>
                <c:pt idx="816">
                  <c:v>63.25</c:v>
                </c:pt>
                <c:pt idx="817">
                  <c:v>62.15</c:v>
                </c:pt>
                <c:pt idx="818">
                  <c:v>60.62</c:v>
                </c:pt>
                <c:pt idx="819">
                  <c:v>59.01</c:v>
                </c:pt>
                <c:pt idx="820">
                  <c:v>58.42</c:v>
                </c:pt>
                <c:pt idx="821">
                  <c:v>59.49</c:v>
                </c:pt>
                <c:pt idx="822">
                  <c:v>59.29</c:v>
                </c:pt>
                <c:pt idx="823">
                  <c:v>59.67</c:v>
                </c:pt>
                <c:pt idx="824">
                  <c:v>56.77</c:v>
                </c:pt>
                <c:pt idx="825">
                  <c:v>59.05</c:v>
                </c:pt>
                <c:pt idx="826">
                  <c:v>53.32</c:v>
                </c:pt>
                <c:pt idx="827">
                  <c:v>53.27</c:v>
                </c:pt>
                <c:pt idx="828">
                  <c:v>56.67</c:v>
                </c:pt>
                <c:pt idx="829">
                  <c:v>57.51</c:v>
                </c:pt>
                <c:pt idx="830">
                  <c:v>56.4</c:v>
                </c:pt>
                <c:pt idx="831">
                  <c:v>54.42</c:v>
                </c:pt>
                <c:pt idx="832">
                  <c:v>55.23</c:v>
                </c:pt>
                <c:pt idx="833">
                  <c:v>55.92</c:v>
                </c:pt>
                <c:pt idx="834">
                  <c:v>54.79</c:v>
                </c:pt>
                <c:pt idx="835">
                  <c:v>52.1</c:v>
                </c:pt>
                <c:pt idx="836">
                  <c:v>53.06</c:v>
                </c:pt>
                <c:pt idx="837">
                  <c:v>53.25</c:v>
                </c:pt>
                <c:pt idx="838">
                  <c:v>53.58</c:v>
                </c:pt>
                <c:pt idx="839">
                  <c:v>53.93</c:v>
                </c:pt>
                <c:pt idx="840">
                  <c:v>55.69</c:v>
                </c:pt>
                <c:pt idx="841">
                  <c:v>57</c:v>
                </c:pt>
                <c:pt idx="842">
                  <c:v>55.46</c:v>
                </c:pt>
                <c:pt idx="843">
                  <c:v>56.11</c:v>
                </c:pt>
                <c:pt idx="844">
                  <c:v>54.71</c:v>
                </c:pt>
                <c:pt idx="845">
                  <c:v>56.41</c:v>
                </c:pt>
                <c:pt idx="846">
                  <c:v>57.11</c:v>
                </c:pt>
                <c:pt idx="847">
                  <c:v>56.13</c:v>
                </c:pt>
                <c:pt idx="848">
                  <c:v>55.88</c:v>
                </c:pt>
                <c:pt idx="849">
                  <c:v>55.5</c:v>
                </c:pt>
                <c:pt idx="850">
                  <c:v>56.83</c:v>
                </c:pt>
                <c:pt idx="851">
                  <c:v>55.82</c:v>
                </c:pt>
                <c:pt idx="852">
                  <c:v>57.6</c:v>
                </c:pt>
                <c:pt idx="853">
                  <c:v>57.48</c:v>
                </c:pt>
                <c:pt idx="854">
                  <c:v>57.3</c:v>
                </c:pt>
                <c:pt idx="855">
                  <c:v>59.59</c:v>
                </c:pt>
                <c:pt idx="856">
                  <c:v>58.63</c:v>
                </c:pt>
                <c:pt idx="857">
                  <c:v>68.489999999999995</c:v>
                </c:pt>
                <c:pt idx="858">
                  <c:v>73</c:v>
                </c:pt>
                <c:pt idx="859">
                  <c:v>72.33</c:v>
                </c:pt>
                <c:pt idx="860">
                  <c:v>73.78</c:v>
                </c:pt>
                <c:pt idx="861">
                  <c:v>75.77</c:v>
                </c:pt>
                <c:pt idx="862">
                  <c:v>80.989999999999995</c:v>
                </c:pt>
                <c:pt idx="863">
                  <c:v>73.73</c:v>
                </c:pt>
                <c:pt idx="864">
                  <c:v>75.37</c:v>
                </c:pt>
                <c:pt idx="865">
                  <c:v>75.45</c:v>
                </c:pt>
                <c:pt idx="866">
                  <c:v>76.099999999999994</c:v>
                </c:pt>
                <c:pt idx="867">
                  <c:v>76.790000000000006</c:v>
                </c:pt>
                <c:pt idx="868">
                  <c:v>74.88</c:v>
                </c:pt>
                <c:pt idx="869">
                  <c:v>74.180000000000007</c:v>
                </c:pt>
                <c:pt idx="870">
                  <c:v>72.27</c:v>
                </c:pt>
                <c:pt idx="871">
                  <c:v>74.94</c:v>
                </c:pt>
                <c:pt idx="872">
                  <c:v>77.150000000000006</c:v>
                </c:pt>
                <c:pt idx="873">
                  <c:v>78</c:v>
                </c:pt>
                <c:pt idx="874">
                  <c:v>75.22</c:v>
                </c:pt>
                <c:pt idx="875">
                  <c:v>75.97</c:v>
                </c:pt>
                <c:pt idx="876">
                  <c:v>73.790000000000006</c:v>
                </c:pt>
                <c:pt idx="877">
                  <c:v>74.78</c:v>
                </c:pt>
                <c:pt idx="878">
                  <c:v>73.05</c:v>
                </c:pt>
                <c:pt idx="879">
                  <c:v>71.34</c:v>
                </c:pt>
                <c:pt idx="880">
                  <c:v>67.34</c:v>
                </c:pt>
                <c:pt idx="881">
                  <c:v>67.819999999999993</c:v>
                </c:pt>
                <c:pt idx="882">
                  <c:v>66.900000000000006</c:v>
                </c:pt>
                <c:pt idx="883">
                  <c:v>72.099999999999994</c:v>
                </c:pt>
                <c:pt idx="884">
                  <c:v>78.5</c:v>
                </c:pt>
                <c:pt idx="885">
                  <c:v>79.75</c:v>
                </c:pt>
                <c:pt idx="886">
                  <c:v>80.599999999999994</c:v>
                </c:pt>
                <c:pt idx="887">
                  <c:v>80.52</c:v>
                </c:pt>
                <c:pt idx="888">
                  <c:v>82.08</c:v>
                </c:pt>
                <c:pt idx="889">
                  <c:v>82.02</c:v>
                </c:pt>
                <c:pt idx="890">
                  <c:v>80.84</c:v>
                </c:pt>
                <c:pt idx="891">
                  <c:v>85.61</c:v>
                </c:pt>
                <c:pt idx="892">
                  <c:v>89.32</c:v>
                </c:pt>
                <c:pt idx="893">
                  <c:v>87.75</c:v>
                </c:pt>
                <c:pt idx="894">
                  <c:v>81.52</c:v>
                </c:pt>
                <c:pt idx="895">
                  <c:v>82.25</c:v>
                </c:pt>
                <c:pt idx="896">
                  <c:v>82.44</c:v>
                </c:pt>
                <c:pt idx="897">
                  <c:v>78.900000000000006</c:v>
                </c:pt>
                <c:pt idx="898">
                  <c:v>85.78</c:v>
                </c:pt>
                <c:pt idx="899">
                  <c:v>91.21</c:v>
                </c:pt>
                <c:pt idx="900">
                  <c:v>92.3</c:v>
                </c:pt>
                <c:pt idx="901">
                  <c:v>90.78</c:v>
                </c:pt>
                <c:pt idx="902">
                  <c:v>93.4</c:v>
                </c:pt>
                <c:pt idx="903">
                  <c:v>95.55</c:v>
                </c:pt>
                <c:pt idx="904">
                  <c:v>97.43</c:v>
                </c:pt>
                <c:pt idx="905">
                  <c:v>89.9</c:v>
                </c:pt>
                <c:pt idx="906">
                  <c:v>93.55</c:v>
                </c:pt>
                <c:pt idx="907">
                  <c:v>87.76</c:v>
                </c:pt>
                <c:pt idx="908">
                  <c:v>88.03</c:v>
                </c:pt>
                <c:pt idx="909">
                  <c:v>83.93</c:v>
                </c:pt>
                <c:pt idx="910">
                  <c:v>82.15</c:v>
                </c:pt>
                <c:pt idx="911">
                  <c:v>80.459999999999994</c:v>
                </c:pt>
                <c:pt idx="912">
                  <c:v>78.239999999999995</c:v>
                </c:pt>
                <c:pt idx="913">
                  <c:v>78.28</c:v>
                </c:pt>
                <c:pt idx="914">
                  <c:v>80.180000000000007</c:v>
                </c:pt>
                <c:pt idx="915">
                  <c:v>78.89</c:v>
                </c:pt>
                <c:pt idx="916">
                  <c:v>80.2</c:v>
                </c:pt>
                <c:pt idx="917">
                  <c:v>81.040000000000006</c:v>
                </c:pt>
                <c:pt idx="918">
                  <c:v>80.44</c:v>
                </c:pt>
                <c:pt idx="919">
                  <c:v>81.09</c:v>
                </c:pt>
                <c:pt idx="920">
                  <c:v>83.48</c:v>
                </c:pt>
                <c:pt idx="921">
                  <c:v>84.1</c:v>
                </c:pt>
                <c:pt idx="922">
                  <c:v>85.35</c:v>
                </c:pt>
                <c:pt idx="923">
                  <c:v>82.05</c:v>
                </c:pt>
                <c:pt idx="924">
                  <c:v>84.06</c:v>
                </c:pt>
                <c:pt idx="925">
                  <c:v>76.59</c:v>
                </c:pt>
                <c:pt idx="926">
                  <c:v>74.22</c:v>
                </c:pt>
                <c:pt idx="927">
                  <c:v>88.84</c:v>
                </c:pt>
                <c:pt idx="928">
                  <c:v>86.23</c:v>
                </c:pt>
                <c:pt idx="929">
                  <c:v>93.49</c:v>
                </c:pt>
                <c:pt idx="930">
                  <c:v>98.08</c:v>
                </c:pt>
                <c:pt idx="931">
                  <c:v>89.75</c:v>
                </c:pt>
                <c:pt idx="932">
                  <c:v>95</c:v>
                </c:pt>
                <c:pt idx="933">
                  <c:v>99.35</c:v>
                </c:pt>
                <c:pt idx="934">
                  <c:v>101.15</c:v>
                </c:pt>
                <c:pt idx="935">
                  <c:v>106.99</c:v>
                </c:pt>
                <c:pt idx="936">
                  <c:v>94.65</c:v>
                </c:pt>
                <c:pt idx="937">
                  <c:v>89.45</c:v>
                </c:pt>
                <c:pt idx="938">
                  <c:v>87.65</c:v>
                </c:pt>
                <c:pt idx="939">
                  <c:v>89.84</c:v>
                </c:pt>
                <c:pt idx="940">
                  <c:v>86.73</c:v>
                </c:pt>
                <c:pt idx="941">
                  <c:v>88.96</c:v>
                </c:pt>
                <c:pt idx="942">
                  <c:v>88.71</c:v>
                </c:pt>
                <c:pt idx="943">
                  <c:v>99.93</c:v>
                </c:pt>
                <c:pt idx="944">
                  <c:v>102.06</c:v>
                </c:pt>
                <c:pt idx="945">
                  <c:v>96.38</c:v>
                </c:pt>
                <c:pt idx="946">
                  <c:v>105</c:v>
                </c:pt>
                <c:pt idx="947">
                  <c:v>112.3</c:v>
                </c:pt>
                <c:pt idx="948">
                  <c:v>117.86</c:v>
                </c:pt>
                <c:pt idx="949">
                  <c:v>116.01</c:v>
                </c:pt>
                <c:pt idx="950">
                  <c:v>115.48</c:v>
                </c:pt>
                <c:pt idx="951">
                  <c:v>109.54</c:v>
                </c:pt>
                <c:pt idx="952">
                  <c:v>105.07</c:v>
                </c:pt>
                <c:pt idx="953">
                  <c:v>100.19</c:v>
                </c:pt>
                <c:pt idx="954">
                  <c:v>96.49</c:v>
                </c:pt>
                <c:pt idx="955">
                  <c:v>98.71</c:v>
                </c:pt>
                <c:pt idx="956">
                  <c:v>95.99</c:v>
                </c:pt>
                <c:pt idx="957">
                  <c:v>94.72</c:v>
                </c:pt>
                <c:pt idx="958">
                  <c:v>90.29</c:v>
                </c:pt>
                <c:pt idx="959">
                  <c:v>89.26</c:v>
                </c:pt>
                <c:pt idx="960">
                  <c:v>90.1</c:v>
                </c:pt>
                <c:pt idx="961">
                  <c:v>86.13</c:v>
                </c:pt>
                <c:pt idx="962">
                  <c:v>86.72</c:v>
                </c:pt>
                <c:pt idx="963">
                  <c:v>83.38</c:v>
                </c:pt>
                <c:pt idx="964">
                  <c:v>87.32</c:v>
                </c:pt>
                <c:pt idx="965">
                  <c:v>88</c:v>
                </c:pt>
                <c:pt idx="966">
                  <c:v>86.69</c:v>
                </c:pt>
                <c:pt idx="967">
                  <c:v>84.65</c:v>
                </c:pt>
                <c:pt idx="968">
                  <c:v>83.65</c:v>
                </c:pt>
                <c:pt idx="969">
                  <c:v>88.85</c:v>
                </c:pt>
                <c:pt idx="970">
                  <c:v>94.77</c:v>
                </c:pt>
                <c:pt idx="971">
                  <c:v>92.96</c:v>
                </c:pt>
                <c:pt idx="972">
                  <c:v>93.25</c:v>
                </c:pt>
                <c:pt idx="973">
                  <c:v>91.61</c:v>
                </c:pt>
                <c:pt idx="974">
                  <c:v>93.81</c:v>
                </c:pt>
                <c:pt idx="975">
                  <c:v>95.93</c:v>
                </c:pt>
                <c:pt idx="976">
                  <c:v>97.43</c:v>
                </c:pt>
                <c:pt idx="977">
                  <c:v>91.3</c:v>
                </c:pt>
                <c:pt idx="978">
                  <c:v>86.8</c:v>
                </c:pt>
                <c:pt idx="979">
                  <c:v>85.44</c:v>
                </c:pt>
                <c:pt idx="980">
                  <c:v>84.69</c:v>
                </c:pt>
                <c:pt idx="981">
                  <c:v>83.07</c:v>
                </c:pt>
                <c:pt idx="982">
                  <c:v>88.51</c:v>
                </c:pt>
                <c:pt idx="983">
                  <c:v>87.19</c:v>
                </c:pt>
                <c:pt idx="984">
                  <c:v>90.09</c:v>
                </c:pt>
                <c:pt idx="985">
                  <c:v>79.75</c:v>
                </c:pt>
                <c:pt idx="986">
                  <c:v>82.61</c:v>
                </c:pt>
                <c:pt idx="987">
                  <c:v>87.2</c:v>
                </c:pt>
                <c:pt idx="988">
                  <c:v>94</c:v>
                </c:pt>
                <c:pt idx="989">
                  <c:v>83.46</c:v>
                </c:pt>
                <c:pt idx="990">
                  <c:v>79.53</c:v>
                </c:pt>
                <c:pt idx="991">
                  <c:v>75.66</c:v>
                </c:pt>
                <c:pt idx="992">
                  <c:v>77.73</c:v>
                </c:pt>
                <c:pt idx="993">
                  <c:v>68.84</c:v>
                </c:pt>
                <c:pt idx="994">
                  <c:v>65.61</c:v>
                </c:pt>
                <c:pt idx="995">
                  <c:v>67.930000000000007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96-48BC-A0AC-0526429BCD3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5.589880152530724E-2</c:v>
                </c:pt>
                <c:pt idx="1">
                  <c:v>5.596217497090724E-2</c:v>
                </c:pt>
                <c:pt idx="2">
                  <c:v>5.6435949037907246E-2</c:v>
                </c:pt>
                <c:pt idx="3">
                  <c:v>5.5928415998613125E-2</c:v>
                </c:pt>
                <c:pt idx="4">
                  <c:v>5.5764991138226909E-2</c:v>
                </c:pt>
                <c:pt idx="5">
                  <c:v>5.5085752552630589E-2</c:v>
                </c:pt>
                <c:pt idx="6">
                  <c:v>5.5710201043536807E-2</c:v>
                </c:pt>
                <c:pt idx="7">
                  <c:v>5.6489251391134407E-2</c:v>
                </c:pt>
                <c:pt idx="8">
                  <c:v>5.7134072603242034E-2</c:v>
                </c:pt>
                <c:pt idx="9">
                  <c:v>5.7784880166384889E-2</c:v>
                </c:pt>
                <c:pt idx="10">
                  <c:v>5.8370487952629432E-2</c:v>
                </c:pt>
                <c:pt idx="11">
                  <c:v>5.9098975556854783E-2</c:v>
                </c:pt>
                <c:pt idx="12">
                  <c:v>5.8811890378696885E-2</c:v>
                </c:pt>
                <c:pt idx="13">
                  <c:v>5.9462731221513791E-2</c:v>
                </c:pt>
                <c:pt idx="14">
                  <c:v>5.919146332073754E-2</c:v>
                </c:pt>
                <c:pt idx="15">
                  <c:v>5.7705492286737547E-2</c:v>
                </c:pt>
                <c:pt idx="16">
                  <c:v>5.7361110849760796E-2</c:v>
                </c:pt>
                <c:pt idx="17">
                  <c:v>5.6596731802804272E-2</c:v>
                </c:pt>
                <c:pt idx="18">
                  <c:v>5.6831587857470944E-2</c:v>
                </c:pt>
                <c:pt idx="19">
                  <c:v>5.6563085480645543E-2</c:v>
                </c:pt>
                <c:pt idx="20">
                  <c:v>5.7034826677650884E-2</c:v>
                </c:pt>
                <c:pt idx="21">
                  <c:v>5.7859451231836938E-2</c:v>
                </c:pt>
                <c:pt idx="22">
                  <c:v>5.7252736016482605E-2</c:v>
                </c:pt>
                <c:pt idx="23">
                  <c:v>5.7716981457946022E-2</c:v>
                </c:pt>
                <c:pt idx="24">
                  <c:v>5.8295934549186905E-2</c:v>
                </c:pt>
                <c:pt idx="25">
                  <c:v>5.8318331843089342E-2</c:v>
                </c:pt>
                <c:pt idx="26">
                  <c:v>5.8899302230186114E-2</c:v>
                </c:pt>
                <c:pt idx="27">
                  <c:v>5.8118400570633874E-2</c:v>
                </c:pt>
                <c:pt idx="28">
                  <c:v>5.8208152642287424E-2</c:v>
                </c:pt>
                <c:pt idx="29">
                  <c:v>5.7538732933064128E-2</c:v>
                </c:pt>
                <c:pt idx="30">
                  <c:v>5.7180438767481301E-2</c:v>
                </c:pt>
                <c:pt idx="31">
                  <c:v>5.7906056713819327E-2</c:v>
                </c:pt>
                <c:pt idx="32">
                  <c:v>5.8736147565650314E-2</c:v>
                </c:pt>
                <c:pt idx="33">
                  <c:v>5.8155936937053829E-2</c:v>
                </c:pt>
                <c:pt idx="34">
                  <c:v>5.8114769479910976E-2</c:v>
                </c:pt>
                <c:pt idx="35">
                  <c:v>5.8255549855910971E-2</c:v>
                </c:pt>
                <c:pt idx="36">
                  <c:v>5.7362395523724588E-2</c:v>
                </c:pt>
                <c:pt idx="37">
                  <c:v>5.732297482372458E-2</c:v>
                </c:pt>
                <c:pt idx="38">
                  <c:v>5.8075604207057915E-2</c:v>
                </c:pt>
                <c:pt idx="39">
                  <c:v>5.7745499765499475E-2</c:v>
                </c:pt>
                <c:pt idx="40">
                  <c:v>5.7430140936240222E-2</c:v>
                </c:pt>
                <c:pt idx="41">
                  <c:v>5.7626003713440212E-2</c:v>
                </c:pt>
                <c:pt idx="42">
                  <c:v>5.7753618367586551E-2</c:v>
                </c:pt>
                <c:pt idx="43">
                  <c:v>5.867323873730354E-2</c:v>
                </c:pt>
                <c:pt idx="44">
                  <c:v>5.8211062688143876E-2</c:v>
                </c:pt>
                <c:pt idx="45">
                  <c:v>5.7772174870004349E-2</c:v>
                </c:pt>
                <c:pt idx="46">
                  <c:v>5.8432272305959404E-2</c:v>
                </c:pt>
                <c:pt idx="47">
                  <c:v>5.8342570925698528E-2</c:v>
                </c:pt>
                <c:pt idx="48">
                  <c:v>5.8267484318092908E-2</c:v>
                </c:pt>
                <c:pt idx="49">
                  <c:v>5.8960662703228028E-2</c:v>
                </c:pt>
                <c:pt idx="50">
                  <c:v>5.9837604291393974E-2</c:v>
                </c:pt>
                <c:pt idx="51">
                  <c:v>5.9515906774021715E-2</c:v>
                </c:pt>
                <c:pt idx="52">
                  <c:v>5.8899691272086233E-2</c:v>
                </c:pt>
                <c:pt idx="53">
                  <c:v>5.8183772537500594E-2</c:v>
                </c:pt>
                <c:pt idx="54">
                  <c:v>5.8002140098389485E-2</c:v>
                </c:pt>
                <c:pt idx="55">
                  <c:v>5.7727602984602819E-2</c:v>
                </c:pt>
                <c:pt idx="56">
                  <c:v>5.841029458591368E-2</c:v>
                </c:pt>
                <c:pt idx="57">
                  <c:v>5.7692053707864899E-2</c:v>
                </c:pt>
                <c:pt idx="58">
                  <c:v>5.8307526312295278E-2</c:v>
                </c:pt>
                <c:pt idx="59">
                  <c:v>5.8757123605768964E-2</c:v>
                </c:pt>
                <c:pt idx="60">
                  <c:v>5.9047635848626115E-2</c:v>
                </c:pt>
                <c:pt idx="61">
                  <c:v>5.8130335766164574E-2</c:v>
                </c:pt>
                <c:pt idx="62">
                  <c:v>5.7939751711299718E-2</c:v>
                </c:pt>
                <c:pt idx="63">
                  <c:v>5.8439756704633049E-2</c:v>
                </c:pt>
                <c:pt idx="64">
                  <c:v>5.7985458907159372E-2</c:v>
                </c:pt>
                <c:pt idx="65">
                  <c:v>5.7764333292359374E-2</c:v>
                </c:pt>
                <c:pt idx="66">
                  <c:v>5.722610899235938E-2</c:v>
                </c:pt>
                <c:pt idx="67">
                  <c:v>5.8018711515602617E-2</c:v>
                </c:pt>
                <c:pt idx="68">
                  <c:v>5.7709116196695054E-2</c:v>
                </c:pt>
                <c:pt idx="69">
                  <c:v>5.7382680355419886E-2</c:v>
                </c:pt>
                <c:pt idx="70">
                  <c:v>5.673222221051543E-2</c:v>
                </c:pt>
                <c:pt idx="71">
                  <c:v>5.7841252478260531E-2</c:v>
                </c:pt>
                <c:pt idx="72">
                  <c:v>5.7202199926831954E-2</c:v>
                </c:pt>
                <c:pt idx="73">
                  <c:v>5.6832563366838409E-2</c:v>
                </c:pt>
                <c:pt idx="74">
                  <c:v>5.737843980611898E-2</c:v>
                </c:pt>
                <c:pt idx="75">
                  <c:v>5.7284188197697927E-2</c:v>
                </c:pt>
                <c:pt idx="76">
                  <c:v>5.691637876118906E-2</c:v>
                </c:pt>
                <c:pt idx="77">
                  <c:v>5.6761740417189059E-2</c:v>
                </c:pt>
                <c:pt idx="78">
                  <c:v>5.7358500013659643E-2</c:v>
                </c:pt>
                <c:pt idx="79">
                  <c:v>5.8373529914845054E-2</c:v>
                </c:pt>
                <c:pt idx="80">
                  <c:v>5.7307556192781564E-2</c:v>
                </c:pt>
                <c:pt idx="81">
                  <c:v>5.6175921746337114E-2</c:v>
                </c:pt>
                <c:pt idx="82">
                  <c:v>5.5538920082337115E-2</c:v>
                </c:pt>
                <c:pt idx="83">
                  <c:v>5.5184713621461198E-2</c:v>
                </c:pt>
                <c:pt idx="84">
                  <c:v>5.573307480517254E-2</c:v>
                </c:pt>
                <c:pt idx="85">
                  <c:v>5.5836077189172544E-2</c:v>
                </c:pt>
                <c:pt idx="86">
                  <c:v>5.6321435382334931E-2</c:v>
                </c:pt>
                <c:pt idx="87">
                  <c:v>5.5995041457641059E-2</c:v>
                </c:pt>
                <c:pt idx="88">
                  <c:v>5.6459104856141057E-2</c:v>
                </c:pt>
                <c:pt idx="89">
                  <c:v>5.5692399308289203E-2</c:v>
                </c:pt>
                <c:pt idx="90">
                  <c:v>5.5985301644604996E-2</c:v>
                </c:pt>
                <c:pt idx="91">
                  <c:v>5.5719016343528084E-2</c:v>
                </c:pt>
                <c:pt idx="92">
                  <c:v>5.4816047304183817E-2</c:v>
                </c:pt>
                <c:pt idx="93">
                  <c:v>5.5912442246284659E-2</c:v>
                </c:pt>
                <c:pt idx="94">
                  <c:v>5.628595195022168E-2</c:v>
                </c:pt>
                <c:pt idx="95">
                  <c:v>5.7247901714658753E-2</c:v>
                </c:pt>
                <c:pt idx="96">
                  <c:v>5.6236729040492095E-2</c:v>
                </c:pt>
                <c:pt idx="97">
                  <c:v>5.602124963554956E-2</c:v>
                </c:pt>
                <c:pt idx="98">
                  <c:v>5.6554987724679998E-2</c:v>
                </c:pt>
                <c:pt idx="99">
                  <c:v>5.585351720158608E-2</c:v>
                </c:pt>
                <c:pt idx="100">
                  <c:v>5.5790142323948272E-2</c:v>
                </c:pt>
                <c:pt idx="101">
                  <c:v>5.5939261932299929E-2</c:v>
                </c:pt>
                <c:pt idx="102">
                  <c:v>5.6184079674944563E-2</c:v>
                </c:pt>
                <c:pt idx="103">
                  <c:v>5.6147337506709263E-2</c:v>
                </c:pt>
                <c:pt idx="104">
                  <c:v>5.6510160207729677E-2</c:v>
                </c:pt>
                <c:pt idx="105">
                  <c:v>5.5953531252975572E-2</c:v>
                </c:pt>
                <c:pt idx="106">
                  <c:v>5.6351845610012608E-2</c:v>
                </c:pt>
                <c:pt idx="107">
                  <c:v>5.6601646342406969E-2</c:v>
                </c:pt>
                <c:pt idx="108">
                  <c:v>5.6145639194577511E-2</c:v>
                </c:pt>
                <c:pt idx="109">
                  <c:v>5.5515142895523457E-2</c:v>
                </c:pt>
                <c:pt idx="110">
                  <c:v>5.6112888415523456E-2</c:v>
                </c:pt>
                <c:pt idx="111">
                  <c:v>5.6023736362114371E-2</c:v>
                </c:pt>
                <c:pt idx="112">
                  <c:v>5.6747284782481346E-2</c:v>
                </c:pt>
                <c:pt idx="113">
                  <c:v>5.7943587333144843E-2</c:v>
                </c:pt>
                <c:pt idx="114">
                  <c:v>5.7081497933267542E-2</c:v>
                </c:pt>
                <c:pt idx="115">
                  <c:v>5.6657316178267546E-2</c:v>
                </c:pt>
                <c:pt idx="116">
                  <c:v>5.6155113218081212E-2</c:v>
                </c:pt>
                <c:pt idx="117">
                  <c:v>5.600279832194982E-2</c:v>
                </c:pt>
                <c:pt idx="118">
                  <c:v>5.6699894979449814E-2</c:v>
                </c:pt>
                <c:pt idx="119">
                  <c:v>5.5940144634933693E-2</c:v>
                </c:pt>
                <c:pt idx="120">
                  <c:v>5.524345161339881E-2</c:v>
                </c:pt>
                <c:pt idx="121">
                  <c:v>5.5407625219113098E-2</c:v>
                </c:pt>
                <c:pt idx="122">
                  <c:v>5.6300450729500191E-2</c:v>
                </c:pt>
                <c:pt idx="123">
                  <c:v>5.732934673866686E-2</c:v>
                </c:pt>
                <c:pt idx="124">
                  <c:v>5.6463364419705814E-2</c:v>
                </c:pt>
                <c:pt idx="125">
                  <c:v>5.6512299455896288E-2</c:v>
                </c:pt>
                <c:pt idx="126">
                  <c:v>5.7048853138184689E-2</c:v>
                </c:pt>
                <c:pt idx="127">
                  <c:v>5.7093423896733081E-2</c:v>
                </c:pt>
                <c:pt idx="128">
                  <c:v>5.6033598466315074E-2</c:v>
                </c:pt>
                <c:pt idx="129">
                  <c:v>5.6830377306168016E-2</c:v>
                </c:pt>
                <c:pt idx="130">
                  <c:v>5.7485124563409401E-2</c:v>
                </c:pt>
                <c:pt idx="131">
                  <c:v>5.8169014761778957E-2</c:v>
                </c:pt>
                <c:pt idx="132">
                  <c:v>5.7523871139051691E-2</c:v>
                </c:pt>
                <c:pt idx="133">
                  <c:v>5.747002673164428E-2</c:v>
                </c:pt>
                <c:pt idx="134">
                  <c:v>5.7835063719819467E-2</c:v>
                </c:pt>
                <c:pt idx="135">
                  <c:v>5.8011894786005033E-2</c:v>
                </c:pt>
                <c:pt idx="136">
                  <c:v>5.7388867313822284E-2</c:v>
                </c:pt>
                <c:pt idx="137">
                  <c:v>5.6248173333822288E-2</c:v>
                </c:pt>
                <c:pt idx="138">
                  <c:v>5.5692161542277567E-2</c:v>
                </c:pt>
                <c:pt idx="139">
                  <c:v>5.6137186838829296E-2</c:v>
                </c:pt>
                <c:pt idx="140">
                  <c:v>5.6798494741733853E-2</c:v>
                </c:pt>
                <c:pt idx="141">
                  <c:v>5.6481921818622743E-2</c:v>
                </c:pt>
                <c:pt idx="142">
                  <c:v>5.6610351105097843E-2</c:v>
                </c:pt>
                <c:pt idx="143">
                  <c:v>5.7273276584824527E-2</c:v>
                </c:pt>
                <c:pt idx="144">
                  <c:v>5.6857952734504898E-2</c:v>
                </c:pt>
                <c:pt idx="145">
                  <c:v>5.625332276631291E-2</c:v>
                </c:pt>
                <c:pt idx="146">
                  <c:v>5.6237067845150104E-2</c:v>
                </c:pt>
                <c:pt idx="147">
                  <c:v>5.6114854910951632E-2</c:v>
                </c:pt>
                <c:pt idx="148">
                  <c:v>5.6268270515951638E-2</c:v>
                </c:pt>
                <c:pt idx="149">
                  <c:v>5.5291849167053334E-2</c:v>
                </c:pt>
                <c:pt idx="150">
                  <c:v>5.5310994416193332E-2</c:v>
                </c:pt>
                <c:pt idx="151">
                  <c:v>5.6122928923675992E-2</c:v>
                </c:pt>
                <c:pt idx="152">
                  <c:v>5.6634250789919655E-2</c:v>
                </c:pt>
                <c:pt idx="153">
                  <c:v>5.7128720307419653E-2</c:v>
                </c:pt>
                <c:pt idx="154">
                  <c:v>5.6299631266708679E-2</c:v>
                </c:pt>
                <c:pt idx="155">
                  <c:v>5.7068864814172032E-2</c:v>
                </c:pt>
                <c:pt idx="156">
                  <c:v>5.6755415091472861E-2</c:v>
                </c:pt>
                <c:pt idx="157">
                  <c:v>5.8136847681634324E-2</c:v>
                </c:pt>
                <c:pt idx="158">
                  <c:v>5.813044027533764E-2</c:v>
                </c:pt>
                <c:pt idx="159">
                  <c:v>5.8127384696051422E-2</c:v>
                </c:pt>
                <c:pt idx="160">
                  <c:v>5.7511604988051801E-2</c:v>
                </c:pt>
                <c:pt idx="161">
                  <c:v>5.6343514769974672E-2</c:v>
                </c:pt>
                <c:pt idx="162">
                  <c:v>5.5512422757621735E-2</c:v>
                </c:pt>
                <c:pt idx="163">
                  <c:v>5.5685306741884863E-2</c:v>
                </c:pt>
                <c:pt idx="164">
                  <c:v>5.6555433035206659E-2</c:v>
                </c:pt>
                <c:pt idx="165">
                  <c:v>5.7611085728343607E-2</c:v>
                </c:pt>
                <c:pt idx="166">
                  <c:v>5.7154470884147761E-2</c:v>
                </c:pt>
                <c:pt idx="167">
                  <c:v>5.7204936109890893E-2</c:v>
                </c:pt>
                <c:pt idx="168">
                  <c:v>5.647845400517458E-2</c:v>
                </c:pt>
                <c:pt idx="169">
                  <c:v>5.7060127943655052E-2</c:v>
                </c:pt>
                <c:pt idx="170">
                  <c:v>5.7775104680852722E-2</c:v>
                </c:pt>
                <c:pt idx="171">
                  <c:v>5.7651282759512507E-2</c:v>
                </c:pt>
                <c:pt idx="172">
                  <c:v>5.6919276554213423E-2</c:v>
                </c:pt>
                <c:pt idx="173">
                  <c:v>5.7993361408596608E-2</c:v>
                </c:pt>
                <c:pt idx="174">
                  <c:v>5.7429639199915068E-2</c:v>
                </c:pt>
                <c:pt idx="175">
                  <c:v>5.688019693909651E-2</c:v>
                </c:pt>
                <c:pt idx="176">
                  <c:v>5.5824521628289707E-2</c:v>
                </c:pt>
                <c:pt idx="177">
                  <c:v>5.5053477908338137E-2</c:v>
                </c:pt>
                <c:pt idx="178">
                  <c:v>5.5599227659315589E-2</c:v>
                </c:pt>
                <c:pt idx="179">
                  <c:v>5.6047099069219848E-2</c:v>
                </c:pt>
                <c:pt idx="180">
                  <c:v>5.6647820355543665E-2</c:v>
                </c:pt>
                <c:pt idx="181">
                  <c:v>5.691957066397365E-2</c:v>
                </c:pt>
                <c:pt idx="182">
                  <c:v>5.6391955129913678E-2</c:v>
                </c:pt>
                <c:pt idx="183">
                  <c:v>5.6146468258766714E-2</c:v>
                </c:pt>
                <c:pt idx="184">
                  <c:v>5.5154194116611349E-2</c:v>
                </c:pt>
                <c:pt idx="185">
                  <c:v>5.4259340509435462E-2</c:v>
                </c:pt>
                <c:pt idx="186">
                  <c:v>5.5004730735715206E-2</c:v>
                </c:pt>
                <c:pt idx="187">
                  <c:v>5.4582407773369271E-2</c:v>
                </c:pt>
                <c:pt idx="188">
                  <c:v>5.4255397395898131E-2</c:v>
                </c:pt>
                <c:pt idx="189">
                  <c:v>5.3606473043198127E-2</c:v>
                </c:pt>
                <c:pt idx="190">
                  <c:v>5.3426656399055965E-2</c:v>
                </c:pt>
                <c:pt idx="191">
                  <c:v>5.2610364140474201E-2</c:v>
                </c:pt>
                <c:pt idx="192">
                  <c:v>5.3054142962662997E-2</c:v>
                </c:pt>
                <c:pt idx="193">
                  <c:v>5.3862257559540251E-2</c:v>
                </c:pt>
                <c:pt idx="194">
                  <c:v>5.412380641210545E-2</c:v>
                </c:pt>
                <c:pt idx="195">
                  <c:v>5.3773143753605444E-2</c:v>
                </c:pt>
                <c:pt idx="196">
                  <c:v>5.4328243911681236E-2</c:v>
                </c:pt>
                <c:pt idx="197">
                  <c:v>5.4472689140529384E-2</c:v>
                </c:pt>
                <c:pt idx="198">
                  <c:v>5.380994319817313E-2</c:v>
                </c:pt>
                <c:pt idx="199">
                  <c:v>5.4127905344410213E-2</c:v>
                </c:pt>
                <c:pt idx="200">
                  <c:v>5.4559587778500625E-2</c:v>
                </c:pt>
                <c:pt idx="201">
                  <c:v>5.4517571182359448E-2</c:v>
                </c:pt>
                <c:pt idx="202">
                  <c:v>5.4841795993150082E-2</c:v>
                </c:pt>
                <c:pt idx="203">
                  <c:v>5.4272081082814352E-2</c:v>
                </c:pt>
                <c:pt idx="204">
                  <c:v>5.482810658196547E-2</c:v>
                </c:pt>
                <c:pt idx="205">
                  <c:v>5.5774005657762714E-2</c:v>
                </c:pt>
                <c:pt idx="206">
                  <c:v>5.4918183797752304E-2</c:v>
                </c:pt>
                <c:pt idx="207">
                  <c:v>5.4729782334418262E-2</c:v>
                </c:pt>
                <c:pt idx="208">
                  <c:v>5.4615419695019873E-2</c:v>
                </c:pt>
                <c:pt idx="209">
                  <c:v>5.4142671399621943E-2</c:v>
                </c:pt>
                <c:pt idx="210">
                  <c:v>5.3366025442210488E-2</c:v>
                </c:pt>
                <c:pt idx="211">
                  <c:v>5.4329855793362643E-2</c:v>
                </c:pt>
                <c:pt idx="212">
                  <c:v>5.3269941386519727E-2</c:v>
                </c:pt>
                <c:pt idx="213">
                  <c:v>5.3544983056572314E-2</c:v>
                </c:pt>
                <c:pt idx="214">
                  <c:v>5.3275963165741153E-2</c:v>
                </c:pt>
                <c:pt idx="215">
                  <c:v>5.2436104491215635E-2</c:v>
                </c:pt>
                <c:pt idx="216">
                  <c:v>5.114984178257366E-2</c:v>
                </c:pt>
                <c:pt idx="217">
                  <c:v>5.2664706214935554E-2</c:v>
                </c:pt>
                <c:pt idx="218">
                  <c:v>5.1400671878024079E-2</c:v>
                </c:pt>
                <c:pt idx="219">
                  <c:v>5.0243493957872101E-2</c:v>
                </c:pt>
                <c:pt idx="220">
                  <c:v>5.0413703602202278E-2</c:v>
                </c:pt>
                <c:pt idx="221">
                  <c:v>5.249084431507331E-2</c:v>
                </c:pt>
                <c:pt idx="222">
                  <c:v>5.1986368682120407E-2</c:v>
                </c:pt>
                <c:pt idx="223">
                  <c:v>5.2604613711462543E-2</c:v>
                </c:pt>
                <c:pt idx="224">
                  <c:v>5.3446044997303863E-2</c:v>
                </c:pt>
                <c:pt idx="225">
                  <c:v>5.2948358443510604E-2</c:v>
                </c:pt>
                <c:pt idx="226">
                  <c:v>5.3752356326902326E-2</c:v>
                </c:pt>
                <c:pt idx="227">
                  <c:v>5.3873164969722484E-2</c:v>
                </c:pt>
                <c:pt idx="228">
                  <c:v>5.277681095115367E-2</c:v>
                </c:pt>
                <c:pt idx="229">
                  <c:v>5.2153464223594258E-2</c:v>
                </c:pt>
                <c:pt idx="230">
                  <c:v>5.2040689340335469E-2</c:v>
                </c:pt>
                <c:pt idx="231">
                  <c:v>5.2712229628123872E-2</c:v>
                </c:pt>
                <c:pt idx="232">
                  <c:v>5.4018641408043737E-2</c:v>
                </c:pt>
                <c:pt idx="233">
                  <c:v>5.2503466206683017E-2</c:v>
                </c:pt>
                <c:pt idx="234">
                  <c:v>5.1130787956808588E-2</c:v>
                </c:pt>
                <c:pt idx="235">
                  <c:v>5.217509560352053E-2</c:v>
                </c:pt>
                <c:pt idx="236">
                  <c:v>5.1764526889283173E-2</c:v>
                </c:pt>
                <c:pt idx="237">
                  <c:v>5.2812964026676658E-2</c:v>
                </c:pt>
                <c:pt idx="238">
                  <c:v>5.2993873575015157E-2</c:v>
                </c:pt>
                <c:pt idx="239">
                  <c:v>5.1995307754562549E-2</c:v>
                </c:pt>
                <c:pt idx="240">
                  <c:v>5.071076254410322E-2</c:v>
                </c:pt>
                <c:pt idx="241">
                  <c:v>5.0497997965740803E-2</c:v>
                </c:pt>
                <c:pt idx="242">
                  <c:v>4.9415068008925062E-2</c:v>
                </c:pt>
                <c:pt idx="243">
                  <c:v>4.8413338341352821E-2</c:v>
                </c:pt>
                <c:pt idx="244">
                  <c:v>5.063028324917361E-2</c:v>
                </c:pt>
                <c:pt idx="245">
                  <c:v>4.8707900987840773E-2</c:v>
                </c:pt>
                <c:pt idx="246">
                  <c:v>4.9085707849179455E-2</c:v>
                </c:pt>
                <c:pt idx="247">
                  <c:v>4.7948972529148946E-2</c:v>
                </c:pt>
                <c:pt idx="248">
                  <c:v>4.7888390001186637E-2</c:v>
                </c:pt>
                <c:pt idx="249">
                  <c:v>4.518378736375437E-2</c:v>
                </c:pt>
                <c:pt idx="250">
                  <c:v>4.4340858172036951E-2</c:v>
                </c:pt>
                <c:pt idx="251">
                  <c:v>4.6609812782452173E-2</c:v>
                </c:pt>
                <c:pt idx="252">
                  <c:v>5.0097734209447776E-2</c:v>
                </c:pt>
                <c:pt idx="253">
                  <c:v>4.6404093937599887E-2</c:v>
                </c:pt>
                <c:pt idx="254">
                  <c:v>4.8279018955853931E-2</c:v>
                </c:pt>
                <c:pt idx="255">
                  <c:v>4.8481538788722064E-2</c:v>
                </c:pt>
                <c:pt idx="256">
                  <c:v>4.989993971543407E-2</c:v>
                </c:pt>
                <c:pt idx="257">
                  <c:v>4.9624649966264013E-2</c:v>
                </c:pt>
                <c:pt idx="258">
                  <c:v>5.1773652663200873E-2</c:v>
                </c:pt>
                <c:pt idx="259">
                  <c:v>5.1401517508045752E-2</c:v>
                </c:pt>
                <c:pt idx="260">
                  <c:v>5.0852277724473316E-2</c:v>
                </c:pt>
                <c:pt idx="261">
                  <c:v>5.2367682011070366E-2</c:v>
                </c:pt>
                <c:pt idx="262">
                  <c:v>5.0927528900074404E-2</c:v>
                </c:pt>
                <c:pt idx="263">
                  <c:v>5.1729955655501897E-2</c:v>
                </c:pt>
                <c:pt idx="264">
                  <c:v>5.0515073518742848E-2</c:v>
                </c:pt>
                <c:pt idx="265">
                  <c:v>4.9995208294218843E-2</c:v>
                </c:pt>
                <c:pt idx="266">
                  <c:v>5.1603698844411357E-2</c:v>
                </c:pt>
                <c:pt idx="267">
                  <c:v>5.1324540468104043E-2</c:v>
                </c:pt>
                <c:pt idx="268">
                  <c:v>5.0000378345923392E-2</c:v>
                </c:pt>
                <c:pt idx="269">
                  <c:v>5.1661312456218612E-2</c:v>
                </c:pt>
                <c:pt idx="270">
                  <c:v>5.1817440991633434E-2</c:v>
                </c:pt>
                <c:pt idx="271">
                  <c:v>5.2393194170068991E-2</c:v>
                </c:pt>
                <c:pt idx="272">
                  <c:v>5.2307134283348308E-2</c:v>
                </c:pt>
                <c:pt idx="273">
                  <c:v>5.110418695086414E-2</c:v>
                </c:pt>
                <c:pt idx="274">
                  <c:v>5.1589727723171837E-2</c:v>
                </c:pt>
                <c:pt idx="275">
                  <c:v>5.2251135746832392E-2</c:v>
                </c:pt>
                <c:pt idx="276">
                  <c:v>5.1996111299489722E-2</c:v>
                </c:pt>
                <c:pt idx="277">
                  <c:v>4.9954515526268568E-2</c:v>
                </c:pt>
                <c:pt idx="278">
                  <c:v>5.0787949989828121E-2</c:v>
                </c:pt>
                <c:pt idx="279">
                  <c:v>4.9830528004611754E-2</c:v>
                </c:pt>
                <c:pt idx="280">
                  <c:v>4.6861440543044752E-2</c:v>
                </c:pt>
                <c:pt idx="281">
                  <c:v>4.8727927336049158E-2</c:v>
                </c:pt>
                <c:pt idx="282">
                  <c:v>5.1918378097490787E-2</c:v>
                </c:pt>
                <c:pt idx="283">
                  <c:v>4.8533485786131057E-2</c:v>
                </c:pt>
                <c:pt idx="284">
                  <c:v>4.658352988139719E-2</c:v>
                </c:pt>
                <c:pt idx="285">
                  <c:v>4.599663238146396E-2</c:v>
                </c:pt>
                <c:pt idx="286">
                  <c:v>4.5284276932768035E-2</c:v>
                </c:pt>
                <c:pt idx="287">
                  <c:v>4.4340359577950988E-2</c:v>
                </c:pt>
                <c:pt idx="288">
                  <c:v>4.3410003073857513E-2</c:v>
                </c:pt>
                <c:pt idx="289">
                  <c:v>4.3303821435516782E-2</c:v>
                </c:pt>
                <c:pt idx="290">
                  <c:v>4.2248468334550746E-2</c:v>
                </c:pt>
                <c:pt idx="291">
                  <c:v>4.4367600545884768E-2</c:v>
                </c:pt>
                <c:pt idx="292">
                  <c:v>4.2601965512900762E-2</c:v>
                </c:pt>
                <c:pt idx="293">
                  <c:v>4.180405481129322E-2</c:v>
                </c:pt>
                <c:pt idx="294">
                  <c:v>4.2287935295113668E-2</c:v>
                </c:pt>
                <c:pt idx="295">
                  <c:v>4.1394265577269988E-2</c:v>
                </c:pt>
                <c:pt idx="296">
                  <c:v>4.2606252022728268E-2</c:v>
                </c:pt>
                <c:pt idx="297">
                  <c:v>4.2401659483252717E-2</c:v>
                </c:pt>
                <c:pt idx="298">
                  <c:v>4.2313936000901921E-2</c:v>
                </c:pt>
                <c:pt idx="299">
                  <c:v>4.1837231199319327E-2</c:v>
                </c:pt>
                <c:pt idx="300">
                  <c:v>4.2298690989784712E-2</c:v>
                </c:pt>
                <c:pt idx="301">
                  <c:v>4.1787792979986318E-2</c:v>
                </c:pt>
                <c:pt idx="302">
                  <c:v>4.1656077752768715E-2</c:v>
                </c:pt>
                <c:pt idx="303">
                  <c:v>4.2853397530464667E-2</c:v>
                </c:pt>
                <c:pt idx="304">
                  <c:v>4.2241346247140092E-2</c:v>
                </c:pt>
                <c:pt idx="305">
                  <c:v>4.2704914953432163E-2</c:v>
                </c:pt>
                <c:pt idx="306">
                  <c:v>4.1664981905286724E-2</c:v>
                </c:pt>
                <c:pt idx="307">
                  <c:v>4.1366745145532215E-2</c:v>
                </c:pt>
                <c:pt idx="308">
                  <c:v>4.115568967377544E-2</c:v>
                </c:pt>
                <c:pt idx="309">
                  <c:v>4.100758801611333E-2</c:v>
                </c:pt>
                <c:pt idx="310">
                  <c:v>4.1633153093666879E-2</c:v>
                </c:pt>
                <c:pt idx="311">
                  <c:v>4.1673123578977775E-2</c:v>
                </c:pt>
                <c:pt idx="312">
                  <c:v>4.2635927500662529E-2</c:v>
                </c:pt>
                <c:pt idx="313">
                  <c:v>4.2714544844584999E-2</c:v>
                </c:pt>
                <c:pt idx="314">
                  <c:v>4.299769898550105E-2</c:v>
                </c:pt>
                <c:pt idx="315">
                  <c:v>4.2752902788073865E-2</c:v>
                </c:pt>
                <c:pt idx="316">
                  <c:v>4.3671471501208085E-2</c:v>
                </c:pt>
                <c:pt idx="317">
                  <c:v>4.2843186017184107E-2</c:v>
                </c:pt>
                <c:pt idx="318">
                  <c:v>4.1825073415052164E-2</c:v>
                </c:pt>
                <c:pt idx="319">
                  <c:v>4.2371859340947789E-2</c:v>
                </c:pt>
                <c:pt idx="320">
                  <c:v>4.2810188983442014E-2</c:v>
                </c:pt>
                <c:pt idx="321">
                  <c:v>4.1797379095342015E-2</c:v>
                </c:pt>
                <c:pt idx="322">
                  <c:v>4.1452422838514504E-2</c:v>
                </c:pt>
                <c:pt idx="323">
                  <c:v>4.1248150974447929E-2</c:v>
                </c:pt>
                <c:pt idx="324">
                  <c:v>4.1370183404328076E-2</c:v>
                </c:pt>
                <c:pt idx="325">
                  <c:v>4.1066385049260315E-2</c:v>
                </c:pt>
                <c:pt idx="326">
                  <c:v>4.0039293805852652E-2</c:v>
                </c:pt>
                <c:pt idx="327">
                  <c:v>3.9537084223229942E-2</c:v>
                </c:pt>
                <c:pt idx="328">
                  <c:v>3.9257166668896067E-2</c:v>
                </c:pt>
                <c:pt idx="329">
                  <c:v>3.9764851819826759E-2</c:v>
                </c:pt>
                <c:pt idx="330">
                  <c:v>3.9661877307541199E-2</c:v>
                </c:pt>
                <c:pt idx="331">
                  <c:v>4.0342238985379877E-2</c:v>
                </c:pt>
                <c:pt idx="332">
                  <c:v>4.0501638336696476E-2</c:v>
                </c:pt>
                <c:pt idx="333">
                  <c:v>3.9389391835919552E-2</c:v>
                </c:pt>
                <c:pt idx="334">
                  <c:v>3.8531052999952561E-2</c:v>
                </c:pt>
                <c:pt idx="335">
                  <c:v>3.9050794368675146E-2</c:v>
                </c:pt>
                <c:pt idx="336">
                  <c:v>3.9270883681317183E-2</c:v>
                </c:pt>
                <c:pt idx="337">
                  <c:v>4.0238776708557134E-2</c:v>
                </c:pt>
                <c:pt idx="338">
                  <c:v>4.1372904733334298E-2</c:v>
                </c:pt>
                <c:pt idx="339">
                  <c:v>3.8545555553710469E-2</c:v>
                </c:pt>
                <c:pt idx="340">
                  <c:v>3.7956286783555331E-2</c:v>
                </c:pt>
                <c:pt idx="341">
                  <c:v>3.8867217552124314E-2</c:v>
                </c:pt>
                <c:pt idx="342">
                  <c:v>4.0095237385587464E-2</c:v>
                </c:pt>
                <c:pt idx="343">
                  <c:v>3.8575662795060049E-2</c:v>
                </c:pt>
                <c:pt idx="344">
                  <c:v>3.8635587264054319E-2</c:v>
                </c:pt>
                <c:pt idx="345">
                  <c:v>3.6088568063161748E-2</c:v>
                </c:pt>
                <c:pt idx="346">
                  <c:v>3.6320328481007677E-2</c:v>
                </c:pt>
                <c:pt idx="347">
                  <c:v>3.4875995970461697E-2</c:v>
                </c:pt>
                <c:pt idx="348">
                  <c:v>3.5450203768271099E-2</c:v>
                </c:pt>
                <c:pt idx="349">
                  <c:v>3.342117923582702E-2</c:v>
                </c:pt>
                <c:pt idx="350">
                  <c:v>3.3956246004924202E-2</c:v>
                </c:pt>
                <c:pt idx="351">
                  <c:v>3.2193596820034566E-2</c:v>
                </c:pt>
                <c:pt idx="352">
                  <c:v>3.1889476191821232E-2</c:v>
                </c:pt>
                <c:pt idx="353">
                  <c:v>3.174822809681313E-2</c:v>
                </c:pt>
                <c:pt idx="354">
                  <c:v>3.0536959753870167E-2</c:v>
                </c:pt>
                <c:pt idx="355">
                  <c:v>3.0864131065857319E-2</c:v>
                </c:pt>
                <c:pt idx="356">
                  <c:v>3.1827659969114463E-2</c:v>
                </c:pt>
                <c:pt idx="357">
                  <c:v>3.101101108011934E-2</c:v>
                </c:pt>
                <c:pt idx="358">
                  <c:v>3.1896298755019342E-2</c:v>
                </c:pt>
                <c:pt idx="359">
                  <c:v>3.1091944713441944E-2</c:v>
                </c:pt>
                <c:pt idx="360">
                  <c:v>3.0271468412593136E-2</c:v>
                </c:pt>
                <c:pt idx="361">
                  <c:v>2.963131385183914E-2</c:v>
                </c:pt>
                <c:pt idx="362">
                  <c:v>2.9352633569644935E-2</c:v>
                </c:pt>
                <c:pt idx="363">
                  <c:v>2.9279350873002409E-2</c:v>
                </c:pt>
                <c:pt idx="364">
                  <c:v>2.9425584560708488E-2</c:v>
                </c:pt>
                <c:pt idx="365">
                  <c:v>2.8503615837711486E-2</c:v>
                </c:pt>
                <c:pt idx="366">
                  <c:v>2.988444295967475E-2</c:v>
                </c:pt>
                <c:pt idx="367">
                  <c:v>2.9651660131905521E-2</c:v>
                </c:pt>
                <c:pt idx="368">
                  <c:v>3.0638799847752266E-2</c:v>
                </c:pt>
                <c:pt idx="369">
                  <c:v>3.0744466045500875E-2</c:v>
                </c:pt>
                <c:pt idx="370">
                  <c:v>3.0454080694638029E-2</c:v>
                </c:pt>
                <c:pt idx="371">
                  <c:v>2.9764151895475658E-2</c:v>
                </c:pt>
                <c:pt idx="372">
                  <c:v>3.1516242940230435E-2</c:v>
                </c:pt>
                <c:pt idx="373">
                  <c:v>3.1690530677199583E-2</c:v>
                </c:pt>
                <c:pt idx="374">
                  <c:v>3.2260786978112126E-2</c:v>
                </c:pt>
                <c:pt idx="375">
                  <c:v>3.1854165761316555E-2</c:v>
                </c:pt>
                <c:pt idx="376">
                  <c:v>3.1370557543966018E-2</c:v>
                </c:pt>
                <c:pt idx="377">
                  <c:v>3.1712802774548139E-2</c:v>
                </c:pt>
                <c:pt idx="378">
                  <c:v>3.1812204679660921E-2</c:v>
                </c:pt>
                <c:pt idx="379">
                  <c:v>3.2414939809974244E-2</c:v>
                </c:pt>
                <c:pt idx="380">
                  <c:v>3.1067138271171666E-2</c:v>
                </c:pt>
                <c:pt idx="381">
                  <c:v>3.2428099856138815E-2</c:v>
                </c:pt>
                <c:pt idx="382">
                  <c:v>3.4318960571919993E-2</c:v>
                </c:pt>
                <c:pt idx="383">
                  <c:v>3.0388640978620561E-2</c:v>
                </c:pt>
                <c:pt idx="384">
                  <c:v>2.9407434507586896E-2</c:v>
                </c:pt>
                <c:pt idx="385">
                  <c:v>2.9618676038125256E-2</c:v>
                </c:pt>
                <c:pt idx="386">
                  <c:v>3.0910567969268735E-2</c:v>
                </c:pt>
                <c:pt idx="387">
                  <c:v>2.9399919911095564E-2</c:v>
                </c:pt>
                <c:pt idx="388">
                  <c:v>2.8838189024022833E-2</c:v>
                </c:pt>
                <c:pt idx="389">
                  <c:v>2.9576391706631528E-2</c:v>
                </c:pt>
                <c:pt idx="390">
                  <c:v>2.9504130222781533E-2</c:v>
                </c:pt>
                <c:pt idx="391">
                  <c:v>2.6615049333780602E-2</c:v>
                </c:pt>
                <c:pt idx="392">
                  <c:v>2.9192323276317912E-2</c:v>
                </c:pt>
                <c:pt idx="393">
                  <c:v>2.9694889046431566E-2</c:v>
                </c:pt>
                <c:pt idx="394">
                  <c:v>3.0024570243329787E-2</c:v>
                </c:pt>
                <c:pt idx="395">
                  <c:v>2.9979218279392286E-2</c:v>
                </c:pt>
                <c:pt idx="396">
                  <c:v>2.9409391273988283E-2</c:v>
                </c:pt>
                <c:pt idx="397">
                  <c:v>3.068274760237168E-2</c:v>
                </c:pt>
                <c:pt idx="398">
                  <c:v>2.9563574184480686E-2</c:v>
                </c:pt>
                <c:pt idx="399">
                  <c:v>2.9039160050871812E-2</c:v>
                </c:pt>
                <c:pt idx="400">
                  <c:v>2.8157585891029679E-2</c:v>
                </c:pt>
                <c:pt idx="401">
                  <c:v>2.9893062239585346E-2</c:v>
                </c:pt>
                <c:pt idx="402">
                  <c:v>2.9135707703048918E-2</c:v>
                </c:pt>
                <c:pt idx="403">
                  <c:v>2.9463762906847917E-2</c:v>
                </c:pt>
                <c:pt idx="404">
                  <c:v>2.9825311444778121E-2</c:v>
                </c:pt>
                <c:pt idx="405">
                  <c:v>3.0275111836995511E-2</c:v>
                </c:pt>
                <c:pt idx="406">
                  <c:v>3.0869432274799824E-2</c:v>
                </c:pt>
                <c:pt idx="407">
                  <c:v>3.0279037415897759E-2</c:v>
                </c:pt>
                <c:pt idx="408">
                  <c:v>2.8929993264301769E-2</c:v>
                </c:pt>
                <c:pt idx="409">
                  <c:v>2.9829663708711828E-2</c:v>
                </c:pt>
                <c:pt idx="410">
                  <c:v>3.057382372724814E-2</c:v>
                </c:pt>
                <c:pt idx="411">
                  <c:v>2.9565014105576427E-2</c:v>
                </c:pt>
                <c:pt idx="412">
                  <c:v>2.8982355067138123E-2</c:v>
                </c:pt>
                <c:pt idx="413">
                  <c:v>2.7853935511683182E-2</c:v>
                </c:pt>
                <c:pt idx="414">
                  <c:v>2.747874023480263E-2</c:v>
                </c:pt>
                <c:pt idx="415">
                  <c:v>2.7268850371455128E-2</c:v>
                </c:pt>
                <c:pt idx="416">
                  <c:v>2.7733668742670626E-2</c:v>
                </c:pt>
                <c:pt idx="417">
                  <c:v>2.7876891559754122E-2</c:v>
                </c:pt>
                <c:pt idx="418">
                  <c:v>2.7203098030322479E-2</c:v>
                </c:pt>
                <c:pt idx="419">
                  <c:v>2.6644009290163306E-2</c:v>
                </c:pt>
                <c:pt idx="420">
                  <c:v>2.766089483826395E-2</c:v>
                </c:pt>
                <c:pt idx="421">
                  <c:v>2.6974851099327565E-2</c:v>
                </c:pt>
                <c:pt idx="422">
                  <c:v>2.6562596350612665E-2</c:v>
                </c:pt>
                <c:pt idx="423">
                  <c:v>2.6735853194245724E-2</c:v>
                </c:pt>
                <c:pt idx="424">
                  <c:v>2.5830556508526632E-2</c:v>
                </c:pt>
                <c:pt idx="425">
                  <c:v>2.5467172643889594E-2</c:v>
                </c:pt>
                <c:pt idx="426">
                  <c:v>2.5092820127186222E-2</c:v>
                </c:pt>
                <c:pt idx="427">
                  <c:v>2.4992232147628701E-2</c:v>
                </c:pt>
                <c:pt idx="428">
                  <c:v>2.504765516342327E-2</c:v>
                </c:pt>
                <c:pt idx="429">
                  <c:v>2.5882947596328868E-2</c:v>
                </c:pt>
                <c:pt idx="430">
                  <c:v>2.5671092053165159E-2</c:v>
                </c:pt>
                <c:pt idx="431">
                  <c:v>2.4546122624497721E-2</c:v>
                </c:pt>
                <c:pt idx="432">
                  <c:v>2.4766709269590612E-2</c:v>
                </c:pt>
                <c:pt idx="433">
                  <c:v>2.3675681954561868E-2</c:v>
                </c:pt>
                <c:pt idx="434">
                  <c:v>2.3416334506412159E-2</c:v>
                </c:pt>
                <c:pt idx="435">
                  <c:v>2.4005919744367842E-2</c:v>
                </c:pt>
                <c:pt idx="436">
                  <c:v>2.3689088353000043E-2</c:v>
                </c:pt>
                <c:pt idx="437">
                  <c:v>2.2670243580080848E-2</c:v>
                </c:pt>
                <c:pt idx="438">
                  <c:v>2.2156023234552454E-2</c:v>
                </c:pt>
                <c:pt idx="439">
                  <c:v>2.2348889036502454E-2</c:v>
                </c:pt>
                <c:pt idx="440">
                  <c:v>2.1794931682216735E-2</c:v>
                </c:pt>
                <c:pt idx="441">
                  <c:v>2.1449603482494892E-2</c:v>
                </c:pt>
                <c:pt idx="442">
                  <c:v>2.1608116597739768E-2</c:v>
                </c:pt>
                <c:pt idx="443">
                  <c:v>2.243829048788239E-2</c:v>
                </c:pt>
                <c:pt idx="444">
                  <c:v>2.2573406006794212E-2</c:v>
                </c:pt>
                <c:pt idx="445">
                  <c:v>2.3203418991954515E-2</c:v>
                </c:pt>
                <c:pt idx="446">
                  <c:v>2.24930115584802E-2</c:v>
                </c:pt>
                <c:pt idx="447">
                  <c:v>2.3881337960844268E-2</c:v>
                </c:pt>
                <c:pt idx="448">
                  <c:v>2.417123099291767E-2</c:v>
                </c:pt>
                <c:pt idx="449">
                  <c:v>2.3783247251663048E-2</c:v>
                </c:pt>
                <c:pt idx="450">
                  <c:v>2.4388717024439691E-2</c:v>
                </c:pt>
                <c:pt idx="451">
                  <c:v>2.3554255439029999E-2</c:v>
                </c:pt>
                <c:pt idx="452">
                  <c:v>2.4124425203271009E-2</c:v>
                </c:pt>
                <c:pt idx="453">
                  <c:v>2.3710801937290683E-2</c:v>
                </c:pt>
                <c:pt idx="454">
                  <c:v>2.3147950320234336E-2</c:v>
                </c:pt>
                <c:pt idx="455">
                  <c:v>2.2692093935673903E-2</c:v>
                </c:pt>
                <c:pt idx="456">
                  <c:v>2.2958933705550629E-2</c:v>
                </c:pt>
                <c:pt idx="457">
                  <c:v>2.3549867761036916E-2</c:v>
                </c:pt>
                <c:pt idx="458">
                  <c:v>2.3809092201415749E-2</c:v>
                </c:pt>
                <c:pt idx="459">
                  <c:v>2.4628664747773362E-2</c:v>
                </c:pt>
                <c:pt idx="460">
                  <c:v>2.4615936285190834E-2</c:v>
                </c:pt>
                <c:pt idx="461">
                  <c:v>2.4117489826952856E-2</c:v>
                </c:pt>
                <c:pt idx="462">
                  <c:v>2.3378901885308664E-2</c:v>
                </c:pt>
                <c:pt idx="463">
                  <c:v>2.2628567567063631E-2</c:v>
                </c:pt>
                <c:pt idx="464">
                  <c:v>2.2687496757537919E-2</c:v>
                </c:pt>
                <c:pt idx="465">
                  <c:v>2.3753504318431873E-2</c:v>
                </c:pt>
                <c:pt idx="466">
                  <c:v>2.3962014562933662E-2</c:v>
                </c:pt>
                <c:pt idx="467">
                  <c:v>2.3440019668299748E-2</c:v>
                </c:pt>
                <c:pt idx="468">
                  <c:v>2.3700166167727299E-2</c:v>
                </c:pt>
                <c:pt idx="469">
                  <c:v>2.4940223278910045E-2</c:v>
                </c:pt>
                <c:pt idx="470">
                  <c:v>2.4336768126087122E-2</c:v>
                </c:pt>
                <c:pt idx="471">
                  <c:v>2.4679028052747128E-2</c:v>
                </c:pt>
                <c:pt idx="472">
                  <c:v>2.4585100916607747E-2</c:v>
                </c:pt>
                <c:pt idx="473">
                  <c:v>2.6495237204716603E-2</c:v>
                </c:pt>
                <c:pt idx="474">
                  <c:v>2.5651852508998919E-2</c:v>
                </c:pt>
                <c:pt idx="475">
                  <c:v>2.6255193547906428E-2</c:v>
                </c:pt>
                <c:pt idx="476">
                  <c:v>2.5213901255591309E-2</c:v>
                </c:pt>
                <c:pt idx="477">
                  <c:v>2.4502943881913004E-2</c:v>
                </c:pt>
                <c:pt idx="478">
                  <c:v>2.3563394220421755E-2</c:v>
                </c:pt>
                <c:pt idx="479">
                  <c:v>2.4898637566402638E-2</c:v>
                </c:pt>
                <c:pt idx="480">
                  <c:v>2.394271360160715E-2</c:v>
                </c:pt>
                <c:pt idx="481">
                  <c:v>2.3914746477773575E-2</c:v>
                </c:pt>
                <c:pt idx="482">
                  <c:v>2.338295124481957E-2</c:v>
                </c:pt>
                <c:pt idx="483">
                  <c:v>2.2719774254840144E-2</c:v>
                </c:pt>
                <c:pt idx="484">
                  <c:v>2.4375681943131344E-2</c:v>
                </c:pt>
                <c:pt idx="485">
                  <c:v>2.2890668094179428E-2</c:v>
                </c:pt>
                <c:pt idx="486">
                  <c:v>2.2013408018401143E-2</c:v>
                </c:pt>
                <c:pt idx="487">
                  <c:v>2.2639370607444462E-2</c:v>
                </c:pt>
                <c:pt idx="488">
                  <c:v>2.2507789560557868E-2</c:v>
                </c:pt>
                <c:pt idx="489">
                  <c:v>2.2212789131780777E-2</c:v>
                </c:pt>
                <c:pt idx="490">
                  <c:v>2.1877323405319123E-2</c:v>
                </c:pt>
                <c:pt idx="491">
                  <c:v>2.107729929713522E-2</c:v>
                </c:pt>
                <c:pt idx="492">
                  <c:v>2.1582369907125244E-2</c:v>
                </c:pt>
                <c:pt idx="493">
                  <c:v>2.1493810482201534E-2</c:v>
                </c:pt>
                <c:pt idx="494">
                  <c:v>2.1717139790203441E-2</c:v>
                </c:pt>
                <c:pt idx="495">
                  <c:v>2.1724583034347631E-2</c:v>
                </c:pt>
                <c:pt idx="496">
                  <c:v>2.1445965877716629E-2</c:v>
                </c:pt>
                <c:pt idx="497">
                  <c:v>2.1706414159439701E-2</c:v>
                </c:pt>
                <c:pt idx="498">
                  <c:v>2.1040921526757725E-2</c:v>
                </c:pt>
                <c:pt idx="499">
                  <c:v>2.1513794193724099E-2</c:v>
                </c:pt>
                <c:pt idx="500">
                  <c:v>2.1280286608778756E-2</c:v>
                </c:pt>
                <c:pt idx="501">
                  <c:v>2.0946788911965622E-2</c:v>
                </c:pt>
                <c:pt idx="502">
                  <c:v>2.1527561889077083E-2</c:v>
                </c:pt>
                <c:pt idx="503">
                  <c:v>2.1042352662265604E-2</c:v>
                </c:pt>
                <c:pt idx="504">
                  <c:v>2.1226680827795052E-2</c:v>
                </c:pt>
                <c:pt idx="505">
                  <c:v>2.0977847701001355E-2</c:v>
                </c:pt>
                <c:pt idx="506">
                  <c:v>2.0877409576851486E-2</c:v>
                </c:pt>
                <c:pt idx="507">
                  <c:v>1.9834674186517198E-2</c:v>
                </c:pt>
                <c:pt idx="508">
                  <c:v>1.9093656614628616E-2</c:v>
                </c:pt>
                <c:pt idx="509">
                  <c:v>1.8593222196392072E-2</c:v>
                </c:pt>
                <c:pt idx="510">
                  <c:v>1.8867426697901177E-2</c:v>
                </c:pt>
                <c:pt idx="511">
                  <c:v>1.8105894973369542E-2</c:v>
                </c:pt>
                <c:pt idx="512">
                  <c:v>1.9009961921138199E-2</c:v>
                </c:pt>
                <c:pt idx="513">
                  <c:v>1.938491045538927E-2</c:v>
                </c:pt>
                <c:pt idx="514">
                  <c:v>1.8624485142416193E-2</c:v>
                </c:pt>
                <c:pt idx="515">
                  <c:v>1.9225772266067684E-2</c:v>
                </c:pt>
                <c:pt idx="516">
                  <c:v>1.8530340788480083E-2</c:v>
                </c:pt>
                <c:pt idx="517">
                  <c:v>1.9263734545290338E-2</c:v>
                </c:pt>
                <c:pt idx="518">
                  <c:v>1.8618380924417501E-2</c:v>
                </c:pt>
                <c:pt idx="519">
                  <c:v>1.8166011400968671E-2</c:v>
                </c:pt>
                <c:pt idx="520">
                  <c:v>1.7958842804435333E-2</c:v>
                </c:pt>
                <c:pt idx="521">
                  <c:v>1.8199523929239719E-2</c:v>
                </c:pt>
                <c:pt idx="522">
                  <c:v>1.7743386132098398E-2</c:v>
                </c:pt>
                <c:pt idx="523">
                  <c:v>1.8161058346637674E-2</c:v>
                </c:pt>
                <c:pt idx="524">
                  <c:v>1.7429441445471008E-2</c:v>
                </c:pt>
                <c:pt idx="525">
                  <c:v>1.9706330995953307E-2</c:v>
                </c:pt>
                <c:pt idx="526">
                  <c:v>1.7951695946985691E-2</c:v>
                </c:pt>
                <c:pt idx="527">
                  <c:v>1.8103892771390115E-2</c:v>
                </c:pt>
                <c:pt idx="528">
                  <c:v>1.8544071152645093E-2</c:v>
                </c:pt>
                <c:pt idx="529">
                  <c:v>1.8103339461517438E-2</c:v>
                </c:pt>
                <c:pt idx="530">
                  <c:v>1.7540130107593019E-2</c:v>
                </c:pt>
                <c:pt idx="531">
                  <c:v>1.794063267419432E-2</c:v>
                </c:pt>
                <c:pt idx="532">
                  <c:v>1.810449682497647E-2</c:v>
                </c:pt>
                <c:pt idx="533">
                  <c:v>1.7243104446061162E-2</c:v>
                </c:pt>
                <c:pt idx="534">
                  <c:v>1.6675362148918675E-2</c:v>
                </c:pt>
                <c:pt idx="535">
                  <c:v>1.7103453086763823E-2</c:v>
                </c:pt>
                <c:pt idx="536">
                  <c:v>1.6509323915340296E-2</c:v>
                </c:pt>
                <c:pt idx="537">
                  <c:v>1.6795488688736052E-2</c:v>
                </c:pt>
                <c:pt idx="538">
                  <c:v>1.6371666454156504E-2</c:v>
                </c:pt>
                <c:pt idx="539">
                  <c:v>1.5979686528513733E-2</c:v>
                </c:pt>
                <c:pt idx="540">
                  <c:v>1.5009228092612268E-2</c:v>
                </c:pt>
                <c:pt idx="541">
                  <c:v>1.4273816584409597E-2</c:v>
                </c:pt>
                <c:pt idx="542">
                  <c:v>1.4444669521817751E-2</c:v>
                </c:pt>
                <c:pt idx="543">
                  <c:v>1.3738325435575868E-2</c:v>
                </c:pt>
                <c:pt idx="544">
                  <c:v>1.3579117199517616E-2</c:v>
                </c:pt>
                <c:pt idx="545">
                  <c:v>1.2526405170022384E-2</c:v>
                </c:pt>
                <c:pt idx="546">
                  <c:v>1.1786304291250303E-2</c:v>
                </c:pt>
                <c:pt idx="547">
                  <c:v>1.163794517646689E-2</c:v>
                </c:pt>
                <c:pt idx="548">
                  <c:v>1.2587163713357231E-2</c:v>
                </c:pt>
                <c:pt idx="549">
                  <c:v>1.22969689712858E-2</c:v>
                </c:pt>
                <c:pt idx="550">
                  <c:v>1.157863168902226E-2</c:v>
                </c:pt>
                <c:pt idx="551">
                  <c:v>1.0529768941497691E-2</c:v>
                </c:pt>
                <c:pt idx="552">
                  <c:v>1.0096397086489625E-2</c:v>
                </c:pt>
                <c:pt idx="553">
                  <c:v>1.0587491900738152E-2</c:v>
                </c:pt>
                <c:pt idx="554">
                  <c:v>1.0232752960436964E-2</c:v>
                </c:pt>
                <c:pt idx="555">
                  <c:v>9.5364837856261493E-3</c:v>
                </c:pt>
                <c:pt idx="556">
                  <c:v>1.0064510738622677E-2</c:v>
                </c:pt>
                <c:pt idx="557">
                  <c:v>1.0207488417854385E-2</c:v>
                </c:pt>
                <c:pt idx="558">
                  <c:v>9.818014065598438E-3</c:v>
                </c:pt>
                <c:pt idx="559">
                  <c:v>9.656499093016857E-3</c:v>
                </c:pt>
                <c:pt idx="560">
                  <c:v>9.6893124867639142E-3</c:v>
                </c:pt>
                <c:pt idx="561">
                  <c:v>1.037990005285269E-2</c:v>
                </c:pt>
                <c:pt idx="562">
                  <c:v>1.0018032206563096E-2</c:v>
                </c:pt>
                <c:pt idx="563">
                  <c:v>1.0104012360993548E-2</c:v>
                </c:pt>
                <c:pt idx="564">
                  <c:v>9.807276901738703E-3</c:v>
                </c:pt>
                <c:pt idx="565">
                  <c:v>9.7617197962621052E-3</c:v>
                </c:pt>
                <c:pt idx="566">
                  <c:v>9.5622898757221075E-3</c:v>
                </c:pt>
                <c:pt idx="567">
                  <c:v>9.1648668263554379E-3</c:v>
                </c:pt>
                <c:pt idx="568">
                  <c:v>9.1031890472721005E-3</c:v>
                </c:pt>
                <c:pt idx="569">
                  <c:v>8.7780041186208864E-3</c:v>
                </c:pt>
                <c:pt idx="570">
                  <c:v>8.6905528352208845E-3</c:v>
                </c:pt>
                <c:pt idx="571">
                  <c:v>8.0287480384244585E-3</c:v>
                </c:pt>
                <c:pt idx="572">
                  <c:v>7.7905031369190064E-3</c:v>
                </c:pt>
                <c:pt idx="573">
                  <c:v>7.3757869851800916E-3</c:v>
                </c:pt>
                <c:pt idx="574">
                  <c:v>8.3662842793472813E-3</c:v>
                </c:pt>
                <c:pt idx="575">
                  <c:v>8.0678297299325331E-3</c:v>
                </c:pt>
                <c:pt idx="576">
                  <c:v>7.7560675236300969E-3</c:v>
                </c:pt>
                <c:pt idx="577">
                  <c:v>8.086432903677469E-3</c:v>
                </c:pt>
                <c:pt idx="578">
                  <c:v>7.9001532347341384E-3</c:v>
                </c:pt>
                <c:pt idx="579">
                  <c:v>7.6385011717018799E-3</c:v>
                </c:pt>
                <c:pt idx="580">
                  <c:v>7.699746388637174E-3</c:v>
                </c:pt>
                <c:pt idx="581">
                  <c:v>7.5848217916606332E-3</c:v>
                </c:pt>
                <c:pt idx="582">
                  <c:v>7.4986320869155371E-3</c:v>
                </c:pt>
                <c:pt idx="583">
                  <c:v>7.783254589835361E-3</c:v>
                </c:pt>
                <c:pt idx="584">
                  <c:v>7.4617220890282514E-3</c:v>
                </c:pt>
                <c:pt idx="585">
                  <c:v>7.2365066158452587E-3</c:v>
                </c:pt>
                <c:pt idx="586">
                  <c:v>7.220422901441979E-3</c:v>
                </c:pt>
                <c:pt idx="587">
                  <c:v>7.1896301277118201E-3</c:v>
                </c:pt>
                <c:pt idx="588">
                  <c:v>7.3502144225328706E-3</c:v>
                </c:pt>
                <c:pt idx="589">
                  <c:v>6.9499634612534555E-3</c:v>
                </c:pt>
                <c:pt idx="590">
                  <c:v>7.1941443096332812E-3</c:v>
                </c:pt>
                <c:pt idx="591">
                  <c:v>6.8871500189332819E-3</c:v>
                </c:pt>
                <c:pt idx="592">
                  <c:v>6.6445478915055766E-3</c:v>
                </c:pt>
                <c:pt idx="593">
                  <c:v>6.6944519939360504E-3</c:v>
                </c:pt>
                <c:pt idx="594">
                  <c:v>6.4253766856360523E-3</c:v>
                </c:pt>
                <c:pt idx="595">
                  <c:v>6.2067931547341451E-3</c:v>
                </c:pt>
                <c:pt idx="596">
                  <c:v>6.741719040326789E-3</c:v>
                </c:pt>
                <c:pt idx="597">
                  <c:v>6.1591620263324615E-3</c:v>
                </c:pt>
                <c:pt idx="598">
                  <c:v>6.1341688730500088E-3</c:v>
                </c:pt>
                <c:pt idx="599">
                  <c:v>5.7121816431443496E-3</c:v>
                </c:pt>
                <c:pt idx="600">
                  <c:v>5.7121816431443496E-3</c:v>
                </c:pt>
                <c:pt idx="601">
                  <c:v>5.605879745902969E-3</c:v>
                </c:pt>
                <c:pt idx="602">
                  <c:v>5.8743424578147326E-3</c:v>
                </c:pt>
                <c:pt idx="603">
                  <c:v>5.4990036376349211E-3</c:v>
                </c:pt>
                <c:pt idx="604">
                  <c:v>5.4851397165596918E-3</c:v>
                </c:pt>
                <c:pt idx="605">
                  <c:v>5.555663495392528E-3</c:v>
                </c:pt>
                <c:pt idx="606">
                  <c:v>4.9919720459727984E-3</c:v>
                </c:pt>
                <c:pt idx="607">
                  <c:v>5.3614569761794668E-3</c:v>
                </c:pt>
                <c:pt idx="608">
                  <c:v>4.8338045734347976E-3</c:v>
                </c:pt>
                <c:pt idx="609">
                  <c:v>5.2655059435293243E-3</c:v>
                </c:pt>
                <c:pt idx="610">
                  <c:v>4.6319521044425041E-3</c:v>
                </c:pt>
                <c:pt idx="611">
                  <c:v>4.3588231080519601E-3</c:v>
                </c:pt>
                <c:pt idx="612">
                  <c:v>4.1801415913545088E-3</c:v>
                </c:pt>
                <c:pt idx="613">
                  <c:v>4.0609035266704766E-3</c:v>
                </c:pt>
                <c:pt idx="614">
                  <c:v>4.5804067952081758E-3</c:v>
                </c:pt>
                <c:pt idx="615">
                  <c:v>4.6960923681238134E-3</c:v>
                </c:pt>
                <c:pt idx="616">
                  <c:v>4.3967443705868045E-3</c:v>
                </c:pt>
                <c:pt idx="617">
                  <c:v>4.6234758020192376E-3</c:v>
                </c:pt>
                <c:pt idx="618">
                  <c:v>4.7511144613912983E-3</c:v>
                </c:pt>
                <c:pt idx="619">
                  <c:v>4.5675035731118849E-3</c:v>
                </c:pt>
                <c:pt idx="620">
                  <c:v>4.325270879978315E-3</c:v>
                </c:pt>
                <c:pt idx="621">
                  <c:v>4.6501414635750117E-3</c:v>
                </c:pt>
                <c:pt idx="622">
                  <c:v>4.1720992981363076E-3</c:v>
                </c:pt>
                <c:pt idx="623">
                  <c:v>4.7777862773729944E-3</c:v>
                </c:pt>
                <c:pt idx="624">
                  <c:v>4.0919717555440525E-3</c:v>
                </c:pt>
                <c:pt idx="625">
                  <c:v>3.5198599868917707E-3</c:v>
                </c:pt>
                <c:pt idx="626">
                  <c:v>3.2112905151525173E-3</c:v>
                </c:pt>
                <c:pt idx="627">
                  <c:v>2.9801028654493325E-3</c:v>
                </c:pt>
                <c:pt idx="628">
                  <c:v>2.8034016747594333E-3</c:v>
                </c:pt>
                <c:pt idx="629">
                  <c:v>3.2251151873994338E-3</c:v>
                </c:pt>
                <c:pt idx="630">
                  <c:v>4.350569603842642E-3</c:v>
                </c:pt>
                <c:pt idx="631">
                  <c:v>2.7980104866693815E-3</c:v>
                </c:pt>
                <c:pt idx="632">
                  <c:v>3.798971148559593E-3</c:v>
                </c:pt>
                <c:pt idx="633">
                  <c:v>4.070694742421662E-3</c:v>
                </c:pt>
                <c:pt idx="634">
                  <c:v>3.8940969310549949E-3</c:v>
                </c:pt>
                <c:pt idx="635">
                  <c:v>4.2130924253785942E-3</c:v>
                </c:pt>
                <c:pt idx="636">
                  <c:v>4.0780351762750204E-3</c:v>
                </c:pt>
                <c:pt idx="637">
                  <c:v>4.1313954447464484E-3</c:v>
                </c:pt>
                <c:pt idx="638">
                  <c:v>4.9848378915567084E-3</c:v>
                </c:pt>
                <c:pt idx="639">
                  <c:v>4.0003828894563309E-3</c:v>
                </c:pt>
                <c:pt idx="640">
                  <c:v>4.2857335141237626E-3</c:v>
                </c:pt>
                <c:pt idx="641">
                  <c:v>3.8097556099492389E-3</c:v>
                </c:pt>
                <c:pt idx="642">
                  <c:v>3.575720643327944E-3</c:v>
                </c:pt>
                <c:pt idx="643">
                  <c:v>3.8766701724522006E-3</c:v>
                </c:pt>
                <c:pt idx="644">
                  <c:v>3.9368605341549533E-3</c:v>
                </c:pt>
                <c:pt idx="645">
                  <c:v>3.7329296078521075E-3</c:v>
                </c:pt>
                <c:pt idx="646">
                  <c:v>3.3576040261314955E-3</c:v>
                </c:pt>
                <c:pt idx="647">
                  <c:v>3.2492156926514949E-3</c:v>
                </c:pt>
                <c:pt idx="648">
                  <c:v>3.708754585330229E-3</c:v>
                </c:pt>
                <c:pt idx="649">
                  <c:v>3.9423109529610383E-3</c:v>
                </c:pt>
                <c:pt idx="650">
                  <c:v>3.6567456257230097E-3</c:v>
                </c:pt>
                <c:pt idx="651">
                  <c:v>4.0762089988448831E-3</c:v>
                </c:pt>
                <c:pt idx="652">
                  <c:v>3.0694988901458693E-3</c:v>
                </c:pt>
                <c:pt idx="653">
                  <c:v>4.1103610305120398E-3</c:v>
                </c:pt>
                <c:pt idx="654">
                  <c:v>4.0156185787848008E-3</c:v>
                </c:pt>
                <c:pt idx="655">
                  <c:v>3.5481681914102709E-3</c:v>
                </c:pt>
                <c:pt idx="656">
                  <c:v>3.8410477595279395E-3</c:v>
                </c:pt>
                <c:pt idx="657">
                  <c:v>3.7268437249875974E-3</c:v>
                </c:pt>
                <c:pt idx="658">
                  <c:v>4.3041719563751994E-3</c:v>
                </c:pt>
                <c:pt idx="659">
                  <c:v>3.8604703301174537E-3</c:v>
                </c:pt>
                <c:pt idx="660">
                  <c:v>3.2789425954024344E-3</c:v>
                </c:pt>
                <c:pt idx="661">
                  <c:v>4.020236762451574E-3</c:v>
                </c:pt>
                <c:pt idx="662">
                  <c:v>2.9133220652939385E-3</c:v>
                </c:pt>
                <c:pt idx="663">
                  <c:v>3.1638056250671964E-3</c:v>
                </c:pt>
                <c:pt idx="664">
                  <c:v>2.8276689998344897E-3</c:v>
                </c:pt>
                <c:pt idx="665">
                  <c:v>2.3859152415932265E-3</c:v>
                </c:pt>
                <c:pt idx="666">
                  <c:v>2.2403900191794476E-3</c:v>
                </c:pt>
                <c:pt idx="667">
                  <c:v>1.6204389311160344E-3</c:v>
                </c:pt>
                <c:pt idx="668">
                  <c:v>1.4818161325630629E-3</c:v>
                </c:pt>
                <c:pt idx="669">
                  <c:v>1.102721670989573E-3</c:v>
                </c:pt>
                <c:pt idx="670">
                  <c:v>1.7905149221468875E-3</c:v>
                </c:pt>
                <c:pt idx="671">
                  <c:v>1.4817519775424297E-3</c:v>
                </c:pt>
                <c:pt idx="672">
                  <c:v>2.3573146866856702E-3</c:v>
                </c:pt>
                <c:pt idx="673">
                  <c:v>1.3520167195051505E-3</c:v>
                </c:pt>
                <c:pt idx="674">
                  <c:v>9.2724698004086655E-4</c:v>
                </c:pt>
                <c:pt idx="675">
                  <c:v>-2.2956631196571748E-4</c:v>
                </c:pt>
                <c:pt idx="676">
                  <c:v>-9.8247754546353463E-4</c:v>
                </c:pt>
                <c:pt idx="677">
                  <c:v>4.0020422040010304E-4</c:v>
                </c:pt>
                <c:pt idx="678">
                  <c:v>8.0197925748010383E-4</c:v>
                </c:pt>
                <c:pt idx="679">
                  <c:v>1.0486021169738534E-3</c:v>
                </c:pt>
                <c:pt idx="680">
                  <c:v>3.8105393897780817E-4</c:v>
                </c:pt>
                <c:pt idx="681">
                  <c:v>-6.7810013462218954E-4</c:v>
                </c:pt>
                <c:pt idx="682">
                  <c:v>-1.1097251775870128E-3</c:v>
                </c:pt>
                <c:pt idx="683">
                  <c:v>-1.1165245613892064E-3</c:v>
                </c:pt>
                <c:pt idx="684">
                  <c:v>-8.8998884878705104E-4</c:v>
                </c:pt>
                <c:pt idx="685">
                  <c:v>-1.8901823453288438E-4</c:v>
                </c:pt>
                <c:pt idx="686">
                  <c:v>-1.6367277693390655E-3</c:v>
                </c:pt>
                <c:pt idx="687">
                  <c:v>9.975363920627651E-4</c:v>
                </c:pt>
                <c:pt idx="688">
                  <c:v>8.0187969363771457E-4</c:v>
                </c:pt>
                <c:pt idx="689">
                  <c:v>1.0165066422504318E-3</c:v>
                </c:pt>
                <c:pt idx="690">
                  <c:v>6.6746268321393385E-4</c:v>
                </c:pt>
                <c:pt idx="691">
                  <c:v>1.6113239267118195E-3</c:v>
                </c:pt>
                <c:pt idx="692">
                  <c:v>2.0955095333185948E-3</c:v>
                </c:pt>
                <c:pt idx="693">
                  <c:v>1.867410401098778E-3</c:v>
                </c:pt>
                <c:pt idx="694">
                  <c:v>1.7643798878551299E-3</c:v>
                </c:pt>
                <c:pt idx="695">
                  <c:v>1.9474019105069555E-3</c:v>
                </c:pt>
                <c:pt idx="696">
                  <c:v>2.2258369854959554E-3</c:v>
                </c:pt>
                <c:pt idx="697">
                  <c:v>1.765981769037555E-3</c:v>
                </c:pt>
                <c:pt idx="698">
                  <c:v>1.9907248388716299E-3</c:v>
                </c:pt>
                <c:pt idx="699">
                  <c:v>2.455297332529297E-3</c:v>
                </c:pt>
                <c:pt idx="700">
                  <c:v>2.5515647779474787E-3</c:v>
                </c:pt>
                <c:pt idx="701">
                  <c:v>2.3535727251062992E-3</c:v>
                </c:pt>
                <c:pt idx="702">
                  <c:v>2.8591239135383069E-3</c:v>
                </c:pt>
                <c:pt idx="703">
                  <c:v>3.3231256577357822E-3</c:v>
                </c:pt>
                <c:pt idx="704">
                  <c:v>3.7350958489887043E-3</c:v>
                </c:pt>
                <c:pt idx="705">
                  <c:v>3.1959267243274058E-3</c:v>
                </c:pt>
                <c:pt idx="706">
                  <c:v>3.7643975097730459E-3</c:v>
                </c:pt>
                <c:pt idx="707">
                  <c:v>3.4866421249335378E-3</c:v>
                </c:pt>
                <c:pt idx="708">
                  <c:v>3.8346751664604596E-3</c:v>
                </c:pt>
                <c:pt idx="709">
                  <c:v>4.2379405525234132E-3</c:v>
                </c:pt>
                <c:pt idx="710">
                  <c:v>3.7662932750266707E-3</c:v>
                </c:pt>
                <c:pt idx="711">
                  <c:v>4.0339979201161006E-3</c:v>
                </c:pt>
                <c:pt idx="712">
                  <c:v>3.7540073038542354E-3</c:v>
                </c:pt>
                <c:pt idx="713">
                  <c:v>4.0898414464576845E-3</c:v>
                </c:pt>
                <c:pt idx="714">
                  <c:v>3.6073417544642025E-3</c:v>
                </c:pt>
                <c:pt idx="715">
                  <c:v>3.6286899035451055E-3</c:v>
                </c:pt>
                <c:pt idx="716">
                  <c:v>2.7371549196989636E-3</c:v>
                </c:pt>
                <c:pt idx="717">
                  <c:v>2.0900859032026023E-3</c:v>
                </c:pt>
                <c:pt idx="718">
                  <c:v>2.3620903831423458E-3</c:v>
                </c:pt>
                <c:pt idx="719">
                  <c:v>1.6400648585190374E-3</c:v>
                </c:pt>
                <c:pt idx="720">
                  <c:v>1.3474068114515271E-3</c:v>
                </c:pt>
                <c:pt idx="721">
                  <c:v>1.3909903085097045E-3</c:v>
                </c:pt>
                <c:pt idx="722">
                  <c:v>1.3754855368893293E-3</c:v>
                </c:pt>
                <c:pt idx="723">
                  <c:v>1.1259172357776142E-3</c:v>
                </c:pt>
                <c:pt idx="724">
                  <c:v>1.2316060618141997E-3</c:v>
                </c:pt>
                <c:pt idx="725">
                  <c:v>9.7262067091040654E-4</c:v>
                </c:pt>
                <c:pt idx="726">
                  <c:v>8.5203169510167213E-4</c:v>
                </c:pt>
                <c:pt idx="727">
                  <c:v>6.2464539350019256E-4</c:v>
                </c:pt>
                <c:pt idx="728">
                  <c:v>7.7893185008064494E-4</c:v>
                </c:pt>
                <c:pt idx="729">
                  <c:v>5.4038982284291924E-5</c:v>
                </c:pt>
                <c:pt idx="730">
                  <c:v>-2.4076682304370573E-4</c:v>
                </c:pt>
                <c:pt idx="731">
                  <c:v>-6.045255415104893E-4</c:v>
                </c:pt>
                <c:pt idx="732">
                  <c:v>-7.5588819390224281E-4</c:v>
                </c:pt>
                <c:pt idx="733">
                  <c:v>-9.1291673581068013E-4</c:v>
                </c:pt>
                <c:pt idx="734">
                  <c:v>-9.3241673211290268E-4</c:v>
                </c:pt>
                <c:pt idx="735">
                  <c:v>-1.1991895402020812E-3</c:v>
                </c:pt>
                <c:pt idx="736">
                  <c:v>-1.1278884488162939E-3</c:v>
                </c:pt>
                <c:pt idx="737">
                  <c:v>-1.0218241983935678E-3</c:v>
                </c:pt>
                <c:pt idx="738">
                  <c:v>-1.0930491613807582E-3</c:v>
                </c:pt>
                <c:pt idx="739">
                  <c:v>-1.1851556106491057E-3</c:v>
                </c:pt>
                <c:pt idx="740">
                  <c:v>-1.0498855634137418E-3</c:v>
                </c:pt>
                <c:pt idx="741">
                  <c:v>-6.8717712746885554E-4</c:v>
                </c:pt>
                <c:pt idx="742">
                  <c:v>-8.9813137293615183E-4</c:v>
                </c:pt>
                <c:pt idx="743">
                  <c:v>-8.6397519789316042E-4</c:v>
                </c:pt>
                <c:pt idx="744">
                  <c:v>-2.2126720712849482E-3</c:v>
                </c:pt>
                <c:pt idx="745">
                  <c:v>-3.2233904682842018E-3</c:v>
                </c:pt>
                <c:pt idx="746">
                  <c:v>-3.1310622961701401E-3</c:v>
                </c:pt>
                <c:pt idx="747">
                  <c:v>-3.3125673914177582E-3</c:v>
                </c:pt>
                <c:pt idx="748">
                  <c:v>-2.0241370413626408E-3</c:v>
                </c:pt>
                <c:pt idx="749">
                  <c:v>-2.1473131407668085E-3</c:v>
                </c:pt>
                <c:pt idx="750">
                  <c:v>-2.3875911264133786E-3</c:v>
                </c:pt>
                <c:pt idx="751">
                  <c:v>-2.8256274629012215E-3</c:v>
                </c:pt>
                <c:pt idx="752">
                  <c:v>-3.0099243251066722E-3</c:v>
                </c:pt>
                <c:pt idx="753">
                  <c:v>-3.6088028830123845E-3</c:v>
                </c:pt>
                <c:pt idx="754">
                  <c:v>-3.9973033832419753E-3</c:v>
                </c:pt>
                <c:pt idx="755">
                  <c:v>-3.9177344107315451E-3</c:v>
                </c:pt>
                <c:pt idx="756">
                  <c:v>-5.0677731617467334E-3</c:v>
                </c:pt>
                <c:pt idx="757">
                  <c:v>-5.1439750434024711E-3</c:v>
                </c:pt>
                <c:pt idx="758">
                  <c:v>-5.3119735814276562E-3</c:v>
                </c:pt>
                <c:pt idx="759">
                  <c:v>-5.0944556033152288E-3</c:v>
                </c:pt>
                <c:pt idx="760">
                  <c:v>-5.0944556033152306E-3</c:v>
                </c:pt>
                <c:pt idx="761">
                  <c:v>-5.2319910477952305E-3</c:v>
                </c:pt>
                <c:pt idx="762">
                  <c:v>-5.2639100645016802E-3</c:v>
                </c:pt>
                <c:pt idx="763">
                  <c:v>-5.1513967310997683E-3</c:v>
                </c:pt>
                <c:pt idx="764">
                  <c:v>-4.9486657353597693E-3</c:v>
                </c:pt>
                <c:pt idx="765">
                  <c:v>-4.9801444764133417E-3</c:v>
                </c:pt>
                <c:pt idx="766">
                  <c:v>-4.3582539989342646E-3</c:v>
                </c:pt>
                <c:pt idx="767">
                  <c:v>-3.7243040792063571E-3</c:v>
                </c:pt>
                <c:pt idx="768">
                  <c:v>-4.361368406822639E-3</c:v>
                </c:pt>
                <c:pt idx="769">
                  <c:v>-3.850383658609307E-3</c:v>
                </c:pt>
                <c:pt idx="770">
                  <c:v>-3.5668478946149699E-3</c:v>
                </c:pt>
                <c:pt idx="771">
                  <c:v>-3.4041305678781291E-3</c:v>
                </c:pt>
                <c:pt idx="772">
                  <c:v>-3.7074657576696732E-3</c:v>
                </c:pt>
                <c:pt idx="773">
                  <c:v>-3.3592225566068919E-3</c:v>
                </c:pt>
                <c:pt idx="774">
                  <c:v>-3.2637234765047637E-3</c:v>
                </c:pt>
                <c:pt idx="775">
                  <c:v>-3.099036067794418E-3</c:v>
                </c:pt>
                <c:pt idx="776">
                  <c:v>-2.9743412490581553E-3</c:v>
                </c:pt>
                <c:pt idx="777">
                  <c:v>-2.8489072082041734E-3</c:v>
                </c:pt>
                <c:pt idx="778">
                  <c:v>-2.9509335186906601E-3</c:v>
                </c:pt>
                <c:pt idx="779">
                  <c:v>-2.9378838747486629E-3</c:v>
                </c:pt>
                <c:pt idx="780">
                  <c:v>-2.7854252706071255E-3</c:v>
                </c:pt>
                <c:pt idx="781">
                  <c:v>-3.0290402533609704E-3</c:v>
                </c:pt>
                <c:pt idx="782">
                  <c:v>-2.8984944874209705E-3</c:v>
                </c:pt>
                <c:pt idx="783">
                  <c:v>-2.9838786633209725E-3</c:v>
                </c:pt>
                <c:pt idx="784">
                  <c:v>-2.950072375521719E-3</c:v>
                </c:pt>
                <c:pt idx="785">
                  <c:v>-3.2525807277028001E-3</c:v>
                </c:pt>
                <c:pt idx="786">
                  <c:v>-2.9375157532932428E-3</c:v>
                </c:pt>
                <c:pt idx="787">
                  <c:v>-2.6607983053238116E-3</c:v>
                </c:pt>
                <c:pt idx="788">
                  <c:v>-2.7427492810663018E-3</c:v>
                </c:pt>
                <c:pt idx="789">
                  <c:v>-2.7227553110820914E-3</c:v>
                </c:pt>
                <c:pt idx="790">
                  <c:v>-2.7271328485594191E-3</c:v>
                </c:pt>
                <c:pt idx="791">
                  <c:v>-2.9090865258734706E-3</c:v>
                </c:pt>
                <c:pt idx="792">
                  <c:v>-2.494105070163696E-3</c:v>
                </c:pt>
                <c:pt idx="793">
                  <c:v>-2.8143053244058516E-3</c:v>
                </c:pt>
                <c:pt idx="794">
                  <c:v>-2.940804680238409E-3</c:v>
                </c:pt>
                <c:pt idx="795">
                  <c:v>-3.0621839583942164E-3</c:v>
                </c:pt>
                <c:pt idx="796">
                  <c:v>-2.7122057436635783E-3</c:v>
                </c:pt>
                <c:pt idx="797">
                  <c:v>-3.1600920689626409E-3</c:v>
                </c:pt>
                <c:pt idx="798">
                  <c:v>-3.1135614679297574E-3</c:v>
                </c:pt>
                <c:pt idx="799">
                  <c:v>-2.8787563073469614E-3</c:v>
                </c:pt>
                <c:pt idx="800">
                  <c:v>-2.6442301610207102E-3</c:v>
                </c:pt>
                <c:pt idx="801">
                  <c:v>-2.5747649704813171E-3</c:v>
                </c:pt>
                <c:pt idx="802">
                  <c:v>-2.3336651167521006E-3</c:v>
                </c:pt>
                <c:pt idx="803">
                  <c:v>-2.0670134671927757E-3</c:v>
                </c:pt>
                <c:pt idx="804">
                  <c:v>-1.8987731396468755E-3</c:v>
                </c:pt>
                <c:pt idx="805">
                  <c:v>-1.6254052080338097E-3</c:v>
                </c:pt>
                <c:pt idx="806">
                  <c:v>-1.7368752734239733E-3</c:v>
                </c:pt>
                <c:pt idx="807">
                  <c:v>-1.9774516553139453E-3</c:v>
                </c:pt>
                <c:pt idx="808">
                  <c:v>-1.6555969169179097E-3</c:v>
                </c:pt>
                <c:pt idx="809">
                  <c:v>-1.5490610643869652E-3</c:v>
                </c:pt>
                <c:pt idx="810">
                  <c:v>-1.6424692632306737E-3</c:v>
                </c:pt>
                <c:pt idx="811">
                  <c:v>-1.7056548869213951E-3</c:v>
                </c:pt>
                <c:pt idx="812">
                  <c:v>-1.5664738842524947E-3</c:v>
                </c:pt>
                <c:pt idx="813">
                  <c:v>-1.0088361150461529E-3</c:v>
                </c:pt>
                <c:pt idx="814">
                  <c:v>-1.1726459107602373E-3</c:v>
                </c:pt>
                <c:pt idx="815">
                  <c:v>-1.2032048409140442E-3</c:v>
                </c:pt>
                <c:pt idx="816">
                  <c:v>-1.1145197813542545E-3</c:v>
                </c:pt>
                <c:pt idx="817">
                  <c:v>-1.1566168974386764E-3</c:v>
                </c:pt>
                <c:pt idx="818">
                  <c:v>-1.2284258868141479E-3</c:v>
                </c:pt>
                <c:pt idx="819">
                  <c:v>-1.36959896737307E-3</c:v>
                </c:pt>
                <c:pt idx="820">
                  <c:v>-1.4529371642016873E-3</c:v>
                </c:pt>
                <c:pt idx="821">
                  <c:v>-1.4738125644958059E-3</c:v>
                </c:pt>
                <c:pt idx="822">
                  <c:v>-1.1606142288743777E-3</c:v>
                </c:pt>
                <c:pt idx="823">
                  <c:v>-9.9391174664061163E-4</c:v>
                </c:pt>
                <c:pt idx="824">
                  <c:v>-1.1763278684813014E-3</c:v>
                </c:pt>
                <c:pt idx="825">
                  <c:v>-5.1625002823846885E-4</c:v>
                </c:pt>
                <c:pt idx="826">
                  <c:v>-9.3551672346810764E-4</c:v>
                </c:pt>
                <c:pt idx="827">
                  <c:v>-1.0545537756028183E-3</c:v>
                </c:pt>
                <c:pt idx="828">
                  <c:v>-8.0538692232630361E-4</c:v>
                </c:pt>
                <c:pt idx="829">
                  <c:v>-6.6937194387098526E-4</c:v>
                </c:pt>
                <c:pt idx="830">
                  <c:v>-6.7701918206045889E-4</c:v>
                </c:pt>
                <c:pt idx="831">
                  <c:v>-8.2255636804545815E-4</c:v>
                </c:pt>
                <c:pt idx="832">
                  <c:v>-8.6937229858911479E-4</c:v>
                </c:pt>
                <c:pt idx="833">
                  <c:v>-3.4438333056984724E-4</c:v>
                </c:pt>
                <c:pt idx="834">
                  <c:v>3.4163023485047912E-4</c:v>
                </c:pt>
                <c:pt idx="835">
                  <c:v>-1.8092840618558708E-4</c:v>
                </c:pt>
                <c:pt idx="836">
                  <c:v>9.7647419144121163E-6</c:v>
                </c:pt>
                <c:pt idx="837">
                  <c:v>-3.7586680317429113E-6</c:v>
                </c:pt>
                <c:pt idx="838">
                  <c:v>-2.1236975180876234E-5</c:v>
                </c:pt>
                <c:pt idx="839">
                  <c:v>1.3015154438579134E-4</c:v>
                </c:pt>
                <c:pt idx="840">
                  <c:v>4.0315040295233948E-4</c:v>
                </c:pt>
                <c:pt idx="841">
                  <c:v>5.5880143735274857E-4</c:v>
                </c:pt>
                <c:pt idx="842">
                  <c:v>3.3138329927064812E-4</c:v>
                </c:pt>
                <c:pt idx="843">
                  <c:v>4.5974971047372496E-4</c:v>
                </c:pt>
                <c:pt idx="844">
                  <c:v>3.462589123474271E-4</c:v>
                </c:pt>
                <c:pt idx="845">
                  <c:v>4.7309535960457017E-4</c:v>
                </c:pt>
                <c:pt idx="846">
                  <c:v>4.6884002254375467E-4</c:v>
                </c:pt>
                <c:pt idx="847">
                  <c:v>1.8941568142238145E-4</c:v>
                </c:pt>
                <c:pt idx="848">
                  <c:v>1.1015572963503894E-4</c:v>
                </c:pt>
                <c:pt idx="849">
                  <c:v>5.9965365226238114E-5</c:v>
                </c:pt>
                <c:pt idx="850">
                  <c:v>-1.5025447569897115E-5</c:v>
                </c:pt>
                <c:pt idx="851">
                  <c:v>-1.6722450415075827E-4</c:v>
                </c:pt>
                <c:pt idx="852">
                  <c:v>-1.3927901620437255E-4</c:v>
                </c:pt>
                <c:pt idx="853">
                  <c:v>-1.9831600021164546E-4</c:v>
                </c:pt>
                <c:pt idx="854">
                  <c:v>8.3662115489375089E-4</c:v>
                </c:pt>
                <c:pt idx="855">
                  <c:v>1.3273883749550946E-3</c:v>
                </c:pt>
                <c:pt idx="856">
                  <c:v>1.294042569535094E-3</c:v>
                </c:pt>
                <c:pt idx="857">
                  <c:v>1.4479826536800604E-3</c:v>
                </c:pt>
                <c:pt idx="858">
                  <c:v>1.5601229857893307E-3</c:v>
                </c:pt>
                <c:pt idx="859">
                  <c:v>1.5024637245834485E-3</c:v>
                </c:pt>
                <c:pt idx="860">
                  <c:v>1.5778842201956938E-3</c:v>
                </c:pt>
                <c:pt idx="861">
                  <c:v>1.6646315933681708E-3</c:v>
                </c:pt>
                <c:pt idx="862">
                  <c:v>1.7481082872758801E-3</c:v>
                </c:pt>
                <c:pt idx="863">
                  <c:v>1.5077132715454718E-3</c:v>
                </c:pt>
                <c:pt idx="864">
                  <c:v>1.5752907504562148E-3</c:v>
                </c:pt>
                <c:pt idx="865">
                  <c:v>1.4835030817325508E-3</c:v>
                </c:pt>
                <c:pt idx="866">
                  <c:v>1.4741711961863352E-3</c:v>
                </c:pt>
                <c:pt idx="867">
                  <c:v>1.4397130226307794E-3</c:v>
                </c:pt>
                <c:pt idx="868">
                  <c:v>1.3829325828307796E-3</c:v>
                </c:pt>
                <c:pt idx="869">
                  <c:v>1.325025480758472E-3</c:v>
                </c:pt>
                <c:pt idx="870">
                  <c:v>1.2102255791290601E-3</c:v>
                </c:pt>
                <c:pt idx="871">
                  <c:v>1.2876361550650604E-3</c:v>
                </c:pt>
                <c:pt idx="872">
                  <c:v>1.2645487141552645E-3</c:v>
                </c:pt>
                <c:pt idx="873">
                  <c:v>1.2678633040960807E-3</c:v>
                </c:pt>
                <c:pt idx="874">
                  <c:v>1.2325099770033572E-3</c:v>
                </c:pt>
                <c:pt idx="875">
                  <c:v>1.3164830682287671E-3</c:v>
                </c:pt>
                <c:pt idx="876">
                  <c:v>1.305349274663142E-3</c:v>
                </c:pt>
                <c:pt idx="877">
                  <c:v>1.2795647611198084E-3</c:v>
                </c:pt>
                <c:pt idx="878">
                  <c:v>1.246122313426753E-3</c:v>
                </c:pt>
                <c:pt idx="879">
                  <c:v>1.1859272051506712E-3</c:v>
                </c:pt>
                <c:pt idx="880">
                  <c:v>1.173480131851423E-3</c:v>
                </c:pt>
                <c:pt idx="881">
                  <c:v>1.1695843205373261E-3</c:v>
                </c:pt>
                <c:pt idx="882">
                  <c:v>1.1279542664739673E-3</c:v>
                </c:pt>
                <c:pt idx="883">
                  <c:v>1.1997783727687721E-3</c:v>
                </c:pt>
                <c:pt idx="884">
                  <c:v>1.2815826322080065E-3</c:v>
                </c:pt>
                <c:pt idx="885">
                  <c:v>1.2923546228873718E-3</c:v>
                </c:pt>
                <c:pt idx="886">
                  <c:v>1.3295777977857289E-3</c:v>
                </c:pt>
                <c:pt idx="887">
                  <c:v>1.3314629503971404E-3</c:v>
                </c:pt>
                <c:pt idx="888">
                  <c:v>1.3223617395696043E-3</c:v>
                </c:pt>
                <c:pt idx="889">
                  <c:v>1.3271233912974037E-3</c:v>
                </c:pt>
                <c:pt idx="890">
                  <c:v>1.3058071352195829E-3</c:v>
                </c:pt>
                <c:pt idx="891">
                  <c:v>1.3429189436959463E-3</c:v>
                </c:pt>
                <c:pt idx="892">
                  <c:v>1.3878090703285872E-3</c:v>
                </c:pt>
                <c:pt idx="893">
                  <c:v>1.3562579394576016E-3</c:v>
                </c:pt>
                <c:pt idx="894">
                  <c:v>1.3132311504494508E-3</c:v>
                </c:pt>
                <c:pt idx="895">
                  <c:v>1.3335196105905105E-3</c:v>
                </c:pt>
                <c:pt idx="896">
                  <c:v>1.2951649280450559E-3</c:v>
                </c:pt>
                <c:pt idx="897">
                  <c:v>1.2602685630186408E-3</c:v>
                </c:pt>
                <c:pt idx="898">
                  <c:v>1.3210050292353072E-3</c:v>
                </c:pt>
                <c:pt idx="899">
                  <c:v>1.4015282852006868E-3</c:v>
                </c:pt>
                <c:pt idx="900">
                  <c:v>1.3975866304896498E-3</c:v>
                </c:pt>
                <c:pt idx="901">
                  <c:v>1.3582887969787903E-3</c:v>
                </c:pt>
                <c:pt idx="902">
                  <c:v>1.3936809490877151E-3</c:v>
                </c:pt>
                <c:pt idx="903">
                  <c:v>1.3970176486786969E-3</c:v>
                </c:pt>
                <c:pt idx="904">
                  <c:v>1.3696181260268452E-3</c:v>
                </c:pt>
                <c:pt idx="905">
                  <c:v>1.2718444500076352E-3</c:v>
                </c:pt>
                <c:pt idx="906">
                  <c:v>1.3268445212409683E-3</c:v>
                </c:pt>
                <c:pt idx="907">
                  <c:v>1.2538308395662059E-3</c:v>
                </c:pt>
                <c:pt idx="908">
                  <c:v>1.224727054605522E-3</c:v>
                </c:pt>
                <c:pt idx="909">
                  <c:v>1.1666717481408442E-3</c:v>
                </c:pt>
                <c:pt idx="910">
                  <c:v>1.1491813623128867E-3</c:v>
                </c:pt>
                <c:pt idx="911">
                  <c:v>1.1217190393063505E-3</c:v>
                </c:pt>
                <c:pt idx="912">
                  <c:v>1.1159491358926862E-3</c:v>
                </c:pt>
                <c:pt idx="913">
                  <c:v>1.1459854095301864E-3</c:v>
                </c:pt>
                <c:pt idx="914">
                  <c:v>1.1792460836579644E-3</c:v>
                </c:pt>
                <c:pt idx="915">
                  <c:v>1.1831128490431494E-3</c:v>
                </c:pt>
                <c:pt idx="916">
                  <c:v>1.2191303694730107E-3</c:v>
                </c:pt>
                <c:pt idx="917">
                  <c:v>1.2051170233069208E-3</c:v>
                </c:pt>
                <c:pt idx="918">
                  <c:v>1.2337739520180318E-3</c:v>
                </c:pt>
                <c:pt idx="919">
                  <c:v>1.2283094854354461E-3</c:v>
                </c:pt>
                <c:pt idx="920">
                  <c:v>1.2641582505238181E-3</c:v>
                </c:pt>
                <c:pt idx="921">
                  <c:v>1.2576133243408908E-3</c:v>
                </c:pt>
                <c:pt idx="922">
                  <c:v>1.3018201266775445E-3</c:v>
                </c:pt>
                <c:pt idx="923">
                  <c:v>1.26528836926874E-3</c:v>
                </c:pt>
                <c:pt idx="924">
                  <c:v>1.2942202043888297E-3</c:v>
                </c:pt>
                <c:pt idx="925">
                  <c:v>1.1657514334292706E-3</c:v>
                </c:pt>
                <c:pt idx="926">
                  <c:v>1.1458097860838157E-3</c:v>
                </c:pt>
                <c:pt idx="927">
                  <c:v>1.3393419376061221E-3</c:v>
                </c:pt>
                <c:pt idx="928">
                  <c:v>1.1134217734307251E-3</c:v>
                </c:pt>
                <c:pt idx="929">
                  <c:v>1.2747158465263059E-3</c:v>
                </c:pt>
                <c:pt idx="930">
                  <c:v>1.2763307126097316E-3</c:v>
                </c:pt>
                <c:pt idx="931">
                  <c:v>1.1740903919450736E-3</c:v>
                </c:pt>
                <c:pt idx="932">
                  <c:v>1.2320357994206621E-3</c:v>
                </c:pt>
                <c:pt idx="933">
                  <c:v>1.3009497735947796E-3</c:v>
                </c:pt>
                <c:pt idx="934">
                  <c:v>1.3542273731218144E-3</c:v>
                </c:pt>
                <c:pt idx="935">
                  <c:v>1.4980909651081599E-3</c:v>
                </c:pt>
                <c:pt idx="936">
                  <c:v>1.302061388484137E-3</c:v>
                </c:pt>
                <c:pt idx="937">
                  <c:v>1.2771257578692255E-3</c:v>
                </c:pt>
                <c:pt idx="938">
                  <c:v>1.2759488340185301E-3</c:v>
                </c:pt>
                <c:pt idx="939">
                  <c:v>1.3978642183883215E-3</c:v>
                </c:pt>
                <c:pt idx="940">
                  <c:v>1.3412529126886152E-3</c:v>
                </c:pt>
                <c:pt idx="941">
                  <c:v>1.2986203929121853E-3</c:v>
                </c:pt>
                <c:pt idx="942">
                  <c:v>1.3226318578832925E-3</c:v>
                </c:pt>
                <c:pt idx="943">
                  <c:v>1.4899503375301014E-3</c:v>
                </c:pt>
                <c:pt idx="944">
                  <c:v>1.4153108046649715E-3</c:v>
                </c:pt>
                <c:pt idx="945">
                  <c:v>1.2278552804466227E-3</c:v>
                </c:pt>
                <c:pt idx="946">
                  <c:v>1.3180042134910547E-3</c:v>
                </c:pt>
                <c:pt idx="947">
                  <c:v>1.5269942456962835E-3</c:v>
                </c:pt>
                <c:pt idx="948">
                  <c:v>1.681232755496284E-3</c:v>
                </c:pt>
                <c:pt idx="949">
                  <c:v>1.6298697811039135E-3</c:v>
                </c:pt>
                <c:pt idx="950">
                  <c:v>1.7038439174120877E-3</c:v>
                </c:pt>
                <c:pt idx="951">
                  <c:v>1.6048913157258261E-3</c:v>
                </c:pt>
                <c:pt idx="952">
                  <c:v>1.446647739050568E-3</c:v>
                </c:pt>
                <c:pt idx="953">
                  <c:v>1.4009790524320345E-3</c:v>
                </c:pt>
                <c:pt idx="954">
                  <c:v>1.3390634301129578E-3</c:v>
                </c:pt>
                <c:pt idx="955">
                  <c:v>1.3634545652982744E-3</c:v>
                </c:pt>
                <c:pt idx="956">
                  <c:v>1.3004042003931259E-3</c:v>
                </c:pt>
                <c:pt idx="957">
                  <c:v>1.2911996107722306E-3</c:v>
                </c:pt>
                <c:pt idx="958">
                  <c:v>1.1718936068012215E-3</c:v>
                </c:pt>
                <c:pt idx="959">
                  <c:v>1.0921528440682483E-3</c:v>
                </c:pt>
                <c:pt idx="960">
                  <c:v>1.1812878195618509E-3</c:v>
                </c:pt>
                <c:pt idx="961">
                  <c:v>1.0742397671005069E-3</c:v>
                </c:pt>
                <c:pt idx="962">
                  <c:v>1.0890882948392459E-3</c:v>
                </c:pt>
                <c:pt idx="963">
                  <c:v>1.0399306779824413E-3</c:v>
                </c:pt>
                <c:pt idx="964">
                  <c:v>1.0919210095838158E-3</c:v>
                </c:pt>
                <c:pt idx="965">
                  <c:v>1.0883732753165154E-3</c:v>
                </c:pt>
                <c:pt idx="966">
                  <c:v>1.0568305350226103E-3</c:v>
                </c:pt>
                <c:pt idx="967">
                  <c:v>9.8031238187123418E-4</c:v>
                </c:pt>
                <c:pt idx="968">
                  <c:v>9.9194937308987822E-4</c:v>
                </c:pt>
                <c:pt idx="969">
                  <c:v>1.0352929346136327E-3</c:v>
                </c:pt>
                <c:pt idx="970">
                  <c:v>1.1238379740493372E-3</c:v>
                </c:pt>
                <c:pt idx="971">
                  <c:v>1.1135046549443095E-3</c:v>
                </c:pt>
                <c:pt idx="972">
                  <c:v>1.0765632645834708E-3</c:v>
                </c:pt>
                <c:pt idx="973">
                  <c:v>1.0101710014762811E-3</c:v>
                </c:pt>
                <c:pt idx="974">
                  <c:v>1.0692893211401468E-3</c:v>
                </c:pt>
                <c:pt idx="975">
                  <c:v>1.0405004968162888E-3</c:v>
                </c:pt>
                <c:pt idx="976">
                  <c:v>1.0850779215796113E-3</c:v>
                </c:pt>
                <c:pt idx="977">
                  <c:v>9.9978996302843028E-4</c:v>
                </c:pt>
                <c:pt idx="978">
                  <c:v>9.1282330725211101E-4</c:v>
                </c:pt>
                <c:pt idx="979">
                  <c:v>8.8167804958529886E-4</c:v>
                </c:pt>
                <c:pt idx="980">
                  <c:v>8.6664380814440291E-4</c:v>
                </c:pt>
                <c:pt idx="981">
                  <c:v>8.0478448247773627E-4</c:v>
                </c:pt>
                <c:pt idx="982">
                  <c:v>8.9002895986231719E-4</c:v>
                </c:pt>
                <c:pt idx="983">
                  <c:v>9.6886798306967004E-4</c:v>
                </c:pt>
                <c:pt idx="984">
                  <c:v>9.6737158219982868E-4</c:v>
                </c:pt>
                <c:pt idx="985">
                  <c:v>8.262044854664654E-4</c:v>
                </c:pt>
                <c:pt idx="986">
                  <c:v>8.8696321606399639E-4</c:v>
                </c:pt>
                <c:pt idx="987">
                  <c:v>8.7214284902378846E-4</c:v>
                </c:pt>
                <c:pt idx="988">
                  <c:v>9.8546576111642166E-4</c:v>
                </c:pt>
                <c:pt idx="989">
                  <c:v>8.8119185347819103E-4</c:v>
                </c:pt>
                <c:pt idx="990">
                  <c:v>7.9820235292606101E-4</c:v>
                </c:pt>
                <c:pt idx="991">
                  <c:v>7.7867093565653464E-4</c:v>
                </c:pt>
                <c:pt idx="992">
                  <c:v>8.0574346111939184E-4</c:v>
                </c:pt>
                <c:pt idx="993">
                  <c:v>7.4448854726515059E-4</c:v>
                </c:pt>
                <c:pt idx="994">
                  <c:v>7.0630314386102198E-4</c:v>
                </c:pt>
                <c:pt idx="995">
                  <c:v>7.3113079657136678E-4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96-48BC-A0AC-0526429BC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818159"/>
        <c:axId val="1900986895"/>
      </c:lineChart>
      <c:dateAx>
        <c:axId val="315818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986895"/>
        <c:crosses val="autoZero"/>
        <c:auto val="1"/>
        <c:lblOffset val="100"/>
        <c:baseTimeUnit val="days"/>
      </c:dateAx>
      <c:valAx>
        <c:axId val="190098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18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8562BC2-A4C1-4DD8-97CD-4E8E22E26781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371BAE-A9ED-466F-BD2B-DD92CDB6FE9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519.13</v>
      </c>
      <c r="D2" s="4">
        <f>MIN(D3:D1912)</f>
        <v>25.08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148.19999999999999</v>
      </c>
      <c r="C5">
        <v>148.80000000000001</v>
      </c>
      <c r="D5">
        <v>143.80000000000001</v>
      </c>
      <c r="E5">
        <v>144</v>
      </c>
      <c r="F5">
        <v>6888.4179999999997</v>
      </c>
      <c r="G5">
        <v>144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-0.92000000000000459</v>
      </c>
      <c r="Q5">
        <f t="shared" ref="Q5" si="1">F5*P5</f>
        <v>-6337.3445600000314</v>
      </c>
      <c r="R5">
        <f t="shared" ref="R5" si="2">R6+Q5</f>
        <v>5589880.1525307242</v>
      </c>
      <c r="S5">
        <f t="shared" ref="S5" si="3">R5/100000</f>
        <v>55.898801525307242</v>
      </c>
      <c r="T5">
        <f t="shared" ref="T5" si="4">S5/1000</f>
        <v>5.589880152530724E-2</v>
      </c>
    </row>
    <row r="6" spans="1:20" x14ac:dyDescent="0.25">
      <c r="A6" s="5">
        <v>44587</v>
      </c>
      <c r="B6">
        <v>144.80000000000001</v>
      </c>
      <c r="C6">
        <v>158.80000000000001</v>
      </c>
      <c r="D6">
        <v>142.80000000000001</v>
      </c>
      <c r="E6">
        <v>148.19999999999999</v>
      </c>
      <c r="F6">
        <v>145776.636</v>
      </c>
      <c r="G6">
        <v>148.19999999999999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-0.32500000000000284</v>
      </c>
      <c r="Q6">
        <f t="shared" ref="Q6" si="6">F6*P6</f>
        <v>-47377.406700000414</v>
      </c>
      <c r="R6">
        <f t="shared" ref="R6" si="7">R7+Q6</f>
        <v>5596217.4970907243</v>
      </c>
      <c r="S6">
        <f t="shared" ref="S6" si="8">R6/100000</f>
        <v>55.962174970907242</v>
      </c>
      <c r="T6">
        <f t="shared" ref="T6" si="9">S6/1000</f>
        <v>5.596217497090724E-2</v>
      </c>
    </row>
    <row r="7" spans="1:20" x14ac:dyDescent="0.25">
      <c r="A7" s="5">
        <v>44586</v>
      </c>
      <c r="B7">
        <v>146.80000000000001</v>
      </c>
      <c r="C7">
        <v>147.9</v>
      </c>
      <c r="D7">
        <v>139.4</v>
      </c>
      <c r="E7">
        <v>144.80000000000001</v>
      </c>
      <c r="F7">
        <v>187566.55799999999</v>
      </c>
      <c r="G7">
        <v>144.80000000000001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0.27058823529411896</v>
      </c>
      <c r="Q7">
        <f t="shared" ref="Q7" si="11">F7*P7</f>
        <v>50753.30392941201</v>
      </c>
      <c r="R7">
        <f t="shared" ref="R7" si="12">R8+Q7</f>
        <v>5643594.9037907245</v>
      </c>
      <c r="S7">
        <f t="shared" ref="S7" si="13">R7/100000</f>
        <v>56.435949037907243</v>
      </c>
      <c r="T7">
        <f t="shared" ref="T7" si="14">S7/1000</f>
        <v>5.6435949037907246E-2</v>
      </c>
    </row>
    <row r="8" spans="1:20" x14ac:dyDescent="0.25">
      <c r="A8" s="5">
        <v>44585</v>
      </c>
      <c r="B8">
        <v>156.80000000000001</v>
      </c>
      <c r="C8">
        <v>156.80000000000001</v>
      </c>
      <c r="D8">
        <v>134.30000000000001</v>
      </c>
      <c r="E8">
        <v>146.69999999999999</v>
      </c>
      <c r="F8">
        <v>159872.14603</v>
      </c>
      <c r="G8">
        <v>146.69999999999999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0.1022222222222202</v>
      </c>
      <c r="Q8">
        <f t="shared" ref="Q8" si="16">F8*P8</f>
        <v>16342.486038621899</v>
      </c>
      <c r="R8">
        <f t="shared" ref="R8" si="17">R9+Q8</f>
        <v>5592841.5998613127</v>
      </c>
      <c r="S8">
        <f t="shared" ref="S8" si="18">R8/100000</f>
        <v>55.928415998613126</v>
      </c>
      <c r="T8">
        <f t="shared" ref="T8" si="19">S8/1000</f>
        <v>5.5928415998613125E-2</v>
      </c>
    </row>
    <row r="9" spans="1:20" x14ac:dyDescent="0.25">
      <c r="A9" s="5">
        <v>44584</v>
      </c>
      <c r="B9">
        <v>151.9</v>
      </c>
      <c r="C9">
        <v>158.9</v>
      </c>
      <c r="D9">
        <v>148</v>
      </c>
      <c r="E9">
        <v>157</v>
      </c>
      <c r="F9">
        <v>104277.473</v>
      </c>
      <c r="G9">
        <v>157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0.65137614678898992</v>
      </c>
      <c r="Q9">
        <f t="shared" ref="Q9" si="21">F9*P9</f>
        <v>67923.858559632936</v>
      </c>
      <c r="R9">
        <f t="shared" ref="R9" si="22">R10+Q9</f>
        <v>5576499.1138226911</v>
      </c>
      <c r="S9">
        <f t="shared" ref="S9" si="23">R9/100000</f>
        <v>55.764991138226911</v>
      </c>
      <c r="T9">
        <f t="shared" ref="T9" si="24">S9/1000</f>
        <v>5.5764991138226909E-2</v>
      </c>
    </row>
    <row r="10" spans="1:20" x14ac:dyDescent="0.25">
      <c r="A10" s="5">
        <v>44583</v>
      </c>
      <c r="B10">
        <v>172.6</v>
      </c>
      <c r="C10">
        <v>175.5</v>
      </c>
      <c r="D10">
        <v>140.1</v>
      </c>
      <c r="E10">
        <v>152.19999999999999</v>
      </c>
      <c r="F10">
        <v>197370.32659000001</v>
      </c>
      <c r="G10">
        <v>152.19999999999999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-0.31638418079096087</v>
      </c>
      <c r="Q10">
        <f t="shared" ref="Q10" si="26">F10*P10</f>
        <v>-62444.849090621552</v>
      </c>
      <c r="R10">
        <f t="shared" ref="R10" si="27">R11+Q10</f>
        <v>5508575.2552630585</v>
      </c>
      <c r="S10">
        <f t="shared" ref="S10" si="28">R10/100000</f>
        <v>55.085752552630588</v>
      </c>
      <c r="T10">
        <f t="shared" ref="T10" si="29">S10/1000</f>
        <v>5.5085752552630589E-2</v>
      </c>
    </row>
    <row r="11" spans="1:20" x14ac:dyDescent="0.25">
      <c r="A11" s="5">
        <v>44582</v>
      </c>
      <c r="B11">
        <v>188.5</v>
      </c>
      <c r="C11">
        <v>192.3</v>
      </c>
      <c r="D11">
        <v>167.2</v>
      </c>
      <c r="E11">
        <v>173</v>
      </c>
      <c r="F11">
        <v>144845.65721999999</v>
      </c>
      <c r="G11">
        <v>173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-0.53784860557768877</v>
      </c>
      <c r="Q11">
        <f t="shared" ref="Q11" si="31">F11*P11</f>
        <v>-77905.034759760878</v>
      </c>
      <c r="R11">
        <f t="shared" ref="R11" si="32">R12+Q11</f>
        <v>5571020.1043536803</v>
      </c>
      <c r="S11">
        <f t="shared" ref="S11" si="33">R11/100000</f>
        <v>55.710201043536806</v>
      </c>
      <c r="T11">
        <f t="shared" ref="T11" si="34">S11/1000</f>
        <v>5.5710201043536807E-2</v>
      </c>
    </row>
    <row r="12" spans="1:20" x14ac:dyDescent="0.25">
      <c r="A12" s="5">
        <v>44581</v>
      </c>
      <c r="B12">
        <v>201.3</v>
      </c>
      <c r="C12">
        <v>210</v>
      </c>
      <c r="D12">
        <v>187.7</v>
      </c>
      <c r="E12">
        <v>188.6</v>
      </c>
      <c r="F12">
        <v>70143.966</v>
      </c>
      <c r="G12">
        <v>188.6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-0.91928251121076188</v>
      </c>
      <c r="Q12">
        <f t="shared" ref="Q12" si="36">F12*P12</f>
        <v>-64482.1212107623</v>
      </c>
      <c r="R12">
        <f t="shared" ref="R12" si="37">R13+Q12</f>
        <v>5648925.1391134411</v>
      </c>
      <c r="S12">
        <f t="shared" ref="S12" si="38">R12/100000</f>
        <v>56.48925139113441</v>
      </c>
      <c r="T12">
        <f t="shared" ref="T12" si="39">S12/1000</f>
        <v>5.6489251391134407E-2</v>
      </c>
    </row>
    <row r="13" spans="1:20" x14ac:dyDescent="0.25">
      <c r="A13" s="5">
        <v>44580</v>
      </c>
      <c r="B13">
        <v>204</v>
      </c>
      <c r="C13">
        <v>213.1</v>
      </c>
      <c r="D13">
        <v>199.1</v>
      </c>
      <c r="E13">
        <v>201.4</v>
      </c>
      <c r="F13">
        <v>96928.785999999993</v>
      </c>
      <c r="G13">
        <v>201.4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-0.67142857142856982</v>
      </c>
      <c r="Q13">
        <f t="shared" ref="Q13" si="41">F13*P13</f>
        <v>-65080.756314285551</v>
      </c>
      <c r="R13">
        <f t="shared" ref="R13" si="42">R14+Q13</f>
        <v>5713407.2603242034</v>
      </c>
      <c r="S13">
        <f t="shared" ref="S13" si="43">R13/100000</f>
        <v>57.134072603242032</v>
      </c>
      <c r="T13">
        <f t="shared" ref="T13" si="44">S13/1000</f>
        <v>5.7134072603242034E-2</v>
      </c>
    </row>
    <row r="14" spans="1:20" x14ac:dyDescent="0.25">
      <c r="A14" s="5">
        <v>44579</v>
      </c>
      <c r="B14">
        <v>214.5</v>
      </c>
      <c r="C14">
        <v>222.4</v>
      </c>
      <c r="D14">
        <v>199.5</v>
      </c>
      <c r="E14">
        <v>204.1</v>
      </c>
      <c r="F14">
        <v>97886.264999999999</v>
      </c>
      <c r="G14">
        <v>204.1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-0.59825327510917092</v>
      </c>
      <c r="Q14">
        <f t="shared" ref="Q14" si="46">F14*P14</f>
        <v>-58560.778624454208</v>
      </c>
      <c r="R14">
        <f t="shared" ref="R14" si="47">R15+Q14</f>
        <v>5778488.0166384885</v>
      </c>
      <c r="S14">
        <f t="shared" ref="S14" si="48">R14/100000</f>
        <v>57.784880166384887</v>
      </c>
      <c r="T14">
        <f t="shared" ref="T14" si="49">S14/1000</f>
        <v>5.7784880166384889E-2</v>
      </c>
    </row>
    <row r="15" spans="1:20" x14ac:dyDescent="0.25">
      <c r="A15" s="5">
        <v>44578</v>
      </c>
      <c r="B15">
        <v>224.1</v>
      </c>
      <c r="C15">
        <v>230.7</v>
      </c>
      <c r="D15">
        <v>209.4</v>
      </c>
      <c r="E15">
        <v>214.4</v>
      </c>
      <c r="F15">
        <v>137316.69</v>
      </c>
      <c r="G15">
        <v>214.4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-0.53051643192488229</v>
      </c>
      <c r="Q15">
        <f t="shared" ref="Q15" si="51">F15*P15</f>
        <v>-72848.760422535168</v>
      </c>
      <c r="R15">
        <f t="shared" ref="R15" si="52">R16+Q15</f>
        <v>5837048.795262943</v>
      </c>
      <c r="S15">
        <f t="shared" ref="S15" si="53">R15/100000</f>
        <v>58.370487952629432</v>
      </c>
      <c r="T15">
        <f t="shared" ref="T15" si="54">S15/1000</f>
        <v>5.8370487952629432E-2</v>
      </c>
    </row>
    <row r="16" spans="1:20" x14ac:dyDescent="0.25">
      <c r="A16" s="5">
        <v>44577</v>
      </c>
      <c r="B16">
        <v>217.7</v>
      </c>
      <c r="C16">
        <v>228.3</v>
      </c>
      <c r="D16">
        <v>213.1</v>
      </c>
      <c r="E16">
        <v>224.1</v>
      </c>
      <c r="F16">
        <v>64171.981</v>
      </c>
      <c r="G16">
        <v>224.1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0.44736842105262997</v>
      </c>
      <c r="Q16">
        <f t="shared" ref="Q16" si="56">F16*P16</f>
        <v>28708.517815789372</v>
      </c>
      <c r="R16">
        <f t="shared" ref="R16" si="57">R17+Q16</f>
        <v>5909897.5556854783</v>
      </c>
      <c r="S16">
        <f t="shared" ref="S16" si="58">R16/100000</f>
        <v>59.098975556854782</v>
      </c>
      <c r="T16">
        <f t="shared" ref="T16" si="59">S16/1000</f>
        <v>5.9098975556854783E-2</v>
      </c>
    </row>
    <row r="17" spans="1:20" x14ac:dyDescent="0.25">
      <c r="A17" s="5">
        <v>44576</v>
      </c>
      <c r="B17">
        <v>229.8</v>
      </c>
      <c r="C17">
        <v>231.2</v>
      </c>
      <c r="D17">
        <v>217</v>
      </c>
      <c r="E17">
        <v>217.7</v>
      </c>
      <c r="F17">
        <v>72202.656000000003</v>
      </c>
      <c r="G17">
        <v>217.7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-0.90140845070422693</v>
      </c>
      <c r="Q17">
        <f t="shared" ref="Q17" si="61">F17*P17</f>
        <v>-65084.084281690259</v>
      </c>
      <c r="R17">
        <f t="shared" ref="R17" si="62">R18+Q17</f>
        <v>5881189.0378696891</v>
      </c>
      <c r="S17">
        <f t="shared" ref="S17" si="63">R17/100000</f>
        <v>58.811890378696887</v>
      </c>
      <c r="T17">
        <f t="shared" ref="T17" si="64">S17/1000</f>
        <v>5.8811890378696885E-2</v>
      </c>
    </row>
    <row r="18" spans="1:20" x14ac:dyDescent="0.25">
      <c r="A18" s="5">
        <v>44575</v>
      </c>
      <c r="B18">
        <v>223.6</v>
      </c>
      <c r="C18">
        <v>238.9</v>
      </c>
      <c r="D18">
        <v>217</v>
      </c>
      <c r="E18">
        <v>229.8</v>
      </c>
      <c r="F18">
        <v>160561.27100000001</v>
      </c>
      <c r="G18">
        <v>229.8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0.16894977168949846</v>
      </c>
      <c r="Q18">
        <f t="shared" ref="Q18" si="66">F18*P18</f>
        <v>27126.79007762569</v>
      </c>
      <c r="R18">
        <f t="shared" ref="R18" si="67">R19+Q18</f>
        <v>5946273.1221513795</v>
      </c>
      <c r="S18">
        <f t="shared" ref="S18" si="68">R18/100000</f>
        <v>59.462731221513792</v>
      </c>
      <c r="T18">
        <f t="shared" ref="T18" si="69">S18/1000</f>
        <v>5.9462731221513791E-2</v>
      </c>
    </row>
    <row r="19" spans="1:20" x14ac:dyDescent="0.25">
      <c r="A19" s="5">
        <v>44574</v>
      </c>
      <c r="B19">
        <v>199</v>
      </c>
      <c r="C19">
        <v>230</v>
      </c>
      <c r="D19">
        <v>198</v>
      </c>
      <c r="E19">
        <v>223.6</v>
      </c>
      <c r="F19">
        <v>247661.83900000001</v>
      </c>
      <c r="G19">
        <v>223.6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0.59999999999999964</v>
      </c>
      <c r="Q19">
        <f t="shared" ref="Q19" si="71">F19*P19</f>
        <v>148597.10339999991</v>
      </c>
      <c r="R19">
        <f t="shared" ref="R19" si="72">R20+Q19</f>
        <v>5919146.3320737537</v>
      </c>
      <c r="S19">
        <f t="shared" ref="S19" si="73">R19/100000</f>
        <v>59.19146332073754</v>
      </c>
      <c r="T19">
        <f t="shared" ref="T19" si="74">S19/1000</f>
        <v>5.919146332073754E-2</v>
      </c>
    </row>
    <row r="20" spans="1:20" x14ac:dyDescent="0.25">
      <c r="A20" s="5">
        <v>44573</v>
      </c>
      <c r="B20">
        <v>192.9</v>
      </c>
      <c r="C20">
        <v>201.3</v>
      </c>
      <c r="D20">
        <v>192.7</v>
      </c>
      <c r="E20">
        <v>199.1</v>
      </c>
      <c r="F20">
        <v>70516.198999999993</v>
      </c>
      <c r="G20">
        <v>199.1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0.48837209302325318</v>
      </c>
      <c r="Q20">
        <f t="shared" ref="Q20" si="76">F20*P20</f>
        <v>34438.143697674233</v>
      </c>
      <c r="R20">
        <f t="shared" ref="R20" si="77">R21+Q20</f>
        <v>5770549.2286737543</v>
      </c>
      <c r="S20">
        <f t="shared" ref="S20" si="78">R20/100000</f>
        <v>57.705492286737545</v>
      </c>
      <c r="T20">
        <f t="shared" ref="T20" si="79">S20/1000</f>
        <v>5.7705492286737547E-2</v>
      </c>
    </row>
    <row r="21" spans="1:20" x14ac:dyDescent="0.25">
      <c r="A21" s="5">
        <v>44572</v>
      </c>
      <c r="B21">
        <v>182.4</v>
      </c>
      <c r="C21">
        <v>195</v>
      </c>
      <c r="D21">
        <v>181.2</v>
      </c>
      <c r="E21">
        <v>192.9</v>
      </c>
      <c r="F21">
        <v>109879.488</v>
      </c>
      <c r="G21">
        <v>192.9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0.69565217391304457</v>
      </c>
      <c r="Q21">
        <f t="shared" ref="Q21" si="81">F21*P21</f>
        <v>76437.904695652294</v>
      </c>
      <c r="R21">
        <f t="shared" ref="R21" si="82">R22+Q21</f>
        <v>5736111.0849760799</v>
      </c>
      <c r="S21">
        <f t="shared" ref="S21" si="83">R21/100000</f>
        <v>57.361110849760799</v>
      </c>
      <c r="T21">
        <f t="shared" ref="T21" si="84">S21/1000</f>
        <v>5.7361110849760796E-2</v>
      </c>
    </row>
    <row r="22" spans="1:20" x14ac:dyDescent="0.25">
      <c r="A22" s="5">
        <v>44571</v>
      </c>
      <c r="B22">
        <v>191</v>
      </c>
      <c r="C22">
        <v>194.5</v>
      </c>
      <c r="D22">
        <v>175</v>
      </c>
      <c r="E22">
        <v>182.4</v>
      </c>
      <c r="F22">
        <v>97440.278000000006</v>
      </c>
      <c r="G22">
        <v>182.4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-0.24102564102564045</v>
      </c>
      <c r="Q22">
        <f t="shared" ref="Q22" si="86">F22*P22</f>
        <v>-23485.605466666613</v>
      </c>
      <c r="R22">
        <f t="shared" ref="R22" si="87">R23+Q22</f>
        <v>5659673.1802804274</v>
      </c>
      <c r="S22">
        <f t="shared" ref="S22" si="88">R22/100000</f>
        <v>56.596731802804271</v>
      </c>
      <c r="T22">
        <f t="shared" ref="T22" si="89">S22/1000</f>
        <v>5.6596731802804272E-2</v>
      </c>
    </row>
    <row r="23" spans="1:20" x14ac:dyDescent="0.25">
      <c r="A23" s="5">
        <v>44570</v>
      </c>
      <c r="B23">
        <v>183.9</v>
      </c>
      <c r="C23">
        <v>195.6</v>
      </c>
      <c r="D23">
        <v>183</v>
      </c>
      <c r="E23">
        <v>191</v>
      </c>
      <c r="F23">
        <v>99503.822</v>
      </c>
      <c r="G23">
        <v>191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0.26984126984127044</v>
      </c>
      <c r="Q23">
        <f t="shared" ref="Q23" si="91">F23*P23</f>
        <v>26850.23768253974</v>
      </c>
      <c r="R23">
        <f t="shared" ref="R23" si="92">R24+Q23</f>
        <v>5683158.7857470941</v>
      </c>
      <c r="S23">
        <f t="shared" ref="S23" si="93">R23/100000</f>
        <v>56.831587857470943</v>
      </c>
      <c r="T23">
        <f t="shared" ref="T23" si="94">S23/1000</f>
        <v>5.6831587857470944E-2</v>
      </c>
    </row>
    <row r="24" spans="1:20" x14ac:dyDescent="0.25">
      <c r="A24" s="5">
        <v>44569</v>
      </c>
      <c r="B24">
        <v>194.8</v>
      </c>
      <c r="C24">
        <v>197.8</v>
      </c>
      <c r="D24">
        <v>179.1</v>
      </c>
      <c r="E24">
        <v>183.9</v>
      </c>
      <c r="F24">
        <v>96940.224000000002</v>
      </c>
      <c r="G24">
        <v>183.9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-0.48663101604277997</v>
      </c>
      <c r="Q24">
        <f t="shared" ref="Q24" si="96">F24*P24</f>
        <v>-47174.119700534684</v>
      </c>
      <c r="R24">
        <f t="shared" ref="R24" si="97">R25+Q24</f>
        <v>5656308.5480645541</v>
      </c>
      <c r="S24">
        <f t="shared" ref="S24" si="98">R24/100000</f>
        <v>56.56308548064554</v>
      </c>
      <c r="T24">
        <f t="shared" ref="T24" si="99">S24/1000</f>
        <v>5.6563085480645543E-2</v>
      </c>
    </row>
    <row r="25" spans="1:20" x14ac:dyDescent="0.25">
      <c r="A25" s="5">
        <v>44568</v>
      </c>
      <c r="B25">
        <v>204.5</v>
      </c>
      <c r="C25">
        <v>209</v>
      </c>
      <c r="D25">
        <v>191.8</v>
      </c>
      <c r="E25">
        <v>194.7</v>
      </c>
      <c r="F25">
        <v>124417.038</v>
      </c>
      <c r="G25">
        <v>194.7</v>
      </c>
      <c r="L25" t="s">
        <v>8</v>
      </c>
      <c r="M25" t="s">
        <v>7</v>
      </c>
      <c r="N25" t="s">
        <v>8</v>
      </c>
      <c r="P25">
        <f t="shared" ref="P25" si="100">IF(C25=D25,0,((E25-D25)-(C25-E25))/(C25-D25))</f>
        <v>-0.662790697674421</v>
      </c>
      <c r="Q25">
        <f t="shared" ref="Q25" si="101">F25*P25</f>
        <v>-82462.45541860495</v>
      </c>
      <c r="R25">
        <f t="shared" ref="R25" si="102">R26+Q25</f>
        <v>5703482.6677650884</v>
      </c>
      <c r="S25">
        <f t="shared" ref="S25" si="103">R25/100000</f>
        <v>57.034826677650884</v>
      </c>
      <c r="T25">
        <f t="shared" ref="T25" si="104">S25/1000</f>
        <v>5.7034826677650884E-2</v>
      </c>
    </row>
    <row r="26" spans="1:20" x14ac:dyDescent="0.25">
      <c r="A26" s="5">
        <v>44567</v>
      </c>
      <c r="B26">
        <v>206.5</v>
      </c>
      <c r="C26">
        <v>206.5</v>
      </c>
      <c r="D26">
        <v>193.8</v>
      </c>
      <c r="E26">
        <v>204.4</v>
      </c>
      <c r="F26">
        <v>90650.391000000003</v>
      </c>
      <c r="G26">
        <v>204.4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0.66929133858267775</v>
      </c>
      <c r="Q26">
        <f t="shared" ref="Q26" si="106">F26*P26</f>
        <v>60671.521535433123</v>
      </c>
      <c r="R26">
        <f t="shared" ref="R26" si="107">R27+Q26</f>
        <v>5785945.1231836937</v>
      </c>
      <c r="S26">
        <f t="shared" ref="S26" si="108">R26/100000</f>
        <v>57.859451231836935</v>
      </c>
      <c r="T26">
        <f t="shared" ref="T26" si="109">S26/1000</f>
        <v>5.7859451231836938E-2</v>
      </c>
    </row>
    <row r="27" spans="1:20" x14ac:dyDescent="0.25">
      <c r="A27" s="5">
        <v>44566</v>
      </c>
      <c r="B27">
        <v>222</v>
      </c>
      <c r="C27">
        <v>225.3</v>
      </c>
      <c r="D27">
        <v>200.7</v>
      </c>
      <c r="E27">
        <v>206.5</v>
      </c>
      <c r="F27">
        <v>87849.521999999997</v>
      </c>
      <c r="G27">
        <v>206.5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-0.52845528455284507</v>
      </c>
      <c r="Q27">
        <f t="shared" ref="Q27" si="111">F27*P27</f>
        <v>-46424.544146341424</v>
      </c>
      <c r="R27">
        <f t="shared" ref="R27" si="112">R28+Q27</f>
        <v>5725273.6016482608</v>
      </c>
      <c r="S27">
        <f t="shared" ref="S27" si="113">R27/100000</f>
        <v>57.252736016482608</v>
      </c>
      <c r="T27">
        <f t="shared" ref="T27" si="114">S27/1000</f>
        <v>5.7252736016482605E-2</v>
      </c>
    </row>
    <row r="28" spans="1:20" x14ac:dyDescent="0.25">
      <c r="A28" s="5">
        <v>44565</v>
      </c>
      <c r="B28">
        <v>231.5</v>
      </c>
      <c r="C28">
        <v>233.7</v>
      </c>
      <c r="D28">
        <v>220</v>
      </c>
      <c r="E28">
        <v>222.1</v>
      </c>
      <c r="F28">
        <v>83491.13</v>
      </c>
      <c r="G28">
        <v>222.1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-0.69343065693430717</v>
      </c>
      <c r="Q28">
        <f t="shared" ref="Q28" si="116">F28*P28</f>
        <v>-57895.309124087646</v>
      </c>
      <c r="R28">
        <f t="shared" ref="R28" si="117">R29+Q28</f>
        <v>5771698.1457946021</v>
      </c>
      <c r="S28">
        <f t="shared" ref="S28" si="118">R28/100000</f>
        <v>57.716981457946019</v>
      </c>
      <c r="T28">
        <f t="shared" ref="T28" si="119">S28/1000</f>
        <v>5.7716981457946022E-2</v>
      </c>
    </row>
    <row r="29" spans="1:20" x14ac:dyDescent="0.25">
      <c r="A29" s="5">
        <v>44564</v>
      </c>
      <c r="B29">
        <v>239.7</v>
      </c>
      <c r="C29">
        <v>239.9</v>
      </c>
      <c r="D29">
        <v>223.5</v>
      </c>
      <c r="E29">
        <v>231.5</v>
      </c>
      <c r="F29">
        <v>91828.904999999999</v>
      </c>
      <c r="G29">
        <v>231.5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-2.4390243902439362E-2</v>
      </c>
      <c r="Q29">
        <f t="shared" ref="Q29" si="121">F29*P29</f>
        <v>-2239.7293902439333</v>
      </c>
      <c r="R29">
        <f t="shared" ref="R29" si="122">R30+Q29</f>
        <v>5829593.45491869</v>
      </c>
      <c r="S29">
        <f t="shared" ref="S29" si="123">R29/100000</f>
        <v>58.295934549186903</v>
      </c>
      <c r="T29">
        <f t="shared" ref="T29" si="124">S29/1000</f>
        <v>5.8295934549186905E-2</v>
      </c>
    </row>
    <row r="30" spans="1:20" x14ac:dyDescent="0.25">
      <c r="A30" s="5">
        <v>44563</v>
      </c>
      <c r="B30">
        <v>250.1</v>
      </c>
      <c r="C30">
        <v>255</v>
      </c>
      <c r="D30">
        <v>236.4</v>
      </c>
      <c r="E30">
        <v>239.7</v>
      </c>
      <c r="F30">
        <v>90050.41</v>
      </c>
      <c r="G30">
        <v>239.7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-0.6451612903225824</v>
      </c>
      <c r="Q30">
        <f t="shared" ref="Q30" si="126">F30*P30</f>
        <v>-58097.038709677581</v>
      </c>
      <c r="R30">
        <f t="shared" ref="R30" si="127">R31+Q30</f>
        <v>5831833.184308934</v>
      </c>
      <c r="S30">
        <f t="shared" ref="S30" si="128">R30/100000</f>
        <v>58.318331843089339</v>
      </c>
      <c r="T30">
        <f t="shared" ref="T30" si="129">S30/1000</f>
        <v>5.8318331843089342E-2</v>
      </c>
    </row>
    <row r="31" spans="1:20" x14ac:dyDescent="0.25">
      <c r="A31" s="5">
        <v>44562</v>
      </c>
      <c r="B31">
        <v>228.5</v>
      </c>
      <c r="C31">
        <v>255.3</v>
      </c>
      <c r="D31">
        <v>228.5</v>
      </c>
      <c r="E31">
        <v>250.1</v>
      </c>
      <c r="F31">
        <v>127610.75900000001</v>
      </c>
      <c r="G31">
        <v>250.1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0.61194029850746157</v>
      </c>
      <c r="Q31">
        <f t="shared" ref="Q31" si="131">F31*P31</f>
        <v>78090.16595522374</v>
      </c>
      <c r="R31">
        <f t="shared" ref="R31" si="132">R32+Q31</f>
        <v>5889930.2230186118</v>
      </c>
      <c r="S31">
        <f t="shared" ref="S31" si="133">R31/100000</f>
        <v>58.899302230186116</v>
      </c>
      <c r="T31">
        <f t="shared" ref="T31" si="134">S31/1000</f>
        <v>5.8899302230186114E-2</v>
      </c>
    </row>
    <row r="32" spans="1:20" x14ac:dyDescent="0.25">
      <c r="A32" s="5">
        <v>44561</v>
      </c>
      <c r="B32">
        <v>225.3</v>
      </c>
      <c r="C32">
        <v>235.7</v>
      </c>
      <c r="D32">
        <v>223</v>
      </c>
      <c r="E32">
        <v>228.7</v>
      </c>
      <c r="F32">
        <v>87680.87</v>
      </c>
      <c r="G32">
        <v>228.7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-0.10236220472441043</v>
      </c>
      <c r="Q32">
        <f t="shared" ref="Q32" si="136">F32*P32</f>
        <v>-8975.2071653544172</v>
      </c>
      <c r="R32">
        <f t="shared" ref="R32" si="137">R33+Q32</f>
        <v>5811840.0570633877</v>
      </c>
      <c r="S32">
        <f t="shared" ref="S32" si="138">R32/100000</f>
        <v>58.118400570633874</v>
      </c>
      <c r="T32">
        <f t="shared" ref="T32" si="139">S32/1000</f>
        <v>5.8118400570633874E-2</v>
      </c>
    </row>
    <row r="33" spans="1:20" x14ac:dyDescent="0.25">
      <c r="A33" s="5">
        <v>44560</v>
      </c>
      <c r="B33">
        <v>214.7</v>
      </c>
      <c r="C33">
        <v>229.2</v>
      </c>
      <c r="D33">
        <v>208.6</v>
      </c>
      <c r="E33">
        <v>225.4</v>
      </c>
      <c r="F33">
        <v>106077.277</v>
      </c>
      <c r="G33">
        <v>225.4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0.63106796116505015</v>
      </c>
      <c r="Q33">
        <f t="shared" ref="Q33" si="141">F33*P33</f>
        <v>66941.970922330263</v>
      </c>
      <c r="R33">
        <f t="shared" ref="R33" si="142">R34+Q33</f>
        <v>5820815.2642287426</v>
      </c>
      <c r="S33">
        <f t="shared" ref="S33" si="143">R33/100000</f>
        <v>58.208152642287423</v>
      </c>
      <c r="T33">
        <f t="shared" ref="T33" si="144">S33/1000</f>
        <v>5.8208152642287424E-2</v>
      </c>
    </row>
    <row r="34" spans="1:20" x14ac:dyDescent="0.25">
      <c r="A34" s="5">
        <v>44559</v>
      </c>
      <c r="B34">
        <v>208.6</v>
      </c>
      <c r="C34">
        <v>219</v>
      </c>
      <c r="D34">
        <v>202.7</v>
      </c>
      <c r="E34">
        <v>214.7</v>
      </c>
      <c r="F34">
        <v>75846.687000000005</v>
      </c>
      <c r="G34">
        <v>214.7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0.47239263803680881</v>
      </c>
      <c r="Q34">
        <f t="shared" ref="Q34" si="146">F34*P34</f>
        <v>35829.416558282137</v>
      </c>
      <c r="R34">
        <f t="shared" ref="R34" si="147">R35+Q34</f>
        <v>5753873.2933064122</v>
      </c>
      <c r="S34">
        <f t="shared" ref="S34" si="148">R34/100000</f>
        <v>57.538732933064125</v>
      </c>
      <c r="T34">
        <f t="shared" ref="T34" si="149">S34/1000</f>
        <v>5.7538732933064128E-2</v>
      </c>
    </row>
    <row r="35" spans="1:20" x14ac:dyDescent="0.25">
      <c r="A35" s="5">
        <v>44558</v>
      </c>
      <c r="B35">
        <v>220.9</v>
      </c>
      <c r="C35">
        <v>221.2</v>
      </c>
      <c r="D35">
        <v>207</v>
      </c>
      <c r="E35">
        <v>208.8</v>
      </c>
      <c r="F35">
        <v>97205.422999999995</v>
      </c>
      <c r="G35">
        <v>208.8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-0.74647887323943485</v>
      </c>
      <c r="Q35">
        <f t="shared" ref="Q35" si="151">F35*P35</f>
        <v>-72561.794633802638</v>
      </c>
      <c r="R35">
        <f t="shared" ref="R35" si="152">R36+Q35</f>
        <v>5718043.8767481297</v>
      </c>
      <c r="S35">
        <f t="shared" ref="S35" si="153">R35/100000</f>
        <v>57.180438767481299</v>
      </c>
      <c r="T35">
        <f t="shared" ref="T35" si="154">S35/1000</f>
        <v>5.7180438767481301E-2</v>
      </c>
    </row>
    <row r="36" spans="1:20" x14ac:dyDescent="0.25">
      <c r="A36" s="5">
        <v>44557</v>
      </c>
      <c r="B36">
        <v>217.1</v>
      </c>
      <c r="C36">
        <v>236.9</v>
      </c>
      <c r="D36">
        <v>215.6</v>
      </c>
      <c r="E36">
        <v>220.7</v>
      </c>
      <c r="F36">
        <v>159287.704</v>
      </c>
      <c r="G36">
        <v>220.7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-0.52112676056338103</v>
      </c>
      <c r="Q36">
        <f t="shared" ref="Q36" si="156">F36*P36</f>
        <v>-83009.085183098709</v>
      </c>
      <c r="R36">
        <f t="shared" ref="R36" si="157">R37+Q36</f>
        <v>5790605.6713819327</v>
      </c>
      <c r="S36">
        <f t="shared" ref="S36" si="158">R36/100000</f>
        <v>57.906056713819325</v>
      </c>
      <c r="T36">
        <f t="shared" ref="T36" si="159">S36/1000</f>
        <v>5.7906056713819327E-2</v>
      </c>
    </row>
    <row r="37" spans="1:20" x14ac:dyDescent="0.25">
      <c r="A37" s="5">
        <v>44556</v>
      </c>
      <c r="B37">
        <v>211</v>
      </c>
      <c r="C37">
        <v>217.5</v>
      </c>
      <c r="D37">
        <v>206.1</v>
      </c>
      <c r="E37">
        <v>217.1</v>
      </c>
      <c r="F37">
        <v>62400.010999999999</v>
      </c>
      <c r="G37">
        <v>217.1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0.92982456140350778</v>
      </c>
      <c r="Q37">
        <f t="shared" ref="Q37" si="161">F37*P37</f>
        <v>58021.062859649057</v>
      </c>
      <c r="R37">
        <f t="shared" ref="R37" si="162">R38+Q37</f>
        <v>5873614.7565650316</v>
      </c>
      <c r="S37">
        <f t="shared" ref="S37" si="163">R37/100000</f>
        <v>58.736147565650313</v>
      </c>
      <c r="T37">
        <f t="shared" ref="T37" si="164">S37/1000</f>
        <v>5.8736147565650314E-2</v>
      </c>
    </row>
    <row r="38" spans="1:20" x14ac:dyDescent="0.25">
      <c r="A38" s="5">
        <v>44555</v>
      </c>
      <c r="B38">
        <v>204.4</v>
      </c>
      <c r="C38">
        <v>218.4</v>
      </c>
      <c r="D38">
        <v>203</v>
      </c>
      <c r="E38">
        <v>211.1</v>
      </c>
      <c r="F38">
        <v>79247.354999999996</v>
      </c>
      <c r="G38">
        <v>211.1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5.194805194805082E-2</v>
      </c>
      <c r="Q38">
        <f t="shared" ref="Q38" si="166">F38*P38</f>
        <v>4116.7457142856247</v>
      </c>
      <c r="R38">
        <f t="shared" ref="R38" si="167">R39+Q38</f>
        <v>5815593.6937053828</v>
      </c>
      <c r="S38">
        <f t="shared" ref="S38" si="168">R38/100000</f>
        <v>58.155936937053831</v>
      </c>
      <c r="T38">
        <f t="shared" ref="T38" si="169">S38/1000</f>
        <v>5.8155936937053829E-2</v>
      </c>
    </row>
    <row r="39" spans="1:20" x14ac:dyDescent="0.25">
      <c r="A39" s="5">
        <v>44554</v>
      </c>
      <c r="B39">
        <v>209.8</v>
      </c>
      <c r="C39">
        <v>210.6</v>
      </c>
      <c r="D39">
        <v>200.1</v>
      </c>
      <c r="E39">
        <v>204.3</v>
      </c>
      <c r="F39">
        <v>70390.187999999995</v>
      </c>
      <c r="G39">
        <v>204.3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-0.19999999999999676</v>
      </c>
      <c r="Q39">
        <f t="shared" ref="Q39" si="171">F39*P39</f>
        <v>-14078.03759999977</v>
      </c>
      <c r="R39">
        <f t="shared" ref="R39" si="172">R40+Q39</f>
        <v>5811476.9479910973</v>
      </c>
      <c r="S39">
        <f t="shared" ref="S39" si="173">R39/100000</f>
        <v>58.114769479910976</v>
      </c>
      <c r="T39">
        <f t="shared" ref="T39" si="174">S39/1000</f>
        <v>5.8114769479910976E-2</v>
      </c>
    </row>
    <row r="40" spans="1:20" x14ac:dyDescent="0.25">
      <c r="A40" s="5">
        <v>44553</v>
      </c>
      <c r="B40">
        <v>190.6</v>
      </c>
      <c r="C40">
        <v>215.4</v>
      </c>
      <c r="D40">
        <v>187.5</v>
      </c>
      <c r="E40">
        <v>209.8</v>
      </c>
      <c r="F40">
        <v>149215.60399999999</v>
      </c>
      <c r="G40">
        <v>209.8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0.59856630824372814</v>
      </c>
      <c r="Q40">
        <f t="shared" ref="Q40" si="176">F40*P40</f>
        <v>89315.433218638063</v>
      </c>
      <c r="R40">
        <f t="shared" ref="R40" si="177">R41+Q40</f>
        <v>5825554.9855910968</v>
      </c>
      <c r="S40">
        <f t="shared" ref="S40" si="178">R40/100000</f>
        <v>58.255549855910971</v>
      </c>
      <c r="T40">
        <f t="shared" ref="T40" si="179">S40/1000</f>
        <v>5.8255549855910971E-2</v>
      </c>
    </row>
    <row r="41" spans="1:20" x14ac:dyDescent="0.25">
      <c r="A41" s="5">
        <v>44552</v>
      </c>
      <c r="B41">
        <v>189.1</v>
      </c>
      <c r="C41">
        <v>194.6</v>
      </c>
      <c r="D41">
        <v>186.2</v>
      </c>
      <c r="E41">
        <v>190.6</v>
      </c>
      <c r="F41">
        <v>82783.47</v>
      </c>
      <c r="G41">
        <v>190.6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4.7619047619048262E-2</v>
      </c>
      <c r="Q41">
        <f t="shared" ref="Q41" si="181">F41*P41</f>
        <v>3942.0700000000534</v>
      </c>
      <c r="R41">
        <f t="shared" ref="R41" si="182">R42+Q41</f>
        <v>5736239.5523724584</v>
      </c>
      <c r="S41">
        <f t="shared" ref="S41" si="183">R41/100000</f>
        <v>57.362395523724587</v>
      </c>
      <c r="T41">
        <f t="shared" ref="T41" si="184">S41/1000</f>
        <v>5.7362395523724588E-2</v>
      </c>
    </row>
    <row r="42" spans="1:20" x14ac:dyDescent="0.25">
      <c r="A42" s="5">
        <v>44551</v>
      </c>
      <c r="B42">
        <v>189.1</v>
      </c>
      <c r="C42">
        <v>198</v>
      </c>
      <c r="D42">
        <v>187.2</v>
      </c>
      <c r="E42">
        <v>189.1</v>
      </c>
      <c r="F42">
        <v>116119.962</v>
      </c>
      <c r="G42">
        <v>189.1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-0.64814814814814747</v>
      </c>
      <c r="Q42">
        <f t="shared" ref="Q42" si="186">F42*P42</f>
        <v>-75262.938333333252</v>
      </c>
      <c r="R42">
        <f t="shared" ref="R42" si="187">R43+Q42</f>
        <v>5732297.4823724581</v>
      </c>
      <c r="S42">
        <f t="shared" ref="S42" si="188">R42/100000</f>
        <v>57.322974823724579</v>
      </c>
      <c r="T42">
        <f t="shared" ref="T42" si="189">S42/1000</f>
        <v>5.732297482372458E-2</v>
      </c>
    </row>
    <row r="43" spans="1:20" x14ac:dyDescent="0.25">
      <c r="A43" s="5">
        <v>44550</v>
      </c>
      <c r="B43">
        <v>183.9</v>
      </c>
      <c r="C43">
        <v>194.7</v>
      </c>
      <c r="D43">
        <v>179.3</v>
      </c>
      <c r="E43">
        <v>189</v>
      </c>
      <c r="F43">
        <v>127090.21</v>
      </c>
      <c r="G43">
        <v>189</v>
      </c>
      <c r="L43" t="s">
        <v>8</v>
      </c>
      <c r="M43" t="s">
        <v>7</v>
      </c>
      <c r="N43" t="s">
        <v>7</v>
      </c>
      <c r="P43">
        <f t="shared" ref="P43" si="190">IF(C43=D43,0,((E43-D43)-(C43-E43))/(C43-D43))</f>
        <v>0.2597402597402601</v>
      </c>
      <c r="Q43">
        <f t="shared" ref="Q43" si="191">F43*P43</f>
        <v>33010.444155844205</v>
      </c>
      <c r="R43">
        <f t="shared" ref="R43" si="192">R44+Q43</f>
        <v>5807560.4207057916</v>
      </c>
      <c r="S43">
        <f t="shared" ref="S43" si="193">R43/100000</f>
        <v>58.075604207057914</v>
      </c>
      <c r="T43">
        <f t="shared" ref="T43" si="194">S43/1000</f>
        <v>5.8075604207057915E-2</v>
      </c>
    </row>
    <row r="44" spans="1:20" x14ac:dyDescent="0.25">
      <c r="A44" s="5">
        <v>44549</v>
      </c>
      <c r="B44">
        <v>181.2</v>
      </c>
      <c r="C44">
        <v>186.1</v>
      </c>
      <c r="D44">
        <v>178</v>
      </c>
      <c r="E44">
        <v>184</v>
      </c>
      <c r="F44">
        <v>65497.603000000003</v>
      </c>
      <c r="G44">
        <v>184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0.48148148148148251</v>
      </c>
      <c r="Q44">
        <f t="shared" ref="Q44" si="196">F44*P44</f>
        <v>31535.882925925995</v>
      </c>
      <c r="R44">
        <f t="shared" ref="R44" si="197">R45+Q44</f>
        <v>5774549.9765499476</v>
      </c>
      <c r="S44">
        <f t="shared" ref="S44" si="198">R44/100000</f>
        <v>57.745499765499474</v>
      </c>
      <c r="T44">
        <f t="shared" ref="T44" si="199">S44/1000</f>
        <v>5.7745499765499475E-2</v>
      </c>
    </row>
    <row r="45" spans="1:20" x14ac:dyDescent="0.25">
      <c r="A45" s="5">
        <v>44548</v>
      </c>
      <c r="B45">
        <v>181.6</v>
      </c>
      <c r="C45">
        <v>188</v>
      </c>
      <c r="D45">
        <v>178</v>
      </c>
      <c r="E45">
        <v>181.2</v>
      </c>
      <c r="F45">
        <v>54406.326999999997</v>
      </c>
      <c r="G45">
        <v>181.2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-0.36000000000000226</v>
      </c>
      <c r="Q45">
        <f t="shared" ref="Q45" si="201">F45*P45</f>
        <v>-19586.277720000122</v>
      </c>
      <c r="R45">
        <f t="shared" ref="R45" si="202">R46+Q45</f>
        <v>5743014.0936240219</v>
      </c>
      <c r="S45">
        <f t="shared" ref="S45" si="203">R45/100000</f>
        <v>57.430140936240221</v>
      </c>
      <c r="T45">
        <f t="shared" ref="T45" si="204">S45/1000</f>
        <v>5.7430140936240222E-2</v>
      </c>
    </row>
    <row r="46" spans="1:20" x14ac:dyDescent="0.25">
      <c r="A46" s="5">
        <v>44547</v>
      </c>
      <c r="B46">
        <v>187.2</v>
      </c>
      <c r="C46">
        <v>188.8</v>
      </c>
      <c r="D46">
        <v>176.5</v>
      </c>
      <c r="E46">
        <v>181.6</v>
      </c>
      <c r="F46">
        <v>74745.725999999995</v>
      </c>
      <c r="G46">
        <v>181.6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-0.17073170731707485</v>
      </c>
      <c r="Q46">
        <f t="shared" ref="Q46" si="206">F46*P46</f>
        <v>-12761.465414634271</v>
      </c>
      <c r="R46">
        <f t="shared" ref="R46" si="207">R47+Q46</f>
        <v>5762600.3713440215</v>
      </c>
      <c r="S46">
        <f t="shared" ref="S46" si="208">R46/100000</f>
        <v>57.626003713440213</v>
      </c>
      <c r="T46">
        <f t="shared" ref="T46" si="209">S46/1000</f>
        <v>5.7626003713440212E-2</v>
      </c>
    </row>
    <row r="47" spans="1:20" x14ac:dyDescent="0.25">
      <c r="A47" s="5">
        <v>44546</v>
      </c>
      <c r="B47">
        <v>188.2</v>
      </c>
      <c r="C47">
        <v>206</v>
      </c>
      <c r="D47">
        <v>184.8</v>
      </c>
      <c r="E47">
        <v>187.1</v>
      </c>
      <c r="F47">
        <v>117445.493</v>
      </c>
      <c r="G47">
        <v>187.1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-0.78301886792452979</v>
      </c>
      <c r="Q47">
        <f t="shared" ref="Q47" si="211">F47*P47</f>
        <v>-91962.036971698297</v>
      </c>
      <c r="R47">
        <f t="shared" ref="R47" si="212">R48+Q47</f>
        <v>5775361.8367586555</v>
      </c>
      <c r="S47">
        <f t="shared" ref="S47" si="213">R47/100000</f>
        <v>57.753618367586554</v>
      </c>
      <c r="T47">
        <f t="shared" ref="T47" si="214">S47/1000</f>
        <v>5.7753618367586551E-2</v>
      </c>
    </row>
    <row r="48" spans="1:20" x14ac:dyDescent="0.25">
      <c r="A48" s="5">
        <v>44545</v>
      </c>
      <c r="B48">
        <v>186.8</v>
      </c>
      <c r="C48">
        <v>190.8</v>
      </c>
      <c r="D48">
        <v>178.9</v>
      </c>
      <c r="E48">
        <v>188.1</v>
      </c>
      <c r="F48">
        <v>84613.769</v>
      </c>
      <c r="G48">
        <v>188.1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0.54621848739495538</v>
      </c>
      <c r="Q48">
        <f t="shared" ref="Q48" si="216">F48*P48</f>
        <v>46217.604915966163</v>
      </c>
      <c r="R48">
        <f t="shared" ref="R48" si="217">R49+Q48</f>
        <v>5867323.873730354</v>
      </c>
      <c r="S48">
        <f t="shared" ref="S48" si="218">R48/100000</f>
        <v>58.673238737303542</v>
      </c>
      <c r="T48">
        <f t="shared" ref="T48" si="219">S48/1000</f>
        <v>5.867323873730354E-2</v>
      </c>
    </row>
    <row r="49" spans="1:20" x14ac:dyDescent="0.25">
      <c r="A49" s="5">
        <v>44544</v>
      </c>
      <c r="B49">
        <v>183.9</v>
      </c>
      <c r="C49">
        <v>188.4</v>
      </c>
      <c r="D49">
        <v>179.8</v>
      </c>
      <c r="E49">
        <v>186.7</v>
      </c>
      <c r="F49">
        <v>72585.293000000005</v>
      </c>
      <c r="G49">
        <v>186.7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0.60465116279069342</v>
      </c>
      <c r="Q49">
        <f t="shared" ref="Q49" si="221">F49*P49</f>
        <v>43888.781813953181</v>
      </c>
      <c r="R49">
        <f t="shared" ref="R49" si="222">R50+Q49</f>
        <v>5821106.2688143877</v>
      </c>
      <c r="S49">
        <f t="shared" ref="S49" si="223">R49/100000</f>
        <v>58.211062688143876</v>
      </c>
      <c r="T49">
        <f t="shared" ref="T49" si="224">S49/1000</f>
        <v>5.8211062688143876E-2</v>
      </c>
    </row>
    <row r="50" spans="1:20" x14ac:dyDescent="0.25">
      <c r="A50" s="5">
        <v>44543</v>
      </c>
      <c r="B50">
        <v>197.8</v>
      </c>
      <c r="C50">
        <v>199.2</v>
      </c>
      <c r="D50">
        <v>181.4</v>
      </c>
      <c r="E50">
        <v>183.8</v>
      </c>
      <c r="F50">
        <v>90382.572</v>
      </c>
      <c r="G50">
        <v>183.8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-0.73033707865168451</v>
      </c>
      <c r="Q50">
        <f t="shared" ref="Q50" si="226">F50*P50</f>
        <v>-66009.743595505541</v>
      </c>
      <c r="R50">
        <f t="shared" ref="R50" si="227">R51+Q50</f>
        <v>5777217.4870004347</v>
      </c>
      <c r="S50">
        <f t="shared" ref="S50" si="228">R50/100000</f>
        <v>57.772174870004349</v>
      </c>
      <c r="T50">
        <f t="shared" ref="T50" si="229">S50/1000</f>
        <v>5.7772174870004349E-2</v>
      </c>
    </row>
    <row r="51" spans="1:20" x14ac:dyDescent="0.25">
      <c r="A51" s="5">
        <v>44542</v>
      </c>
      <c r="B51">
        <v>198.7</v>
      </c>
      <c r="C51">
        <v>203</v>
      </c>
      <c r="D51">
        <v>191.5</v>
      </c>
      <c r="E51">
        <v>197.9</v>
      </c>
      <c r="F51">
        <v>79351.221000000005</v>
      </c>
      <c r="G51">
        <v>197.9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0.11304347826087055</v>
      </c>
      <c r="Q51">
        <f t="shared" ref="Q51" si="231">F51*P51</f>
        <v>8970.1380260870355</v>
      </c>
      <c r="R51">
        <f t="shared" ref="R51" si="232">R52+Q51</f>
        <v>5843227.2305959398</v>
      </c>
      <c r="S51">
        <f t="shared" ref="S51" si="233">R51/100000</f>
        <v>58.432272305959401</v>
      </c>
      <c r="T51">
        <f t="shared" ref="T51" si="234">S51/1000</f>
        <v>5.8432272305959404E-2</v>
      </c>
    </row>
    <row r="52" spans="1:20" x14ac:dyDescent="0.25">
      <c r="A52" s="5">
        <v>44541</v>
      </c>
      <c r="B52">
        <v>189.7</v>
      </c>
      <c r="C52">
        <v>194.3</v>
      </c>
      <c r="D52">
        <v>187.2</v>
      </c>
      <c r="E52">
        <v>193.7</v>
      </c>
      <c r="F52">
        <v>9035.8459999999995</v>
      </c>
      <c r="G52">
        <v>193.7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0.83098591549295187</v>
      </c>
      <c r="Q52">
        <f t="shared" ref="Q52" si="236">F52*P52</f>
        <v>7508.6607605633271</v>
      </c>
      <c r="R52">
        <f t="shared" ref="R52" si="237">R53+Q52</f>
        <v>5834257.0925698532</v>
      </c>
      <c r="S52">
        <f t="shared" ref="S52" si="238">R52/100000</f>
        <v>58.342570925698531</v>
      </c>
      <c r="T52">
        <f t="shared" ref="T52" si="239">S52/1000</f>
        <v>5.8342570925698528E-2</v>
      </c>
    </row>
    <row r="53" spans="1:20" x14ac:dyDescent="0.25">
      <c r="A53" s="5">
        <v>44540</v>
      </c>
      <c r="B53">
        <v>189</v>
      </c>
      <c r="C53">
        <v>204</v>
      </c>
      <c r="D53">
        <v>185.5</v>
      </c>
      <c r="E53">
        <v>189.9</v>
      </c>
      <c r="F53">
        <v>132204.125</v>
      </c>
      <c r="G53">
        <v>189.9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-0.52432432432432374</v>
      </c>
      <c r="Q53">
        <f t="shared" ref="Q53" si="241">F53*P53</f>
        <v>-69317.83851351343</v>
      </c>
      <c r="R53">
        <f t="shared" ref="R53" si="242">R54+Q53</f>
        <v>5826748.4318092903</v>
      </c>
      <c r="S53">
        <f t="shared" ref="S53" si="243">R53/100000</f>
        <v>58.267484318092905</v>
      </c>
      <c r="T53">
        <f t="shared" ref="T53" si="244">S53/1000</f>
        <v>5.8267484318092908E-2</v>
      </c>
    </row>
    <row r="54" spans="1:20" x14ac:dyDescent="0.25">
      <c r="A54" s="5">
        <v>44539</v>
      </c>
      <c r="B54">
        <v>209.8</v>
      </c>
      <c r="C54">
        <v>210.7</v>
      </c>
      <c r="D54">
        <v>187.8</v>
      </c>
      <c r="E54">
        <v>189.1</v>
      </c>
      <c r="F54">
        <v>98925.922999999995</v>
      </c>
      <c r="G54">
        <v>189.1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-0.88646288209607127</v>
      </c>
      <c r="Q54">
        <f t="shared" ref="Q54" si="246">F54*P54</f>
        <v>-87694.158816594019</v>
      </c>
      <c r="R54">
        <f t="shared" ref="R54" si="247">R55+Q54</f>
        <v>5896066.2703228034</v>
      </c>
      <c r="S54">
        <f t="shared" ref="S54" si="248">R54/100000</f>
        <v>58.960662703228031</v>
      </c>
      <c r="T54">
        <f t="shared" ref="T54" si="249">S54/1000</f>
        <v>5.8960662703228028E-2</v>
      </c>
    </row>
    <row r="55" spans="1:20" x14ac:dyDescent="0.25">
      <c r="A55" s="5">
        <v>44538</v>
      </c>
      <c r="B55">
        <v>207</v>
      </c>
      <c r="C55">
        <v>214.2</v>
      </c>
      <c r="D55">
        <v>200.5</v>
      </c>
      <c r="E55">
        <v>209.7</v>
      </c>
      <c r="F55">
        <v>93771.403999999995</v>
      </c>
      <c r="G55">
        <v>209.7</v>
      </c>
      <c r="L55" t="s">
        <v>8</v>
      </c>
      <c r="M55" t="s">
        <v>7</v>
      </c>
      <c r="N55" t="s">
        <v>7</v>
      </c>
      <c r="P55">
        <f t="shared" ref="P55" si="250">IF(C55=D55,0,((E55-D55)-(C55-E55))/(C55-D55))</f>
        <v>0.3430656934306564</v>
      </c>
      <c r="Q55">
        <f t="shared" ref="Q55" si="251">F55*P55</f>
        <v>32169.751737226226</v>
      </c>
      <c r="R55">
        <f t="shared" ref="R55" si="252">R56+Q55</f>
        <v>5983760.4291393971</v>
      </c>
      <c r="S55">
        <f t="shared" ref="S55" si="253">R55/100000</f>
        <v>59.837604291393973</v>
      </c>
      <c r="T55">
        <f t="shared" ref="T55" si="254">S55/1000</f>
        <v>5.9837604291393974E-2</v>
      </c>
    </row>
    <row r="56" spans="1:20" x14ac:dyDescent="0.25">
      <c r="A56" s="5">
        <v>44537</v>
      </c>
      <c r="B56">
        <v>200.7</v>
      </c>
      <c r="C56">
        <v>208.8</v>
      </c>
      <c r="D56">
        <v>199.5</v>
      </c>
      <c r="E56">
        <v>207</v>
      </c>
      <c r="F56">
        <v>100540.424</v>
      </c>
      <c r="G56">
        <v>207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0.61290322580644963</v>
      </c>
      <c r="Q56">
        <f t="shared" ref="Q56" si="256">F56*P56</f>
        <v>61621.550193548188</v>
      </c>
      <c r="R56">
        <f t="shared" ref="R56" si="257">R57+Q56</f>
        <v>5951590.6774021713</v>
      </c>
      <c r="S56">
        <f t="shared" ref="S56" si="258">R56/100000</f>
        <v>59.515906774021715</v>
      </c>
      <c r="T56">
        <f t="shared" ref="T56" si="259">S56/1000</f>
        <v>5.9515906774021715E-2</v>
      </c>
    </row>
    <row r="57" spans="1:20" x14ac:dyDescent="0.25">
      <c r="A57" s="5">
        <v>44536</v>
      </c>
      <c r="B57">
        <v>201.4</v>
      </c>
      <c r="C57">
        <v>204</v>
      </c>
      <c r="D57">
        <v>185.9</v>
      </c>
      <c r="E57">
        <v>201</v>
      </c>
      <c r="F57">
        <v>107091.976</v>
      </c>
      <c r="G57">
        <v>201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0.66850828729281753</v>
      </c>
      <c r="Q57">
        <f t="shared" ref="Q57" si="261">F57*P57</f>
        <v>71591.87345856351</v>
      </c>
      <c r="R57">
        <f t="shared" ref="R57" si="262">R58+Q57</f>
        <v>5889969.1272086231</v>
      </c>
      <c r="S57">
        <f t="shared" ref="S57" si="263">R57/100000</f>
        <v>58.89969127208623</v>
      </c>
      <c r="T57">
        <f t="shared" ref="T57" si="264">S57/1000</f>
        <v>5.8899691272086233E-2</v>
      </c>
    </row>
    <row r="58" spans="1:20" x14ac:dyDescent="0.25">
      <c r="A58" s="5">
        <v>44535</v>
      </c>
      <c r="B58">
        <v>204.5</v>
      </c>
      <c r="C58">
        <v>206.6</v>
      </c>
      <c r="D58">
        <v>193.1</v>
      </c>
      <c r="E58">
        <v>201.3</v>
      </c>
      <c r="F58">
        <v>84553.032000000007</v>
      </c>
      <c r="G58">
        <v>201.3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0.21481481481481735</v>
      </c>
      <c r="Q58">
        <f t="shared" ref="Q58" si="266">F58*P58</f>
        <v>18163.243911111327</v>
      </c>
      <c r="R58">
        <f t="shared" ref="R58" si="267">R59+Q58</f>
        <v>5818377.2537500598</v>
      </c>
      <c r="S58">
        <f t="shared" ref="S58" si="268">R58/100000</f>
        <v>58.183772537500595</v>
      </c>
      <c r="T58">
        <f t="shared" ref="T58" si="269">S58/1000</f>
        <v>5.8183772537500594E-2</v>
      </c>
    </row>
    <row r="59" spans="1:20" x14ac:dyDescent="0.25">
      <c r="A59" s="5">
        <v>44534</v>
      </c>
      <c r="B59">
        <v>223.3</v>
      </c>
      <c r="C59">
        <v>225.5</v>
      </c>
      <c r="D59">
        <v>177.5</v>
      </c>
      <c r="E59">
        <v>204.7</v>
      </c>
      <c r="F59">
        <v>205902.83533999999</v>
      </c>
      <c r="G59">
        <v>204.7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0.13333333333333286</v>
      </c>
      <c r="Q59">
        <f t="shared" ref="Q59" si="271">F59*P59</f>
        <v>27453.711378666569</v>
      </c>
      <c r="R59">
        <f t="shared" ref="R59" si="272">R60+Q59</f>
        <v>5800214.009838948</v>
      </c>
      <c r="S59">
        <f t="shared" ref="S59" si="273">R59/100000</f>
        <v>58.002140098389482</v>
      </c>
      <c r="T59">
        <f t="shared" ref="T59" si="274">S59/1000</f>
        <v>5.8002140098389485E-2</v>
      </c>
    </row>
    <row r="60" spans="1:20" x14ac:dyDescent="0.25">
      <c r="A60" s="5">
        <v>44533</v>
      </c>
      <c r="B60">
        <v>239.4</v>
      </c>
      <c r="C60">
        <v>244</v>
      </c>
      <c r="D60">
        <v>217.3</v>
      </c>
      <c r="E60">
        <v>223.4</v>
      </c>
      <c r="F60">
        <v>125709.41899999999</v>
      </c>
      <c r="G60">
        <v>223.4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-0.54307116104868935</v>
      </c>
      <c r="Q60">
        <f t="shared" ref="Q60" si="276">F60*P60</f>
        <v>-68269.160131086173</v>
      </c>
      <c r="R60">
        <f t="shared" ref="R60" si="277">R61+Q60</f>
        <v>5772760.2984602815</v>
      </c>
      <c r="S60">
        <f t="shared" ref="S60" si="278">R60/100000</f>
        <v>57.727602984602818</v>
      </c>
      <c r="T60">
        <f t="shared" ref="T60" si="279">S60/1000</f>
        <v>5.7727602984602819E-2</v>
      </c>
    </row>
    <row r="61" spans="1:20" x14ac:dyDescent="0.25">
      <c r="A61" s="5">
        <v>44532</v>
      </c>
      <c r="B61">
        <v>230.7</v>
      </c>
      <c r="C61">
        <v>241.9</v>
      </c>
      <c r="D61">
        <v>225.5</v>
      </c>
      <c r="E61">
        <v>239.5</v>
      </c>
      <c r="F61">
        <v>101544.4</v>
      </c>
      <c r="G61">
        <v>239.5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0.70731707317073111</v>
      </c>
      <c r="Q61">
        <f t="shared" ref="Q61" si="281">F61*P61</f>
        <v>71824.087804877985</v>
      </c>
      <c r="R61">
        <f t="shared" ref="R61" si="282">R62+Q61</f>
        <v>5841029.458591368</v>
      </c>
      <c r="S61">
        <f t="shared" ref="S61" si="283">R61/100000</f>
        <v>58.410294585913682</v>
      </c>
      <c r="T61">
        <f t="shared" ref="T61" si="284">S61/1000</f>
        <v>5.841029458591368E-2</v>
      </c>
    </row>
    <row r="62" spans="1:20" x14ac:dyDescent="0.25">
      <c r="A62" s="5">
        <v>44531</v>
      </c>
      <c r="B62">
        <v>238.1</v>
      </c>
      <c r="C62">
        <v>243</v>
      </c>
      <c r="D62">
        <v>227.2</v>
      </c>
      <c r="E62">
        <v>230.6</v>
      </c>
      <c r="F62">
        <v>108049.63499999999</v>
      </c>
      <c r="G62">
        <v>230.6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-0.56962025316455656</v>
      </c>
      <c r="Q62">
        <f t="shared" ref="Q62" si="286">F62*P62</f>
        <v>-61547.260443037929</v>
      </c>
      <c r="R62">
        <f t="shared" ref="R62" si="287">R63+Q62</f>
        <v>5769205.3707864899</v>
      </c>
      <c r="S62">
        <f t="shared" ref="S62" si="288">R62/100000</f>
        <v>57.692053707864901</v>
      </c>
      <c r="T62">
        <f t="shared" ref="T62" si="289">S62/1000</f>
        <v>5.7692053707864899E-2</v>
      </c>
    </row>
    <row r="63" spans="1:20" x14ac:dyDescent="0.25">
      <c r="A63" s="5">
        <v>44530</v>
      </c>
      <c r="B63">
        <v>235.7</v>
      </c>
      <c r="C63">
        <v>256.60000000000002</v>
      </c>
      <c r="D63">
        <v>228.1</v>
      </c>
      <c r="E63">
        <v>238</v>
      </c>
      <c r="F63">
        <v>147281.872</v>
      </c>
      <c r="G63">
        <v>238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-0.30526315789473712</v>
      </c>
      <c r="Q63">
        <f t="shared" ref="Q63" si="291">F63*P63</f>
        <v>-44959.729347368462</v>
      </c>
      <c r="R63">
        <f t="shared" ref="R63" si="292">R64+Q63</f>
        <v>5830752.6312295282</v>
      </c>
      <c r="S63">
        <f t="shared" ref="S63" si="293">R63/100000</f>
        <v>58.30752631229528</v>
      </c>
      <c r="T63">
        <f t="shared" ref="T63" si="294">S63/1000</f>
        <v>5.8307526312295278E-2</v>
      </c>
    </row>
    <row r="64" spans="1:20" x14ac:dyDescent="0.25">
      <c r="A64" s="5">
        <v>44529</v>
      </c>
      <c r="B64">
        <v>239.1</v>
      </c>
      <c r="C64">
        <v>240.3</v>
      </c>
      <c r="D64">
        <v>233.3</v>
      </c>
      <c r="E64">
        <v>235.8</v>
      </c>
      <c r="F64">
        <v>101679.285</v>
      </c>
      <c r="G64">
        <v>235.8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-0.2857142857142857</v>
      </c>
      <c r="Q64">
        <f t="shared" ref="Q64" si="296">F64*P64</f>
        <v>-29051.224285714285</v>
      </c>
      <c r="R64">
        <f t="shared" ref="R64" si="297">R65+Q64</f>
        <v>5875712.3605768969</v>
      </c>
      <c r="S64">
        <f t="shared" ref="S64" si="298">R64/100000</f>
        <v>58.757123605768967</v>
      </c>
      <c r="T64">
        <f t="shared" ref="T64" si="299">S64/1000</f>
        <v>5.8757123605768964E-2</v>
      </c>
    </row>
    <row r="65" spans="1:20" x14ac:dyDescent="0.25">
      <c r="A65" s="5">
        <v>44528</v>
      </c>
      <c r="B65">
        <v>228.1</v>
      </c>
      <c r="C65">
        <v>239.4</v>
      </c>
      <c r="D65">
        <v>219.9</v>
      </c>
      <c r="E65">
        <v>239.1</v>
      </c>
      <c r="F65">
        <v>94642.072</v>
      </c>
      <c r="G65">
        <v>239.1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0.96923076923076812</v>
      </c>
      <c r="Q65">
        <f t="shared" ref="Q65" si="301">F65*P65</f>
        <v>91730.008246153739</v>
      </c>
      <c r="R65">
        <f t="shared" ref="R65" si="302">R66+Q65</f>
        <v>5904763.5848626113</v>
      </c>
      <c r="S65">
        <f t="shared" ref="S65" si="303">R65/100000</f>
        <v>59.047635848626115</v>
      </c>
      <c r="T65">
        <f t="shared" ref="T65" si="304">S65/1000</f>
        <v>5.9047635848626115E-2</v>
      </c>
    </row>
    <row r="66" spans="1:20" x14ac:dyDescent="0.25">
      <c r="A66" s="5">
        <v>44527</v>
      </c>
      <c r="B66">
        <v>226.9</v>
      </c>
      <c r="C66">
        <v>233.8</v>
      </c>
      <c r="D66">
        <v>219</v>
      </c>
      <c r="E66">
        <v>228.1</v>
      </c>
      <c r="F66">
        <v>82960.118000000002</v>
      </c>
      <c r="G66">
        <v>228.1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0.22972972972972802</v>
      </c>
      <c r="Q66">
        <f t="shared" ref="Q66" si="306">F66*P66</f>
        <v>19058.405486486346</v>
      </c>
      <c r="R66">
        <f t="shared" ref="R66" si="307">R67+Q66</f>
        <v>5813033.5766164577</v>
      </c>
      <c r="S66">
        <f t="shared" ref="S66" si="308">R66/100000</f>
        <v>58.130335766164578</v>
      </c>
      <c r="T66">
        <f t="shared" ref="T66" si="309">S66/1000</f>
        <v>5.8130335766164574E-2</v>
      </c>
    </row>
    <row r="67" spans="1:20" x14ac:dyDescent="0.25">
      <c r="A67" s="5">
        <v>44526</v>
      </c>
      <c r="B67">
        <v>248.3</v>
      </c>
      <c r="C67">
        <v>249.6</v>
      </c>
      <c r="D67">
        <v>216.6</v>
      </c>
      <c r="E67">
        <v>226.9</v>
      </c>
      <c r="F67">
        <v>133065.845</v>
      </c>
      <c r="G67">
        <v>226.9</v>
      </c>
      <c r="L67" t="s">
        <v>7</v>
      </c>
      <c r="M67" t="s">
        <v>8</v>
      </c>
      <c r="N67" t="s">
        <v>7</v>
      </c>
      <c r="P67">
        <f t="shared" ref="P67" si="310">IF(C67=D67,0,((E67-D67)-(C67-E67))/(C67-D67))</f>
        <v>-0.37575757575757507</v>
      </c>
      <c r="Q67">
        <f t="shared" ref="Q67" si="311">F67*P67</f>
        <v>-50000.499333333239</v>
      </c>
      <c r="R67">
        <f t="shared" ref="R67" si="312">R68+Q67</f>
        <v>5793975.1711299717</v>
      </c>
      <c r="S67">
        <f t="shared" ref="S67" si="313">R67/100000</f>
        <v>57.939751711299721</v>
      </c>
      <c r="T67">
        <f t="shared" ref="T67" si="314">S67/1000</f>
        <v>5.7939751711299718E-2</v>
      </c>
    </row>
    <row r="68" spans="1:20" x14ac:dyDescent="0.25">
      <c r="A68" s="5">
        <v>44525</v>
      </c>
      <c r="B68">
        <v>243.9</v>
      </c>
      <c r="C68">
        <v>251</v>
      </c>
      <c r="D68">
        <v>241.5</v>
      </c>
      <c r="E68">
        <v>248.2</v>
      </c>
      <c r="F68">
        <v>110662.284</v>
      </c>
      <c r="G68">
        <v>248.2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0.4105263157894713</v>
      </c>
      <c r="Q68">
        <f t="shared" ref="Q68" si="316">F68*P68</f>
        <v>45429.779747368157</v>
      </c>
      <c r="R68">
        <f t="shared" ref="R68" si="317">R69+Q68</f>
        <v>5843975.670463305</v>
      </c>
      <c r="S68">
        <f t="shared" ref="S68" si="318">R68/100000</f>
        <v>58.439756704633048</v>
      </c>
      <c r="T68">
        <f t="shared" ref="T68" si="319">S68/1000</f>
        <v>5.8439756704633049E-2</v>
      </c>
    </row>
    <row r="69" spans="1:20" x14ac:dyDescent="0.25">
      <c r="A69" s="5">
        <v>44524</v>
      </c>
      <c r="B69">
        <v>237.4</v>
      </c>
      <c r="C69">
        <v>245</v>
      </c>
      <c r="D69">
        <v>235</v>
      </c>
      <c r="E69">
        <v>242.9</v>
      </c>
      <c r="F69">
        <v>38125.106</v>
      </c>
      <c r="G69">
        <v>242.9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0.58000000000000118</v>
      </c>
      <c r="Q69">
        <f t="shared" ref="Q69" si="321">F69*P69</f>
        <v>22112.561480000044</v>
      </c>
      <c r="R69">
        <f t="shared" ref="R69" si="322">R70+Q69</f>
        <v>5798545.8907159371</v>
      </c>
      <c r="S69">
        <f t="shared" ref="S69" si="323">R69/100000</f>
        <v>57.985458907159369</v>
      </c>
      <c r="T69">
        <f t="shared" ref="T69" si="324">S69/1000</f>
        <v>5.7985458907159372E-2</v>
      </c>
    </row>
    <row r="70" spans="1:20" x14ac:dyDescent="0.25">
      <c r="A70" s="5">
        <v>44523</v>
      </c>
      <c r="B70">
        <v>231.8</v>
      </c>
      <c r="C70">
        <v>241</v>
      </c>
      <c r="D70">
        <v>225.7</v>
      </c>
      <c r="E70">
        <v>237.4</v>
      </c>
      <c r="F70">
        <v>101664.59</v>
      </c>
      <c r="G70">
        <v>237.4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0.52941176470588347</v>
      </c>
      <c r="Q70">
        <f t="shared" ref="Q70" si="326">F70*P70</f>
        <v>53822.430000000109</v>
      </c>
      <c r="R70">
        <f t="shared" ref="R70" si="327">R71+Q70</f>
        <v>5776433.3292359374</v>
      </c>
      <c r="S70">
        <f t="shared" ref="S70" si="328">R70/100000</f>
        <v>57.764333292359375</v>
      </c>
      <c r="T70">
        <f t="shared" ref="T70" si="329">S70/1000</f>
        <v>5.7764333292359374E-2</v>
      </c>
    </row>
    <row r="71" spans="1:20" x14ac:dyDescent="0.25">
      <c r="A71" s="5">
        <v>44522</v>
      </c>
      <c r="B71">
        <v>250.5</v>
      </c>
      <c r="C71">
        <v>251.2</v>
      </c>
      <c r="D71">
        <v>229</v>
      </c>
      <c r="E71">
        <v>231.7</v>
      </c>
      <c r="F71">
        <v>104736.762</v>
      </c>
      <c r="G71">
        <v>231.7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-0.75675675675675769</v>
      </c>
      <c r="Q71">
        <f t="shared" ref="Q71" si="331">F71*P71</f>
        <v>-79260.252324324421</v>
      </c>
      <c r="R71">
        <f t="shared" ref="R71" si="332">R72+Q71</f>
        <v>5722610.8992359377</v>
      </c>
      <c r="S71">
        <f t="shared" ref="S71" si="333">R71/100000</f>
        <v>57.226108992359379</v>
      </c>
      <c r="T71">
        <f t="shared" ref="T71" si="334">S71/1000</f>
        <v>5.722610899235938E-2</v>
      </c>
    </row>
    <row r="72" spans="1:20" x14ac:dyDescent="0.25">
      <c r="A72" s="5">
        <v>44521</v>
      </c>
      <c r="B72">
        <v>247.3</v>
      </c>
      <c r="C72">
        <v>253.7</v>
      </c>
      <c r="D72">
        <v>241.8</v>
      </c>
      <c r="E72">
        <v>250.5</v>
      </c>
      <c r="F72">
        <v>66985.168999999994</v>
      </c>
      <c r="G72">
        <v>250.5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0.46218487394958069</v>
      </c>
      <c r="Q72">
        <f t="shared" ref="Q72" si="336">F72*P72</f>
        <v>30959.531890756356</v>
      </c>
      <c r="R72">
        <f t="shared" ref="R72" si="337">R73+Q72</f>
        <v>5801871.1515602618</v>
      </c>
      <c r="S72">
        <f t="shared" ref="S72" si="338">R72/100000</f>
        <v>58.018711515602618</v>
      </c>
      <c r="T72">
        <f t="shared" ref="T72" si="339">S72/1000</f>
        <v>5.8018711515602617E-2</v>
      </c>
    </row>
    <row r="73" spans="1:20" x14ac:dyDescent="0.25">
      <c r="A73" s="5">
        <v>44520</v>
      </c>
      <c r="B73">
        <v>238.4</v>
      </c>
      <c r="C73">
        <v>251.9</v>
      </c>
      <c r="D73">
        <v>237</v>
      </c>
      <c r="E73">
        <v>247.2</v>
      </c>
      <c r="F73">
        <v>88434.437000000005</v>
      </c>
      <c r="G73">
        <v>247.2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0.36912751677852146</v>
      </c>
      <c r="Q73">
        <f t="shared" ref="Q73" si="341">F73*P73</f>
        <v>32643.584127516602</v>
      </c>
      <c r="R73">
        <f t="shared" ref="R73" si="342">R74+Q73</f>
        <v>5770911.6196695054</v>
      </c>
      <c r="S73">
        <f t="shared" ref="S73" si="343">R73/100000</f>
        <v>57.709116196695057</v>
      </c>
      <c r="T73">
        <f t="shared" ref="T73" si="344">S73/1000</f>
        <v>5.7709116196695054E-2</v>
      </c>
    </row>
    <row r="74" spans="1:20" x14ac:dyDescent="0.25">
      <c r="A74" s="5">
        <v>44519</v>
      </c>
      <c r="B74">
        <v>226.4</v>
      </c>
      <c r="C74">
        <v>239.9</v>
      </c>
      <c r="D74">
        <v>224.2</v>
      </c>
      <c r="E74">
        <v>238.3</v>
      </c>
      <c r="F74">
        <v>81697.543000000005</v>
      </c>
      <c r="G74">
        <v>238.3</v>
      </c>
      <c r="L74" t="s">
        <v>7</v>
      </c>
      <c r="M74" t="s">
        <v>8</v>
      </c>
      <c r="N74" t="s">
        <v>7</v>
      </c>
      <c r="P74">
        <f t="shared" ref="P74" si="345">IF(C74=D74,0,((E74-D74)-(C74-E74))/(C74-D74))</f>
        <v>0.79617834394904552</v>
      </c>
      <c r="Q74">
        <f t="shared" ref="Q74" si="346">F74*P74</f>
        <v>65045.81449044594</v>
      </c>
      <c r="R74">
        <f t="shared" ref="R74" si="347">R75+Q74</f>
        <v>5738268.0355419889</v>
      </c>
      <c r="S74">
        <f t="shared" ref="S74" si="348">R74/100000</f>
        <v>57.382680355419886</v>
      </c>
      <c r="T74">
        <f t="shared" ref="T74" si="349">S74/1000</f>
        <v>5.7382680355419886E-2</v>
      </c>
    </row>
    <row r="75" spans="1:20" x14ac:dyDescent="0.25">
      <c r="A75" s="5">
        <v>44518</v>
      </c>
      <c r="B75">
        <v>241.7</v>
      </c>
      <c r="C75">
        <v>244.3</v>
      </c>
      <c r="D75">
        <v>223.9</v>
      </c>
      <c r="E75">
        <v>226.4</v>
      </c>
      <c r="F75">
        <v>146910.503</v>
      </c>
      <c r="G75">
        <v>226.4</v>
      </c>
      <c r="L75" t="s">
        <v>7</v>
      </c>
      <c r="M75" t="s">
        <v>8</v>
      </c>
      <c r="N75" t="s">
        <v>7</v>
      </c>
      <c r="P75">
        <f t="shared" ref="P75" si="350">IF(C75=D75,0,((E75-D75)-(C75-E75))/(C75-D75))</f>
        <v>-0.75490196078431382</v>
      </c>
      <c r="Q75">
        <f t="shared" ref="Q75" si="351">F75*P75</f>
        <v>-110903.02677450981</v>
      </c>
      <c r="R75">
        <f t="shared" ref="R75" si="352">R76+Q75</f>
        <v>5673222.221051543</v>
      </c>
      <c r="S75">
        <f t="shared" ref="S75" si="353">R75/100000</f>
        <v>56.732222210515431</v>
      </c>
      <c r="T75">
        <f t="shared" ref="T75" si="354">S75/1000</f>
        <v>5.673222221051543E-2</v>
      </c>
    </row>
    <row r="76" spans="1:20" x14ac:dyDescent="0.25">
      <c r="A76" s="5">
        <v>44517</v>
      </c>
      <c r="B76">
        <v>240.9</v>
      </c>
      <c r="C76">
        <v>244.7</v>
      </c>
      <c r="D76">
        <v>230.7</v>
      </c>
      <c r="E76">
        <v>241.6</v>
      </c>
      <c r="F76">
        <v>114701.74</v>
      </c>
      <c r="G76">
        <v>241.6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0.55714285714285794</v>
      </c>
      <c r="Q76">
        <f t="shared" ref="Q76" si="356">F76*P76</f>
        <v>63905.255142857241</v>
      </c>
      <c r="R76">
        <f t="shared" ref="R76" si="357">R77+Q76</f>
        <v>5784125.2478260528</v>
      </c>
      <c r="S76">
        <f t="shared" ref="S76" si="358">R76/100000</f>
        <v>57.841252478260529</v>
      </c>
      <c r="T76">
        <f t="shared" ref="T76" si="359">S76/1000</f>
        <v>5.7841252478260531E-2</v>
      </c>
    </row>
    <row r="77" spans="1:20" x14ac:dyDescent="0.25">
      <c r="A77" s="5">
        <v>44516</v>
      </c>
      <c r="B77">
        <v>268</v>
      </c>
      <c r="C77">
        <v>268.2</v>
      </c>
      <c r="D77">
        <v>200</v>
      </c>
      <c r="E77">
        <v>240.7</v>
      </c>
      <c r="F77">
        <v>190978.88933000001</v>
      </c>
      <c r="G77">
        <v>240.7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0.19354838709677405</v>
      </c>
      <c r="Q77">
        <f t="shared" ref="Q77" si="361">F77*P77</f>
        <v>36963.655999354814</v>
      </c>
      <c r="R77">
        <f t="shared" ref="R77" si="362">R78+Q77</f>
        <v>5720219.9926831955</v>
      </c>
      <c r="S77">
        <f t="shared" ref="S77" si="363">R77/100000</f>
        <v>57.202199926831952</v>
      </c>
      <c r="T77">
        <f t="shared" ref="T77" si="364">S77/1000</f>
        <v>5.7202199926831954E-2</v>
      </c>
    </row>
    <row r="78" spans="1:20" x14ac:dyDescent="0.25">
      <c r="A78" s="5">
        <v>44515</v>
      </c>
      <c r="B78">
        <v>275</v>
      </c>
      <c r="C78">
        <v>279</v>
      </c>
      <c r="D78">
        <v>265.10000000000002</v>
      </c>
      <c r="E78">
        <v>268.10000000000002</v>
      </c>
      <c r="F78">
        <v>96046.614000000001</v>
      </c>
      <c r="G78">
        <v>268.10000000000002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-0.56834532374100644</v>
      </c>
      <c r="Q78">
        <f t="shared" ref="Q78" si="366">F78*P78</f>
        <v>-54587.643928057485</v>
      </c>
      <c r="R78">
        <f t="shared" ref="R78" si="367">R79+Q78</f>
        <v>5683256.3366838405</v>
      </c>
      <c r="S78">
        <f t="shared" ref="S78" si="368">R78/100000</f>
        <v>56.832563366838407</v>
      </c>
      <c r="T78">
        <f t="shared" ref="T78" si="369">S78/1000</f>
        <v>5.6832563366838409E-2</v>
      </c>
    </row>
    <row r="79" spans="1:20" x14ac:dyDescent="0.25">
      <c r="A79" s="5">
        <v>44514</v>
      </c>
      <c r="B79">
        <v>270.7</v>
      </c>
      <c r="C79">
        <v>281.8</v>
      </c>
      <c r="D79">
        <v>266.60000000000002</v>
      </c>
      <c r="E79">
        <v>275</v>
      </c>
      <c r="F79">
        <v>89539.028000000006</v>
      </c>
      <c r="G79">
        <v>275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0.10526315789473467</v>
      </c>
      <c r="Q79">
        <f t="shared" ref="Q79" si="371">F79*P79</f>
        <v>9425.1608421050696</v>
      </c>
      <c r="R79">
        <f t="shared" ref="R79" si="372">R80+Q79</f>
        <v>5737843.980611898</v>
      </c>
      <c r="S79">
        <f t="shared" ref="S79" si="373">R79/100000</f>
        <v>57.378439806118983</v>
      </c>
      <c r="T79">
        <f t="shared" ref="T79" si="374">S79/1000</f>
        <v>5.737843980611898E-2</v>
      </c>
    </row>
    <row r="80" spans="1:20" x14ac:dyDescent="0.25">
      <c r="A80" s="5">
        <v>44513</v>
      </c>
      <c r="B80">
        <v>260.7</v>
      </c>
      <c r="C80">
        <v>275</v>
      </c>
      <c r="D80">
        <v>258.10000000000002</v>
      </c>
      <c r="E80">
        <v>270.7</v>
      </c>
      <c r="F80">
        <v>74891.319000000003</v>
      </c>
      <c r="G80">
        <v>270.7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0.49112426035502754</v>
      </c>
      <c r="Q80">
        <f t="shared" ref="Q80" si="376">F80*P80</f>
        <v>36780.943650887421</v>
      </c>
      <c r="R80">
        <f t="shared" ref="R80" si="377">R81+Q80</f>
        <v>5728418.8197697932</v>
      </c>
      <c r="S80">
        <f t="shared" ref="S80" si="378">R80/100000</f>
        <v>57.284188197697929</v>
      </c>
      <c r="T80">
        <f t="shared" ref="T80" si="379">S80/1000</f>
        <v>5.7284188197697927E-2</v>
      </c>
    </row>
    <row r="81" spans="1:20" x14ac:dyDescent="0.25">
      <c r="A81" s="5">
        <v>44512</v>
      </c>
      <c r="B81">
        <v>263.8</v>
      </c>
      <c r="C81">
        <v>267</v>
      </c>
      <c r="D81">
        <v>252</v>
      </c>
      <c r="E81">
        <v>260.7</v>
      </c>
      <c r="F81">
        <v>96648.964999999997</v>
      </c>
      <c r="G81">
        <v>260.7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0.15999999999999848</v>
      </c>
      <c r="Q81">
        <f t="shared" ref="Q81" si="381">F81*P81</f>
        <v>15463.834399999852</v>
      </c>
      <c r="R81">
        <f t="shared" ref="R81" si="382">R82+Q81</f>
        <v>5691637.8761189058</v>
      </c>
      <c r="S81">
        <f t="shared" ref="S81" si="383">R81/100000</f>
        <v>56.916378761189058</v>
      </c>
      <c r="T81">
        <f t="shared" ref="T81" si="384">S81/1000</f>
        <v>5.691637876118906E-2</v>
      </c>
    </row>
    <row r="82" spans="1:20" x14ac:dyDescent="0.25">
      <c r="A82" s="5">
        <v>44511</v>
      </c>
      <c r="B82">
        <v>267.10000000000002</v>
      </c>
      <c r="C82">
        <v>271.2</v>
      </c>
      <c r="D82">
        <v>261</v>
      </c>
      <c r="E82">
        <v>263.8</v>
      </c>
      <c r="F82">
        <v>132324.954</v>
      </c>
      <c r="G82">
        <v>263.8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-0.45098039215685992</v>
      </c>
      <c r="Q82">
        <f t="shared" ref="Q82" si="386">F82*P82</f>
        <v>-59675.959647058451</v>
      </c>
      <c r="R82">
        <f t="shared" ref="R82" si="387">R83+Q82</f>
        <v>5676174.0417189058</v>
      </c>
      <c r="S82">
        <f t="shared" ref="S82" si="388">R82/100000</f>
        <v>56.76174041718906</v>
      </c>
      <c r="T82">
        <f t="shared" ref="T82" si="389">S82/1000</f>
        <v>5.6761740417189059E-2</v>
      </c>
    </row>
    <row r="83" spans="1:20" x14ac:dyDescent="0.25">
      <c r="A83" s="5">
        <v>44510</v>
      </c>
      <c r="B83">
        <v>289.39999999999998</v>
      </c>
      <c r="C83">
        <v>292.89999999999998</v>
      </c>
      <c r="D83">
        <v>260</v>
      </c>
      <c r="E83">
        <v>267.10000000000002</v>
      </c>
      <c r="F83">
        <v>178580.12700000001</v>
      </c>
      <c r="G83">
        <v>267.10000000000002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-0.56838905775075821</v>
      </c>
      <c r="Q83">
        <f t="shared" ref="Q83" si="391">F83*P83</f>
        <v>-101502.99011854074</v>
      </c>
      <c r="R83">
        <f t="shared" ref="R83" si="392">R84+Q83</f>
        <v>5735850.0013659643</v>
      </c>
      <c r="S83">
        <f t="shared" ref="S83" si="393">R83/100000</f>
        <v>57.358500013659643</v>
      </c>
      <c r="T83">
        <f t="shared" ref="T83" si="394">S83/1000</f>
        <v>5.7358500013659643E-2</v>
      </c>
    </row>
    <row r="84" spans="1:20" x14ac:dyDescent="0.25">
      <c r="A84" s="5">
        <v>44509</v>
      </c>
      <c r="B84">
        <v>274.89999999999998</v>
      </c>
      <c r="C84">
        <v>294.10000000000002</v>
      </c>
      <c r="D84">
        <v>268.89999999999998</v>
      </c>
      <c r="E84">
        <v>289.39999999999998</v>
      </c>
      <c r="F84">
        <v>170016.06200000001</v>
      </c>
      <c r="G84">
        <v>289.39999999999998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0.62698412698412409</v>
      </c>
      <c r="Q84">
        <f t="shared" ref="Q84" si="396">F84*P84</f>
        <v>106597.37220634872</v>
      </c>
      <c r="R84">
        <f t="shared" ref="R84" si="397">R85+Q84</f>
        <v>5837352.9914845051</v>
      </c>
      <c r="S84">
        <f t="shared" ref="S84" si="398">R84/100000</f>
        <v>58.373529914845051</v>
      </c>
      <c r="T84">
        <f t="shared" ref="T84" si="399">S84/1000</f>
        <v>5.8373529914845054E-2</v>
      </c>
    </row>
    <row r="85" spans="1:20" x14ac:dyDescent="0.25">
      <c r="A85" s="5">
        <v>44508</v>
      </c>
      <c r="B85">
        <v>266.7</v>
      </c>
      <c r="C85">
        <v>275.2</v>
      </c>
      <c r="D85">
        <v>261.7</v>
      </c>
      <c r="E85">
        <v>275</v>
      </c>
      <c r="F85">
        <v>116618.817</v>
      </c>
      <c r="G85">
        <v>275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0.9703703703703721</v>
      </c>
      <c r="Q85">
        <f t="shared" ref="Q85" si="401">F85*P85</f>
        <v>113163.44464444464</v>
      </c>
      <c r="R85">
        <f t="shared" ref="R85" si="402">R86+Q85</f>
        <v>5730755.6192781562</v>
      </c>
      <c r="S85">
        <f t="shared" ref="S85" si="403">R85/100000</f>
        <v>57.307556192781561</v>
      </c>
      <c r="T85">
        <f t="shared" ref="T85" si="404">S85/1000</f>
        <v>5.7307556192781564E-2</v>
      </c>
    </row>
    <row r="86" spans="1:20" x14ac:dyDescent="0.25">
      <c r="A86" s="5">
        <v>44507</v>
      </c>
      <c r="B86">
        <v>259.89999999999998</v>
      </c>
      <c r="C86">
        <v>266.89999999999998</v>
      </c>
      <c r="D86">
        <v>258.89999999999998</v>
      </c>
      <c r="E86">
        <v>266.8</v>
      </c>
      <c r="F86">
        <v>65333.504000000001</v>
      </c>
      <c r="G86">
        <v>266.8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0.97500000000000853</v>
      </c>
      <c r="Q86">
        <f t="shared" ref="Q86" si="406">F86*P86</f>
        <v>63700.166400000555</v>
      </c>
      <c r="R86">
        <f t="shared" ref="R86" si="407">R87+Q86</f>
        <v>5617592.1746337116</v>
      </c>
      <c r="S86">
        <f t="shared" ref="S86" si="408">R86/100000</f>
        <v>56.175921746337117</v>
      </c>
      <c r="T86">
        <f t="shared" ref="T86" si="409">S86/1000</f>
        <v>5.6175921746337114E-2</v>
      </c>
    </row>
    <row r="87" spans="1:20" x14ac:dyDescent="0.25">
      <c r="A87" s="5">
        <v>44506</v>
      </c>
      <c r="B87">
        <v>254.9</v>
      </c>
      <c r="C87">
        <v>262.7</v>
      </c>
      <c r="D87">
        <v>249</v>
      </c>
      <c r="E87">
        <v>259.89999999999998</v>
      </c>
      <c r="F87">
        <v>59908.993999999999</v>
      </c>
      <c r="G87">
        <v>259.89999999999998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0.5912408759124067</v>
      </c>
      <c r="Q87">
        <f t="shared" ref="Q87" si="411">F87*P87</f>
        <v>35420.646087591114</v>
      </c>
      <c r="R87">
        <f t="shared" ref="R87" si="412">R88+Q87</f>
        <v>5553892.0082337111</v>
      </c>
      <c r="S87">
        <f t="shared" ref="S87" si="413">R87/100000</f>
        <v>55.538920082337114</v>
      </c>
      <c r="T87">
        <f t="shared" ref="T87" si="414">S87/1000</f>
        <v>5.5538920082337115E-2</v>
      </c>
    </row>
    <row r="88" spans="1:20" x14ac:dyDescent="0.25">
      <c r="A88" s="5">
        <v>44505</v>
      </c>
      <c r="B88">
        <v>260.7</v>
      </c>
      <c r="C88">
        <v>263</v>
      </c>
      <c r="D88">
        <v>253.3</v>
      </c>
      <c r="E88">
        <v>255</v>
      </c>
      <c r="F88">
        <v>84430.214000000007</v>
      </c>
      <c r="G88">
        <v>255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-0.64948453608247614</v>
      </c>
      <c r="Q88">
        <f t="shared" ref="Q88" si="416">F88*P88</f>
        <v>-54836.118371134187</v>
      </c>
      <c r="R88">
        <f t="shared" ref="R88" si="417">R89+Q88</f>
        <v>5518471.3621461196</v>
      </c>
      <c r="S88">
        <f t="shared" ref="S88" si="418">R88/100000</f>
        <v>55.184713621461199</v>
      </c>
      <c r="T88">
        <f t="shared" ref="T88" si="419">S88/1000</f>
        <v>5.5184713621461198E-2</v>
      </c>
    </row>
    <row r="89" spans="1:20" x14ac:dyDescent="0.25">
      <c r="A89" s="5">
        <v>44504</v>
      </c>
      <c r="B89">
        <v>266.10000000000002</v>
      </c>
      <c r="C89">
        <v>267</v>
      </c>
      <c r="D89">
        <v>256</v>
      </c>
      <c r="E89">
        <v>260.7</v>
      </c>
      <c r="F89">
        <v>70814.138999999996</v>
      </c>
      <c r="G89">
        <v>260.7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-0.14545454545454753</v>
      </c>
      <c r="Q89">
        <f t="shared" ref="Q89" si="421">F89*P89</f>
        <v>-10300.238400000146</v>
      </c>
      <c r="R89">
        <f t="shared" ref="R89" si="422">R90+Q89</f>
        <v>5573307.4805172542</v>
      </c>
      <c r="S89">
        <f t="shared" ref="S89" si="423">R89/100000</f>
        <v>55.733074805172542</v>
      </c>
      <c r="T89">
        <f t="shared" ref="T89" si="424">S89/1000</f>
        <v>5.573307480517254E-2</v>
      </c>
    </row>
    <row r="90" spans="1:20" x14ac:dyDescent="0.25">
      <c r="A90" s="5">
        <v>44503</v>
      </c>
      <c r="B90">
        <v>275.2</v>
      </c>
      <c r="C90">
        <v>275.3</v>
      </c>
      <c r="D90">
        <v>263.60000000000002</v>
      </c>
      <c r="E90">
        <v>266.10000000000002</v>
      </c>
      <c r="F90">
        <v>84756.58</v>
      </c>
      <c r="G90">
        <v>266.10000000000002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-0.57264957264957228</v>
      </c>
      <c r="Q90">
        <f t="shared" ref="Q90" si="426">F90*P90</f>
        <v>-48535.819316239285</v>
      </c>
      <c r="R90">
        <f t="shared" ref="R90" si="427">R91+Q90</f>
        <v>5583607.7189172544</v>
      </c>
      <c r="S90">
        <f t="shared" ref="S90" si="428">R90/100000</f>
        <v>55.836077189172542</v>
      </c>
      <c r="T90">
        <f t="shared" ref="T90" si="429">S90/1000</f>
        <v>5.5836077189172544E-2</v>
      </c>
    </row>
    <row r="91" spans="1:20" x14ac:dyDescent="0.25">
      <c r="A91" s="5">
        <v>44502</v>
      </c>
      <c r="B91">
        <v>271</v>
      </c>
      <c r="C91">
        <v>277.60000000000002</v>
      </c>
      <c r="D91">
        <v>267.8</v>
      </c>
      <c r="E91">
        <v>275</v>
      </c>
      <c r="F91">
        <v>69536.096999999994</v>
      </c>
      <c r="G91">
        <v>275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0.46938775510203679</v>
      </c>
      <c r="Q91">
        <f t="shared" ref="Q91" si="431">F91*P91</f>
        <v>32639.392469387472</v>
      </c>
      <c r="R91">
        <f t="shared" ref="R91" si="432">R92+Q91</f>
        <v>5632143.5382334935</v>
      </c>
      <c r="S91">
        <f t="shared" ref="S91" si="433">R91/100000</f>
        <v>56.321435382334933</v>
      </c>
      <c r="T91">
        <f t="shared" ref="T91" si="434">S91/1000</f>
        <v>5.6321435382334931E-2</v>
      </c>
    </row>
    <row r="92" spans="1:20" x14ac:dyDescent="0.25">
      <c r="A92" s="5">
        <v>44501</v>
      </c>
      <c r="B92">
        <v>275</v>
      </c>
      <c r="C92">
        <v>283</v>
      </c>
      <c r="D92">
        <v>267</v>
      </c>
      <c r="E92">
        <v>271.10000000000002</v>
      </c>
      <c r="F92">
        <v>95192.491999999998</v>
      </c>
      <c r="G92">
        <v>271.10000000000002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-0.48749999999999716</v>
      </c>
      <c r="Q92">
        <f t="shared" ref="Q92" si="436">F92*P92</f>
        <v>-46406.339849999727</v>
      </c>
      <c r="R92">
        <f t="shared" ref="R92" si="437">R93+Q92</f>
        <v>5599504.145764106</v>
      </c>
      <c r="S92">
        <f t="shared" ref="S92" si="438">R92/100000</f>
        <v>55.995041457641058</v>
      </c>
      <c r="T92">
        <f t="shared" ref="T92" si="439">S92/1000</f>
        <v>5.5995041457641059E-2</v>
      </c>
    </row>
    <row r="93" spans="1:20" x14ac:dyDescent="0.25">
      <c r="A93" s="5">
        <v>44500</v>
      </c>
      <c r="B93">
        <v>263.3</v>
      </c>
      <c r="C93">
        <v>276.2</v>
      </c>
      <c r="D93">
        <v>262.7</v>
      </c>
      <c r="E93">
        <v>274.89999999999998</v>
      </c>
      <c r="F93">
        <v>94958.944000000003</v>
      </c>
      <c r="G93">
        <v>274.89999999999998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0.80740740740740569</v>
      </c>
      <c r="Q93">
        <f t="shared" ref="Q93" si="441">F93*P93</f>
        <v>76670.554785185028</v>
      </c>
      <c r="R93">
        <f t="shared" ref="R93" si="442">R94+Q93</f>
        <v>5645910.4856141061</v>
      </c>
      <c r="S93">
        <f t="shared" ref="S93" si="443">R93/100000</f>
        <v>56.45910485614106</v>
      </c>
      <c r="T93">
        <f t="shared" ref="T93" si="444">S93/1000</f>
        <v>5.6459104856141057E-2</v>
      </c>
    </row>
    <row r="94" spans="1:20" x14ac:dyDescent="0.25">
      <c r="A94" s="5">
        <v>44499</v>
      </c>
      <c r="B94">
        <v>268.89999999999998</v>
      </c>
      <c r="C94">
        <v>270</v>
      </c>
      <c r="D94">
        <v>260.5</v>
      </c>
      <c r="E94">
        <v>263.3</v>
      </c>
      <c r="F94">
        <v>71348.005000000005</v>
      </c>
      <c r="G94">
        <v>263.3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-0.4105263157894713</v>
      </c>
      <c r="Q94">
        <f t="shared" ref="Q94" si="446">F94*P94</f>
        <v>-29290.23363157878</v>
      </c>
      <c r="R94">
        <f t="shared" ref="R94" si="447">R95+Q94</f>
        <v>5569239.9308289206</v>
      </c>
      <c r="S94">
        <f t="shared" ref="S94" si="448">R94/100000</f>
        <v>55.692399308289204</v>
      </c>
      <c r="T94">
        <f t="shared" ref="T94" si="449">S94/1000</f>
        <v>5.5692399308289203E-2</v>
      </c>
    </row>
    <row r="95" spans="1:20" x14ac:dyDescent="0.25">
      <c r="A95" s="5">
        <v>44498</v>
      </c>
      <c r="B95">
        <v>267.2</v>
      </c>
      <c r="C95">
        <v>271.3</v>
      </c>
      <c r="D95">
        <v>264.8</v>
      </c>
      <c r="E95">
        <v>269</v>
      </c>
      <c r="F95">
        <v>91097.603000000003</v>
      </c>
      <c r="G95">
        <v>269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0.29230769230768883</v>
      </c>
      <c r="Q95">
        <f t="shared" ref="Q95" si="451">F95*P95</f>
        <v>26628.530107691993</v>
      </c>
      <c r="R95">
        <f t="shared" ref="R95" si="452">R96+Q95</f>
        <v>5598530.1644604998</v>
      </c>
      <c r="S95">
        <f t="shared" ref="S95" si="453">R95/100000</f>
        <v>55.985301644604995</v>
      </c>
      <c r="T95">
        <f t="shared" ref="T95" si="454">S95/1000</f>
        <v>5.5985301644604996E-2</v>
      </c>
    </row>
    <row r="96" spans="1:20" x14ac:dyDescent="0.25">
      <c r="A96" s="5">
        <v>44497</v>
      </c>
      <c r="B96">
        <v>255.6</v>
      </c>
      <c r="C96">
        <v>271.10000000000002</v>
      </c>
      <c r="D96">
        <v>252.8</v>
      </c>
      <c r="E96">
        <v>267.2</v>
      </c>
      <c r="F96">
        <v>157374.60399999999</v>
      </c>
      <c r="G96">
        <v>267.2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0.57377049180327522</v>
      </c>
      <c r="Q96">
        <f t="shared" ref="Q96" si="456">F96*P96</f>
        <v>90296.903934425674</v>
      </c>
      <c r="R96">
        <f t="shared" ref="R96" si="457">R97+Q96</f>
        <v>5571901.6343528079</v>
      </c>
      <c r="S96">
        <f t="shared" ref="S96" si="458">R96/100000</f>
        <v>55.719016343528082</v>
      </c>
      <c r="T96">
        <f t="shared" ref="T96" si="459">S96/1000</f>
        <v>5.5719016343528084E-2</v>
      </c>
    </row>
    <row r="97" spans="1:20" x14ac:dyDescent="0.25">
      <c r="A97" s="5">
        <v>44496</v>
      </c>
      <c r="B97">
        <v>280</v>
      </c>
      <c r="C97">
        <v>283.5</v>
      </c>
      <c r="D97">
        <v>247.8</v>
      </c>
      <c r="E97">
        <v>255.6</v>
      </c>
      <c r="F97">
        <v>194732.83300000001</v>
      </c>
      <c r="G97">
        <v>255.6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-0.56302521008403439</v>
      </c>
      <c r="Q97">
        <f t="shared" ref="Q97" si="461">F97*P97</f>
        <v>-109639.49421008419</v>
      </c>
      <c r="R97">
        <f t="shared" ref="R97" si="462">R98+Q97</f>
        <v>5481604.7304183822</v>
      </c>
      <c r="S97">
        <f t="shared" ref="S97" si="463">R97/100000</f>
        <v>54.816047304183819</v>
      </c>
      <c r="T97">
        <f t="shared" ref="T97" si="464">S97/1000</f>
        <v>5.4816047304183817E-2</v>
      </c>
    </row>
    <row r="98" spans="1:20" x14ac:dyDescent="0.25">
      <c r="A98" s="5">
        <v>44495</v>
      </c>
      <c r="B98">
        <v>286.7</v>
      </c>
      <c r="C98">
        <v>295</v>
      </c>
      <c r="D98">
        <v>269.60000000000002</v>
      </c>
      <c r="E98">
        <v>279.89999999999998</v>
      </c>
      <c r="F98">
        <v>197648.88500000001</v>
      </c>
      <c r="G98">
        <v>279.89999999999998</v>
      </c>
      <c r="L98" t="s">
        <v>7</v>
      </c>
      <c r="M98" t="s">
        <v>8</v>
      </c>
      <c r="N98" t="s">
        <v>7</v>
      </c>
      <c r="P98">
        <f t="shared" ref="P98" si="465">IF(C98=D98,0,((E98-D98)-(C98-E98))/(C98-D98))</f>
        <v>-0.18897637795275876</v>
      </c>
      <c r="Q98">
        <f t="shared" ref="Q98" si="466">F98*P98</f>
        <v>-37350.970393701355</v>
      </c>
      <c r="R98">
        <f t="shared" ref="R98" si="467">R99+Q98</f>
        <v>5591244.2246284662</v>
      </c>
      <c r="S98">
        <f t="shared" ref="S98" si="468">R98/100000</f>
        <v>55.912442246284662</v>
      </c>
      <c r="T98">
        <f t="shared" ref="T98" si="469">S98/1000</f>
        <v>5.5912442246284659E-2</v>
      </c>
    </row>
    <row r="99" spans="1:20" x14ac:dyDescent="0.25">
      <c r="A99" s="5">
        <v>44494</v>
      </c>
      <c r="B99">
        <v>289.3</v>
      </c>
      <c r="C99">
        <v>299</v>
      </c>
      <c r="D99">
        <v>283.89999999999998</v>
      </c>
      <c r="E99">
        <v>286.60000000000002</v>
      </c>
      <c r="F99">
        <v>149746.81899999999</v>
      </c>
      <c r="G99">
        <v>286.60000000000002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-0.64238410596025941</v>
      </c>
      <c r="Q99">
        <f t="shared" ref="Q99" si="471">F99*P99</f>
        <v>-96194.976443707783</v>
      </c>
      <c r="R99">
        <f t="shared" ref="R99" si="472">R100+Q99</f>
        <v>5628595.1950221676</v>
      </c>
      <c r="S99">
        <f t="shared" ref="S99" si="473">R99/100000</f>
        <v>56.28595195022168</v>
      </c>
      <c r="T99">
        <f t="shared" ref="T99" si="474">S99/1000</f>
        <v>5.628595195022168E-2</v>
      </c>
    </row>
    <row r="100" spans="1:20" x14ac:dyDescent="0.25">
      <c r="A100" s="5">
        <v>44493</v>
      </c>
      <c r="B100">
        <v>267.39999999999998</v>
      </c>
      <c r="C100">
        <v>295.3</v>
      </c>
      <c r="D100">
        <v>266.5</v>
      </c>
      <c r="E100">
        <v>289.3</v>
      </c>
      <c r="F100">
        <v>173343.88699999999</v>
      </c>
      <c r="G100">
        <v>289.3</v>
      </c>
      <c r="L100" t="s">
        <v>8</v>
      </c>
      <c r="M100" t="s">
        <v>8</v>
      </c>
      <c r="N100" t="s">
        <v>7</v>
      </c>
      <c r="P100">
        <f t="shared" ref="P100" si="475">IF(C100=D100,0,((E100-D100)-(C100-E100))/(C100-D100))</f>
        <v>0.58333333333333348</v>
      </c>
      <c r="Q100">
        <f t="shared" ref="Q100" si="476">F100*P100</f>
        <v>101117.26741666668</v>
      </c>
      <c r="R100">
        <f t="shared" ref="R100" si="477">R101+Q100</f>
        <v>5724790.1714658756</v>
      </c>
      <c r="S100">
        <f t="shared" ref="S100" si="478">R100/100000</f>
        <v>57.247901714658752</v>
      </c>
      <c r="T100">
        <f t="shared" ref="T100" si="479">S100/1000</f>
        <v>5.7247901714658753E-2</v>
      </c>
    </row>
    <row r="101" spans="1:20" x14ac:dyDescent="0.25">
      <c r="A101" s="5">
        <v>44492</v>
      </c>
      <c r="B101">
        <v>266.39999999999998</v>
      </c>
      <c r="C101">
        <v>269.8</v>
      </c>
      <c r="D101">
        <v>261.10000000000002</v>
      </c>
      <c r="E101">
        <v>267.3</v>
      </c>
      <c r="F101">
        <v>50666.779000000002</v>
      </c>
      <c r="G101">
        <v>267.3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0.42528735632183834</v>
      </c>
      <c r="Q101">
        <f t="shared" ref="Q101" si="481">F101*P101</f>
        <v>21547.940494252838</v>
      </c>
      <c r="R101">
        <f t="shared" ref="R101" si="482">R102+Q101</f>
        <v>5623672.9040492093</v>
      </c>
      <c r="S101">
        <f t="shared" ref="S101" si="483">R101/100000</f>
        <v>56.236729040492094</v>
      </c>
      <c r="T101">
        <f t="shared" ref="T101" si="484">S101/1000</f>
        <v>5.6236729040492095E-2</v>
      </c>
    </row>
    <row r="102" spans="1:20" x14ac:dyDescent="0.25">
      <c r="A102" s="5">
        <v>44491</v>
      </c>
      <c r="B102">
        <v>271</v>
      </c>
      <c r="C102">
        <v>275.3</v>
      </c>
      <c r="D102">
        <v>263.8</v>
      </c>
      <c r="E102">
        <v>266.3</v>
      </c>
      <c r="F102">
        <v>94430.585000000006</v>
      </c>
      <c r="G102">
        <v>266.3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-0.56521739130434778</v>
      </c>
      <c r="Q102">
        <f t="shared" ref="Q102" si="486">F102*P102</f>
        <v>-53373.808913043475</v>
      </c>
      <c r="R102">
        <f t="shared" ref="R102" si="487">R103+Q102</f>
        <v>5602124.963554956</v>
      </c>
      <c r="S102">
        <f t="shared" ref="S102" si="488">R102/100000</f>
        <v>56.021249635549559</v>
      </c>
      <c r="T102">
        <f t="shared" ref="T102" si="489">S102/1000</f>
        <v>5.602124963554956E-2</v>
      </c>
    </row>
    <row r="103" spans="1:20" x14ac:dyDescent="0.25">
      <c r="A103" s="5">
        <v>44490</v>
      </c>
      <c r="B103">
        <v>260.3</v>
      </c>
      <c r="C103">
        <v>275.60000000000002</v>
      </c>
      <c r="D103">
        <v>257.5</v>
      </c>
      <c r="E103">
        <v>271</v>
      </c>
      <c r="F103">
        <v>142658.61199999999</v>
      </c>
      <c r="G103">
        <v>271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0.49171270718231858</v>
      </c>
      <c r="Q103">
        <f t="shared" ref="Q103" si="491">F103*P103</f>
        <v>70147.052309391991</v>
      </c>
      <c r="R103">
        <f t="shared" ref="R103" si="492">R104+Q103</f>
        <v>5655498.7724679997</v>
      </c>
      <c r="S103">
        <f t="shared" ref="S103" si="493">R103/100000</f>
        <v>56.554987724679997</v>
      </c>
      <c r="T103">
        <f t="shared" ref="T103" si="494">S103/1000</f>
        <v>5.6554987724679998E-2</v>
      </c>
    </row>
    <row r="104" spans="1:20" x14ac:dyDescent="0.25">
      <c r="A104" s="5">
        <v>44489</v>
      </c>
      <c r="B104">
        <v>255</v>
      </c>
      <c r="C104">
        <v>265.89999999999998</v>
      </c>
      <c r="D104">
        <v>253.2</v>
      </c>
      <c r="E104">
        <v>260</v>
      </c>
      <c r="F104">
        <v>89428.994000000006</v>
      </c>
      <c r="G104">
        <v>260</v>
      </c>
      <c r="L104" t="s">
        <v>7</v>
      </c>
      <c r="M104" t="s">
        <v>8</v>
      </c>
      <c r="N104" t="s">
        <v>7</v>
      </c>
      <c r="P104">
        <f t="shared" ref="P104" si="495">IF(C104=D104,0,((E104-D104)-(C104-E104))/(C104-D104))</f>
        <v>7.0866141732286211E-2</v>
      </c>
      <c r="Q104">
        <f t="shared" ref="Q104" si="496">F104*P104</f>
        <v>6337.4877637797736</v>
      </c>
      <c r="R104">
        <f t="shared" ref="R104" si="497">R105+Q104</f>
        <v>5585351.7201586077</v>
      </c>
      <c r="S104">
        <f t="shared" ref="S104" si="498">R104/100000</f>
        <v>55.853517201586079</v>
      </c>
      <c r="T104">
        <f t="shared" ref="T104" si="499">S104/1000</f>
        <v>5.585351720158608E-2</v>
      </c>
    </row>
    <row r="105" spans="1:20" x14ac:dyDescent="0.25">
      <c r="A105" s="5">
        <v>44488</v>
      </c>
      <c r="B105">
        <v>256.5</v>
      </c>
      <c r="C105">
        <v>260.5</v>
      </c>
      <c r="D105">
        <v>251.4</v>
      </c>
      <c r="E105">
        <v>255</v>
      </c>
      <c r="F105">
        <v>71420.444000000003</v>
      </c>
      <c r="G105">
        <v>255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-0.20879120879120955</v>
      </c>
      <c r="Q105">
        <f t="shared" ref="Q105" si="501">F105*P105</f>
        <v>-14911.960835164889</v>
      </c>
      <c r="R105">
        <f t="shared" ref="R105" si="502">R106+Q105</f>
        <v>5579014.2323948275</v>
      </c>
      <c r="S105">
        <f t="shared" ref="S105" si="503">R105/100000</f>
        <v>55.790142323948274</v>
      </c>
      <c r="T105">
        <f t="shared" ref="T105" si="504">S105/1000</f>
        <v>5.5790142323948272E-2</v>
      </c>
    </row>
    <row r="106" spans="1:20" x14ac:dyDescent="0.25">
      <c r="A106" s="5">
        <v>44487</v>
      </c>
      <c r="B106">
        <v>261.2</v>
      </c>
      <c r="C106">
        <v>264.5</v>
      </c>
      <c r="D106">
        <v>252.4</v>
      </c>
      <c r="E106">
        <v>256.5</v>
      </c>
      <c r="F106">
        <v>75956.274000000005</v>
      </c>
      <c r="G106">
        <v>256.5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-0.32231404958677751</v>
      </c>
      <c r="Q106">
        <f t="shared" ref="Q106" si="506">F106*P106</f>
        <v>-24481.77426446286</v>
      </c>
      <c r="R106">
        <f t="shared" ref="R106" si="507">R107+Q106</f>
        <v>5593926.1932299929</v>
      </c>
      <c r="S106">
        <f t="shared" ref="S106" si="508">R106/100000</f>
        <v>55.939261932299928</v>
      </c>
      <c r="T106">
        <f t="shared" ref="T106" si="509">S106/1000</f>
        <v>5.5939261932299929E-2</v>
      </c>
    </row>
    <row r="107" spans="1:20" x14ac:dyDescent="0.25">
      <c r="A107" s="5">
        <v>44486</v>
      </c>
      <c r="B107">
        <v>268</v>
      </c>
      <c r="C107">
        <v>268.39999999999998</v>
      </c>
      <c r="D107">
        <v>253.1</v>
      </c>
      <c r="E107">
        <v>261.10000000000002</v>
      </c>
      <c r="F107">
        <v>80307.881999999998</v>
      </c>
      <c r="G107">
        <v>261.10000000000002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4.5751633986932987E-2</v>
      </c>
      <c r="Q107">
        <f t="shared" ref="Q107" si="511">F107*P107</f>
        <v>3674.2168235298036</v>
      </c>
      <c r="R107">
        <f t="shared" ref="R107" si="512">R108+Q107</f>
        <v>5618407.9674944561</v>
      </c>
      <c r="S107">
        <f t="shared" ref="S107" si="513">R107/100000</f>
        <v>56.184079674944563</v>
      </c>
      <c r="T107">
        <f t="shared" ref="T107" si="514">S107/1000</f>
        <v>5.6184079674944563E-2</v>
      </c>
    </row>
    <row r="108" spans="1:20" x14ac:dyDescent="0.25">
      <c r="A108" s="5">
        <v>44485</v>
      </c>
      <c r="B108">
        <v>274.10000000000002</v>
      </c>
      <c r="C108">
        <v>274.8</v>
      </c>
      <c r="D108">
        <v>265</v>
      </c>
      <c r="E108">
        <v>268</v>
      </c>
      <c r="F108">
        <v>93570.065000000002</v>
      </c>
      <c r="G108">
        <v>268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-0.38775510204081703</v>
      </c>
      <c r="Q108">
        <f t="shared" ref="Q108" si="516">F108*P108</f>
        <v>-36282.270102040886</v>
      </c>
      <c r="R108">
        <f t="shared" ref="R108" si="517">R109+Q108</f>
        <v>5614733.7506709266</v>
      </c>
      <c r="S108">
        <f t="shared" ref="S108" si="518">R108/100000</f>
        <v>56.147337506709263</v>
      </c>
      <c r="T108">
        <f t="shared" ref="T108" si="519">S108/1000</f>
        <v>5.6147337506709263E-2</v>
      </c>
    </row>
    <row r="109" spans="1:20" x14ac:dyDescent="0.25">
      <c r="A109" s="5">
        <v>44484</v>
      </c>
      <c r="B109">
        <v>266.8</v>
      </c>
      <c r="C109">
        <v>279.2</v>
      </c>
      <c r="D109">
        <v>260.89999999999998</v>
      </c>
      <c r="E109">
        <v>274.10000000000002</v>
      </c>
      <c r="F109">
        <v>125756.912</v>
      </c>
      <c r="G109">
        <v>274.10000000000002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0.44262295081967623</v>
      </c>
      <c r="Q109">
        <f t="shared" ref="Q109" si="521">F109*P109</f>
        <v>55662.895475410347</v>
      </c>
      <c r="R109">
        <f t="shared" ref="R109" si="522">R110+Q109</f>
        <v>5651016.0207729675</v>
      </c>
      <c r="S109">
        <f t="shared" ref="S109" si="523">R109/100000</f>
        <v>56.510160207729676</v>
      </c>
      <c r="T109">
        <f t="shared" ref="T109" si="524">S109/1000</f>
        <v>5.6510160207729677E-2</v>
      </c>
    </row>
    <row r="110" spans="1:20" x14ac:dyDescent="0.25">
      <c r="A110" s="5">
        <v>44483</v>
      </c>
      <c r="B110">
        <v>274.5</v>
      </c>
      <c r="C110">
        <v>274.8</v>
      </c>
      <c r="D110">
        <v>264</v>
      </c>
      <c r="E110">
        <v>266.8</v>
      </c>
      <c r="F110">
        <v>82726.827999999994</v>
      </c>
      <c r="G110">
        <v>266.8</v>
      </c>
      <c r="L110" t="s">
        <v>7</v>
      </c>
      <c r="M110" t="s">
        <v>8</v>
      </c>
      <c r="N110" t="s">
        <v>7</v>
      </c>
      <c r="P110">
        <f t="shared" ref="P110" si="525">IF(C110=D110,0,((E110-D110)-(C110-E110))/(C110-D110))</f>
        <v>-0.4814814814814799</v>
      </c>
      <c r="Q110">
        <f t="shared" ref="Q110" si="526">F110*P110</f>
        <v>-39831.435703703573</v>
      </c>
      <c r="R110">
        <f t="shared" ref="R110" si="527">R111+Q110</f>
        <v>5595353.1252975576</v>
      </c>
      <c r="S110">
        <f t="shared" ref="S110" si="528">R110/100000</f>
        <v>55.953531252975573</v>
      </c>
      <c r="T110">
        <f t="shared" ref="T110" si="529">S110/1000</f>
        <v>5.5953531252975572E-2</v>
      </c>
    </row>
    <row r="111" spans="1:20" x14ac:dyDescent="0.25">
      <c r="A111" s="5">
        <v>44482</v>
      </c>
      <c r="B111">
        <v>277.3</v>
      </c>
      <c r="C111">
        <v>283.39999999999998</v>
      </c>
      <c r="D111">
        <v>269.2</v>
      </c>
      <c r="E111">
        <v>274.3</v>
      </c>
      <c r="F111">
        <v>88679.26</v>
      </c>
      <c r="G111">
        <v>274.3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-0.28169014084506666</v>
      </c>
      <c r="Q111">
        <f t="shared" ref="Q111" si="531">F111*P111</f>
        <v>-24980.073239436286</v>
      </c>
      <c r="R111">
        <f t="shared" ref="R111" si="532">R112+Q111</f>
        <v>5635184.5610012608</v>
      </c>
      <c r="S111">
        <f t="shared" ref="S111" si="533">R111/100000</f>
        <v>56.35184561001261</v>
      </c>
      <c r="T111">
        <f t="shared" ref="T111" si="534">S111/1000</f>
        <v>5.6351845610012608E-2</v>
      </c>
    </row>
    <row r="112" spans="1:20" x14ac:dyDescent="0.25">
      <c r="A112" s="5">
        <v>44481</v>
      </c>
      <c r="B112">
        <v>276.7</v>
      </c>
      <c r="C112">
        <v>281</v>
      </c>
      <c r="D112">
        <v>268.10000000000002</v>
      </c>
      <c r="E112">
        <v>277.2</v>
      </c>
      <c r="F112">
        <v>110990.41899999999</v>
      </c>
      <c r="G112">
        <v>277.2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0.41085271317829175</v>
      </c>
      <c r="Q112">
        <f t="shared" ref="Q112" si="536">F112*P112</f>
        <v>45600.714782945419</v>
      </c>
      <c r="R112">
        <f t="shared" ref="R112" si="537">R113+Q112</f>
        <v>5660164.6342406971</v>
      </c>
      <c r="S112">
        <f t="shared" ref="S112" si="538">R112/100000</f>
        <v>56.601646342406973</v>
      </c>
      <c r="T112">
        <f t="shared" ref="T112" si="539">S112/1000</f>
        <v>5.6601646342406969E-2</v>
      </c>
    </row>
    <row r="113" spans="1:20" x14ac:dyDescent="0.25">
      <c r="A113" s="5">
        <v>44480</v>
      </c>
      <c r="B113">
        <v>270.10000000000002</v>
      </c>
      <c r="C113">
        <v>280</v>
      </c>
      <c r="D113">
        <v>265.2</v>
      </c>
      <c r="E113">
        <v>276.7</v>
      </c>
      <c r="F113">
        <v>113796.893</v>
      </c>
      <c r="G113">
        <v>276.7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0.55405405405405284</v>
      </c>
      <c r="Q113">
        <f t="shared" ref="Q113" si="541">F113*P113</f>
        <v>63049.629905405265</v>
      </c>
      <c r="R113">
        <f t="shared" ref="R113" si="542">R114+Q113</f>
        <v>5614563.9194577513</v>
      </c>
      <c r="S113">
        <f t="shared" ref="S113" si="543">R113/100000</f>
        <v>56.145639194577512</v>
      </c>
      <c r="T113">
        <f t="shared" ref="T113" si="544">S113/1000</f>
        <v>5.6145639194577511E-2</v>
      </c>
    </row>
    <row r="114" spans="1:20" x14ac:dyDescent="0.25">
      <c r="A114" s="5">
        <v>44479</v>
      </c>
      <c r="B114">
        <v>278.39999999999998</v>
      </c>
      <c r="C114">
        <v>282.60000000000002</v>
      </c>
      <c r="D114">
        <v>269.2</v>
      </c>
      <c r="E114">
        <v>270</v>
      </c>
      <c r="F114">
        <v>67879.576000000001</v>
      </c>
      <c r="G114">
        <v>270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-0.88059701492537179</v>
      </c>
      <c r="Q114">
        <f t="shared" ref="Q114" si="546">F114*P114</f>
        <v>-59774.551999999909</v>
      </c>
      <c r="R114">
        <f t="shared" ref="R114" si="547">R115+Q114</f>
        <v>5551514.2895523459</v>
      </c>
      <c r="S114">
        <f t="shared" ref="S114" si="548">R114/100000</f>
        <v>55.515142895523461</v>
      </c>
      <c r="T114">
        <f t="shared" ref="T114" si="549">S114/1000</f>
        <v>5.5515142895523457E-2</v>
      </c>
    </row>
    <row r="115" spans="1:20" x14ac:dyDescent="0.25">
      <c r="A115" s="5">
        <v>44478</v>
      </c>
      <c r="B115">
        <v>278</v>
      </c>
      <c r="C115">
        <v>282.3</v>
      </c>
      <c r="D115">
        <v>273.5</v>
      </c>
      <c r="E115">
        <v>278.39999999999998</v>
      </c>
      <c r="F115">
        <v>78453.807000000001</v>
      </c>
      <c r="G115">
        <v>278.39999999999998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0.11363636363635703</v>
      </c>
      <c r="Q115">
        <f t="shared" ref="Q115" si="551">F115*P115</f>
        <v>8915.2053409085729</v>
      </c>
      <c r="R115">
        <f t="shared" ref="R115" si="552">R116+Q115</f>
        <v>5611288.841552346</v>
      </c>
      <c r="S115">
        <f t="shared" ref="S115" si="553">R115/100000</f>
        <v>56.112888415523457</v>
      </c>
      <c r="T115">
        <f t="shared" ref="T115" si="554">S115/1000</f>
        <v>5.6112888415523456E-2</v>
      </c>
    </row>
    <row r="116" spans="1:20" x14ac:dyDescent="0.25">
      <c r="A116" s="5">
        <v>44477</v>
      </c>
      <c r="B116">
        <v>277.89999999999998</v>
      </c>
      <c r="C116">
        <v>286.8</v>
      </c>
      <c r="D116">
        <v>275.89999999999998</v>
      </c>
      <c r="E116">
        <v>277.89999999999998</v>
      </c>
      <c r="F116">
        <v>114299.678</v>
      </c>
      <c r="G116">
        <v>277.89999999999998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-0.63302752293578102</v>
      </c>
      <c r="Q116">
        <f t="shared" ref="Q116" si="556">F116*P116</f>
        <v>-72354.842036697388</v>
      </c>
      <c r="R116">
        <f t="shared" ref="R116" si="557">R117+Q116</f>
        <v>5602373.6362114372</v>
      </c>
      <c r="S116">
        <f t="shared" ref="S116" si="558">R116/100000</f>
        <v>56.02373636211437</v>
      </c>
      <c r="T116">
        <f t="shared" ref="T116" si="559">S116/1000</f>
        <v>5.6023736362114371E-2</v>
      </c>
    </row>
    <row r="117" spans="1:20" x14ac:dyDescent="0.25">
      <c r="A117" s="5">
        <v>44476</v>
      </c>
      <c r="B117">
        <v>286.5</v>
      </c>
      <c r="C117">
        <v>296.8</v>
      </c>
      <c r="D117">
        <v>275.7</v>
      </c>
      <c r="E117">
        <v>277.8</v>
      </c>
      <c r="F117">
        <v>149360.851</v>
      </c>
      <c r="G117">
        <v>277.8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-0.80094786729857625</v>
      </c>
      <c r="Q117">
        <f t="shared" ref="Q117" si="561">F117*P117</f>
        <v>-119630.25506635042</v>
      </c>
      <c r="R117">
        <f t="shared" ref="R117" si="562">R118+Q117</f>
        <v>5674728.4782481343</v>
      </c>
      <c r="S117">
        <f t="shared" ref="S117" si="563">R117/100000</f>
        <v>56.747284782481344</v>
      </c>
      <c r="T117">
        <f t="shared" ref="T117" si="564">S117/1000</f>
        <v>5.6747284782481346E-2</v>
      </c>
    </row>
    <row r="118" spans="1:20" x14ac:dyDescent="0.25">
      <c r="A118" s="5">
        <v>44475</v>
      </c>
      <c r="B118">
        <v>270.8</v>
      </c>
      <c r="C118">
        <v>294.89999999999998</v>
      </c>
      <c r="D118">
        <v>262.3</v>
      </c>
      <c r="E118">
        <v>286.5</v>
      </c>
      <c r="F118">
        <v>177874.14199999999</v>
      </c>
      <c r="G118">
        <v>286.5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0.48466257668711743</v>
      </c>
      <c r="Q118">
        <f t="shared" ref="Q118" si="566">F118*P118</f>
        <v>86208.939987730206</v>
      </c>
      <c r="R118">
        <f t="shared" ref="R118" si="567">R119+Q118</f>
        <v>5794358.7333144844</v>
      </c>
      <c r="S118">
        <f t="shared" ref="S118" si="568">R118/100000</f>
        <v>57.943587333144841</v>
      </c>
      <c r="T118">
        <f t="shared" ref="T118" si="569">S118/1000</f>
        <v>5.7943587333144843E-2</v>
      </c>
    </row>
    <row r="119" spans="1:20" x14ac:dyDescent="0.25">
      <c r="A119" s="5">
        <v>44474</v>
      </c>
      <c r="B119">
        <v>265</v>
      </c>
      <c r="C119">
        <v>275.89999999999998</v>
      </c>
      <c r="D119">
        <v>261.10000000000002</v>
      </c>
      <c r="E119">
        <v>270.8</v>
      </c>
      <c r="F119">
        <v>136475.86900000001</v>
      </c>
      <c r="G119">
        <v>270.8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0.3108108108108133</v>
      </c>
      <c r="Q119">
        <f t="shared" ref="Q119" si="571">F119*P119</f>
        <v>42418.17550000034</v>
      </c>
      <c r="R119">
        <f t="shared" ref="R119" si="572">R120+Q119</f>
        <v>5708149.7933267541</v>
      </c>
      <c r="S119">
        <f t="shared" ref="S119" si="573">R119/100000</f>
        <v>57.081497933267542</v>
      </c>
      <c r="T119">
        <f t="shared" ref="T119" si="574">S119/1000</f>
        <v>5.7081497933267542E-2</v>
      </c>
    </row>
    <row r="120" spans="1:20" x14ac:dyDescent="0.25">
      <c r="A120" s="5">
        <v>44473</v>
      </c>
      <c r="B120">
        <v>259.39999999999998</v>
      </c>
      <c r="C120">
        <v>267.3</v>
      </c>
      <c r="D120">
        <v>251.2</v>
      </c>
      <c r="E120">
        <v>263.39999999999998</v>
      </c>
      <c r="F120">
        <v>97415.273000000001</v>
      </c>
      <c r="G120">
        <v>263.39999999999998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0.51552795031055543</v>
      </c>
      <c r="Q120">
        <f t="shared" ref="Q120" si="576">F120*P120</f>
        <v>50220.296018633191</v>
      </c>
      <c r="R120">
        <f t="shared" ref="R120" si="577">R121+Q120</f>
        <v>5665731.6178267542</v>
      </c>
      <c r="S120">
        <f t="shared" ref="S120" si="578">R120/100000</f>
        <v>56.657316178267543</v>
      </c>
      <c r="T120">
        <f t="shared" ref="T120" si="579">S120/1000</f>
        <v>5.6657316178267546E-2</v>
      </c>
    </row>
    <row r="121" spans="1:20" x14ac:dyDescent="0.25">
      <c r="A121" s="5">
        <v>44472</v>
      </c>
      <c r="B121">
        <v>252.8</v>
      </c>
      <c r="C121">
        <v>263.8</v>
      </c>
      <c r="D121">
        <v>250.1</v>
      </c>
      <c r="E121">
        <v>258.10000000000002</v>
      </c>
      <c r="F121">
        <v>90726.698999999993</v>
      </c>
      <c r="G121">
        <v>258.10000000000002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0.1678832116788348</v>
      </c>
      <c r="Q121">
        <f t="shared" ref="Q121" si="581">F121*P121</f>
        <v>15231.489613138929</v>
      </c>
      <c r="R121">
        <f t="shared" ref="R121" si="582">R122+Q121</f>
        <v>5615511.3218081212</v>
      </c>
      <c r="S121">
        <f t="shared" ref="S121" si="583">R121/100000</f>
        <v>56.155113218081212</v>
      </c>
      <c r="T121">
        <f t="shared" ref="T121" si="584">S121/1000</f>
        <v>5.6155113218081212E-2</v>
      </c>
    </row>
    <row r="122" spans="1:20" x14ac:dyDescent="0.25">
      <c r="A122" s="5">
        <v>44471</v>
      </c>
      <c r="B122">
        <v>257.60000000000002</v>
      </c>
      <c r="C122">
        <v>262.5</v>
      </c>
      <c r="D122">
        <v>251.3</v>
      </c>
      <c r="E122">
        <v>252.8</v>
      </c>
      <c r="F122">
        <v>95213.202000000005</v>
      </c>
      <c r="G122">
        <v>252.8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-0.73214285714285687</v>
      </c>
      <c r="Q122">
        <f t="shared" ref="Q122" si="586">F122*P122</f>
        <v>-69709.665749999971</v>
      </c>
      <c r="R122">
        <f t="shared" ref="R122" si="587">R123+Q122</f>
        <v>5600279.8321949821</v>
      </c>
      <c r="S122">
        <f t="shared" ref="S122" si="588">R122/100000</f>
        <v>56.002798321949818</v>
      </c>
      <c r="T122">
        <f t="shared" ref="T122" si="589">S122/1000</f>
        <v>5.600279832194982E-2</v>
      </c>
    </row>
    <row r="123" spans="1:20" x14ac:dyDescent="0.25">
      <c r="A123" s="5">
        <v>44470</v>
      </c>
      <c r="B123">
        <v>251</v>
      </c>
      <c r="C123">
        <v>261.60000000000002</v>
      </c>
      <c r="D123">
        <v>243</v>
      </c>
      <c r="E123">
        <v>257.5</v>
      </c>
      <c r="F123">
        <v>135878.427</v>
      </c>
      <c r="G123">
        <v>257.5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0.55913978494623462</v>
      </c>
      <c r="Q123">
        <f t="shared" ref="Q123" si="591">F123*P123</f>
        <v>75975.034451612635</v>
      </c>
      <c r="R123">
        <f t="shared" ref="R123" si="592">R124+Q123</f>
        <v>5669989.4979449818</v>
      </c>
      <c r="S123">
        <f t="shared" ref="S123" si="593">R123/100000</f>
        <v>56.699894979449816</v>
      </c>
      <c r="T123">
        <f t="shared" ref="T123" si="594">S123/1000</f>
        <v>5.6699894979449814E-2</v>
      </c>
    </row>
    <row r="124" spans="1:20" x14ac:dyDescent="0.25">
      <c r="A124" s="5">
        <v>44469</v>
      </c>
      <c r="B124">
        <v>233.6</v>
      </c>
      <c r="C124">
        <v>254.3</v>
      </c>
      <c r="D124">
        <v>232.8</v>
      </c>
      <c r="E124">
        <v>251.1</v>
      </c>
      <c r="F124">
        <v>99198.013000000006</v>
      </c>
      <c r="G124">
        <v>251.1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0.70232558139534729</v>
      </c>
      <c r="Q124">
        <f t="shared" ref="Q124" si="596">F124*P124</f>
        <v>69669.302153488228</v>
      </c>
      <c r="R124">
        <f t="shared" ref="R124" si="597">R125+Q124</f>
        <v>5594014.4634933695</v>
      </c>
      <c r="S124">
        <f t="shared" ref="S124" si="598">R124/100000</f>
        <v>55.940144634933695</v>
      </c>
      <c r="T124">
        <f t="shared" ref="T124" si="599">S124/1000</f>
        <v>5.5940144634933693E-2</v>
      </c>
    </row>
    <row r="125" spans="1:20" x14ac:dyDescent="0.25">
      <c r="A125" s="5">
        <v>44468</v>
      </c>
      <c r="B125">
        <v>229.6</v>
      </c>
      <c r="C125">
        <v>240.7</v>
      </c>
      <c r="D125">
        <v>228.8</v>
      </c>
      <c r="E125">
        <v>233.6</v>
      </c>
      <c r="F125">
        <v>84941.995999999999</v>
      </c>
      <c r="G125">
        <v>233.6</v>
      </c>
      <c r="L125" t="s">
        <v>7</v>
      </c>
      <c r="M125" t="s">
        <v>8</v>
      </c>
      <c r="N125" t="s">
        <v>7</v>
      </c>
      <c r="P125">
        <f t="shared" ref="P125" si="600">IF(C125=D125,0,((E125-D125)-(C125-E125))/(C125-D125))</f>
        <v>-0.19327731092437106</v>
      </c>
      <c r="Q125">
        <f t="shared" ref="Q125" si="601">F125*P125</f>
        <v>-16417.360571428682</v>
      </c>
      <c r="R125">
        <f t="shared" ref="R125" si="602">R126+Q125</f>
        <v>5524345.1613398809</v>
      </c>
      <c r="S125">
        <f t="shared" ref="S125" si="603">R125/100000</f>
        <v>55.243451613398811</v>
      </c>
      <c r="T125">
        <f t="shared" ref="T125" si="604">S125/1000</f>
        <v>5.524345161339881E-2</v>
      </c>
    </row>
    <row r="126" spans="1:20" x14ac:dyDescent="0.25">
      <c r="A126" s="5">
        <v>44467</v>
      </c>
      <c r="B126">
        <v>234.3</v>
      </c>
      <c r="C126">
        <v>243.7</v>
      </c>
      <c r="D126">
        <v>228.2</v>
      </c>
      <c r="E126">
        <v>229.6</v>
      </c>
      <c r="F126">
        <v>108966.893</v>
      </c>
      <c r="G126">
        <v>229.6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-0.81935483870967674</v>
      </c>
      <c r="Q126">
        <f t="shared" ref="Q126" si="606">F126*P126</f>
        <v>-89282.5510387096</v>
      </c>
      <c r="R126">
        <f t="shared" ref="R126" si="607">R127+Q126</f>
        <v>5540762.52191131</v>
      </c>
      <c r="S126">
        <f t="shared" ref="S126" si="608">R126/100000</f>
        <v>55.4076252191131</v>
      </c>
      <c r="T126">
        <f t="shared" ref="T126" si="609">S126/1000</f>
        <v>5.5407625219113098E-2</v>
      </c>
    </row>
    <row r="127" spans="1:20" x14ac:dyDescent="0.25">
      <c r="A127" s="5">
        <v>44466</v>
      </c>
      <c r="B127">
        <v>234.1</v>
      </c>
      <c r="C127">
        <v>248.1</v>
      </c>
      <c r="D127">
        <v>233.7</v>
      </c>
      <c r="E127">
        <v>234.3</v>
      </c>
      <c r="F127">
        <v>112243.201</v>
      </c>
      <c r="G127">
        <v>234.3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-0.91666666666666352</v>
      </c>
      <c r="Q127">
        <f t="shared" ref="Q127" si="611">F127*P127</f>
        <v>-102889.60091666631</v>
      </c>
      <c r="R127">
        <f t="shared" ref="R127" si="612">R128+Q127</f>
        <v>5630045.0729500195</v>
      </c>
      <c r="S127">
        <f t="shared" ref="S127" si="613">R127/100000</f>
        <v>56.300450729500191</v>
      </c>
      <c r="T127">
        <f t="shared" ref="T127" si="614">S127/1000</f>
        <v>5.6300450729500191E-2</v>
      </c>
    </row>
    <row r="128" spans="1:20" x14ac:dyDescent="0.25">
      <c r="A128" s="5">
        <v>44465</v>
      </c>
      <c r="B128">
        <v>235.7</v>
      </c>
      <c r="C128">
        <v>237.1</v>
      </c>
      <c r="D128">
        <v>221.7</v>
      </c>
      <c r="E128">
        <v>234.2</v>
      </c>
      <c r="F128">
        <v>138917.997</v>
      </c>
      <c r="G128">
        <v>234.2</v>
      </c>
      <c r="L128" t="s">
        <v>7</v>
      </c>
      <c r="M128" t="s">
        <v>8</v>
      </c>
      <c r="N128" t="s">
        <v>7</v>
      </c>
      <c r="P128">
        <f t="shared" ref="P128" si="615">IF(C128=D128,0,((E128-D128)-(C128-E128))/(C128-D128))</f>
        <v>0.62337662337662281</v>
      </c>
      <c r="Q128">
        <f t="shared" ref="Q128" si="616">F128*P128</f>
        <v>86598.231896103825</v>
      </c>
      <c r="R128">
        <f t="shared" ref="R128" si="617">R129+Q128</f>
        <v>5732934.6738666855</v>
      </c>
      <c r="S128">
        <f t="shared" ref="S128" si="618">R128/100000</f>
        <v>57.329346738666857</v>
      </c>
      <c r="T128">
        <f t="shared" ref="T128" si="619">S128/1000</f>
        <v>5.732934673866686E-2</v>
      </c>
    </row>
    <row r="129" spans="1:20" x14ac:dyDescent="0.25">
      <c r="A129" s="5">
        <v>44464</v>
      </c>
      <c r="B129">
        <v>233.5</v>
      </c>
      <c r="C129">
        <v>242.4</v>
      </c>
      <c r="D129">
        <v>229.8</v>
      </c>
      <c r="E129">
        <v>235.8</v>
      </c>
      <c r="F129">
        <v>102763.576</v>
      </c>
      <c r="G129">
        <v>235.8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-4.7619047619047186E-2</v>
      </c>
      <c r="Q129">
        <f t="shared" ref="Q129" si="621">F129*P129</f>
        <v>-4893.5036190475748</v>
      </c>
      <c r="R129">
        <f t="shared" ref="R129" si="622">R130+Q129</f>
        <v>5646336.4419705812</v>
      </c>
      <c r="S129">
        <f t="shared" ref="S129" si="623">R129/100000</f>
        <v>56.463364419705812</v>
      </c>
      <c r="T129">
        <f t="shared" ref="T129" si="624">S129/1000</f>
        <v>5.6463364419705814E-2</v>
      </c>
    </row>
    <row r="130" spans="1:20" x14ac:dyDescent="0.25">
      <c r="A130" s="5">
        <v>44463</v>
      </c>
      <c r="B130">
        <v>248.9</v>
      </c>
      <c r="C130">
        <v>254.6</v>
      </c>
      <c r="D130">
        <v>222.7</v>
      </c>
      <c r="E130">
        <v>233.6</v>
      </c>
      <c r="F130">
        <v>169465.965</v>
      </c>
      <c r="G130">
        <v>233.6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-0.31661442006269569</v>
      </c>
      <c r="Q130">
        <f t="shared" ref="Q130" si="626">F130*P130</f>
        <v>-53655.368228840081</v>
      </c>
      <c r="R130">
        <f t="shared" ref="R130" si="627">R131+Q130</f>
        <v>5651229.945589629</v>
      </c>
      <c r="S130">
        <f t="shared" ref="S130" si="628">R130/100000</f>
        <v>56.51229945589629</v>
      </c>
      <c r="T130">
        <f t="shared" ref="T130" si="629">S130/1000</f>
        <v>5.6512299455896288E-2</v>
      </c>
    </row>
    <row r="131" spans="1:20" x14ac:dyDescent="0.25">
      <c r="A131" s="5">
        <v>44462</v>
      </c>
      <c r="B131">
        <v>245</v>
      </c>
      <c r="C131">
        <v>255.6</v>
      </c>
      <c r="D131">
        <v>243.2</v>
      </c>
      <c r="E131">
        <v>249.1</v>
      </c>
      <c r="F131">
        <v>92112.900999999998</v>
      </c>
      <c r="G131">
        <v>249.1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-4.8387096774193068E-2</v>
      </c>
      <c r="Q131">
        <f t="shared" ref="Q131" si="631">F131*P131</f>
        <v>-4457.0758548386657</v>
      </c>
      <c r="R131">
        <f t="shared" ref="R131" si="632">R132+Q131</f>
        <v>5704885.3138184687</v>
      </c>
      <c r="S131">
        <f t="shared" ref="S131" si="633">R131/100000</f>
        <v>57.04885313818469</v>
      </c>
      <c r="T131">
        <f t="shared" ref="T131" si="634">S131/1000</f>
        <v>5.7048853138184689E-2</v>
      </c>
    </row>
    <row r="132" spans="1:20" x14ac:dyDescent="0.25">
      <c r="A132" s="5">
        <v>44461</v>
      </c>
      <c r="B132">
        <v>218.2</v>
      </c>
      <c r="C132">
        <v>245.5</v>
      </c>
      <c r="D132">
        <v>214.4</v>
      </c>
      <c r="E132">
        <v>245.1</v>
      </c>
      <c r="F132">
        <v>108780.762</v>
      </c>
      <c r="G132">
        <v>245.1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0.9742765273311893</v>
      </c>
      <c r="Q132">
        <f t="shared" ref="Q132" si="636">F132*P132</f>
        <v>105982.5430418006</v>
      </c>
      <c r="R132">
        <f t="shared" ref="R132" si="637">R133+Q132</f>
        <v>5709342.3896733075</v>
      </c>
      <c r="S132">
        <f t="shared" ref="S132" si="638">R132/100000</f>
        <v>57.093423896733078</v>
      </c>
      <c r="T132">
        <f t="shared" ref="T132" si="639">S132/1000</f>
        <v>5.7093423896733081E-2</v>
      </c>
    </row>
    <row r="133" spans="1:20" x14ac:dyDescent="0.25">
      <c r="A133" s="5">
        <v>44460</v>
      </c>
      <c r="B133">
        <v>232.7</v>
      </c>
      <c r="C133">
        <v>237.5</v>
      </c>
      <c r="D133">
        <v>212</v>
      </c>
      <c r="E133">
        <v>218</v>
      </c>
      <c r="F133">
        <v>150502.66975</v>
      </c>
      <c r="G133">
        <v>218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-0.52941176470588236</v>
      </c>
      <c r="Q133">
        <f t="shared" ref="Q133" si="641">F133*P133</f>
        <v>-79677.883985294116</v>
      </c>
      <c r="R133">
        <f t="shared" ref="R133" si="642">R134+Q133</f>
        <v>5603359.8466315074</v>
      </c>
      <c r="S133">
        <f t="shared" ref="S133" si="643">R133/100000</f>
        <v>56.033598466315077</v>
      </c>
      <c r="T133">
        <f t="shared" ref="T133" si="644">S133/1000</f>
        <v>5.6033598466315074E-2</v>
      </c>
    </row>
    <row r="134" spans="1:20" x14ac:dyDescent="0.25">
      <c r="A134" s="5">
        <v>44459</v>
      </c>
      <c r="B134">
        <v>259.89999999999998</v>
      </c>
      <c r="C134">
        <v>261.60000000000002</v>
      </c>
      <c r="D134">
        <v>238.4</v>
      </c>
      <c r="E134">
        <v>241.2</v>
      </c>
      <c r="F134">
        <v>86307.592999999993</v>
      </c>
      <c r="G134">
        <v>241.2</v>
      </c>
      <c r="L134" t="s">
        <v>7</v>
      </c>
      <c r="M134" t="s">
        <v>8</v>
      </c>
      <c r="N134" t="s">
        <v>7</v>
      </c>
      <c r="P134">
        <f t="shared" ref="P134" si="645">IF(C134=D134,0,((E134-D134)-(C134-E134))/(C134-D134))</f>
        <v>-0.75862068965517404</v>
      </c>
      <c r="Q134">
        <f t="shared" ref="Q134" si="646">F134*P134</f>
        <v>-65474.725724138065</v>
      </c>
      <c r="R134">
        <f t="shared" ref="R134" si="647">R135+Q134</f>
        <v>5683037.7306168014</v>
      </c>
      <c r="S134">
        <f t="shared" ref="S134" si="648">R134/100000</f>
        <v>56.830377306168018</v>
      </c>
      <c r="T134">
        <f t="shared" ref="T134" si="649">S134/1000</f>
        <v>5.6830377306168016E-2</v>
      </c>
    </row>
    <row r="135" spans="1:20" x14ac:dyDescent="0.25">
      <c r="A135" s="5">
        <v>44458</v>
      </c>
      <c r="B135">
        <v>271.8</v>
      </c>
      <c r="C135">
        <v>276.5</v>
      </c>
      <c r="D135">
        <v>258.10000000000002</v>
      </c>
      <c r="E135">
        <v>259.8</v>
      </c>
      <c r="F135">
        <v>83890.531000000003</v>
      </c>
      <c r="G135">
        <v>259.8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-0.81521739130434878</v>
      </c>
      <c r="Q135">
        <f t="shared" ref="Q135" si="651">F135*P135</f>
        <v>-68389.019836956606</v>
      </c>
      <c r="R135">
        <f t="shared" ref="R135" si="652">R136+Q135</f>
        <v>5748512.4563409397</v>
      </c>
      <c r="S135">
        <f t="shared" ref="S135" si="653">R135/100000</f>
        <v>57.4851245634094</v>
      </c>
      <c r="T135">
        <f t="shared" ref="T135" si="654">S135/1000</f>
        <v>5.7485124563409401E-2</v>
      </c>
    </row>
    <row r="136" spans="1:20" x14ac:dyDescent="0.25">
      <c r="A136" s="5">
        <v>44457</v>
      </c>
      <c r="B136">
        <v>262.7</v>
      </c>
      <c r="C136">
        <v>272</v>
      </c>
      <c r="D136">
        <v>259.89999999999998</v>
      </c>
      <c r="E136">
        <v>271.7</v>
      </c>
      <c r="F136">
        <v>67880.328999999998</v>
      </c>
      <c r="G136">
        <v>271.7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0.95041322314049403</v>
      </c>
      <c r="Q136">
        <f t="shared" ref="Q136" si="656">F136*P136</f>
        <v>64514.362272727143</v>
      </c>
      <c r="R136">
        <f t="shared" ref="R136" si="657">R137+Q136</f>
        <v>5816901.4761778964</v>
      </c>
      <c r="S136">
        <f t="shared" ref="S136" si="658">R136/100000</f>
        <v>58.169014761778961</v>
      </c>
      <c r="T136">
        <f t="shared" ref="T136" si="659">S136/1000</f>
        <v>5.8169014761778957E-2</v>
      </c>
    </row>
    <row r="137" spans="1:20" x14ac:dyDescent="0.25">
      <c r="A137" s="5">
        <v>44456</v>
      </c>
      <c r="B137">
        <v>263.89999999999998</v>
      </c>
      <c r="C137">
        <v>267.7</v>
      </c>
      <c r="D137">
        <v>256.89999999999998</v>
      </c>
      <c r="E137">
        <v>262.7</v>
      </c>
      <c r="F137">
        <v>72689.95</v>
      </c>
      <c r="G137">
        <v>262.7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7.4074074074075055E-2</v>
      </c>
      <c r="Q137">
        <f t="shared" ref="Q137" si="661">F137*P137</f>
        <v>5384.4407407408116</v>
      </c>
      <c r="R137">
        <f t="shared" ref="R137" si="662">R138+Q137</f>
        <v>5752387.1139051691</v>
      </c>
      <c r="S137">
        <f t="shared" ref="S137" si="663">R137/100000</f>
        <v>57.523871139051693</v>
      </c>
      <c r="T137">
        <f t="shared" ref="T137" si="664">S137/1000</f>
        <v>5.7523871139051691E-2</v>
      </c>
    </row>
    <row r="138" spans="1:20" x14ac:dyDescent="0.25">
      <c r="A138" s="5">
        <v>44455</v>
      </c>
      <c r="B138">
        <v>269.39999999999998</v>
      </c>
      <c r="C138">
        <v>273.3</v>
      </c>
      <c r="D138">
        <v>259.60000000000002</v>
      </c>
      <c r="E138">
        <v>264</v>
      </c>
      <c r="F138">
        <v>102061.36199999999</v>
      </c>
      <c r="G138">
        <v>264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-0.35766423357664512</v>
      </c>
      <c r="Q138">
        <f t="shared" ref="Q138" si="666">F138*P138</f>
        <v>-36503.698817518532</v>
      </c>
      <c r="R138">
        <f t="shared" ref="R138" si="667">R139+Q138</f>
        <v>5747002.6731644282</v>
      </c>
      <c r="S138">
        <f t="shared" ref="S138" si="668">R138/100000</f>
        <v>57.470026731644282</v>
      </c>
      <c r="T138">
        <f t="shared" ref="T138" si="669">S138/1000</f>
        <v>5.747002673164428E-2</v>
      </c>
    </row>
    <row r="139" spans="1:20" x14ac:dyDescent="0.25">
      <c r="A139" s="5">
        <v>44454</v>
      </c>
      <c r="B139">
        <v>269.10000000000002</v>
      </c>
      <c r="C139">
        <v>275</v>
      </c>
      <c r="D139">
        <v>265.3</v>
      </c>
      <c r="E139">
        <v>269.3</v>
      </c>
      <c r="F139">
        <v>100897.726</v>
      </c>
      <c r="G139">
        <v>269.3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-0.17525773195876193</v>
      </c>
      <c r="Q139">
        <f t="shared" ref="Q139" si="671">F139*P139</f>
        <v>-17683.106618556605</v>
      </c>
      <c r="R139">
        <f t="shared" ref="R139" si="672">R140+Q139</f>
        <v>5783506.3719819468</v>
      </c>
      <c r="S139">
        <f t="shared" ref="S139" si="673">R139/100000</f>
        <v>57.835063719819466</v>
      </c>
      <c r="T139">
        <f t="shared" ref="T139" si="674">S139/1000</f>
        <v>5.7835063719819467E-2</v>
      </c>
    </row>
    <row r="140" spans="1:20" x14ac:dyDescent="0.25">
      <c r="A140" s="5">
        <v>44453</v>
      </c>
      <c r="B140">
        <v>263.39999999999998</v>
      </c>
      <c r="C140">
        <v>275.5</v>
      </c>
      <c r="D140">
        <v>255.8</v>
      </c>
      <c r="E140">
        <v>269.10000000000002</v>
      </c>
      <c r="F140">
        <v>177878.85800000001</v>
      </c>
      <c r="G140">
        <v>269.10000000000002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0.35025380710660092</v>
      </c>
      <c r="Q140">
        <f t="shared" ref="Q140" si="676">F140*P140</f>
        <v>62302.74721827446</v>
      </c>
      <c r="R140">
        <f t="shared" ref="R140" si="677">R141+Q140</f>
        <v>5801189.4786005029</v>
      </c>
      <c r="S140">
        <f t="shared" ref="S140" si="678">R140/100000</f>
        <v>58.01189478600503</v>
      </c>
      <c r="T140">
        <f t="shared" ref="T140" si="679">S140/1000</f>
        <v>5.8011894786005033E-2</v>
      </c>
    </row>
    <row r="141" spans="1:20" x14ac:dyDescent="0.25">
      <c r="A141" s="5">
        <v>44452</v>
      </c>
      <c r="B141">
        <v>256.3</v>
      </c>
      <c r="C141">
        <v>270.7</v>
      </c>
      <c r="D141">
        <v>241.1</v>
      </c>
      <c r="E141">
        <v>263.3</v>
      </c>
      <c r="F141">
        <v>228138.796</v>
      </c>
      <c r="G141">
        <v>263.3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0.50000000000000144</v>
      </c>
      <c r="Q141">
        <f t="shared" ref="Q141" si="681">F141*P141</f>
        <v>114069.39800000034</v>
      </c>
      <c r="R141">
        <f t="shared" ref="R141" si="682">R142+Q141</f>
        <v>5738886.7313822284</v>
      </c>
      <c r="S141">
        <f t="shared" ref="S141" si="683">R141/100000</f>
        <v>57.388867313822281</v>
      </c>
      <c r="T141">
        <f t="shared" ref="T141" si="684">S141/1000</f>
        <v>5.7388867313822284E-2</v>
      </c>
    </row>
    <row r="142" spans="1:20" x14ac:dyDescent="0.25">
      <c r="A142" s="5">
        <v>44451</v>
      </c>
      <c r="B142">
        <v>249.8</v>
      </c>
      <c r="C142">
        <v>258.5</v>
      </c>
      <c r="D142">
        <v>246.2</v>
      </c>
      <c r="E142">
        <v>256.2</v>
      </c>
      <c r="F142">
        <v>88817.467999999993</v>
      </c>
      <c r="G142">
        <v>256.2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0.62601626016260015</v>
      </c>
      <c r="Q142">
        <f t="shared" ref="Q142" si="686">F142*P142</f>
        <v>55601.179154471407</v>
      </c>
      <c r="R142">
        <f t="shared" ref="R142" si="687">R143+Q142</f>
        <v>5624817.3333822284</v>
      </c>
      <c r="S142">
        <f t="shared" ref="S142" si="688">R142/100000</f>
        <v>56.248173333822287</v>
      </c>
      <c r="T142">
        <f t="shared" ref="T142" si="689">S142/1000</f>
        <v>5.6248173333822288E-2</v>
      </c>
    </row>
    <row r="143" spans="1:20" x14ac:dyDescent="0.25">
      <c r="A143" s="5">
        <v>44450</v>
      </c>
      <c r="B143">
        <v>249.2</v>
      </c>
      <c r="C143">
        <v>258.8</v>
      </c>
      <c r="D143">
        <v>247.2</v>
      </c>
      <c r="E143">
        <v>249.8</v>
      </c>
      <c r="F143">
        <v>80660.835000000006</v>
      </c>
      <c r="G143">
        <v>249.8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-0.55172413793103148</v>
      </c>
      <c r="Q143">
        <f t="shared" ref="Q143" si="691">F143*P143</f>
        <v>-44502.529655172177</v>
      </c>
      <c r="R143">
        <f t="shared" ref="R143" si="692">R144+Q143</f>
        <v>5569216.1542277569</v>
      </c>
      <c r="S143">
        <f t="shared" ref="S143" si="693">R143/100000</f>
        <v>55.692161542277567</v>
      </c>
      <c r="T143">
        <f t="shared" ref="T143" si="694">S143/1000</f>
        <v>5.5692161542277567E-2</v>
      </c>
    </row>
    <row r="144" spans="1:20" x14ac:dyDescent="0.25">
      <c r="A144" s="5">
        <v>44449</v>
      </c>
      <c r="B144">
        <v>261.7</v>
      </c>
      <c r="C144">
        <v>268.3</v>
      </c>
      <c r="D144">
        <v>244.2</v>
      </c>
      <c r="E144">
        <v>249.2</v>
      </c>
      <c r="F144">
        <v>113032.06</v>
      </c>
      <c r="G144">
        <v>249.2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-0.58506224066390078</v>
      </c>
      <c r="Q144">
        <f t="shared" ref="Q144" si="696">F144*P144</f>
        <v>-66130.790290456469</v>
      </c>
      <c r="R144">
        <f t="shared" ref="R144" si="697">R145+Q144</f>
        <v>5613718.6838829294</v>
      </c>
      <c r="S144">
        <f t="shared" ref="S144" si="698">R144/100000</f>
        <v>56.137186838829294</v>
      </c>
      <c r="T144">
        <f t="shared" ref="T144" si="699">S144/1000</f>
        <v>5.6137186838829296E-2</v>
      </c>
    </row>
    <row r="145" spans="1:20" x14ac:dyDescent="0.25">
      <c r="A145" s="5">
        <v>44448</v>
      </c>
      <c r="B145">
        <v>257.2</v>
      </c>
      <c r="C145">
        <v>267</v>
      </c>
      <c r="D145">
        <v>253.5</v>
      </c>
      <c r="E145">
        <v>261.8</v>
      </c>
      <c r="F145">
        <v>137862.402</v>
      </c>
      <c r="G145">
        <v>261.8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0.22962962962963132</v>
      </c>
      <c r="Q145">
        <f t="shared" ref="Q145" si="701">F145*P145</f>
        <v>31657.292311111345</v>
      </c>
      <c r="R145">
        <f t="shared" ref="R145" si="702">R146+Q145</f>
        <v>5679849.4741733856</v>
      </c>
      <c r="S145">
        <f t="shared" ref="S145" si="703">R145/100000</f>
        <v>56.798494741733855</v>
      </c>
      <c r="T145">
        <f t="shared" ref="T145" si="704">S145/1000</f>
        <v>5.6798494741733853E-2</v>
      </c>
    </row>
    <row r="146" spans="1:20" x14ac:dyDescent="0.25">
      <c r="A146" s="5">
        <v>44447</v>
      </c>
      <c r="B146">
        <v>263.3</v>
      </c>
      <c r="C146">
        <v>271.10000000000002</v>
      </c>
      <c r="D146">
        <v>245</v>
      </c>
      <c r="E146">
        <v>257.10000000000002</v>
      </c>
      <c r="F146">
        <v>176421.283</v>
      </c>
      <c r="G146">
        <v>257.10000000000002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-7.2796934865899443E-2</v>
      </c>
      <c r="Q146">
        <f t="shared" ref="Q146" si="706">F146*P146</f>
        <v>-12842.928647509412</v>
      </c>
      <c r="R146">
        <f t="shared" ref="R146" si="707">R147+Q146</f>
        <v>5648192.1818622742</v>
      </c>
      <c r="S146">
        <f t="shared" ref="S146" si="708">R146/100000</f>
        <v>56.481921818622745</v>
      </c>
      <c r="T146">
        <f t="shared" ref="T146" si="709">S146/1000</f>
        <v>5.6481921818622743E-2</v>
      </c>
    </row>
    <row r="147" spans="1:20" x14ac:dyDescent="0.25">
      <c r="A147" s="5">
        <v>44446</v>
      </c>
      <c r="B147">
        <v>314.8</v>
      </c>
      <c r="C147">
        <v>316.3</v>
      </c>
      <c r="D147">
        <v>232</v>
      </c>
      <c r="E147">
        <v>263.2</v>
      </c>
      <c r="F147">
        <v>255180.90384000001</v>
      </c>
      <c r="G147">
        <v>263.2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-0.25978647686832779</v>
      </c>
      <c r="Q147">
        <f t="shared" ref="Q147" si="711">F147*P147</f>
        <v>-66292.547972669141</v>
      </c>
      <c r="R147">
        <f t="shared" ref="R147" si="712">R148+Q147</f>
        <v>5661035.110509784</v>
      </c>
      <c r="S147">
        <f t="shared" ref="S147" si="713">R147/100000</f>
        <v>56.610351105097841</v>
      </c>
      <c r="T147">
        <f t="shared" ref="T147" si="714">S147/1000</f>
        <v>5.6610351105097843E-2</v>
      </c>
    </row>
    <row r="148" spans="1:20" x14ac:dyDescent="0.25">
      <c r="A148" s="5">
        <v>44445</v>
      </c>
      <c r="B148">
        <v>315.39999999999998</v>
      </c>
      <c r="C148">
        <v>321.7</v>
      </c>
      <c r="D148">
        <v>300.3</v>
      </c>
      <c r="E148">
        <v>314.8</v>
      </c>
      <c r="F148">
        <v>116946.45259</v>
      </c>
      <c r="G148">
        <v>314.8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0.35514018691588928</v>
      </c>
      <c r="Q148">
        <f t="shared" ref="Q148" si="716">F148*P148</f>
        <v>41532.385031962782</v>
      </c>
      <c r="R148">
        <f t="shared" ref="R148" si="717">R149+Q148</f>
        <v>5727327.6584824529</v>
      </c>
      <c r="S148">
        <f t="shared" ref="S148" si="718">R148/100000</f>
        <v>57.273276584824529</v>
      </c>
      <c r="T148">
        <f t="shared" ref="T148" si="719">S148/1000</f>
        <v>5.7273276584824527E-2</v>
      </c>
    </row>
    <row r="149" spans="1:20" x14ac:dyDescent="0.25">
      <c r="A149" s="5">
        <v>44444</v>
      </c>
      <c r="B149">
        <v>305.2</v>
      </c>
      <c r="C149">
        <v>319.60000000000002</v>
      </c>
      <c r="D149">
        <v>299.60000000000002</v>
      </c>
      <c r="E149">
        <v>315.39999999999998</v>
      </c>
      <c r="F149">
        <v>104246.54624</v>
      </c>
      <c r="G149">
        <v>315.39999999999998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0.57999999999999541</v>
      </c>
      <c r="Q149">
        <f t="shared" ref="Q149" si="721">F149*P149</f>
        <v>60462.996819199521</v>
      </c>
      <c r="R149">
        <f t="shared" ref="R149" si="722">R150+Q149</f>
        <v>5685795.2734504901</v>
      </c>
      <c r="S149">
        <f t="shared" ref="S149" si="723">R149/100000</f>
        <v>56.857952734504899</v>
      </c>
      <c r="T149">
        <f t="shared" ref="T149" si="724">S149/1000</f>
        <v>5.6857952734504898E-2</v>
      </c>
    </row>
    <row r="150" spans="1:20" x14ac:dyDescent="0.25">
      <c r="A150" s="5">
        <v>44443</v>
      </c>
      <c r="B150">
        <v>304.2</v>
      </c>
      <c r="C150">
        <v>311.39999999999998</v>
      </c>
      <c r="D150">
        <v>298.5</v>
      </c>
      <c r="E150">
        <v>305.10000000000002</v>
      </c>
      <c r="F150">
        <v>69896.160999999993</v>
      </c>
      <c r="G150">
        <v>305.10000000000002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2.3255813953493701E-2</v>
      </c>
      <c r="Q150">
        <f t="shared" ref="Q150" si="726">F150*P150</f>
        <v>1625.4921162794421</v>
      </c>
      <c r="R150">
        <f t="shared" ref="R150" si="727">R151+Q150</f>
        <v>5625332.276631291</v>
      </c>
      <c r="S150">
        <f t="shared" ref="S150" si="728">R150/100000</f>
        <v>56.253322766312913</v>
      </c>
      <c r="T150">
        <f t="shared" ref="T150" si="729">S150/1000</f>
        <v>5.625332276631291E-2</v>
      </c>
    </row>
    <row r="151" spans="1:20" x14ac:dyDescent="0.25">
      <c r="A151" s="5">
        <v>44442</v>
      </c>
      <c r="B151">
        <v>302.5</v>
      </c>
      <c r="C151">
        <v>309.7</v>
      </c>
      <c r="D151">
        <v>296.60000000000002</v>
      </c>
      <c r="E151">
        <v>304.10000000000002</v>
      </c>
      <c r="F151">
        <v>84262.601999999999</v>
      </c>
      <c r="G151">
        <v>304.10000000000002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0.14503816793893429</v>
      </c>
      <c r="Q151">
        <f t="shared" ref="Q151" si="731">F151*P151</f>
        <v>12221.29341984758</v>
      </c>
      <c r="R151">
        <f t="shared" ref="R151" si="732">R152+Q151</f>
        <v>5623706.7845150111</v>
      </c>
      <c r="S151">
        <f t="shared" ref="S151" si="733">R151/100000</f>
        <v>56.237067845150108</v>
      </c>
      <c r="T151">
        <f t="shared" ref="T151" si="734">S151/1000</f>
        <v>5.6237067845150104E-2</v>
      </c>
    </row>
    <row r="152" spans="1:20" x14ac:dyDescent="0.25">
      <c r="A152" s="5">
        <v>44441</v>
      </c>
      <c r="B152">
        <v>302.8</v>
      </c>
      <c r="C152">
        <v>309.5</v>
      </c>
      <c r="D152">
        <v>297.5</v>
      </c>
      <c r="E152">
        <v>302.5</v>
      </c>
      <c r="F152">
        <v>92049.362999999998</v>
      </c>
      <c r="G152">
        <v>302.5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-0.16666666666666666</v>
      </c>
      <c r="Q152">
        <f t="shared" ref="Q152" si="736">F152*P152</f>
        <v>-15341.5605</v>
      </c>
      <c r="R152">
        <f t="shared" ref="R152" si="737">R153+Q152</f>
        <v>5611485.4910951639</v>
      </c>
      <c r="S152">
        <f t="shared" ref="S152" si="738">R152/100000</f>
        <v>56.114854910951635</v>
      </c>
      <c r="T152">
        <f t="shared" ref="T152" si="739">S152/1000</f>
        <v>5.6114854910951632E-2</v>
      </c>
    </row>
    <row r="153" spans="1:20" x14ac:dyDescent="0.25">
      <c r="A153" s="5">
        <v>44440</v>
      </c>
      <c r="B153">
        <v>285.8</v>
      </c>
      <c r="C153">
        <v>303.60000000000002</v>
      </c>
      <c r="D153">
        <v>280</v>
      </c>
      <c r="E153">
        <v>302.89999999999998</v>
      </c>
      <c r="F153">
        <v>103799.747</v>
      </c>
      <c r="G153">
        <v>302.89999999999998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0.94067796610169108</v>
      </c>
      <c r="Q153">
        <f t="shared" ref="Q153" si="741">F153*P153</f>
        <v>97642.134889830108</v>
      </c>
      <c r="R153">
        <f t="shared" ref="R153" si="742">R154+Q153</f>
        <v>5626827.0515951635</v>
      </c>
      <c r="S153">
        <f t="shared" ref="S153" si="743">R153/100000</f>
        <v>56.268270515951635</v>
      </c>
      <c r="T153">
        <f t="shared" ref="T153" si="744">S153/1000</f>
        <v>5.6268270515951638E-2</v>
      </c>
    </row>
    <row r="154" spans="1:20" x14ac:dyDescent="0.25">
      <c r="A154" s="5">
        <v>44439</v>
      </c>
      <c r="B154">
        <v>281.89999999999998</v>
      </c>
      <c r="C154">
        <v>292.7</v>
      </c>
      <c r="D154">
        <v>279.2</v>
      </c>
      <c r="E154">
        <v>285.8</v>
      </c>
      <c r="F154">
        <v>86153.62113</v>
      </c>
      <c r="G154">
        <v>285.8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-2.2222222222218854E-2</v>
      </c>
      <c r="Q154">
        <f t="shared" ref="Q154" si="746">F154*P154</f>
        <v>-1914.5249139997097</v>
      </c>
      <c r="R154">
        <f t="shared" ref="R154" si="747">R155+Q154</f>
        <v>5529184.9167053336</v>
      </c>
      <c r="S154">
        <f t="shared" ref="S154" si="748">R154/100000</f>
        <v>55.291849167053336</v>
      </c>
      <c r="T154">
        <f t="shared" ref="T154" si="749">S154/1000</f>
        <v>5.5291849167053334E-2</v>
      </c>
    </row>
    <row r="155" spans="1:20" x14ac:dyDescent="0.25">
      <c r="A155" s="5">
        <v>44438</v>
      </c>
      <c r="B155">
        <v>291.39999999999998</v>
      </c>
      <c r="C155">
        <v>295.10000000000002</v>
      </c>
      <c r="D155">
        <v>280.10000000000002</v>
      </c>
      <c r="E155">
        <v>281.8</v>
      </c>
      <c r="F155">
        <v>104991.53114000001</v>
      </c>
      <c r="G155">
        <v>281.8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-0.77333333333333487</v>
      </c>
      <c r="Q155">
        <f t="shared" ref="Q155" si="751">F155*P155</f>
        <v>-81193.450748266827</v>
      </c>
      <c r="R155">
        <f t="shared" ref="R155" si="752">R156+Q155</f>
        <v>5531099.4416193329</v>
      </c>
      <c r="S155">
        <f t="shared" ref="S155" si="753">R155/100000</f>
        <v>55.310994416193331</v>
      </c>
      <c r="T155">
        <f t="shared" ref="T155" si="754">S155/1000</f>
        <v>5.5310994416193332E-2</v>
      </c>
    </row>
    <row r="156" spans="1:20" x14ac:dyDescent="0.25">
      <c r="A156" s="5">
        <v>44437</v>
      </c>
      <c r="B156">
        <v>300.60000000000002</v>
      </c>
      <c r="C156">
        <v>306.8</v>
      </c>
      <c r="D156">
        <v>287.10000000000002</v>
      </c>
      <c r="E156">
        <v>291.39999999999998</v>
      </c>
      <c r="F156">
        <v>90748.115000000005</v>
      </c>
      <c r="G156">
        <v>291.39999999999998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-0.56345177664975055</v>
      </c>
      <c r="Q156">
        <f t="shared" ref="Q156" si="756">F156*P156</f>
        <v>-51132.186624365881</v>
      </c>
      <c r="R156">
        <f t="shared" ref="R156" si="757">R157+Q156</f>
        <v>5612292.8923675995</v>
      </c>
      <c r="S156">
        <f t="shared" ref="S156" si="758">R156/100000</f>
        <v>56.122928923675993</v>
      </c>
      <c r="T156">
        <f t="shared" ref="T156" si="759">S156/1000</f>
        <v>5.6122928923675992E-2</v>
      </c>
    </row>
    <row r="157" spans="1:20" x14ac:dyDescent="0.25">
      <c r="A157" s="5">
        <v>44436</v>
      </c>
      <c r="B157">
        <v>314.8</v>
      </c>
      <c r="C157">
        <v>316.60000000000002</v>
      </c>
      <c r="D157">
        <v>298.2</v>
      </c>
      <c r="E157">
        <v>300.5</v>
      </c>
      <c r="F157">
        <v>65929.269</v>
      </c>
      <c r="G157">
        <v>300.5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-0.74999999999999922</v>
      </c>
      <c r="Q157">
        <f t="shared" ref="Q157" si="761">F157*P157</f>
        <v>-49446.951749999949</v>
      </c>
      <c r="R157">
        <f t="shared" ref="R157" si="762">R158+Q157</f>
        <v>5663425.0789919654</v>
      </c>
      <c r="S157">
        <f t="shared" ref="S157" si="763">R157/100000</f>
        <v>56.634250789919655</v>
      </c>
      <c r="T157">
        <f t="shared" ref="T157" si="764">S157/1000</f>
        <v>5.6634250789919655E-2</v>
      </c>
    </row>
    <row r="158" spans="1:20" x14ac:dyDescent="0.25">
      <c r="A158" s="5">
        <v>44435</v>
      </c>
      <c r="B158">
        <v>291.39999999999998</v>
      </c>
      <c r="C158">
        <v>316.7</v>
      </c>
      <c r="D158">
        <v>285.7</v>
      </c>
      <c r="E158">
        <v>315</v>
      </c>
      <c r="F158">
        <v>93122.319789999994</v>
      </c>
      <c r="G158">
        <v>315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0.89032258064516201</v>
      </c>
      <c r="Q158">
        <f t="shared" ref="Q158" si="766">F158*P158</f>
        <v>82908.90407109684</v>
      </c>
      <c r="R158">
        <f t="shared" ref="R158" si="767">R159+Q158</f>
        <v>5712872.0307419654</v>
      </c>
      <c r="S158">
        <f t="shared" ref="S158" si="768">R158/100000</f>
        <v>57.128720307419655</v>
      </c>
      <c r="T158">
        <f t="shared" ref="T158" si="769">S158/1000</f>
        <v>5.7128720307419653E-2</v>
      </c>
    </row>
    <row r="159" spans="1:20" x14ac:dyDescent="0.25">
      <c r="A159" s="5">
        <v>44434</v>
      </c>
      <c r="B159">
        <v>314.20999999999998</v>
      </c>
      <c r="C159">
        <v>317.75</v>
      </c>
      <c r="D159">
        <v>286.10000000000002</v>
      </c>
      <c r="E159">
        <v>291.39999999999998</v>
      </c>
      <c r="F159">
        <v>115659.10583</v>
      </c>
      <c r="G159">
        <v>291.39999999999998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-0.66508688783570569</v>
      </c>
      <c r="Q159">
        <f t="shared" ref="Q159" si="771">F159*P159</f>
        <v>-76923.35474633523</v>
      </c>
      <c r="R159">
        <f t="shared" ref="R159" si="772">R160+Q159</f>
        <v>5629963.1266708681</v>
      </c>
      <c r="S159">
        <f t="shared" ref="S159" si="773">R159/100000</f>
        <v>56.29963126670868</v>
      </c>
      <c r="T159">
        <f t="shared" ref="T159" si="774">S159/1000</f>
        <v>5.6299631266708679E-2</v>
      </c>
    </row>
    <row r="160" spans="1:20" x14ac:dyDescent="0.25">
      <c r="A160" s="5">
        <v>44433</v>
      </c>
      <c r="B160">
        <v>307.33</v>
      </c>
      <c r="C160">
        <v>325.14</v>
      </c>
      <c r="D160">
        <v>297.45</v>
      </c>
      <c r="E160">
        <v>314.29000000000002</v>
      </c>
      <c r="F160">
        <v>144898.54459999999</v>
      </c>
      <c r="G160">
        <v>314.29000000000002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0.21632358252076803</v>
      </c>
      <c r="Q160">
        <f t="shared" ref="Q160" si="776">F160*P160</f>
        <v>31344.972269917285</v>
      </c>
      <c r="R160">
        <f t="shared" ref="R160" si="777">R161+Q160</f>
        <v>5706886.4814172033</v>
      </c>
      <c r="S160">
        <f t="shared" ref="S160" si="778">R160/100000</f>
        <v>57.068864814172031</v>
      </c>
      <c r="T160">
        <f t="shared" ref="T160" si="779">S160/1000</f>
        <v>5.7068864814172032E-2</v>
      </c>
    </row>
    <row r="161" spans="1:20" x14ac:dyDescent="0.25">
      <c r="A161" s="5">
        <v>44432</v>
      </c>
      <c r="B161">
        <v>318.05</v>
      </c>
      <c r="C161">
        <v>339.72</v>
      </c>
      <c r="D161">
        <v>302.67</v>
      </c>
      <c r="E161">
        <v>307.33</v>
      </c>
      <c r="F161">
        <v>184572.94433999999</v>
      </c>
      <c r="G161">
        <v>307.33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-0.74844804318488711</v>
      </c>
      <c r="Q161">
        <f t="shared" ref="Q161" si="781">F161*P161</f>
        <v>-138143.25901614607</v>
      </c>
      <c r="R161">
        <f t="shared" ref="R161" si="782">R162+Q161</f>
        <v>5675541.5091472864</v>
      </c>
      <c r="S161">
        <f t="shared" ref="S161" si="783">R161/100000</f>
        <v>56.755415091472862</v>
      </c>
      <c r="T161">
        <f t="shared" ref="T161" si="784">S161/1000</f>
        <v>5.6755415091472861E-2</v>
      </c>
    </row>
    <row r="162" spans="1:20" x14ac:dyDescent="0.25">
      <c r="A162" s="5">
        <v>44431</v>
      </c>
      <c r="B162">
        <v>306.3</v>
      </c>
      <c r="C162">
        <v>334.41</v>
      </c>
      <c r="D162">
        <v>301.81</v>
      </c>
      <c r="E162">
        <v>318.17</v>
      </c>
      <c r="F162">
        <v>174067.87106</v>
      </c>
      <c r="G162">
        <v>318.17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3.6809815950921616E-3</v>
      </c>
      <c r="Q162">
        <f t="shared" ref="Q162" si="786">F162*P162</f>
        <v>640.74062966873555</v>
      </c>
      <c r="R162">
        <f t="shared" ref="R162" si="787">R163+Q162</f>
        <v>5813684.7681634324</v>
      </c>
      <c r="S162">
        <f t="shared" ref="S162" si="788">R162/100000</f>
        <v>58.136847681634322</v>
      </c>
      <c r="T162">
        <f t="shared" ref="T162" si="789">S162/1000</f>
        <v>5.8136847681634324E-2</v>
      </c>
    </row>
    <row r="163" spans="1:20" x14ac:dyDescent="0.25">
      <c r="A163" s="5">
        <v>44430</v>
      </c>
      <c r="B163">
        <v>287.95999999999998</v>
      </c>
      <c r="C163">
        <v>293.08</v>
      </c>
      <c r="D163">
        <v>285.39</v>
      </c>
      <c r="E163">
        <v>289.29000000000002</v>
      </c>
      <c r="F163">
        <v>21361.277010000002</v>
      </c>
      <c r="G163">
        <v>289.29000000000002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1.4304291287395385E-2</v>
      </c>
      <c r="Q163">
        <f t="shared" ref="Q163" si="791">F163*P163</f>
        <v>305.55792862178237</v>
      </c>
      <c r="R163">
        <f t="shared" ref="R163" si="792">R164+Q163</f>
        <v>5813044.027533764</v>
      </c>
      <c r="S163">
        <f t="shared" ref="S163" si="793">R163/100000</f>
        <v>58.130440275337641</v>
      </c>
      <c r="T163">
        <f t="shared" ref="T163" si="794">S163/1000</f>
        <v>5.813044027533764E-2</v>
      </c>
    </row>
    <row r="164" spans="1:20" x14ac:dyDescent="0.25">
      <c r="A164" s="5">
        <v>44429</v>
      </c>
      <c r="B164">
        <v>282.06</v>
      </c>
      <c r="C164">
        <v>293.42</v>
      </c>
      <c r="D164">
        <v>272.5</v>
      </c>
      <c r="E164">
        <v>287.98</v>
      </c>
      <c r="F164">
        <v>128307.88338</v>
      </c>
      <c r="G164">
        <v>287.98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0.47992351816443657</v>
      </c>
      <c r="Q164">
        <f t="shared" ref="Q164" si="796">F164*P164</f>
        <v>61577.97079996184</v>
      </c>
      <c r="R164">
        <f t="shared" ref="R164" si="797">R165+Q164</f>
        <v>5812738.4696051423</v>
      </c>
      <c r="S164">
        <f t="shared" ref="S164" si="798">R164/100000</f>
        <v>58.127384696051422</v>
      </c>
      <c r="T164">
        <f t="shared" ref="T164" si="799">S164/1000</f>
        <v>5.8127384696051422E-2</v>
      </c>
    </row>
    <row r="165" spans="1:20" x14ac:dyDescent="0.25">
      <c r="A165" s="5">
        <v>44428</v>
      </c>
      <c r="B165">
        <v>264.18</v>
      </c>
      <c r="C165">
        <v>283.29000000000002</v>
      </c>
      <c r="D165">
        <v>262</v>
      </c>
      <c r="E165">
        <v>282.06</v>
      </c>
      <c r="F165">
        <v>132069.25513999999</v>
      </c>
      <c r="G165">
        <v>282.06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0.8844527947393126</v>
      </c>
      <c r="Q165">
        <f t="shared" ref="Q165" si="801">F165*P165</f>
        <v>116809.02180771231</v>
      </c>
      <c r="R165">
        <f t="shared" ref="R165" si="802">R166+Q165</f>
        <v>5751160.4988051802</v>
      </c>
      <c r="S165">
        <f t="shared" ref="S165" si="803">R165/100000</f>
        <v>57.511604988051801</v>
      </c>
      <c r="T165">
        <f t="shared" ref="T165" si="804">S165/1000</f>
        <v>5.7511604988051801E-2</v>
      </c>
    </row>
    <row r="166" spans="1:20" x14ac:dyDescent="0.25">
      <c r="A166" s="5">
        <v>44427</v>
      </c>
      <c r="B166">
        <v>252.56</v>
      </c>
      <c r="C166">
        <v>264.36</v>
      </c>
      <c r="D166">
        <v>247.02</v>
      </c>
      <c r="E166">
        <v>264.19</v>
      </c>
      <c r="F166">
        <v>84771.385259999995</v>
      </c>
      <c r="G166">
        <v>264.19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0.98039215686274328</v>
      </c>
      <c r="Q166">
        <f t="shared" ref="Q166" si="806">F166*P166</f>
        <v>83109.201235293964</v>
      </c>
      <c r="R166">
        <f t="shared" ref="R166" si="807">R167+Q166</f>
        <v>5634351.4769974677</v>
      </c>
      <c r="S166">
        <f t="shared" ref="S166" si="808">R166/100000</f>
        <v>56.343514769974675</v>
      </c>
      <c r="T166">
        <f t="shared" ref="T166" si="809">S166/1000</f>
        <v>5.6343514769974672E-2</v>
      </c>
    </row>
    <row r="167" spans="1:20" x14ac:dyDescent="0.25">
      <c r="A167" s="5">
        <v>44426</v>
      </c>
      <c r="B167">
        <v>256.39999999999998</v>
      </c>
      <c r="C167">
        <v>262.07</v>
      </c>
      <c r="D167">
        <v>245.66</v>
      </c>
      <c r="E167">
        <v>252.51</v>
      </c>
      <c r="F167">
        <v>104687.31298</v>
      </c>
      <c r="G167">
        <v>252.51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-0.16514320536258431</v>
      </c>
      <c r="Q167">
        <f t="shared" ref="Q167" si="811">F167*P167</f>
        <v>-17288.398426313277</v>
      </c>
      <c r="R167">
        <f t="shared" ref="R167" si="812">R168+Q167</f>
        <v>5551242.2757621733</v>
      </c>
      <c r="S167">
        <f t="shared" ref="S167" si="813">R167/100000</f>
        <v>55.512422757621735</v>
      </c>
      <c r="T167">
        <f t="shared" ref="T167" si="814">S167/1000</f>
        <v>5.5512422757621735E-2</v>
      </c>
    </row>
    <row r="168" spans="1:20" x14ac:dyDescent="0.25">
      <c r="A168" s="5">
        <v>44425</v>
      </c>
      <c r="B168">
        <v>266.64999999999998</v>
      </c>
      <c r="C168">
        <v>278.06</v>
      </c>
      <c r="D168">
        <v>255.31</v>
      </c>
      <c r="E168">
        <v>256.23</v>
      </c>
      <c r="F168">
        <v>94669.407810000004</v>
      </c>
      <c r="G168">
        <v>256.23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-0.9191208791208777</v>
      </c>
      <c r="Q168">
        <f t="shared" ref="Q168" si="816">F168*P168</f>
        <v>-87012.629332180091</v>
      </c>
      <c r="R168">
        <f t="shared" ref="R168" si="817">R169+Q168</f>
        <v>5568530.6741884863</v>
      </c>
      <c r="S168">
        <f t="shared" ref="S168" si="818">R168/100000</f>
        <v>55.685306741884865</v>
      </c>
      <c r="T168">
        <f t="shared" ref="T168" si="819">S168/1000</f>
        <v>5.5685306741884863E-2</v>
      </c>
    </row>
    <row r="169" spans="1:20" x14ac:dyDescent="0.25">
      <c r="A169" s="5">
        <v>44424</v>
      </c>
      <c r="B169">
        <v>271.8</v>
      </c>
      <c r="C169">
        <v>285</v>
      </c>
      <c r="D169">
        <v>266.11</v>
      </c>
      <c r="E169">
        <v>266.5</v>
      </c>
      <c r="F169">
        <v>110111.97887000001</v>
      </c>
      <c r="G169">
        <v>266.5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-0.95870831127580869</v>
      </c>
      <c r="Q169">
        <f t="shared" ref="Q169" si="821">F169*P169</f>
        <v>-105565.26931369523</v>
      </c>
      <c r="R169">
        <f t="shared" ref="R169" si="822">R170+Q169</f>
        <v>5655543.3035206664</v>
      </c>
      <c r="S169">
        <f t="shared" ref="S169" si="823">R169/100000</f>
        <v>56.555433035206661</v>
      </c>
      <c r="T169">
        <f t="shared" ref="T169" si="824">S169/1000</f>
        <v>5.6555433035206659E-2</v>
      </c>
    </row>
    <row r="170" spans="1:20" x14ac:dyDescent="0.25">
      <c r="A170" s="5">
        <v>44423</v>
      </c>
      <c r="B170">
        <v>271.52999999999997</v>
      </c>
      <c r="C170">
        <v>275</v>
      </c>
      <c r="D170">
        <v>261.52</v>
      </c>
      <c r="E170">
        <v>271.86</v>
      </c>
      <c r="F170">
        <v>85488.445829999997</v>
      </c>
      <c r="G170">
        <v>271.86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0.53412462908012137</v>
      </c>
      <c r="Q170">
        <f t="shared" ref="Q170" si="826">F170*P170</f>
        <v>45661.484419584798</v>
      </c>
      <c r="R170">
        <f t="shared" ref="R170" si="827">R171+Q170</f>
        <v>5761108.5728343613</v>
      </c>
      <c r="S170">
        <f t="shared" ref="S170" si="828">R170/100000</f>
        <v>57.61108572834361</v>
      </c>
      <c r="T170">
        <f t="shared" ref="T170" si="829">S170/1000</f>
        <v>5.7611085728343607E-2</v>
      </c>
    </row>
    <row r="171" spans="1:20" x14ac:dyDescent="0.25">
      <c r="A171" s="5">
        <v>44422</v>
      </c>
      <c r="B171">
        <v>273</v>
      </c>
      <c r="C171">
        <v>279.39</v>
      </c>
      <c r="D171">
        <v>264.69</v>
      </c>
      <c r="E171">
        <v>271.60000000000002</v>
      </c>
      <c r="F171">
        <v>84299.865730000005</v>
      </c>
      <c r="G171">
        <v>271.60000000000002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-5.9863945578227162E-2</v>
      </c>
      <c r="Q171">
        <f t="shared" ref="Q171" si="831">F171*P171</f>
        <v>-5046.5225743125775</v>
      </c>
      <c r="R171">
        <f t="shared" ref="R171" si="832">R172+Q171</f>
        <v>5715447.0884147761</v>
      </c>
      <c r="S171">
        <f t="shared" ref="S171" si="833">R171/100000</f>
        <v>57.154470884147763</v>
      </c>
      <c r="T171">
        <f t="shared" ref="T171" si="834">S171/1000</f>
        <v>5.7154470884147761E-2</v>
      </c>
    </row>
    <row r="172" spans="1:20" x14ac:dyDescent="0.25">
      <c r="A172" s="5">
        <v>44421</v>
      </c>
      <c r="B172">
        <v>257.5</v>
      </c>
      <c r="C172">
        <v>273.45</v>
      </c>
      <c r="D172">
        <v>254.81</v>
      </c>
      <c r="E172">
        <v>272.89</v>
      </c>
      <c r="F172">
        <v>77292.388309999995</v>
      </c>
      <c r="G172">
        <v>272.89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0.93991416309012843</v>
      </c>
      <c r="Q172">
        <f t="shared" ref="Q172" si="836">F172*P172</f>
        <v>72648.210471630868</v>
      </c>
      <c r="R172">
        <f t="shared" ref="R172" si="837">R173+Q172</f>
        <v>5720493.6109890891</v>
      </c>
      <c r="S172">
        <f t="shared" ref="S172" si="838">R172/100000</f>
        <v>57.204936109890895</v>
      </c>
      <c r="T172">
        <f t="shared" ref="T172" si="839">S172/1000</f>
        <v>5.7204936109890893E-2</v>
      </c>
    </row>
    <row r="173" spans="1:20" x14ac:dyDescent="0.25">
      <c r="A173" s="5">
        <v>44420</v>
      </c>
      <c r="B173">
        <v>268.04000000000002</v>
      </c>
      <c r="C173">
        <v>276.62</v>
      </c>
      <c r="D173">
        <v>252.24</v>
      </c>
      <c r="E173">
        <v>257.42</v>
      </c>
      <c r="F173">
        <v>101149.86177</v>
      </c>
      <c r="G173">
        <v>257.42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-0.57506152584085257</v>
      </c>
      <c r="Q173">
        <f t="shared" ref="Q173" si="841">F173*P173</f>
        <v>-58167.393848047519</v>
      </c>
      <c r="R173">
        <f t="shared" ref="R173" si="842">R174+Q173</f>
        <v>5647845.4005174581</v>
      </c>
      <c r="S173">
        <f t="shared" ref="S173" si="843">R173/100000</f>
        <v>56.478454005174584</v>
      </c>
      <c r="T173">
        <f t="shared" ref="T173" si="844">S173/1000</f>
        <v>5.647845400517458E-2</v>
      </c>
    </row>
    <row r="174" spans="1:20" x14ac:dyDescent="0.25">
      <c r="A174" s="5">
        <v>44419</v>
      </c>
      <c r="B174">
        <v>266.51</v>
      </c>
      <c r="C174">
        <v>279.38</v>
      </c>
      <c r="D174">
        <v>265.72000000000003</v>
      </c>
      <c r="E174">
        <v>268.02999999999997</v>
      </c>
      <c r="F174">
        <v>108037.41405000001</v>
      </c>
      <c r="G174">
        <v>268.02999999999997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-0.66178623718887986</v>
      </c>
      <c r="Q174">
        <f t="shared" ref="Q174" si="846">F174*P174</f>
        <v>-71497.673719766521</v>
      </c>
      <c r="R174">
        <f t="shared" ref="R174" si="847">R175+Q174</f>
        <v>5706012.7943655057</v>
      </c>
      <c r="S174">
        <f t="shared" ref="S174" si="848">R174/100000</f>
        <v>57.060127943655054</v>
      </c>
      <c r="T174">
        <f t="shared" ref="T174" si="849">S174/1000</f>
        <v>5.7060127943655052E-2</v>
      </c>
    </row>
    <row r="175" spans="1:20" x14ac:dyDescent="0.25">
      <c r="A175" s="5">
        <v>44418</v>
      </c>
      <c r="B175">
        <v>269.3</v>
      </c>
      <c r="C175">
        <v>271.08</v>
      </c>
      <c r="D175">
        <v>260.14</v>
      </c>
      <c r="E175">
        <v>266.33999999999997</v>
      </c>
      <c r="F175">
        <v>92781.631469999993</v>
      </c>
      <c r="G175">
        <v>266.33999999999997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0.13345521023765813</v>
      </c>
      <c r="Q175">
        <f t="shared" ref="Q175" si="851">F175*P175</f>
        <v>12382.192134021767</v>
      </c>
      <c r="R175">
        <f t="shared" ref="R175" si="852">R176+Q175</f>
        <v>5777510.4680852722</v>
      </c>
      <c r="S175">
        <f t="shared" ref="S175" si="853">R175/100000</f>
        <v>57.775104680852721</v>
      </c>
      <c r="T175">
        <f t="shared" ref="T175" si="854">S175/1000</f>
        <v>5.7775104680852722E-2</v>
      </c>
    </row>
    <row r="176" spans="1:20" x14ac:dyDescent="0.25">
      <c r="A176" s="5">
        <v>44417</v>
      </c>
      <c r="B176">
        <v>257.23</v>
      </c>
      <c r="C176">
        <v>271.99</v>
      </c>
      <c r="D176">
        <v>253.64</v>
      </c>
      <c r="E176">
        <v>269.31</v>
      </c>
      <c r="F176">
        <v>103405.03362</v>
      </c>
      <c r="G176">
        <v>269.31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0.7079019073569478</v>
      </c>
      <c r="Q176">
        <f t="shared" ref="Q176" si="856">F176*P176</f>
        <v>73200.620529907319</v>
      </c>
      <c r="R176">
        <f t="shared" ref="R176" si="857">R177+Q176</f>
        <v>5765128.2759512505</v>
      </c>
      <c r="S176">
        <f t="shared" ref="S176" si="858">R176/100000</f>
        <v>57.651282759512505</v>
      </c>
      <c r="T176">
        <f t="shared" ref="T176" si="859">S176/1000</f>
        <v>5.7651282759512507E-2</v>
      </c>
    </row>
    <row r="177" spans="1:20" x14ac:dyDescent="0.25">
      <c r="A177" s="5">
        <v>44416</v>
      </c>
      <c r="B177">
        <v>271.86</v>
      </c>
      <c r="C177">
        <v>274.79000000000002</v>
      </c>
      <c r="D177">
        <v>256</v>
      </c>
      <c r="E177">
        <v>257.12</v>
      </c>
      <c r="F177">
        <v>121945.94812</v>
      </c>
      <c r="G177">
        <v>257.12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-0.88078765300691819</v>
      </c>
      <c r="Q177">
        <f t="shared" ref="Q177" si="861">F177*P177</f>
        <v>-107408.48543831821</v>
      </c>
      <c r="R177">
        <f t="shared" ref="R177" si="862">R178+Q177</f>
        <v>5691927.6554213427</v>
      </c>
      <c r="S177">
        <f t="shared" ref="S177" si="863">R177/100000</f>
        <v>56.919276554213425</v>
      </c>
      <c r="T177">
        <f t="shared" ref="T177" si="864">S177/1000</f>
        <v>5.6919276554213423E-2</v>
      </c>
    </row>
    <row r="178" spans="1:20" x14ac:dyDescent="0.25">
      <c r="A178" s="5">
        <v>44415</v>
      </c>
      <c r="B178">
        <v>263.18</v>
      </c>
      <c r="C178">
        <v>275.92</v>
      </c>
      <c r="D178">
        <v>258.79000000000002</v>
      </c>
      <c r="E178">
        <v>271.83</v>
      </c>
      <c r="F178">
        <v>107894.54117</v>
      </c>
      <c r="G178">
        <v>271.83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0.52247518972562368</v>
      </c>
      <c r="Q178">
        <f t="shared" ref="Q178" si="866">F178*P178</f>
        <v>56372.220868154865</v>
      </c>
      <c r="R178">
        <f t="shared" ref="R178" si="867">R179+Q178</f>
        <v>5799336.1408596607</v>
      </c>
      <c r="S178">
        <f t="shared" ref="S178" si="868">R178/100000</f>
        <v>57.993361408596606</v>
      </c>
      <c r="T178">
        <f t="shared" ref="T178" si="869">S178/1000</f>
        <v>5.7993361408596608E-2</v>
      </c>
    </row>
    <row r="179" spans="1:20" x14ac:dyDescent="0.25">
      <c r="A179" s="5">
        <v>44414</v>
      </c>
      <c r="B179">
        <v>252.91</v>
      </c>
      <c r="C179">
        <v>267.75</v>
      </c>
      <c r="D179">
        <v>250.51</v>
      </c>
      <c r="E179">
        <v>263.08999999999997</v>
      </c>
      <c r="F179">
        <v>119600.81535999999</v>
      </c>
      <c r="G179">
        <v>263.08999999999997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0.45939675174013661</v>
      </c>
      <c r="Q179">
        <f t="shared" ref="Q179" si="871">F179*P179</f>
        <v>54944.226081855835</v>
      </c>
      <c r="R179">
        <f t="shared" ref="R179" si="872">R180+Q179</f>
        <v>5742963.9199915063</v>
      </c>
      <c r="S179">
        <f t="shared" ref="S179" si="873">R179/100000</f>
        <v>57.429639199915066</v>
      </c>
      <c r="T179">
        <f t="shared" ref="T179" si="874">S179/1000</f>
        <v>5.7429639199915068E-2</v>
      </c>
    </row>
    <row r="180" spans="1:20" x14ac:dyDescent="0.25">
      <c r="A180" s="5">
        <v>44413</v>
      </c>
      <c r="B180">
        <v>244.27</v>
      </c>
      <c r="C180">
        <v>254.04</v>
      </c>
      <c r="D180">
        <v>237.26</v>
      </c>
      <c r="E180">
        <v>252.84</v>
      </c>
      <c r="F180">
        <v>123186.59050999999</v>
      </c>
      <c r="G180">
        <v>252.84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0.85697258641239704</v>
      </c>
      <c r="Q180">
        <f t="shared" ref="Q180" si="876">F180*P180</f>
        <v>105567.53108067955</v>
      </c>
      <c r="R180">
        <f t="shared" ref="R180" si="877">R181+Q180</f>
        <v>5688019.6939096507</v>
      </c>
      <c r="S180">
        <f t="shared" ref="S180" si="878">R180/100000</f>
        <v>56.880196939096507</v>
      </c>
      <c r="T180">
        <f t="shared" ref="T180" si="879">S180/1000</f>
        <v>5.688019693909651E-2</v>
      </c>
    </row>
    <row r="181" spans="1:20" x14ac:dyDescent="0.25">
      <c r="A181" s="5">
        <v>44412</v>
      </c>
      <c r="B181">
        <v>225.93</v>
      </c>
      <c r="C181">
        <v>245.71</v>
      </c>
      <c r="D181">
        <v>223</v>
      </c>
      <c r="E181">
        <v>244.38</v>
      </c>
      <c r="F181">
        <v>87333.680200000003</v>
      </c>
      <c r="G181">
        <v>244.38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0.88287098194627811</v>
      </c>
      <c r="Q181">
        <f t="shared" ref="Q181" si="881">F181*P181</f>
        <v>77104.371995156223</v>
      </c>
      <c r="R181">
        <f t="shared" ref="R181" si="882">R182+Q181</f>
        <v>5582452.1628289707</v>
      </c>
      <c r="S181">
        <f t="shared" ref="S181" si="883">R181/100000</f>
        <v>55.824521628289709</v>
      </c>
      <c r="T181">
        <f t="shared" ref="T181" si="884">S181/1000</f>
        <v>5.5824521628289707E-2</v>
      </c>
    </row>
    <row r="182" spans="1:20" x14ac:dyDescent="0.25">
      <c r="A182" s="5">
        <v>44411</v>
      </c>
      <c r="B182">
        <v>232.68</v>
      </c>
      <c r="C182">
        <v>236.83</v>
      </c>
      <c r="D182">
        <v>223.53</v>
      </c>
      <c r="E182">
        <v>226.02</v>
      </c>
      <c r="F182">
        <v>87241.246249999997</v>
      </c>
      <c r="G182">
        <v>226.02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-0.62556390977443499</v>
      </c>
      <c r="Q182">
        <f t="shared" ref="Q182" si="886">F182*P182</f>
        <v>-54574.97509774426</v>
      </c>
      <c r="R182">
        <f t="shared" ref="R182" si="887">R183+Q182</f>
        <v>5505347.7908338141</v>
      </c>
      <c r="S182">
        <f t="shared" ref="S182" si="888">R182/100000</f>
        <v>55.053477908338138</v>
      </c>
      <c r="T182">
        <f t="shared" ref="T182" si="889">S182/1000</f>
        <v>5.5053477908338137E-2</v>
      </c>
    </row>
    <row r="183" spans="1:20" x14ac:dyDescent="0.25">
      <c r="A183" s="5">
        <v>44410</v>
      </c>
      <c r="B183">
        <v>235.57</v>
      </c>
      <c r="C183">
        <v>244.63</v>
      </c>
      <c r="D183">
        <v>228.18</v>
      </c>
      <c r="E183">
        <v>232.58</v>
      </c>
      <c r="F183">
        <v>96306.989449999994</v>
      </c>
      <c r="G183">
        <v>232.58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-0.4650455927051661</v>
      </c>
      <c r="Q183">
        <f t="shared" ref="Q183" si="891">F183*P183</f>
        <v>-44787.140990425425</v>
      </c>
      <c r="R183">
        <f t="shared" ref="R183" si="892">R184+Q183</f>
        <v>5559922.7659315588</v>
      </c>
      <c r="S183">
        <f t="shared" ref="S183" si="893">R183/100000</f>
        <v>55.599227659315588</v>
      </c>
      <c r="T183">
        <f t="shared" ref="T183" si="894">S183/1000</f>
        <v>5.5599227659315589E-2</v>
      </c>
    </row>
    <row r="184" spans="1:20" x14ac:dyDescent="0.25">
      <c r="A184" s="5">
        <v>44409</v>
      </c>
      <c r="B184">
        <v>239.87</v>
      </c>
      <c r="C184">
        <v>249.47</v>
      </c>
      <c r="D184">
        <v>232</v>
      </c>
      <c r="E184">
        <v>235.45</v>
      </c>
      <c r="F184">
        <v>99286.668609999993</v>
      </c>
      <c r="G184">
        <v>235.45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-0.60503720663995553</v>
      </c>
      <c r="Q184">
        <f t="shared" ref="Q184" si="896">F184*P184</f>
        <v>-60072.128632381355</v>
      </c>
      <c r="R184">
        <f t="shared" ref="R184" si="897">R185+Q184</f>
        <v>5604709.9069219846</v>
      </c>
      <c r="S184">
        <f t="shared" ref="S184" si="898">R184/100000</f>
        <v>56.047099069219847</v>
      </c>
      <c r="T184">
        <f t="shared" ref="T184" si="899">S184/1000</f>
        <v>5.6047099069219848E-2</v>
      </c>
    </row>
    <row r="185" spans="1:20" x14ac:dyDescent="0.25">
      <c r="A185" s="5">
        <v>44408</v>
      </c>
      <c r="B185">
        <v>242.01</v>
      </c>
      <c r="C185">
        <v>249.06</v>
      </c>
      <c r="D185">
        <v>234.29</v>
      </c>
      <c r="E185">
        <v>239.86</v>
      </c>
      <c r="F185">
        <v>110571.68197000001</v>
      </c>
      <c r="G185">
        <v>239.86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-0.24576844955991636</v>
      </c>
      <c r="Q185">
        <f t="shared" ref="Q185" si="901">F185*P185</f>
        <v>-27175.030842999058</v>
      </c>
      <c r="R185">
        <f t="shared" ref="R185" si="902">R186+Q185</f>
        <v>5664782.0355543662</v>
      </c>
      <c r="S185">
        <f t="shared" ref="S185" si="903">R185/100000</f>
        <v>56.647820355543665</v>
      </c>
      <c r="T185">
        <f t="shared" ref="T185" si="904">S185/1000</f>
        <v>5.6647820355543665E-2</v>
      </c>
    </row>
    <row r="186" spans="1:20" x14ac:dyDescent="0.25">
      <c r="A186" s="5">
        <v>44407</v>
      </c>
      <c r="B186">
        <v>241.67</v>
      </c>
      <c r="C186">
        <v>245.44</v>
      </c>
      <c r="D186">
        <v>230</v>
      </c>
      <c r="E186">
        <v>242.01</v>
      </c>
      <c r="F186">
        <v>94946.198669999998</v>
      </c>
      <c r="G186">
        <v>242.01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0.55569948186528406</v>
      </c>
      <c r="Q186">
        <f t="shared" ref="Q186" si="906">F186*P186</f>
        <v>52761.553405997322</v>
      </c>
      <c r="R186">
        <f t="shared" ref="R186" si="907">R187+Q186</f>
        <v>5691957.0663973652</v>
      </c>
      <c r="S186">
        <f t="shared" ref="S186" si="908">R186/100000</f>
        <v>56.919570663973651</v>
      </c>
      <c r="T186">
        <f t="shared" ref="T186" si="909">S186/1000</f>
        <v>5.691957066397365E-2</v>
      </c>
    </row>
    <row r="187" spans="1:20" x14ac:dyDescent="0.25">
      <c r="A187" s="5">
        <v>44406</v>
      </c>
      <c r="B187">
        <v>235.35</v>
      </c>
      <c r="C187">
        <v>248.12</v>
      </c>
      <c r="D187">
        <v>230.7</v>
      </c>
      <c r="E187">
        <v>241.67</v>
      </c>
      <c r="F187">
        <v>94610.205650000004</v>
      </c>
      <c r="G187">
        <v>241.67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0.25947187141216865</v>
      </c>
      <c r="Q187">
        <f t="shared" ref="Q187" si="911">F187*P187</f>
        <v>24548.687114695633</v>
      </c>
      <c r="R187">
        <f t="shared" ref="R187" si="912">R188+Q187</f>
        <v>5639195.5129913678</v>
      </c>
      <c r="S187">
        <f t="shared" ref="S187" si="913">R187/100000</f>
        <v>56.391955129913676</v>
      </c>
      <c r="T187">
        <f t="shared" ref="T187" si="914">S187/1000</f>
        <v>5.6391955129913678E-2</v>
      </c>
    </row>
    <row r="188" spans="1:20" x14ac:dyDescent="0.25">
      <c r="A188" s="5">
        <v>44405</v>
      </c>
      <c r="B188">
        <v>225.64</v>
      </c>
      <c r="C188">
        <v>235.5</v>
      </c>
      <c r="D188">
        <v>222.19</v>
      </c>
      <c r="E188">
        <v>235.44</v>
      </c>
      <c r="F188">
        <v>100130.16552</v>
      </c>
      <c r="G188">
        <v>235.44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0.99098422238918071</v>
      </c>
      <c r="Q188">
        <f t="shared" ref="Q188" si="916">F188*P188</f>
        <v>99227.414215537152</v>
      </c>
      <c r="R188">
        <f t="shared" ref="R188" si="917">R189+Q188</f>
        <v>5614646.8258766718</v>
      </c>
      <c r="S188">
        <f t="shared" ref="S188" si="918">R188/100000</f>
        <v>56.146468258766717</v>
      </c>
      <c r="T188">
        <f t="shared" ref="T188" si="919">S188/1000</f>
        <v>5.6146468258766714E-2</v>
      </c>
    </row>
    <row r="189" spans="1:20" x14ac:dyDescent="0.25">
      <c r="A189" s="5">
        <v>44404</v>
      </c>
      <c r="B189">
        <v>218.07</v>
      </c>
      <c r="C189">
        <v>226.65</v>
      </c>
      <c r="D189">
        <v>214</v>
      </c>
      <c r="E189">
        <v>225.59</v>
      </c>
      <c r="F189">
        <v>107501.40674999999</v>
      </c>
      <c r="G189">
        <v>225.59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0.83241106719367564</v>
      </c>
      <c r="Q189">
        <f t="shared" ref="Q189" si="921">F189*P189</f>
        <v>89485.360717588905</v>
      </c>
      <c r="R189">
        <f t="shared" ref="R189" si="922">R190+Q189</f>
        <v>5515419.411661135</v>
      </c>
      <c r="S189">
        <f t="shared" ref="S189" si="923">R189/100000</f>
        <v>55.15419411661135</v>
      </c>
      <c r="T189">
        <f t="shared" ref="T189" si="924">S189/1000</f>
        <v>5.5154194116611349E-2</v>
      </c>
    </row>
    <row r="190" spans="1:20" x14ac:dyDescent="0.25">
      <c r="A190" s="5">
        <v>44403</v>
      </c>
      <c r="B190">
        <v>212.87</v>
      </c>
      <c r="C190">
        <v>234.97</v>
      </c>
      <c r="D190">
        <v>212.5</v>
      </c>
      <c r="E190">
        <v>218.07</v>
      </c>
      <c r="F190">
        <v>147828.05282000001</v>
      </c>
      <c r="G190">
        <v>218.07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-0.50422785936804682</v>
      </c>
      <c r="Q190">
        <f t="shared" ref="Q190" si="926">F190*P190</f>
        <v>-74539.022627975166</v>
      </c>
      <c r="R190">
        <f t="shared" ref="R190" si="927">R191+Q190</f>
        <v>5425934.050943546</v>
      </c>
      <c r="S190">
        <f t="shared" ref="S190" si="928">R190/100000</f>
        <v>54.259340509435461</v>
      </c>
      <c r="T190">
        <f t="shared" ref="T190" si="929">S190/1000</f>
        <v>5.4259340509435462E-2</v>
      </c>
    </row>
    <row r="191" spans="1:20" x14ac:dyDescent="0.25">
      <c r="A191" s="5">
        <v>44402</v>
      </c>
      <c r="B191">
        <v>208.49</v>
      </c>
      <c r="C191">
        <v>214.67</v>
      </c>
      <c r="D191">
        <v>203.96</v>
      </c>
      <c r="E191">
        <v>212.91</v>
      </c>
      <c r="F191">
        <v>62907.912750000003</v>
      </c>
      <c r="G191">
        <v>212.91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0.67133520074696651</v>
      </c>
      <c r="Q191">
        <f t="shared" ref="Q191" si="931">F191*P191</f>
        <v>42232.296234593909</v>
      </c>
      <c r="R191">
        <f t="shared" ref="R191" si="932">R192+Q191</f>
        <v>5500473.0735715209</v>
      </c>
      <c r="S191">
        <f t="shared" ref="S191" si="933">R191/100000</f>
        <v>55.004730735715206</v>
      </c>
      <c r="T191">
        <f t="shared" ref="T191:T197" si="934">S191/1000</f>
        <v>5.5004730735715206E-2</v>
      </c>
    </row>
    <row r="192" spans="1:20" x14ac:dyDescent="0.25">
      <c r="A192" s="5">
        <v>44401</v>
      </c>
      <c r="B192">
        <v>203.92</v>
      </c>
      <c r="C192">
        <v>210.77</v>
      </c>
      <c r="D192">
        <v>201.76</v>
      </c>
      <c r="E192">
        <v>208.52</v>
      </c>
      <c r="F192">
        <v>65329.567649999997</v>
      </c>
      <c r="G192">
        <v>208.52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0.50055493895671588</v>
      </c>
      <c r="Q192">
        <f t="shared" ref="Q192" si="936">F192*P192</f>
        <v>32701.037747114387</v>
      </c>
      <c r="R192">
        <f t="shared" ref="R192" si="937">R193+Q192</f>
        <v>5458240.7773369271</v>
      </c>
      <c r="S192">
        <f t="shared" ref="S192" si="938">R192/100000</f>
        <v>54.582407773369269</v>
      </c>
      <c r="T192">
        <f t="shared" si="934"/>
        <v>5.4582407773369271E-2</v>
      </c>
    </row>
    <row r="193" spans="1:20" x14ac:dyDescent="0.25">
      <c r="A193" s="5">
        <v>44400</v>
      </c>
      <c r="B193">
        <v>197.7</v>
      </c>
      <c r="C193">
        <v>203.96</v>
      </c>
      <c r="D193">
        <v>194.29</v>
      </c>
      <c r="E193">
        <v>203.96</v>
      </c>
      <c r="F193">
        <v>64892.435270000002</v>
      </c>
      <c r="G193">
        <v>203.96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1</v>
      </c>
      <c r="Q193">
        <f t="shared" ref="Q193" si="940">F193*P193</f>
        <v>64892.435270000002</v>
      </c>
      <c r="R193">
        <f t="shared" ref="R193" si="941">R194+Q193</f>
        <v>5425539.7395898132</v>
      </c>
      <c r="S193">
        <f t="shared" ref="S193" si="942">R193/100000</f>
        <v>54.255397395898129</v>
      </c>
      <c r="T193">
        <f t="shared" si="934"/>
        <v>5.4255397395898131E-2</v>
      </c>
    </row>
    <row r="194" spans="1:20" x14ac:dyDescent="0.25">
      <c r="A194" s="5">
        <v>44399</v>
      </c>
      <c r="B194">
        <v>196.77</v>
      </c>
      <c r="C194">
        <v>202.54</v>
      </c>
      <c r="D194">
        <v>190.02</v>
      </c>
      <c r="E194">
        <v>197.7</v>
      </c>
      <c r="F194">
        <v>79271.281149999995</v>
      </c>
      <c r="G194">
        <v>197.7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0.22683706070287374</v>
      </c>
      <c r="Q194">
        <f t="shared" ref="Q194" si="944">F194*P194</f>
        <v>17981.664414217121</v>
      </c>
      <c r="R194">
        <f t="shared" ref="R194" si="945">R195+Q194</f>
        <v>5360647.3043198129</v>
      </c>
      <c r="S194">
        <f t="shared" ref="S194" si="946">R194/100000</f>
        <v>53.606473043198129</v>
      </c>
      <c r="T194">
        <f t="shared" si="934"/>
        <v>5.3606473043198127E-2</v>
      </c>
    </row>
    <row r="195" spans="1:20" x14ac:dyDescent="0.25">
      <c r="A195" s="5">
        <v>44398</v>
      </c>
      <c r="B195">
        <v>182.89</v>
      </c>
      <c r="C195">
        <v>200.41</v>
      </c>
      <c r="D195">
        <v>178.92</v>
      </c>
      <c r="E195">
        <v>196.77</v>
      </c>
      <c r="F195">
        <v>123449.12482</v>
      </c>
      <c r="G195">
        <v>196.77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0.66123778501628805</v>
      </c>
      <c r="Q195">
        <f t="shared" ref="Q195" si="948">F195*P195</f>
        <v>81629.225858176069</v>
      </c>
      <c r="R195">
        <f t="shared" ref="R195" si="949">R196+Q195</f>
        <v>5342665.6399055962</v>
      </c>
      <c r="S195">
        <f t="shared" ref="S195" si="950">R195/100000</f>
        <v>53.426656399055965</v>
      </c>
      <c r="T195">
        <f t="shared" si="934"/>
        <v>5.3426656399055965E-2</v>
      </c>
    </row>
    <row r="196" spans="1:20" x14ac:dyDescent="0.25">
      <c r="A196" s="5">
        <v>44397</v>
      </c>
      <c r="B196">
        <v>189.1</v>
      </c>
      <c r="C196">
        <v>191.63</v>
      </c>
      <c r="D196">
        <v>178.6</v>
      </c>
      <c r="E196">
        <v>182.89</v>
      </c>
      <c r="F196">
        <v>129942.42816</v>
      </c>
      <c r="G196">
        <v>182.89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-0.34151957022256457</v>
      </c>
      <c r="Q196">
        <f t="shared" ref="Q196" si="952">F196*P196</f>
        <v>-44377.882218879669</v>
      </c>
      <c r="R196">
        <f t="shared" ref="R196" si="953">R197+Q196</f>
        <v>5261036.41404742</v>
      </c>
      <c r="S196">
        <f t="shared" ref="S196" si="954">R196/100000</f>
        <v>52.610364140474204</v>
      </c>
      <c r="T196">
        <f t="shared" si="934"/>
        <v>5.2610364140474201E-2</v>
      </c>
    </row>
    <row r="197" spans="1:20" x14ac:dyDescent="0.25">
      <c r="A197" s="5">
        <v>44396</v>
      </c>
      <c r="B197">
        <v>199.51</v>
      </c>
      <c r="C197">
        <v>200.4</v>
      </c>
      <c r="D197">
        <v>187.56</v>
      </c>
      <c r="E197">
        <v>189.02</v>
      </c>
      <c r="F197">
        <v>104598.70387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-0.77258566978193033</v>
      </c>
      <c r="Q197">
        <f t="shared" ref="Q197" si="956">F197*P197</f>
        <v>-80811.459687725743</v>
      </c>
      <c r="R197">
        <f t="shared" ref="R197" si="957">R198+Q197</f>
        <v>5305414.2962662997</v>
      </c>
      <c r="S197">
        <f t="shared" ref="S197" si="958">R197/100000</f>
        <v>53.054142962662993</v>
      </c>
      <c r="T197">
        <f t="shared" si="934"/>
        <v>5.3054142962662997E-2</v>
      </c>
    </row>
    <row r="198" spans="1:20" x14ac:dyDescent="0.25">
      <c r="A198" s="5">
        <v>44395</v>
      </c>
      <c r="B198">
        <v>197.61</v>
      </c>
      <c r="C198">
        <v>205</v>
      </c>
      <c r="D198">
        <v>196.87</v>
      </c>
      <c r="E198">
        <v>199.41</v>
      </c>
      <c r="F198">
        <v>69717.776110000006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-0.37515375153751701</v>
      </c>
      <c r="Q198">
        <f t="shared" ref="Q198:Q261" si="960">F198*P198</f>
        <v>-26154.885256519181</v>
      </c>
      <c r="R198">
        <f t="shared" ref="R198:R261" si="961">R199+Q198</f>
        <v>5386225.7559540253</v>
      </c>
      <c r="S198">
        <f t="shared" ref="S198:S261" si="962">R198/100000</f>
        <v>53.862257559540254</v>
      </c>
      <c r="T198">
        <f t="shared" ref="T198:T261" si="963">S198/1000</f>
        <v>5.3862257559540251E-2</v>
      </c>
    </row>
    <row r="199" spans="1:20" x14ac:dyDescent="0.25">
      <c r="A199" s="5">
        <v>44394</v>
      </c>
      <c r="B199">
        <v>192.89</v>
      </c>
      <c r="C199">
        <v>199.72</v>
      </c>
      <c r="D199">
        <v>191</v>
      </c>
      <c r="E199">
        <v>197.56</v>
      </c>
      <c r="F199">
        <v>69494.963229999994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0.5045871559633035</v>
      </c>
      <c r="Q199">
        <f t="shared" si="960"/>
        <v>35066.265850000047</v>
      </c>
      <c r="R199">
        <f t="shared" si="961"/>
        <v>5412380.6412105449</v>
      </c>
      <c r="S199">
        <f t="shared" si="962"/>
        <v>54.123806412105452</v>
      </c>
      <c r="T199">
        <f t="shared" si="963"/>
        <v>5.412380641210545E-2</v>
      </c>
    </row>
    <row r="200" spans="1:20" x14ac:dyDescent="0.25">
      <c r="A200" s="5">
        <v>44393</v>
      </c>
      <c r="B200">
        <v>196.67</v>
      </c>
      <c r="C200">
        <v>200</v>
      </c>
      <c r="D200">
        <v>191.33</v>
      </c>
      <c r="E200">
        <v>192.95</v>
      </c>
      <c r="F200">
        <v>88632.014190000002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-0.62629757785467621</v>
      </c>
      <c r="Q200">
        <f t="shared" si="960"/>
        <v>-55510.015807578297</v>
      </c>
      <c r="R200">
        <f t="shared" si="961"/>
        <v>5377314.3753605448</v>
      </c>
      <c r="S200">
        <f t="shared" si="962"/>
        <v>53.773143753605446</v>
      </c>
      <c r="T200">
        <f t="shared" si="963"/>
        <v>5.3773143753605444E-2</v>
      </c>
    </row>
    <row r="201" spans="1:20" x14ac:dyDescent="0.25">
      <c r="A201" s="5">
        <v>44392</v>
      </c>
      <c r="B201">
        <v>203.42</v>
      </c>
      <c r="C201">
        <v>205.56</v>
      </c>
      <c r="D201">
        <v>190.17</v>
      </c>
      <c r="E201">
        <v>196.71</v>
      </c>
      <c r="F201">
        <v>96234.288830000005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-0.15009746588693773</v>
      </c>
      <c r="Q201">
        <f t="shared" si="960"/>
        <v>-14444.522884814638</v>
      </c>
      <c r="R201">
        <f t="shared" si="961"/>
        <v>5432824.3911681231</v>
      </c>
      <c r="S201">
        <f t="shared" si="962"/>
        <v>54.328243911681234</v>
      </c>
      <c r="T201">
        <f t="shared" si="963"/>
        <v>5.4328243911681236E-2</v>
      </c>
    </row>
    <row r="202" spans="1:20" x14ac:dyDescent="0.25">
      <c r="A202" s="5">
        <v>44391</v>
      </c>
      <c r="B202">
        <v>203.8</v>
      </c>
      <c r="C202">
        <v>205.04</v>
      </c>
      <c r="D202">
        <v>192.24</v>
      </c>
      <c r="E202">
        <v>203.38</v>
      </c>
      <c r="F202">
        <v>89484.684200000003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0.7406250000000002</v>
      </c>
      <c r="Q202">
        <f t="shared" si="960"/>
        <v>66274.594235625016</v>
      </c>
      <c r="R202">
        <f t="shared" si="961"/>
        <v>5447268.9140529381</v>
      </c>
      <c r="S202">
        <f t="shared" si="962"/>
        <v>54.472689140529383</v>
      </c>
      <c r="T202">
        <f t="shared" si="963"/>
        <v>5.4472689140529384E-2</v>
      </c>
    </row>
    <row r="203" spans="1:20" x14ac:dyDescent="0.25">
      <c r="A203" s="5">
        <v>44390</v>
      </c>
      <c r="B203">
        <v>206.17</v>
      </c>
      <c r="C203">
        <v>211.58</v>
      </c>
      <c r="D203">
        <v>200.39</v>
      </c>
      <c r="E203">
        <v>203.83</v>
      </c>
      <c r="F203">
        <v>82552.121029999995</v>
      </c>
      <c r="G203">
        <v>0</v>
      </c>
      <c r="L203" t="s">
        <v>7</v>
      </c>
      <c r="M203" t="s">
        <v>8</v>
      </c>
      <c r="N203" t="s">
        <v>7</v>
      </c>
      <c r="P203">
        <f t="shared" si="959"/>
        <v>-0.38516532618408972</v>
      </c>
      <c r="Q203">
        <f t="shared" si="960"/>
        <v>-31796.214623708402</v>
      </c>
      <c r="R203">
        <f t="shared" si="961"/>
        <v>5380994.319817313</v>
      </c>
      <c r="S203">
        <f t="shared" si="962"/>
        <v>53.80994319817313</v>
      </c>
      <c r="T203">
        <f t="shared" si="963"/>
        <v>5.380994319817313E-2</v>
      </c>
    </row>
    <row r="204" spans="1:20" x14ac:dyDescent="0.25">
      <c r="A204" s="5">
        <v>44389</v>
      </c>
      <c r="B204">
        <v>211.88</v>
      </c>
      <c r="C204">
        <v>216.81</v>
      </c>
      <c r="D204">
        <v>203.04</v>
      </c>
      <c r="E204">
        <v>206.25</v>
      </c>
      <c r="F204">
        <v>80874.382549999995</v>
      </c>
      <c r="G204">
        <v>0</v>
      </c>
      <c r="L204" t="s">
        <v>8</v>
      </c>
      <c r="M204" t="s">
        <v>8</v>
      </c>
      <c r="N204" t="s">
        <v>7</v>
      </c>
      <c r="P204">
        <f t="shared" si="959"/>
        <v>-0.53376906318082706</v>
      </c>
      <c r="Q204">
        <f t="shared" si="960"/>
        <v>-43168.243409041323</v>
      </c>
      <c r="R204">
        <f t="shared" si="961"/>
        <v>5412790.5344410213</v>
      </c>
      <c r="S204">
        <f t="shared" si="962"/>
        <v>54.127905344410216</v>
      </c>
      <c r="T204">
        <f t="shared" si="963"/>
        <v>5.4127905344410213E-2</v>
      </c>
    </row>
    <row r="205" spans="1:20" x14ac:dyDescent="0.25">
      <c r="A205" s="5">
        <v>44388</v>
      </c>
      <c r="B205">
        <v>209.66</v>
      </c>
      <c r="C205">
        <v>214.68</v>
      </c>
      <c r="D205">
        <v>207.88</v>
      </c>
      <c r="E205">
        <v>211.52</v>
      </c>
      <c r="F205">
        <v>59523.511200000001</v>
      </c>
      <c r="G205">
        <v>0</v>
      </c>
      <c r="L205" t="s">
        <v>8</v>
      </c>
      <c r="M205" t="s">
        <v>8</v>
      </c>
      <c r="N205" t="s">
        <v>7</v>
      </c>
      <c r="P205">
        <f t="shared" si="959"/>
        <v>7.05882352941202E-2</v>
      </c>
      <c r="Q205">
        <f t="shared" si="960"/>
        <v>4201.6596141177988</v>
      </c>
      <c r="R205">
        <f t="shared" si="961"/>
        <v>5455958.7778500626</v>
      </c>
      <c r="S205">
        <f t="shared" si="962"/>
        <v>54.559587778500628</v>
      </c>
      <c r="T205">
        <f t="shared" si="963"/>
        <v>5.4559587778500625E-2</v>
      </c>
    </row>
    <row r="206" spans="1:20" x14ac:dyDescent="0.25">
      <c r="A206" s="5">
        <v>44387</v>
      </c>
      <c r="B206">
        <v>212.86</v>
      </c>
      <c r="C206">
        <v>217.63</v>
      </c>
      <c r="D206">
        <v>206.74</v>
      </c>
      <c r="E206">
        <v>209.7</v>
      </c>
      <c r="F206">
        <v>71042.418300000005</v>
      </c>
      <c r="G206">
        <v>0</v>
      </c>
      <c r="L206" t="s">
        <v>8</v>
      </c>
      <c r="M206" t="s">
        <v>8</v>
      </c>
      <c r="N206" t="s">
        <v>7</v>
      </c>
      <c r="P206">
        <f t="shared" si="959"/>
        <v>-0.45638200183655037</v>
      </c>
      <c r="Q206">
        <f t="shared" si="960"/>
        <v>-32422.481079063582</v>
      </c>
      <c r="R206">
        <f t="shared" si="961"/>
        <v>5451757.1182359448</v>
      </c>
      <c r="S206">
        <f t="shared" si="962"/>
        <v>54.517571182359447</v>
      </c>
      <c r="T206">
        <f t="shared" si="963"/>
        <v>5.4517571182359448E-2</v>
      </c>
    </row>
    <row r="207" spans="1:20" x14ac:dyDescent="0.25">
      <c r="A207" s="5">
        <v>44386</v>
      </c>
      <c r="B207">
        <v>205.27</v>
      </c>
      <c r="C207">
        <v>215</v>
      </c>
      <c r="D207">
        <v>199.69</v>
      </c>
      <c r="E207">
        <v>212.87</v>
      </c>
      <c r="F207">
        <v>78935.160879999996</v>
      </c>
      <c r="G207">
        <v>0</v>
      </c>
      <c r="L207" t="s">
        <v>7</v>
      </c>
      <c r="M207" t="s">
        <v>8</v>
      </c>
      <c r="N207" t="s">
        <v>7</v>
      </c>
      <c r="P207">
        <f t="shared" si="959"/>
        <v>0.72175048987589874</v>
      </c>
      <c r="Q207">
        <f t="shared" si="960"/>
        <v>56971.491033572878</v>
      </c>
      <c r="R207">
        <f t="shared" si="961"/>
        <v>5484179.5993150081</v>
      </c>
      <c r="S207">
        <f t="shared" si="962"/>
        <v>54.841795993150079</v>
      </c>
      <c r="T207">
        <f t="shared" si="963"/>
        <v>5.4841795993150082E-2</v>
      </c>
    </row>
    <row r="208" spans="1:20" x14ac:dyDescent="0.25">
      <c r="A208" s="5">
        <v>44385</v>
      </c>
      <c r="B208">
        <v>215.01</v>
      </c>
      <c r="C208">
        <v>215.77</v>
      </c>
      <c r="D208">
        <v>201.82</v>
      </c>
      <c r="E208">
        <v>205.23</v>
      </c>
      <c r="F208">
        <v>108787.59766</v>
      </c>
      <c r="G208">
        <v>0</v>
      </c>
      <c r="L208" t="s">
        <v>7</v>
      </c>
      <c r="M208" t="s">
        <v>8</v>
      </c>
      <c r="N208" t="s">
        <v>7</v>
      </c>
      <c r="P208">
        <f t="shared" si="959"/>
        <v>-0.51111111111111218</v>
      </c>
      <c r="Q208">
        <f t="shared" si="960"/>
        <v>-55602.549915111231</v>
      </c>
      <c r="R208">
        <f t="shared" si="961"/>
        <v>5427208.1082814354</v>
      </c>
      <c r="S208">
        <f t="shared" si="962"/>
        <v>54.272081082814353</v>
      </c>
      <c r="T208">
        <f t="shared" si="963"/>
        <v>5.4272081082814352E-2</v>
      </c>
    </row>
    <row r="209" spans="1:20" x14ac:dyDescent="0.25">
      <c r="A209" s="5">
        <v>44384</v>
      </c>
      <c r="B209">
        <v>221.74</v>
      </c>
      <c r="C209">
        <v>231.61</v>
      </c>
      <c r="D209">
        <v>214.21</v>
      </c>
      <c r="E209">
        <v>215.17</v>
      </c>
      <c r="F209">
        <v>106321.98914000001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-0.88965517241379544</v>
      </c>
      <c r="Q209">
        <f t="shared" si="960"/>
        <v>-94589.907579724386</v>
      </c>
      <c r="R209">
        <f t="shared" si="961"/>
        <v>5482810.6581965471</v>
      </c>
      <c r="S209">
        <f t="shared" si="962"/>
        <v>54.828106581965471</v>
      </c>
      <c r="T209">
        <f t="shared" si="963"/>
        <v>5.482810658196547E-2</v>
      </c>
    </row>
    <row r="210" spans="1:20" x14ac:dyDescent="0.25">
      <c r="A210" s="5">
        <v>44383</v>
      </c>
      <c r="B210">
        <v>214.45</v>
      </c>
      <c r="C210">
        <v>222.34</v>
      </c>
      <c r="D210">
        <v>211.77</v>
      </c>
      <c r="E210">
        <v>221.75</v>
      </c>
      <c r="F210">
        <v>96336.922900000005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0.88836329233680156</v>
      </c>
      <c r="Q210">
        <f t="shared" si="960"/>
        <v>85582.186001040624</v>
      </c>
      <c r="R210">
        <f t="shared" si="961"/>
        <v>5577400.5657762717</v>
      </c>
      <c r="S210">
        <f t="shared" si="962"/>
        <v>55.774005657762714</v>
      </c>
      <c r="T210">
        <f t="shared" si="963"/>
        <v>5.5774005657762714E-2</v>
      </c>
    </row>
    <row r="211" spans="1:20" x14ac:dyDescent="0.25">
      <c r="A211" s="5">
        <v>44382</v>
      </c>
      <c r="B211">
        <v>219.87</v>
      </c>
      <c r="C211">
        <v>220.55</v>
      </c>
      <c r="D211">
        <v>205.63</v>
      </c>
      <c r="E211">
        <v>214.47</v>
      </c>
      <c r="F211">
        <v>101846.00844000001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0.18498659517426191</v>
      </c>
      <c r="Q211">
        <f t="shared" si="960"/>
        <v>18840.146333404744</v>
      </c>
      <c r="R211">
        <f t="shared" si="961"/>
        <v>5491818.3797752308</v>
      </c>
      <c r="S211">
        <f t="shared" si="962"/>
        <v>54.918183797752306</v>
      </c>
      <c r="T211">
        <f t="shared" si="963"/>
        <v>5.4918183797752304E-2</v>
      </c>
    </row>
    <row r="212" spans="1:20" x14ac:dyDescent="0.25">
      <c r="A212" s="5">
        <v>44381</v>
      </c>
      <c r="B212">
        <v>214.83</v>
      </c>
      <c r="C212">
        <v>225.3</v>
      </c>
      <c r="D212">
        <v>212.88</v>
      </c>
      <c r="E212">
        <v>219.92</v>
      </c>
      <c r="F212">
        <v>85565.300080000001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0.13365539452495701</v>
      </c>
      <c r="Q212">
        <f t="shared" si="960"/>
        <v>11436.263939838735</v>
      </c>
      <c r="R212">
        <f t="shared" si="961"/>
        <v>5472978.233441826</v>
      </c>
      <c r="S212">
        <f t="shared" si="962"/>
        <v>54.72978233441826</v>
      </c>
      <c r="T212">
        <f t="shared" si="963"/>
        <v>5.4729782334418262E-2</v>
      </c>
    </row>
    <row r="213" spans="1:20" x14ac:dyDescent="0.25">
      <c r="A213" s="5">
        <v>44380</v>
      </c>
      <c r="B213">
        <v>211.35</v>
      </c>
      <c r="C213">
        <v>216.35</v>
      </c>
      <c r="D213">
        <v>206.7</v>
      </c>
      <c r="E213">
        <v>214.86</v>
      </c>
      <c r="F213">
        <v>68396.117700000003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0.6911917098445638</v>
      </c>
      <c r="Q213">
        <f t="shared" si="960"/>
        <v>47274.829539793034</v>
      </c>
      <c r="R213">
        <f t="shared" si="961"/>
        <v>5461541.9695019871</v>
      </c>
      <c r="S213">
        <f t="shared" si="962"/>
        <v>54.615419695019874</v>
      </c>
      <c r="T213">
        <f t="shared" si="963"/>
        <v>5.4615419695019873E-2</v>
      </c>
    </row>
    <row r="214" spans="1:20" x14ac:dyDescent="0.25">
      <c r="A214" s="5">
        <v>44379</v>
      </c>
      <c r="B214">
        <v>205.52</v>
      </c>
      <c r="C214">
        <v>211.86</v>
      </c>
      <c r="D214">
        <v>199.3</v>
      </c>
      <c r="E214">
        <v>211.35</v>
      </c>
      <c r="F214">
        <v>84529.230720000007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0.91878980891719442</v>
      </c>
      <c r="Q214">
        <f t="shared" si="960"/>
        <v>77664.595741146244</v>
      </c>
      <c r="R214">
        <f t="shared" si="961"/>
        <v>5414267.1399621945</v>
      </c>
      <c r="S214">
        <f t="shared" si="962"/>
        <v>54.142671399621946</v>
      </c>
      <c r="T214">
        <f t="shared" si="963"/>
        <v>5.4142671399621943E-2</v>
      </c>
    </row>
    <row r="215" spans="1:20" x14ac:dyDescent="0.25">
      <c r="A215" s="5">
        <v>44378</v>
      </c>
      <c r="B215">
        <v>223.09</v>
      </c>
      <c r="C215">
        <v>223.37</v>
      </c>
      <c r="D215">
        <v>203.18</v>
      </c>
      <c r="E215">
        <v>205.44</v>
      </c>
      <c r="F215">
        <v>124184.65085999999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-0.77612679544328966</v>
      </c>
      <c r="Q215">
        <f t="shared" si="960"/>
        <v>-96383.035115215564</v>
      </c>
      <c r="R215">
        <f t="shared" si="961"/>
        <v>5336602.5442210482</v>
      </c>
      <c r="S215">
        <f t="shared" si="962"/>
        <v>53.366025442210486</v>
      </c>
      <c r="T215">
        <f t="shared" si="963"/>
        <v>5.3366025442210488E-2</v>
      </c>
    </row>
    <row r="216" spans="1:20" x14ac:dyDescent="0.25">
      <c r="A216" s="5">
        <v>44377</v>
      </c>
      <c r="B216">
        <v>217.81</v>
      </c>
      <c r="C216">
        <v>223.84</v>
      </c>
      <c r="D216">
        <v>208.81</v>
      </c>
      <c r="E216">
        <v>223.06</v>
      </c>
      <c r="F216">
        <v>118266.61867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0.89620758483033913</v>
      </c>
      <c r="Q216">
        <f t="shared" si="960"/>
        <v>105991.44068429139</v>
      </c>
      <c r="R216">
        <f t="shared" si="961"/>
        <v>5432985.5793362642</v>
      </c>
      <c r="S216">
        <f t="shared" si="962"/>
        <v>54.32985579336264</v>
      </c>
      <c r="T216">
        <f t="shared" si="963"/>
        <v>5.4329855793362643E-2</v>
      </c>
    </row>
    <row r="217" spans="1:20" x14ac:dyDescent="0.25">
      <c r="A217" s="5">
        <v>44376</v>
      </c>
      <c r="B217">
        <v>213.25</v>
      </c>
      <c r="C217">
        <v>227.04</v>
      </c>
      <c r="D217">
        <v>212.17</v>
      </c>
      <c r="E217">
        <v>217.89</v>
      </c>
      <c r="F217">
        <v>119238.18174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-0.23066577000672533</v>
      </c>
      <c r="Q217">
        <f t="shared" si="960"/>
        <v>-27504.167005258958</v>
      </c>
      <c r="R217">
        <f t="shared" si="961"/>
        <v>5326994.1386519726</v>
      </c>
      <c r="S217">
        <f t="shared" si="962"/>
        <v>53.269941386519726</v>
      </c>
      <c r="T217">
        <f t="shared" si="963"/>
        <v>5.3269941386519727E-2</v>
      </c>
    </row>
    <row r="218" spans="1:20" x14ac:dyDescent="0.25">
      <c r="A218" s="5">
        <v>44375</v>
      </c>
      <c r="B218">
        <v>211.92</v>
      </c>
      <c r="C218">
        <v>217.59</v>
      </c>
      <c r="D218">
        <v>205.91</v>
      </c>
      <c r="E218">
        <v>213.17</v>
      </c>
      <c r="F218">
        <v>110639.16637000001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0.24315068493150457</v>
      </c>
      <c r="Q218">
        <f t="shared" si="960"/>
        <v>26901.989083116187</v>
      </c>
      <c r="R218">
        <f t="shared" si="961"/>
        <v>5354498.3056572312</v>
      </c>
      <c r="S218">
        <f t="shared" si="962"/>
        <v>53.544983056572313</v>
      </c>
      <c r="T218">
        <f t="shared" si="963"/>
        <v>5.3544983056572314E-2</v>
      </c>
    </row>
    <row r="219" spans="1:20" x14ac:dyDescent="0.25">
      <c r="A219" s="5">
        <v>44374</v>
      </c>
      <c r="B219">
        <v>202.83</v>
      </c>
      <c r="C219">
        <v>212.05</v>
      </c>
      <c r="D219">
        <v>195.51</v>
      </c>
      <c r="E219">
        <v>211.92</v>
      </c>
      <c r="F219">
        <v>85327.165089999995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0.98428053204352794</v>
      </c>
      <c r="Q219">
        <f t="shared" si="960"/>
        <v>83985.867452551145</v>
      </c>
      <c r="R219">
        <f t="shared" si="961"/>
        <v>5327596.3165741153</v>
      </c>
      <c r="S219">
        <f t="shared" si="962"/>
        <v>53.275963165741153</v>
      </c>
      <c r="T219">
        <f t="shared" si="963"/>
        <v>5.3275963165741153E-2</v>
      </c>
    </row>
    <row r="220" spans="1:20" x14ac:dyDescent="0.25">
      <c r="A220" s="5">
        <v>44373</v>
      </c>
      <c r="B220">
        <v>194.85</v>
      </c>
      <c r="C220">
        <v>202.95</v>
      </c>
      <c r="D220">
        <v>185.13</v>
      </c>
      <c r="E220">
        <v>202.84</v>
      </c>
      <c r="F220">
        <v>130234.09925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0.98765432098765593</v>
      </c>
      <c r="Q220">
        <f t="shared" si="960"/>
        <v>128626.27086419774</v>
      </c>
      <c r="R220">
        <f t="shared" si="961"/>
        <v>5243610.4491215637</v>
      </c>
      <c r="S220">
        <f t="shared" si="962"/>
        <v>52.436104491215637</v>
      </c>
      <c r="T220">
        <f t="shared" si="963"/>
        <v>5.2436104491215635E-2</v>
      </c>
    </row>
    <row r="221" spans="1:20" x14ac:dyDescent="0.25">
      <c r="A221" s="5">
        <v>44372</v>
      </c>
      <c r="B221">
        <v>225.76</v>
      </c>
      <c r="C221">
        <v>227.76</v>
      </c>
      <c r="D221">
        <v>192.64</v>
      </c>
      <c r="E221">
        <v>194.95</v>
      </c>
      <c r="F221">
        <v>174432.91430999999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-0.86845102505694749</v>
      </c>
      <c r="Q221">
        <f t="shared" si="960"/>
        <v>-151486.44323619019</v>
      </c>
      <c r="R221">
        <f t="shared" si="961"/>
        <v>5114984.1782573657</v>
      </c>
      <c r="S221">
        <f t="shared" si="962"/>
        <v>51.14984178257366</v>
      </c>
      <c r="T221">
        <f t="shared" si="963"/>
        <v>5.114984178257366E-2</v>
      </c>
    </row>
    <row r="222" spans="1:20" x14ac:dyDescent="0.25">
      <c r="A222" s="5">
        <v>44371</v>
      </c>
      <c r="B222">
        <v>218.66</v>
      </c>
      <c r="C222">
        <v>227.26</v>
      </c>
      <c r="D222">
        <v>204.25</v>
      </c>
      <c r="E222">
        <v>225.74</v>
      </c>
      <c r="F222">
        <v>145645.61889000001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0.86788352890047959</v>
      </c>
      <c r="Q222">
        <f t="shared" si="960"/>
        <v>126403.43369114757</v>
      </c>
      <c r="R222">
        <f t="shared" si="961"/>
        <v>5266470.6214935556</v>
      </c>
      <c r="S222">
        <f t="shared" si="962"/>
        <v>52.664706214935556</v>
      </c>
      <c r="T222">
        <f t="shared" si="963"/>
        <v>5.2664706214935554E-2</v>
      </c>
    </row>
    <row r="223" spans="1:20" x14ac:dyDescent="0.25">
      <c r="A223" s="5">
        <v>44370</v>
      </c>
      <c r="B223">
        <v>201.81</v>
      </c>
      <c r="C223">
        <v>224.14</v>
      </c>
      <c r="D223">
        <v>192.59</v>
      </c>
      <c r="E223">
        <v>218.51</v>
      </c>
      <c r="F223">
        <v>179935.74854999999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0.64310618066561021</v>
      </c>
      <c r="Q223">
        <f t="shared" si="960"/>
        <v>115717.79201519811</v>
      </c>
      <c r="R223">
        <f t="shared" si="961"/>
        <v>5140067.1878024079</v>
      </c>
      <c r="S223">
        <f t="shared" si="962"/>
        <v>51.400671878024077</v>
      </c>
      <c r="T223">
        <f t="shared" si="963"/>
        <v>5.1400671878024079E-2</v>
      </c>
    </row>
    <row r="224" spans="1:20" x14ac:dyDescent="0.25">
      <c r="A224" s="5">
        <v>44369</v>
      </c>
      <c r="B224">
        <v>202.98</v>
      </c>
      <c r="C224">
        <v>225.94</v>
      </c>
      <c r="D224">
        <v>180.07</v>
      </c>
      <c r="E224">
        <v>201.81</v>
      </c>
      <c r="F224">
        <v>326674.32575000002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-5.210377152823166E-2</v>
      </c>
      <c r="Q224">
        <f t="shared" si="960"/>
        <v>-17020.964433017125</v>
      </c>
      <c r="R224">
        <f t="shared" si="961"/>
        <v>5024349.3957872102</v>
      </c>
      <c r="S224">
        <f t="shared" si="962"/>
        <v>50.243493957872104</v>
      </c>
      <c r="T224">
        <f t="shared" si="963"/>
        <v>5.0243493957872101E-2</v>
      </c>
    </row>
    <row r="225" spans="1:20" x14ac:dyDescent="0.25">
      <c r="A225" s="5">
        <v>44368</v>
      </c>
      <c r="B225">
        <v>264.56</v>
      </c>
      <c r="C225">
        <v>265.70999999999998</v>
      </c>
      <c r="D225">
        <v>200.17</v>
      </c>
      <c r="E225">
        <v>203.05</v>
      </c>
      <c r="F225">
        <v>227728.00656000001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-0.9121147390906309</v>
      </c>
      <c r="Q225">
        <f t="shared" si="960"/>
        <v>-207714.0712871039</v>
      </c>
      <c r="R225">
        <f t="shared" si="961"/>
        <v>5041370.3602202274</v>
      </c>
      <c r="S225">
        <f t="shared" si="962"/>
        <v>50.413703602202276</v>
      </c>
      <c r="T225">
        <f t="shared" si="963"/>
        <v>5.0413703602202278E-2</v>
      </c>
    </row>
    <row r="226" spans="1:20" x14ac:dyDescent="0.25">
      <c r="A226" s="5">
        <v>44367</v>
      </c>
      <c r="B226">
        <v>267.95999999999998</v>
      </c>
      <c r="C226">
        <v>271.36</v>
      </c>
      <c r="D226">
        <v>247.66</v>
      </c>
      <c r="E226">
        <v>264.52999999999997</v>
      </c>
      <c r="F226">
        <v>119084.38746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0.42362869198311931</v>
      </c>
      <c r="Q226">
        <f t="shared" si="960"/>
        <v>50447.563295290776</v>
      </c>
      <c r="R226">
        <f t="shared" si="961"/>
        <v>5249084.4315073313</v>
      </c>
      <c r="S226">
        <f t="shared" si="962"/>
        <v>52.490844315073311</v>
      </c>
      <c r="T226">
        <f t="shared" si="963"/>
        <v>5.249084431507331E-2</v>
      </c>
    </row>
    <row r="227" spans="1:20" x14ac:dyDescent="0.25">
      <c r="A227" s="5">
        <v>44366</v>
      </c>
      <c r="B227">
        <v>265.88</v>
      </c>
      <c r="C227">
        <v>282.14999999999998</v>
      </c>
      <c r="D227">
        <v>263.07</v>
      </c>
      <c r="E227">
        <v>267.89999999999998</v>
      </c>
      <c r="F227">
        <v>125224.15244000001</v>
      </c>
      <c r="G227">
        <v>0</v>
      </c>
      <c r="L227" t="s">
        <v>8</v>
      </c>
      <c r="M227" t="s">
        <v>8</v>
      </c>
      <c r="N227" t="s">
        <v>7</v>
      </c>
      <c r="P227">
        <f t="shared" si="959"/>
        <v>-0.49371069182390059</v>
      </c>
      <c r="Q227">
        <f t="shared" si="960"/>
        <v>-61824.50293421399</v>
      </c>
      <c r="R227">
        <f t="shared" si="961"/>
        <v>5198636.8682120405</v>
      </c>
      <c r="S227">
        <f t="shared" si="962"/>
        <v>51.986368682120407</v>
      </c>
      <c r="T227">
        <f t="shared" si="963"/>
        <v>5.1986368682120407E-2</v>
      </c>
    </row>
    <row r="228" spans="1:20" x14ac:dyDescent="0.25">
      <c r="A228" s="5">
        <v>44365</v>
      </c>
      <c r="B228">
        <v>277.17</v>
      </c>
      <c r="C228">
        <v>280</v>
      </c>
      <c r="D228">
        <v>260.88</v>
      </c>
      <c r="E228">
        <v>265.77</v>
      </c>
      <c r="F228">
        <v>172250.17329000001</v>
      </c>
      <c r="G228">
        <v>0</v>
      </c>
      <c r="L228" t="s">
        <v>7</v>
      </c>
      <c r="M228" t="s">
        <v>8</v>
      </c>
      <c r="N228" t="s">
        <v>7</v>
      </c>
      <c r="P228">
        <f t="shared" si="959"/>
        <v>-0.48849372384937395</v>
      </c>
      <c r="Q228">
        <f t="shared" si="960"/>
        <v>-84143.128584132079</v>
      </c>
      <c r="R228">
        <f t="shared" si="961"/>
        <v>5260461.3711462542</v>
      </c>
      <c r="S228">
        <f t="shared" si="962"/>
        <v>52.604613711462541</v>
      </c>
      <c r="T228">
        <f t="shared" si="963"/>
        <v>5.2604613711462543E-2</v>
      </c>
    </row>
    <row r="229" spans="1:20" x14ac:dyDescent="0.25">
      <c r="A229" s="5">
        <v>44364</v>
      </c>
      <c r="B229">
        <v>262.89999999999998</v>
      </c>
      <c r="C229">
        <v>281.95</v>
      </c>
      <c r="D229">
        <v>261.77</v>
      </c>
      <c r="E229">
        <v>277.12</v>
      </c>
      <c r="F229">
        <v>95468.770489999995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0.52130822596630499</v>
      </c>
      <c r="Q229">
        <f t="shared" si="960"/>
        <v>49768.655379326228</v>
      </c>
      <c r="R229">
        <f t="shared" si="961"/>
        <v>5344604.4997303868</v>
      </c>
      <c r="S229">
        <f t="shared" si="962"/>
        <v>53.446044997303865</v>
      </c>
      <c r="T229">
        <f t="shared" si="963"/>
        <v>5.3446044997303863E-2</v>
      </c>
    </row>
    <row r="230" spans="1:20" x14ac:dyDescent="0.25">
      <c r="A230" s="5">
        <v>44363</v>
      </c>
      <c r="B230">
        <v>278.14</v>
      </c>
      <c r="C230">
        <v>288.66000000000003</v>
      </c>
      <c r="D230">
        <v>259.35000000000002</v>
      </c>
      <c r="E230">
        <v>262.94</v>
      </c>
      <c r="F230">
        <v>106485.21447000001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-0.75503241214602701</v>
      </c>
      <c r="Q230">
        <f t="shared" si="960"/>
        <v>-80399.788339171122</v>
      </c>
      <c r="R230">
        <f t="shared" si="961"/>
        <v>5294835.8443510607</v>
      </c>
      <c r="S230">
        <f t="shared" si="962"/>
        <v>52.948358443510607</v>
      </c>
      <c r="T230">
        <f t="shared" si="963"/>
        <v>5.2948358443510604E-2</v>
      </c>
    </row>
    <row r="231" spans="1:20" x14ac:dyDescent="0.25">
      <c r="A231" s="5">
        <v>44362</v>
      </c>
      <c r="B231">
        <v>275.51</v>
      </c>
      <c r="C231">
        <v>285.5</v>
      </c>
      <c r="D231">
        <v>272.10000000000002</v>
      </c>
      <c r="E231">
        <v>278.14999999999998</v>
      </c>
      <c r="F231">
        <v>124525.83183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-9.7014925373139577E-2</v>
      </c>
      <c r="Q231">
        <f t="shared" si="960"/>
        <v>-12080.864282015578</v>
      </c>
      <c r="R231">
        <f t="shared" si="961"/>
        <v>5375235.6326902322</v>
      </c>
      <c r="S231">
        <f t="shared" si="962"/>
        <v>53.752356326902323</v>
      </c>
      <c r="T231">
        <f t="shared" si="963"/>
        <v>5.3752356326902326E-2</v>
      </c>
    </row>
    <row r="232" spans="1:20" x14ac:dyDescent="0.25">
      <c r="A232" s="5">
        <v>44361</v>
      </c>
      <c r="B232">
        <v>260.79000000000002</v>
      </c>
      <c r="C232">
        <v>275.58999999999997</v>
      </c>
      <c r="D232">
        <v>258.44</v>
      </c>
      <c r="E232">
        <v>275.57</v>
      </c>
      <c r="F232">
        <v>109891.70905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0.99766763848396711</v>
      </c>
      <c r="Q232">
        <f t="shared" si="960"/>
        <v>109635.40185688071</v>
      </c>
      <c r="R232">
        <f t="shared" si="961"/>
        <v>5387316.496972248</v>
      </c>
      <c r="S232">
        <f t="shared" si="962"/>
        <v>53.873164969722481</v>
      </c>
      <c r="T232">
        <f t="shared" si="963"/>
        <v>5.3873164969722484E-2</v>
      </c>
    </row>
    <row r="233" spans="1:20" x14ac:dyDescent="0.25">
      <c r="A233" s="5">
        <v>44360</v>
      </c>
      <c r="B233">
        <v>243.06</v>
      </c>
      <c r="C233">
        <v>262.29000000000002</v>
      </c>
      <c r="D233">
        <v>237.45</v>
      </c>
      <c r="E233">
        <v>260.75</v>
      </c>
      <c r="F233">
        <v>71157.779009999998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0.87600644122383109</v>
      </c>
      <c r="Q233">
        <f t="shared" si="960"/>
        <v>62334.672755941923</v>
      </c>
      <c r="R233">
        <f t="shared" si="961"/>
        <v>5277681.0951153673</v>
      </c>
      <c r="S233">
        <f t="shared" si="962"/>
        <v>52.776810951153671</v>
      </c>
      <c r="T233">
        <f t="shared" si="963"/>
        <v>5.277681095115367E-2</v>
      </c>
    </row>
    <row r="234" spans="1:20" x14ac:dyDescent="0.25">
      <c r="A234" s="5">
        <v>44359</v>
      </c>
      <c r="B234">
        <v>242.9</v>
      </c>
      <c r="C234">
        <v>251.8</v>
      </c>
      <c r="D234">
        <v>232</v>
      </c>
      <c r="E234">
        <v>243.04</v>
      </c>
      <c r="F234">
        <v>97936.082829999999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0.11515151515151371</v>
      </c>
      <c r="Q234">
        <f t="shared" si="960"/>
        <v>11277.488325878647</v>
      </c>
      <c r="R234">
        <f t="shared" si="961"/>
        <v>5215346.4223594256</v>
      </c>
      <c r="S234">
        <f t="shared" si="962"/>
        <v>52.153464223594256</v>
      </c>
      <c r="T234">
        <f t="shared" si="963"/>
        <v>5.2153464223594258E-2</v>
      </c>
    </row>
    <row r="235" spans="1:20" x14ac:dyDescent="0.25">
      <c r="A235" s="5">
        <v>44358</v>
      </c>
      <c r="B235">
        <v>255.62</v>
      </c>
      <c r="C235">
        <v>258.61</v>
      </c>
      <c r="D235">
        <v>240.33</v>
      </c>
      <c r="E235">
        <v>242.89</v>
      </c>
      <c r="F235">
        <v>93280.824170000007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-0.7199124726477053</v>
      </c>
      <c r="Q235">
        <f t="shared" si="960"/>
        <v>-67154.02877884054</v>
      </c>
      <c r="R235">
        <f t="shared" si="961"/>
        <v>5204068.9340335466</v>
      </c>
      <c r="S235">
        <f t="shared" si="962"/>
        <v>52.040689340335469</v>
      </c>
      <c r="T235">
        <f t="shared" si="963"/>
        <v>5.2040689340335469E-2</v>
      </c>
    </row>
    <row r="236" spans="1:20" x14ac:dyDescent="0.25">
      <c r="A236" s="5">
        <v>44357</v>
      </c>
      <c r="B236">
        <v>274.77</v>
      </c>
      <c r="C236">
        <v>283</v>
      </c>
      <c r="D236">
        <v>254.3</v>
      </c>
      <c r="E236">
        <v>255.6</v>
      </c>
      <c r="F236">
        <v>143655.24170000001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-0.90940766550522767</v>
      </c>
      <c r="Q236">
        <f t="shared" si="960"/>
        <v>-130641.17799198625</v>
      </c>
      <c r="R236">
        <f t="shared" si="961"/>
        <v>5271222.9628123874</v>
      </c>
      <c r="S236">
        <f t="shared" si="962"/>
        <v>52.712229628123872</v>
      </c>
      <c r="T236">
        <f t="shared" si="963"/>
        <v>5.2712229628123872E-2</v>
      </c>
    </row>
    <row r="237" spans="1:20" x14ac:dyDescent="0.25">
      <c r="A237" s="5">
        <v>44356</v>
      </c>
      <c r="B237">
        <v>253.59</v>
      </c>
      <c r="C237">
        <v>275.31</v>
      </c>
      <c r="D237">
        <v>237.22</v>
      </c>
      <c r="E237">
        <v>274.87</v>
      </c>
      <c r="F237">
        <v>155100.84229999999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0.97689682331320571</v>
      </c>
      <c r="Q237">
        <f t="shared" si="960"/>
        <v>151517.52013607247</v>
      </c>
      <c r="R237">
        <f t="shared" si="961"/>
        <v>5401864.1408043737</v>
      </c>
      <c r="S237">
        <f t="shared" si="962"/>
        <v>54.018641408043734</v>
      </c>
      <c r="T237">
        <f t="shared" si="963"/>
        <v>5.4018641408043737E-2</v>
      </c>
    </row>
    <row r="238" spans="1:20" x14ac:dyDescent="0.25">
      <c r="A238" s="5">
        <v>44355</v>
      </c>
      <c r="B238">
        <v>248.96</v>
      </c>
      <c r="C238">
        <v>255.73</v>
      </c>
      <c r="D238">
        <v>222.27</v>
      </c>
      <c r="E238">
        <v>253.61</v>
      </c>
      <c r="F238">
        <v>157186.22258999999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0.87328153018529719</v>
      </c>
      <c r="Q238">
        <f t="shared" si="960"/>
        <v>137267.82498744191</v>
      </c>
      <c r="R238">
        <f t="shared" si="961"/>
        <v>5250346.6206683014</v>
      </c>
      <c r="S238">
        <f t="shared" si="962"/>
        <v>52.503466206683015</v>
      </c>
      <c r="T238">
        <f t="shared" si="963"/>
        <v>5.2503466206683017E-2</v>
      </c>
    </row>
    <row r="239" spans="1:20" x14ac:dyDescent="0.25">
      <c r="A239" s="5">
        <v>44354</v>
      </c>
      <c r="B239">
        <v>272.5</v>
      </c>
      <c r="C239">
        <v>282.16000000000003</v>
      </c>
      <c r="D239">
        <v>247</v>
      </c>
      <c r="E239">
        <v>249.02</v>
      </c>
      <c r="F239">
        <v>117987.97190999999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-0.88509670079635905</v>
      </c>
      <c r="Q239">
        <f t="shared" si="960"/>
        <v>-104430.76467119448</v>
      </c>
      <c r="R239">
        <f t="shared" si="961"/>
        <v>5113078.7956808591</v>
      </c>
      <c r="S239">
        <f t="shared" si="962"/>
        <v>51.130787956808589</v>
      </c>
      <c r="T239">
        <f t="shared" si="963"/>
        <v>5.1130787956808588E-2</v>
      </c>
    </row>
    <row r="240" spans="1:20" x14ac:dyDescent="0.25">
      <c r="A240" s="5">
        <v>44353</v>
      </c>
      <c r="B240">
        <v>263.91000000000003</v>
      </c>
      <c r="C240">
        <v>276.89999999999998</v>
      </c>
      <c r="D240">
        <v>262.33999999999997</v>
      </c>
      <c r="E240">
        <v>272.5</v>
      </c>
      <c r="F240">
        <v>103782.64721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0.39560439560439881</v>
      </c>
      <c r="Q240">
        <f t="shared" si="960"/>
        <v>41056.871423736593</v>
      </c>
      <c r="R240">
        <f t="shared" si="961"/>
        <v>5217509.5603520535</v>
      </c>
      <c r="S240">
        <f t="shared" si="962"/>
        <v>52.175095603520532</v>
      </c>
      <c r="T240">
        <f t="shared" si="963"/>
        <v>5.217509560352053E-2</v>
      </c>
    </row>
    <row r="241" spans="1:20" x14ac:dyDescent="0.25">
      <c r="A241" s="5">
        <v>44352</v>
      </c>
      <c r="B241">
        <v>287.41000000000003</v>
      </c>
      <c r="C241">
        <v>295.14</v>
      </c>
      <c r="D241">
        <v>256.91000000000003</v>
      </c>
      <c r="E241">
        <v>264.01</v>
      </c>
      <c r="F241">
        <v>166798.80051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-0.62856395500915652</v>
      </c>
      <c r="Q241">
        <f t="shared" si="960"/>
        <v>-104843.71373934891</v>
      </c>
      <c r="R241">
        <f t="shared" si="961"/>
        <v>5176452.6889283173</v>
      </c>
      <c r="S241">
        <f t="shared" si="962"/>
        <v>51.764526889283175</v>
      </c>
      <c r="T241">
        <f t="shared" si="963"/>
        <v>5.1764526889283173E-2</v>
      </c>
    </row>
    <row r="242" spans="1:20" x14ac:dyDescent="0.25">
      <c r="A242" s="5">
        <v>44351</v>
      </c>
      <c r="B242">
        <v>309.62</v>
      </c>
      <c r="C242">
        <v>312.24</v>
      </c>
      <c r="D242">
        <v>267.64999999999998</v>
      </c>
      <c r="E242">
        <v>287.36</v>
      </c>
      <c r="F242">
        <v>156030.11142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-0.11594527921058433</v>
      </c>
      <c r="Q242">
        <f t="shared" si="960"/>
        <v>-18090.954833850483</v>
      </c>
      <c r="R242">
        <f t="shared" si="961"/>
        <v>5281296.4026676659</v>
      </c>
      <c r="S242">
        <f t="shared" si="962"/>
        <v>52.81296402667666</v>
      </c>
      <c r="T242">
        <f t="shared" si="963"/>
        <v>5.2812964026676658E-2</v>
      </c>
    </row>
    <row r="243" spans="1:20" x14ac:dyDescent="0.25">
      <c r="A243" s="5">
        <v>44350</v>
      </c>
      <c r="B243">
        <v>294.63</v>
      </c>
      <c r="C243">
        <v>316.23</v>
      </c>
      <c r="D243">
        <v>285.67</v>
      </c>
      <c r="E243">
        <v>309.57</v>
      </c>
      <c r="F243">
        <v>177007.95517999999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0.56413612565444871</v>
      </c>
      <c r="Q243">
        <f t="shared" si="960"/>
        <v>99856.582045261501</v>
      </c>
      <c r="R243">
        <f t="shared" si="961"/>
        <v>5299387.3575015161</v>
      </c>
      <c r="S243">
        <f t="shared" si="962"/>
        <v>52.993873575015158</v>
      </c>
      <c r="T243">
        <f t="shared" si="963"/>
        <v>5.2993873575015157E-2</v>
      </c>
    </row>
    <row r="244" spans="1:20" x14ac:dyDescent="0.25">
      <c r="A244" s="5">
        <v>44349</v>
      </c>
      <c r="B244">
        <v>266.39999999999998</v>
      </c>
      <c r="C244">
        <v>295</v>
      </c>
      <c r="D244">
        <v>262.5</v>
      </c>
      <c r="E244">
        <v>294.63</v>
      </c>
      <c r="F244">
        <v>131447.47902999999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0.9772307692307689</v>
      </c>
      <c r="Q244">
        <f t="shared" si="960"/>
        <v>128454.52104593226</v>
      </c>
      <c r="R244">
        <f t="shared" si="961"/>
        <v>5199530.7754562544</v>
      </c>
      <c r="S244">
        <f t="shared" si="962"/>
        <v>51.995307754562546</v>
      </c>
      <c r="T244">
        <f t="shared" si="963"/>
        <v>5.1995307754562549E-2</v>
      </c>
    </row>
    <row r="245" spans="1:20" x14ac:dyDescent="0.25">
      <c r="A245" s="5">
        <v>44348</v>
      </c>
      <c r="B245">
        <v>272.11</v>
      </c>
      <c r="C245">
        <v>276.5</v>
      </c>
      <c r="D245">
        <v>252.5</v>
      </c>
      <c r="E245">
        <v>266.37</v>
      </c>
      <c r="F245">
        <v>136533.41927000001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0.15583333333333371</v>
      </c>
      <c r="Q245">
        <f t="shared" si="960"/>
        <v>21276.45783624172</v>
      </c>
      <c r="R245">
        <f t="shared" si="961"/>
        <v>5071076.2544103218</v>
      </c>
      <c r="S245">
        <f t="shared" si="962"/>
        <v>50.710762544103218</v>
      </c>
      <c r="T245">
        <f t="shared" si="963"/>
        <v>5.071076254410322E-2</v>
      </c>
    </row>
    <row r="246" spans="1:20" x14ac:dyDescent="0.25">
      <c r="A246" s="5">
        <v>44347</v>
      </c>
      <c r="B246">
        <v>261.88</v>
      </c>
      <c r="C246">
        <v>275.86</v>
      </c>
      <c r="D246">
        <v>242.45</v>
      </c>
      <c r="E246">
        <v>272.20999999999998</v>
      </c>
      <c r="F246">
        <v>138570.24074000001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0.78150254414845666</v>
      </c>
      <c r="Q246">
        <f t="shared" si="960"/>
        <v>108292.99568157412</v>
      </c>
      <c r="R246">
        <f t="shared" si="961"/>
        <v>5049799.7965740804</v>
      </c>
      <c r="S246">
        <f t="shared" si="962"/>
        <v>50.497997965740801</v>
      </c>
      <c r="T246">
        <f t="shared" si="963"/>
        <v>5.0497997965740803E-2</v>
      </c>
    </row>
    <row r="247" spans="1:20" x14ac:dyDescent="0.25">
      <c r="A247" s="5">
        <v>44346</v>
      </c>
      <c r="B247">
        <v>243.13</v>
      </c>
      <c r="C247">
        <v>268.45</v>
      </c>
      <c r="D247">
        <v>226.02</v>
      </c>
      <c r="E247">
        <v>261.89999999999998</v>
      </c>
      <c r="F247">
        <v>144914.3873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0.69125618666038113</v>
      </c>
      <c r="Q247">
        <f t="shared" si="960"/>
        <v>100172.96675722356</v>
      </c>
      <c r="R247">
        <f t="shared" si="961"/>
        <v>4941506.8008925058</v>
      </c>
      <c r="S247">
        <f t="shared" si="962"/>
        <v>49.415068008925061</v>
      </c>
      <c r="T247">
        <f t="shared" si="963"/>
        <v>4.9415068008925062E-2</v>
      </c>
    </row>
    <row r="248" spans="1:20" x14ac:dyDescent="0.25">
      <c r="A248" s="5">
        <v>44345</v>
      </c>
      <c r="B248">
        <v>262.3</v>
      </c>
      <c r="C248">
        <v>297.39999999999998</v>
      </c>
      <c r="D248">
        <v>229.15</v>
      </c>
      <c r="E248">
        <v>243.16</v>
      </c>
      <c r="F248">
        <v>376103.62903000001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-0.58945054945054953</v>
      </c>
      <c r="Q248">
        <f t="shared" si="960"/>
        <v>-221694.49078207917</v>
      </c>
      <c r="R248">
        <f t="shared" si="961"/>
        <v>4841333.8341352819</v>
      </c>
      <c r="S248">
        <f t="shared" si="962"/>
        <v>48.413338341352819</v>
      </c>
      <c r="T248">
        <f t="shared" si="963"/>
        <v>4.8413338341352821E-2</v>
      </c>
    </row>
    <row r="249" spans="1:20" x14ac:dyDescent="0.25">
      <c r="A249" s="5">
        <v>44344</v>
      </c>
      <c r="B249">
        <v>252.81</v>
      </c>
      <c r="C249">
        <v>267.22000000000003</v>
      </c>
      <c r="D249">
        <v>218.99</v>
      </c>
      <c r="E249">
        <v>262.10000000000002</v>
      </c>
      <c r="F249">
        <v>244055.00516999999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0.78768401409910838</v>
      </c>
      <c r="Q249">
        <f t="shared" si="960"/>
        <v>192238.22613328425</v>
      </c>
      <c r="R249">
        <f t="shared" si="961"/>
        <v>5063028.3249173611</v>
      </c>
      <c r="S249">
        <f t="shared" si="962"/>
        <v>50.630283249173608</v>
      </c>
      <c r="T249">
        <f t="shared" si="963"/>
        <v>5.063028324917361E-2</v>
      </c>
    </row>
    <row r="250" spans="1:20" x14ac:dyDescent="0.25">
      <c r="A250" s="5">
        <v>44343</v>
      </c>
      <c r="B250">
        <v>268.55</v>
      </c>
      <c r="C250">
        <v>269.2</v>
      </c>
      <c r="D250">
        <v>242.89</v>
      </c>
      <c r="E250">
        <v>252.84</v>
      </c>
      <c r="F250">
        <v>155071.73981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-0.24363359939186499</v>
      </c>
      <c r="Q250">
        <f t="shared" si="960"/>
        <v>-37780.686133869065</v>
      </c>
      <c r="R250">
        <f t="shared" si="961"/>
        <v>4870790.098784077</v>
      </c>
      <c r="S250">
        <f t="shared" si="962"/>
        <v>48.707900987840773</v>
      </c>
      <c r="T250">
        <f t="shared" si="963"/>
        <v>4.8707900987840773E-2</v>
      </c>
    </row>
    <row r="251" spans="1:20" x14ac:dyDescent="0.25">
      <c r="A251" s="5">
        <v>44342</v>
      </c>
      <c r="B251">
        <v>246.66</v>
      </c>
      <c r="C251">
        <v>275</v>
      </c>
      <c r="D251">
        <v>242.63</v>
      </c>
      <c r="E251">
        <v>268.52999999999997</v>
      </c>
      <c r="F251">
        <v>189377.88115999999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0.60024714241581545</v>
      </c>
      <c r="Q251">
        <f t="shared" si="960"/>
        <v>113673.53200305189</v>
      </c>
      <c r="R251">
        <f t="shared" si="961"/>
        <v>4908570.784917946</v>
      </c>
      <c r="S251">
        <f t="shared" si="962"/>
        <v>49.085707849179457</v>
      </c>
      <c r="T251">
        <f t="shared" si="963"/>
        <v>4.9085707849179455E-2</v>
      </c>
    </row>
    <row r="252" spans="1:20" x14ac:dyDescent="0.25">
      <c r="A252" s="5">
        <v>44341</v>
      </c>
      <c r="B252">
        <v>256.39</v>
      </c>
      <c r="C252">
        <v>265.5</v>
      </c>
      <c r="D252">
        <v>226.55</v>
      </c>
      <c r="E252">
        <v>246.62</v>
      </c>
      <c r="F252">
        <v>198293.23228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3.055198973042357E-2</v>
      </c>
      <c r="Q252">
        <f t="shared" si="960"/>
        <v>6058.252796231056</v>
      </c>
      <c r="R252">
        <f t="shared" si="961"/>
        <v>4794897.2529148944</v>
      </c>
      <c r="S252">
        <f t="shared" si="962"/>
        <v>47.948972529148946</v>
      </c>
      <c r="T252">
        <f t="shared" si="963"/>
        <v>4.7948972529148946E-2</v>
      </c>
    </row>
    <row r="253" spans="1:20" x14ac:dyDescent="0.25">
      <c r="A253" s="5">
        <v>44340</v>
      </c>
      <c r="B253">
        <v>225.81</v>
      </c>
      <c r="C253">
        <v>256.94</v>
      </c>
      <c r="D253">
        <v>214.66</v>
      </c>
      <c r="E253">
        <v>256.22000000000003</v>
      </c>
      <c r="F253">
        <v>279996.57079000003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0.96594134342478855</v>
      </c>
      <c r="Q253">
        <f t="shared" si="960"/>
        <v>270460.26374322653</v>
      </c>
      <c r="R253">
        <f t="shared" si="961"/>
        <v>4788839.0001186635</v>
      </c>
      <c r="S253">
        <f t="shared" si="962"/>
        <v>47.888390001186636</v>
      </c>
      <c r="T253">
        <f t="shared" si="963"/>
        <v>4.7888390001186637E-2</v>
      </c>
    </row>
    <row r="254" spans="1:20" x14ac:dyDescent="0.25">
      <c r="A254" s="5">
        <v>44339</v>
      </c>
      <c r="B254">
        <v>231.03</v>
      </c>
      <c r="C254">
        <v>261.24</v>
      </c>
      <c r="D254">
        <v>174.33</v>
      </c>
      <c r="E254">
        <v>225.5</v>
      </c>
      <c r="F254">
        <v>474782.73527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0.17753998389138165</v>
      </c>
      <c r="Q254">
        <f t="shared" si="960"/>
        <v>84292.919171741916</v>
      </c>
      <c r="R254">
        <f t="shared" si="961"/>
        <v>4518378.7363754371</v>
      </c>
      <c r="S254">
        <f t="shared" si="962"/>
        <v>45.183787363754369</v>
      </c>
      <c r="T254">
        <f t="shared" si="963"/>
        <v>4.518378736375437E-2</v>
      </c>
    </row>
    <row r="255" spans="1:20" x14ac:dyDescent="0.25">
      <c r="A255" s="5">
        <v>44338</v>
      </c>
      <c r="B255">
        <v>256.18</v>
      </c>
      <c r="C255">
        <v>262.58999999999997</v>
      </c>
      <c r="D255">
        <v>222.46</v>
      </c>
      <c r="E255">
        <v>231.12</v>
      </c>
      <c r="F255">
        <v>399180.83523000003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-0.56840269125342613</v>
      </c>
      <c r="Q255">
        <f t="shared" si="960"/>
        <v>-226895.46104152247</v>
      </c>
      <c r="R255">
        <f t="shared" si="961"/>
        <v>4434085.817203695</v>
      </c>
      <c r="S255">
        <f t="shared" si="962"/>
        <v>44.340858172036953</v>
      </c>
      <c r="T255">
        <f t="shared" si="963"/>
        <v>4.4340858172036951E-2</v>
      </c>
    </row>
    <row r="256" spans="1:20" x14ac:dyDescent="0.25">
      <c r="A256" s="5">
        <v>44337</v>
      </c>
      <c r="B256">
        <v>280.7</v>
      </c>
      <c r="C256">
        <v>329.99</v>
      </c>
      <c r="D256">
        <v>227.02</v>
      </c>
      <c r="E256">
        <v>256.2</v>
      </c>
      <c r="F256">
        <v>805091.39058000001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-0.43323298047975178</v>
      </c>
      <c r="Q256">
        <f t="shared" si="960"/>
        <v>-348792.14269956137</v>
      </c>
      <c r="R256">
        <f t="shared" si="961"/>
        <v>4660981.2782452172</v>
      </c>
      <c r="S256">
        <f t="shared" si="962"/>
        <v>46.609812782452174</v>
      </c>
      <c r="T256">
        <f t="shared" si="963"/>
        <v>4.6609812782452173E-2</v>
      </c>
    </row>
    <row r="257" spans="1:20" x14ac:dyDescent="0.25">
      <c r="A257" s="5">
        <v>44336</v>
      </c>
      <c r="B257">
        <v>197.58</v>
      </c>
      <c r="C257">
        <v>289.99</v>
      </c>
      <c r="D257">
        <v>180</v>
      </c>
      <c r="E257">
        <v>280.79000000000002</v>
      </c>
      <c r="F257">
        <v>443567.52211000002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0.83271206473315773</v>
      </c>
      <c r="Q257">
        <f t="shared" si="960"/>
        <v>369364.02718478872</v>
      </c>
      <c r="R257">
        <f t="shared" si="961"/>
        <v>5009773.4209447782</v>
      </c>
      <c r="S257">
        <f t="shared" si="962"/>
        <v>50.097734209447779</v>
      </c>
      <c r="T257">
        <f t="shared" si="963"/>
        <v>5.0097734209447776E-2</v>
      </c>
    </row>
    <row r="258" spans="1:20" x14ac:dyDescent="0.25">
      <c r="A258" s="5">
        <v>44335</v>
      </c>
      <c r="B258">
        <v>340.89</v>
      </c>
      <c r="C258">
        <v>347</v>
      </c>
      <c r="D258">
        <v>124.69</v>
      </c>
      <c r="E258">
        <v>197.34</v>
      </c>
      <c r="F258">
        <v>541247.34554999997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-0.34640816877333447</v>
      </c>
      <c r="Q258">
        <f t="shared" si="960"/>
        <v>-187492.50182540368</v>
      </c>
      <c r="R258">
        <f t="shared" si="961"/>
        <v>4640409.3937599892</v>
      </c>
      <c r="S258">
        <f t="shared" si="962"/>
        <v>46.404093937599889</v>
      </c>
      <c r="T258">
        <f t="shared" si="963"/>
        <v>4.6404093937599887E-2</v>
      </c>
    </row>
    <row r="259" spans="1:20" x14ac:dyDescent="0.25">
      <c r="A259" s="5">
        <v>44334</v>
      </c>
      <c r="B259">
        <v>339.8</v>
      </c>
      <c r="C259">
        <v>360.88</v>
      </c>
      <c r="D259">
        <v>326.23</v>
      </c>
      <c r="E259">
        <v>341.02</v>
      </c>
      <c r="F259">
        <v>138408.52483000001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-0.14632034632034785</v>
      </c>
      <c r="Q259">
        <f t="shared" si="960"/>
        <v>-20251.983286814066</v>
      </c>
      <c r="R259">
        <f t="shared" si="961"/>
        <v>4827901.8955853926</v>
      </c>
      <c r="S259">
        <f t="shared" si="962"/>
        <v>48.279018955853928</v>
      </c>
      <c r="T259">
        <f t="shared" si="963"/>
        <v>4.8279018955853931E-2</v>
      </c>
    </row>
    <row r="260" spans="1:20" x14ac:dyDescent="0.25">
      <c r="A260" s="5">
        <v>44333</v>
      </c>
      <c r="B260">
        <v>390.55</v>
      </c>
      <c r="C260">
        <v>390.57</v>
      </c>
      <c r="D260">
        <v>329.95</v>
      </c>
      <c r="E260">
        <v>339.87</v>
      </c>
      <c r="F260">
        <v>210847.14118999999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-0.67271527548663757</v>
      </c>
      <c r="Q260">
        <f t="shared" si="960"/>
        <v>-141840.09267120081</v>
      </c>
      <c r="R260">
        <f t="shared" si="961"/>
        <v>4848153.8788722064</v>
      </c>
      <c r="S260">
        <f t="shared" si="962"/>
        <v>48.481538788722062</v>
      </c>
      <c r="T260">
        <f t="shared" si="963"/>
        <v>4.8481538788722064E-2</v>
      </c>
    </row>
    <row r="261" spans="1:20" x14ac:dyDescent="0.25">
      <c r="A261" s="5">
        <v>44332</v>
      </c>
      <c r="B261">
        <v>382.47</v>
      </c>
      <c r="C261">
        <v>404.47</v>
      </c>
      <c r="D261">
        <v>371</v>
      </c>
      <c r="E261">
        <v>390.65</v>
      </c>
      <c r="F261">
        <v>158043.70334000001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0.17418583806393553</v>
      </c>
      <c r="Q261">
        <f t="shared" si="960"/>
        <v>27528.974917005908</v>
      </c>
      <c r="R261">
        <f t="shared" si="961"/>
        <v>4989993.9715434071</v>
      </c>
      <c r="S261">
        <f t="shared" si="962"/>
        <v>49.899939715434073</v>
      </c>
      <c r="T261">
        <f t="shared" si="963"/>
        <v>4.989993971543407E-2</v>
      </c>
    </row>
    <row r="262" spans="1:20" x14ac:dyDescent="0.25">
      <c r="A262" s="5">
        <v>44331</v>
      </c>
      <c r="B262">
        <v>412.84</v>
      </c>
      <c r="C262">
        <v>441.99</v>
      </c>
      <c r="D262">
        <v>381.05</v>
      </c>
      <c r="E262">
        <v>382.38</v>
      </c>
      <c r="F262">
        <v>224708.68969</v>
      </c>
      <c r="G262">
        <v>0</v>
      </c>
      <c r="L262" t="s">
        <v>8</v>
      </c>
      <c r="M262" t="s">
        <v>7</v>
      </c>
      <c r="N262" t="s">
        <v>8</v>
      </c>
      <c r="P262">
        <f t="shared" ref="P262:P325" si="964">IF(C262=D262,0,((E262-D262)-(C262-E262))/(C262-D262))</f>
        <v>-0.9563505086970796</v>
      </c>
      <c r="Q262">
        <f t="shared" ref="Q262:Q325" si="965">F262*P262</f>
        <v>-214900.2696936857</v>
      </c>
      <c r="R262">
        <f t="shared" ref="R262:R325" si="966">R263+Q262</f>
        <v>4962464.9966264013</v>
      </c>
      <c r="S262">
        <f t="shared" ref="S262:S325" si="967">R262/100000</f>
        <v>49.624649966264016</v>
      </c>
      <c r="T262">
        <f t="shared" ref="T262:T325" si="968">S262/1000</f>
        <v>4.9624649966264013E-2</v>
      </c>
    </row>
    <row r="263" spans="1:20" x14ac:dyDescent="0.25">
      <c r="A263" s="5">
        <v>44330</v>
      </c>
      <c r="B263">
        <v>402.43</v>
      </c>
      <c r="C263">
        <v>422.28</v>
      </c>
      <c r="D263">
        <v>394.3</v>
      </c>
      <c r="E263">
        <v>412.91</v>
      </c>
      <c r="F263">
        <v>112687.6801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0.33023588277341237</v>
      </c>
      <c r="Q263">
        <f t="shared" si="965"/>
        <v>37213.51551551139</v>
      </c>
      <c r="R263">
        <f t="shared" si="966"/>
        <v>5177365.266320087</v>
      </c>
      <c r="S263">
        <f t="shared" si="967"/>
        <v>51.77365266320087</v>
      </c>
      <c r="T263">
        <f t="shared" si="968"/>
        <v>5.1773652663200873E-2</v>
      </c>
    </row>
    <row r="264" spans="1:20" x14ac:dyDescent="0.25">
      <c r="A264" s="5">
        <v>44329</v>
      </c>
      <c r="B264">
        <v>395.47</v>
      </c>
      <c r="C264">
        <v>420.97</v>
      </c>
      <c r="D264">
        <v>369.78</v>
      </c>
      <c r="E264">
        <v>402.34</v>
      </c>
      <c r="F264">
        <v>201834.77760999999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0.27212346161359513</v>
      </c>
      <c r="Q264">
        <f t="shared" si="965"/>
        <v>54923.978357243344</v>
      </c>
      <c r="R264">
        <f t="shared" si="966"/>
        <v>5140151.7508045752</v>
      </c>
      <c r="S264">
        <f t="shared" si="967"/>
        <v>51.40151750804575</v>
      </c>
      <c r="T264">
        <f t="shared" si="968"/>
        <v>5.1401517508045752E-2</v>
      </c>
    </row>
    <row r="265" spans="1:20" x14ac:dyDescent="0.25">
      <c r="A265" s="5">
        <v>44328</v>
      </c>
      <c r="B265">
        <v>453.42</v>
      </c>
      <c r="C265">
        <v>480</v>
      </c>
      <c r="D265">
        <v>385.3</v>
      </c>
      <c r="E265">
        <v>396.06</v>
      </c>
      <c r="F265">
        <v>196103.83429999999</v>
      </c>
      <c r="G265">
        <v>0</v>
      </c>
      <c r="L265" t="s">
        <v>7</v>
      </c>
      <c r="M265" t="s">
        <v>7</v>
      </c>
      <c r="N265" t="s">
        <v>8</v>
      </c>
      <c r="P265">
        <f t="shared" si="964"/>
        <v>-0.77275607180570238</v>
      </c>
      <c r="Q265">
        <f t="shared" si="965"/>
        <v>-151540.42865970434</v>
      </c>
      <c r="R265">
        <f t="shared" si="966"/>
        <v>5085227.7724473318</v>
      </c>
      <c r="S265">
        <f t="shared" si="967"/>
        <v>50.852277724473318</v>
      </c>
      <c r="T265">
        <f t="shared" si="968"/>
        <v>5.0852277724473316E-2</v>
      </c>
    </row>
    <row r="266" spans="1:20" x14ac:dyDescent="0.25">
      <c r="A266" s="5">
        <v>44327</v>
      </c>
      <c r="B266">
        <v>441.56</v>
      </c>
      <c r="C266">
        <v>454.67</v>
      </c>
      <c r="D266">
        <v>420.1</v>
      </c>
      <c r="E266">
        <v>453.41</v>
      </c>
      <c r="F266">
        <v>155338.82386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0.92710442580271968</v>
      </c>
      <c r="Q266">
        <f t="shared" si="965"/>
        <v>144015.31109959513</v>
      </c>
      <c r="R266">
        <f t="shared" si="966"/>
        <v>5236768.2011070363</v>
      </c>
      <c r="S266">
        <f t="shared" si="967"/>
        <v>52.367682011070364</v>
      </c>
      <c r="T266">
        <f t="shared" si="968"/>
        <v>5.2367682011070366E-2</v>
      </c>
    </row>
    <row r="267" spans="1:20" x14ac:dyDescent="0.25">
      <c r="A267" s="5">
        <v>44326</v>
      </c>
      <c r="B267">
        <v>484.29</v>
      </c>
      <c r="C267">
        <v>497.55</v>
      </c>
      <c r="D267">
        <v>422.22</v>
      </c>
      <c r="E267">
        <v>441.03</v>
      </c>
      <c r="F267">
        <v>160293.84112</v>
      </c>
      <c r="G267">
        <v>0</v>
      </c>
      <c r="L267" t="s">
        <v>8</v>
      </c>
      <c r="M267" t="s">
        <v>7</v>
      </c>
      <c r="N267" t="s">
        <v>8</v>
      </c>
      <c r="P267">
        <f t="shared" si="964"/>
        <v>-0.50059737156511486</v>
      </c>
      <c r="Q267">
        <f t="shared" si="965"/>
        <v>-80242.675542748126</v>
      </c>
      <c r="R267">
        <f t="shared" si="966"/>
        <v>5092752.8900074409</v>
      </c>
      <c r="S267">
        <f t="shared" si="967"/>
        <v>50.927528900074407</v>
      </c>
      <c r="T267">
        <f t="shared" si="968"/>
        <v>5.0927528900074404E-2</v>
      </c>
    </row>
    <row r="268" spans="1:20" x14ac:dyDescent="0.25">
      <c r="A268" s="5">
        <v>44325</v>
      </c>
      <c r="B268">
        <v>475.95</v>
      </c>
      <c r="C268">
        <v>486.67</v>
      </c>
      <c r="D268">
        <v>446.08</v>
      </c>
      <c r="E268">
        <v>484</v>
      </c>
      <c r="F268">
        <v>139892.38561999999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0.86844050258684335</v>
      </c>
      <c r="Q268">
        <f t="shared" si="965"/>
        <v>121488.21367590528</v>
      </c>
      <c r="R268">
        <f t="shared" si="966"/>
        <v>5172995.5655501895</v>
      </c>
      <c r="S268">
        <f t="shared" si="967"/>
        <v>51.729955655501897</v>
      </c>
      <c r="T268">
        <f t="shared" si="968"/>
        <v>5.1729955655501897E-2</v>
      </c>
    </row>
    <row r="269" spans="1:20" x14ac:dyDescent="0.25">
      <c r="A269" s="5">
        <v>44324</v>
      </c>
      <c r="B269">
        <v>454.74</v>
      </c>
      <c r="C269">
        <v>488.98</v>
      </c>
      <c r="D269">
        <v>451.24</v>
      </c>
      <c r="E269">
        <v>475.59</v>
      </c>
      <c r="F269">
        <v>179011.98516000001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0.29040805511393536</v>
      </c>
      <c r="Q269">
        <f t="shared" si="965"/>
        <v>51986.522452400262</v>
      </c>
      <c r="R269">
        <f t="shared" si="966"/>
        <v>5051507.3518742844</v>
      </c>
      <c r="S269">
        <f t="shared" si="967"/>
        <v>50.515073518742845</v>
      </c>
      <c r="T269">
        <f t="shared" si="968"/>
        <v>5.0515073518742848E-2</v>
      </c>
    </row>
    <row r="270" spans="1:20" x14ac:dyDescent="0.25">
      <c r="A270" s="5">
        <v>44323</v>
      </c>
      <c r="B270">
        <v>422.42</v>
      </c>
      <c r="C270">
        <v>519.13</v>
      </c>
      <c r="D270">
        <v>422.2</v>
      </c>
      <c r="E270">
        <v>454.81</v>
      </c>
      <c r="F270">
        <v>491677.66960000002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-0.32714329928814584</v>
      </c>
      <c r="Q270">
        <f t="shared" si="965"/>
        <v>-160849.0550192509</v>
      </c>
      <c r="R270">
        <f t="shared" si="966"/>
        <v>4999520.8294218844</v>
      </c>
      <c r="S270">
        <f t="shared" si="967"/>
        <v>49.995208294218841</v>
      </c>
      <c r="T270">
        <f t="shared" si="968"/>
        <v>4.9995208294218843E-2</v>
      </c>
    </row>
    <row r="271" spans="1:20" x14ac:dyDescent="0.25">
      <c r="A271" s="5">
        <v>44322</v>
      </c>
      <c r="B271">
        <v>417.11</v>
      </c>
      <c r="C271">
        <v>435.99</v>
      </c>
      <c r="D271">
        <v>404.25</v>
      </c>
      <c r="E271">
        <v>422.45</v>
      </c>
      <c r="F271">
        <v>190139.20309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0.14681789540012499</v>
      </c>
      <c r="Q271">
        <f t="shared" si="965"/>
        <v>27915.837630730741</v>
      </c>
      <c r="R271">
        <f t="shared" si="966"/>
        <v>5160369.8844411355</v>
      </c>
      <c r="S271">
        <f t="shared" si="967"/>
        <v>51.603698844411355</v>
      </c>
      <c r="T271">
        <f t="shared" si="968"/>
        <v>5.1603698844411357E-2</v>
      </c>
    </row>
    <row r="272" spans="1:20" x14ac:dyDescent="0.25">
      <c r="A272" s="5">
        <v>44321</v>
      </c>
      <c r="B272">
        <v>379.53</v>
      </c>
      <c r="C272">
        <v>418</v>
      </c>
      <c r="D272">
        <v>375.69</v>
      </c>
      <c r="E272">
        <v>417.16</v>
      </c>
      <c r="F272">
        <v>137891.45801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0.96029307492318716</v>
      </c>
      <c r="Q272">
        <f t="shared" si="965"/>
        <v>132416.21221806444</v>
      </c>
      <c r="R272">
        <f t="shared" si="966"/>
        <v>5132454.0468104044</v>
      </c>
      <c r="S272">
        <f t="shared" si="967"/>
        <v>51.324540468104047</v>
      </c>
      <c r="T272">
        <f t="shared" si="968"/>
        <v>5.1324540468104043E-2</v>
      </c>
    </row>
    <row r="273" spans="1:20" x14ac:dyDescent="0.25">
      <c r="A273" s="5">
        <v>44320</v>
      </c>
      <c r="B273">
        <v>411.46</v>
      </c>
      <c r="C273">
        <v>411.95</v>
      </c>
      <c r="D273">
        <v>378.28</v>
      </c>
      <c r="E273">
        <v>379.54</v>
      </c>
      <c r="F273">
        <v>179530.18135999999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-0.92515592515592238</v>
      </c>
      <c r="Q273">
        <f t="shared" si="965"/>
        <v>-166093.41102952132</v>
      </c>
      <c r="R273">
        <f t="shared" si="966"/>
        <v>5000037.8345923396</v>
      </c>
      <c r="S273">
        <f t="shared" si="967"/>
        <v>50.000378345923394</v>
      </c>
      <c r="T273">
        <f t="shared" si="968"/>
        <v>5.0000378345923392E-2</v>
      </c>
    </row>
    <row r="274" spans="1:20" x14ac:dyDescent="0.25">
      <c r="A274" s="5">
        <v>44319</v>
      </c>
      <c r="B274">
        <v>404.28</v>
      </c>
      <c r="C274">
        <v>426.49</v>
      </c>
      <c r="D274">
        <v>399.16</v>
      </c>
      <c r="E274">
        <v>411.31</v>
      </c>
      <c r="F274">
        <v>140824.84729000001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-0.11086717892426021</v>
      </c>
      <c r="Q274">
        <f t="shared" si="965"/>
        <v>-15612.853541482051</v>
      </c>
      <c r="R274">
        <f t="shared" si="966"/>
        <v>5166131.245621861</v>
      </c>
      <c r="S274">
        <f t="shared" si="967"/>
        <v>51.66131245621861</v>
      </c>
      <c r="T274">
        <f t="shared" si="968"/>
        <v>5.1661312456218612E-2</v>
      </c>
    </row>
    <row r="275" spans="1:20" x14ac:dyDescent="0.25">
      <c r="A275" s="5">
        <v>44318</v>
      </c>
      <c r="B275">
        <v>425.77</v>
      </c>
      <c r="C275">
        <v>427</v>
      </c>
      <c r="D275">
        <v>400</v>
      </c>
      <c r="E275">
        <v>404.46</v>
      </c>
      <c r="F275">
        <v>85980.839699999997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-0.66962962962963113</v>
      </c>
      <c r="Q275">
        <f t="shared" si="965"/>
        <v>-57575.317843555684</v>
      </c>
      <c r="R275">
        <f t="shared" si="966"/>
        <v>5181744.0991633432</v>
      </c>
      <c r="S275">
        <f t="shared" si="967"/>
        <v>51.817440991633433</v>
      </c>
      <c r="T275">
        <f t="shared" si="968"/>
        <v>5.1817440991633434E-2</v>
      </c>
    </row>
    <row r="276" spans="1:20" x14ac:dyDescent="0.25">
      <c r="A276" s="5">
        <v>44317</v>
      </c>
      <c r="B276">
        <v>421.67</v>
      </c>
      <c r="C276">
        <v>434.56</v>
      </c>
      <c r="D276">
        <v>415.5</v>
      </c>
      <c r="E276">
        <v>425.76</v>
      </c>
      <c r="F276">
        <v>112349.41376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7.6600209863587579E-2</v>
      </c>
      <c r="Q276">
        <f t="shared" si="965"/>
        <v>8605.9886720670329</v>
      </c>
      <c r="R276">
        <f t="shared" si="966"/>
        <v>5239319.4170068987</v>
      </c>
      <c r="S276">
        <f t="shared" si="967"/>
        <v>52.393194170068988</v>
      </c>
      <c r="T276">
        <f t="shared" si="968"/>
        <v>5.2393194170068991E-2</v>
      </c>
    </row>
    <row r="277" spans="1:20" x14ac:dyDescent="0.25">
      <c r="A277" s="5">
        <v>44316</v>
      </c>
      <c r="B277">
        <v>407.32</v>
      </c>
      <c r="C277">
        <v>423.01</v>
      </c>
      <c r="D277">
        <v>403.1</v>
      </c>
      <c r="E277">
        <v>421.78</v>
      </c>
      <c r="F277">
        <v>137253.18848000001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0.87644399799095729</v>
      </c>
      <c r="Q277">
        <f t="shared" si="965"/>
        <v>120294.73324841761</v>
      </c>
      <c r="R277">
        <f t="shared" si="966"/>
        <v>5230713.4283348313</v>
      </c>
      <c r="S277">
        <f t="shared" si="967"/>
        <v>52.307134283348311</v>
      </c>
      <c r="T277">
        <f t="shared" si="968"/>
        <v>5.2307134283348308E-2</v>
      </c>
    </row>
    <row r="278" spans="1:20" x14ac:dyDescent="0.25">
      <c r="A278" s="5">
        <v>44315</v>
      </c>
      <c r="B278">
        <v>413.28</v>
      </c>
      <c r="C278">
        <v>426.04</v>
      </c>
      <c r="D278">
        <v>399</v>
      </c>
      <c r="E278">
        <v>407.32</v>
      </c>
      <c r="F278">
        <v>126240.6008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-0.38461538461538558</v>
      </c>
      <c r="Q278">
        <f t="shared" si="965"/>
        <v>-48554.077230769355</v>
      </c>
      <c r="R278">
        <f t="shared" si="966"/>
        <v>5110418.695086414</v>
      </c>
      <c r="S278">
        <f t="shared" si="967"/>
        <v>51.10418695086414</v>
      </c>
      <c r="T278">
        <f t="shared" si="968"/>
        <v>5.110418695086414E-2</v>
      </c>
    </row>
    <row r="279" spans="1:20" x14ac:dyDescent="0.25">
      <c r="A279" s="5">
        <v>44314</v>
      </c>
      <c r="B279">
        <v>401.65</v>
      </c>
      <c r="C279">
        <v>440</v>
      </c>
      <c r="D279">
        <v>399.15</v>
      </c>
      <c r="E279">
        <v>413.54</v>
      </c>
      <c r="F279">
        <v>223848.53161999999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-0.29547123623010846</v>
      </c>
      <c r="Q279">
        <f t="shared" si="965"/>
        <v>-66140.802366055927</v>
      </c>
      <c r="R279">
        <f t="shared" si="966"/>
        <v>5158972.7723171832</v>
      </c>
      <c r="S279">
        <f t="shared" si="967"/>
        <v>51.589727723171833</v>
      </c>
      <c r="T279">
        <f t="shared" si="968"/>
        <v>5.1589727723171837E-2</v>
      </c>
    </row>
    <row r="280" spans="1:20" x14ac:dyDescent="0.25">
      <c r="A280" s="5">
        <v>44313</v>
      </c>
      <c r="B280">
        <v>405.43</v>
      </c>
      <c r="C280">
        <v>413</v>
      </c>
      <c r="D280">
        <v>384.78</v>
      </c>
      <c r="E280">
        <v>401.6</v>
      </c>
      <c r="F280">
        <v>132782.10154999999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0.1920623671155233</v>
      </c>
      <c r="Q280">
        <f t="shared" si="965"/>
        <v>25502.444734266792</v>
      </c>
      <c r="R280">
        <f t="shared" si="966"/>
        <v>5225113.5746832388</v>
      </c>
      <c r="S280">
        <f t="shared" si="967"/>
        <v>52.251135746832389</v>
      </c>
      <c r="T280">
        <f t="shared" si="968"/>
        <v>5.2251135746832392E-2</v>
      </c>
    </row>
    <row r="281" spans="1:20" x14ac:dyDescent="0.25">
      <c r="A281" s="5">
        <v>44312</v>
      </c>
      <c r="B281">
        <v>355.35</v>
      </c>
      <c r="C281">
        <v>406.14</v>
      </c>
      <c r="D281">
        <v>340.04</v>
      </c>
      <c r="E281">
        <v>405.46</v>
      </c>
      <c r="F281">
        <v>208448.37907</v>
      </c>
      <c r="G281">
        <v>0</v>
      </c>
      <c r="L281" t="s">
        <v>7</v>
      </c>
      <c r="M281" t="s">
        <v>7</v>
      </c>
      <c r="N281" t="s">
        <v>8</v>
      </c>
      <c r="P281">
        <f t="shared" si="964"/>
        <v>0.97942511346444761</v>
      </c>
      <c r="Q281">
        <f t="shared" si="965"/>
        <v>204159.57732211493</v>
      </c>
      <c r="R281">
        <f t="shared" si="966"/>
        <v>5199611.1299489718</v>
      </c>
      <c r="S281">
        <f t="shared" si="967"/>
        <v>51.996111299489719</v>
      </c>
      <c r="T281">
        <f t="shared" si="968"/>
        <v>5.1996111299489722E-2</v>
      </c>
    </row>
    <row r="282" spans="1:20" x14ac:dyDescent="0.25">
      <c r="A282" s="5">
        <v>44311</v>
      </c>
      <c r="B282">
        <v>381.45</v>
      </c>
      <c r="C282">
        <v>406.45</v>
      </c>
      <c r="D282">
        <v>334.65</v>
      </c>
      <c r="E282">
        <v>355.44</v>
      </c>
      <c r="F282">
        <v>198016.52708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-0.4208913649025065</v>
      </c>
      <c r="Q282">
        <f t="shared" si="965"/>
        <v>-83343.446355955341</v>
      </c>
      <c r="R282">
        <f t="shared" si="966"/>
        <v>4995451.5526268566</v>
      </c>
      <c r="S282">
        <f t="shared" si="967"/>
        <v>49.954515526268565</v>
      </c>
      <c r="T282">
        <f t="shared" si="968"/>
        <v>4.9954515526268568E-2</v>
      </c>
    </row>
    <row r="283" spans="1:20" x14ac:dyDescent="0.25">
      <c r="A283" s="5">
        <v>44310</v>
      </c>
      <c r="B283">
        <v>354.73</v>
      </c>
      <c r="C283">
        <v>397.28</v>
      </c>
      <c r="D283">
        <v>338.01</v>
      </c>
      <c r="E283">
        <v>381.18</v>
      </c>
      <c r="F283">
        <v>209628.37482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0.45672346887126808</v>
      </c>
      <c r="Q283">
        <f t="shared" si="965"/>
        <v>95742.19852163679</v>
      </c>
      <c r="R283">
        <f t="shared" si="966"/>
        <v>5078794.9989828123</v>
      </c>
      <c r="S283">
        <f t="shared" si="967"/>
        <v>50.787949989828121</v>
      </c>
      <c r="T283">
        <f t="shared" si="968"/>
        <v>5.0787949989828121E-2</v>
      </c>
    </row>
    <row r="284" spans="1:20" x14ac:dyDescent="0.25">
      <c r="A284" s="5">
        <v>44309</v>
      </c>
      <c r="B284">
        <v>346.77</v>
      </c>
      <c r="C284">
        <v>355</v>
      </c>
      <c r="D284">
        <v>300.47000000000003</v>
      </c>
      <c r="E284">
        <v>354.37</v>
      </c>
      <c r="F284">
        <v>303931.55486999999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0.97689345314505793</v>
      </c>
      <c r="Q284">
        <f t="shared" si="965"/>
        <v>296908.74615670094</v>
      </c>
      <c r="R284">
        <f t="shared" si="966"/>
        <v>4983052.8004611759</v>
      </c>
      <c r="S284">
        <f t="shared" si="967"/>
        <v>49.830528004611757</v>
      </c>
      <c r="T284">
        <f t="shared" si="968"/>
        <v>4.9830528004611754E-2</v>
      </c>
    </row>
    <row r="285" spans="1:20" x14ac:dyDescent="0.25">
      <c r="A285" s="5">
        <v>44308</v>
      </c>
      <c r="B285">
        <v>375.39</v>
      </c>
      <c r="C285">
        <v>390.99</v>
      </c>
      <c r="D285">
        <v>343.32</v>
      </c>
      <c r="E285">
        <v>346.68</v>
      </c>
      <c r="F285">
        <v>217278.20616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-0.85903083700440475</v>
      </c>
      <c r="Q285">
        <f t="shared" si="965"/>
        <v>-186648.67930044042</v>
      </c>
      <c r="R285">
        <f t="shared" si="966"/>
        <v>4686144.054304475</v>
      </c>
      <c r="S285">
        <f t="shared" si="967"/>
        <v>46.86144054304475</v>
      </c>
      <c r="T285">
        <f t="shared" si="968"/>
        <v>4.6861440543044752E-2</v>
      </c>
    </row>
    <row r="286" spans="1:20" x14ac:dyDescent="0.25">
      <c r="A286" s="5">
        <v>44307</v>
      </c>
      <c r="B286">
        <v>404.49</v>
      </c>
      <c r="C286">
        <v>426.47</v>
      </c>
      <c r="D286">
        <v>372.5</v>
      </c>
      <c r="E286">
        <v>375.44</v>
      </c>
      <c r="F286">
        <v>358054.95445000002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-0.89105058365758771</v>
      </c>
      <c r="Q286">
        <f t="shared" si="965"/>
        <v>-319045.0761441635</v>
      </c>
      <c r="R286">
        <f t="shared" si="966"/>
        <v>4872792.7336049154</v>
      </c>
      <c r="S286">
        <f t="shared" si="967"/>
        <v>48.727927336049156</v>
      </c>
      <c r="T286">
        <f t="shared" si="968"/>
        <v>4.8727927336049158E-2</v>
      </c>
    </row>
    <row r="287" spans="1:20" x14ac:dyDescent="0.25">
      <c r="A287" s="5">
        <v>44306</v>
      </c>
      <c r="B287">
        <v>357.45</v>
      </c>
      <c r="C287">
        <v>415.4</v>
      </c>
      <c r="D287">
        <v>328.01</v>
      </c>
      <c r="E287">
        <v>404.34</v>
      </c>
      <c r="F287">
        <v>453203.21600999997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0.74688179425563561</v>
      </c>
      <c r="Q287">
        <f t="shared" si="965"/>
        <v>338489.23113597318</v>
      </c>
      <c r="R287">
        <f t="shared" si="966"/>
        <v>5191837.8097490789</v>
      </c>
      <c r="S287">
        <f t="shared" si="967"/>
        <v>51.918378097490788</v>
      </c>
      <c r="T287">
        <f t="shared" si="968"/>
        <v>5.1918378097490787E-2</v>
      </c>
    </row>
    <row r="288" spans="1:20" x14ac:dyDescent="0.25">
      <c r="A288" s="5">
        <v>44305</v>
      </c>
      <c r="B288">
        <v>338.45</v>
      </c>
      <c r="C288">
        <v>366.25</v>
      </c>
      <c r="D288">
        <v>305.12</v>
      </c>
      <c r="E288">
        <v>358.07</v>
      </c>
      <c r="F288">
        <v>266251.51766000001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0.73237362996891842</v>
      </c>
      <c r="Q288">
        <f t="shared" si="965"/>
        <v>194995.5904733878</v>
      </c>
      <c r="R288">
        <f t="shared" si="966"/>
        <v>4853348.5786131062</v>
      </c>
      <c r="S288">
        <f t="shared" si="967"/>
        <v>48.53348578613106</v>
      </c>
      <c r="T288">
        <f t="shared" si="968"/>
        <v>4.8533485786131057E-2</v>
      </c>
    </row>
    <row r="289" spans="1:20" x14ac:dyDescent="0.25">
      <c r="A289" s="5">
        <v>44304</v>
      </c>
      <c r="B289">
        <v>363.69</v>
      </c>
      <c r="C289">
        <v>376.24</v>
      </c>
      <c r="D289">
        <v>281</v>
      </c>
      <c r="E289">
        <v>338.48</v>
      </c>
      <c r="F289">
        <v>283448.8737</v>
      </c>
      <c r="G289">
        <v>0</v>
      </c>
      <c r="L289" t="s">
        <v>7</v>
      </c>
      <c r="M289" t="s">
        <v>7</v>
      </c>
      <c r="N289" t="s">
        <v>8</v>
      </c>
      <c r="P289">
        <f t="shared" si="964"/>
        <v>0.2070558588828226</v>
      </c>
      <c r="Q289">
        <f t="shared" si="965"/>
        <v>58689.749993322206</v>
      </c>
      <c r="R289">
        <f t="shared" si="966"/>
        <v>4658352.9881397188</v>
      </c>
      <c r="S289">
        <f t="shared" si="967"/>
        <v>46.58352988139719</v>
      </c>
      <c r="T289">
        <f t="shared" si="968"/>
        <v>4.658352988139719E-2</v>
      </c>
    </row>
    <row r="290" spans="1:20" x14ac:dyDescent="0.25">
      <c r="A290" s="5">
        <v>44303</v>
      </c>
      <c r="B290">
        <v>340.61</v>
      </c>
      <c r="C290">
        <v>375.4</v>
      </c>
      <c r="D290">
        <v>340.58</v>
      </c>
      <c r="E290">
        <v>363.77</v>
      </c>
      <c r="F290">
        <v>214569.34882000001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0.33199310740953486</v>
      </c>
      <c r="Q290">
        <f t="shared" si="965"/>
        <v>71235.54486959221</v>
      </c>
      <c r="R290">
        <f t="shared" si="966"/>
        <v>4599663.2381463964</v>
      </c>
      <c r="S290">
        <f t="shared" si="967"/>
        <v>45.996632381463961</v>
      </c>
      <c r="T290">
        <f t="shared" si="968"/>
        <v>4.599663238146396E-2</v>
      </c>
    </row>
    <row r="291" spans="1:20" x14ac:dyDescent="0.25">
      <c r="A291" s="5">
        <v>44302</v>
      </c>
      <c r="B291">
        <v>344.2</v>
      </c>
      <c r="C291">
        <v>347</v>
      </c>
      <c r="D291">
        <v>313.49</v>
      </c>
      <c r="E291">
        <v>340.66</v>
      </c>
      <c r="F291">
        <v>151851.51493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0.62160549089824069</v>
      </c>
      <c r="Q291">
        <f t="shared" si="965"/>
        <v>94391.735481704178</v>
      </c>
      <c r="R291">
        <f t="shared" si="966"/>
        <v>4528427.6932768039</v>
      </c>
      <c r="S291">
        <f t="shared" si="967"/>
        <v>45.284276932768037</v>
      </c>
      <c r="T291">
        <f t="shared" si="968"/>
        <v>4.5284276932768035E-2</v>
      </c>
    </row>
    <row r="292" spans="1:20" x14ac:dyDescent="0.25">
      <c r="A292" s="5">
        <v>44301</v>
      </c>
      <c r="B292">
        <v>320.70999999999998</v>
      </c>
      <c r="C292">
        <v>347.88</v>
      </c>
      <c r="D292">
        <v>318.39999999999998</v>
      </c>
      <c r="E292">
        <v>344.4</v>
      </c>
      <c r="F292">
        <v>121789.11963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0.76390773405698675</v>
      </c>
      <c r="Q292">
        <f t="shared" si="965"/>
        <v>93035.650409348586</v>
      </c>
      <c r="R292">
        <f t="shared" si="966"/>
        <v>4434035.9577950994</v>
      </c>
      <c r="S292">
        <f t="shared" si="967"/>
        <v>44.340359577950991</v>
      </c>
      <c r="T292">
        <f t="shared" si="968"/>
        <v>4.4340359577950988E-2</v>
      </c>
    </row>
    <row r="293" spans="1:20" x14ac:dyDescent="0.25">
      <c r="A293" s="5">
        <v>44300</v>
      </c>
      <c r="B293">
        <v>327.62</v>
      </c>
      <c r="C293">
        <v>331.1</v>
      </c>
      <c r="D293">
        <v>308.29000000000002</v>
      </c>
      <c r="E293">
        <v>320.64999999999998</v>
      </c>
      <c r="F293">
        <v>126806.44872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8.3735203857953147E-2</v>
      </c>
      <c r="Q293">
        <f t="shared" si="965"/>
        <v>10618.163834072282</v>
      </c>
      <c r="R293">
        <f t="shared" si="966"/>
        <v>4341000.307385751</v>
      </c>
      <c r="S293">
        <f t="shared" si="967"/>
        <v>43.41000307385751</v>
      </c>
      <c r="T293">
        <f t="shared" si="968"/>
        <v>4.3410003073857513E-2</v>
      </c>
    </row>
    <row r="294" spans="1:20" x14ac:dyDescent="0.25">
      <c r="A294" s="5">
        <v>44299</v>
      </c>
      <c r="B294">
        <v>314.29000000000002</v>
      </c>
      <c r="C294">
        <v>331.38</v>
      </c>
      <c r="D294">
        <v>307</v>
      </c>
      <c r="E294">
        <v>327.43</v>
      </c>
      <c r="F294">
        <v>156125.65899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0.67596390484003366</v>
      </c>
      <c r="Q294">
        <f t="shared" si="965"/>
        <v>105535.31009660391</v>
      </c>
      <c r="R294">
        <f t="shared" si="966"/>
        <v>4330382.1435516784</v>
      </c>
      <c r="S294">
        <f t="shared" si="967"/>
        <v>43.303821435516781</v>
      </c>
      <c r="T294">
        <f t="shared" si="968"/>
        <v>4.3303821435516782E-2</v>
      </c>
    </row>
    <row r="295" spans="1:20" x14ac:dyDescent="0.25">
      <c r="A295" s="5">
        <v>44298</v>
      </c>
      <c r="B295">
        <v>328.93</v>
      </c>
      <c r="C295">
        <v>345</v>
      </c>
      <c r="D295">
        <v>313.67</v>
      </c>
      <c r="E295">
        <v>314.32</v>
      </c>
      <c r="F295">
        <v>221086.95365000001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-0.95850622406639152</v>
      </c>
      <c r="Q295">
        <f t="shared" si="965"/>
        <v>-211913.22113340284</v>
      </c>
      <c r="R295">
        <f t="shared" si="966"/>
        <v>4224846.8334550746</v>
      </c>
      <c r="S295">
        <f t="shared" si="967"/>
        <v>42.248468334550743</v>
      </c>
      <c r="T295">
        <f t="shared" si="968"/>
        <v>4.2248468334550746E-2</v>
      </c>
    </row>
    <row r="296" spans="1:20" x14ac:dyDescent="0.25">
      <c r="A296" s="5">
        <v>44297</v>
      </c>
      <c r="B296">
        <v>291.79000000000002</v>
      </c>
      <c r="C296">
        <v>329.51</v>
      </c>
      <c r="D296">
        <v>291.35000000000002</v>
      </c>
      <c r="E296">
        <v>328.9</v>
      </c>
      <c r="F296">
        <v>182394.78305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0.96802935010482105</v>
      </c>
      <c r="Q296">
        <f t="shared" si="965"/>
        <v>176563.50329840134</v>
      </c>
      <c r="R296">
        <f t="shared" si="966"/>
        <v>4436760.0545884771</v>
      </c>
      <c r="S296">
        <f t="shared" si="967"/>
        <v>44.36760054588477</v>
      </c>
      <c r="T296">
        <f t="shared" si="968"/>
        <v>4.4367600545884768E-2</v>
      </c>
    </row>
    <row r="297" spans="1:20" x14ac:dyDescent="0.25">
      <c r="A297" s="5">
        <v>44296</v>
      </c>
      <c r="B297">
        <v>273.37</v>
      </c>
      <c r="C297">
        <v>299</v>
      </c>
      <c r="D297">
        <v>272.98</v>
      </c>
      <c r="E297">
        <v>291.72000000000003</v>
      </c>
      <c r="F297">
        <v>181166.11218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0.44043043812452132</v>
      </c>
      <c r="Q297">
        <f t="shared" si="965"/>
        <v>79791.070160753574</v>
      </c>
      <c r="R297">
        <f t="shared" si="966"/>
        <v>4260196.5512900762</v>
      </c>
      <c r="S297">
        <f t="shared" si="967"/>
        <v>42.601965512900762</v>
      </c>
      <c r="T297">
        <f t="shared" si="968"/>
        <v>4.2601965512900762E-2</v>
      </c>
    </row>
    <row r="298" spans="1:20" x14ac:dyDescent="0.25">
      <c r="A298" s="5">
        <v>44295</v>
      </c>
      <c r="B298">
        <v>269.69</v>
      </c>
      <c r="C298">
        <v>290</v>
      </c>
      <c r="D298">
        <v>265.94</v>
      </c>
      <c r="E298">
        <v>273.37</v>
      </c>
      <c r="F298">
        <v>126545.26566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-0.38237738985868613</v>
      </c>
      <c r="Q298">
        <f t="shared" si="965"/>
        <v>-48388.048382044828</v>
      </c>
      <c r="R298">
        <f t="shared" si="966"/>
        <v>4180405.4811293222</v>
      </c>
      <c r="S298">
        <f t="shared" si="967"/>
        <v>41.80405481129322</v>
      </c>
      <c r="T298">
        <f t="shared" si="968"/>
        <v>4.180405481129322E-2</v>
      </c>
    </row>
    <row r="299" spans="1:20" x14ac:dyDescent="0.25">
      <c r="A299" s="5">
        <v>44294</v>
      </c>
      <c r="B299">
        <v>257.26</v>
      </c>
      <c r="C299">
        <v>271.88</v>
      </c>
      <c r="D299">
        <v>250.54</v>
      </c>
      <c r="E299">
        <v>269.69</v>
      </c>
      <c r="F299">
        <v>112446.41379000001</v>
      </c>
      <c r="G299">
        <v>0</v>
      </c>
      <c r="L299" t="s">
        <v>7</v>
      </c>
      <c r="M299" t="s">
        <v>8</v>
      </c>
      <c r="N299" t="s">
        <v>8</v>
      </c>
      <c r="P299">
        <f t="shared" si="964"/>
        <v>0.79475164011246513</v>
      </c>
      <c r="Q299">
        <f t="shared" si="965"/>
        <v>89366.971784367415</v>
      </c>
      <c r="R299">
        <f t="shared" si="966"/>
        <v>4228793.529511367</v>
      </c>
      <c r="S299">
        <f t="shared" si="967"/>
        <v>42.28793529511367</v>
      </c>
      <c r="T299">
        <f t="shared" si="968"/>
        <v>4.2287935295113668E-2</v>
      </c>
    </row>
    <row r="300" spans="1:20" x14ac:dyDescent="0.25">
      <c r="A300" s="5">
        <v>44293</v>
      </c>
      <c r="B300">
        <v>270.73</v>
      </c>
      <c r="C300">
        <v>280</v>
      </c>
      <c r="D300">
        <v>252.68</v>
      </c>
      <c r="E300">
        <v>257.44</v>
      </c>
      <c r="F300">
        <v>186019.49264000001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-0.65153733528550573</v>
      </c>
      <c r="Q300">
        <f t="shared" si="965"/>
        <v>-121198.64454582735</v>
      </c>
      <c r="R300">
        <f t="shared" si="966"/>
        <v>4139426.5577269993</v>
      </c>
      <c r="S300">
        <f t="shared" si="967"/>
        <v>41.394265577269991</v>
      </c>
      <c r="T300">
        <f t="shared" si="968"/>
        <v>4.1394265577269988E-2</v>
      </c>
    </row>
    <row r="301" spans="1:20" x14ac:dyDescent="0.25">
      <c r="A301" s="5">
        <v>44292</v>
      </c>
      <c r="B301">
        <v>265.56</v>
      </c>
      <c r="C301">
        <v>277.2</v>
      </c>
      <c r="D301">
        <v>261.58</v>
      </c>
      <c r="E301">
        <v>270.68</v>
      </c>
      <c r="F301">
        <v>123865.71576000001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0.16517285531370296</v>
      </c>
      <c r="Q301">
        <f t="shared" si="965"/>
        <v>20459.253947554738</v>
      </c>
      <c r="R301">
        <f t="shared" si="966"/>
        <v>4260625.2022728268</v>
      </c>
      <c r="S301">
        <f t="shared" si="967"/>
        <v>42.60625202272827</v>
      </c>
      <c r="T301">
        <f t="shared" si="968"/>
        <v>4.2606252022728268E-2</v>
      </c>
    </row>
    <row r="302" spans="1:20" x14ac:dyDescent="0.25">
      <c r="A302" s="5">
        <v>44291</v>
      </c>
      <c r="B302">
        <v>263.49</v>
      </c>
      <c r="C302">
        <v>270</v>
      </c>
      <c r="D302">
        <v>260</v>
      </c>
      <c r="E302">
        <v>265.37</v>
      </c>
      <c r="F302">
        <v>118545.24642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7.4000000000000912E-2</v>
      </c>
      <c r="Q302">
        <f t="shared" si="965"/>
        <v>8772.3482350801078</v>
      </c>
      <c r="R302">
        <f t="shared" si="966"/>
        <v>4240165.9483252717</v>
      </c>
      <c r="S302">
        <f t="shared" si="967"/>
        <v>42.401659483252715</v>
      </c>
      <c r="T302">
        <f t="shared" si="968"/>
        <v>4.2401659483252717E-2</v>
      </c>
    </row>
    <row r="303" spans="1:20" x14ac:dyDescent="0.25">
      <c r="A303" s="5">
        <v>44290</v>
      </c>
      <c r="B303">
        <v>257.2</v>
      </c>
      <c r="C303">
        <v>272.5</v>
      </c>
      <c r="D303">
        <v>247.12</v>
      </c>
      <c r="E303">
        <v>263.60000000000002</v>
      </c>
      <c r="F303">
        <v>159614.35177000001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0.29866036249015138</v>
      </c>
      <c r="Q303">
        <f t="shared" si="965"/>
        <v>47670.480158258739</v>
      </c>
      <c r="R303">
        <f t="shared" si="966"/>
        <v>4231393.6000901917</v>
      </c>
      <c r="S303">
        <f t="shared" si="967"/>
        <v>42.313936000901919</v>
      </c>
      <c r="T303">
        <f t="shared" si="968"/>
        <v>4.2313936000901921E-2</v>
      </c>
    </row>
    <row r="304" spans="1:20" x14ac:dyDescent="0.25">
      <c r="A304" s="5">
        <v>44289</v>
      </c>
      <c r="B304">
        <v>257.72000000000003</v>
      </c>
      <c r="C304">
        <v>267.22000000000003</v>
      </c>
      <c r="D304">
        <v>253.18</v>
      </c>
      <c r="E304">
        <v>257.23</v>
      </c>
      <c r="F304">
        <v>109072.31411000001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-0.4230769230769223</v>
      </c>
      <c r="Q304">
        <f t="shared" si="965"/>
        <v>-46145.979046538378</v>
      </c>
      <c r="R304">
        <f t="shared" si="966"/>
        <v>4183723.1199319325</v>
      </c>
      <c r="S304">
        <f t="shared" si="967"/>
        <v>41.837231199319326</v>
      </c>
      <c r="T304">
        <f t="shared" si="968"/>
        <v>4.1837231199319327E-2</v>
      </c>
    </row>
    <row r="305" spans="1:20" x14ac:dyDescent="0.25">
      <c r="A305" s="5">
        <v>44288</v>
      </c>
      <c r="B305">
        <v>250.65</v>
      </c>
      <c r="C305">
        <v>261.39999999999998</v>
      </c>
      <c r="D305">
        <v>249</v>
      </c>
      <c r="E305">
        <v>257.7</v>
      </c>
      <c r="F305">
        <v>126702.70643000001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0.40322580645161366</v>
      </c>
      <c r="Q305">
        <f t="shared" si="965"/>
        <v>51089.800979838808</v>
      </c>
      <c r="R305">
        <f t="shared" si="966"/>
        <v>4229869.098978471</v>
      </c>
      <c r="S305">
        <f t="shared" si="967"/>
        <v>42.29869098978471</v>
      </c>
      <c r="T305">
        <f t="shared" si="968"/>
        <v>4.2298690989784712E-2</v>
      </c>
    </row>
    <row r="306" spans="1:20" x14ac:dyDescent="0.25">
      <c r="A306" s="5">
        <v>44287</v>
      </c>
      <c r="B306">
        <v>245.82</v>
      </c>
      <c r="C306">
        <v>255.55</v>
      </c>
      <c r="D306">
        <v>244.42</v>
      </c>
      <c r="E306">
        <v>250.65</v>
      </c>
      <c r="F306">
        <v>110224.84804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0.11949685534591281</v>
      </c>
      <c r="Q306">
        <f t="shared" si="965"/>
        <v>13171.522721761101</v>
      </c>
      <c r="R306">
        <f t="shared" si="966"/>
        <v>4178779.2979986323</v>
      </c>
      <c r="S306">
        <f t="shared" si="967"/>
        <v>41.787792979986321</v>
      </c>
      <c r="T306">
        <f t="shared" si="968"/>
        <v>4.1787792979986318E-2</v>
      </c>
    </row>
    <row r="307" spans="1:20" x14ac:dyDescent="0.25">
      <c r="A307" s="5">
        <v>44286</v>
      </c>
      <c r="B307">
        <v>244.37</v>
      </c>
      <c r="C307">
        <v>264</v>
      </c>
      <c r="D307">
        <v>242.22</v>
      </c>
      <c r="E307">
        <v>245.8</v>
      </c>
      <c r="F307">
        <v>178369.52639000001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-0.67125803489439739</v>
      </c>
      <c r="Q307">
        <f t="shared" si="965"/>
        <v>-119731.97776959576</v>
      </c>
      <c r="R307">
        <f t="shared" si="966"/>
        <v>4165607.7752768714</v>
      </c>
      <c r="S307">
        <f t="shared" si="967"/>
        <v>41.656077752768716</v>
      </c>
      <c r="T307">
        <f t="shared" si="968"/>
        <v>4.1656077752768715E-2</v>
      </c>
    </row>
    <row r="308" spans="1:20" x14ac:dyDescent="0.25">
      <c r="A308" s="5">
        <v>44285</v>
      </c>
      <c r="B308">
        <v>233.8</v>
      </c>
      <c r="C308">
        <v>247.5</v>
      </c>
      <c r="D308">
        <v>232.28</v>
      </c>
      <c r="E308">
        <v>244.39</v>
      </c>
      <c r="F308">
        <v>103504.67258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0.59132720105124659</v>
      </c>
      <c r="Q308">
        <f t="shared" si="965"/>
        <v>61205.128332457112</v>
      </c>
      <c r="R308">
        <f t="shared" si="966"/>
        <v>4285339.753046467</v>
      </c>
      <c r="S308">
        <f t="shared" si="967"/>
        <v>42.853397530464669</v>
      </c>
      <c r="T308">
        <f t="shared" si="968"/>
        <v>4.2853397530464667E-2</v>
      </c>
    </row>
    <row r="309" spans="1:20" x14ac:dyDescent="0.25">
      <c r="A309" s="5">
        <v>44284</v>
      </c>
      <c r="B309">
        <v>232.64</v>
      </c>
      <c r="C309">
        <v>241.9</v>
      </c>
      <c r="D309">
        <v>230.55</v>
      </c>
      <c r="E309">
        <v>233.8</v>
      </c>
      <c r="F309">
        <v>108484.63539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-0.42731277533039619</v>
      </c>
      <c r="Q309">
        <f t="shared" si="965"/>
        <v>-46356.870629207013</v>
      </c>
      <c r="R309">
        <f t="shared" si="966"/>
        <v>4224134.6247140095</v>
      </c>
      <c r="S309">
        <f t="shared" si="967"/>
        <v>42.241346247140093</v>
      </c>
      <c r="T309">
        <f t="shared" si="968"/>
        <v>4.2241346247140092E-2</v>
      </c>
    </row>
    <row r="310" spans="1:20" x14ac:dyDescent="0.25">
      <c r="A310" s="5">
        <v>44283</v>
      </c>
      <c r="B310">
        <v>221.25</v>
      </c>
      <c r="C310">
        <v>233</v>
      </c>
      <c r="D310">
        <v>217.51</v>
      </c>
      <c r="E310">
        <v>232.66</v>
      </c>
      <c r="F310">
        <v>108768.14933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0.95610071013557096</v>
      </c>
      <c r="Q310">
        <f t="shared" si="965"/>
        <v>103993.30481454483</v>
      </c>
      <c r="R310">
        <f t="shared" si="966"/>
        <v>4270491.4953432167</v>
      </c>
      <c r="S310">
        <f t="shared" si="967"/>
        <v>42.704914953432166</v>
      </c>
      <c r="T310">
        <f t="shared" si="968"/>
        <v>4.2704914953432163E-2</v>
      </c>
    </row>
    <row r="311" spans="1:20" x14ac:dyDescent="0.25">
      <c r="A311" s="5">
        <v>44282</v>
      </c>
      <c r="B311">
        <v>221.68</v>
      </c>
      <c r="C311">
        <v>223.9</v>
      </c>
      <c r="D311">
        <v>214.03</v>
      </c>
      <c r="E311">
        <v>221.27</v>
      </c>
      <c r="F311">
        <v>63852.425569999999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0.46707193515704271</v>
      </c>
      <c r="Q311">
        <f t="shared" si="965"/>
        <v>29823.675975450937</v>
      </c>
      <c r="R311">
        <f t="shared" si="966"/>
        <v>4166498.1905286722</v>
      </c>
      <c r="S311">
        <f t="shared" si="967"/>
        <v>41.664981905286723</v>
      </c>
      <c r="T311">
        <f t="shared" si="968"/>
        <v>4.1664981905286724E-2</v>
      </c>
    </row>
    <row r="312" spans="1:20" x14ac:dyDescent="0.25">
      <c r="A312" s="5">
        <v>44281</v>
      </c>
      <c r="B312">
        <v>214.45</v>
      </c>
      <c r="C312">
        <v>225.93</v>
      </c>
      <c r="D312">
        <v>214.2</v>
      </c>
      <c r="E312">
        <v>221.7</v>
      </c>
      <c r="F312">
        <v>75708.889410000003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0.27877237851662207</v>
      </c>
      <c r="Q312">
        <f t="shared" si="965"/>
        <v>21105.547175677602</v>
      </c>
      <c r="R312">
        <f t="shared" si="966"/>
        <v>4136674.5145532214</v>
      </c>
      <c r="S312">
        <f t="shared" si="967"/>
        <v>41.366745145532214</v>
      </c>
      <c r="T312">
        <f t="shared" si="968"/>
        <v>4.1366745145532215E-2</v>
      </c>
    </row>
    <row r="313" spans="1:20" x14ac:dyDescent="0.25">
      <c r="A313" s="5">
        <v>44280</v>
      </c>
      <c r="B313">
        <v>210.75</v>
      </c>
      <c r="C313">
        <v>221.48</v>
      </c>
      <c r="D313">
        <v>204.59</v>
      </c>
      <c r="E313">
        <v>214.33</v>
      </c>
      <c r="F313">
        <v>96580.579070000007</v>
      </c>
      <c r="G313">
        <v>0</v>
      </c>
      <c r="L313" t="s">
        <v>7</v>
      </c>
      <c r="M313" t="s">
        <v>8</v>
      </c>
      <c r="N313" t="s">
        <v>8</v>
      </c>
      <c r="P313">
        <f t="shared" si="964"/>
        <v>0.15334517465956388</v>
      </c>
      <c r="Q313">
        <f t="shared" si="965"/>
        <v>14810.16576621097</v>
      </c>
      <c r="R313">
        <f t="shared" si="966"/>
        <v>4115568.9673775439</v>
      </c>
      <c r="S313">
        <f t="shared" si="967"/>
        <v>41.155689673775441</v>
      </c>
      <c r="T313">
        <f t="shared" si="968"/>
        <v>4.115568967377544E-2</v>
      </c>
    </row>
    <row r="314" spans="1:20" x14ac:dyDescent="0.25">
      <c r="A314" s="5">
        <v>44279</v>
      </c>
      <c r="B314">
        <v>217.94</v>
      </c>
      <c r="C314">
        <v>230</v>
      </c>
      <c r="D314">
        <v>206.58</v>
      </c>
      <c r="E314">
        <v>210.67</v>
      </c>
      <c r="F314">
        <v>96133.425959999993</v>
      </c>
      <c r="G314">
        <v>0</v>
      </c>
      <c r="L314" t="s">
        <v>7</v>
      </c>
      <c r="M314" t="s">
        <v>8</v>
      </c>
      <c r="N314" t="s">
        <v>8</v>
      </c>
      <c r="P314">
        <f t="shared" si="964"/>
        <v>-0.65072587532024107</v>
      </c>
      <c r="Q314">
        <f t="shared" si="965"/>
        <v>-62556.507755354578</v>
      </c>
      <c r="R314">
        <f t="shared" si="966"/>
        <v>4100758.8016113332</v>
      </c>
      <c r="S314">
        <f t="shared" si="967"/>
        <v>41.007588016113331</v>
      </c>
      <c r="T314">
        <f t="shared" si="968"/>
        <v>4.100758801611333E-2</v>
      </c>
    </row>
    <row r="315" spans="1:20" x14ac:dyDescent="0.25">
      <c r="A315" s="5">
        <v>44278</v>
      </c>
      <c r="B315">
        <v>217.11</v>
      </c>
      <c r="C315">
        <v>225.13</v>
      </c>
      <c r="D315">
        <v>211.46</v>
      </c>
      <c r="E315">
        <v>218.02</v>
      </c>
      <c r="F315">
        <v>99344.824399999998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-4.0234089246524024E-2</v>
      </c>
      <c r="Q315">
        <f t="shared" si="965"/>
        <v>-3997.0485310898575</v>
      </c>
      <c r="R315">
        <f t="shared" si="966"/>
        <v>4163315.3093666877</v>
      </c>
      <c r="S315">
        <f t="shared" si="967"/>
        <v>41.633153093666877</v>
      </c>
      <c r="T315">
        <f t="shared" si="968"/>
        <v>4.1633153093666879E-2</v>
      </c>
    </row>
    <row r="316" spans="1:20" x14ac:dyDescent="0.25">
      <c r="A316" s="5">
        <v>44277</v>
      </c>
      <c r="B316">
        <v>231.71</v>
      </c>
      <c r="C316">
        <v>233.27</v>
      </c>
      <c r="D316">
        <v>217</v>
      </c>
      <c r="E316">
        <v>217.08</v>
      </c>
      <c r="F316">
        <v>97236.622010000006</v>
      </c>
      <c r="G316">
        <v>0</v>
      </c>
      <c r="L316" t="s">
        <v>7</v>
      </c>
      <c r="M316" t="s">
        <v>8</v>
      </c>
      <c r="N316" t="s">
        <v>8</v>
      </c>
      <c r="P316">
        <f t="shared" si="964"/>
        <v>-0.9901659496004902</v>
      </c>
      <c r="Q316">
        <f t="shared" si="965"/>
        <v>-96280.392168475577</v>
      </c>
      <c r="R316">
        <f t="shared" si="966"/>
        <v>4167312.3578977776</v>
      </c>
      <c r="S316">
        <f t="shared" si="967"/>
        <v>41.673123578977773</v>
      </c>
      <c r="T316">
        <f t="shared" si="968"/>
        <v>4.1673123578977775E-2</v>
      </c>
    </row>
    <row r="317" spans="1:20" x14ac:dyDescent="0.25">
      <c r="A317" s="5">
        <v>44276</v>
      </c>
      <c r="B317">
        <v>231.99</v>
      </c>
      <c r="C317">
        <v>238.88</v>
      </c>
      <c r="D317">
        <v>225.79</v>
      </c>
      <c r="E317">
        <v>231.66</v>
      </c>
      <c r="F317">
        <v>76229.70607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-0.1031321619556909</v>
      </c>
      <c r="Q317">
        <f t="shared" si="965"/>
        <v>-7861.734392245954</v>
      </c>
      <c r="R317">
        <f t="shared" si="966"/>
        <v>4263592.7500662534</v>
      </c>
      <c r="S317">
        <f t="shared" si="967"/>
        <v>42.635927500662532</v>
      </c>
      <c r="T317">
        <f t="shared" si="968"/>
        <v>4.2635927500662529E-2</v>
      </c>
    </row>
    <row r="318" spans="1:20" x14ac:dyDescent="0.25">
      <c r="A318" s="5">
        <v>44275</v>
      </c>
      <c r="B318">
        <v>231.42</v>
      </c>
      <c r="C318">
        <v>237.31</v>
      </c>
      <c r="D318">
        <v>230.21</v>
      </c>
      <c r="E318">
        <v>231.95</v>
      </c>
      <c r="F318">
        <v>55535.75692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-0.50985915492958256</v>
      </c>
      <c r="Q318">
        <f t="shared" si="965"/>
        <v>-28315.414091605915</v>
      </c>
      <c r="R318">
        <f t="shared" si="966"/>
        <v>4271454.4844584996</v>
      </c>
      <c r="S318">
        <f t="shared" si="967"/>
        <v>42.714544844584999</v>
      </c>
      <c r="T318">
        <f t="shared" si="968"/>
        <v>4.2714544844584999E-2</v>
      </c>
    </row>
    <row r="319" spans="1:20" x14ac:dyDescent="0.25">
      <c r="A319" s="5">
        <v>44274</v>
      </c>
      <c r="B319">
        <v>228.03</v>
      </c>
      <c r="C319">
        <v>236.01</v>
      </c>
      <c r="D319">
        <v>223.28</v>
      </c>
      <c r="E319">
        <v>231.43</v>
      </c>
      <c r="F319">
        <v>87290.072639999999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0.2804399057344874</v>
      </c>
      <c r="Q319">
        <f t="shared" si="965"/>
        <v>24479.619742718158</v>
      </c>
      <c r="R319">
        <f t="shared" si="966"/>
        <v>4299769.8985501053</v>
      </c>
      <c r="S319">
        <f t="shared" si="967"/>
        <v>42.997698985501053</v>
      </c>
      <c r="T319">
        <f t="shared" si="968"/>
        <v>4.299769898550105E-2</v>
      </c>
    </row>
    <row r="320" spans="1:20" x14ac:dyDescent="0.25">
      <c r="A320" s="5">
        <v>44273</v>
      </c>
      <c r="B320">
        <v>235.87</v>
      </c>
      <c r="C320">
        <v>240.33</v>
      </c>
      <c r="D320">
        <v>227.53</v>
      </c>
      <c r="E320">
        <v>228.04</v>
      </c>
      <c r="F320">
        <v>99810.52231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-0.92031250000000153</v>
      </c>
      <c r="Q320">
        <f t="shared" si="965"/>
        <v>-91856.871313422031</v>
      </c>
      <c r="R320">
        <f t="shared" si="966"/>
        <v>4275290.2788073868</v>
      </c>
      <c r="S320">
        <f t="shared" si="967"/>
        <v>42.752902788073868</v>
      </c>
      <c r="T320">
        <f t="shared" si="968"/>
        <v>4.2752902788073865E-2</v>
      </c>
    </row>
    <row r="321" spans="1:20" x14ac:dyDescent="0.25">
      <c r="A321" s="5">
        <v>44272</v>
      </c>
      <c r="B321">
        <v>229.92</v>
      </c>
      <c r="C321">
        <v>237.37</v>
      </c>
      <c r="D321">
        <v>225.61</v>
      </c>
      <c r="E321">
        <v>236.2</v>
      </c>
      <c r="F321">
        <v>103403.79291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0.80102040816326248</v>
      </c>
      <c r="Q321">
        <f t="shared" si="965"/>
        <v>82828.548402397675</v>
      </c>
      <c r="R321">
        <f t="shared" si="966"/>
        <v>4367147.1501208087</v>
      </c>
      <c r="S321">
        <f t="shared" si="967"/>
        <v>43.671471501208089</v>
      </c>
      <c r="T321">
        <f t="shared" si="968"/>
        <v>4.3671471501208085E-2</v>
      </c>
    </row>
    <row r="322" spans="1:20" x14ac:dyDescent="0.25">
      <c r="A322" s="5">
        <v>44271</v>
      </c>
      <c r="B322">
        <v>221.93</v>
      </c>
      <c r="C322">
        <v>229.99</v>
      </c>
      <c r="D322">
        <v>211.08</v>
      </c>
      <c r="E322">
        <v>229.92</v>
      </c>
      <c r="F322">
        <v>102570.64095</v>
      </c>
      <c r="G322">
        <v>0</v>
      </c>
      <c r="L322" t="s">
        <v>7</v>
      </c>
      <c r="M322" t="s">
        <v>8</v>
      </c>
      <c r="N322" t="s">
        <v>8</v>
      </c>
      <c r="P322">
        <f t="shared" si="964"/>
        <v>0.99259650978318126</v>
      </c>
      <c r="Q322">
        <f t="shared" si="965"/>
        <v>101811.26021319385</v>
      </c>
      <c r="R322">
        <f t="shared" si="966"/>
        <v>4284318.6017184108</v>
      </c>
      <c r="S322">
        <f t="shared" si="967"/>
        <v>42.843186017184109</v>
      </c>
      <c r="T322">
        <f t="shared" si="968"/>
        <v>4.2843186017184107E-2</v>
      </c>
    </row>
    <row r="323" spans="1:20" x14ac:dyDescent="0.25">
      <c r="A323" s="5">
        <v>44270</v>
      </c>
      <c r="B323">
        <v>232.21</v>
      </c>
      <c r="C323">
        <v>238.19</v>
      </c>
      <c r="D323">
        <v>215.39</v>
      </c>
      <c r="E323">
        <v>221.88</v>
      </c>
      <c r="F323">
        <v>126952.3331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-0.43070175438596442</v>
      </c>
      <c r="Q323">
        <f t="shared" si="965"/>
        <v>-54678.59258956134</v>
      </c>
      <c r="R323">
        <f t="shared" si="966"/>
        <v>4182507.3415052169</v>
      </c>
      <c r="S323">
        <f t="shared" si="967"/>
        <v>41.825073415052167</v>
      </c>
      <c r="T323">
        <f t="shared" si="968"/>
        <v>4.1825073415052164E-2</v>
      </c>
    </row>
    <row r="324" spans="1:20" x14ac:dyDescent="0.25">
      <c r="A324" s="5">
        <v>44269</v>
      </c>
      <c r="B324">
        <v>239.44</v>
      </c>
      <c r="C324">
        <v>241</v>
      </c>
      <c r="D324">
        <v>229.21</v>
      </c>
      <c r="E324">
        <v>232.25</v>
      </c>
      <c r="F324">
        <v>90506.243170000002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-0.48430873621713416</v>
      </c>
      <c r="Q324">
        <f t="shared" si="965"/>
        <v>-43832.964249423334</v>
      </c>
      <c r="R324">
        <f t="shared" si="966"/>
        <v>4237185.9340947783</v>
      </c>
      <c r="S324">
        <f t="shared" si="967"/>
        <v>42.371859340947786</v>
      </c>
      <c r="T324">
        <f t="shared" si="968"/>
        <v>4.2371859340947789E-2</v>
      </c>
    </row>
    <row r="325" spans="1:20" x14ac:dyDescent="0.25">
      <c r="A325" s="5">
        <v>44268</v>
      </c>
      <c r="B325">
        <v>222.89</v>
      </c>
      <c r="C325">
        <v>239.46</v>
      </c>
      <c r="D325">
        <v>218.1</v>
      </c>
      <c r="E325">
        <v>239.46</v>
      </c>
      <c r="F325">
        <v>101280.98881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1</v>
      </c>
      <c r="Q325">
        <f t="shared" si="965"/>
        <v>101280.98881</v>
      </c>
      <c r="R325">
        <f t="shared" si="966"/>
        <v>4281018.898344202</v>
      </c>
      <c r="S325">
        <f t="shared" si="967"/>
        <v>42.810188983442018</v>
      </c>
      <c r="T325">
        <f t="shared" si="968"/>
        <v>4.2810188983442014E-2</v>
      </c>
    </row>
    <row r="326" spans="1:20" x14ac:dyDescent="0.25">
      <c r="A326" s="5">
        <v>44267</v>
      </c>
      <c r="B326">
        <v>221.06</v>
      </c>
      <c r="C326">
        <v>226.02</v>
      </c>
      <c r="D326">
        <v>214.9</v>
      </c>
      <c r="E326">
        <v>222.85</v>
      </c>
      <c r="F326">
        <v>80249.237989999994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0.42985611510791105</v>
      </c>
      <c r="Q326">
        <f t="shared" ref="Q326:Q389" si="970">F326*P326</f>
        <v>34495.625682751583</v>
      </c>
      <c r="R326">
        <f t="shared" ref="R326:R389" si="971">R327+Q326</f>
        <v>4179737.909534202</v>
      </c>
      <c r="S326">
        <f t="shared" ref="S326:S389" si="972">R326/100000</f>
        <v>41.797379095342016</v>
      </c>
      <c r="T326">
        <f t="shared" ref="T326:T389" si="973">S326/1000</f>
        <v>4.1797379095342015E-2</v>
      </c>
    </row>
    <row r="327" spans="1:20" x14ac:dyDescent="0.25">
      <c r="A327" s="5">
        <v>44266</v>
      </c>
      <c r="B327">
        <v>220.16</v>
      </c>
      <c r="C327">
        <v>226.34</v>
      </c>
      <c r="D327">
        <v>212.76</v>
      </c>
      <c r="E327">
        <v>221.11</v>
      </c>
      <c r="F327">
        <v>88910.638269999996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0.22974963181148969</v>
      </c>
      <c r="Q327">
        <f t="shared" si="970"/>
        <v>20427.186406657045</v>
      </c>
      <c r="R327">
        <f t="shared" si="971"/>
        <v>4145242.2838514503</v>
      </c>
      <c r="S327">
        <f t="shared" si="972"/>
        <v>41.452422838514501</v>
      </c>
      <c r="T327">
        <f t="shared" si="973"/>
        <v>4.1452422838514504E-2</v>
      </c>
    </row>
    <row r="328" spans="1:20" x14ac:dyDescent="0.25">
      <c r="A328" s="5">
        <v>44265</v>
      </c>
      <c r="B328">
        <v>224.98</v>
      </c>
      <c r="C328">
        <v>227.39</v>
      </c>
      <c r="D328">
        <v>214.7</v>
      </c>
      <c r="E328">
        <v>220.19</v>
      </c>
      <c r="F328">
        <v>90560.908490000002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-0.13475177304964381</v>
      </c>
      <c r="Q328">
        <f t="shared" si="970"/>
        <v>-12203.242988014041</v>
      </c>
      <c r="R328">
        <f t="shared" si="971"/>
        <v>4124815.0974447932</v>
      </c>
      <c r="S328">
        <f t="shared" si="972"/>
        <v>41.248150974447931</v>
      </c>
      <c r="T328">
        <f t="shared" si="973"/>
        <v>4.1248150974447929E-2</v>
      </c>
    </row>
    <row r="329" spans="1:20" x14ac:dyDescent="0.25">
      <c r="A329" s="5">
        <v>44264</v>
      </c>
      <c r="B329">
        <v>221.02</v>
      </c>
      <c r="C329">
        <v>228.99</v>
      </c>
      <c r="D329">
        <v>218.04</v>
      </c>
      <c r="E329">
        <v>225.16</v>
      </c>
      <c r="F329">
        <v>101112.21848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0.30045662100456499</v>
      </c>
      <c r="Q329">
        <f t="shared" si="970"/>
        <v>30379.835506776133</v>
      </c>
      <c r="R329">
        <f t="shared" si="971"/>
        <v>4137018.3404328073</v>
      </c>
      <c r="S329">
        <f t="shared" si="972"/>
        <v>41.370183404328074</v>
      </c>
      <c r="T329">
        <f t="shared" si="973"/>
        <v>4.1370183404328076E-2</v>
      </c>
    </row>
    <row r="330" spans="1:20" x14ac:dyDescent="0.25">
      <c r="A330" s="5">
        <v>44263</v>
      </c>
      <c r="B330">
        <v>209.07</v>
      </c>
      <c r="C330">
        <v>221.24</v>
      </c>
      <c r="D330">
        <v>204</v>
      </c>
      <c r="E330">
        <v>221.08</v>
      </c>
      <c r="F330">
        <v>104651.61369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0.98143851508120694</v>
      </c>
      <c r="Q330">
        <f t="shared" si="970"/>
        <v>102709.1243407657</v>
      </c>
      <c r="R330">
        <f t="shared" si="971"/>
        <v>4106638.504926031</v>
      </c>
      <c r="S330">
        <f t="shared" si="972"/>
        <v>41.066385049260312</v>
      </c>
      <c r="T330">
        <f t="shared" si="973"/>
        <v>4.1066385049260315E-2</v>
      </c>
    </row>
    <row r="331" spans="1:20" x14ac:dyDescent="0.25">
      <c r="A331" s="5">
        <v>44262</v>
      </c>
      <c r="B331">
        <v>204.51</v>
      </c>
      <c r="C331">
        <v>210.27</v>
      </c>
      <c r="D331">
        <v>202.17</v>
      </c>
      <c r="E331">
        <v>208.99</v>
      </c>
      <c r="F331">
        <v>73427.754860000001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0.68395061728395123</v>
      </c>
      <c r="Q331">
        <f t="shared" si="970"/>
        <v>50220.958262271648</v>
      </c>
      <c r="R331">
        <f t="shared" si="971"/>
        <v>4003929.3805852653</v>
      </c>
      <c r="S331">
        <f t="shared" si="972"/>
        <v>40.039293805852651</v>
      </c>
      <c r="T331">
        <f t="shared" si="973"/>
        <v>4.0039293805852652E-2</v>
      </c>
    </row>
    <row r="332" spans="1:20" x14ac:dyDescent="0.25">
      <c r="A332" s="5">
        <v>44261</v>
      </c>
      <c r="B332">
        <v>205.83</v>
      </c>
      <c r="C332">
        <v>208.13</v>
      </c>
      <c r="D332">
        <v>198.15</v>
      </c>
      <c r="E332">
        <v>204.35</v>
      </c>
      <c r="F332">
        <v>115437.07406</v>
      </c>
      <c r="G332">
        <v>0</v>
      </c>
      <c r="L332" t="s">
        <v>7</v>
      </c>
      <c r="M332" t="s">
        <v>8</v>
      </c>
      <c r="N332" t="s">
        <v>8</v>
      </c>
      <c r="P332">
        <f t="shared" si="969"/>
        <v>0.24248496993987875</v>
      </c>
      <c r="Q332">
        <f t="shared" si="970"/>
        <v>27991.755433386657</v>
      </c>
      <c r="R332">
        <f t="shared" si="971"/>
        <v>3953708.4223229936</v>
      </c>
      <c r="S332">
        <f t="shared" si="972"/>
        <v>39.53708422322994</v>
      </c>
      <c r="T332">
        <f t="shared" si="973"/>
        <v>3.9537084223229942E-2</v>
      </c>
    </row>
    <row r="333" spans="1:20" x14ac:dyDescent="0.25">
      <c r="A333" s="5">
        <v>44260</v>
      </c>
      <c r="B333">
        <v>217.31</v>
      </c>
      <c r="C333">
        <v>217.58</v>
      </c>
      <c r="D333">
        <v>202.69</v>
      </c>
      <c r="E333">
        <v>205.84</v>
      </c>
      <c r="F333">
        <v>88002.699619999999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-0.57689724647414342</v>
      </c>
      <c r="Q333">
        <f t="shared" si="970"/>
        <v>-50768.515093069145</v>
      </c>
      <c r="R333">
        <f t="shared" si="971"/>
        <v>3925716.666889607</v>
      </c>
      <c r="S333">
        <f t="shared" si="972"/>
        <v>39.257166668896069</v>
      </c>
      <c r="T333">
        <f t="shared" si="973"/>
        <v>3.9257166668896067E-2</v>
      </c>
    </row>
    <row r="334" spans="1:20" x14ac:dyDescent="0.25">
      <c r="A334" s="5">
        <v>44259</v>
      </c>
      <c r="B334">
        <v>218.82</v>
      </c>
      <c r="C334">
        <v>223.93</v>
      </c>
      <c r="D334">
        <v>209.66</v>
      </c>
      <c r="E334">
        <v>217.52</v>
      </c>
      <c r="F334">
        <v>101341.12347000001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0.1016117729502464</v>
      </c>
      <c r="Q334">
        <f t="shared" si="970"/>
        <v>10297.451228556527</v>
      </c>
      <c r="R334">
        <f t="shared" si="971"/>
        <v>3976485.181982676</v>
      </c>
      <c r="S334">
        <f t="shared" si="972"/>
        <v>39.76485181982676</v>
      </c>
      <c r="T334">
        <f t="shared" si="973"/>
        <v>3.9764851819826759E-2</v>
      </c>
    </row>
    <row r="335" spans="1:20" x14ac:dyDescent="0.25">
      <c r="A335" s="5">
        <v>44258</v>
      </c>
      <c r="B335">
        <v>220.14</v>
      </c>
      <c r="C335">
        <v>228.99</v>
      </c>
      <c r="D335">
        <v>215.65</v>
      </c>
      <c r="E335">
        <v>218.7</v>
      </c>
      <c r="F335">
        <v>125359.45832000001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-0.54272863568216156</v>
      </c>
      <c r="Q335">
        <f t="shared" si="970"/>
        <v>-68036.167783868397</v>
      </c>
      <c r="R335">
        <f t="shared" si="971"/>
        <v>3966187.7307541193</v>
      </c>
      <c r="S335">
        <f t="shared" si="972"/>
        <v>39.661877307541197</v>
      </c>
      <c r="T335">
        <f t="shared" si="973"/>
        <v>3.9661877307541199E-2</v>
      </c>
    </row>
    <row r="336" spans="1:20" x14ac:dyDescent="0.25">
      <c r="A336" s="5">
        <v>44257</v>
      </c>
      <c r="B336">
        <v>230.56</v>
      </c>
      <c r="C336">
        <v>232.51</v>
      </c>
      <c r="D336">
        <v>211</v>
      </c>
      <c r="E336">
        <v>220.04</v>
      </c>
      <c r="F336">
        <v>99961.517399999997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-0.15946071594607197</v>
      </c>
      <c r="Q336">
        <f t="shared" si="970"/>
        <v>-15939.935131659731</v>
      </c>
      <c r="R336">
        <f t="shared" si="971"/>
        <v>4034223.8985379878</v>
      </c>
      <c r="S336">
        <f t="shared" si="972"/>
        <v>40.342238985379879</v>
      </c>
      <c r="T336">
        <f t="shared" si="973"/>
        <v>4.0342238985379877E-2</v>
      </c>
    </row>
    <row r="337" spans="1:20" x14ac:dyDescent="0.25">
      <c r="A337" s="5">
        <v>44256</v>
      </c>
      <c r="B337">
        <v>219.23</v>
      </c>
      <c r="C337">
        <v>230.72</v>
      </c>
      <c r="D337">
        <v>209.92</v>
      </c>
      <c r="E337">
        <v>230.4</v>
      </c>
      <c r="F337">
        <v>114755.59135</v>
      </c>
      <c r="G337">
        <v>0</v>
      </c>
      <c r="L337" t="s">
        <v>7</v>
      </c>
      <c r="M337" t="s">
        <v>8</v>
      </c>
      <c r="N337" t="s">
        <v>8</v>
      </c>
      <c r="P337">
        <f t="shared" si="969"/>
        <v>0.9692307692307699</v>
      </c>
      <c r="Q337">
        <f t="shared" si="970"/>
        <v>111224.65007769239</v>
      </c>
      <c r="R337">
        <f t="shared" si="971"/>
        <v>4050163.8336696476</v>
      </c>
      <c r="S337">
        <f t="shared" si="972"/>
        <v>40.501638336696473</v>
      </c>
      <c r="T337">
        <f t="shared" si="973"/>
        <v>4.0501638336696476E-2</v>
      </c>
    </row>
    <row r="338" spans="1:20" x14ac:dyDescent="0.25">
      <c r="A338" s="5">
        <v>44255</v>
      </c>
      <c r="B338">
        <v>209.34</v>
      </c>
      <c r="C338">
        <v>227.5</v>
      </c>
      <c r="D338">
        <v>198.24</v>
      </c>
      <c r="E338">
        <v>219.18</v>
      </c>
      <c r="F338">
        <v>199009.46387000001</v>
      </c>
      <c r="G338">
        <v>0</v>
      </c>
      <c r="L338" t="s">
        <v>8</v>
      </c>
      <c r="M338" t="s">
        <v>8</v>
      </c>
      <c r="N338" t="s">
        <v>7</v>
      </c>
      <c r="P338">
        <f t="shared" si="969"/>
        <v>0.43130553656869475</v>
      </c>
      <c r="Q338">
        <f t="shared" si="970"/>
        <v>85833.883596698623</v>
      </c>
      <c r="R338">
        <f t="shared" si="971"/>
        <v>3938939.1835919553</v>
      </c>
      <c r="S338">
        <f t="shared" si="972"/>
        <v>39.389391835919554</v>
      </c>
      <c r="T338">
        <f t="shared" si="973"/>
        <v>3.9389391835919552E-2</v>
      </c>
    </row>
    <row r="339" spans="1:20" x14ac:dyDescent="0.25">
      <c r="A339" s="5">
        <v>44254</v>
      </c>
      <c r="B339">
        <v>204.16</v>
      </c>
      <c r="C339">
        <v>223.2</v>
      </c>
      <c r="D339">
        <v>203.54</v>
      </c>
      <c r="E339">
        <v>209.26</v>
      </c>
      <c r="F339">
        <v>124307.97212999999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-0.41810783316378436</v>
      </c>
      <c r="Q339">
        <f t="shared" si="970"/>
        <v>-51974.136872258394</v>
      </c>
      <c r="R339">
        <f t="shared" si="971"/>
        <v>3853105.2999952566</v>
      </c>
      <c r="S339">
        <f t="shared" si="972"/>
        <v>38.531052999952564</v>
      </c>
      <c r="T339">
        <f t="shared" si="973"/>
        <v>3.8531052999952561E-2</v>
      </c>
    </row>
    <row r="340" spans="1:20" x14ac:dyDescent="0.25">
      <c r="A340" s="5">
        <v>44253</v>
      </c>
      <c r="B340">
        <v>198.61</v>
      </c>
      <c r="C340">
        <v>217.92</v>
      </c>
      <c r="D340">
        <v>193.51</v>
      </c>
      <c r="E340">
        <v>204.2</v>
      </c>
      <c r="F340">
        <v>177306.27463999999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-0.12412945514133558</v>
      </c>
      <c r="Q340">
        <f t="shared" si="970"/>
        <v>-22008.931264203206</v>
      </c>
      <c r="R340">
        <f t="shared" si="971"/>
        <v>3905079.4368675151</v>
      </c>
      <c r="S340">
        <f t="shared" si="972"/>
        <v>39.050794368675149</v>
      </c>
      <c r="T340">
        <f t="shared" si="973"/>
        <v>3.9050794368675146E-2</v>
      </c>
    </row>
    <row r="341" spans="1:20" x14ac:dyDescent="0.25">
      <c r="A341" s="5">
        <v>44252</v>
      </c>
      <c r="B341">
        <v>204.52</v>
      </c>
      <c r="C341">
        <v>218.58</v>
      </c>
      <c r="D341">
        <v>196</v>
      </c>
      <c r="E341">
        <v>198.98</v>
      </c>
      <c r="F341">
        <v>131498.34268999999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-0.73604960141718445</v>
      </c>
      <c r="Q341">
        <f t="shared" si="970"/>
        <v>-96789.302723994828</v>
      </c>
      <c r="R341">
        <f t="shared" si="971"/>
        <v>3927088.3681317181</v>
      </c>
      <c r="S341">
        <f t="shared" si="972"/>
        <v>39.27088368131718</v>
      </c>
      <c r="T341">
        <f t="shared" si="973"/>
        <v>3.9270883681317183E-2</v>
      </c>
    </row>
    <row r="342" spans="1:20" x14ac:dyDescent="0.25">
      <c r="A342" s="5">
        <v>44251</v>
      </c>
      <c r="B342">
        <v>221.04</v>
      </c>
      <c r="C342">
        <v>225.61</v>
      </c>
      <c r="D342">
        <v>197.8</v>
      </c>
      <c r="E342">
        <v>204.27</v>
      </c>
      <c r="F342">
        <v>212105.58418999999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-0.53469974829198141</v>
      </c>
      <c r="Q342">
        <f t="shared" si="970"/>
        <v>-113412.80247771667</v>
      </c>
      <c r="R342">
        <f t="shared" si="971"/>
        <v>4023877.6708557131</v>
      </c>
      <c r="S342">
        <f t="shared" si="972"/>
        <v>40.238776708557133</v>
      </c>
      <c r="T342">
        <f t="shared" si="973"/>
        <v>4.0238776708557134E-2</v>
      </c>
    </row>
    <row r="343" spans="1:20" x14ac:dyDescent="0.25">
      <c r="A343" s="5">
        <v>44250</v>
      </c>
      <c r="B343">
        <v>224.29</v>
      </c>
      <c r="C343">
        <v>225.57</v>
      </c>
      <c r="D343">
        <v>170.15</v>
      </c>
      <c r="E343">
        <v>220.85</v>
      </c>
      <c r="F343">
        <v>340782.27824000001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0.82966438108985929</v>
      </c>
      <c r="Q343">
        <f t="shared" si="970"/>
        <v>282734.91796238185</v>
      </c>
      <c r="R343">
        <f t="shared" si="971"/>
        <v>4137290.4733334295</v>
      </c>
      <c r="S343">
        <f t="shared" si="972"/>
        <v>41.372904733334295</v>
      </c>
      <c r="T343">
        <f t="shared" si="973"/>
        <v>4.1372904733334298E-2</v>
      </c>
    </row>
    <row r="344" spans="1:20" x14ac:dyDescent="0.25">
      <c r="A344" s="5">
        <v>44249</v>
      </c>
      <c r="B344">
        <v>247.37</v>
      </c>
      <c r="C344">
        <v>248.66</v>
      </c>
      <c r="D344">
        <v>186.95</v>
      </c>
      <c r="E344">
        <v>224.22</v>
      </c>
      <c r="F344">
        <v>283427.71477999998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0.20790795657105834</v>
      </c>
      <c r="Q344">
        <f t="shared" si="970"/>
        <v>58926.877015514547</v>
      </c>
      <c r="R344">
        <f t="shared" si="971"/>
        <v>3854555.5553710475</v>
      </c>
      <c r="S344">
        <f t="shared" si="972"/>
        <v>38.545555553710471</v>
      </c>
      <c r="T344">
        <f t="shared" si="973"/>
        <v>3.8545555553710469E-2</v>
      </c>
    </row>
    <row r="345" spans="1:20" x14ac:dyDescent="0.25">
      <c r="A345" s="5">
        <v>44248</v>
      </c>
      <c r="B345">
        <v>255.02</v>
      </c>
      <c r="C345">
        <v>261.26</v>
      </c>
      <c r="D345">
        <v>243.46</v>
      </c>
      <c r="E345">
        <v>247.28</v>
      </c>
      <c r="F345">
        <v>159592.20157999999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-0.57078651685393289</v>
      </c>
      <c r="Q345">
        <f t="shared" si="970"/>
        <v>-91093.076856898915</v>
      </c>
      <c r="R345">
        <f t="shared" si="971"/>
        <v>3795628.6783555327</v>
      </c>
      <c r="S345">
        <f t="shared" si="972"/>
        <v>37.956286783555328</v>
      </c>
      <c r="T345">
        <f t="shared" si="973"/>
        <v>3.7956286783555331E-2</v>
      </c>
    </row>
    <row r="346" spans="1:20" x14ac:dyDescent="0.25">
      <c r="A346" s="5">
        <v>44247</v>
      </c>
      <c r="B346">
        <v>282.20999999999998</v>
      </c>
      <c r="C346">
        <v>288.8</v>
      </c>
      <c r="D346">
        <v>245.55</v>
      </c>
      <c r="E346">
        <v>255.11</v>
      </c>
      <c r="F346">
        <v>220107.16037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-0.55791907514450856</v>
      </c>
      <c r="Q346">
        <f t="shared" si="970"/>
        <v>-122801.98334631443</v>
      </c>
      <c r="R346">
        <f t="shared" si="971"/>
        <v>3886721.7552124318</v>
      </c>
      <c r="S346">
        <f t="shared" si="972"/>
        <v>38.867217552124316</v>
      </c>
      <c r="T346">
        <f t="shared" si="973"/>
        <v>3.8867217552124314E-2</v>
      </c>
    </row>
    <row r="347" spans="1:20" x14ac:dyDescent="0.25">
      <c r="A347" s="5">
        <v>44246</v>
      </c>
      <c r="B347">
        <v>261.17</v>
      </c>
      <c r="C347">
        <v>283.94</v>
      </c>
      <c r="D347">
        <v>252.5</v>
      </c>
      <c r="E347">
        <v>282.51</v>
      </c>
      <c r="F347">
        <v>167163.83879000001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0.90903307888040663</v>
      </c>
      <c r="Q347">
        <f t="shared" si="970"/>
        <v>151957.45905274164</v>
      </c>
      <c r="R347">
        <f t="shared" si="971"/>
        <v>4009523.7385587464</v>
      </c>
      <c r="S347">
        <f t="shared" si="972"/>
        <v>40.095237385587467</v>
      </c>
      <c r="T347">
        <f t="shared" si="973"/>
        <v>4.0095237385587464E-2</v>
      </c>
    </row>
    <row r="348" spans="1:20" x14ac:dyDescent="0.25">
      <c r="A348" s="5">
        <v>44245</v>
      </c>
      <c r="B348">
        <v>272.11</v>
      </c>
      <c r="C348">
        <v>276.69</v>
      </c>
      <c r="D348">
        <v>246.33</v>
      </c>
      <c r="E348">
        <v>260.94</v>
      </c>
      <c r="F348">
        <v>159588.32269</v>
      </c>
      <c r="G348">
        <v>0</v>
      </c>
      <c r="L348" t="s">
        <v>7</v>
      </c>
      <c r="M348" t="s">
        <v>8</v>
      </c>
      <c r="N348" t="s">
        <v>8</v>
      </c>
      <c r="P348">
        <f t="shared" si="969"/>
        <v>-3.7549407114625011E-2</v>
      </c>
      <c r="Q348">
        <f t="shared" si="970"/>
        <v>-5992.4468994269582</v>
      </c>
      <c r="R348">
        <f t="shared" si="971"/>
        <v>3857566.2795060049</v>
      </c>
      <c r="S348">
        <f t="shared" si="972"/>
        <v>38.575662795060047</v>
      </c>
      <c r="T348">
        <f t="shared" si="973"/>
        <v>3.8575662795060049E-2</v>
      </c>
    </row>
    <row r="349" spans="1:20" x14ac:dyDescent="0.25">
      <c r="A349" s="5">
        <v>44244</v>
      </c>
      <c r="B349">
        <v>221.43</v>
      </c>
      <c r="C349">
        <v>275</v>
      </c>
      <c r="D349">
        <v>220.73</v>
      </c>
      <c r="E349">
        <v>272.25</v>
      </c>
      <c r="F349">
        <v>283425.73719999997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0.89865487377925191</v>
      </c>
      <c r="Q349">
        <f t="shared" si="970"/>
        <v>254701.92008925739</v>
      </c>
      <c r="R349">
        <f t="shared" si="971"/>
        <v>3863558.726405432</v>
      </c>
      <c r="S349">
        <f t="shared" si="972"/>
        <v>38.635587264054323</v>
      </c>
      <c r="T349">
        <f t="shared" si="973"/>
        <v>3.8635587264054319E-2</v>
      </c>
    </row>
    <row r="350" spans="1:20" x14ac:dyDescent="0.25">
      <c r="A350" s="5">
        <v>44243</v>
      </c>
      <c r="B350">
        <v>228.24</v>
      </c>
      <c r="C350">
        <v>237</v>
      </c>
      <c r="D350">
        <v>210.22</v>
      </c>
      <c r="E350">
        <v>221.48</v>
      </c>
      <c r="F350">
        <v>145693.52089000001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-0.15907393577296561</v>
      </c>
      <c r="Q350">
        <f t="shared" si="970"/>
        <v>-23176.041784593086</v>
      </c>
      <c r="R350">
        <f t="shared" si="971"/>
        <v>3608856.8063161746</v>
      </c>
      <c r="S350">
        <f t="shared" si="972"/>
        <v>36.088568063161745</v>
      </c>
      <c r="T350">
        <f t="shared" si="973"/>
        <v>3.6088568063161748E-2</v>
      </c>
    </row>
    <row r="351" spans="1:20" x14ac:dyDescent="0.25">
      <c r="A351" s="5">
        <v>44242</v>
      </c>
      <c r="B351">
        <v>230.13</v>
      </c>
      <c r="C351">
        <v>234.15</v>
      </c>
      <c r="D351">
        <v>200.83</v>
      </c>
      <c r="E351">
        <v>228.21</v>
      </c>
      <c r="F351">
        <v>224464.36218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0.64345738295318133</v>
      </c>
      <c r="Q351">
        <f t="shared" si="970"/>
        <v>144433.25105459784</v>
      </c>
      <c r="R351">
        <f t="shared" si="971"/>
        <v>3632032.8481007675</v>
      </c>
      <c r="S351">
        <f t="shared" si="972"/>
        <v>36.320328481007678</v>
      </c>
      <c r="T351">
        <f t="shared" si="973"/>
        <v>3.6320328481007677E-2</v>
      </c>
    </row>
    <row r="352" spans="1:20" x14ac:dyDescent="0.25">
      <c r="A352" s="5">
        <v>44241</v>
      </c>
      <c r="B352">
        <v>241.1</v>
      </c>
      <c r="C352">
        <v>243.2</v>
      </c>
      <c r="D352">
        <v>223.01</v>
      </c>
      <c r="E352">
        <v>230.14</v>
      </c>
      <c r="F352">
        <v>195501.77804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-0.29370975730559717</v>
      </c>
      <c r="Q352">
        <f t="shared" si="970"/>
        <v>-57420.779780941128</v>
      </c>
      <c r="R352">
        <f t="shared" si="971"/>
        <v>3487599.5970461695</v>
      </c>
      <c r="S352">
        <f t="shared" si="972"/>
        <v>34.875995970461695</v>
      </c>
      <c r="T352">
        <f t="shared" si="973"/>
        <v>3.4875995970461697E-2</v>
      </c>
    </row>
    <row r="353" spans="1:20" x14ac:dyDescent="0.25">
      <c r="A353" s="5">
        <v>44240</v>
      </c>
      <c r="B353">
        <v>200.57</v>
      </c>
      <c r="C353">
        <v>255.32</v>
      </c>
      <c r="D353">
        <v>196.39</v>
      </c>
      <c r="E353">
        <v>240.99</v>
      </c>
      <c r="F353">
        <v>395012.93589999998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0.51366027490242716</v>
      </c>
      <c r="Q353">
        <f t="shared" si="970"/>
        <v>202902.45324440883</v>
      </c>
      <c r="R353">
        <f t="shared" si="971"/>
        <v>3545020.3768271105</v>
      </c>
      <c r="S353">
        <f t="shared" si="972"/>
        <v>35.450203768271102</v>
      </c>
      <c r="T353">
        <f t="shared" si="973"/>
        <v>3.5450203768271099E-2</v>
      </c>
    </row>
    <row r="354" spans="1:20" x14ac:dyDescent="0.25">
      <c r="A354" s="5">
        <v>44239</v>
      </c>
      <c r="B354">
        <v>190.48</v>
      </c>
      <c r="C354">
        <v>215.8</v>
      </c>
      <c r="D354">
        <v>190.28</v>
      </c>
      <c r="E354">
        <v>200.64</v>
      </c>
      <c r="F354">
        <v>284477.16557000001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-0.18808777429467233</v>
      </c>
      <c r="Q354">
        <f t="shared" si="970"/>
        <v>-53506.676909718291</v>
      </c>
      <c r="R354">
        <f t="shared" si="971"/>
        <v>3342117.9235827019</v>
      </c>
      <c r="S354">
        <f t="shared" si="972"/>
        <v>33.421179235827019</v>
      </c>
      <c r="T354">
        <f t="shared" si="973"/>
        <v>3.342117923582702E-2</v>
      </c>
    </row>
    <row r="355" spans="1:20" x14ac:dyDescent="0.25">
      <c r="A355" s="5">
        <v>44238</v>
      </c>
      <c r="B355">
        <v>175.5</v>
      </c>
      <c r="C355">
        <v>192.55</v>
      </c>
      <c r="D355">
        <v>170.55</v>
      </c>
      <c r="E355">
        <v>190.49</v>
      </c>
      <c r="F355">
        <v>216880.77218999999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0.81272727272727252</v>
      </c>
      <c r="Q355">
        <f t="shared" si="970"/>
        <v>176264.91848896359</v>
      </c>
      <c r="R355">
        <f t="shared" si="971"/>
        <v>3395624.6004924201</v>
      </c>
      <c r="S355">
        <f t="shared" si="972"/>
        <v>33.956246004924203</v>
      </c>
      <c r="T355">
        <f t="shared" si="973"/>
        <v>3.3956246004924202E-2</v>
      </c>
    </row>
    <row r="356" spans="1:20" x14ac:dyDescent="0.25">
      <c r="A356" s="5">
        <v>44237</v>
      </c>
      <c r="B356">
        <v>169.09</v>
      </c>
      <c r="C356">
        <v>183</v>
      </c>
      <c r="D356">
        <v>165</v>
      </c>
      <c r="E356">
        <v>175.6</v>
      </c>
      <c r="F356">
        <v>171067.85337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0.17777777777777715</v>
      </c>
      <c r="Q356">
        <f t="shared" si="970"/>
        <v>30412.062821333224</v>
      </c>
      <c r="R356">
        <f t="shared" si="971"/>
        <v>3219359.6820034566</v>
      </c>
      <c r="S356">
        <f t="shared" si="972"/>
        <v>32.193596820034564</v>
      </c>
      <c r="T356">
        <f t="shared" si="973"/>
        <v>3.2193596820034566E-2</v>
      </c>
    </row>
    <row r="357" spans="1:20" x14ac:dyDescent="0.25">
      <c r="A357" s="5">
        <v>44236</v>
      </c>
      <c r="B357">
        <v>163.09</v>
      </c>
      <c r="C357">
        <v>178</v>
      </c>
      <c r="D357">
        <v>158.5</v>
      </c>
      <c r="E357">
        <v>169.14</v>
      </c>
      <c r="F357">
        <v>154738.08160999999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9.1282051282049886E-2</v>
      </c>
      <c r="Q357">
        <f t="shared" si="970"/>
        <v>14124.809500810039</v>
      </c>
      <c r="R357">
        <f t="shared" si="971"/>
        <v>3188947.6191821233</v>
      </c>
      <c r="S357">
        <f t="shared" si="972"/>
        <v>31.889476191821235</v>
      </c>
      <c r="T357">
        <f t="shared" si="973"/>
        <v>3.1889476191821232E-2</v>
      </c>
    </row>
    <row r="358" spans="1:20" x14ac:dyDescent="0.25">
      <c r="A358" s="5">
        <v>44235</v>
      </c>
      <c r="B358">
        <v>150.30000000000001</v>
      </c>
      <c r="C358">
        <v>163.84</v>
      </c>
      <c r="D358">
        <v>147.22</v>
      </c>
      <c r="E358">
        <v>163.21</v>
      </c>
      <c r="F358">
        <v>131063.01992000001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0.92418772563176954</v>
      </c>
      <c r="Q358">
        <f t="shared" si="970"/>
        <v>121126.83429429612</v>
      </c>
      <c r="R358">
        <f t="shared" si="971"/>
        <v>3174822.8096813131</v>
      </c>
      <c r="S358">
        <f t="shared" si="972"/>
        <v>31.748228096813133</v>
      </c>
      <c r="T358">
        <f t="shared" si="973"/>
        <v>3.174822809681313E-2</v>
      </c>
    </row>
    <row r="359" spans="1:20" x14ac:dyDescent="0.25">
      <c r="A359" s="5">
        <v>44234</v>
      </c>
      <c r="B359">
        <v>152.11000000000001</v>
      </c>
      <c r="C359">
        <v>156.08000000000001</v>
      </c>
      <c r="D359">
        <v>147.21</v>
      </c>
      <c r="E359">
        <v>150.31</v>
      </c>
      <c r="F359">
        <v>108689.49578</v>
      </c>
      <c r="G359">
        <v>0</v>
      </c>
      <c r="L359" t="s">
        <v>8</v>
      </c>
      <c r="M359" t="s">
        <v>8</v>
      </c>
      <c r="N359" t="s">
        <v>7</v>
      </c>
      <c r="P359">
        <f t="shared" si="969"/>
        <v>-0.30101465614430828</v>
      </c>
      <c r="Q359">
        <f t="shared" si="970"/>
        <v>-32717.131198714946</v>
      </c>
      <c r="R359">
        <f t="shared" si="971"/>
        <v>3053695.9753870168</v>
      </c>
      <c r="S359">
        <f t="shared" si="972"/>
        <v>30.536959753870168</v>
      </c>
      <c r="T359">
        <f t="shared" si="973"/>
        <v>3.0536959753870167E-2</v>
      </c>
    </row>
    <row r="360" spans="1:20" x14ac:dyDescent="0.25">
      <c r="A360" s="5">
        <v>44233</v>
      </c>
      <c r="B360">
        <v>155.46</v>
      </c>
      <c r="C360">
        <v>158.16</v>
      </c>
      <c r="D360">
        <v>152</v>
      </c>
      <c r="E360">
        <v>152.06</v>
      </c>
      <c r="F360">
        <v>98267.186159999997</v>
      </c>
      <c r="G360">
        <v>0</v>
      </c>
      <c r="L360" t="s">
        <v>8</v>
      </c>
      <c r="M360" t="s">
        <v>8</v>
      </c>
      <c r="N360" t="s">
        <v>7</v>
      </c>
      <c r="P360">
        <f t="shared" si="969"/>
        <v>-0.98051948051947979</v>
      </c>
      <c r="Q360">
        <f t="shared" si="970"/>
        <v>-96352.890325714208</v>
      </c>
      <c r="R360">
        <f t="shared" si="971"/>
        <v>3086413.1065857317</v>
      </c>
      <c r="S360">
        <f t="shared" si="972"/>
        <v>30.864131065857318</v>
      </c>
      <c r="T360">
        <f t="shared" si="973"/>
        <v>3.0864131065857319E-2</v>
      </c>
    </row>
    <row r="361" spans="1:20" x14ac:dyDescent="0.25">
      <c r="A361" s="5">
        <v>44232</v>
      </c>
      <c r="B361">
        <v>148.09</v>
      </c>
      <c r="C361">
        <v>156.43</v>
      </c>
      <c r="D361">
        <v>147.41</v>
      </c>
      <c r="E361">
        <v>155.4</v>
      </c>
      <c r="F361">
        <v>105835.81866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0.77161862527716185</v>
      </c>
      <c r="Q361">
        <f t="shared" si="970"/>
        <v>81664.888899512196</v>
      </c>
      <c r="R361">
        <f t="shared" si="971"/>
        <v>3182765.9969114461</v>
      </c>
      <c r="S361">
        <f t="shared" si="972"/>
        <v>31.82765996911446</v>
      </c>
      <c r="T361">
        <f t="shared" si="973"/>
        <v>3.1827659969114463E-2</v>
      </c>
    </row>
    <row r="362" spans="1:20" x14ac:dyDescent="0.25">
      <c r="A362" s="5">
        <v>44231</v>
      </c>
      <c r="B362">
        <v>154.65</v>
      </c>
      <c r="C362">
        <v>155.51</v>
      </c>
      <c r="D362">
        <v>147.68</v>
      </c>
      <c r="E362">
        <v>148.04</v>
      </c>
      <c r="F362">
        <v>97493.705969999995</v>
      </c>
      <c r="G362">
        <v>0</v>
      </c>
      <c r="L362" t="s">
        <v>8</v>
      </c>
      <c r="M362" t="s">
        <v>8</v>
      </c>
      <c r="N362" t="s">
        <v>7</v>
      </c>
      <c r="P362">
        <f t="shared" si="969"/>
        <v>-0.90804597701149781</v>
      </c>
      <c r="Q362">
        <f t="shared" si="970"/>
        <v>-88528.767490000348</v>
      </c>
      <c r="R362">
        <f t="shared" si="971"/>
        <v>3101101.108011934</v>
      </c>
      <c r="S362">
        <f t="shared" si="972"/>
        <v>31.011011080119339</v>
      </c>
      <c r="T362">
        <f t="shared" si="973"/>
        <v>3.101101108011934E-2</v>
      </c>
    </row>
    <row r="363" spans="1:20" x14ac:dyDescent="0.25">
      <c r="A363" s="5">
        <v>44230</v>
      </c>
      <c r="B363">
        <v>151.19999999999999</v>
      </c>
      <c r="C363">
        <v>155.24</v>
      </c>
      <c r="D363">
        <v>150.15</v>
      </c>
      <c r="E363">
        <v>154.6</v>
      </c>
      <c r="F363">
        <v>107458.32209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0.74852652259331465</v>
      </c>
      <c r="Q363">
        <f t="shared" si="970"/>
        <v>80435.404157740064</v>
      </c>
      <c r="R363">
        <f t="shared" si="971"/>
        <v>3189629.8755019344</v>
      </c>
      <c r="S363">
        <f t="shared" si="972"/>
        <v>31.896298755019345</v>
      </c>
      <c r="T363">
        <f t="shared" si="973"/>
        <v>3.1896298755019342E-2</v>
      </c>
    </row>
    <row r="364" spans="1:20" x14ac:dyDescent="0.25">
      <c r="A364" s="5">
        <v>44229</v>
      </c>
      <c r="B364">
        <v>143.32</v>
      </c>
      <c r="C364">
        <v>151.97</v>
      </c>
      <c r="D364">
        <v>142.75</v>
      </c>
      <c r="E364">
        <v>151.19</v>
      </c>
      <c r="F364">
        <v>98757.069109999997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0.83080260303687614</v>
      </c>
      <c r="Q364">
        <f t="shared" si="970"/>
        <v>82047.630084880671</v>
      </c>
      <c r="R364">
        <f t="shared" si="971"/>
        <v>3109194.4713441944</v>
      </c>
      <c r="S364">
        <f t="shared" si="972"/>
        <v>31.091944713441944</v>
      </c>
      <c r="T364">
        <f t="shared" si="973"/>
        <v>3.1091944713441944E-2</v>
      </c>
    </row>
    <row r="365" spans="1:20" x14ac:dyDescent="0.25">
      <c r="A365" s="5">
        <v>44228</v>
      </c>
      <c r="B365">
        <v>137.72999999999999</v>
      </c>
      <c r="C365">
        <v>146.29</v>
      </c>
      <c r="D365">
        <v>135.63999999999999</v>
      </c>
      <c r="E365">
        <v>143.36000000000001</v>
      </c>
      <c r="F365">
        <v>142330.81570000001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0.4497652582159668</v>
      </c>
      <c r="Q365">
        <f t="shared" si="970"/>
        <v>64015.456075399685</v>
      </c>
      <c r="R365">
        <f t="shared" si="971"/>
        <v>3027146.8412593137</v>
      </c>
      <c r="S365">
        <f t="shared" si="972"/>
        <v>30.271468412593137</v>
      </c>
      <c r="T365">
        <f t="shared" si="973"/>
        <v>3.0271468412593136E-2</v>
      </c>
    </row>
    <row r="366" spans="1:20" x14ac:dyDescent="0.25">
      <c r="A366" s="5">
        <v>44227</v>
      </c>
      <c r="B366">
        <v>139.44</v>
      </c>
      <c r="C366">
        <v>140.44999999999999</v>
      </c>
      <c r="D366">
        <v>132.16999999999999</v>
      </c>
      <c r="E366">
        <v>137.72999999999999</v>
      </c>
      <c r="F366">
        <v>81249.04002</v>
      </c>
      <c r="G366">
        <v>0</v>
      </c>
      <c r="L366" t="s">
        <v>7</v>
      </c>
      <c r="M366" t="s">
        <v>8</v>
      </c>
      <c r="N366" t="s">
        <v>7</v>
      </c>
      <c r="P366">
        <f t="shared" si="969"/>
        <v>0.34299516908212596</v>
      </c>
      <c r="Q366">
        <f t="shared" si="970"/>
        <v>27868.028219420317</v>
      </c>
      <c r="R366">
        <f t="shared" si="971"/>
        <v>2963131.3851839141</v>
      </c>
      <c r="S366">
        <f t="shared" si="972"/>
        <v>29.631313851839142</v>
      </c>
      <c r="T366">
        <f t="shared" si="973"/>
        <v>2.963131385183914E-2</v>
      </c>
    </row>
    <row r="367" spans="1:20" x14ac:dyDescent="0.25">
      <c r="A367" s="5">
        <v>44226</v>
      </c>
      <c r="B367">
        <v>140.34</v>
      </c>
      <c r="C367">
        <v>142.18</v>
      </c>
      <c r="D367">
        <v>136.16</v>
      </c>
      <c r="E367">
        <v>139.43</v>
      </c>
      <c r="F367">
        <v>84838.814190000005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8.637873754152979E-2</v>
      </c>
      <c r="Q367">
        <f t="shared" si="970"/>
        <v>7328.2696642526234</v>
      </c>
      <c r="R367">
        <f t="shared" si="971"/>
        <v>2935263.3569644936</v>
      </c>
      <c r="S367">
        <f t="shared" si="972"/>
        <v>29.352633569644937</v>
      </c>
      <c r="T367">
        <f t="shared" si="973"/>
        <v>2.9352633569644935E-2</v>
      </c>
    </row>
    <row r="368" spans="1:20" x14ac:dyDescent="0.25">
      <c r="A368" s="5">
        <v>44225</v>
      </c>
      <c r="B368">
        <v>135.51</v>
      </c>
      <c r="C368">
        <v>150</v>
      </c>
      <c r="D368">
        <v>132.07</v>
      </c>
      <c r="E368">
        <v>140.31</v>
      </c>
      <c r="F368">
        <v>180825.51866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-8.0870050195202908E-2</v>
      </c>
      <c r="Q368">
        <f t="shared" si="970"/>
        <v>-14623.3687706078</v>
      </c>
      <c r="R368">
        <f t="shared" si="971"/>
        <v>2927935.087300241</v>
      </c>
      <c r="S368">
        <f t="shared" si="972"/>
        <v>29.279350873002411</v>
      </c>
      <c r="T368">
        <f t="shared" si="973"/>
        <v>2.9279350873002409E-2</v>
      </c>
    </row>
    <row r="369" spans="1:20" x14ac:dyDescent="0.25">
      <c r="A369" s="5">
        <v>44224</v>
      </c>
      <c r="B369">
        <v>125.41</v>
      </c>
      <c r="C369">
        <v>140.21</v>
      </c>
      <c r="D369">
        <v>123.55</v>
      </c>
      <c r="E369">
        <v>135.43</v>
      </c>
      <c r="F369">
        <v>216338.01303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0.42617046818727516</v>
      </c>
      <c r="Q369">
        <f t="shared" si="970"/>
        <v>92196.872299699942</v>
      </c>
      <c r="R369">
        <f t="shared" si="971"/>
        <v>2942558.4560708487</v>
      </c>
      <c r="S369">
        <f t="shared" si="972"/>
        <v>29.425584560708486</v>
      </c>
      <c r="T369">
        <f t="shared" si="973"/>
        <v>2.9425584560708488E-2</v>
      </c>
    </row>
    <row r="370" spans="1:20" x14ac:dyDescent="0.25">
      <c r="A370" s="5">
        <v>44223</v>
      </c>
      <c r="B370">
        <v>137.86000000000001</v>
      </c>
      <c r="C370">
        <v>138.18</v>
      </c>
      <c r="D370">
        <v>125.06</v>
      </c>
      <c r="E370">
        <v>125.45</v>
      </c>
      <c r="F370">
        <v>146810.79287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-0.94054878048780477</v>
      </c>
      <c r="Q370">
        <f t="shared" si="970"/>
        <v>-138082.7121963262</v>
      </c>
      <c r="R370">
        <f t="shared" si="971"/>
        <v>2850361.5837711487</v>
      </c>
      <c r="S370">
        <f t="shared" si="972"/>
        <v>28.503615837711486</v>
      </c>
      <c r="T370">
        <f t="shared" si="973"/>
        <v>2.8503615837711486E-2</v>
      </c>
    </row>
    <row r="371" spans="1:20" x14ac:dyDescent="0.25">
      <c r="A371" s="5">
        <v>44222</v>
      </c>
      <c r="B371">
        <v>137.13999999999999</v>
      </c>
      <c r="C371">
        <v>141</v>
      </c>
      <c r="D371">
        <v>133.19999999999999</v>
      </c>
      <c r="E371">
        <v>137.85</v>
      </c>
      <c r="F371">
        <v>121047.07044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0.19230769230769204</v>
      </c>
      <c r="Q371">
        <f t="shared" si="970"/>
        <v>23278.282776923043</v>
      </c>
      <c r="R371">
        <f t="shared" si="971"/>
        <v>2988444.295967475</v>
      </c>
      <c r="S371">
        <f t="shared" si="972"/>
        <v>29.88444295967475</v>
      </c>
      <c r="T371">
        <f t="shared" si="973"/>
        <v>2.988444295967475E-2</v>
      </c>
    </row>
    <row r="372" spans="1:20" x14ac:dyDescent="0.25">
      <c r="A372" s="5">
        <v>44221</v>
      </c>
      <c r="B372">
        <v>138.04</v>
      </c>
      <c r="C372">
        <v>145.55000000000001</v>
      </c>
      <c r="D372">
        <v>136.80000000000001</v>
      </c>
      <c r="E372">
        <v>137.16</v>
      </c>
      <c r="F372">
        <v>107565.03753</v>
      </c>
      <c r="G372">
        <v>0</v>
      </c>
      <c r="L372" t="s">
        <v>8</v>
      </c>
      <c r="M372" t="s">
        <v>8</v>
      </c>
      <c r="N372" t="s">
        <v>7</v>
      </c>
      <c r="P372">
        <f t="shared" si="969"/>
        <v>-0.91771428571428915</v>
      </c>
      <c r="Q372">
        <f t="shared" si="970"/>
        <v>-98713.971584674655</v>
      </c>
      <c r="R372">
        <f t="shared" si="971"/>
        <v>2965166.0131905521</v>
      </c>
      <c r="S372">
        <f t="shared" si="972"/>
        <v>29.651660131905523</v>
      </c>
      <c r="T372">
        <f t="shared" si="973"/>
        <v>2.9651660131905521E-2</v>
      </c>
    </row>
    <row r="373" spans="1:20" x14ac:dyDescent="0.25">
      <c r="A373" s="5">
        <v>44220</v>
      </c>
      <c r="B373">
        <v>139.06</v>
      </c>
      <c r="C373">
        <v>143.06</v>
      </c>
      <c r="D373">
        <v>134.07</v>
      </c>
      <c r="E373">
        <v>138.03</v>
      </c>
      <c r="F373">
        <v>88779.356799999994</v>
      </c>
      <c r="G373">
        <v>0</v>
      </c>
      <c r="L373" t="s">
        <v>8</v>
      </c>
      <c r="M373" t="s">
        <v>7</v>
      </c>
      <c r="N373" t="s">
        <v>7</v>
      </c>
      <c r="P373">
        <f t="shared" si="969"/>
        <v>-0.11902113459399245</v>
      </c>
      <c r="Q373">
        <f t="shared" si="970"/>
        <v>-10566.619774860879</v>
      </c>
      <c r="R373">
        <f t="shared" si="971"/>
        <v>3063879.9847752266</v>
      </c>
      <c r="S373">
        <f t="shared" si="972"/>
        <v>30.638799847752267</v>
      </c>
      <c r="T373">
        <f t="shared" si="973"/>
        <v>3.0638799847752266E-2</v>
      </c>
    </row>
    <row r="374" spans="1:20" x14ac:dyDescent="0.25">
      <c r="A374" s="5">
        <v>44219</v>
      </c>
      <c r="B374">
        <v>135.78</v>
      </c>
      <c r="C374">
        <v>141.76</v>
      </c>
      <c r="D374">
        <v>133.74</v>
      </c>
      <c r="E374">
        <v>139.03</v>
      </c>
      <c r="F374">
        <v>90972.285699999993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0.31920199501246982</v>
      </c>
      <c r="Q374">
        <f t="shared" si="970"/>
        <v>29038.535086284377</v>
      </c>
      <c r="R374">
        <f t="shared" si="971"/>
        <v>3074446.6045500874</v>
      </c>
      <c r="S374">
        <f t="shared" si="972"/>
        <v>30.744466045500875</v>
      </c>
      <c r="T374">
        <f t="shared" si="973"/>
        <v>3.0744466045500875E-2</v>
      </c>
    </row>
    <row r="375" spans="1:20" x14ac:dyDescent="0.25">
      <c r="A375" s="5">
        <v>44218</v>
      </c>
      <c r="B375">
        <v>130.54</v>
      </c>
      <c r="C375">
        <v>141.22</v>
      </c>
      <c r="D375">
        <v>121.82</v>
      </c>
      <c r="E375">
        <v>135.79</v>
      </c>
      <c r="F375">
        <v>156728.55624999999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0.44020618556700974</v>
      </c>
      <c r="Q375">
        <f t="shared" si="970"/>
        <v>68992.879916237027</v>
      </c>
      <c r="R375">
        <f t="shared" si="971"/>
        <v>3045408.069463803</v>
      </c>
      <c r="S375">
        <f t="shared" si="972"/>
        <v>30.45408069463803</v>
      </c>
      <c r="T375">
        <f t="shared" si="973"/>
        <v>3.0454080694638029E-2</v>
      </c>
    </row>
    <row r="376" spans="1:20" x14ac:dyDescent="0.25">
      <c r="A376" s="5">
        <v>44217</v>
      </c>
      <c r="B376">
        <v>152.78</v>
      </c>
      <c r="C376">
        <v>153.13999999999999</v>
      </c>
      <c r="D376">
        <v>128.02000000000001</v>
      </c>
      <c r="E376">
        <v>130.53</v>
      </c>
      <c r="F376">
        <v>218967.79624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-0.80015923566879033</v>
      </c>
      <c r="Q376">
        <f t="shared" si="970"/>
        <v>-175209.10447547783</v>
      </c>
      <c r="R376">
        <f t="shared" si="971"/>
        <v>2976415.1895475658</v>
      </c>
      <c r="S376">
        <f t="shared" si="972"/>
        <v>29.764151895475656</v>
      </c>
      <c r="T376">
        <f t="shared" si="973"/>
        <v>2.9764151895475658E-2</v>
      </c>
    </row>
    <row r="377" spans="1:20" x14ac:dyDescent="0.25">
      <c r="A377" s="5">
        <v>44216</v>
      </c>
      <c r="B377">
        <v>157.13999999999999</v>
      </c>
      <c r="C377">
        <v>161.58000000000001</v>
      </c>
      <c r="D377">
        <v>146.02000000000001</v>
      </c>
      <c r="E377">
        <v>152.77000000000001</v>
      </c>
      <c r="F377">
        <v>131646.46539999999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-0.13239074550128546</v>
      </c>
      <c r="Q377">
        <f t="shared" si="970"/>
        <v>-17428.773696915181</v>
      </c>
      <c r="R377">
        <f t="shared" si="971"/>
        <v>3151624.2940230435</v>
      </c>
      <c r="S377">
        <f t="shared" si="972"/>
        <v>31.516242940230434</v>
      </c>
      <c r="T377">
        <f t="shared" si="973"/>
        <v>3.1516242940230435E-2</v>
      </c>
    </row>
    <row r="378" spans="1:20" x14ac:dyDescent="0.25">
      <c r="A378" s="5">
        <v>44215</v>
      </c>
      <c r="B378">
        <v>156.93</v>
      </c>
      <c r="C378">
        <v>165.62</v>
      </c>
      <c r="D378">
        <v>152.54</v>
      </c>
      <c r="E378">
        <v>157.27000000000001</v>
      </c>
      <c r="F378">
        <v>206048.40927999999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-0.27675840978593064</v>
      </c>
      <c r="Q378">
        <f t="shared" si="970"/>
        <v>-57025.630091253392</v>
      </c>
      <c r="R378">
        <f t="shared" si="971"/>
        <v>3169053.0677199587</v>
      </c>
      <c r="S378">
        <f t="shared" si="972"/>
        <v>31.690530677199586</v>
      </c>
      <c r="T378">
        <f t="shared" si="973"/>
        <v>3.1690530677199583E-2</v>
      </c>
    </row>
    <row r="379" spans="1:20" x14ac:dyDescent="0.25">
      <c r="A379" s="5">
        <v>44214</v>
      </c>
      <c r="B379">
        <v>159.61000000000001</v>
      </c>
      <c r="C379">
        <v>160.81</v>
      </c>
      <c r="D379">
        <v>150.22</v>
      </c>
      <c r="E379">
        <v>156.97999999999999</v>
      </c>
      <c r="F379">
        <v>146966.50805</v>
      </c>
      <c r="G379">
        <v>0</v>
      </c>
      <c r="L379" t="s">
        <v>7</v>
      </c>
      <c r="M379" t="s">
        <v>8</v>
      </c>
      <c r="N379" t="s">
        <v>7</v>
      </c>
      <c r="P379">
        <f t="shared" si="969"/>
        <v>0.27667610953729721</v>
      </c>
      <c r="Q379">
        <f t="shared" si="970"/>
        <v>40662.121679555872</v>
      </c>
      <c r="R379">
        <f t="shared" si="971"/>
        <v>3226078.6978112119</v>
      </c>
      <c r="S379">
        <f t="shared" si="972"/>
        <v>32.260786978112122</v>
      </c>
      <c r="T379">
        <f t="shared" si="973"/>
        <v>3.2260786978112126E-2</v>
      </c>
    </row>
    <row r="380" spans="1:20" x14ac:dyDescent="0.25">
      <c r="A380" s="5">
        <v>44213</v>
      </c>
      <c r="B380">
        <v>155.57</v>
      </c>
      <c r="C380">
        <v>164.49</v>
      </c>
      <c r="D380">
        <v>149.77000000000001</v>
      </c>
      <c r="E380">
        <v>159.65</v>
      </c>
      <c r="F380">
        <v>141244.30475000001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0.34239130434782555</v>
      </c>
      <c r="Q380">
        <f t="shared" si="970"/>
        <v>48360.821735054276</v>
      </c>
      <c r="R380">
        <f t="shared" si="971"/>
        <v>3185416.5761316558</v>
      </c>
      <c r="S380">
        <f t="shared" si="972"/>
        <v>31.854165761316558</v>
      </c>
      <c r="T380">
        <f t="shared" si="973"/>
        <v>3.1854165761316555E-2</v>
      </c>
    </row>
    <row r="381" spans="1:20" x14ac:dyDescent="0.25">
      <c r="A381" s="5">
        <v>44212</v>
      </c>
      <c r="B381">
        <v>156.99</v>
      </c>
      <c r="C381">
        <v>162</v>
      </c>
      <c r="D381">
        <v>152.49</v>
      </c>
      <c r="E381">
        <v>155.56</v>
      </c>
      <c r="F381">
        <v>96580.182279999994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-0.35436382754994822</v>
      </c>
      <c r="Q381">
        <f t="shared" si="970"/>
        <v>-34224.523058212486</v>
      </c>
      <c r="R381">
        <f t="shared" si="971"/>
        <v>3137055.7543966016</v>
      </c>
      <c r="S381">
        <f t="shared" si="972"/>
        <v>31.370557543966015</v>
      </c>
      <c r="T381">
        <f t="shared" si="973"/>
        <v>3.1370557543966018E-2</v>
      </c>
    </row>
    <row r="382" spans="1:20" x14ac:dyDescent="0.25">
      <c r="A382" s="5">
        <v>44211</v>
      </c>
      <c r="B382">
        <v>163.86</v>
      </c>
      <c r="C382">
        <v>167.82</v>
      </c>
      <c r="D382">
        <v>147.47</v>
      </c>
      <c r="E382">
        <v>156.97999999999999</v>
      </c>
      <c r="F382">
        <v>152092.38865000001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-6.5356265356265986E-2</v>
      </c>
      <c r="Q382">
        <f t="shared" si="970"/>
        <v>-9940.1905112777367</v>
      </c>
      <c r="R382">
        <f t="shared" si="971"/>
        <v>3171280.2774548139</v>
      </c>
      <c r="S382">
        <f t="shared" si="972"/>
        <v>31.712802774548141</v>
      </c>
      <c r="T382">
        <f t="shared" si="973"/>
        <v>3.1712802774548139E-2</v>
      </c>
    </row>
    <row r="383" spans="1:20" x14ac:dyDescent="0.25">
      <c r="A383" s="5">
        <v>44210</v>
      </c>
      <c r="B383">
        <v>171.2</v>
      </c>
      <c r="C383">
        <v>171.87</v>
      </c>
      <c r="D383">
        <v>160.61000000000001</v>
      </c>
      <c r="E383">
        <v>163.81</v>
      </c>
      <c r="F383">
        <v>139646.04048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-0.43161634103019691</v>
      </c>
      <c r="Q383">
        <f t="shared" si="970"/>
        <v>-60273.513031332361</v>
      </c>
      <c r="R383">
        <f t="shared" si="971"/>
        <v>3181220.4679660918</v>
      </c>
      <c r="S383">
        <f t="shared" si="972"/>
        <v>31.812204679660919</v>
      </c>
      <c r="T383">
        <f t="shared" si="973"/>
        <v>3.1812204679660921E-2</v>
      </c>
    </row>
    <row r="384" spans="1:20" x14ac:dyDescent="0.25">
      <c r="A384" s="5">
        <v>44209</v>
      </c>
      <c r="B384">
        <v>159.16</v>
      </c>
      <c r="C384">
        <v>173.26</v>
      </c>
      <c r="D384">
        <v>152.29</v>
      </c>
      <c r="E384">
        <v>171.55</v>
      </c>
      <c r="F384">
        <v>161045.00438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0.83690987124463712</v>
      </c>
      <c r="Q384">
        <f t="shared" si="970"/>
        <v>134780.15388025783</v>
      </c>
      <c r="R384">
        <f t="shared" si="971"/>
        <v>3241493.9809974241</v>
      </c>
      <c r="S384">
        <f t="shared" si="972"/>
        <v>32.414939809974243</v>
      </c>
      <c r="T384">
        <f t="shared" si="973"/>
        <v>3.2414939809974244E-2</v>
      </c>
    </row>
    <row r="385" spans="1:20" x14ac:dyDescent="0.25">
      <c r="A385" s="5">
        <v>44208</v>
      </c>
      <c r="B385">
        <v>157.94</v>
      </c>
      <c r="C385">
        <v>174.24</v>
      </c>
      <c r="D385">
        <v>153.69</v>
      </c>
      <c r="E385">
        <v>159.09</v>
      </c>
      <c r="F385">
        <v>286848.82637000002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-0.4744525547445253</v>
      </c>
      <c r="Q385">
        <f t="shared" si="970"/>
        <v>-136096.15849671527</v>
      </c>
      <c r="R385">
        <f t="shared" si="971"/>
        <v>3106713.8271171665</v>
      </c>
      <c r="S385">
        <f t="shared" si="972"/>
        <v>31.067138271171665</v>
      </c>
      <c r="T385">
        <f t="shared" si="973"/>
        <v>3.1067138271171666E-2</v>
      </c>
    </row>
    <row r="386" spans="1:20" x14ac:dyDescent="0.25">
      <c r="A386" s="5">
        <v>44207</v>
      </c>
      <c r="B386">
        <v>185.03</v>
      </c>
      <c r="C386">
        <v>186.42</v>
      </c>
      <c r="D386">
        <v>142</v>
      </c>
      <c r="E386">
        <v>157.96</v>
      </c>
      <c r="F386">
        <v>671936.26396000001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-0.28140477262494318</v>
      </c>
      <c r="Q386">
        <f t="shared" si="970"/>
        <v>-189086.07157811761</v>
      </c>
      <c r="R386">
        <f t="shared" si="971"/>
        <v>3242809.9856138816</v>
      </c>
      <c r="S386">
        <f t="shared" si="972"/>
        <v>32.428099856138815</v>
      </c>
      <c r="T386">
        <f t="shared" si="973"/>
        <v>3.2428099856138815E-2</v>
      </c>
    </row>
    <row r="387" spans="1:20" x14ac:dyDescent="0.25">
      <c r="A387" s="5">
        <v>44206</v>
      </c>
      <c r="B387">
        <v>147.36000000000001</v>
      </c>
      <c r="C387">
        <v>190</v>
      </c>
      <c r="D387">
        <v>147.36000000000001</v>
      </c>
      <c r="E387">
        <v>184.89</v>
      </c>
      <c r="F387">
        <v>516930.37463999999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0.76031894934333888</v>
      </c>
      <c r="Q387">
        <f t="shared" si="970"/>
        <v>393031.95932994335</v>
      </c>
      <c r="R387">
        <f t="shared" si="971"/>
        <v>3431896.0571919992</v>
      </c>
      <c r="S387">
        <f t="shared" si="972"/>
        <v>34.318960571919995</v>
      </c>
      <c r="T387">
        <f t="shared" si="973"/>
        <v>3.4318960571919993E-2</v>
      </c>
    </row>
    <row r="388" spans="1:20" x14ac:dyDescent="0.25">
      <c r="A388" s="5">
        <v>44205</v>
      </c>
      <c r="B388">
        <v>142.13</v>
      </c>
      <c r="C388">
        <v>149.05000000000001</v>
      </c>
      <c r="D388">
        <v>139.07</v>
      </c>
      <c r="E388">
        <v>147.4</v>
      </c>
      <c r="F388">
        <v>146593.42186999999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0.66933867735470887</v>
      </c>
      <c r="Q388">
        <f t="shared" si="970"/>
        <v>98120.647103366646</v>
      </c>
      <c r="R388">
        <f t="shared" si="971"/>
        <v>3038864.097862056</v>
      </c>
      <c r="S388">
        <f t="shared" si="972"/>
        <v>30.388640978620561</v>
      </c>
      <c r="T388">
        <f t="shared" si="973"/>
        <v>3.0388640978620561E-2</v>
      </c>
    </row>
    <row r="389" spans="1:20" x14ac:dyDescent="0.25">
      <c r="A389" s="5">
        <v>44204</v>
      </c>
      <c r="B389">
        <v>142.94999999999999</v>
      </c>
      <c r="C389">
        <v>150.28</v>
      </c>
      <c r="D389">
        <v>135.37</v>
      </c>
      <c r="E389">
        <v>142.11000000000001</v>
      </c>
      <c r="F389">
        <v>220252.53289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-9.5908786049629699E-2</v>
      </c>
      <c r="Q389">
        <f t="shared" si="970"/>
        <v>-21124.153053836038</v>
      </c>
      <c r="R389">
        <f t="shared" si="971"/>
        <v>2940743.4507586895</v>
      </c>
      <c r="S389">
        <f t="shared" si="972"/>
        <v>29.407434507586895</v>
      </c>
      <c r="T389">
        <f t="shared" si="973"/>
        <v>2.9407434507586896E-2</v>
      </c>
    </row>
    <row r="390" spans="1:20" x14ac:dyDescent="0.25">
      <c r="A390" s="5">
        <v>44203</v>
      </c>
      <c r="B390">
        <v>142.37</v>
      </c>
      <c r="C390">
        <v>153.1</v>
      </c>
      <c r="D390">
        <v>139.30000000000001</v>
      </c>
      <c r="E390">
        <v>142.9</v>
      </c>
      <c r="F390">
        <v>270122.85833000002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-0.47826086956521757</v>
      </c>
      <c r="Q390">
        <f t="shared" ref="Q390:Q453" si="975">F390*P390</f>
        <v>-129189.19311434789</v>
      </c>
      <c r="R390">
        <f t="shared" ref="R390:R453" si="976">R391+Q390</f>
        <v>2961867.6038125255</v>
      </c>
      <c r="S390">
        <f t="shared" ref="S390:S453" si="977">R390/100000</f>
        <v>29.618676038125255</v>
      </c>
      <c r="T390">
        <f t="shared" ref="T390:T453" si="978">S390/1000</f>
        <v>2.9618676038125256E-2</v>
      </c>
    </row>
    <row r="391" spans="1:20" x14ac:dyDescent="0.25">
      <c r="A391" s="5">
        <v>44202</v>
      </c>
      <c r="B391">
        <v>136</v>
      </c>
      <c r="C391">
        <v>142.37</v>
      </c>
      <c r="D391">
        <v>132.53</v>
      </c>
      <c r="E391">
        <v>142.31</v>
      </c>
      <c r="F391">
        <v>152929.80342000001</v>
      </c>
      <c r="G391">
        <v>0</v>
      </c>
      <c r="L391" t="s">
        <v>8</v>
      </c>
      <c r="M391" t="s">
        <v>7</v>
      </c>
      <c r="N391" t="s">
        <v>8</v>
      </c>
      <c r="P391">
        <f t="shared" si="974"/>
        <v>0.98780487804878003</v>
      </c>
      <c r="Q391">
        <f t="shared" si="975"/>
        <v>151064.80581731701</v>
      </c>
      <c r="R391">
        <f t="shared" si="976"/>
        <v>3091056.7969268733</v>
      </c>
      <c r="S391">
        <f t="shared" si="977"/>
        <v>30.910567969268733</v>
      </c>
      <c r="T391">
        <f t="shared" si="978"/>
        <v>3.0910567969268735E-2</v>
      </c>
    </row>
    <row r="392" spans="1:20" x14ac:dyDescent="0.25">
      <c r="A392" s="5">
        <v>44201</v>
      </c>
      <c r="B392">
        <v>133.76</v>
      </c>
      <c r="C392">
        <v>139.6</v>
      </c>
      <c r="D392">
        <v>129.04</v>
      </c>
      <c r="E392">
        <v>136</v>
      </c>
      <c r="F392">
        <v>176543.99307999999</v>
      </c>
      <c r="G392">
        <v>0</v>
      </c>
      <c r="L392" t="s">
        <v>8</v>
      </c>
      <c r="M392" t="s">
        <v>7</v>
      </c>
      <c r="N392" t="s">
        <v>8</v>
      </c>
      <c r="P392">
        <f t="shared" si="974"/>
        <v>0.3181818181818194</v>
      </c>
      <c r="Q392">
        <f t="shared" si="975"/>
        <v>56173.088707272938</v>
      </c>
      <c r="R392">
        <f t="shared" si="976"/>
        <v>2939991.9911095561</v>
      </c>
      <c r="S392">
        <f t="shared" si="977"/>
        <v>29.399919911095562</v>
      </c>
      <c r="T392">
        <f t="shared" si="978"/>
        <v>2.9399919911095564E-2</v>
      </c>
    </row>
    <row r="393" spans="1:20" x14ac:dyDescent="0.25">
      <c r="A393" s="5">
        <v>44200</v>
      </c>
      <c r="B393">
        <v>138.24</v>
      </c>
      <c r="C393">
        <v>143.9</v>
      </c>
      <c r="D393">
        <v>128.72</v>
      </c>
      <c r="E393">
        <v>133.79</v>
      </c>
      <c r="F393">
        <v>222339.61749999999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-0.33201581027668103</v>
      </c>
      <c r="Q393">
        <f t="shared" si="975"/>
        <v>-73820.268260869823</v>
      </c>
      <c r="R393">
        <f t="shared" si="976"/>
        <v>2883818.9024022832</v>
      </c>
      <c r="S393">
        <f t="shared" si="977"/>
        <v>28.838189024022832</v>
      </c>
      <c r="T393">
        <f t="shared" si="978"/>
        <v>2.8838189024022833E-2</v>
      </c>
    </row>
    <row r="394" spans="1:20" x14ac:dyDescent="0.25">
      <c r="A394" s="5">
        <v>44199</v>
      </c>
      <c r="B394">
        <v>143.52000000000001</v>
      </c>
      <c r="C394">
        <v>145.08000000000001</v>
      </c>
      <c r="D394">
        <v>131</v>
      </c>
      <c r="E394">
        <v>138.26</v>
      </c>
      <c r="F394">
        <v>231236.74832000001</v>
      </c>
      <c r="G394">
        <v>0</v>
      </c>
      <c r="L394" t="s">
        <v>7</v>
      </c>
      <c r="M394" t="s">
        <v>7</v>
      </c>
      <c r="N394" t="s">
        <v>8</v>
      </c>
      <c r="P394">
        <f t="shared" si="974"/>
        <v>3.1249999999997793E-2</v>
      </c>
      <c r="Q394">
        <f t="shared" si="975"/>
        <v>7226.1483849994902</v>
      </c>
      <c r="R394">
        <f t="shared" si="976"/>
        <v>2957639.1706631528</v>
      </c>
      <c r="S394">
        <f t="shared" si="977"/>
        <v>29.576391706631529</v>
      </c>
      <c r="T394">
        <f t="shared" si="978"/>
        <v>2.9576391706631528E-2</v>
      </c>
    </row>
    <row r="395" spans="1:20" x14ac:dyDescent="0.25">
      <c r="A395" s="5">
        <v>44198</v>
      </c>
      <c r="B395">
        <v>135.72999999999999</v>
      </c>
      <c r="C395">
        <v>145.56</v>
      </c>
      <c r="D395">
        <v>128.32</v>
      </c>
      <c r="E395">
        <v>143.52000000000001</v>
      </c>
      <c r="F395">
        <v>378478.37786000001</v>
      </c>
      <c r="G395">
        <v>0</v>
      </c>
      <c r="L395" t="s">
        <v>8</v>
      </c>
      <c r="M395" t="s">
        <v>7</v>
      </c>
      <c r="N395" t="s">
        <v>8</v>
      </c>
      <c r="P395">
        <f t="shared" si="974"/>
        <v>0.76334106728538387</v>
      </c>
      <c r="Q395">
        <f t="shared" si="975"/>
        <v>288908.08890009322</v>
      </c>
      <c r="R395">
        <f t="shared" si="976"/>
        <v>2950413.0222781533</v>
      </c>
      <c r="S395">
        <f t="shared" si="977"/>
        <v>29.504130222781534</v>
      </c>
      <c r="T395">
        <f t="shared" si="978"/>
        <v>2.9504130222781533E-2</v>
      </c>
    </row>
    <row r="396" spans="1:20" x14ac:dyDescent="0.25">
      <c r="A396" s="5">
        <v>44197</v>
      </c>
      <c r="B396">
        <v>156.19999999999999</v>
      </c>
      <c r="C396">
        <v>169.09</v>
      </c>
      <c r="D396">
        <v>130.22999999999999</v>
      </c>
      <c r="E396">
        <v>135.81</v>
      </c>
      <c r="F396">
        <v>361562.69099999999</v>
      </c>
      <c r="G396">
        <v>0</v>
      </c>
      <c r="L396" t="s">
        <v>7</v>
      </c>
      <c r="M396" t="s">
        <v>7</v>
      </c>
      <c r="N396" t="s">
        <v>8</v>
      </c>
      <c r="P396">
        <f t="shared" si="974"/>
        <v>-0.7128152341739572</v>
      </c>
      <c r="Q396">
        <f t="shared" si="975"/>
        <v>-257727.39425373112</v>
      </c>
      <c r="R396">
        <f t="shared" si="976"/>
        <v>2661504.9333780599</v>
      </c>
      <c r="S396">
        <f t="shared" si="977"/>
        <v>26.6150493337806</v>
      </c>
      <c r="T396">
        <f t="shared" si="978"/>
        <v>2.6615049333780602E-2</v>
      </c>
    </row>
    <row r="397" spans="1:20" x14ac:dyDescent="0.25">
      <c r="A397" s="5">
        <v>44196</v>
      </c>
      <c r="B397">
        <v>159.55000000000001</v>
      </c>
      <c r="C397">
        <v>161.66</v>
      </c>
      <c r="D397">
        <v>155.36000000000001</v>
      </c>
      <c r="E397">
        <v>156.22</v>
      </c>
      <c r="F397">
        <v>69130.226020000002</v>
      </c>
      <c r="G397">
        <v>0</v>
      </c>
      <c r="L397" t="s">
        <v>7</v>
      </c>
      <c r="M397" t="s">
        <v>8</v>
      </c>
      <c r="N397" t="s">
        <v>8</v>
      </c>
      <c r="P397">
        <f t="shared" si="974"/>
        <v>-0.72698412698413095</v>
      </c>
      <c r="Q397">
        <f t="shared" si="975"/>
        <v>-50256.577011365356</v>
      </c>
      <c r="R397">
        <f t="shared" si="976"/>
        <v>2919232.3276317911</v>
      </c>
      <c r="S397">
        <f t="shared" si="977"/>
        <v>29.192323276317911</v>
      </c>
      <c r="T397">
        <f t="shared" si="978"/>
        <v>2.9192323276317912E-2</v>
      </c>
    </row>
    <row r="398" spans="1:20" x14ac:dyDescent="0.25">
      <c r="A398" s="5">
        <v>44195</v>
      </c>
      <c r="B398">
        <v>161.54</v>
      </c>
      <c r="C398">
        <v>164.26</v>
      </c>
      <c r="D398">
        <v>157.5</v>
      </c>
      <c r="E398">
        <v>159.55000000000001</v>
      </c>
      <c r="F398">
        <v>83783.642519999994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-0.39349112426035088</v>
      </c>
      <c r="Q398">
        <f t="shared" si="975"/>
        <v>-32968.119689822131</v>
      </c>
      <c r="R398">
        <f t="shared" si="976"/>
        <v>2969488.9046431566</v>
      </c>
      <c r="S398">
        <f t="shared" si="977"/>
        <v>29.694889046431566</v>
      </c>
      <c r="T398">
        <f t="shared" si="978"/>
        <v>2.9694889046431566E-2</v>
      </c>
    </row>
    <row r="399" spans="1:20" x14ac:dyDescent="0.25">
      <c r="A399" s="5">
        <v>44194</v>
      </c>
      <c r="B399">
        <v>166.47</v>
      </c>
      <c r="C399">
        <v>167.48</v>
      </c>
      <c r="D399">
        <v>155</v>
      </c>
      <c r="E399">
        <v>161.54</v>
      </c>
      <c r="F399">
        <v>94332.084990000003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4.8076923076922663E-2</v>
      </c>
      <c r="Q399">
        <f t="shared" si="975"/>
        <v>4535.1963937499613</v>
      </c>
      <c r="R399">
        <f t="shared" si="976"/>
        <v>3002457.0243329788</v>
      </c>
      <c r="S399">
        <f t="shared" si="977"/>
        <v>30.024570243329787</v>
      </c>
      <c r="T399">
        <f t="shared" si="978"/>
        <v>3.0024570243329787E-2</v>
      </c>
    </row>
    <row r="400" spans="1:20" x14ac:dyDescent="0.25">
      <c r="A400" s="5">
        <v>44193</v>
      </c>
      <c r="B400">
        <v>156.99</v>
      </c>
      <c r="C400">
        <v>168.6</v>
      </c>
      <c r="D400">
        <v>156.35</v>
      </c>
      <c r="E400">
        <v>166.64</v>
      </c>
      <c r="F400">
        <v>83798.089030000003</v>
      </c>
      <c r="G400">
        <v>0</v>
      </c>
      <c r="L400" t="s">
        <v>7</v>
      </c>
      <c r="M400" t="s">
        <v>8</v>
      </c>
      <c r="N400" t="s">
        <v>8</v>
      </c>
      <c r="P400">
        <f t="shared" si="974"/>
        <v>0.67999999999999872</v>
      </c>
      <c r="Q400">
        <f t="shared" si="975"/>
        <v>56982.700540399892</v>
      </c>
      <c r="R400">
        <f t="shared" si="976"/>
        <v>2997921.8279392286</v>
      </c>
      <c r="S400">
        <f t="shared" si="977"/>
        <v>29.979218279392285</v>
      </c>
      <c r="T400">
        <f t="shared" si="978"/>
        <v>2.9979218279392286E-2</v>
      </c>
    </row>
    <row r="401" spans="1:20" x14ac:dyDescent="0.25">
      <c r="A401" s="5">
        <v>44192</v>
      </c>
      <c r="B401">
        <v>168.24</v>
      </c>
      <c r="C401">
        <v>171.32</v>
      </c>
      <c r="D401">
        <v>155.9</v>
      </c>
      <c r="E401">
        <v>156.99</v>
      </c>
      <c r="F401">
        <v>148301.77178000001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-0.85862516212710704</v>
      </c>
      <c r="Q401">
        <f t="shared" si="975"/>
        <v>-127335.63283833973</v>
      </c>
      <c r="R401">
        <f t="shared" si="976"/>
        <v>2940939.1273988285</v>
      </c>
      <c r="S401">
        <f t="shared" si="977"/>
        <v>29.409391273988284</v>
      </c>
      <c r="T401">
        <f t="shared" si="978"/>
        <v>2.9409391273988283E-2</v>
      </c>
    </row>
    <row r="402" spans="1:20" x14ac:dyDescent="0.25">
      <c r="A402" s="5">
        <v>44191</v>
      </c>
      <c r="B402">
        <v>159.21</v>
      </c>
      <c r="C402">
        <v>168.34</v>
      </c>
      <c r="D402">
        <v>158.79</v>
      </c>
      <c r="E402">
        <v>168.21</v>
      </c>
      <c r="F402">
        <v>115049.58171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0.97277486910994859</v>
      </c>
      <c r="Q402">
        <f t="shared" si="975"/>
        <v>111917.34178909958</v>
      </c>
      <c r="R402">
        <f t="shared" si="976"/>
        <v>3068274.7602371681</v>
      </c>
      <c r="S402">
        <f t="shared" si="977"/>
        <v>30.682747602371681</v>
      </c>
      <c r="T402">
        <f t="shared" si="978"/>
        <v>3.068274760237168E-2</v>
      </c>
    </row>
    <row r="403" spans="1:20" x14ac:dyDescent="0.25">
      <c r="A403" s="5">
        <v>44190</v>
      </c>
      <c r="B403">
        <v>156.72</v>
      </c>
      <c r="C403">
        <v>161</v>
      </c>
      <c r="D403">
        <v>152.44</v>
      </c>
      <c r="E403">
        <v>159.13999999999999</v>
      </c>
      <c r="F403">
        <v>92747.623630000002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0.56542056074766045</v>
      </c>
      <c r="Q403">
        <f t="shared" si="975"/>
        <v>52441.413360887564</v>
      </c>
      <c r="R403">
        <f t="shared" si="976"/>
        <v>2956357.4184480687</v>
      </c>
      <c r="S403">
        <f t="shared" si="977"/>
        <v>29.563574184480686</v>
      </c>
      <c r="T403">
        <f t="shared" si="978"/>
        <v>2.9563574184480686E-2</v>
      </c>
    </row>
    <row r="404" spans="1:20" x14ac:dyDescent="0.25">
      <c r="A404" s="5">
        <v>44189</v>
      </c>
      <c r="B404">
        <v>150.72999999999999</v>
      </c>
      <c r="C404">
        <v>158.79</v>
      </c>
      <c r="D404">
        <v>146.35</v>
      </c>
      <c r="E404">
        <v>156.86000000000001</v>
      </c>
      <c r="F404">
        <v>127817.97842</v>
      </c>
      <c r="G404">
        <v>0</v>
      </c>
      <c r="L404" t="s">
        <v>7</v>
      </c>
      <c r="M404" t="s">
        <v>8</v>
      </c>
      <c r="N404" t="s">
        <v>8</v>
      </c>
      <c r="P404">
        <f t="shared" si="974"/>
        <v>0.68971061093247932</v>
      </c>
      <c r="Q404">
        <f t="shared" si="975"/>
        <v>88157.415984212654</v>
      </c>
      <c r="R404">
        <f t="shared" si="976"/>
        <v>2903916.005087181</v>
      </c>
      <c r="S404">
        <f t="shared" si="977"/>
        <v>29.039160050871811</v>
      </c>
      <c r="T404">
        <f t="shared" si="978"/>
        <v>2.9039160050871812E-2</v>
      </c>
    </row>
    <row r="405" spans="1:20" x14ac:dyDescent="0.25">
      <c r="A405" s="5">
        <v>44188</v>
      </c>
      <c r="B405">
        <v>156.57</v>
      </c>
      <c r="C405">
        <v>169.04</v>
      </c>
      <c r="D405">
        <v>147.93</v>
      </c>
      <c r="E405">
        <v>150.91999999999999</v>
      </c>
      <c r="F405">
        <v>242140.81770000001</v>
      </c>
      <c r="G405">
        <v>0</v>
      </c>
      <c r="L405" t="s">
        <v>8</v>
      </c>
      <c r="M405" t="s">
        <v>8</v>
      </c>
      <c r="N405" t="s">
        <v>8</v>
      </c>
      <c r="P405">
        <f t="shared" si="974"/>
        <v>-0.71672193273330342</v>
      </c>
      <c r="Q405">
        <f t="shared" si="975"/>
        <v>-173547.63485556649</v>
      </c>
      <c r="R405">
        <f t="shared" si="976"/>
        <v>2815758.5891029681</v>
      </c>
      <c r="S405">
        <f t="shared" si="977"/>
        <v>28.157585891029679</v>
      </c>
      <c r="T405">
        <f t="shared" si="978"/>
        <v>2.8157585891029679E-2</v>
      </c>
    </row>
    <row r="406" spans="1:20" x14ac:dyDescent="0.25">
      <c r="A406" s="5">
        <v>44187</v>
      </c>
      <c r="B406">
        <v>145.66</v>
      </c>
      <c r="C406">
        <v>157.53</v>
      </c>
      <c r="D406">
        <v>143.75</v>
      </c>
      <c r="E406">
        <v>156.56</v>
      </c>
      <c r="F406">
        <v>88144.810079999996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0.85921625544267066</v>
      </c>
      <c r="Q406">
        <f t="shared" si="975"/>
        <v>75735.453653642966</v>
      </c>
      <c r="R406">
        <f t="shared" si="976"/>
        <v>2989306.2239585347</v>
      </c>
      <c r="S406">
        <f t="shared" si="977"/>
        <v>29.893062239585348</v>
      </c>
      <c r="T406">
        <f t="shared" si="978"/>
        <v>2.9893062239585346E-2</v>
      </c>
    </row>
    <row r="407" spans="1:20" x14ac:dyDescent="0.25">
      <c r="A407" s="5">
        <v>44186</v>
      </c>
      <c r="B407">
        <v>152.27000000000001</v>
      </c>
      <c r="C407">
        <v>153.66999999999999</v>
      </c>
      <c r="D407">
        <v>142.63999999999999</v>
      </c>
      <c r="E407">
        <v>145.66</v>
      </c>
      <c r="F407">
        <v>72514.005969999998</v>
      </c>
      <c r="G407">
        <v>0</v>
      </c>
      <c r="L407" t="s">
        <v>7</v>
      </c>
      <c r="M407" t="s">
        <v>8</v>
      </c>
      <c r="N407" t="s">
        <v>8</v>
      </c>
      <c r="P407">
        <f t="shared" si="974"/>
        <v>-0.45240253853127654</v>
      </c>
      <c r="Q407">
        <f t="shared" si="975"/>
        <v>-32805.520379900139</v>
      </c>
      <c r="R407">
        <f t="shared" si="976"/>
        <v>2913570.7703048917</v>
      </c>
      <c r="S407">
        <f t="shared" si="977"/>
        <v>29.135707703048919</v>
      </c>
      <c r="T407">
        <f t="shared" si="978"/>
        <v>2.9135707703048918E-2</v>
      </c>
    </row>
    <row r="408" spans="1:20" x14ac:dyDescent="0.25">
      <c r="A408" s="5">
        <v>44185</v>
      </c>
      <c r="B408">
        <v>154.58000000000001</v>
      </c>
      <c r="C408">
        <v>156.96</v>
      </c>
      <c r="D408">
        <v>151</v>
      </c>
      <c r="E408">
        <v>152.41999999999999</v>
      </c>
      <c r="F408">
        <v>69065.041219999999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-0.52348993288591084</v>
      </c>
      <c r="Q408">
        <f t="shared" si="975"/>
        <v>-36154.853793020462</v>
      </c>
      <c r="R408">
        <f t="shared" si="976"/>
        <v>2946376.2906847917</v>
      </c>
      <c r="S408">
        <f t="shared" si="977"/>
        <v>29.463762906847919</v>
      </c>
      <c r="T408">
        <f t="shared" si="978"/>
        <v>2.9463762906847917E-2</v>
      </c>
    </row>
    <row r="409" spans="1:20" x14ac:dyDescent="0.25">
      <c r="A409" s="5">
        <v>44184</v>
      </c>
      <c r="B409">
        <v>154.61000000000001</v>
      </c>
      <c r="C409">
        <v>158.76</v>
      </c>
      <c r="D409">
        <v>153.69999999999999</v>
      </c>
      <c r="E409">
        <v>154.6</v>
      </c>
      <c r="F409">
        <v>69815.643700000001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-0.64426877470355526</v>
      </c>
      <c r="Q409">
        <f t="shared" si="975"/>
        <v>-44980.039221738989</v>
      </c>
      <c r="R409">
        <f t="shared" si="976"/>
        <v>2982531.1444778121</v>
      </c>
      <c r="S409">
        <f t="shared" si="977"/>
        <v>29.825311444778119</v>
      </c>
      <c r="T409">
        <f t="shared" si="978"/>
        <v>2.9825311444778121E-2</v>
      </c>
    </row>
    <row r="410" spans="1:20" x14ac:dyDescent="0.25">
      <c r="A410" s="5">
        <v>44183</v>
      </c>
      <c r="B410">
        <v>160.38999999999999</v>
      </c>
      <c r="C410">
        <v>160.47999999999999</v>
      </c>
      <c r="D410">
        <v>153.06</v>
      </c>
      <c r="E410">
        <v>154.44</v>
      </c>
      <c r="F410">
        <v>94632.138380000004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-0.62803234501347771</v>
      </c>
      <c r="Q410">
        <f t="shared" si="975"/>
        <v>-59432.043780431326</v>
      </c>
      <c r="R410">
        <f t="shared" si="976"/>
        <v>3027511.183699551</v>
      </c>
      <c r="S410">
        <f t="shared" si="977"/>
        <v>30.27511183699551</v>
      </c>
      <c r="T410">
        <f t="shared" si="978"/>
        <v>3.0275111836995511E-2</v>
      </c>
    </row>
    <row r="411" spans="1:20" x14ac:dyDescent="0.25">
      <c r="A411" s="5">
        <v>44182</v>
      </c>
      <c r="B411">
        <v>158.81</v>
      </c>
      <c r="C411">
        <v>163.95</v>
      </c>
      <c r="D411">
        <v>153.80000000000001</v>
      </c>
      <c r="E411">
        <v>160.41999999999999</v>
      </c>
      <c r="F411">
        <v>193932.29183999999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0.30443349753694404</v>
      </c>
      <c r="Q411">
        <f t="shared" si="975"/>
        <v>59039.485890206553</v>
      </c>
      <c r="R411">
        <f t="shared" si="976"/>
        <v>3086943.2274799822</v>
      </c>
      <c r="S411">
        <f t="shared" si="977"/>
        <v>30.869432274799824</v>
      </c>
      <c r="T411">
        <f t="shared" si="978"/>
        <v>3.0869432274799824E-2</v>
      </c>
    </row>
    <row r="412" spans="1:20" x14ac:dyDescent="0.25">
      <c r="A412" s="5">
        <v>44181</v>
      </c>
      <c r="B412">
        <v>150.5</v>
      </c>
      <c r="C412">
        <v>159.29</v>
      </c>
      <c r="D412">
        <v>147.33000000000001</v>
      </c>
      <c r="E412">
        <v>158.93</v>
      </c>
      <c r="F412">
        <v>143545.97912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0.9397993311036813</v>
      </c>
      <c r="Q412">
        <f t="shared" si="975"/>
        <v>134904.41515959901</v>
      </c>
      <c r="R412">
        <f t="shared" si="976"/>
        <v>3027903.7415897758</v>
      </c>
      <c r="S412">
        <f t="shared" si="977"/>
        <v>30.279037415897758</v>
      </c>
      <c r="T412">
        <f t="shared" si="978"/>
        <v>3.0279037415897759E-2</v>
      </c>
    </row>
    <row r="413" spans="1:20" x14ac:dyDescent="0.25">
      <c r="A413" s="5">
        <v>44180</v>
      </c>
      <c r="B413">
        <v>152.53</v>
      </c>
      <c r="C413">
        <v>155.61000000000001</v>
      </c>
      <c r="D413">
        <v>150.44</v>
      </c>
      <c r="E413">
        <v>150.5</v>
      </c>
      <c r="F413">
        <v>92104.875199999995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-0.97678916827852913</v>
      </c>
      <c r="Q413">
        <f t="shared" si="975"/>
        <v>-89967.044441005724</v>
      </c>
      <c r="R413">
        <f t="shared" si="976"/>
        <v>2892999.3264301769</v>
      </c>
      <c r="S413">
        <f t="shared" si="977"/>
        <v>28.929993264301768</v>
      </c>
      <c r="T413">
        <f t="shared" si="978"/>
        <v>2.8929993264301769E-2</v>
      </c>
    </row>
    <row r="414" spans="1:20" x14ac:dyDescent="0.25">
      <c r="A414" s="5">
        <v>44179</v>
      </c>
      <c r="B414">
        <v>152.01</v>
      </c>
      <c r="C414">
        <v>157.65</v>
      </c>
      <c r="D414">
        <v>150.49</v>
      </c>
      <c r="E414">
        <v>152.52000000000001</v>
      </c>
      <c r="F414">
        <v>171876.95912000001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-0.43296089385474801</v>
      </c>
      <c r="Q414">
        <f t="shared" si="975"/>
        <v>-74416.001853631184</v>
      </c>
      <c r="R414">
        <f t="shared" si="976"/>
        <v>2982966.3708711825</v>
      </c>
      <c r="S414">
        <f t="shared" si="977"/>
        <v>29.829663708711827</v>
      </c>
      <c r="T414">
        <f t="shared" si="978"/>
        <v>2.9829663708711828E-2</v>
      </c>
    </row>
    <row r="415" spans="1:20" x14ac:dyDescent="0.25">
      <c r="A415" s="5">
        <v>44178</v>
      </c>
      <c r="B415">
        <v>146.75</v>
      </c>
      <c r="C415">
        <v>152.4</v>
      </c>
      <c r="D415">
        <v>143.81</v>
      </c>
      <c r="E415">
        <v>152.12</v>
      </c>
      <c r="F415">
        <v>107916.2472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0.9348079161816063</v>
      </c>
      <c r="Q415">
        <f t="shared" si="975"/>
        <v>100880.96216717111</v>
      </c>
      <c r="R415">
        <f t="shared" si="976"/>
        <v>3057382.3727248139</v>
      </c>
      <c r="S415">
        <f t="shared" si="977"/>
        <v>30.57382372724814</v>
      </c>
      <c r="T415">
        <f t="shared" si="978"/>
        <v>3.057382372724814E-2</v>
      </c>
    </row>
    <row r="416" spans="1:20" x14ac:dyDescent="0.25">
      <c r="A416" s="5">
        <v>44177</v>
      </c>
      <c r="B416">
        <v>141.43</v>
      </c>
      <c r="C416">
        <v>150</v>
      </c>
      <c r="D416">
        <v>141.02000000000001</v>
      </c>
      <c r="E416">
        <v>146.82</v>
      </c>
      <c r="F416">
        <v>199705.27348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0.29175946547883952</v>
      </c>
      <c r="Q416">
        <f t="shared" si="975"/>
        <v>58265.903843830267</v>
      </c>
      <c r="R416">
        <f t="shared" si="976"/>
        <v>2956501.4105576426</v>
      </c>
      <c r="S416">
        <f t="shared" si="977"/>
        <v>29.565014105576427</v>
      </c>
      <c r="T416">
        <f t="shared" si="978"/>
        <v>2.9565014105576427E-2</v>
      </c>
    </row>
    <row r="417" spans="1:20" x14ac:dyDescent="0.25">
      <c r="A417" s="5">
        <v>44176</v>
      </c>
      <c r="B417">
        <v>133.69999999999999</v>
      </c>
      <c r="C417">
        <v>142.25</v>
      </c>
      <c r="D417">
        <v>130</v>
      </c>
      <c r="E417">
        <v>141.43</v>
      </c>
      <c r="F417">
        <v>130284.06743</v>
      </c>
      <c r="G417">
        <v>0</v>
      </c>
      <c r="L417" t="s">
        <v>8</v>
      </c>
      <c r="M417" t="s">
        <v>8</v>
      </c>
      <c r="N417" t="s">
        <v>8</v>
      </c>
      <c r="P417">
        <f t="shared" si="974"/>
        <v>0.8661224489795929</v>
      </c>
      <c r="Q417">
        <f t="shared" si="975"/>
        <v>112841.95554549401</v>
      </c>
      <c r="R417">
        <f t="shared" si="976"/>
        <v>2898235.5067138122</v>
      </c>
      <c r="S417">
        <f t="shared" si="977"/>
        <v>28.982355067138123</v>
      </c>
      <c r="T417">
        <f t="shared" si="978"/>
        <v>2.8982355067138123E-2</v>
      </c>
    </row>
    <row r="418" spans="1:20" x14ac:dyDescent="0.25">
      <c r="A418" s="5">
        <v>44175</v>
      </c>
      <c r="B418">
        <v>132.44999999999999</v>
      </c>
      <c r="C418">
        <v>135.06</v>
      </c>
      <c r="D418">
        <v>129.30000000000001</v>
      </c>
      <c r="E418">
        <v>133.6</v>
      </c>
      <c r="F418">
        <v>76095.943480000002</v>
      </c>
      <c r="G418">
        <v>0</v>
      </c>
      <c r="L418" t="s">
        <v>7</v>
      </c>
      <c r="M418" t="s">
        <v>8</v>
      </c>
      <c r="N418" t="s">
        <v>8</v>
      </c>
      <c r="P418">
        <f t="shared" si="974"/>
        <v>0.49305555555555197</v>
      </c>
      <c r="Q418">
        <f t="shared" si="975"/>
        <v>37519.527688055285</v>
      </c>
      <c r="R418">
        <f t="shared" si="976"/>
        <v>2785393.5511683184</v>
      </c>
      <c r="S418">
        <f t="shared" si="977"/>
        <v>27.853935511683183</v>
      </c>
      <c r="T418">
        <f t="shared" si="978"/>
        <v>2.7853935511683182E-2</v>
      </c>
    </row>
    <row r="419" spans="1:20" x14ac:dyDescent="0.25">
      <c r="A419" s="5">
        <v>44174</v>
      </c>
      <c r="B419">
        <v>135.80000000000001</v>
      </c>
      <c r="C419">
        <v>136.01</v>
      </c>
      <c r="D419">
        <v>127</v>
      </c>
      <c r="E419">
        <v>132.46</v>
      </c>
      <c r="F419">
        <v>99010.872709999996</v>
      </c>
      <c r="G419">
        <v>0</v>
      </c>
      <c r="L419" t="s">
        <v>7</v>
      </c>
      <c r="M419" t="s">
        <v>8</v>
      </c>
      <c r="N419" t="s">
        <v>8</v>
      </c>
      <c r="P419">
        <f t="shared" si="974"/>
        <v>0.21198668146504185</v>
      </c>
      <c r="Q419">
        <f t="shared" si="975"/>
        <v>20988.986334750574</v>
      </c>
      <c r="R419">
        <f t="shared" si="976"/>
        <v>2747874.0234802631</v>
      </c>
      <c r="S419">
        <f t="shared" si="977"/>
        <v>27.478740234802629</v>
      </c>
      <c r="T419">
        <f t="shared" si="978"/>
        <v>2.747874023480263E-2</v>
      </c>
    </row>
    <row r="420" spans="1:20" x14ac:dyDescent="0.25">
      <c r="A420" s="5">
        <v>44173</v>
      </c>
      <c r="B420">
        <v>138.61000000000001</v>
      </c>
      <c r="C420">
        <v>143.26</v>
      </c>
      <c r="D420">
        <v>132.68</v>
      </c>
      <c r="E420">
        <v>135.87</v>
      </c>
      <c r="F420">
        <v>117089.96113</v>
      </c>
      <c r="G420">
        <v>0</v>
      </c>
      <c r="L420" t="s">
        <v>7</v>
      </c>
      <c r="M420" t="s">
        <v>8</v>
      </c>
      <c r="N420" t="s">
        <v>8</v>
      </c>
      <c r="P420">
        <f t="shared" si="974"/>
        <v>-0.39697542533081237</v>
      </c>
      <c r="Q420">
        <f t="shared" si="975"/>
        <v>-46481.837121550037</v>
      </c>
      <c r="R420">
        <f t="shared" si="976"/>
        <v>2726885.0371455126</v>
      </c>
      <c r="S420">
        <f t="shared" si="977"/>
        <v>27.268850371455127</v>
      </c>
      <c r="T420">
        <f t="shared" si="978"/>
        <v>2.7268850371455128E-2</v>
      </c>
    </row>
    <row r="421" spans="1:20" x14ac:dyDescent="0.25">
      <c r="A421" s="5">
        <v>44172</v>
      </c>
      <c r="B421">
        <v>134.37</v>
      </c>
      <c r="C421">
        <v>144.11000000000001</v>
      </c>
      <c r="D421">
        <v>133.93</v>
      </c>
      <c r="E421">
        <v>138.61000000000001</v>
      </c>
      <c r="F421">
        <v>177805.88755000001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-8.0550098231826392E-2</v>
      </c>
      <c r="Q421">
        <f t="shared" si="975"/>
        <v>-14322.281708349579</v>
      </c>
      <c r="R421">
        <f t="shared" si="976"/>
        <v>2773366.8742670626</v>
      </c>
      <c r="S421">
        <f t="shared" si="977"/>
        <v>27.733668742670627</v>
      </c>
      <c r="T421">
        <f t="shared" si="978"/>
        <v>2.7733668742670626E-2</v>
      </c>
    </row>
    <row r="422" spans="1:20" x14ac:dyDescent="0.25">
      <c r="A422" s="5">
        <v>44171</v>
      </c>
      <c r="B422">
        <v>133.47</v>
      </c>
      <c r="C422">
        <v>134.71</v>
      </c>
      <c r="D422">
        <v>128.19999999999999</v>
      </c>
      <c r="E422">
        <v>134.33000000000001</v>
      </c>
      <c r="F422">
        <v>76285.145680000001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0.88325652841782043</v>
      </c>
      <c r="Q422">
        <f t="shared" si="975"/>
        <v>67379.352943164486</v>
      </c>
      <c r="R422">
        <f t="shared" si="976"/>
        <v>2787689.1559754121</v>
      </c>
      <c r="S422">
        <f t="shared" si="977"/>
        <v>27.876891559754121</v>
      </c>
      <c r="T422">
        <f t="shared" si="978"/>
        <v>2.7876891559754122E-2</v>
      </c>
    </row>
    <row r="423" spans="1:20" x14ac:dyDescent="0.25">
      <c r="A423" s="5">
        <v>44170</v>
      </c>
      <c r="B423">
        <v>126.57</v>
      </c>
      <c r="C423">
        <v>133.91</v>
      </c>
      <c r="D423">
        <v>124.26</v>
      </c>
      <c r="E423">
        <v>133.49</v>
      </c>
      <c r="F423">
        <v>61239.572560000001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0.91295336787565018</v>
      </c>
      <c r="Q423">
        <f t="shared" si="975"/>
        <v>55908.874015917252</v>
      </c>
      <c r="R423">
        <f t="shared" si="976"/>
        <v>2720309.8030322478</v>
      </c>
      <c r="S423">
        <f t="shared" si="977"/>
        <v>27.203098030322479</v>
      </c>
      <c r="T423">
        <f t="shared" si="978"/>
        <v>2.7203098030322479E-2</v>
      </c>
    </row>
    <row r="424" spans="1:20" x14ac:dyDescent="0.25">
      <c r="A424" s="5">
        <v>44169</v>
      </c>
      <c r="B424">
        <v>133.38999999999999</v>
      </c>
      <c r="C424">
        <v>135.65</v>
      </c>
      <c r="D424">
        <v>126.35</v>
      </c>
      <c r="E424">
        <v>126.57</v>
      </c>
      <c r="F424">
        <v>106738.55076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-0.95268817204301104</v>
      </c>
      <c r="Q424">
        <f t="shared" si="975"/>
        <v>-101688.55481006454</v>
      </c>
      <c r="R424">
        <f t="shared" si="976"/>
        <v>2664400.9290163307</v>
      </c>
      <c r="S424">
        <f t="shared" si="977"/>
        <v>26.644009290163307</v>
      </c>
      <c r="T424">
        <f t="shared" si="978"/>
        <v>2.6644009290163306E-2</v>
      </c>
    </row>
    <row r="425" spans="1:20" x14ac:dyDescent="0.25">
      <c r="A425" s="5">
        <v>44168</v>
      </c>
      <c r="B425">
        <v>127.82</v>
      </c>
      <c r="C425">
        <v>133.72</v>
      </c>
      <c r="D425">
        <v>126.41</v>
      </c>
      <c r="E425">
        <v>133.54</v>
      </c>
      <c r="F425">
        <v>72157.981750000006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0.95075239398084632</v>
      </c>
      <c r="Q425">
        <f t="shared" si="975"/>
        <v>68604.373893638724</v>
      </c>
      <c r="R425">
        <f t="shared" si="976"/>
        <v>2766089.4838263951</v>
      </c>
      <c r="S425">
        <f t="shared" si="977"/>
        <v>27.66089483826395</v>
      </c>
      <c r="T425">
        <f t="shared" si="978"/>
        <v>2.766089483826395E-2</v>
      </c>
    </row>
    <row r="426" spans="1:20" x14ac:dyDescent="0.25">
      <c r="A426" s="5">
        <v>44167</v>
      </c>
      <c r="B426">
        <v>125.79</v>
      </c>
      <c r="C426">
        <v>129.27000000000001</v>
      </c>
      <c r="D426">
        <v>123.7</v>
      </c>
      <c r="E426">
        <v>127.92</v>
      </c>
      <c r="F426">
        <v>80009.022660000002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0.5152603231597821</v>
      </c>
      <c r="Q426">
        <f t="shared" si="975"/>
        <v>41225.474871489932</v>
      </c>
      <c r="R426">
        <f t="shared" si="976"/>
        <v>2697485.1099327565</v>
      </c>
      <c r="S426">
        <f t="shared" si="977"/>
        <v>26.974851099327566</v>
      </c>
      <c r="T426">
        <f t="shared" si="978"/>
        <v>2.6974851099327565E-2</v>
      </c>
    </row>
    <row r="427" spans="1:20" x14ac:dyDescent="0.25">
      <c r="A427" s="5">
        <v>44166</v>
      </c>
      <c r="B427">
        <v>130.65</v>
      </c>
      <c r="C427">
        <v>132.72</v>
      </c>
      <c r="D427">
        <v>120.5</v>
      </c>
      <c r="E427">
        <v>125.79</v>
      </c>
      <c r="F427">
        <v>129097.47739</v>
      </c>
      <c r="G427">
        <v>0</v>
      </c>
      <c r="L427" t="s">
        <v>7</v>
      </c>
      <c r="M427" t="s">
        <v>8</v>
      </c>
      <c r="N427" t="s">
        <v>8</v>
      </c>
      <c r="P427">
        <f t="shared" si="974"/>
        <v>-0.13420621931260118</v>
      </c>
      <c r="Q427">
        <f t="shared" si="975"/>
        <v>-17325.684363305914</v>
      </c>
      <c r="R427">
        <f t="shared" si="976"/>
        <v>2656259.6350612664</v>
      </c>
      <c r="S427">
        <f t="shared" si="977"/>
        <v>26.562596350612665</v>
      </c>
      <c r="T427">
        <f t="shared" si="978"/>
        <v>2.6562596350612665E-2</v>
      </c>
    </row>
    <row r="428" spans="1:20" x14ac:dyDescent="0.25">
      <c r="A428" s="5">
        <v>44165</v>
      </c>
      <c r="B428">
        <v>123.97</v>
      </c>
      <c r="C428">
        <v>130.77000000000001</v>
      </c>
      <c r="D428">
        <v>121.5</v>
      </c>
      <c r="E428">
        <v>130.65</v>
      </c>
      <c r="F428">
        <v>92935.772719999994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0.97411003236245863</v>
      </c>
      <c r="Q428">
        <f t="shared" si="975"/>
        <v>90529.668571909293</v>
      </c>
      <c r="R428">
        <f t="shared" si="976"/>
        <v>2673585.3194245724</v>
      </c>
      <c r="S428">
        <f t="shared" si="977"/>
        <v>26.735853194245724</v>
      </c>
      <c r="T428">
        <f t="shared" si="978"/>
        <v>2.6735853194245724E-2</v>
      </c>
    </row>
    <row r="429" spans="1:20" x14ac:dyDescent="0.25">
      <c r="A429" s="5">
        <v>44164</v>
      </c>
      <c r="B429">
        <v>122.03</v>
      </c>
      <c r="C429">
        <v>125.94</v>
      </c>
      <c r="D429">
        <v>119.19</v>
      </c>
      <c r="E429">
        <v>123.94</v>
      </c>
      <c r="F429">
        <v>89194.221319999997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0.40740740740740738</v>
      </c>
      <c r="Q429">
        <f t="shared" si="975"/>
        <v>36338.386463703704</v>
      </c>
      <c r="R429">
        <f t="shared" si="976"/>
        <v>2583055.650852663</v>
      </c>
      <c r="S429">
        <f t="shared" si="977"/>
        <v>25.83055650852663</v>
      </c>
      <c r="T429">
        <f t="shared" si="978"/>
        <v>2.5830556508526632E-2</v>
      </c>
    </row>
    <row r="430" spans="1:20" x14ac:dyDescent="0.25">
      <c r="A430" s="5">
        <v>44163</v>
      </c>
      <c r="B430">
        <v>117.33</v>
      </c>
      <c r="C430">
        <v>124.99</v>
      </c>
      <c r="D430">
        <v>114.32</v>
      </c>
      <c r="E430">
        <v>122.03</v>
      </c>
      <c r="F430">
        <v>84091.396909999996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0.4451733833177145</v>
      </c>
      <c r="Q430">
        <f t="shared" si="975"/>
        <v>37435.2516703375</v>
      </c>
      <c r="R430">
        <f t="shared" si="976"/>
        <v>2546717.2643889594</v>
      </c>
      <c r="S430">
        <f t="shared" si="977"/>
        <v>25.467172643889594</v>
      </c>
      <c r="T430">
        <f t="shared" si="978"/>
        <v>2.5467172643889594E-2</v>
      </c>
    </row>
    <row r="431" spans="1:20" x14ac:dyDescent="0.25">
      <c r="A431" s="5">
        <v>44162</v>
      </c>
      <c r="B431">
        <v>119.97</v>
      </c>
      <c r="C431">
        <v>122.17</v>
      </c>
      <c r="D431">
        <v>111.53</v>
      </c>
      <c r="E431">
        <v>117.32</v>
      </c>
      <c r="F431">
        <v>113857.03217999999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8.8345864661652576E-2</v>
      </c>
      <c r="Q431">
        <f t="shared" si="975"/>
        <v>10058.797955751701</v>
      </c>
      <c r="R431">
        <f t="shared" si="976"/>
        <v>2509282.0127186221</v>
      </c>
      <c r="S431">
        <f t="shared" si="977"/>
        <v>25.092820127186222</v>
      </c>
      <c r="T431">
        <f t="shared" si="978"/>
        <v>2.5092820127186222E-2</v>
      </c>
    </row>
    <row r="432" spans="1:20" x14ac:dyDescent="0.25">
      <c r="A432" s="5">
        <v>44161</v>
      </c>
      <c r="B432">
        <v>128.85</v>
      </c>
      <c r="C432">
        <v>132.37</v>
      </c>
      <c r="D432">
        <v>108.07</v>
      </c>
      <c r="E432">
        <v>119.98</v>
      </c>
      <c r="F432">
        <v>280579.01746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-1.9753086419752656E-2</v>
      </c>
      <c r="Q432">
        <f t="shared" si="975"/>
        <v>-5542.3015794566691</v>
      </c>
      <c r="R432">
        <f t="shared" si="976"/>
        <v>2499223.2147628702</v>
      </c>
      <c r="S432">
        <f t="shared" si="977"/>
        <v>24.992232147628702</v>
      </c>
      <c r="T432">
        <f t="shared" si="978"/>
        <v>2.4992232147628701E-2</v>
      </c>
    </row>
    <row r="433" spans="1:20" x14ac:dyDescent="0.25">
      <c r="A433" s="5">
        <v>44160</v>
      </c>
      <c r="B433">
        <v>135.07</v>
      </c>
      <c r="C433">
        <v>138.72</v>
      </c>
      <c r="D433">
        <v>125.16</v>
      </c>
      <c r="E433">
        <v>128.80000000000001</v>
      </c>
      <c r="F433">
        <v>180359.32149999999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-0.46312684365781503</v>
      </c>
      <c r="Q433">
        <f t="shared" si="975"/>
        <v>-83529.243290560087</v>
      </c>
      <c r="R433">
        <f t="shared" si="976"/>
        <v>2504765.516342327</v>
      </c>
      <c r="S433">
        <f t="shared" si="977"/>
        <v>25.047655163423268</v>
      </c>
      <c r="T433">
        <f t="shared" si="978"/>
        <v>2.504765516342327E-2</v>
      </c>
    </row>
    <row r="434" spans="1:20" x14ac:dyDescent="0.25">
      <c r="A434" s="5">
        <v>44159</v>
      </c>
      <c r="B434">
        <v>129.86000000000001</v>
      </c>
      <c r="C434">
        <v>142.85</v>
      </c>
      <c r="D434">
        <v>126.32</v>
      </c>
      <c r="E434">
        <v>135.15</v>
      </c>
      <c r="F434">
        <v>309909.03791999997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6.8360556563824795E-2</v>
      </c>
      <c r="Q434">
        <f t="shared" si="975"/>
        <v>21185.554316370682</v>
      </c>
      <c r="R434">
        <f t="shared" si="976"/>
        <v>2588294.7596328869</v>
      </c>
      <c r="S434">
        <f t="shared" si="977"/>
        <v>25.882947596328869</v>
      </c>
      <c r="T434">
        <f t="shared" si="978"/>
        <v>2.5882947596328868E-2</v>
      </c>
    </row>
    <row r="435" spans="1:20" x14ac:dyDescent="0.25">
      <c r="A435" s="5">
        <v>44158</v>
      </c>
      <c r="B435">
        <v>123.67</v>
      </c>
      <c r="C435">
        <v>131</v>
      </c>
      <c r="D435">
        <v>122.4</v>
      </c>
      <c r="E435">
        <v>129.88</v>
      </c>
      <c r="F435">
        <v>152118.50765000001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0.73953488372092901</v>
      </c>
      <c r="Q435">
        <f t="shared" si="975"/>
        <v>112496.94286674401</v>
      </c>
      <c r="R435">
        <f t="shared" si="976"/>
        <v>2567109.2053165161</v>
      </c>
      <c r="S435">
        <f t="shared" si="977"/>
        <v>25.671092053165161</v>
      </c>
      <c r="T435">
        <f t="shared" si="978"/>
        <v>2.5671092053165159E-2</v>
      </c>
    </row>
    <row r="436" spans="1:20" x14ac:dyDescent="0.25">
      <c r="A436" s="5">
        <v>44157</v>
      </c>
      <c r="B436">
        <v>128.49</v>
      </c>
      <c r="C436">
        <v>129.72</v>
      </c>
      <c r="D436">
        <v>119.17</v>
      </c>
      <c r="E436">
        <v>123.65</v>
      </c>
      <c r="F436">
        <v>146364.09469999999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-0.15071090047393268</v>
      </c>
      <c r="Q436">
        <f t="shared" si="975"/>
        <v>-22058.664509288956</v>
      </c>
      <c r="R436">
        <f t="shared" si="976"/>
        <v>2454612.2624497721</v>
      </c>
      <c r="S436">
        <f t="shared" si="977"/>
        <v>24.54612262449772</v>
      </c>
      <c r="T436">
        <f t="shared" si="978"/>
        <v>2.4546122624497721E-2</v>
      </c>
    </row>
    <row r="437" spans="1:20" x14ac:dyDescent="0.25">
      <c r="A437" s="5">
        <v>44156</v>
      </c>
      <c r="B437">
        <v>121.01</v>
      </c>
      <c r="C437">
        <v>129.53</v>
      </c>
      <c r="D437">
        <v>119.51</v>
      </c>
      <c r="E437">
        <v>128.46</v>
      </c>
      <c r="F437">
        <v>138732.15351</v>
      </c>
      <c r="G437">
        <v>0</v>
      </c>
      <c r="L437" t="s">
        <v>8</v>
      </c>
      <c r="M437" t="s">
        <v>7</v>
      </c>
      <c r="N437" t="s">
        <v>8</v>
      </c>
      <c r="P437">
        <f t="shared" si="974"/>
        <v>0.78642714570858407</v>
      </c>
      <c r="Q437">
        <f t="shared" si="975"/>
        <v>109102.73150287442</v>
      </c>
      <c r="R437">
        <f t="shared" si="976"/>
        <v>2476670.9269590611</v>
      </c>
      <c r="S437">
        <f t="shared" si="977"/>
        <v>24.76670926959061</v>
      </c>
      <c r="T437">
        <f t="shared" si="978"/>
        <v>2.4766709269590612E-2</v>
      </c>
    </row>
    <row r="438" spans="1:20" x14ac:dyDescent="0.25">
      <c r="A438" s="5">
        <v>44155</v>
      </c>
      <c r="B438">
        <v>118.44</v>
      </c>
      <c r="C438">
        <v>123.02</v>
      </c>
      <c r="D438">
        <v>117.95</v>
      </c>
      <c r="E438">
        <v>121.04</v>
      </c>
      <c r="F438">
        <v>118458.69929</v>
      </c>
      <c r="G438">
        <v>0</v>
      </c>
      <c r="L438" t="s">
        <v>7</v>
      </c>
      <c r="M438" t="s">
        <v>7</v>
      </c>
      <c r="N438" t="s">
        <v>8</v>
      </c>
      <c r="P438">
        <f t="shared" si="974"/>
        <v>0.21893491124260653</v>
      </c>
      <c r="Q438">
        <f t="shared" si="975"/>
        <v>25934.744814970767</v>
      </c>
      <c r="R438">
        <f t="shared" si="976"/>
        <v>2367568.1954561868</v>
      </c>
      <c r="S438">
        <f t="shared" si="977"/>
        <v>23.675681954561867</v>
      </c>
      <c r="T438">
        <f t="shared" si="978"/>
        <v>2.3675681954561868E-2</v>
      </c>
    </row>
    <row r="439" spans="1:20" x14ac:dyDescent="0.25">
      <c r="A439" s="5">
        <v>44154</v>
      </c>
      <c r="B439">
        <v>123.55</v>
      </c>
      <c r="C439">
        <v>123.8</v>
      </c>
      <c r="D439">
        <v>116.94</v>
      </c>
      <c r="E439">
        <v>118.49</v>
      </c>
      <c r="F439">
        <v>107567.94501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-0.54810495626822242</v>
      </c>
      <c r="Q439">
        <f t="shared" si="975"/>
        <v>-58958.523795568603</v>
      </c>
      <c r="R439">
        <f t="shared" si="976"/>
        <v>2341633.4506412158</v>
      </c>
      <c r="S439">
        <f t="shared" si="977"/>
        <v>23.416334506412159</v>
      </c>
      <c r="T439">
        <f t="shared" si="978"/>
        <v>2.3416334506412159E-2</v>
      </c>
    </row>
    <row r="440" spans="1:20" x14ac:dyDescent="0.25">
      <c r="A440" s="5">
        <v>44153</v>
      </c>
      <c r="B440">
        <v>125.48</v>
      </c>
      <c r="C440">
        <v>126.5</v>
      </c>
      <c r="D440">
        <v>118.83</v>
      </c>
      <c r="E440">
        <v>123.51</v>
      </c>
      <c r="F440">
        <v>143792.70839000001</v>
      </c>
      <c r="G440">
        <v>0</v>
      </c>
      <c r="L440" t="s">
        <v>8</v>
      </c>
      <c r="M440" t="s">
        <v>7</v>
      </c>
      <c r="N440" t="s">
        <v>8</v>
      </c>
      <c r="P440">
        <f t="shared" si="974"/>
        <v>0.22033898305084895</v>
      </c>
      <c r="Q440">
        <f t="shared" si="975"/>
        <v>31683.139136779879</v>
      </c>
      <c r="R440">
        <f t="shared" si="976"/>
        <v>2400591.9744367842</v>
      </c>
      <c r="S440">
        <f t="shared" si="977"/>
        <v>24.005919744367841</v>
      </c>
      <c r="T440">
        <f t="shared" si="978"/>
        <v>2.4005919744367842E-2</v>
      </c>
    </row>
    <row r="441" spans="1:20" x14ac:dyDescent="0.25">
      <c r="A441" s="5">
        <v>44152</v>
      </c>
      <c r="B441">
        <v>118.45</v>
      </c>
      <c r="C441">
        <v>125.71</v>
      </c>
      <c r="D441">
        <v>117.79</v>
      </c>
      <c r="E441">
        <v>125.55</v>
      </c>
      <c r="F441">
        <v>106174.35002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0.95959595959596045</v>
      </c>
      <c r="Q441">
        <f t="shared" si="975"/>
        <v>101884.47729191928</v>
      </c>
      <c r="R441">
        <f t="shared" si="976"/>
        <v>2368908.8353000041</v>
      </c>
      <c r="S441">
        <f t="shared" si="977"/>
        <v>23.689088353000042</v>
      </c>
      <c r="T441">
        <f t="shared" si="978"/>
        <v>2.3689088353000043E-2</v>
      </c>
    </row>
    <row r="442" spans="1:20" x14ac:dyDescent="0.25">
      <c r="A442" s="5">
        <v>44151</v>
      </c>
      <c r="B442">
        <v>114.62</v>
      </c>
      <c r="C442">
        <v>119.97</v>
      </c>
      <c r="D442">
        <v>113.49</v>
      </c>
      <c r="E442">
        <v>118.52</v>
      </c>
      <c r="F442">
        <v>93076.755279999998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0.55246913580246848</v>
      </c>
      <c r="Q442">
        <f t="shared" si="975"/>
        <v>51422.034552839446</v>
      </c>
      <c r="R442">
        <f t="shared" si="976"/>
        <v>2267024.3580080848</v>
      </c>
      <c r="S442">
        <f t="shared" si="977"/>
        <v>22.670243580080847</v>
      </c>
      <c r="T442">
        <f t="shared" si="978"/>
        <v>2.2670243580080848E-2</v>
      </c>
    </row>
    <row r="443" spans="1:20" x14ac:dyDescent="0.25">
      <c r="A443" s="5">
        <v>44150</v>
      </c>
      <c r="B443">
        <v>116.92</v>
      </c>
      <c r="C443">
        <v>117.98</v>
      </c>
      <c r="D443">
        <v>112.86</v>
      </c>
      <c r="E443">
        <v>114.6</v>
      </c>
      <c r="F443">
        <v>60211.762560000003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-0.32031250000000261</v>
      </c>
      <c r="Q443">
        <f t="shared" si="975"/>
        <v>-19286.580195000159</v>
      </c>
      <c r="R443">
        <f t="shared" si="976"/>
        <v>2215602.3234552452</v>
      </c>
      <c r="S443">
        <f t="shared" si="977"/>
        <v>22.156023234552453</v>
      </c>
      <c r="T443">
        <f t="shared" si="978"/>
        <v>2.2156023234552454E-2</v>
      </c>
    </row>
    <row r="444" spans="1:20" x14ac:dyDescent="0.25">
      <c r="A444" s="5">
        <v>44149</v>
      </c>
      <c r="B444">
        <v>114.1</v>
      </c>
      <c r="C444">
        <v>117.63</v>
      </c>
      <c r="D444">
        <v>113.15</v>
      </c>
      <c r="E444">
        <v>116.89</v>
      </c>
      <c r="F444">
        <v>82724.298240000004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0.66964285714285865</v>
      </c>
      <c r="Q444">
        <f t="shared" si="975"/>
        <v>55395.735428571556</v>
      </c>
      <c r="R444">
        <f t="shared" si="976"/>
        <v>2234888.9036502452</v>
      </c>
      <c r="S444">
        <f t="shared" si="977"/>
        <v>22.348889036502452</v>
      </c>
      <c r="T444">
        <f t="shared" si="978"/>
        <v>2.2348889036502454E-2</v>
      </c>
    </row>
    <row r="445" spans="1:20" x14ac:dyDescent="0.25">
      <c r="A445" s="5">
        <v>44148</v>
      </c>
      <c r="B445">
        <v>112.16</v>
      </c>
      <c r="C445">
        <v>115</v>
      </c>
      <c r="D445">
        <v>111.52</v>
      </c>
      <c r="E445">
        <v>114.09</v>
      </c>
      <c r="F445">
        <v>72394.104519999993</v>
      </c>
      <c r="G445">
        <v>0</v>
      </c>
      <c r="L445" t="s">
        <v>7</v>
      </c>
      <c r="M445" t="s">
        <v>7</v>
      </c>
      <c r="N445" t="s">
        <v>8</v>
      </c>
      <c r="P445">
        <f t="shared" si="974"/>
        <v>0.47701149425287614</v>
      </c>
      <c r="Q445">
        <f t="shared" si="975"/>
        <v>34532.819972184094</v>
      </c>
      <c r="R445">
        <f t="shared" si="976"/>
        <v>2179493.1682216735</v>
      </c>
      <c r="S445">
        <f t="shared" si="977"/>
        <v>21.794931682216735</v>
      </c>
      <c r="T445">
        <f t="shared" si="978"/>
        <v>2.1794931682216735E-2</v>
      </c>
    </row>
    <row r="446" spans="1:20" x14ac:dyDescent="0.25">
      <c r="A446" s="5">
        <v>44147</v>
      </c>
      <c r="B446">
        <v>113.12</v>
      </c>
      <c r="C446">
        <v>115.06</v>
      </c>
      <c r="D446">
        <v>110.09</v>
      </c>
      <c r="E446">
        <v>112.16</v>
      </c>
      <c r="F446">
        <v>94916.889490000001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-0.16700201207243717</v>
      </c>
      <c r="Q446">
        <f t="shared" si="975"/>
        <v>-15851.311524487166</v>
      </c>
      <c r="R446">
        <f t="shared" si="976"/>
        <v>2144960.3482494894</v>
      </c>
      <c r="S446">
        <f t="shared" si="977"/>
        <v>21.449603482494894</v>
      </c>
      <c r="T446">
        <f t="shared" si="978"/>
        <v>2.1449603482494892E-2</v>
      </c>
    </row>
    <row r="447" spans="1:20" x14ac:dyDescent="0.25">
      <c r="A447" s="5">
        <v>44146</v>
      </c>
      <c r="B447">
        <v>115.55</v>
      </c>
      <c r="C447">
        <v>118</v>
      </c>
      <c r="D447">
        <v>113.12</v>
      </c>
      <c r="E447">
        <v>113.13</v>
      </c>
      <c r="F447">
        <v>83359.024359999996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-0.99590163934426601</v>
      </c>
      <c r="Q447">
        <f t="shared" si="975"/>
        <v>-83017.389014262604</v>
      </c>
      <c r="R447">
        <f t="shared" si="976"/>
        <v>2160811.6597739765</v>
      </c>
      <c r="S447">
        <f t="shared" si="977"/>
        <v>21.608116597739766</v>
      </c>
      <c r="T447">
        <f t="shared" si="978"/>
        <v>2.1608116597739768E-2</v>
      </c>
    </row>
    <row r="448" spans="1:20" x14ac:dyDescent="0.25">
      <c r="A448" s="5">
        <v>44145</v>
      </c>
      <c r="B448">
        <v>115.89</v>
      </c>
      <c r="C448">
        <v>117.94</v>
      </c>
      <c r="D448">
        <v>114.05</v>
      </c>
      <c r="E448">
        <v>115.54</v>
      </c>
      <c r="F448">
        <v>57758.17237</v>
      </c>
      <c r="G448">
        <v>0</v>
      </c>
      <c r="L448" t="s">
        <v>8</v>
      </c>
      <c r="M448" t="s">
        <v>7</v>
      </c>
      <c r="N448" t="s">
        <v>8</v>
      </c>
      <c r="P448">
        <f t="shared" si="974"/>
        <v>-0.23393316195372293</v>
      </c>
      <c r="Q448">
        <f t="shared" si="975"/>
        <v>-13511.551891182255</v>
      </c>
      <c r="R448">
        <f t="shared" si="976"/>
        <v>2243829.0487882392</v>
      </c>
      <c r="S448">
        <f t="shared" si="977"/>
        <v>22.438290487882391</v>
      </c>
      <c r="T448">
        <f t="shared" si="978"/>
        <v>2.243829048788239E-2</v>
      </c>
    </row>
    <row r="449" spans="1:20" x14ac:dyDescent="0.25">
      <c r="A449" s="5">
        <v>44144</v>
      </c>
      <c r="B449">
        <v>120.26</v>
      </c>
      <c r="C449">
        <v>122.1</v>
      </c>
      <c r="D449">
        <v>114.04</v>
      </c>
      <c r="E449">
        <v>115.89</v>
      </c>
      <c r="F449">
        <v>116465.70322</v>
      </c>
      <c r="G449">
        <v>0</v>
      </c>
      <c r="L449" t="s">
        <v>8</v>
      </c>
      <c r="M449" t="s">
        <v>7</v>
      </c>
      <c r="N449" t="s">
        <v>8</v>
      </c>
      <c r="P449">
        <f t="shared" si="974"/>
        <v>-0.54094292803970301</v>
      </c>
      <c r="Q449">
        <f t="shared" si="975"/>
        <v>-63001.298516029863</v>
      </c>
      <c r="R449">
        <f t="shared" si="976"/>
        <v>2257340.6006794213</v>
      </c>
      <c r="S449">
        <f t="shared" si="977"/>
        <v>22.573406006794212</v>
      </c>
      <c r="T449">
        <f t="shared" si="978"/>
        <v>2.2573406006794212E-2</v>
      </c>
    </row>
    <row r="450" spans="1:20" x14ac:dyDescent="0.25">
      <c r="A450" s="5">
        <v>44143</v>
      </c>
      <c r="B450">
        <v>111.03</v>
      </c>
      <c r="C450">
        <v>120.98</v>
      </c>
      <c r="D450">
        <v>109.61</v>
      </c>
      <c r="E450">
        <v>120.33</v>
      </c>
      <c r="F450">
        <v>80211.842290000001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0.88566402814423828</v>
      </c>
      <c r="Q450">
        <f t="shared" si="975"/>
        <v>71040.743347431766</v>
      </c>
      <c r="R450">
        <f t="shared" si="976"/>
        <v>2320341.8991954513</v>
      </c>
      <c r="S450">
        <f t="shared" si="977"/>
        <v>23.203418991954514</v>
      </c>
      <c r="T450">
        <f t="shared" si="978"/>
        <v>2.3203418991954515E-2</v>
      </c>
    </row>
    <row r="451" spans="1:20" x14ac:dyDescent="0.25">
      <c r="A451" s="5">
        <v>44142</v>
      </c>
      <c r="B451">
        <v>119.34</v>
      </c>
      <c r="C451">
        <v>126.04</v>
      </c>
      <c r="D451">
        <v>109.62</v>
      </c>
      <c r="E451">
        <v>110.96</v>
      </c>
      <c r="F451">
        <v>165912.07806999999</v>
      </c>
      <c r="G451">
        <v>0</v>
      </c>
      <c r="L451" t="s">
        <v>8</v>
      </c>
      <c r="M451" t="s">
        <v>7</v>
      </c>
      <c r="N451" t="s">
        <v>8</v>
      </c>
      <c r="P451">
        <f t="shared" si="974"/>
        <v>-0.83678440925700504</v>
      </c>
      <c r="Q451">
        <f t="shared" si="975"/>
        <v>-138832.64023640705</v>
      </c>
      <c r="R451">
        <f t="shared" si="976"/>
        <v>2249301.1558480198</v>
      </c>
      <c r="S451">
        <f t="shared" si="977"/>
        <v>22.493011558480198</v>
      </c>
      <c r="T451">
        <f t="shared" si="978"/>
        <v>2.24930115584802E-2</v>
      </c>
    </row>
    <row r="452" spans="1:20" x14ac:dyDescent="0.25">
      <c r="A452" s="5">
        <v>44141</v>
      </c>
      <c r="B452">
        <v>119.51</v>
      </c>
      <c r="C452">
        <v>124.26</v>
      </c>
      <c r="D452">
        <v>116.29</v>
      </c>
      <c r="E452">
        <v>119.37</v>
      </c>
      <c r="F452">
        <v>127649.03125</v>
      </c>
      <c r="G452">
        <v>0</v>
      </c>
      <c r="L452" t="s">
        <v>8</v>
      </c>
      <c r="M452" t="s">
        <v>7</v>
      </c>
      <c r="N452" t="s">
        <v>8</v>
      </c>
      <c r="P452">
        <f t="shared" si="974"/>
        <v>-0.22710163111668791</v>
      </c>
      <c r="Q452">
        <f t="shared" si="975"/>
        <v>-28989.303207340068</v>
      </c>
      <c r="R452">
        <f t="shared" si="976"/>
        <v>2388133.7960844268</v>
      </c>
      <c r="S452">
        <f t="shared" si="977"/>
        <v>23.881337960844267</v>
      </c>
      <c r="T452">
        <f t="shared" si="978"/>
        <v>2.3881337960844268E-2</v>
      </c>
    </row>
    <row r="453" spans="1:20" x14ac:dyDescent="0.25">
      <c r="A453" s="5">
        <v>44140</v>
      </c>
      <c r="B453">
        <v>115.77</v>
      </c>
      <c r="C453">
        <v>125</v>
      </c>
      <c r="D453">
        <v>110.5</v>
      </c>
      <c r="E453">
        <v>119.56</v>
      </c>
      <c r="F453">
        <v>155407.85216000001</v>
      </c>
      <c r="G453">
        <v>0</v>
      </c>
      <c r="L453" t="s">
        <v>7</v>
      </c>
      <c r="M453" t="s">
        <v>7</v>
      </c>
      <c r="N453" t="s">
        <v>8</v>
      </c>
      <c r="P453">
        <f t="shared" si="974"/>
        <v>0.24965517241379342</v>
      </c>
      <c r="Q453">
        <f t="shared" si="975"/>
        <v>38798.37412546212</v>
      </c>
      <c r="R453">
        <f t="shared" si="976"/>
        <v>2417123.099291767</v>
      </c>
      <c r="S453">
        <f t="shared" si="977"/>
        <v>24.171230992917671</v>
      </c>
      <c r="T453">
        <f t="shared" si="978"/>
        <v>2.417123099291767E-2</v>
      </c>
    </row>
    <row r="454" spans="1:20" x14ac:dyDescent="0.25">
      <c r="A454" s="5">
        <v>44139</v>
      </c>
      <c r="B454">
        <v>121.18</v>
      </c>
      <c r="C454">
        <v>121.82</v>
      </c>
      <c r="D454">
        <v>113.6</v>
      </c>
      <c r="E454">
        <v>115.67</v>
      </c>
      <c r="F454">
        <v>121984.35128</v>
      </c>
      <c r="G454">
        <v>0</v>
      </c>
      <c r="L454" t="s">
        <v>7</v>
      </c>
      <c r="M454" t="s">
        <v>7</v>
      </c>
      <c r="N454" t="s">
        <v>8</v>
      </c>
      <c r="P454">
        <f t="shared" ref="P454:P517" si="979">IF(C454=D454,0,((E454-D454)-(C454-E454))/(C454-D454))</f>
        <v>-0.49635036496350177</v>
      </c>
      <c r="Q454">
        <f t="shared" ref="Q454:Q517" si="980">F454*P454</f>
        <v>-60546.977277664002</v>
      </c>
      <c r="R454">
        <f t="shared" ref="R454:R517" si="981">R455+Q454</f>
        <v>2378324.725166305</v>
      </c>
      <c r="S454">
        <f t="shared" ref="S454:S517" si="982">R454/100000</f>
        <v>23.783247251663049</v>
      </c>
      <c r="T454">
        <f t="shared" ref="T454:T517" si="983">S454/1000</f>
        <v>2.3783247251663048E-2</v>
      </c>
    </row>
    <row r="455" spans="1:20" x14ac:dyDescent="0.25">
      <c r="A455" s="5">
        <v>44138</v>
      </c>
      <c r="B455">
        <v>118.82</v>
      </c>
      <c r="C455">
        <v>121.47</v>
      </c>
      <c r="D455">
        <v>116</v>
      </c>
      <c r="E455">
        <v>121.13</v>
      </c>
      <c r="F455">
        <v>95292.377290000004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0.87568555758683597</v>
      </c>
      <c r="Q455">
        <f t="shared" si="980"/>
        <v>83446.158540968798</v>
      </c>
      <c r="R455">
        <f t="shared" si="981"/>
        <v>2438871.702443969</v>
      </c>
      <c r="S455">
        <f t="shared" si="982"/>
        <v>24.388717024439689</v>
      </c>
      <c r="T455">
        <f t="shared" si="983"/>
        <v>2.4388717024439691E-2</v>
      </c>
    </row>
    <row r="456" spans="1:20" x14ac:dyDescent="0.25">
      <c r="A456" s="5">
        <v>44137</v>
      </c>
      <c r="B456">
        <v>127.08</v>
      </c>
      <c r="C456">
        <v>128.30000000000001</v>
      </c>
      <c r="D456">
        <v>115.57</v>
      </c>
      <c r="E456">
        <v>118.82</v>
      </c>
      <c r="F456">
        <v>116504.99356</v>
      </c>
      <c r="G456">
        <v>0</v>
      </c>
      <c r="L456" t="s">
        <v>7</v>
      </c>
      <c r="M456" t="s">
        <v>7</v>
      </c>
      <c r="N456" t="s">
        <v>8</v>
      </c>
      <c r="P456">
        <f t="shared" si="979"/>
        <v>-0.48939512961508319</v>
      </c>
      <c r="Q456">
        <f t="shared" si="980"/>
        <v>-57016.976424100634</v>
      </c>
      <c r="R456">
        <f t="shared" si="981"/>
        <v>2355425.5439030002</v>
      </c>
      <c r="S456">
        <f t="shared" si="982"/>
        <v>23.554255439030001</v>
      </c>
      <c r="T456">
        <f t="shared" si="983"/>
        <v>2.3554255439029999E-2</v>
      </c>
    </row>
    <row r="457" spans="1:20" x14ac:dyDescent="0.25">
      <c r="A457" s="5">
        <v>44136</v>
      </c>
      <c r="B457">
        <v>126.53</v>
      </c>
      <c r="C457">
        <v>127.27</v>
      </c>
      <c r="D457">
        <v>123.61</v>
      </c>
      <c r="E457">
        <v>127.08</v>
      </c>
      <c r="F457">
        <v>46154.303460000003</v>
      </c>
      <c r="G457">
        <v>0</v>
      </c>
      <c r="L457" t="s">
        <v>8</v>
      </c>
      <c r="M457" t="s">
        <v>7</v>
      </c>
      <c r="N457" t="s">
        <v>8</v>
      </c>
      <c r="P457">
        <f t="shared" si="979"/>
        <v>0.89617486338797925</v>
      </c>
      <c r="Q457">
        <f t="shared" si="980"/>
        <v>41362.326598032843</v>
      </c>
      <c r="R457">
        <f t="shared" si="981"/>
        <v>2412442.520327101</v>
      </c>
      <c r="S457">
        <f t="shared" si="982"/>
        <v>24.124425203271009</v>
      </c>
      <c r="T457">
        <f t="shared" si="983"/>
        <v>2.4124425203271009E-2</v>
      </c>
    </row>
    <row r="458" spans="1:20" x14ac:dyDescent="0.25">
      <c r="A458" s="5">
        <v>44135</v>
      </c>
      <c r="B458">
        <v>122.96</v>
      </c>
      <c r="C458">
        <v>128.30000000000001</v>
      </c>
      <c r="D458">
        <v>121.29</v>
      </c>
      <c r="E458">
        <v>126.52</v>
      </c>
      <c r="F458">
        <v>114364.92277</v>
      </c>
      <c r="G458">
        <v>0</v>
      </c>
      <c r="L458" t="s">
        <v>8</v>
      </c>
      <c r="M458" t="s">
        <v>7</v>
      </c>
      <c r="N458" t="s">
        <v>8</v>
      </c>
      <c r="P458">
        <f t="shared" si="979"/>
        <v>0.49215406562053809</v>
      </c>
      <c r="Q458">
        <f t="shared" si="980"/>
        <v>56285.161705634353</v>
      </c>
      <c r="R458">
        <f t="shared" si="981"/>
        <v>2371080.1937290682</v>
      </c>
      <c r="S458">
        <f t="shared" si="982"/>
        <v>23.710801937290682</v>
      </c>
      <c r="T458">
        <f t="shared" si="983"/>
        <v>2.3710801937290683E-2</v>
      </c>
    </row>
    <row r="459" spans="1:20" x14ac:dyDescent="0.25">
      <c r="A459" s="5">
        <v>44134</v>
      </c>
      <c r="B459">
        <v>124.38</v>
      </c>
      <c r="C459">
        <v>125.33</v>
      </c>
      <c r="D459">
        <v>117.95</v>
      </c>
      <c r="E459">
        <v>122.98</v>
      </c>
      <c r="F459">
        <v>125530.60142000001</v>
      </c>
      <c r="G459">
        <v>0</v>
      </c>
      <c r="L459" t="s">
        <v>7</v>
      </c>
      <c r="M459" t="s">
        <v>7</v>
      </c>
      <c r="N459" t="s">
        <v>8</v>
      </c>
      <c r="P459">
        <f t="shared" si="979"/>
        <v>0.36314363143631551</v>
      </c>
      <c r="Q459">
        <f t="shared" si="980"/>
        <v>45585.638456043504</v>
      </c>
      <c r="R459">
        <f t="shared" si="981"/>
        <v>2314795.0320234336</v>
      </c>
      <c r="S459">
        <f t="shared" si="982"/>
        <v>23.147950320234337</v>
      </c>
      <c r="T459">
        <f t="shared" si="983"/>
        <v>2.3147950320234336E-2</v>
      </c>
    </row>
    <row r="460" spans="1:20" x14ac:dyDescent="0.25">
      <c r="A460" s="5">
        <v>44133</v>
      </c>
      <c r="B460">
        <v>126.32</v>
      </c>
      <c r="C460">
        <v>128.65</v>
      </c>
      <c r="D460">
        <v>121.69</v>
      </c>
      <c r="E460">
        <v>124.38</v>
      </c>
      <c r="F460">
        <v>117544.60748999999</v>
      </c>
      <c r="G460">
        <v>0</v>
      </c>
      <c r="L460" t="s">
        <v>7</v>
      </c>
      <c r="M460" t="s">
        <v>8</v>
      </c>
      <c r="N460" t="s">
        <v>8</v>
      </c>
      <c r="P460">
        <f t="shared" si="979"/>
        <v>-0.22701149425287509</v>
      </c>
      <c r="Q460">
        <f t="shared" si="980"/>
        <v>-26683.976987672591</v>
      </c>
      <c r="R460">
        <f t="shared" si="981"/>
        <v>2269209.3935673903</v>
      </c>
      <c r="S460">
        <f t="shared" si="982"/>
        <v>22.692093935673903</v>
      </c>
      <c r="T460">
        <f t="shared" si="983"/>
        <v>2.2692093935673903E-2</v>
      </c>
    </row>
    <row r="461" spans="1:20" x14ac:dyDescent="0.25">
      <c r="A461" s="5">
        <v>44132</v>
      </c>
      <c r="B461">
        <v>133.91</v>
      </c>
      <c r="C461">
        <v>135.46</v>
      </c>
      <c r="D461">
        <v>123.43</v>
      </c>
      <c r="E461">
        <v>126.32</v>
      </c>
      <c r="F461">
        <v>113742.98699999999</v>
      </c>
      <c r="G461">
        <v>0</v>
      </c>
      <c r="L461" t="s">
        <v>7</v>
      </c>
      <c r="M461" t="s">
        <v>8</v>
      </c>
      <c r="N461" t="s">
        <v>8</v>
      </c>
      <c r="P461">
        <f t="shared" si="979"/>
        <v>-0.51953449709060917</v>
      </c>
      <c r="Q461">
        <f t="shared" si="980"/>
        <v>-59093.405548628696</v>
      </c>
      <c r="R461">
        <f t="shared" si="981"/>
        <v>2295893.3705550628</v>
      </c>
      <c r="S461">
        <f t="shared" si="982"/>
        <v>22.958933705550628</v>
      </c>
      <c r="T461">
        <f t="shared" si="983"/>
        <v>2.2958933705550629E-2</v>
      </c>
    </row>
    <row r="462" spans="1:20" x14ac:dyDescent="0.25">
      <c r="A462" s="5">
        <v>44131</v>
      </c>
      <c r="B462">
        <v>131.35</v>
      </c>
      <c r="C462">
        <v>138.03</v>
      </c>
      <c r="D462">
        <v>131.18</v>
      </c>
      <c r="E462">
        <v>133.83000000000001</v>
      </c>
      <c r="F462">
        <v>114560.47848999999</v>
      </c>
      <c r="G462">
        <v>0</v>
      </c>
      <c r="L462" t="s">
        <v>8</v>
      </c>
      <c r="M462" t="s">
        <v>8</v>
      </c>
      <c r="N462" t="s">
        <v>8</v>
      </c>
      <c r="P462">
        <f t="shared" si="979"/>
        <v>-0.22627737226277142</v>
      </c>
      <c r="Q462">
        <f t="shared" si="980"/>
        <v>-25922.444037882946</v>
      </c>
      <c r="R462">
        <f t="shared" si="981"/>
        <v>2354986.7761036917</v>
      </c>
      <c r="S462">
        <f t="shared" si="982"/>
        <v>23.549867761036918</v>
      </c>
      <c r="T462">
        <f t="shared" si="983"/>
        <v>2.3549867761036916E-2</v>
      </c>
    </row>
    <row r="463" spans="1:20" x14ac:dyDescent="0.25">
      <c r="A463" s="5">
        <v>44130</v>
      </c>
      <c r="B463">
        <v>131.13999999999999</v>
      </c>
      <c r="C463">
        <v>139.38</v>
      </c>
      <c r="D463">
        <v>129</v>
      </c>
      <c r="E463">
        <v>131.41999999999999</v>
      </c>
      <c r="F463">
        <v>153558.89947999999</v>
      </c>
      <c r="G463">
        <v>0</v>
      </c>
      <c r="L463" t="s">
        <v>8</v>
      </c>
      <c r="M463" t="s">
        <v>8</v>
      </c>
      <c r="N463" t="s">
        <v>8</v>
      </c>
      <c r="P463">
        <f t="shared" si="979"/>
        <v>-0.53371868978805614</v>
      </c>
      <c r="Q463">
        <f t="shared" si="980"/>
        <v>-81957.254635761419</v>
      </c>
      <c r="R463">
        <f t="shared" si="981"/>
        <v>2380909.2201415747</v>
      </c>
      <c r="S463">
        <f t="shared" si="982"/>
        <v>23.809092201415748</v>
      </c>
      <c r="T463">
        <f t="shared" si="983"/>
        <v>2.3809092201415749E-2</v>
      </c>
    </row>
    <row r="464" spans="1:20" x14ac:dyDescent="0.25">
      <c r="A464" s="5">
        <v>44129</v>
      </c>
      <c r="B464">
        <v>129.30000000000001</v>
      </c>
      <c r="C464">
        <v>134.24</v>
      </c>
      <c r="D464">
        <v>127.83</v>
      </c>
      <c r="E464">
        <v>131.08000000000001</v>
      </c>
      <c r="F464">
        <v>90654.939060000004</v>
      </c>
      <c r="G464">
        <v>0</v>
      </c>
      <c r="L464" t="s">
        <v>8</v>
      </c>
      <c r="M464" t="s">
        <v>7</v>
      </c>
      <c r="N464" t="s">
        <v>8</v>
      </c>
      <c r="P464">
        <f t="shared" si="979"/>
        <v>1.4040561622467624E-2</v>
      </c>
      <c r="Q464">
        <f t="shared" si="980"/>
        <v>1272.8462582529773</v>
      </c>
      <c r="R464">
        <f t="shared" si="981"/>
        <v>2462866.4747773362</v>
      </c>
      <c r="S464">
        <f t="shared" si="982"/>
        <v>24.628664747773364</v>
      </c>
      <c r="T464">
        <f t="shared" si="983"/>
        <v>2.4628664747773362E-2</v>
      </c>
    </row>
    <row r="465" spans="1:20" x14ac:dyDescent="0.25">
      <c r="A465" s="5">
        <v>44128</v>
      </c>
      <c r="B465">
        <v>127.47</v>
      </c>
      <c r="C465">
        <v>130</v>
      </c>
      <c r="D465">
        <v>125.26</v>
      </c>
      <c r="E465">
        <v>129.31</v>
      </c>
      <c r="F465">
        <v>70316.553929999995</v>
      </c>
      <c r="G465">
        <v>0</v>
      </c>
      <c r="L465" t="s">
        <v>8</v>
      </c>
      <c r="M465" t="s">
        <v>7</v>
      </c>
      <c r="N465" t="s">
        <v>8</v>
      </c>
      <c r="P465">
        <f t="shared" si="979"/>
        <v>0.70886075949367156</v>
      </c>
      <c r="Q465">
        <f t="shared" si="980"/>
        <v>49844.645823797509</v>
      </c>
      <c r="R465">
        <f t="shared" si="981"/>
        <v>2461593.6285190834</v>
      </c>
      <c r="S465">
        <f t="shared" si="982"/>
        <v>24.615936285190834</v>
      </c>
      <c r="T465">
        <f t="shared" si="983"/>
        <v>2.4615936285190834E-2</v>
      </c>
    </row>
    <row r="466" spans="1:20" x14ac:dyDescent="0.25">
      <c r="A466" s="5">
        <v>44127</v>
      </c>
      <c r="B466">
        <v>127.62</v>
      </c>
      <c r="C466">
        <v>127.66</v>
      </c>
      <c r="D466">
        <v>122.41</v>
      </c>
      <c r="E466">
        <v>127.47</v>
      </c>
      <c r="F466">
        <v>79621.903359999997</v>
      </c>
      <c r="G466">
        <v>0</v>
      </c>
      <c r="L466" t="s">
        <v>8</v>
      </c>
      <c r="M466" t="s">
        <v>7</v>
      </c>
      <c r="N466" t="s">
        <v>8</v>
      </c>
      <c r="P466">
        <f t="shared" si="979"/>
        <v>0.92761904761904845</v>
      </c>
      <c r="Q466">
        <f t="shared" si="980"/>
        <v>73858.794164419116</v>
      </c>
      <c r="R466">
        <f t="shared" si="981"/>
        <v>2411748.9826952857</v>
      </c>
      <c r="S466">
        <f t="shared" si="982"/>
        <v>24.117489826952855</v>
      </c>
      <c r="T466">
        <f t="shared" si="983"/>
        <v>2.4117489826952856E-2</v>
      </c>
    </row>
    <row r="467" spans="1:20" x14ac:dyDescent="0.25">
      <c r="A467" s="5">
        <v>44126</v>
      </c>
      <c r="B467">
        <v>121.23</v>
      </c>
      <c r="C467">
        <v>129.68</v>
      </c>
      <c r="D467">
        <v>119.2</v>
      </c>
      <c r="E467">
        <v>127.6</v>
      </c>
      <c r="F467">
        <v>124422.52619</v>
      </c>
      <c r="G467">
        <v>0</v>
      </c>
      <c r="L467" t="s">
        <v>8</v>
      </c>
      <c r="M467" t="s">
        <v>7</v>
      </c>
      <c r="N467" t="s">
        <v>8</v>
      </c>
      <c r="P467">
        <f t="shared" si="979"/>
        <v>0.6030534351145016</v>
      </c>
      <c r="Q467">
        <f t="shared" si="980"/>
        <v>75033.431824503539</v>
      </c>
      <c r="R467">
        <f t="shared" si="981"/>
        <v>2337890.1885308665</v>
      </c>
      <c r="S467">
        <f t="shared" si="982"/>
        <v>23.378901885308665</v>
      </c>
      <c r="T467">
        <f t="shared" si="983"/>
        <v>2.3378901885308664E-2</v>
      </c>
    </row>
    <row r="468" spans="1:20" x14ac:dyDescent="0.25">
      <c r="A468" s="5">
        <v>44125</v>
      </c>
      <c r="B468">
        <v>118.25</v>
      </c>
      <c r="C468">
        <v>126.35</v>
      </c>
      <c r="D468">
        <v>116.55</v>
      </c>
      <c r="E468">
        <v>121.24</v>
      </c>
      <c r="F468">
        <v>137501.44443999999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-4.2857142857143045E-2</v>
      </c>
      <c r="Q468">
        <f t="shared" si="980"/>
        <v>-5892.919047428597</v>
      </c>
      <c r="R468">
        <f t="shared" si="981"/>
        <v>2262856.7567063631</v>
      </c>
      <c r="S468">
        <f t="shared" si="982"/>
        <v>22.62856756706363</v>
      </c>
      <c r="T468">
        <f t="shared" si="983"/>
        <v>2.2628567567063631E-2</v>
      </c>
    </row>
    <row r="469" spans="1:20" x14ac:dyDescent="0.25">
      <c r="A469" s="5">
        <v>44124</v>
      </c>
      <c r="B469">
        <v>125.74</v>
      </c>
      <c r="C469">
        <v>127.24</v>
      </c>
      <c r="D469">
        <v>117.15</v>
      </c>
      <c r="E469">
        <v>118.25</v>
      </c>
      <c r="F469">
        <v>136324.6678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-0.78196233894945577</v>
      </c>
      <c r="Q469">
        <f t="shared" si="980"/>
        <v>-106600.75608939555</v>
      </c>
      <c r="R469">
        <f t="shared" si="981"/>
        <v>2268749.6757537918</v>
      </c>
      <c r="S469">
        <f t="shared" si="982"/>
        <v>22.687496757537918</v>
      </c>
      <c r="T469">
        <f t="shared" si="983"/>
        <v>2.2687496757537919E-2</v>
      </c>
    </row>
    <row r="470" spans="1:20" x14ac:dyDescent="0.25">
      <c r="A470" s="5">
        <v>44123</v>
      </c>
      <c r="B470">
        <v>124.37</v>
      </c>
      <c r="C470">
        <v>130.32</v>
      </c>
      <c r="D470">
        <v>122.48</v>
      </c>
      <c r="E470">
        <v>125.77</v>
      </c>
      <c r="F470">
        <v>129739.70769</v>
      </c>
      <c r="G470">
        <v>0</v>
      </c>
      <c r="L470" t="s">
        <v>8</v>
      </c>
      <c r="M470" t="s">
        <v>7</v>
      </c>
      <c r="N470" t="s">
        <v>8</v>
      </c>
      <c r="P470">
        <f t="shared" si="979"/>
        <v>-0.16071428571428659</v>
      </c>
      <c r="Q470">
        <f t="shared" si="980"/>
        <v>-20851.024450178684</v>
      </c>
      <c r="R470">
        <f t="shared" si="981"/>
        <v>2375350.4318431872</v>
      </c>
      <c r="S470">
        <f t="shared" si="982"/>
        <v>23.753504318431872</v>
      </c>
      <c r="T470">
        <f t="shared" si="983"/>
        <v>2.3753504318431873E-2</v>
      </c>
    </row>
    <row r="471" spans="1:20" x14ac:dyDescent="0.25">
      <c r="A471" s="5">
        <v>44122</v>
      </c>
      <c r="B471">
        <v>120.09</v>
      </c>
      <c r="C471">
        <v>124.51</v>
      </c>
      <c r="D471">
        <v>119.91</v>
      </c>
      <c r="E471">
        <v>124.44</v>
      </c>
      <c r="F471">
        <v>53838.038460000003</v>
      </c>
      <c r="G471">
        <v>0</v>
      </c>
      <c r="L471" t="s">
        <v>7</v>
      </c>
      <c r="M471" t="s">
        <v>7</v>
      </c>
      <c r="N471" t="s">
        <v>8</v>
      </c>
      <c r="P471">
        <f t="shared" si="979"/>
        <v>0.96956521739130119</v>
      </c>
      <c r="Q471">
        <f t="shared" si="980"/>
        <v>52199.489463391139</v>
      </c>
      <c r="R471">
        <f t="shared" si="981"/>
        <v>2396201.4562933659</v>
      </c>
      <c r="S471">
        <f t="shared" si="982"/>
        <v>23.96201456293366</v>
      </c>
      <c r="T471">
        <f t="shared" si="983"/>
        <v>2.3962014562933662E-2</v>
      </c>
    </row>
    <row r="472" spans="1:20" x14ac:dyDescent="0.25">
      <c r="A472" s="5">
        <v>44121</v>
      </c>
      <c r="B472">
        <v>120.62</v>
      </c>
      <c r="C472">
        <v>122.84</v>
      </c>
      <c r="D472">
        <v>118.92</v>
      </c>
      <c r="E472">
        <v>120.1</v>
      </c>
      <c r="F472">
        <v>65370.146009999997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-0.39795918367347344</v>
      </c>
      <c r="Q472">
        <f t="shared" si="980"/>
        <v>-26014.649942755364</v>
      </c>
      <c r="R472">
        <f t="shared" si="981"/>
        <v>2344001.9668299747</v>
      </c>
      <c r="S472">
        <f t="shared" si="982"/>
        <v>23.440019668299747</v>
      </c>
      <c r="T472">
        <f t="shared" si="983"/>
        <v>2.3440019668299748E-2</v>
      </c>
    </row>
    <row r="473" spans="1:20" x14ac:dyDescent="0.25">
      <c r="A473" s="5">
        <v>44120</v>
      </c>
      <c r="B473">
        <v>130.22</v>
      </c>
      <c r="C473">
        <v>135.01</v>
      </c>
      <c r="D473">
        <v>119.01</v>
      </c>
      <c r="E473">
        <v>120.62</v>
      </c>
      <c r="F473">
        <v>155249.71658000001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-0.79874999999999985</v>
      </c>
      <c r="Q473">
        <f t="shared" si="980"/>
        <v>-124005.71111827498</v>
      </c>
      <c r="R473">
        <f t="shared" si="981"/>
        <v>2370016.6167727299</v>
      </c>
      <c r="S473">
        <f t="shared" si="982"/>
        <v>23.7001661677273</v>
      </c>
      <c r="T473">
        <f t="shared" si="983"/>
        <v>2.3700166167727299E-2</v>
      </c>
    </row>
    <row r="474" spans="1:20" x14ac:dyDescent="0.25">
      <c r="A474" s="5">
        <v>44119</v>
      </c>
      <c r="B474">
        <v>128.44</v>
      </c>
      <c r="C474">
        <v>132.44999999999999</v>
      </c>
      <c r="D474">
        <v>123.55</v>
      </c>
      <c r="E474">
        <v>130.22</v>
      </c>
      <c r="F474">
        <v>120962.85721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0.49887640449438386</v>
      </c>
      <c r="Q474">
        <f t="shared" si="980"/>
        <v>60345.515282292356</v>
      </c>
      <c r="R474">
        <f t="shared" si="981"/>
        <v>2494022.3278910047</v>
      </c>
      <c r="S474">
        <f t="shared" si="982"/>
        <v>24.940223278910047</v>
      </c>
      <c r="T474">
        <f t="shared" si="983"/>
        <v>2.4940223278910045E-2</v>
      </c>
    </row>
    <row r="475" spans="1:20" x14ac:dyDescent="0.25">
      <c r="A475" s="5">
        <v>44118</v>
      </c>
      <c r="B475">
        <v>127.9</v>
      </c>
      <c r="C475">
        <v>133.80000000000001</v>
      </c>
      <c r="D475">
        <v>125</v>
      </c>
      <c r="E475">
        <v>128.41</v>
      </c>
      <c r="F475">
        <v>152115.52296</v>
      </c>
      <c r="G475">
        <v>0</v>
      </c>
      <c r="L475" t="s">
        <v>8</v>
      </c>
      <c r="M475" t="s">
        <v>7</v>
      </c>
      <c r="N475" t="s">
        <v>8</v>
      </c>
      <c r="P475">
        <f t="shared" si="979"/>
        <v>-0.22500000000000178</v>
      </c>
      <c r="Q475">
        <f t="shared" si="980"/>
        <v>-34225.992666000275</v>
      </c>
      <c r="R475">
        <f t="shared" si="981"/>
        <v>2433676.8126087124</v>
      </c>
      <c r="S475">
        <f t="shared" si="982"/>
        <v>24.336768126087122</v>
      </c>
      <c r="T475">
        <f t="shared" si="983"/>
        <v>2.4336768126087122E-2</v>
      </c>
    </row>
    <row r="476" spans="1:20" x14ac:dyDescent="0.25">
      <c r="A476" s="5">
        <v>44117</v>
      </c>
      <c r="B476">
        <v>129</v>
      </c>
      <c r="C476">
        <v>131.91</v>
      </c>
      <c r="D476">
        <v>123.48</v>
      </c>
      <c r="E476">
        <v>127.97</v>
      </c>
      <c r="F476">
        <v>143964.68320999999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6.5243179122182401E-2</v>
      </c>
      <c r="Q476">
        <f t="shared" si="980"/>
        <v>9392.7136139382746</v>
      </c>
      <c r="R476">
        <f t="shared" si="981"/>
        <v>2467902.8052747129</v>
      </c>
      <c r="S476">
        <f t="shared" si="982"/>
        <v>24.679028052747128</v>
      </c>
      <c r="T476">
        <f t="shared" si="983"/>
        <v>2.4679028052747128E-2</v>
      </c>
    </row>
    <row r="477" spans="1:20" x14ac:dyDescent="0.25">
      <c r="A477" s="5">
        <v>44116</v>
      </c>
      <c r="B477">
        <v>125.81</v>
      </c>
      <c r="C477">
        <v>147.41</v>
      </c>
      <c r="D477">
        <v>125.04</v>
      </c>
      <c r="E477">
        <v>129</v>
      </c>
      <c r="F477">
        <v>295707.60391000001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-0.64595440321859676</v>
      </c>
      <c r="Q477">
        <f t="shared" si="980"/>
        <v>-191013.62881088525</v>
      </c>
      <c r="R477">
        <f t="shared" si="981"/>
        <v>2458510.0916607748</v>
      </c>
      <c r="S477">
        <f t="shared" si="982"/>
        <v>24.585100916607747</v>
      </c>
      <c r="T477">
        <f t="shared" si="983"/>
        <v>2.4585100916607747E-2</v>
      </c>
    </row>
    <row r="478" spans="1:20" x14ac:dyDescent="0.25">
      <c r="A478" s="5">
        <v>44115</v>
      </c>
      <c r="B478">
        <v>115.81</v>
      </c>
      <c r="C478">
        <v>129.30000000000001</v>
      </c>
      <c r="D478">
        <v>115.39</v>
      </c>
      <c r="E478">
        <v>125.81</v>
      </c>
      <c r="F478">
        <v>169285.44180999999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0.49820273184759073</v>
      </c>
      <c r="Q478">
        <f t="shared" si="980"/>
        <v>84338.46957176835</v>
      </c>
      <c r="R478">
        <f t="shared" si="981"/>
        <v>2649523.7204716601</v>
      </c>
      <c r="S478">
        <f t="shared" si="982"/>
        <v>26.495237204716602</v>
      </c>
      <c r="T478">
        <f t="shared" si="983"/>
        <v>2.6495237204716603E-2</v>
      </c>
    </row>
    <row r="479" spans="1:20" x14ac:dyDescent="0.25">
      <c r="A479" s="5">
        <v>44114</v>
      </c>
      <c r="B479">
        <v>115.91</v>
      </c>
      <c r="C479">
        <v>118.79</v>
      </c>
      <c r="D479">
        <v>115.06</v>
      </c>
      <c r="E479">
        <v>115.88</v>
      </c>
      <c r="F479">
        <v>107677.61125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-0.56032171581769852</v>
      </c>
      <c r="Q479">
        <f t="shared" si="980"/>
        <v>-60334.103890751117</v>
      </c>
      <c r="R479">
        <f t="shared" si="981"/>
        <v>2565185.2508998918</v>
      </c>
      <c r="S479">
        <f t="shared" si="982"/>
        <v>25.651852508998918</v>
      </c>
      <c r="T479">
        <f t="shared" si="983"/>
        <v>2.5651852508998919E-2</v>
      </c>
    </row>
    <row r="480" spans="1:20" x14ac:dyDescent="0.25">
      <c r="A480" s="5">
        <v>44113</v>
      </c>
      <c r="B480">
        <v>111.3</v>
      </c>
      <c r="C480">
        <v>118.14</v>
      </c>
      <c r="D480">
        <v>108.35</v>
      </c>
      <c r="E480">
        <v>115.92</v>
      </c>
      <c r="F480">
        <v>190546.75779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0.54647599591419871</v>
      </c>
      <c r="Q480">
        <f t="shared" si="980"/>
        <v>104129.22923151185</v>
      </c>
      <c r="R480">
        <f t="shared" si="981"/>
        <v>2625519.3547906429</v>
      </c>
      <c r="S480">
        <f t="shared" si="982"/>
        <v>26.25519354790643</v>
      </c>
      <c r="T480">
        <f t="shared" si="983"/>
        <v>2.6255193547906428E-2</v>
      </c>
    </row>
    <row r="481" spans="1:20" x14ac:dyDescent="0.25">
      <c r="A481" s="5">
        <v>44112</v>
      </c>
      <c r="B481">
        <v>110.27</v>
      </c>
      <c r="C481">
        <v>112.93</v>
      </c>
      <c r="D481">
        <v>107.49</v>
      </c>
      <c r="E481">
        <v>111.36</v>
      </c>
      <c r="F481">
        <v>168156.87447000001</v>
      </c>
      <c r="G481">
        <v>0</v>
      </c>
      <c r="L481" t="s">
        <v>8</v>
      </c>
      <c r="M481" t="s">
        <v>8</v>
      </c>
      <c r="N481" t="s">
        <v>8</v>
      </c>
      <c r="P481">
        <f t="shared" si="979"/>
        <v>0.42279411764705738</v>
      </c>
      <c r="Q481">
        <f t="shared" si="980"/>
        <v>71095.737367830647</v>
      </c>
      <c r="R481">
        <f t="shared" si="981"/>
        <v>2521390.1255591311</v>
      </c>
      <c r="S481">
        <f t="shared" si="982"/>
        <v>25.21390125559131</v>
      </c>
      <c r="T481">
        <f t="shared" si="983"/>
        <v>2.5213901255591309E-2</v>
      </c>
    </row>
    <row r="482" spans="1:20" x14ac:dyDescent="0.25">
      <c r="A482" s="5">
        <v>44111</v>
      </c>
      <c r="B482">
        <v>106.44</v>
      </c>
      <c r="C482">
        <v>112.89</v>
      </c>
      <c r="D482">
        <v>102.15</v>
      </c>
      <c r="E482">
        <v>110.29</v>
      </c>
      <c r="F482">
        <v>182143.74304</v>
      </c>
      <c r="G482">
        <v>0</v>
      </c>
      <c r="L482" t="s">
        <v>7</v>
      </c>
      <c r="M482" t="s">
        <v>8</v>
      </c>
      <c r="N482" t="s">
        <v>8</v>
      </c>
      <c r="P482">
        <f t="shared" si="979"/>
        <v>0.51582867783985187</v>
      </c>
      <c r="Q482">
        <f t="shared" si="980"/>
        <v>93954.966149124928</v>
      </c>
      <c r="R482">
        <f t="shared" si="981"/>
        <v>2450294.3881913004</v>
      </c>
      <c r="S482">
        <f t="shared" si="982"/>
        <v>24.502943881913005</v>
      </c>
      <c r="T482">
        <f t="shared" si="983"/>
        <v>2.4502943881913004E-2</v>
      </c>
    </row>
    <row r="483" spans="1:20" x14ac:dyDescent="0.25">
      <c r="A483" s="5">
        <v>44110</v>
      </c>
      <c r="B483">
        <v>112.78</v>
      </c>
      <c r="C483">
        <v>113.89</v>
      </c>
      <c r="D483">
        <v>105.31</v>
      </c>
      <c r="E483">
        <v>106.43</v>
      </c>
      <c r="F483">
        <v>180700.12474</v>
      </c>
      <c r="G483">
        <v>0</v>
      </c>
      <c r="L483" t="s">
        <v>7</v>
      </c>
      <c r="M483" t="s">
        <v>8</v>
      </c>
      <c r="N483" t="s">
        <v>8</v>
      </c>
      <c r="P483">
        <f t="shared" si="979"/>
        <v>-0.73892773892773778</v>
      </c>
      <c r="Q483">
        <f t="shared" si="980"/>
        <v>-133524.33459808838</v>
      </c>
      <c r="R483">
        <f t="shared" si="981"/>
        <v>2356339.4220421757</v>
      </c>
      <c r="S483">
        <f t="shared" si="982"/>
        <v>23.563394220421756</v>
      </c>
      <c r="T483">
        <f t="shared" si="983"/>
        <v>2.3563394220421755E-2</v>
      </c>
    </row>
    <row r="484" spans="1:20" x14ac:dyDescent="0.25">
      <c r="A484" s="5">
        <v>44109</v>
      </c>
      <c r="B484">
        <v>105.46</v>
      </c>
      <c r="C484">
        <v>114.52</v>
      </c>
      <c r="D484">
        <v>104.11</v>
      </c>
      <c r="E484">
        <v>112.73</v>
      </c>
      <c r="F484">
        <v>145697.92787000001</v>
      </c>
      <c r="G484">
        <v>0</v>
      </c>
      <c r="L484" t="s">
        <v>8</v>
      </c>
      <c r="M484" t="s">
        <v>8</v>
      </c>
      <c r="N484" t="s">
        <v>8</v>
      </c>
      <c r="P484">
        <f t="shared" si="979"/>
        <v>0.65609990393852202</v>
      </c>
      <c r="Q484">
        <f t="shared" si="980"/>
        <v>95592.396479548726</v>
      </c>
      <c r="R484">
        <f t="shared" si="981"/>
        <v>2489863.7566402638</v>
      </c>
      <c r="S484">
        <f t="shared" si="982"/>
        <v>24.898637566402638</v>
      </c>
      <c r="T484">
        <f t="shared" si="983"/>
        <v>2.4898637566402638E-2</v>
      </c>
    </row>
    <row r="485" spans="1:20" x14ac:dyDescent="0.25">
      <c r="A485" s="5">
        <v>44108</v>
      </c>
      <c r="B485">
        <v>103.56</v>
      </c>
      <c r="C485">
        <v>109.45</v>
      </c>
      <c r="D485">
        <v>101.23</v>
      </c>
      <c r="E485">
        <v>105.46</v>
      </c>
      <c r="F485">
        <v>95787.399130000005</v>
      </c>
      <c r="G485">
        <v>0</v>
      </c>
      <c r="L485" t="s">
        <v>8</v>
      </c>
      <c r="M485" t="s">
        <v>8</v>
      </c>
      <c r="N485" t="s">
        <v>8</v>
      </c>
      <c r="P485">
        <f t="shared" si="979"/>
        <v>2.9197080291968457E-2</v>
      </c>
      <c r="Q485">
        <f t="shared" si="980"/>
        <v>2796.7123833574396</v>
      </c>
      <c r="R485">
        <f t="shared" si="981"/>
        <v>2394271.3601607149</v>
      </c>
      <c r="S485">
        <f t="shared" si="982"/>
        <v>23.942713601607149</v>
      </c>
      <c r="T485">
        <f t="shared" si="983"/>
        <v>2.394271360160715E-2</v>
      </c>
    </row>
    <row r="486" spans="1:20" x14ac:dyDescent="0.25">
      <c r="A486" s="5">
        <v>44107</v>
      </c>
      <c r="B486">
        <v>101.66</v>
      </c>
      <c r="C486">
        <v>103.99</v>
      </c>
      <c r="D486">
        <v>100.62</v>
      </c>
      <c r="E486">
        <v>103.58</v>
      </c>
      <c r="F486">
        <v>70280.389609999998</v>
      </c>
      <c r="G486">
        <v>0</v>
      </c>
      <c r="L486" t="s">
        <v>8</v>
      </c>
      <c r="M486" t="s">
        <v>8</v>
      </c>
      <c r="N486" t="s">
        <v>8</v>
      </c>
      <c r="P486">
        <f t="shared" si="979"/>
        <v>0.75667655786350285</v>
      </c>
      <c r="Q486">
        <f t="shared" si="980"/>
        <v>53179.523295400686</v>
      </c>
      <c r="R486">
        <f t="shared" si="981"/>
        <v>2391474.6477773576</v>
      </c>
      <c r="S486">
        <f t="shared" si="982"/>
        <v>23.914746477773576</v>
      </c>
      <c r="T486">
        <f t="shared" si="983"/>
        <v>2.3914746477773575E-2</v>
      </c>
    </row>
    <row r="487" spans="1:20" x14ac:dyDescent="0.25">
      <c r="A487" s="5">
        <v>44106</v>
      </c>
      <c r="B487">
        <v>103.86</v>
      </c>
      <c r="C487">
        <v>105.43</v>
      </c>
      <c r="D487">
        <v>93.52</v>
      </c>
      <c r="E487">
        <v>101.61</v>
      </c>
      <c r="F487">
        <v>184975.12765000001</v>
      </c>
      <c r="G487">
        <v>0</v>
      </c>
      <c r="L487" t="s">
        <v>7</v>
      </c>
      <c r="M487" t="s">
        <v>8</v>
      </c>
      <c r="N487" t="s">
        <v>8</v>
      </c>
      <c r="P487">
        <f t="shared" si="979"/>
        <v>0.35852225020990697</v>
      </c>
      <c r="Q487">
        <f t="shared" si="980"/>
        <v>66317.698997942789</v>
      </c>
      <c r="R487">
        <f t="shared" si="981"/>
        <v>2338295.1244819569</v>
      </c>
      <c r="S487">
        <f t="shared" si="982"/>
        <v>23.382951244819569</v>
      </c>
      <c r="T487">
        <f t="shared" si="983"/>
        <v>2.338295124481957E-2</v>
      </c>
    </row>
    <row r="488" spans="1:20" x14ac:dyDescent="0.25">
      <c r="A488" s="5">
        <v>44105</v>
      </c>
      <c r="B488">
        <v>108.6</v>
      </c>
      <c r="C488">
        <v>113.36</v>
      </c>
      <c r="D488">
        <v>101.43</v>
      </c>
      <c r="E488">
        <v>103.74</v>
      </c>
      <c r="F488">
        <v>270245.94693999999</v>
      </c>
      <c r="G488">
        <v>0</v>
      </c>
      <c r="L488" t="s">
        <v>8</v>
      </c>
      <c r="M488" t="s">
        <v>8</v>
      </c>
      <c r="N488" t="s">
        <v>8</v>
      </c>
      <c r="P488">
        <f t="shared" si="979"/>
        <v>-0.61274098910310315</v>
      </c>
      <c r="Q488">
        <f t="shared" si="980"/>
        <v>-165590.76882912032</v>
      </c>
      <c r="R488">
        <f t="shared" si="981"/>
        <v>2271977.4254840142</v>
      </c>
      <c r="S488">
        <f t="shared" si="982"/>
        <v>22.719774254840143</v>
      </c>
      <c r="T488">
        <f t="shared" si="983"/>
        <v>2.2719774254840144E-2</v>
      </c>
    </row>
    <row r="489" spans="1:20" x14ac:dyDescent="0.25">
      <c r="A489" s="5">
        <v>44104</v>
      </c>
      <c r="B489">
        <v>100.47</v>
      </c>
      <c r="C489">
        <v>110.47</v>
      </c>
      <c r="D489">
        <v>97.68</v>
      </c>
      <c r="E489">
        <v>108.6</v>
      </c>
      <c r="F489">
        <v>209871.01798999999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0.70758405003909219</v>
      </c>
      <c r="Q489">
        <f t="shared" si="980"/>
        <v>148501.38489519138</v>
      </c>
      <c r="R489">
        <f t="shared" si="981"/>
        <v>2437568.1943131345</v>
      </c>
      <c r="S489">
        <f t="shared" si="982"/>
        <v>24.375681943131344</v>
      </c>
      <c r="T489">
        <f t="shared" si="983"/>
        <v>2.4375681943131344E-2</v>
      </c>
    </row>
    <row r="490" spans="1:20" x14ac:dyDescent="0.25">
      <c r="A490" s="5">
        <v>44103</v>
      </c>
      <c r="B490">
        <v>95.11</v>
      </c>
      <c r="C490">
        <v>101.25</v>
      </c>
      <c r="D490">
        <v>94.25</v>
      </c>
      <c r="E490">
        <v>100.51</v>
      </c>
      <c r="F490">
        <v>111246.74874</v>
      </c>
      <c r="G490">
        <v>0</v>
      </c>
      <c r="L490" t="s">
        <v>8</v>
      </c>
      <c r="M490" t="s">
        <v>8</v>
      </c>
      <c r="N490" t="s">
        <v>8</v>
      </c>
      <c r="P490">
        <f t="shared" si="979"/>
        <v>0.78857142857143003</v>
      </c>
      <c r="Q490">
        <f t="shared" si="980"/>
        <v>87726.007577828728</v>
      </c>
      <c r="R490">
        <f t="shared" si="981"/>
        <v>2289066.809417943</v>
      </c>
      <c r="S490">
        <f t="shared" si="982"/>
        <v>22.890668094179428</v>
      </c>
      <c r="T490">
        <f t="shared" si="983"/>
        <v>2.2890668094179428E-2</v>
      </c>
    </row>
    <row r="491" spans="1:20" x14ac:dyDescent="0.25">
      <c r="A491" s="5">
        <v>44102</v>
      </c>
      <c r="B491">
        <v>97.14</v>
      </c>
      <c r="C491">
        <v>98.77</v>
      </c>
      <c r="D491">
        <v>94.43</v>
      </c>
      <c r="E491">
        <v>95.12</v>
      </c>
      <c r="F491">
        <v>91779.649879999997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-0.68202764976958552</v>
      </c>
      <c r="Q491">
        <f t="shared" si="980"/>
        <v>-62596.258904331822</v>
      </c>
      <c r="R491">
        <f t="shared" si="981"/>
        <v>2201340.8018401144</v>
      </c>
      <c r="S491">
        <f t="shared" si="982"/>
        <v>22.013408018401144</v>
      </c>
      <c r="T491">
        <f t="shared" si="983"/>
        <v>2.2013408018401143E-2</v>
      </c>
    </row>
    <row r="492" spans="1:20" x14ac:dyDescent="0.25">
      <c r="A492" s="5">
        <v>44101</v>
      </c>
      <c r="B492">
        <v>94.55</v>
      </c>
      <c r="C492">
        <v>100</v>
      </c>
      <c r="D492">
        <v>93.51</v>
      </c>
      <c r="E492">
        <v>97.09</v>
      </c>
      <c r="F492">
        <v>127456.86482</v>
      </c>
      <c r="G492">
        <v>0</v>
      </c>
      <c r="L492" t="s">
        <v>8</v>
      </c>
      <c r="M492" t="s">
        <v>8</v>
      </c>
      <c r="N492" t="s">
        <v>8</v>
      </c>
      <c r="P492">
        <f t="shared" si="979"/>
        <v>0.10323574730354426</v>
      </c>
      <c r="Q492">
        <f t="shared" si="980"/>
        <v>13158.104688659521</v>
      </c>
      <c r="R492">
        <f t="shared" si="981"/>
        <v>2263937.0607444462</v>
      </c>
      <c r="S492">
        <f t="shared" si="982"/>
        <v>22.639370607444462</v>
      </c>
      <c r="T492">
        <f t="shared" si="983"/>
        <v>2.2639370607444462E-2</v>
      </c>
    </row>
    <row r="493" spans="1:20" x14ac:dyDescent="0.25">
      <c r="A493" s="5">
        <v>44100</v>
      </c>
      <c r="B493">
        <v>92.97</v>
      </c>
      <c r="C493">
        <v>95.47</v>
      </c>
      <c r="D493">
        <v>92.24</v>
      </c>
      <c r="E493">
        <v>94.63</v>
      </c>
      <c r="F493">
        <v>61474.282899999998</v>
      </c>
      <c r="G493">
        <v>0</v>
      </c>
      <c r="L493" t="s">
        <v>8</v>
      </c>
      <c r="M493" t="s">
        <v>8</v>
      </c>
      <c r="N493" t="s">
        <v>8</v>
      </c>
      <c r="P493">
        <f t="shared" si="979"/>
        <v>0.47987616099071062</v>
      </c>
      <c r="Q493">
        <f t="shared" si="980"/>
        <v>29500.042877708889</v>
      </c>
      <c r="R493">
        <f t="shared" si="981"/>
        <v>2250778.9560557869</v>
      </c>
      <c r="S493">
        <f t="shared" si="982"/>
        <v>22.507789560557868</v>
      </c>
      <c r="T493">
        <f t="shared" si="983"/>
        <v>2.2507789560557868E-2</v>
      </c>
    </row>
    <row r="494" spans="1:20" x14ac:dyDescent="0.25">
      <c r="A494" s="5">
        <v>44099</v>
      </c>
      <c r="B494">
        <v>91.81</v>
      </c>
      <c r="C494">
        <v>94.22</v>
      </c>
      <c r="D494">
        <v>90.23</v>
      </c>
      <c r="E494">
        <v>92.93</v>
      </c>
      <c r="F494">
        <v>94929.663020000007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0.35338345864661969</v>
      </c>
      <c r="Q494">
        <f t="shared" si="980"/>
        <v>33546.572646165718</v>
      </c>
      <c r="R494">
        <f t="shared" si="981"/>
        <v>2221278.9131780779</v>
      </c>
      <c r="S494">
        <f t="shared" si="982"/>
        <v>22.212789131780777</v>
      </c>
      <c r="T494">
        <f t="shared" si="983"/>
        <v>2.2212789131780777E-2</v>
      </c>
    </row>
    <row r="495" spans="1:20" x14ac:dyDescent="0.25">
      <c r="A495" s="5">
        <v>44098</v>
      </c>
      <c r="B495">
        <v>87.2</v>
      </c>
      <c r="C495">
        <v>92.15</v>
      </c>
      <c r="D495">
        <v>86.56</v>
      </c>
      <c r="E495">
        <v>91.84</v>
      </c>
      <c r="F495">
        <v>89982.590840000004</v>
      </c>
      <c r="G495">
        <v>0</v>
      </c>
      <c r="L495" t="s">
        <v>7</v>
      </c>
      <c r="M495" t="s">
        <v>8</v>
      </c>
      <c r="N495" t="s">
        <v>8</v>
      </c>
      <c r="P495">
        <f t="shared" si="979"/>
        <v>0.88908765652951627</v>
      </c>
      <c r="Q495">
        <f t="shared" si="980"/>
        <v>80002.410818389922</v>
      </c>
      <c r="R495">
        <f t="shared" si="981"/>
        <v>2187732.3405319122</v>
      </c>
      <c r="S495">
        <f t="shared" si="982"/>
        <v>21.877323405319121</v>
      </c>
      <c r="T495">
        <f t="shared" si="983"/>
        <v>2.1877323405319123E-2</v>
      </c>
    </row>
    <row r="496" spans="1:20" x14ac:dyDescent="0.25">
      <c r="A496" s="5">
        <v>44097</v>
      </c>
      <c r="B496">
        <v>92.56</v>
      </c>
      <c r="C496">
        <v>94.17</v>
      </c>
      <c r="D496">
        <v>86.35</v>
      </c>
      <c r="E496">
        <v>87.17</v>
      </c>
      <c r="F496">
        <v>63910.229290000003</v>
      </c>
      <c r="G496">
        <v>0</v>
      </c>
      <c r="L496" t="s">
        <v>7</v>
      </c>
      <c r="M496" t="s">
        <v>8</v>
      </c>
      <c r="N496" t="s">
        <v>8</v>
      </c>
      <c r="P496">
        <f t="shared" si="979"/>
        <v>-0.79028132992327194</v>
      </c>
      <c r="Q496">
        <f t="shared" si="980"/>
        <v>-50507.060999002453</v>
      </c>
      <c r="R496">
        <f t="shared" si="981"/>
        <v>2107729.9297135221</v>
      </c>
      <c r="S496">
        <f t="shared" si="982"/>
        <v>21.07729929713522</v>
      </c>
      <c r="T496">
        <f t="shared" si="983"/>
        <v>2.107729929713522E-2</v>
      </c>
    </row>
    <row r="497" spans="1:20" x14ac:dyDescent="0.25">
      <c r="A497" s="5">
        <v>44096</v>
      </c>
      <c r="B497">
        <v>89.08</v>
      </c>
      <c r="C497">
        <v>97</v>
      </c>
      <c r="D497">
        <v>87.13</v>
      </c>
      <c r="E497">
        <v>92.56</v>
      </c>
      <c r="F497">
        <v>88291.063030000005</v>
      </c>
      <c r="G497">
        <v>0</v>
      </c>
      <c r="L497" t="s">
        <v>8</v>
      </c>
      <c r="M497" t="s">
        <v>8</v>
      </c>
      <c r="N497" t="s">
        <v>8</v>
      </c>
      <c r="P497">
        <f t="shared" si="979"/>
        <v>0.10030395136778203</v>
      </c>
      <c r="Q497">
        <f t="shared" si="980"/>
        <v>8855.9424923708975</v>
      </c>
      <c r="R497">
        <f t="shared" si="981"/>
        <v>2158236.9907125244</v>
      </c>
      <c r="S497">
        <f t="shared" si="982"/>
        <v>21.582369907125244</v>
      </c>
      <c r="T497">
        <f t="shared" si="983"/>
        <v>2.1582369907125244E-2</v>
      </c>
    </row>
    <row r="498" spans="1:20" x14ac:dyDescent="0.25">
      <c r="A498" s="5">
        <v>44095</v>
      </c>
      <c r="B498">
        <v>92.65</v>
      </c>
      <c r="C498">
        <v>94.51</v>
      </c>
      <c r="D498">
        <v>85.58</v>
      </c>
      <c r="E498">
        <v>89.13</v>
      </c>
      <c r="F498">
        <v>108979.82079</v>
      </c>
      <c r="G498">
        <v>0</v>
      </c>
      <c r="L498" t="s">
        <v>7</v>
      </c>
      <c r="M498" t="s">
        <v>8</v>
      </c>
      <c r="N498" t="s">
        <v>8</v>
      </c>
      <c r="P498">
        <f t="shared" si="979"/>
        <v>-0.20492721164613786</v>
      </c>
      <c r="Q498">
        <f t="shared" si="980"/>
        <v>-22332.930800190505</v>
      </c>
      <c r="R498">
        <f t="shared" si="981"/>
        <v>2149381.0482201534</v>
      </c>
      <c r="S498">
        <f t="shared" si="982"/>
        <v>21.493810482201535</v>
      </c>
      <c r="T498">
        <f t="shared" si="983"/>
        <v>2.1493810482201534E-2</v>
      </c>
    </row>
    <row r="499" spans="1:20" x14ac:dyDescent="0.25">
      <c r="A499" s="5">
        <v>44094</v>
      </c>
      <c r="B499">
        <v>94.55</v>
      </c>
      <c r="C499">
        <v>94.86</v>
      </c>
      <c r="D499">
        <v>90.47</v>
      </c>
      <c r="E499">
        <v>92.63</v>
      </c>
      <c r="F499">
        <v>46679.773990000002</v>
      </c>
      <c r="G499">
        <v>0</v>
      </c>
      <c r="L499" t="s">
        <v>8</v>
      </c>
      <c r="M499" t="s">
        <v>8</v>
      </c>
      <c r="N499" t="s">
        <v>8</v>
      </c>
      <c r="P499">
        <f t="shared" si="979"/>
        <v>-1.5945330296129243E-2</v>
      </c>
      <c r="Q499">
        <f t="shared" si="980"/>
        <v>-744.32441441921287</v>
      </c>
      <c r="R499">
        <f t="shared" si="981"/>
        <v>2171713.9790203441</v>
      </c>
      <c r="S499">
        <f t="shared" si="982"/>
        <v>21.71713979020344</v>
      </c>
      <c r="T499">
        <f t="shared" si="983"/>
        <v>2.1717139790203441E-2</v>
      </c>
    </row>
    <row r="500" spans="1:20" x14ac:dyDescent="0.25">
      <c r="A500" s="5">
        <v>44093</v>
      </c>
      <c r="B500">
        <v>92.49</v>
      </c>
      <c r="C500">
        <v>95.39</v>
      </c>
      <c r="D500">
        <v>91.39</v>
      </c>
      <c r="E500">
        <v>94.61</v>
      </c>
      <c r="F500">
        <v>45674.94371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0.60999999999999943</v>
      </c>
      <c r="Q500">
        <f t="shared" si="980"/>
        <v>27861.715663099974</v>
      </c>
      <c r="R500">
        <f t="shared" si="981"/>
        <v>2172458.3034347631</v>
      </c>
      <c r="S500">
        <f t="shared" si="982"/>
        <v>21.724583034347631</v>
      </c>
      <c r="T500">
        <f t="shared" si="983"/>
        <v>2.1724583034347631E-2</v>
      </c>
    </row>
    <row r="501" spans="1:20" x14ac:dyDescent="0.25">
      <c r="A501" s="5">
        <v>44092</v>
      </c>
      <c r="B501">
        <v>92.83</v>
      </c>
      <c r="C501">
        <v>95.14</v>
      </c>
      <c r="D501">
        <v>91.24</v>
      </c>
      <c r="E501">
        <v>92.47</v>
      </c>
      <c r="F501">
        <v>70538.076300000001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-0.36923076923076809</v>
      </c>
      <c r="Q501">
        <f t="shared" si="980"/>
        <v>-26044.828172307611</v>
      </c>
      <c r="R501">
        <f t="shared" si="981"/>
        <v>2144596.587771663</v>
      </c>
      <c r="S501">
        <f t="shared" si="982"/>
        <v>21.445965877716631</v>
      </c>
      <c r="T501">
        <f t="shared" si="983"/>
        <v>2.1445965877716629E-2</v>
      </c>
    </row>
    <row r="502" spans="1:20" x14ac:dyDescent="0.25">
      <c r="A502" s="5">
        <v>44091</v>
      </c>
      <c r="B502">
        <v>88.21</v>
      </c>
      <c r="C502">
        <v>94.04</v>
      </c>
      <c r="D502">
        <v>87.38</v>
      </c>
      <c r="E502">
        <v>92.82</v>
      </c>
      <c r="F502">
        <v>105027.98421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0.63363363363363034</v>
      </c>
      <c r="Q502">
        <f t="shared" si="980"/>
        <v>66549.263268197843</v>
      </c>
      <c r="R502">
        <f t="shared" si="981"/>
        <v>2170641.4159439704</v>
      </c>
      <c r="S502">
        <f t="shared" si="982"/>
        <v>21.706414159439703</v>
      </c>
      <c r="T502">
        <f t="shared" si="983"/>
        <v>2.1706414159439701E-2</v>
      </c>
    </row>
    <row r="503" spans="1:20" x14ac:dyDescent="0.25">
      <c r="A503" s="5">
        <v>44090</v>
      </c>
      <c r="B503">
        <v>91.18</v>
      </c>
      <c r="C503">
        <v>92.76</v>
      </c>
      <c r="D503">
        <v>87.11</v>
      </c>
      <c r="E503">
        <v>88.27</v>
      </c>
      <c r="F503">
        <v>80232.1492</v>
      </c>
      <c r="G503">
        <v>0</v>
      </c>
      <c r="L503" t="s">
        <v>7</v>
      </c>
      <c r="M503" t="s">
        <v>8</v>
      </c>
      <c r="N503" t="s">
        <v>8</v>
      </c>
      <c r="P503">
        <f t="shared" si="979"/>
        <v>-0.589380530973453</v>
      </c>
      <c r="Q503">
        <f t="shared" si="980"/>
        <v>-47287.2666966373</v>
      </c>
      <c r="R503">
        <f t="shared" si="981"/>
        <v>2104092.1526757726</v>
      </c>
      <c r="S503">
        <f t="shared" si="982"/>
        <v>21.040921526757725</v>
      </c>
      <c r="T503">
        <f t="shared" si="983"/>
        <v>2.1040921526757725E-2</v>
      </c>
    </row>
    <row r="504" spans="1:20" x14ac:dyDescent="0.25">
      <c r="A504" s="5">
        <v>44089</v>
      </c>
      <c r="B504">
        <v>91.68</v>
      </c>
      <c r="C504">
        <v>93.17</v>
      </c>
      <c r="D504">
        <v>88.01</v>
      </c>
      <c r="E504">
        <v>91.16</v>
      </c>
      <c r="F504">
        <v>105692.90687000001</v>
      </c>
      <c r="G504">
        <v>0</v>
      </c>
      <c r="L504" t="s">
        <v>7</v>
      </c>
      <c r="M504" t="s">
        <v>8</v>
      </c>
      <c r="N504" t="s">
        <v>8</v>
      </c>
      <c r="P504">
        <f t="shared" si="979"/>
        <v>0.22093023255813704</v>
      </c>
      <c r="Q504">
        <f t="shared" si="980"/>
        <v>23350.758494534621</v>
      </c>
      <c r="R504">
        <f t="shared" si="981"/>
        <v>2151379.41937241</v>
      </c>
      <c r="S504">
        <f t="shared" si="982"/>
        <v>21.513794193724099</v>
      </c>
      <c r="T504">
        <f t="shared" si="983"/>
        <v>2.1513794193724099E-2</v>
      </c>
    </row>
    <row r="505" spans="1:20" x14ac:dyDescent="0.25">
      <c r="A505" s="5">
        <v>44088</v>
      </c>
      <c r="B505">
        <v>86.17</v>
      </c>
      <c r="C505">
        <v>95.2</v>
      </c>
      <c r="D505">
        <v>84.31</v>
      </c>
      <c r="E505">
        <v>91.68</v>
      </c>
      <c r="F505">
        <v>94332.205669999996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0.35353535353535431</v>
      </c>
      <c r="Q505">
        <f t="shared" si="980"/>
        <v>33349.769681313206</v>
      </c>
      <c r="R505">
        <f t="shared" si="981"/>
        <v>2128028.6608778755</v>
      </c>
      <c r="S505">
        <f t="shared" si="982"/>
        <v>21.280286608778756</v>
      </c>
      <c r="T505">
        <f t="shared" si="983"/>
        <v>2.1280286608778756E-2</v>
      </c>
    </row>
    <row r="506" spans="1:20" x14ac:dyDescent="0.25">
      <c r="A506" s="5">
        <v>44087</v>
      </c>
      <c r="B506">
        <v>86.72</v>
      </c>
      <c r="C506">
        <v>90.1</v>
      </c>
      <c r="D506">
        <v>85.04</v>
      </c>
      <c r="E506">
        <v>86.18</v>
      </c>
      <c r="F506">
        <v>105709.03827999999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-0.54940711462450464</v>
      </c>
      <c r="Q506">
        <f t="shared" si="980"/>
        <v>-58077.297711146108</v>
      </c>
      <c r="R506">
        <f t="shared" si="981"/>
        <v>2094678.8911965624</v>
      </c>
      <c r="S506">
        <f t="shared" si="982"/>
        <v>20.946788911965623</v>
      </c>
      <c r="T506">
        <f t="shared" si="983"/>
        <v>2.0946788911965622E-2</v>
      </c>
    </row>
    <row r="507" spans="1:20" x14ac:dyDescent="0.25">
      <c r="A507" s="5">
        <v>44086</v>
      </c>
      <c r="B507">
        <v>84.02</v>
      </c>
      <c r="C507">
        <v>87.15</v>
      </c>
      <c r="D507">
        <v>82.97</v>
      </c>
      <c r="E507">
        <v>86.7</v>
      </c>
      <c r="F507">
        <v>61834.590490000002</v>
      </c>
      <c r="G507">
        <v>0</v>
      </c>
      <c r="L507" t="s">
        <v>8</v>
      </c>
      <c r="M507" t="s">
        <v>7</v>
      </c>
      <c r="N507" t="s">
        <v>8</v>
      </c>
      <c r="P507">
        <f t="shared" si="979"/>
        <v>0.78468899521530999</v>
      </c>
      <c r="Q507">
        <f t="shared" si="980"/>
        <v>48520.922681148266</v>
      </c>
      <c r="R507">
        <f t="shared" si="981"/>
        <v>2152756.1889077085</v>
      </c>
      <c r="S507">
        <f t="shared" si="982"/>
        <v>21.527561889077084</v>
      </c>
      <c r="T507">
        <f t="shared" si="983"/>
        <v>2.1527561889077083E-2</v>
      </c>
    </row>
    <row r="508" spans="1:20" x14ac:dyDescent="0.25">
      <c r="A508" s="5">
        <v>44085</v>
      </c>
      <c r="B508">
        <v>85.61</v>
      </c>
      <c r="C508">
        <v>85.92</v>
      </c>
      <c r="D508">
        <v>83</v>
      </c>
      <c r="E508">
        <v>83.95</v>
      </c>
      <c r="F508">
        <v>52768.45523</v>
      </c>
      <c r="G508">
        <v>0</v>
      </c>
      <c r="L508" t="s">
        <v>8</v>
      </c>
      <c r="M508" t="s">
        <v>7</v>
      </c>
      <c r="N508" t="s">
        <v>8</v>
      </c>
      <c r="P508">
        <f t="shared" si="979"/>
        <v>-0.34931506849314914</v>
      </c>
      <c r="Q508">
        <f t="shared" si="980"/>
        <v>-18432.816552945125</v>
      </c>
      <c r="R508">
        <f t="shared" si="981"/>
        <v>2104235.2662265603</v>
      </c>
      <c r="S508">
        <f t="shared" si="982"/>
        <v>21.042352662265603</v>
      </c>
      <c r="T508">
        <f t="shared" si="983"/>
        <v>2.1042352662265604E-2</v>
      </c>
    </row>
    <row r="509" spans="1:20" x14ac:dyDescent="0.25">
      <c r="A509" s="5">
        <v>44084</v>
      </c>
      <c r="B509">
        <v>84.27</v>
      </c>
      <c r="C509">
        <v>86.44</v>
      </c>
      <c r="D509">
        <v>83.9</v>
      </c>
      <c r="E509">
        <v>85.61</v>
      </c>
      <c r="F509">
        <v>71822.288870000004</v>
      </c>
      <c r="G509">
        <v>0</v>
      </c>
      <c r="L509" t="s">
        <v>8</v>
      </c>
      <c r="M509" t="s">
        <v>7</v>
      </c>
      <c r="N509" t="s">
        <v>8</v>
      </c>
      <c r="P509">
        <f t="shared" si="979"/>
        <v>0.3464566929133851</v>
      </c>
      <c r="Q509">
        <f t="shared" si="980"/>
        <v>24883.312679370028</v>
      </c>
      <c r="R509">
        <f t="shared" si="981"/>
        <v>2122668.0827795053</v>
      </c>
      <c r="S509">
        <f t="shared" si="982"/>
        <v>21.226680827795054</v>
      </c>
      <c r="T509">
        <f t="shared" si="983"/>
        <v>2.1226680827795052E-2</v>
      </c>
    </row>
    <row r="510" spans="1:20" x14ac:dyDescent="0.25">
      <c r="A510" s="5">
        <v>44083</v>
      </c>
      <c r="B510">
        <v>84.11</v>
      </c>
      <c r="C510">
        <v>85.87</v>
      </c>
      <c r="D510">
        <v>82.2</v>
      </c>
      <c r="E510">
        <v>84.26</v>
      </c>
      <c r="F510">
        <v>81912.870139999999</v>
      </c>
      <c r="G510">
        <v>0</v>
      </c>
      <c r="L510" t="s">
        <v>8</v>
      </c>
      <c r="M510" t="s">
        <v>7</v>
      </c>
      <c r="N510" t="s">
        <v>8</v>
      </c>
      <c r="P510">
        <f t="shared" si="979"/>
        <v>0.12261580381471461</v>
      </c>
      <c r="Q510">
        <f t="shared" si="980"/>
        <v>10043.812414986434</v>
      </c>
      <c r="R510">
        <f t="shared" si="981"/>
        <v>2097784.7701001354</v>
      </c>
      <c r="S510">
        <f t="shared" si="982"/>
        <v>20.977847701001355</v>
      </c>
      <c r="T510">
        <f t="shared" si="983"/>
        <v>2.0977847701001355E-2</v>
      </c>
    </row>
    <row r="511" spans="1:20" x14ac:dyDescent="0.25">
      <c r="A511" s="5">
        <v>44082</v>
      </c>
      <c r="B511">
        <v>82.56</v>
      </c>
      <c r="C511">
        <v>84.89</v>
      </c>
      <c r="D511">
        <v>78.62</v>
      </c>
      <c r="E511">
        <v>84.19</v>
      </c>
      <c r="F511">
        <v>134249.50508</v>
      </c>
      <c r="G511">
        <v>0</v>
      </c>
      <c r="L511" t="s">
        <v>8</v>
      </c>
      <c r="M511" t="s">
        <v>7</v>
      </c>
      <c r="N511" t="s">
        <v>8</v>
      </c>
      <c r="P511">
        <f t="shared" si="979"/>
        <v>0.7767145135566178</v>
      </c>
      <c r="Q511">
        <f t="shared" si="980"/>
        <v>104273.5390334289</v>
      </c>
      <c r="R511">
        <f t="shared" si="981"/>
        <v>2087740.9576851488</v>
      </c>
      <c r="S511">
        <f t="shared" si="982"/>
        <v>20.877409576851488</v>
      </c>
      <c r="T511">
        <f t="shared" si="983"/>
        <v>2.0877409576851486E-2</v>
      </c>
    </row>
    <row r="512" spans="1:20" x14ac:dyDescent="0.25">
      <c r="A512" s="5">
        <v>44081</v>
      </c>
      <c r="B512">
        <v>80.14</v>
      </c>
      <c r="C512">
        <v>82.99</v>
      </c>
      <c r="D512">
        <v>76.510000000000005</v>
      </c>
      <c r="E512">
        <v>82.56</v>
      </c>
      <c r="F512">
        <v>85441.171990000003</v>
      </c>
      <c r="G512">
        <v>0</v>
      </c>
      <c r="L512" t="s">
        <v>8</v>
      </c>
      <c r="M512" t="s">
        <v>7</v>
      </c>
      <c r="N512" t="s">
        <v>8</v>
      </c>
      <c r="P512">
        <f t="shared" si="979"/>
        <v>0.86728395061728603</v>
      </c>
      <c r="Q512">
        <f t="shared" si="980"/>
        <v>74101.757188858202</v>
      </c>
      <c r="R512">
        <f t="shared" si="981"/>
        <v>1983467.4186517198</v>
      </c>
      <c r="S512">
        <f t="shared" si="982"/>
        <v>19.834674186517198</v>
      </c>
      <c r="T512">
        <f t="shared" si="983"/>
        <v>1.9834674186517198E-2</v>
      </c>
    </row>
    <row r="513" spans="1:20" x14ac:dyDescent="0.25">
      <c r="A513" s="5">
        <v>44080</v>
      </c>
      <c r="B513">
        <v>77.709999999999994</v>
      </c>
      <c r="C513">
        <v>81.239999999999995</v>
      </c>
      <c r="D513">
        <v>75.11</v>
      </c>
      <c r="E513">
        <v>80.150000000000006</v>
      </c>
      <c r="F513">
        <v>77662.354019999999</v>
      </c>
      <c r="G513">
        <v>0</v>
      </c>
      <c r="L513" t="s">
        <v>8</v>
      </c>
      <c r="M513" t="s">
        <v>7</v>
      </c>
      <c r="N513" t="s">
        <v>8</v>
      </c>
      <c r="P513">
        <f t="shared" si="979"/>
        <v>0.64437194127243391</v>
      </c>
      <c r="Q513">
        <f t="shared" si="980"/>
        <v>50043.441823654408</v>
      </c>
      <c r="R513">
        <f t="shared" si="981"/>
        <v>1909365.6614628616</v>
      </c>
      <c r="S513">
        <f t="shared" si="982"/>
        <v>19.093656614628618</v>
      </c>
      <c r="T513">
        <f t="shared" si="983"/>
        <v>1.9093656614628616E-2</v>
      </c>
    </row>
    <row r="514" spans="1:20" x14ac:dyDescent="0.25">
      <c r="A514" s="5">
        <v>44079</v>
      </c>
      <c r="B514">
        <v>82.08</v>
      </c>
      <c r="C514">
        <v>83.6</v>
      </c>
      <c r="D514">
        <v>73.930000000000007</v>
      </c>
      <c r="E514">
        <v>77.709999999999994</v>
      </c>
      <c r="F514">
        <v>125666.23363</v>
      </c>
      <c r="G514">
        <v>0</v>
      </c>
      <c r="L514" t="s">
        <v>7</v>
      </c>
      <c r="M514" t="s">
        <v>7</v>
      </c>
      <c r="N514" t="s">
        <v>8</v>
      </c>
      <c r="P514">
        <f t="shared" si="979"/>
        <v>-0.21820062047569974</v>
      </c>
      <c r="Q514">
        <f t="shared" si="980"/>
        <v>-27420.450150910245</v>
      </c>
      <c r="R514">
        <f t="shared" si="981"/>
        <v>1859322.2196392072</v>
      </c>
      <c r="S514">
        <f t="shared" si="982"/>
        <v>18.593222196392073</v>
      </c>
      <c r="T514">
        <f t="shared" si="983"/>
        <v>1.8593222196392072E-2</v>
      </c>
    </row>
    <row r="515" spans="1:20" x14ac:dyDescent="0.25">
      <c r="A515" s="5">
        <v>44078</v>
      </c>
      <c r="B515">
        <v>77.11</v>
      </c>
      <c r="C515">
        <v>83.5</v>
      </c>
      <c r="D515">
        <v>76.040000000000006</v>
      </c>
      <c r="E515">
        <v>82.08</v>
      </c>
      <c r="F515">
        <v>122965.94512999999</v>
      </c>
      <c r="G515">
        <v>0</v>
      </c>
      <c r="L515" t="s">
        <v>8</v>
      </c>
      <c r="M515" t="s">
        <v>7</v>
      </c>
      <c r="N515" t="s">
        <v>8</v>
      </c>
      <c r="P515">
        <f t="shared" si="979"/>
        <v>0.61930294906166139</v>
      </c>
      <c r="Q515">
        <f t="shared" si="980"/>
        <v>76153.172453163439</v>
      </c>
      <c r="R515">
        <f t="shared" si="981"/>
        <v>1886742.6697901175</v>
      </c>
      <c r="S515">
        <f t="shared" si="982"/>
        <v>18.867426697901177</v>
      </c>
      <c r="T515">
        <f t="shared" si="983"/>
        <v>1.8867426697901177E-2</v>
      </c>
    </row>
    <row r="516" spans="1:20" x14ac:dyDescent="0.25">
      <c r="A516" s="5">
        <v>44077</v>
      </c>
      <c r="B516">
        <v>91.1</v>
      </c>
      <c r="C516">
        <v>91.59</v>
      </c>
      <c r="D516">
        <v>75.510000000000005</v>
      </c>
      <c r="E516">
        <v>77.099999999999994</v>
      </c>
      <c r="F516">
        <v>112692.99628000001</v>
      </c>
      <c r="G516">
        <v>0</v>
      </c>
      <c r="L516" t="s">
        <v>7</v>
      </c>
      <c r="M516" t="s">
        <v>7</v>
      </c>
      <c r="N516" t="s">
        <v>8</v>
      </c>
      <c r="P516">
        <f t="shared" si="979"/>
        <v>-0.80223880597015063</v>
      </c>
      <c r="Q516">
        <f t="shared" si="980"/>
        <v>-90406.694776865828</v>
      </c>
      <c r="R516">
        <f t="shared" si="981"/>
        <v>1810589.4973369541</v>
      </c>
      <c r="S516">
        <f t="shared" si="982"/>
        <v>18.105894973369541</v>
      </c>
      <c r="T516">
        <f t="shared" si="983"/>
        <v>1.8105894973369542E-2</v>
      </c>
    </row>
    <row r="517" spans="1:20" x14ac:dyDescent="0.25">
      <c r="A517" s="5">
        <v>44076</v>
      </c>
      <c r="B517">
        <v>96.96</v>
      </c>
      <c r="C517">
        <v>97.36</v>
      </c>
      <c r="D517">
        <v>88</v>
      </c>
      <c r="E517">
        <v>91.07</v>
      </c>
      <c r="F517">
        <v>108991.25095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-0.34401709401709546</v>
      </c>
      <c r="Q517">
        <f t="shared" si="980"/>
        <v>-37494.853425106994</v>
      </c>
      <c r="R517">
        <f t="shared" si="981"/>
        <v>1900996.19211382</v>
      </c>
      <c r="S517">
        <f t="shared" si="982"/>
        <v>19.009961921138199</v>
      </c>
      <c r="T517">
        <f t="shared" si="983"/>
        <v>1.9009961921138199E-2</v>
      </c>
    </row>
    <row r="518" spans="1:20" x14ac:dyDescent="0.25">
      <c r="A518" s="5">
        <v>44075</v>
      </c>
      <c r="B518">
        <v>93.14</v>
      </c>
      <c r="C518">
        <v>97.74</v>
      </c>
      <c r="D518">
        <v>91.5</v>
      </c>
      <c r="E518">
        <v>96.99</v>
      </c>
      <c r="F518">
        <v>100106.62347999999</v>
      </c>
      <c r="G518">
        <v>0</v>
      </c>
      <c r="L518" t="s">
        <v>8</v>
      </c>
      <c r="M518" t="s">
        <v>7</v>
      </c>
      <c r="N518" t="s">
        <v>8</v>
      </c>
      <c r="P518">
        <f t="shared" ref="P518:P581" si="984">IF(C518=D518,0,((E518-D518)-(C518-E518))/(C518-D518))</f>
        <v>0.75961538461538447</v>
      </c>
      <c r="Q518">
        <f t="shared" ref="Q518:Q581" si="985">F518*P518</f>
        <v>76042.53129730768</v>
      </c>
      <c r="R518">
        <f t="shared" ref="R518:R581" si="986">R519+Q518</f>
        <v>1938491.045538927</v>
      </c>
      <c r="S518">
        <f t="shared" ref="S518:S581" si="987">R518/100000</f>
        <v>19.384910455389271</v>
      </c>
      <c r="T518">
        <f t="shared" ref="T518:T581" si="988">S518/1000</f>
        <v>1.938491045538927E-2</v>
      </c>
    </row>
    <row r="519" spans="1:20" x14ac:dyDescent="0.25">
      <c r="A519" s="5">
        <v>44074</v>
      </c>
      <c r="B519">
        <v>96.24</v>
      </c>
      <c r="C519">
        <v>96.74</v>
      </c>
      <c r="D519">
        <v>93.05</v>
      </c>
      <c r="E519">
        <v>93.1</v>
      </c>
      <c r="F519">
        <v>61803.60686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-0.97289972899729149</v>
      </c>
      <c r="Q519">
        <f t="shared" si="985"/>
        <v>-60128.712365149142</v>
      </c>
      <c r="R519">
        <f t="shared" si="986"/>
        <v>1862448.5142416193</v>
      </c>
      <c r="S519">
        <f t="shared" si="987"/>
        <v>18.624485142416194</v>
      </c>
      <c r="T519">
        <f t="shared" si="988"/>
        <v>1.8624485142416193E-2</v>
      </c>
    </row>
    <row r="520" spans="1:20" x14ac:dyDescent="0.25">
      <c r="A520" s="5">
        <v>44073</v>
      </c>
      <c r="B520">
        <v>92.65</v>
      </c>
      <c r="C520">
        <v>96.36</v>
      </c>
      <c r="D520">
        <v>92.65</v>
      </c>
      <c r="E520">
        <v>96.25</v>
      </c>
      <c r="F520">
        <v>73926.9565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0.94070080862533711</v>
      </c>
      <c r="Q520">
        <f t="shared" si="985"/>
        <v>69543.147758760126</v>
      </c>
      <c r="R520">
        <f t="shared" si="986"/>
        <v>1922577.2266067683</v>
      </c>
      <c r="S520">
        <f t="shared" si="987"/>
        <v>19.225772266067683</v>
      </c>
      <c r="T520">
        <f t="shared" si="988"/>
        <v>1.9225772266067684E-2</v>
      </c>
    </row>
    <row r="521" spans="1:20" x14ac:dyDescent="0.25">
      <c r="A521" s="5">
        <v>44072</v>
      </c>
      <c r="B521">
        <v>94.44</v>
      </c>
      <c r="C521">
        <v>95.84</v>
      </c>
      <c r="D521">
        <v>92.33</v>
      </c>
      <c r="E521">
        <v>92.65</v>
      </c>
      <c r="F521">
        <v>89693.800919999994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-0.81766381766381369</v>
      </c>
      <c r="Q521">
        <f t="shared" si="985"/>
        <v>-73339.375681025282</v>
      </c>
      <c r="R521">
        <f t="shared" si="986"/>
        <v>1853034.0788480083</v>
      </c>
      <c r="S521">
        <f t="shared" si="987"/>
        <v>18.530340788480082</v>
      </c>
      <c r="T521">
        <f t="shared" si="988"/>
        <v>1.8530340788480083E-2</v>
      </c>
    </row>
    <row r="522" spans="1:20" x14ac:dyDescent="0.25">
      <c r="A522" s="5">
        <v>44071</v>
      </c>
      <c r="B522">
        <v>89.71</v>
      </c>
      <c r="C522">
        <v>95.58</v>
      </c>
      <c r="D522">
        <v>88.66</v>
      </c>
      <c r="E522">
        <v>94.43</v>
      </c>
      <c r="F522">
        <v>96663.356199999995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0.66763005780347073</v>
      </c>
      <c r="Q522">
        <f t="shared" si="985"/>
        <v>64535.36208728348</v>
      </c>
      <c r="R522">
        <f t="shared" si="986"/>
        <v>1926373.4545290335</v>
      </c>
      <c r="S522">
        <f t="shared" si="987"/>
        <v>19.263734545290337</v>
      </c>
      <c r="T522">
        <f t="shared" si="988"/>
        <v>1.9263734545290338E-2</v>
      </c>
    </row>
    <row r="523" spans="1:20" x14ac:dyDescent="0.25">
      <c r="A523" s="5">
        <v>44070</v>
      </c>
      <c r="B523">
        <v>88.91</v>
      </c>
      <c r="C523">
        <v>90.69</v>
      </c>
      <c r="D523">
        <v>85.57</v>
      </c>
      <c r="E523">
        <v>89.66</v>
      </c>
      <c r="F523">
        <v>75690.586930000005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0.59765624999999989</v>
      </c>
      <c r="Q523">
        <f t="shared" si="985"/>
        <v>45236.952344882804</v>
      </c>
      <c r="R523">
        <f t="shared" si="986"/>
        <v>1861838.09244175</v>
      </c>
      <c r="S523">
        <f t="shared" si="987"/>
        <v>18.618380924417501</v>
      </c>
      <c r="T523">
        <f t="shared" si="988"/>
        <v>1.8618380924417501E-2</v>
      </c>
    </row>
    <row r="524" spans="1:20" x14ac:dyDescent="0.25">
      <c r="A524" s="5">
        <v>44069</v>
      </c>
      <c r="B524">
        <v>88.53</v>
      </c>
      <c r="C524">
        <v>89.81</v>
      </c>
      <c r="D524">
        <v>87.17</v>
      </c>
      <c r="E524">
        <v>88.93</v>
      </c>
      <c r="F524">
        <v>62150.578959999999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0.33333333333333692</v>
      </c>
      <c r="Q524">
        <f t="shared" si="985"/>
        <v>20716.859653333555</v>
      </c>
      <c r="R524">
        <f t="shared" si="986"/>
        <v>1816601.1400968672</v>
      </c>
      <c r="S524">
        <f t="shared" si="987"/>
        <v>18.166011400968671</v>
      </c>
      <c r="T524">
        <f t="shared" si="988"/>
        <v>1.8166011400968671E-2</v>
      </c>
    </row>
    <row r="525" spans="1:20" x14ac:dyDescent="0.25">
      <c r="A525" s="5">
        <v>44068</v>
      </c>
      <c r="B525">
        <v>93.61</v>
      </c>
      <c r="C525">
        <v>94</v>
      </c>
      <c r="D525">
        <v>85.78</v>
      </c>
      <c r="E525">
        <v>88.63</v>
      </c>
      <c r="F525">
        <v>78507.890710000007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-0.30656934306569472</v>
      </c>
      <c r="Q525">
        <f t="shared" si="985"/>
        <v>-24068.11248043806</v>
      </c>
      <c r="R525">
        <f t="shared" si="986"/>
        <v>1795884.2804435336</v>
      </c>
      <c r="S525">
        <f t="shared" si="987"/>
        <v>17.958842804435335</v>
      </c>
      <c r="T525">
        <f t="shared" si="988"/>
        <v>1.7958842804435333E-2</v>
      </c>
    </row>
    <row r="526" spans="1:20" x14ac:dyDescent="0.25">
      <c r="A526" s="5">
        <v>44067</v>
      </c>
      <c r="B526">
        <v>91.25</v>
      </c>
      <c r="C526">
        <v>94.34</v>
      </c>
      <c r="D526">
        <v>90.25</v>
      </c>
      <c r="E526">
        <v>93.64</v>
      </c>
      <c r="F526">
        <v>69353.293319999997</v>
      </c>
      <c r="G526">
        <v>0</v>
      </c>
      <c r="L526" t="s">
        <v>7</v>
      </c>
      <c r="M526" t="s">
        <v>7</v>
      </c>
      <c r="N526" t="s">
        <v>8</v>
      </c>
      <c r="P526">
        <f t="shared" si="984"/>
        <v>0.65770171149144141</v>
      </c>
      <c r="Q526">
        <f t="shared" si="985"/>
        <v>45613.779714131946</v>
      </c>
      <c r="R526">
        <f t="shared" si="986"/>
        <v>1819952.3929239716</v>
      </c>
      <c r="S526">
        <f t="shared" si="987"/>
        <v>18.199523929239717</v>
      </c>
      <c r="T526">
        <f t="shared" si="988"/>
        <v>1.8199523929239719E-2</v>
      </c>
    </row>
    <row r="527" spans="1:20" x14ac:dyDescent="0.25">
      <c r="A527" s="5">
        <v>44066</v>
      </c>
      <c r="B527">
        <v>94.58</v>
      </c>
      <c r="C527">
        <v>94.93</v>
      </c>
      <c r="D527">
        <v>90.5</v>
      </c>
      <c r="E527">
        <v>91.26</v>
      </c>
      <c r="F527">
        <v>63583.776989999998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-0.65688487584649935</v>
      </c>
      <c r="Q527">
        <f t="shared" si="985"/>
        <v>-41767.221453927654</v>
      </c>
      <c r="R527">
        <f t="shared" si="986"/>
        <v>1774338.6132098397</v>
      </c>
      <c r="S527">
        <f t="shared" si="987"/>
        <v>17.743386132098397</v>
      </c>
      <c r="T527">
        <f t="shared" si="988"/>
        <v>1.7743386132098398E-2</v>
      </c>
    </row>
    <row r="528" spans="1:20" x14ac:dyDescent="0.25">
      <c r="A528" s="5">
        <v>44065</v>
      </c>
      <c r="B528">
        <v>92.23</v>
      </c>
      <c r="C528">
        <v>95.03</v>
      </c>
      <c r="D528">
        <v>88.67</v>
      </c>
      <c r="E528">
        <v>94.5</v>
      </c>
      <c r="F528">
        <v>87794.028139999995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0.83333333333333293</v>
      </c>
      <c r="Q528">
        <f t="shared" si="985"/>
        <v>73161.690116666621</v>
      </c>
      <c r="R528">
        <f t="shared" si="986"/>
        <v>1816105.8346637674</v>
      </c>
      <c r="S528">
        <f t="shared" si="987"/>
        <v>18.161058346637674</v>
      </c>
      <c r="T528">
        <f t="shared" si="988"/>
        <v>1.8161058346637674E-2</v>
      </c>
    </row>
    <row r="529" spans="1:20" x14ac:dyDescent="0.25">
      <c r="A529" s="5">
        <v>44064</v>
      </c>
      <c r="B529">
        <v>101.61</v>
      </c>
      <c r="C529">
        <v>106</v>
      </c>
      <c r="D529">
        <v>92.1</v>
      </c>
      <c r="E529">
        <v>92.21</v>
      </c>
      <c r="F529">
        <v>231350.61953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-0.98417266187050367</v>
      </c>
      <c r="Q529">
        <f t="shared" si="985"/>
        <v>-227688.95504823024</v>
      </c>
      <c r="R529">
        <f t="shared" si="986"/>
        <v>1742944.1445471006</v>
      </c>
      <c r="S529">
        <f t="shared" si="987"/>
        <v>17.429441445471006</v>
      </c>
      <c r="T529">
        <f t="shared" si="988"/>
        <v>1.7429441445471008E-2</v>
      </c>
    </row>
    <row r="530" spans="1:20" x14ac:dyDescent="0.25">
      <c r="A530" s="5">
        <v>44063</v>
      </c>
      <c r="B530">
        <v>91.27</v>
      </c>
      <c r="C530">
        <v>101.73</v>
      </c>
      <c r="D530">
        <v>91.23</v>
      </c>
      <c r="E530">
        <v>101.56</v>
      </c>
      <c r="F530">
        <v>181335.31510000001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0.96761904761904727</v>
      </c>
      <c r="Q530">
        <f t="shared" si="985"/>
        <v>175463.50489676185</v>
      </c>
      <c r="R530">
        <f t="shared" si="986"/>
        <v>1970633.0995953309</v>
      </c>
      <c r="S530">
        <f t="shared" si="987"/>
        <v>19.706330995953309</v>
      </c>
      <c r="T530">
        <f t="shared" si="988"/>
        <v>1.9706330995953307E-2</v>
      </c>
    </row>
    <row r="531" spans="1:20" x14ac:dyDescent="0.25">
      <c r="A531" s="5">
        <v>44062</v>
      </c>
      <c r="B531">
        <v>93.42</v>
      </c>
      <c r="C531">
        <v>94.49</v>
      </c>
      <c r="D531">
        <v>88.84</v>
      </c>
      <c r="E531">
        <v>91.31</v>
      </c>
      <c r="F531">
        <v>121114.37435</v>
      </c>
      <c r="G531">
        <v>0</v>
      </c>
      <c r="L531" t="s">
        <v>7</v>
      </c>
      <c r="M531" t="s">
        <v>8</v>
      </c>
      <c r="N531" t="s">
        <v>8</v>
      </c>
      <c r="P531">
        <f t="shared" si="984"/>
        <v>-0.12566371681415839</v>
      </c>
      <c r="Q531">
        <f t="shared" si="985"/>
        <v>-15219.682440442368</v>
      </c>
      <c r="R531">
        <f t="shared" si="986"/>
        <v>1795169.594698569</v>
      </c>
      <c r="S531">
        <f t="shared" si="987"/>
        <v>17.951695946985691</v>
      </c>
      <c r="T531">
        <f t="shared" si="988"/>
        <v>1.7951695946985691E-2</v>
      </c>
    </row>
    <row r="532" spans="1:20" x14ac:dyDescent="0.25">
      <c r="A532" s="5">
        <v>44061</v>
      </c>
      <c r="B532">
        <v>93.45</v>
      </c>
      <c r="C532">
        <v>97.26</v>
      </c>
      <c r="D532">
        <v>91.44</v>
      </c>
      <c r="E532">
        <v>93.43</v>
      </c>
      <c r="F532">
        <v>139230.33580999999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-0.31615120274913866</v>
      </c>
      <c r="Q532">
        <f t="shared" si="985"/>
        <v>-44017.838125497969</v>
      </c>
      <c r="R532">
        <f t="shared" si="986"/>
        <v>1810389.2771390113</v>
      </c>
      <c r="S532">
        <f t="shared" si="987"/>
        <v>18.103892771390115</v>
      </c>
      <c r="T532">
        <f t="shared" si="988"/>
        <v>1.8103892771390115E-2</v>
      </c>
    </row>
    <row r="533" spans="1:20" x14ac:dyDescent="0.25">
      <c r="A533" s="5">
        <v>44060</v>
      </c>
      <c r="B533">
        <v>91.22</v>
      </c>
      <c r="C533">
        <v>95.04</v>
      </c>
      <c r="D533">
        <v>89.4</v>
      </c>
      <c r="E533">
        <v>93.49</v>
      </c>
      <c r="F533">
        <v>97863.257400000002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0.45035460992907406</v>
      </c>
      <c r="Q533">
        <f t="shared" si="985"/>
        <v>44073.169112765572</v>
      </c>
      <c r="R533">
        <f t="shared" si="986"/>
        <v>1854407.1152645093</v>
      </c>
      <c r="S533">
        <f t="shared" si="987"/>
        <v>18.544071152645092</v>
      </c>
      <c r="T533">
        <f t="shared" si="988"/>
        <v>1.8544071152645093E-2</v>
      </c>
    </row>
    <row r="534" spans="1:20" x14ac:dyDescent="0.25">
      <c r="A534" s="5">
        <v>44059</v>
      </c>
      <c r="B534">
        <v>89.81</v>
      </c>
      <c r="C534">
        <v>91.42</v>
      </c>
      <c r="D534">
        <v>87.98</v>
      </c>
      <c r="E534">
        <v>91.2</v>
      </c>
      <c r="F534">
        <v>64581.339249999997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0.8720930232558145</v>
      </c>
      <c r="Q534">
        <f t="shared" si="985"/>
        <v>56320.93539244189</v>
      </c>
      <c r="R534">
        <f t="shared" si="986"/>
        <v>1810333.9461517439</v>
      </c>
      <c r="S534">
        <f t="shared" si="987"/>
        <v>18.103339461517439</v>
      </c>
      <c r="T534">
        <f t="shared" si="988"/>
        <v>1.8103339461517438E-2</v>
      </c>
    </row>
    <row r="535" spans="1:20" x14ac:dyDescent="0.25">
      <c r="A535" s="5">
        <v>44058</v>
      </c>
      <c r="B535">
        <v>91.43</v>
      </c>
      <c r="C535">
        <v>92.04</v>
      </c>
      <c r="D535">
        <v>88.97</v>
      </c>
      <c r="E535">
        <v>89.76</v>
      </c>
      <c r="F535">
        <v>82519.656340000001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-0.4853420195439711</v>
      </c>
      <c r="Q535">
        <f t="shared" si="985"/>
        <v>-40050.256660130057</v>
      </c>
      <c r="R535">
        <f t="shared" si="986"/>
        <v>1754013.0107593019</v>
      </c>
      <c r="S535">
        <f t="shared" si="987"/>
        <v>17.540130107593018</v>
      </c>
      <c r="T535">
        <f t="shared" si="988"/>
        <v>1.7540130107593019E-2</v>
      </c>
    </row>
    <row r="536" spans="1:20" x14ac:dyDescent="0.25">
      <c r="A536" s="5">
        <v>44057</v>
      </c>
      <c r="B536">
        <v>92.02</v>
      </c>
      <c r="C536">
        <v>93.63</v>
      </c>
      <c r="D536">
        <v>89.82</v>
      </c>
      <c r="E536">
        <v>91.42</v>
      </c>
      <c r="F536">
        <v>102347.9368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-0.16010498687663643</v>
      </c>
      <c r="Q536">
        <f t="shared" si="985"/>
        <v>-16386.415078214814</v>
      </c>
      <c r="R536">
        <f t="shared" si="986"/>
        <v>1794063.2674194321</v>
      </c>
      <c r="S536">
        <f t="shared" si="987"/>
        <v>17.940632674194319</v>
      </c>
      <c r="T536">
        <f t="shared" si="988"/>
        <v>1.794063267419432E-2</v>
      </c>
    </row>
    <row r="537" spans="1:20" x14ac:dyDescent="0.25">
      <c r="A537" s="5">
        <v>44056</v>
      </c>
      <c r="B537">
        <v>89.45</v>
      </c>
      <c r="C537">
        <v>92.26</v>
      </c>
      <c r="D537">
        <v>85.53</v>
      </c>
      <c r="E537">
        <v>92.03</v>
      </c>
      <c r="F537">
        <v>92458.862999999998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0.93164933135215344</v>
      </c>
      <c r="Q537">
        <f t="shared" si="985"/>
        <v>86139.237891530356</v>
      </c>
      <c r="R537">
        <f t="shared" si="986"/>
        <v>1810449.6824976469</v>
      </c>
      <c r="S537">
        <f t="shared" si="987"/>
        <v>18.104496824976469</v>
      </c>
      <c r="T537">
        <f t="shared" si="988"/>
        <v>1.810449682497647E-2</v>
      </c>
    </row>
    <row r="538" spans="1:20" x14ac:dyDescent="0.25">
      <c r="A538" s="5">
        <v>44055</v>
      </c>
      <c r="B538">
        <v>87.33</v>
      </c>
      <c r="C538">
        <v>89.86</v>
      </c>
      <c r="D538">
        <v>84.07</v>
      </c>
      <c r="E538">
        <v>89.54</v>
      </c>
      <c r="F538">
        <v>63829.667970000002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0.88946459412780909</v>
      </c>
      <c r="Q538">
        <f t="shared" si="985"/>
        <v>56774.229714248868</v>
      </c>
      <c r="R538">
        <f t="shared" si="986"/>
        <v>1724310.4446061165</v>
      </c>
      <c r="S538">
        <f t="shared" si="987"/>
        <v>17.243104446061164</v>
      </c>
      <c r="T538">
        <f t="shared" si="988"/>
        <v>1.7243104446061162E-2</v>
      </c>
    </row>
    <row r="539" spans="1:20" x14ac:dyDescent="0.25">
      <c r="A539" s="5">
        <v>44054</v>
      </c>
      <c r="B539">
        <v>93.76</v>
      </c>
      <c r="C539">
        <v>94.88</v>
      </c>
      <c r="D539">
        <v>84.16</v>
      </c>
      <c r="E539">
        <v>87.25</v>
      </c>
      <c r="F539">
        <v>101082.26549999999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-0.42350746268656647</v>
      </c>
      <c r="Q539">
        <f t="shared" si="985"/>
        <v>-42809.093784514851</v>
      </c>
      <c r="R539">
        <f t="shared" si="986"/>
        <v>1667536.2148918677</v>
      </c>
      <c r="S539">
        <f t="shared" si="987"/>
        <v>16.675362148918676</v>
      </c>
      <c r="T539">
        <f t="shared" si="988"/>
        <v>1.6675362148918675E-2</v>
      </c>
    </row>
    <row r="540" spans="1:20" x14ac:dyDescent="0.25">
      <c r="A540" s="5">
        <v>44053</v>
      </c>
      <c r="B540">
        <v>92.91</v>
      </c>
      <c r="C540">
        <v>94.5</v>
      </c>
      <c r="D540">
        <v>88.04</v>
      </c>
      <c r="E540">
        <v>93.76</v>
      </c>
      <c r="F540">
        <v>77069.768020000003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0.77089783281733881</v>
      </c>
      <c r="Q540">
        <f t="shared" si="985"/>
        <v>59412.91714235305</v>
      </c>
      <c r="R540">
        <f t="shared" si="986"/>
        <v>1710345.3086763825</v>
      </c>
      <c r="S540">
        <f t="shared" si="987"/>
        <v>17.103453086763825</v>
      </c>
      <c r="T540">
        <f t="shared" si="988"/>
        <v>1.7103453086763823E-2</v>
      </c>
    </row>
    <row r="541" spans="1:20" x14ac:dyDescent="0.25">
      <c r="A541" s="5">
        <v>44052</v>
      </c>
      <c r="B541">
        <v>94.84</v>
      </c>
      <c r="C541">
        <v>94.99</v>
      </c>
      <c r="D541">
        <v>92.16</v>
      </c>
      <c r="E541">
        <v>92.9</v>
      </c>
      <c r="F541">
        <v>59988.615460000001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-0.47703180212013457</v>
      </c>
      <c r="Q541">
        <f t="shared" si="985"/>
        <v>-28616.477339575566</v>
      </c>
      <c r="R541">
        <f t="shared" si="986"/>
        <v>1650932.3915340295</v>
      </c>
      <c r="S541">
        <f t="shared" si="987"/>
        <v>16.509323915340296</v>
      </c>
      <c r="T541">
        <f t="shared" si="988"/>
        <v>1.6509323915340296E-2</v>
      </c>
    </row>
    <row r="542" spans="1:20" x14ac:dyDescent="0.25">
      <c r="A542" s="5">
        <v>44051</v>
      </c>
      <c r="B542">
        <v>94.01</v>
      </c>
      <c r="C542">
        <v>95.23</v>
      </c>
      <c r="D542">
        <v>91.71</v>
      </c>
      <c r="E542">
        <v>94.87</v>
      </c>
      <c r="F542">
        <v>53280.509489999997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0.79545454545454641</v>
      </c>
      <c r="Q542">
        <f t="shared" si="985"/>
        <v>42382.223457954591</v>
      </c>
      <c r="R542">
        <f t="shared" si="986"/>
        <v>1679548.868873605</v>
      </c>
      <c r="S542">
        <f t="shared" si="987"/>
        <v>16.79548868873605</v>
      </c>
      <c r="T542">
        <f t="shared" si="988"/>
        <v>1.6795488688736052E-2</v>
      </c>
    </row>
    <row r="543" spans="1:20" x14ac:dyDescent="0.25">
      <c r="A543" s="5">
        <v>44050</v>
      </c>
      <c r="B543">
        <v>95.45</v>
      </c>
      <c r="C543">
        <v>95.65</v>
      </c>
      <c r="D543">
        <v>90.6</v>
      </c>
      <c r="E543">
        <v>94.01</v>
      </c>
      <c r="F543">
        <v>111836.08048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0.35049504950495175</v>
      </c>
      <c r="Q543">
        <f t="shared" si="985"/>
        <v>39197.992564277367</v>
      </c>
      <c r="R543">
        <f t="shared" si="986"/>
        <v>1637166.6454156504</v>
      </c>
      <c r="S543">
        <f t="shared" si="987"/>
        <v>16.371666454156504</v>
      </c>
      <c r="T543">
        <f t="shared" si="988"/>
        <v>1.6371666454156504E-2</v>
      </c>
    </row>
    <row r="544" spans="1:20" x14ac:dyDescent="0.25">
      <c r="A544" s="5">
        <v>44049</v>
      </c>
      <c r="B544">
        <v>90.39</v>
      </c>
      <c r="C544">
        <v>96.52</v>
      </c>
      <c r="D544">
        <v>88.32</v>
      </c>
      <c r="E544">
        <v>95.49</v>
      </c>
      <c r="F544">
        <v>129605.19828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0.74878048780487783</v>
      </c>
      <c r="Q544">
        <f t="shared" si="985"/>
        <v>97045.843590146309</v>
      </c>
      <c r="R544">
        <f t="shared" si="986"/>
        <v>1597968.6528513732</v>
      </c>
      <c r="S544">
        <f t="shared" si="987"/>
        <v>15.979686528513732</v>
      </c>
      <c r="T544">
        <f t="shared" si="988"/>
        <v>1.5979686528513733E-2</v>
      </c>
    </row>
    <row r="545" spans="1:20" x14ac:dyDescent="0.25">
      <c r="A545" s="5">
        <v>44048</v>
      </c>
      <c r="B545">
        <v>87.3</v>
      </c>
      <c r="C545">
        <v>90.62</v>
      </c>
      <c r="D545">
        <v>86.13</v>
      </c>
      <c r="E545">
        <v>90.39</v>
      </c>
      <c r="F545">
        <v>81935.426099999997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0.8975501113585731</v>
      </c>
      <c r="Q545">
        <f t="shared" si="985"/>
        <v>73541.150820267139</v>
      </c>
      <c r="R545">
        <f t="shared" si="986"/>
        <v>1500922.8092612268</v>
      </c>
      <c r="S545">
        <f t="shared" si="987"/>
        <v>15.009228092612268</v>
      </c>
      <c r="T545">
        <f t="shared" si="988"/>
        <v>1.5009228092612268E-2</v>
      </c>
    </row>
    <row r="546" spans="1:20" x14ac:dyDescent="0.25">
      <c r="A546" s="5">
        <v>44047</v>
      </c>
      <c r="B546">
        <v>89.06</v>
      </c>
      <c r="C546">
        <v>89.96</v>
      </c>
      <c r="D546">
        <v>85.3</v>
      </c>
      <c r="E546">
        <v>87.24</v>
      </c>
      <c r="F546">
        <v>102073.67799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-0.1673819742489274</v>
      </c>
      <c r="Q546">
        <f t="shared" si="985"/>
        <v>-17085.293740815487</v>
      </c>
      <c r="R546">
        <f t="shared" si="986"/>
        <v>1427381.6584409596</v>
      </c>
      <c r="S546">
        <f t="shared" si="987"/>
        <v>14.273816584409596</v>
      </c>
      <c r="T546">
        <f t="shared" si="988"/>
        <v>1.4273816584409597E-2</v>
      </c>
    </row>
    <row r="547" spans="1:20" x14ac:dyDescent="0.25">
      <c r="A547" s="5">
        <v>44046</v>
      </c>
      <c r="B547">
        <v>84.97</v>
      </c>
      <c r="C547">
        <v>89.68</v>
      </c>
      <c r="D547">
        <v>83.95</v>
      </c>
      <c r="E547">
        <v>89.06</v>
      </c>
      <c r="F547">
        <v>90141.461339999994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0.78359511343804389</v>
      </c>
      <c r="Q547">
        <f t="shared" si="985"/>
        <v>70634.408624188349</v>
      </c>
      <c r="R547">
        <f t="shared" si="986"/>
        <v>1444466.9521817751</v>
      </c>
      <c r="S547">
        <f t="shared" si="987"/>
        <v>14.444669521817751</v>
      </c>
      <c r="T547">
        <f t="shared" si="988"/>
        <v>1.4444669521817751E-2</v>
      </c>
    </row>
    <row r="548" spans="1:20" x14ac:dyDescent="0.25">
      <c r="A548" s="5">
        <v>44045</v>
      </c>
      <c r="B548">
        <v>89.59</v>
      </c>
      <c r="C548">
        <v>91.04</v>
      </c>
      <c r="D548">
        <v>77.77</v>
      </c>
      <c r="E548">
        <v>85</v>
      </c>
      <c r="F548">
        <v>177537.25146999999</v>
      </c>
      <c r="G548">
        <v>0</v>
      </c>
      <c r="L548" t="s">
        <v>7</v>
      </c>
      <c r="M548" t="s">
        <v>8</v>
      </c>
      <c r="N548" t="s">
        <v>8</v>
      </c>
      <c r="P548">
        <f t="shared" si="984"/>
        <v>8.9675960813865627E-2</v>
      </c>
      <c r="Q548">
        <f t="shared" si="985"/>
        <v>15920.823605825126</v>
      </c>
      <c r="R548">
        <f t="shared" si="986"/>
        <v>1373832.5435575868</v>
      </c>
      <c r="S548">
        <f t="shared" si="987"/>
        <v>13.738325435575868</v>
      </c>
      <c r="T548">
        <f t="shared" si="988"/>
        <v>1.3738325435575868E-2</v>
      </c>
    </row>
    <row r="549" spans="1:20" x14ac:dyDescent="0.25">
      <c r="A549" s="5">
        <v>44044</v>
      </c>
      <c r="B549">
        <v>84.49</v>
      </c>
      <c r="C549">
        <v>90.1</v>
      </c>
      <c r="D549">
        <v>83.39</v>
      </c>
      <c r="E549">
        <v>89.64</v>
      </c>
      <c r="F549">
        <v>121998.23347000001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0.86289120715350398</v>
      </c>
      <c r="Q549">
        <f t="shared" si="985"/>
        <v>105271.20294952331</v>
      </c>
      <c r="R549">
        <f t="shared" si="986"/>
        <v>1357911.7199517617</v>
      </c>
      <c r="S549">
        <f t="shared" si="987"/>
        <v>13.579117199517617</v>
      </c>
      <c r="T549">
        <f t="shared" si="988"/>
        <v>1.3579117199517616E-2</v>
      </c>
    </row>
    <row r="550" spans="1:20" x14ac:dyDescent="0.25">
      <c r="A550" s="5">
        <v>44043</v>
      </c>
      <c r="B550">
        <v>80.92</v>
      </c>
      <c r="C550">
        <v>84.64</v>
      </c>
      <c r="D550">
        <v>80.27</v>
      </c>
      <c r="E550">
        <v>84.55</v>
      </c>
      <c r="F550">
        <v>77189.518859999996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0.95881006864988405</v>
      </c>
      <c r="Q550">
        <f t="shared" si="985"/>
        <v>74010.08787720812</v>
      </c>
      <c r="R550">
        <f t="shared" si="986"/>
        <v>1252640.5170022384</v>
      </c>
      <c r="S550">
        <f t="shared" si="987"/>
        <v>12.526405170022384</v>
      </c>
      <c r="T550">
        <f t="shared" si="988"/>
        <v>1.2526405170022384E-2</v>
      </c>
    </row>
    <row r="551" spans="1:20" x14ac:dyDescent="0.25">
      <c r="A551" s="5">
        <v>44042</v>
      </c>
      <c r="B551">
        <v>79.12</v>
      </c>
      <c r="C551">
        <v>82.54</v>
      </c>
      <c r="D551">
        <v>78.44</v>
      </c>
      <c r="E551">
        <v>80.92</v>
      </c>
      <c r="F551">
        <v>70729.345419999998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0.20975609756097505</v>
      </c>
      <c r="Q551">
        <f t="shared" si="985"/>
        <v>14835.911478341422</v>
      </c>
      <c r="R551">
        <f t="shared" si="986"/>
        <v>1178630.4291250303</v>
      </c>
      <c r="S551">
        <f t="shared" si="987"/>
        <v>11.786304291250303</v>
      </c>
      <c r="T551">
        <f t="shared" si="988"/>
        <v>1.1786304291250303E-2</v>
      </c>
    </row>
    <row r="552" spans="1:20" x14ac:dyDescent="0.25">
      <c r="A552" s="5">
        <v>44041</v>
      </c>
      <c r="B552">
        <v>81.2</v>
      </c>
      <c r="C552">
        <v>82.78</v>
      </c>
      <c r="D552">
        <v>78.95</v>
      </c>
      <c r="E552">
        <v>79.11</v>
      </c>
      <c r="F552">
        <v>103575.6979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-0.91644908616188159</v>
      </c>
      <c r="Q552">
        <f t="shared" si="985"/>
        <v>-94921.85368903412</v>
      </c>
      <c r="R552">
        <f t="shared" si="986"/>
        <v>1163794.517646689</v>
      </c>
      <c r="S552">
        <f t="shared" si="987"/>
        <v>11.637945176466889</v>
      </c>
      <c r="T552">
        <f t="shared" si="988"/>
        <v>1.163794517646689E-2</v>
      </c>
    </row>
    <row r="553" spans="1:20" x14ac:dyDescent="0.25">
      <c r="A553" s="5">
        <v>44040</v>
      </c>
      <c r="B553">
        <v>78.44</v>
      </c>
      <c r="C553">
        <v>83.33</v>
      </c>
      <c r="D553">
        <v>78.36</v>
      </c>
      <c r="E553">
        <v>81.2</v>
      </c>
      <c r="F553">
        <v>203136.31945000001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0.14285714285714449</v>
      </c>
      <c r="Q553">
        <f t="shared" si="985"/>
        <v>29019.47420714319</v>
      </c>
      <c r="R553">
        <f t="shared" si="986"/>
        <v>1258716.3713357232</v>
      </c>
      <c r="S553">
        <f t="shared" si="987"/>
        <v>12.587163713357231</v>
      </c>
      <c r="T553">
        <f t="shared" si="988"/>
        <v>1.2587163713357231E-2</v>
      </c>
    </row>
    <row r="554" spans="1:20" x14ac:dyDescent="0.25">
      <c r="A554" s="5">
        <v>44039</v>
      </c>
      <c r="B554">
        <v>78.150000000000006</v>
      </c>
      <c r="C554">
        <v>79.5</v>
      </c>
      <c r="D554">
        <v>75.03</v>
      </c>
      <c r="E554">
        <v>78.430000000000007</v>
      </c>
      <c r="F554">
        <v>137809.77046</v>
      </c>
      <c r="G554">
        <v>0</v>
      </c>
      <c r="L554" t="s">
        <v>8</v>
      </c>
      <c r="M554" t="s">
        <v>8</v>
      </c>
      <c r="N554" t="s">
        <v>8</v>
      </c>
      <c r="P554">
        <f t="shared" si="984"/>
        <v>0.52125279642058464</v>
      </c>
      <c r="Q554">
        <f t="shared" si="985"/>
        <v>71833.72822635388</v>
      </c>
      <c r="R554">
        <f t="shared" si="986"/>
        <v>1229696.8971285799</v>
      </c>
      <c r="S554">
        <f t="shared" si="987"/>
        <v>12.2969689712858</v>
      </c>
      <c r="T554">
        <f t="shared" si="988"/>
        <v>1.22969689712858E-2</v>
      </c>
    </row>
    <row r="555" spans="1:20" x14ac:dyDescent="0.25">
      <c r="A555" s="5">
        <v>44038</v>
      </c>
      <c r="B555">
        <v>73.62</v>
      </c>
      <c r="C555">
        <v>78.209999999999994</v>
      </c>
      <c r="D555">
        <v>73</v>
      </c>
      <c r="E555">
        <v>78.16</v>
      </c>
      <c r="F555">
        <v>106938.84372999999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0.98080614203454997</v>
      </c>
      <c r="Q555">
        <f t="shared" si="985"/>
        <v>104886.27475245691</v>
      </c>
      <c r="R555">
        <f t="shared" si="986"/>
        <v>1157863.168902226</v>
      </c>
      <c r="S555">
        <f t="shared" si="987"/>
        <v>11.578631689022259</v>
      </c>
      <c r="T555">
        <f t="shared" si="988"/>
        <v>1.157863168902226E-2</v>
      </c>
    </row>
    <row r="556" spans="1:20" x14ac:dyDescent="0.25">
      <c r="A556" s="5">
        <v>44037</v>
      </c>
      <c r="B556">
        <v>71.599999999999994</v>
      </c>
      <c r="C556">
        <v>73.959999999999994</v>
      </c>
      <c r="D556">
        <v>71.48</v>
      </c>
      <c r="E556">
        <v>73.61</v>
      </c>
      <c r="F556">
        <v>60379.8989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0.71774193548387444</v>
      </c>
      <c r="Q556">
        <f t="shared" si="985"/>
        <v>43337.185500806663</v>
      </c>
      <c r="R556">
        <f t="shared" si="986"/>
        <v>1052976.8941497691</v>
      </c>
      <c r="S556">
        <f t="shared" si="987"/>
        <v>10.529768941497691</v>
      </c>
      <c r="T556">
        <f t="shared" si="988"/>
        <v>1.0529768941497691E-2</v>
      </c>
    </row>
    <row r="557" spans="1:20" x14ac:dyDescent="0.25">
      <c r="A557" s="5">
        <v>44036</v>
      </c>
      <c r="B557">
        <v>72.989999999999995</v>
      </c>
      <c r="C557">
        <v>73.03</v>
      </c>
      <c r="D557">
        <v>71.319999999999993</v>
      </c>
      <c r="E557">
        <v>71.540000000000006</v>
      </c>
      <c r="F557">
        <v>66123.789950000006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-0.74269005847951808</v>
      </c>
      <c r="Q557">
        <f t="shared" si="985"/>
        <v>-49109.481424852871</v>
      </c>
      <c r="R557">
        <f t="shared" si="986"/>
        <v>1009639.7086489623</v>
      </c>
      <c r="S557">
        <f t="shared" si="987"/>
        <v>10.096397086489624</v>
      </c>
      <c r="T557">
        <f t="shared" si="988"/>
        <v>1.0096397086489625E-2</v>
      </c>
    </row>
    <row r="558" spans="1:20" x14ac:dyDescent="0.25">
      <c r="A558" s="5">
        <v>44035</v>
      </c>
      <c r="B558">
        <v>71.45</v>
      </c>
      <c r="C558">
        <v>74.08</v>
      </c>
      <c r="D558">
        <v>70.72</v>
      </c>
      <c r="E558">
        <v>73.02</v>
      </c>
      <c r="F558">
        <v>96122.809630000003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0.36904761904761757</v>
      </c>
      <c r="Q558">
        <f t="shared" si="985"/>
        <v>35473.894030118907</v>
      </c>
      <c r="R558">
        <f t="shared" si="986"/>
        <v>1058749.1900738152</v>
      </c>
      <c r="S558">
        <f t="shared" si="987"/>
        <v>10.587491900738152</v>
      </c>
      <c r="T558">
        <f t="shared" si="988"/>
        <v>1.0587491900738152E-2</v>
      </c>
    </row>
    <row r="559" spans="1:20" x14ac:dyDescent="0.25">
      <c r="A559" s="5">
        <v>44034</v>
      </c>
      <c r="B559">
        <v>69.680000000000007</v>
      </c>
      <c r="C559">
        <v>71.5</v>
      </c>
      <c r="D559">
        <v>69.28</v>
      </c>
      <c r="E559">
        <v>71.48</v>
      </c>
      <c r="F559">
        <v>70904.475600000005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0.98198198198198561</v>
      </c>
      <c r="Q559">
        <f t="shared" si="985"/>
        <v>69626.917481081342</v>
      </c>
      <c r="R559">
        <f t="shared" si="986"/>
        <v>1023275.2960436963</v>
      </c>
      <c r="S559">
        <f t="shared" si="987"/>
        <v>10.232752960436963</v>
      </c>
      <c r="T559">
        <f t="shared" si="988"/>
        <v>1.0232752960436964E-2</v>
      </c>
    </row>
    <row r="560" spans="1:20" x14ac:dyDescent="0.25">
      <c r="A560" s="5">
        <v>44033</v>
      </c>
      <c r="B560">
        <v>69.319999999999993</v>
      </c>
      <c r="C560">
        <v>71.67</v>
      </c>
      <c r="D560">
        <v>69.08</v>
      </c>
      <c r="E560">
        <v>69.63</v>
      </c>
      <c r="F560">
        <v>91784.550889999999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-0.57528957528957803</v>
      </c>
      <c r="Q560">
        <f t="shared" si="985"/>
        <v>-52802.695299652762</v>
      </c>
      <c r="R560">
        <f t="shared" si="986"/>
        <v>953648.37856261502</v>
      </c>
      <c r="S560">
        <f t="shared" si="987"/>
        <v>9.5364837856261495</v>
      </c>
      <c r="T560">
        <f t="shared" si="988"/>
        <v>9.5364837856261493E-3</v>
      </c>
    </row>
    <row r="561" spans="1:104" x14ac:dyDescent="0.25">
      <c r="A561" s="5">
        <v>44032</v>
      </c>
      <c r="B561">
        <v>68.91</v>
      </c>
      <c r="C561">
        <v>70.319999999999993</v>
      </c>
      <c r="D561">
        <v>68.680000000000007</v>
      </c>
      <c r="E561">
        <v>69.31</v>
      </c>
      <c r="F561">
        <v>61706.156300000002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-0.23170731707316988</v>
      </c>
      <c r="Q561">
        <f t="shared" si="985"/>
        <v>-14297.767923170681</v>
      </c>
      <c r="R561">
        <f t="shared" si="986"/>
        <v>1006451.0738622678</v>
      </c>
      <c r="S561">
        <f t="shared" si="987"/>
        <v>10.064510738622678</v>
      </c>
      <c r="T561">
        <f t="shared" si="988"/>
        <v>1.0064510738622677E-2</v>
      </c>
      <c r="CZ561" t="s">
        <v>7</v>
      </c>
    </row>
    <row r="562" spans="1:104" x14ac:dyDescent="0.25">
      <c r="A562" s="5">
        <v>44031</v>
      </c>
      <c r="B562">
        <v>68.38</v>
      </c>
      <c r="C562">
        <v>69.069999999999993</v>
      </c>
      <c r="D562">
        <v>67.64</v>
      </c>
      <c r="E562">
        <v>68.91</v>
      </c>
      <c r="F562">
        <v>50175.524660000003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0.7762237762237798</v>
      </c>
      <c r="Q562">
        <f t="shared" si="985"/>
        <v>38947.435225594585</v>
      </c>
      <c r="R562">
        <f t="shared" si="986"/>
        <v>1020748.8417854385</v>
      </c>
      <c r="S562">
        <f t="shared" si="987"/>
        <v>10.207488417854385</v>
      </c>
      <c r="T562">
        <f t="shared" si="988"/>
        <v>1.0207488417854385E-2</v>
      </c>
      <c r="CZ562" t="s">
        <v>7</v>
      </c>
    </row>
    <row r="563" spans="1:104" x14ac:dyDescent="0.25">
      <c r="A563" s="5">
        <v>44030</v>
      </c>
      <c r="B563">
        <v>67.62</v>
      </c>
      <c r="C563">
        <v>69.239999999999995</v>
      </c>
      <c r="D563">
        <v>66.959999999999994</v>
      </c>
      <c r="E563">
        <v>68.39</v>
      </c>
      <c r="F563">
        <v>63492.092669999998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0.25438596491228604</v>
      </c>
      <c r="Q563">
        <f t="shared" si="985"/>
        <v>16151.497258158233</v>
      </c>
      <c r="R563">
        <f t="shared" si="986"/>
        <v>981801.40655984392</v>
      </c>
      <c r="S563">
        <f t="shared" si="987"/>
        <v>9.8180140655984385</v>
      </c>
      <c r="T563">
        <f t="shared" si="988"/>
        <v>9.818014065598438E-3</v>
      </c>
      <c r="CZ563" t="s">
        <v>7</v>
      </c>
    </row>
    <row r="564" spans="1:104" x14ac:dyDescent="0.25">
      <c r="A564" s="5">
        <v>44029</v>
      </c>
      <c r="B564">
        <v>67.69</v>
      </c>
      <c r="C564">
        <v>68.36</v>
      </c>
      <c r="D564">
        <v>67</v>
      </c>
      <c r="E564">
        <v>67.64</v>
      </c>
      <c r="F564">
        <v>55782.769370000002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-5.8823529411763477E-2</v>
      </c>
      <c r="Q564">
        <f t="shared" si="985"/>
        <v>-3281.339374705814</v>
      </c>
      <c r="R564">
        <f t="shared" si="986"/>
        <v>965649.90930168564</v>
      </c>
      <c r="S564">
        <f t="shared" si="987"/>
        <v>9.6564990930168566</v>
      </c>
      <c r="T564">
        <f t="shared" si="988"/>
        <v>9.656499093016857E-3</v>
      </c>
    </row>
    <row r="565" spans="1:104" x14ac:dyDescent="0.25">
      <c r="A565" s="5">
        <v>44028</v>
      </c>
      <c r="B565">
        <v>70.56</v>
      </c>
      <c r="C565">
        <v>71.55</v>
      </c>
      <c r="D565">
        <v>66.56</v>
      </c>
      <c r="E565">
        <v>67.7</v>
      </c>
      <c r="F565">
        <v>127159.85073000001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-0.5430861723446887</v>
      </c>
      <c r="Q565">
        <f t="shared" si="985"/>
        <v>-69058.756608877666</v>
      </c>
      <c r="R565">
        <f t="shared" si="986"/>
        <v>968931.24867639143</v>
      </c>
      <c r="S565">
        <f t="shared" si="987"/>
        <v>9.6893124867639138</v>
      </c>
      <c r="T565">
        <f t="shared" si="988"/>
        <v>9.6893124867639142E-3</v>
      </c>
    </row>
    <row r="566" spans="1:104" x14ac:dyDescent="0.25">
      <c r="A566" s="5">
        <v>44027</v>
      </c>
      <c r="B566">
        <v>67.84</v>
      </c>
      <c r="C566">
        <v>72.569999999999993</v>
      </c>
      <c r="D566">
        <v>67.38</v>
      </c>
      <c r="E566">
        <v>70.63</v>
      </c>
      <c r="F566">
        <v>143365.96353000001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0.25240847784200438</v>
      </c>
      <c r="Q566">
        <f t="shared" si="985"/>
        <v>36186.784628959613</v>
      </c>
      <c r="R566">
        <f t="shared" si="986"/>
        <v>1037990.0052852691</v>
      </c>
      <c r="S566">
        <f t="shared" si="987"/>
        <v>10.37990005285269</v>
      </c>
      <c r="T566">
        <f t="shared" si="988"/>
        <v>1.037990005285269E-2</v>
      </c>
    </row>
    <row r="567" spans="1:104" x14ac:dyDescent="0.25">
      <c r="A567" s="5">
        <v>44026</v>
      </c>
      <c r="B567">
        <v>69.180000000000007</v>
      </c>
      <c r="C567">
        <v>69.180000000000007</v>
      </c>
      <c r="D567">
        <v>66.75</v>
      </c>
      <c r="E567">
        <v>67.81</v>
      </c>
      <c r="F567">
        <v>67397.346860000005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-0.12757201646090593</v>
      </c>
      <c r="Q567">
        <f t="shared" si="985"/>
        <v>-8598.0154430453076</v>
      </c>
      <c r="R567">
        <f t="shared" si="986"/>
        <v>1001803.2206563095</v>
      </c>
      <c r="S567">
        <f t="shared" si="987"/>
        <v>10.018032206563095</v>
      </c>
      <c r="T567">
        <f t="shared" si="988"/>
        <v>1.0018032206563096E-2</v>
      </c>
    </row>
    <row r="568" spans="1:104" x14ac:dyDescent="0.25">
      <c r="A568" s="5">
        <v>44025</v>
      </c>
      <c r="B568">
        <v>69.260000000000005</v>
      </c>
      <c r="C568">
        <v>70.08</v>
      </c>
      <c r="D568">
        <v>67.599999999999994</v>
      </c>
      <c r="E568">
        <v>69.260000000000005</v>
      </c>
      <c r="F568">
        <v>87607.611780000007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0.33870967741936142</v>
      </c>
      <c r="Q568">
        <f t="shared" si="985"/>
        <v>29673.54592548445</v>
      </c>
      <c r="R568">
        <f t="shared" si="986"/>
        <v>1010401.2360993548</v>
      </c>
      <c r="S568">
        <f t="shared" si="987"/>
        <v>10.104012360993549</v>
      </c>
      <c r="T568">
        <f t="shared" si="988"/>
        <v>1.0104012360993548E-2</v>
      </c>
    </row>
    <row r="569" spans="1:104" x14ac:dyDescent="0.25">
      <c r="A569" s="5">
        <v>44024</v>
      </c>
      <c r="B569">
        <v>68.739999999999995</v>
      </c>
      <c r="C569">
        <v>70.349999999999994</v>
      </c>
      <c r="D569">
        <v>68</v>
      </c>
      <c r="E569">
        <v>69.22</v>
      </c>
      <c r="F569">
        <v>118954.6643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3.8297872340427079E-2</v>
      </c>
      <c r="Q569">
        <f t="shared" si="985"/>
        <v>4555.710547659759</v>
      </c>
      <c r="R569">
        <f t="shared" si="986"/>
        <v>980727.6901738703</v>
      </c>
      <c r="S569">
        <f t="shared" si="987"/>
        <v>9.8072769017387031</v>
      </c>
      <c r="T569">
        <f t="shared" si="988"/>
        <v>9.807276901738703E-3</v>
      </c>
    </row>
    <row r="570" spans="1:104" x14ac:dyDescent="0.25">
      <c r="A570" s="5">
        <v>44023</v>
      </c>
      <c r="B570">
        <v>67.290000000000006</v>
      </c>
      <c r="C570">
        <v>69.819999999999993</v>
      </c>
      <c r="D570">
        <v>67.12</v>
      </c>
      <c r="E570">
        <v>68.739999999999995</v>
      </c>
      <c r="F570">
        <v>99714.960269999996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0.1999999999999979</v>
      </c>
      <c r="Q570">
        <f t="shared" si="985"/>
        <v>19942.992053999791</v>
      </c>
      <c r="R570">
        <f t="shared" si="986"/>
        <v>976171.97962621052</v>
      </c>
      <c r="S570">
        <f t="shared" si="987"/>
        <v>9.7617197962621045</v>
      </c>
      <c r="T570">
        <f t="shared" si="988"/>
        <v>9.7617197962621052E-3</v>
      </c>
    </row>
    <row r="571" spans="1:104" x14ac:dyDescent="0.25">
      <c r="A571" s="5">
        <v>44022</v>
      </c>
      <c r="B571">
        <v>67.28</v>
      </c>
      <c r="C571">
        <v>68.319999999999993</v>
      </c>
      <c r="D571">
        <v>65.11</v>
      </c>
      <c r="E571">
        <v>67.25</v>
      </c>
      <c r="F571">
        <v>119226.91481</v>
      </c>
      <c r="G571">
        <v>0</v>
      </c>
      <c r="L571" t="s">
        <v>7</v>
      </c>
      <c r="M571" t="s">
        <v>7</v>
      </c>
      <c r="N571" t="s">
        <v>8</v>
      </c>
      <c r="P571">
        <f t="shared" si="984"/>
        <v>0.33333333333333631</v>
      </c>
      <c r="Q571">
        <f t="shared" si="985"/>
        <v>39742.304936667024</v>
      </c>
      <c r="R571">
        <f t="shared" si="986"/>
        <v>956228.98757221072</v>
      </c>
      <c r="S571">
        <f t="shared" si="987"/>
        <v>9.562289875722108</v>
      </c>
      <c r="T571">
        <f t="shared" si="988"/>
        <v>9.5622898757221075E-3</v>
      </c>
    </row>
    <row r="572" spans="1:104" x14ac:dyDescent="0.25">
      <c r="A572" s="5">
        <v>44021</v>
      </c>
      <c r="B572">
        <v>66.23</v>
      </c>
      <c r="C572">
        <v>69.319999999999993</v>
      </c>
      <c r="D572">
        <v>65</v>
      </c>
      <c r="E572">
        <v>67.28</v>
      </c>
      <c r="F572">
        <v>111020.00235</v>
      </c>
      <c r="G572">
        <v>0</v>
      </c>
      <c r="L572" t="s">
        <v>8</v>
      </c>
      <c r="M572" t="s">
        <v>7</v>
      </c>
      <c r="N572" t="s">
        <v>8</v>
      </c>
      <c r="P572">
        <f t="shared" si="984"/>
        <v>5.5555555555557745E-2</v>
      </c>
      <c r="Q572">
        <f t="shared" si="985"/>
        <v>6167.7779083335763</v>
      </c>
      <c r="R572">
        <f t="shared" si="986"/>
        <v>916486.68263554375</v>
      </c>
      <c r="S572">
        <f t="shared" si="987"/>
        <v>9.1648668263554374</v>
      </c>
      <c r="T572">
        <f t="shared" si="988"/>
        <v>9.1648668263554379E-3</v>
      </c>
    </row>
    <row r="573" spans="1:104" x14ac:dyDescent="0.25">
      <c r="A573" s="5">
        <v>44020</v>
      </c>
      <c r="B573">
        <v>64.64</v>
      </c>
      <c r="C573">
        <v>67.37</v>
      </c>
      <c r="D573">
        <v>64.09</v>
      </c>
      <c r="E573">
        <v>66.27</v>
      </c>
      <c r="F573">
        <v>98759.86722</v>
      </c>
      <c r="G573">
        <v>0</v>
      </c>
      <c r="L573" t="s">
        <v>8</v>
      </c>
      <c r="M573" t="s">
        <v>7</v>
      </c>
      <c r="N573" t="s">
        <v>8</v>
      </c>
      <c r="P573">
        <f t="shared" si="984"/>
        <v>0.32926829268292185</v>
      </c>
      <c r="Q573">
        <f t="shared" si="985"/>
        <v>32518.492865121458</v>
      </c>
      <c r="R573">
        <f t="shared" si="986"/>
        <v>910318.90472721017</v>
      </c>
      <c r="S573">
        <f t="shared" si="987"/>
        <v>9.1031890472721013</v>
      </c>
      <c r="T573">
        <f t="shared" si="988"/>
        <v>9.1031890472721005E-3</v>
      </c>
    </row>
    <row r="574" spans="1:104" x14ac:dyDescent="0.25">
      <c r="A574" s="5">
        <v>44019</v>
      </c>
      <c r="B574">
        <v>64.91</v>
      </c>
      <c r="C574">
        <v>65.14</v>
      </c>
      <c r="D574">
        <v>63.71</v>
      </c>
      <c r="E574">
        <v>64.59</v>
      </c>
      <c r="F574">
        <v>37895.556140000001</v>
      </c>
      <c r="G574">
        <v>0</v>
      </c>
      <c r="L574" t="s">
        <v>7</v>
      </c>
      <c r="M574" t="s">
        <v>7</v>
      </c>
      <c r="N574" t="s">
        <v>8</v>
      </c>
      <c r="P574">
        <f t="shared" si="984"/>
        <v>0.23076923076923458</v>
      </c>
      <c r="Q574">
        <f t="shared" si="985"/>
        <v>8745.1283400001448</v>
      </c>
      <c r="R574">
        <f t="shared" si="986"/>
        <v>877800.41186208872</v>
      </c>
      <c r="S574">
        <f t="shared" si="987"/>
        <v>8.7780041186208866</v>
      </c>
      <c r="T574">
        <f t="shared" si="988"/>
        <v>8.7780041186208864E-3</v>
      </c>
    </row>
    <row r="575" spans="1:104" x14ac:dyDescent="0.25">
      <c r="A575" s="5">
        <v>44018</v>
      </c>
      <c r="B575">
        <v>63.23</v>
      </c>
      <c r="C575">
        <v>65.040000000000006</v>
      </c>
      <c r="D575">
        <v>62.8</v>
      </c>
      <c r="E575">
        <v>64.95</v>
      </c>
      <c r="F575">
        <v>71963.240040000004</v>
      </c>
      <c r="G575">
        <v>0</v>
      </c>
      <c r="L575" t="s">
        <v>7</v>
      </c>
      <c r="M575" t="s">
        <v>7</v>
      </c>
      <c r="N575" t="s">
        <v>8</v>
      </c>
      <c r="P575">
        <f t="shared" si="984"/>
        <v>0.91964285714285443</v>
      </c>
      <c r="Q575">
        <f t="shared" si="985"/>
        <v>66180.479679642667</v>
      </c>
      <c r="R575">
        <f t="shared" si="986"/>
        <v>869055.28352208855</v>
      </c>
      <c r="S575">
        <f t="shared" si="987"/>
        <v>8.6905528352208847</v>
      </c>
      <c r="T575">
        <f t="shared" si="988"/>
        <v>8.6905528352208845E-3</v>
      </c>
    </row>
    <row r="576" spans="1:104" x14ac:dyDescent="0.25">
      <c r="A576" s="5">
        <v>44017</v>
      </c>
      <c r="B576">
        <v>64.23</v>
      </c>
      <c r="C576">
        <v>64.64</v>
      </c>
      <c r="D576">
        <v>61.34</v>
      </c>
      <c r="E576">
        <v>63.33</v>
      </c>
      <c r="F576">
        <v>115618.84926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0.206060606060604</v>
      </c>
      <c r="Q576">
        <f t="shared" si="985"/>
        <v>23824.490150545218</v>
      </c>
      <c r="R576">
        <f t="shared" si="986"/>
        <v>802874.80384244584</v>
      </c>
      <c r="S576">
        <f t="shared" si="987"/>
        <v>8.0287480384244585</v>
      </c>
      <c r="T576">
        <f t="shared" si="988"/>
        <v>8.0287480384244585E-3</v>
      </c>
    </row>
    <row r="577" spans="1:20" x14ac:dyDescent="0.25">
      <c r="A577" s="5">
        <v>44016</v>
      </c>
      <c r="B577">
        <v>62.62</v>
      </c>
      <c r="C577">
        <v>64.849999999999994</v>
      </c>
      <c r="D577">
        <v>62.46</v>
      </c>
      <c r="E577">
        <v>64.22</v>
      </c>
      <c r="F577">
        <v>87714.301120000004</v>
      </c>
      <c r="G577">
        <v>0</v>
      </c>
      <c r="L577" t="s">
        <v>7</v>
      </c>
      <c r="M577" t="s">
        <v>7</v>
      </c>
      <c r="N577" t="s">
        <v>8</v>
      </c>
      <c r="P577">
        <f t="shared" si="984"/>
        <v>0.47280334728033707</v>
      </c>
      <c r="Q577">
        <f t="shared" si="985"/>
        <v>41471.61517389142</v>
      </c>
      <c r="R577">
        <f t="shared" si="986"/>
        <v>779050.31369190058</v>
      </c>
      <c r="S577">
        <f t="shared" si="987"/>
        <v>7.7905031369190061</v>
      </c>
      <c r="T577">
        <f t="shared" si="988"/>
        <v>7.7905031369190064E-3</v>
      </c>
    </row>
    <row r="578" spans="1:20" x14ac:dyDescent="0.25">
      <c r="A578" s="5">
        <v>44015</v>
      </c>
      <c r="B578">
        <v>65.2</v>
      </c>
      <c r="C578">
        <v>67.5</v>
      </c>
      <c r="D578">
        <v>62.41</v>
      </c>
      <c r="E578">
        <v>62.66</v>
      </c>
      <c r="F578">
        <v>109839.46029</v>
      </c>
      <c r="G578">
        <v>0</v>
      </c>
      <c r="L578" t="s">
        <v>7</v>
      </c>
      <c r="M578" t="s">
        <v>7</v>
      </c>
      <c r="N578" t="s">
        <v>8</v>
      </c>
      <c r="P578">
        <f t="shared" si="984"/>
        <v>-0.90176817288801581</v>
      </c>
      <c r="Q578">
        <f t="shared" si="985"/>
        <v>-99049.72941671907</v>
      </c>
      <c r="R578">
        <f t="shared" si="986"/>
        <v>737578.69851800916</v>
      </c>
      <c r="S578">
        <f t="shared" si="987"/>
        <v>7.3757869851800919</v>
      </c>
      <c r="T578">
        <f t="shared" si="988"/>
        <v>7.3757869851800916E-3</v>
      </c>
    </row>
    <row r="579" spans="1:20" x14ac:dyDescent="0.25">
      <c r="A579" s="5">
        <v>44014</v>
      </c>
      <c r="B579">
        <v>64.510000000000005</v>
      </c>
      <c r="C579">
        <v>66.72</v>
      </c>
      <c r="D579">
        <v>62.38</v>
      </c>
      <c r="E579">
        <v>65.2</v>
      </c>
      <c r="F579">
        <v>99637.903420000002</v>
      </c>
      <c r="G579">
        <v>0</v>
      </c>
      <c r="L579" t="s">
        <v>8</v>
      </c>
      <c r="M579" t="s">
        <v>7</v>
      </c>
      <c r="N579" t="s">
        <v>8</v>
      </c>
      <c r="P579">
        <f t="shared" si="984"/>
        <v>0.2995391705069137</v>
      </c>
      <c r="Q579">
        <f t="shared" si="985"/>
        <v>29845.454941474782</v>
      </c>
      <c r="R579">
        <f t="shared" si="986"/>
        <v>836628.42793472821</v>
      </c>
      <c r="S579">
        <f t="shared" si="987"/>
        <v>8.3662842793472816</v>
      </c>
      <c r="T579">
        <f t="shared" si="988"/>
        <v>8.3662842793472813E-3</v>
      </c>
    </row>
    <row r="580" spans="1:20" x14ac:dyDescent="0.25">
      <c r="A580" s="5">
        <v>44013</v>
      </c>
      <c r="B580">
        <v>63.5</v>
      </c>
      <c r="C580">
        <v>64.86</v>
      </c>
      <c r="D580">
        <v>63.22</v>
      </c>
      <c r="E580">
        <v>64.52</v>
      </c>
      <c r="F580">
        <v>53259.376909999999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0.58536585365853255</v>
      </c>
      <c r="Q580">
        <f t="shared" si="985"/>
        <v>31176.220630243686</v>
      </c>
      <c r="R580">
        <f t="shared" si="986"/>
        <v>806782.97299325338</v>
      </c>
      <c r="S580">
        <f t="shared" si="987"/>
        <v>8.0678297299325337</v>
      </c>
      <c r="T580">
        <f t="shared" si="988"/>
        <v>8.0678297299325331E-3</v>
      </c>
    </row>
    <row r="581" spans="1:20" x14ac:dyDescent="0.25">
      <c r="A581" s="5">
        <v>44012</v>
      </c>
      <c r="B581">
        <v>64.180000000000007</v>
      </c>
      <c r="C581">
        <v>64.599999999999994</v>
      </c>
      <c r="D581">
        <v>63.27</v>
      </c>
      <c r="E581">
        <v>63.48</v>
      </c>
      <c r="F581">
        <v>48284.17093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-0.68421052631579682</v>
      </c>
      <c r="Q581">
        <f t="shared" si="985"/>
        <v>-33036.538004737195</v>
      </c>
      <c r="R581">
        <f t="shared" si="986"/>
        <v>775606.75236300973</v>
      </c>
      <c r="S581">
        <f t="shared" si="987"/>
        <v>7.7560675236300973</v>
      </c>
      <c r="T581">
        <f t="shared" si="988"/>
        <v>7.7560675236300969E-3</v>
      </c>
    </row>
    <row r="582" spans="1:20" x14ac:dyDescent="0.25">
      <c r="A582" s="5">
        <v>44011</v>
      </c>
      <c r="B582">
        <v>63.31</v>
      </c>
      <c r="C582">
        <v>64.87</v>
      </c>
      <c r="D582">
        <v>62.47</v>
      </c>
      <c r="E582">
        <v>64.19</v>
      </c>
      <c r="F582">
        <v>42987.61591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0.43333333333332902</v>
      </c>
      <c r="Q582">
        <f t="shared" ref="Q582:Q645" si="990">F582*P582</f>
        <v>18627.966894333149</v>
      </c>
      <c r="R582">
        <f t="shared" ref="R582:R645" si="991">R583+Q582</f>
        <v>808643.29036774696</v>
      </c>
      <c r="S582">
        <f t="shared" ref="S582:S645" si="992">R582/100000</f>
        <v>8.0864329036774691</v>
      </c>
      <c r="T582">
        <f t="shared" ref="T582:T645" si="993">S582/1000</f>
        <v>8.086432903677469E-3</v>
      </c>
    </row>
    <row r="583" spans="1:20" x14ac:dyDescent="0.25">
      <c r="A583" s="5">
        <v>44010</v>
      </c>
      <c r="B583">
        <v>62.14</v>
      </c>
      <c r="C583">
        <v>63.62</v>
      </c>
      <c r="D583">
        <v>61.76</v>
      </c>
      <c r="E583">
        <v>63.29</v>
      </c>
      <c r="F583">
        <v>40556.069770000002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0.6451612903225824</v>
      </c>
      <c r="Q583">
        <f t="shared" si="990"/>
        <v>26165.206303225877</v>
      </c>
      <c r="R583">
        <f t="shared" si="991"/>
        <v>790015.32347341382</v>
      </c>
      <c r="S583">
        <f t="shared" si="992"/>
        <v>7.9001532347341383</v>
      </c>
      <c r="T583">
        <f t="shared" si="993"/>
        <v>7.9001532347341384E-3</v>
      </c>
    </row>
    <row r="584" spans="1:20" x14ac:dyDescent="0.25">
      <c r="A584" s="5">
        <v>44009</v>
      </c>
      <c r="B584">
        <v>64.02</v>
      </c>
      <c r="C584">
        <v>64.34</v>
      </c>
      <c r="D584">
        <v>60.26</v>
      </c>
      <c r="E584">
        <v>62.08</v>
      </c>
      <c r="F584">
        <v>56791.019339999999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-0.10784313725490301</v>
      </c>
      <c r="Q584">
        <f t="shared" si="990"/>
        <v>-6124.5216935294711</v>
      </c>
      <c r="R584">
        <f t="shared" si="991"/>
        <v>763850.11717018799</v>
      </c>
      <c r="S584">
        <f t="shared" si="992"/>
        <v>7.63850117170188</v>
      </c>
      <c r="T584">
        <f t="shared" si="993"/>
        <v>7.6385011717018799E-3</v>
      </c>
    </row>
    <row r="585" spans="1:20" x14ac:dyDescent="0.25">
      <c r="A585" s="5">
        <v>44008</v>
      </c>
      <c r="B585">
        <v>64.28</v>
      </c>
      <c r="C585">
        <v>64.62</v>
      </c>
      <c r="D585">
        <v>63</v>
      </c>
      <c r="E585">
        <v>64</v>
      </c>
      <c r="F585">
        <v>48994.170290000002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0.23456790123456445</v>
      </c>
      <c r="Q585">
        <f t="shared" si="990"/>
        <v>11492.459697654152</v>
      </c>
      <c r="R585">
        <f t="shared" si="991"/>
        <v>769974.63886371744</v>
      </c>
      <c r="S585">
        <f t="shared" si="992"/>
        <v>7.6997463886371742</v>
      </c>
      <c r="T585">
        <f t="shared" si="993"/>
        <v>7.699746388637174E-3</v>
      </c>
    </row>
    <row r="586" spans="1:20" x14ac:dyDescent="0.25">
      <c r="A586" s="5">
        <v>44007</v>
      </c>
      <c r="B586">
        <v>64.88</v>
      </c>
      <c r="C586">
        <v>65.12</v>
      </c>
      <c r="D586">
        <v>63.08</v>
      </c>
      <c r="E586">
        <v>64.3</v>
      </c>
      <c r="F586">
        <v>43956.74942</v>
      </c>
      <c r="G586">
        <v>0</v>
      </c>
      <c r="L586" t="s">
        <v>8</v>
      </c>
      <c r="M586" t="s">
        <v>7</v>
      </c>
      <c r="N586" t="s">
        <v>8</v>
      </c>
      <c r="P586">
        <f t="shared" si="989"/>
        <v>0.19607843137254424</v>
      </c>
      <c r="Q586">
        <f t="shared" si="990"/>
        <v>8618.9704745095933</v>
      </c>
      <c r="R586">
        <f t="shared" si="991"/>
        <v>758482.17916606332</v>
      </c>
      <c r="S586">
        <f t="shared" si="992"/>
        <v>7.5848217916606329</v>
      </c>
      <c r="T586">
        <f t="shared" si="993"/>
        <v>7.5848217916606332E-3</v>
      </c>
    </row>
    <row r="587" spans="1:20" x14ac:dyDescent="0.25">
      <c r="A587" s="5">
        <v>44006</v>
      </c>
      <c r="B587">
        <v>66.87</v>
      </c>
      <c r="C587">
        <v>67.41</v>
      </c>
      <c r="D587">
        <v>63.98</v>
      </c>
      <c r="E587">
        <v>64.83</v>
      </c>
      <c r="F587">
        <v>56430.935550000002</v>
      </c>
      <c r="G587">
        <v>0</v>
      </c>
      <c r="L587" t="s">
        <v>8</v>
      </c>
      <c r="M587" t="s">
        <v>7</v>
      </c>
      <c r="N587" t="s">
        <v>8</v>
      </c>
      <c r="P587">
        <f t="shared" si="989"/>
        <v>-0.50437317784256475</v>
      </c>
      <c r="Q587">
        <f t="shared" si="990"/>
        <v>-28462.250291982462</v>
      </c>
      <c r="R587">
        <f t="shared" si="991"/>
        <v>749863.20869155368</v>
      </c>
      <c r="S587">
        <f t="shared" si="992"/>
        <v>7.4986320869155367</v>
      </c>
      <c r="T587">
        <f t="shared" si="993"/>
        <v>7.4986320869155371E-3</v>
      </c>
    </row>
    <row r="588" spans="1:20" x14ac:dyDescent="0.25">
      <c r="A588" s="5">
        <v>44005</v>
      </c>
      <c r="B588">
        <v>66.16</v>
      </c>
      <c r="C588">
        <v>67.33</v>
      </c>
      <c r="D588">
        <v>65.36</v>
      </c>
      <c r="E588">
        <v>66.87</v>
      </c>
      <c r="F588">
        <v>60325.621579999999</v>
      </c>
      <c r="G588">
        <v>0</v>
      </c>
      <c r="L588" t="s">
        <v>8</v>
      </c>
      <c r="M588" t="s">
        <v>7</v>
      </c>
      <c r="N588" t="s">
        <v>8</v>
      </c>
      <c r="P588">
        <f t="shared" si="989"/>
        <v>0.53299492385787406</v>
      </c>
      <c r="Q588">
        <f t="shared" si="990"/>
        <v>32153.250080711023</v>
      </c>
      <c r="R588">
        <f t="shared" si="991"/>
        <v>778325.45898353611</v>
      </c>
      <c r="S588">
        <f t="shared" si="992"/>
        <v>7.7832545898353613</v>
      </c>
      <c r="T588">
        <f t="shared" si="993"/>
        <v>7.783254589835361E-3</v>
      </c>
    </row>
    <row r="589" spans="1:20" x14ac:dyDescent="0.25">
      <c r="A589" s="5">
        <v>44004</v>
      </c>
      <c r="B589">
        <v>64.48</v>
      </c>
      <c r="C589">
        <v>66.930000000000007</v>
      </c>
      <c r="D589">
        <v>64.459999999999994</v>
      </c>
      <c r="E589">
        <v>66.16</v>
      </c>
      <c r="F589">
        <v>59815.29234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0.37651821862347679</v>
      </c>
      <c r="Q589">
        <f t="shared" si="990"/>
        <v>22521.547318299297</v>
      </c>
      <c r="R589">
        <f t="shared" si="991"/>
        <v>746172.20890282514</v>
      </c>
      <c r="S589">
        <f t="shared" si="992"/>
        <v>7.4617220890282514</v>
      </c>
      <c r="T589">
        <f t="shared" si="993"/>
        <v>7.4617220890282514E-3</v>
      </c>
    </row>
    <row r="590" spans="1:20" x14ac:dyDescent="0.25">
      <c r="A590" s="5">
        <v>44003</v>
      </c>
      <c r="B590">
        <v>64.09</v>
      </c>
      <c r="C590">
        <v>65.06</v>
      </c>
      <c r="D590">
        <v>63.84</v>
      </c>
      <c r="E590">
        <v>64.48</v>
      </c>
      <c r="F590">
        <v>32703.552619999999</v>
      </c>
      <c r="G590">
        <v>0</v>
      </c>
      <c r="L590" t="s">
        <v>8</v>
      </c>
      <c r="M590" t="s">
        <v>7</v>
      </c>
      <c r="N590" t="s">
        <v>8</v>
      </c>
      <c r="P590">
        <f t="shared" si="989"/>
        <v>4.9180327868854366E-2</v>
      </c>
      <c r="Q590">
        <f t="shared" si="990"/>
        <v>1608.3714403279312</v>
      </c>
      <c r="R590">
        <f t="shared" si="991"/>
        <v>723650.66158452583</v>
      </c>
      <c r="S590">
        <f t="shared" si="992"/>
        <v>7.2365066158452587</v>
      </c>
      <c r="T590">
        <f t="shared" si="993"/>
        <v>7.2365066158452587E-3</v>
      </c>
    </row>
    <row r="591" spans="1:20" x14ac:dyDescent="0.25">
      <c r="A591" s="5">
        <v>44002</v>
      </c>
      <c r="B591">
        <v>64.13</v>
      </c>
      <c r="C591">
        <v>64.64</v>
      </c>
      <c r="D591">
        <v>63.38</v>
      </c>
      <c r="E591">
        <v>64.06</v>
      </c>
      <c r="F591">
        <v>38798.894899999999</v>
      </c>
      <c r="G591">
        <v>0</v>
      </c>
      <c r="L591" t="s">
        <v>8</v>
      </c>
      <c r="M591" t="s">
        <v>7</v>
      </c>
      <c r="N591" t="s">
        <v>8</v>
      </c>
      <c r="P591">
        <f t="shared" si="989"/>
        <v>7.9365079365080624E-2</v>
      </c>
      <c r="Q591">
        <f t="shared" si="990"/>
        <v>3079.277373015922</v>
      </c>
      <c r="R591">
        <f t="shared" si="991"/>
        <v>722042.29014419788</v>
      </c>
      <c r="S591">
        <f t="shared" si="992"/>
        <v>7.220422901441979</v>
      </c>
      <c r="T591">
        <f t="shared" si="993"/>
        <v>7.220422901441979E-3</v>
      </c>
    </row>
    <row r="592" spans="1:20" x14ac:dyDescent="0.25">
      <c r="A592" s="5">
        <v>44001</v>
      </c>
      <c r="B592">
        <v>64.86</v>
      </c>
      <c r="C592">
        <v>65.34</v>
      </c>
      <c r="D592">
        <v>63.44</v>
      </c>
      <c r="E592">
        <v>64.09</v>
      </c>
      <c r="F592">
        <v>50851.693359999997</v>
      </c>
      <c r="G592">
        <v>0</v>
      </c>
      <c r="L592" t="s">
        <v>8</v>
      </c>
      <c r="M592" t="s">
        <v>7</v>
      </c>
      <c r="N592" t="s">
        <v>8</v>
      </c>
      <c r="P592">
        <f t="shared" si="989"/>
        <v>-0.31578947368420657</v>
      </c>
      <c r="Q592">
        <f t="shared" si="990"/>
        <v>-16058.429482105061</v>
      </c>
      <c r="R592">
        <f t="shared" si="991"/>
        <v>718963.012771182</v>
      </c>
      <c r="S592">
        <f t="shared" si="992"/>
        <v>7.18963012771182</v>
      </c>
      <c r="T592">
        <f t="shared" si="993"/>
        <v>7.1896301277118201E-3</v>
      </c>
    </row>
    <row r="593" spans="1:20" x14ac:dyDescent="0.25">
      <c r="A593" s="5">
        <v>44000</v>
      </c>
      <c r="B593">
        <v>65.099999999999994</v>
      </c>
      <c r="C593">
        <v>65.930000000000007</v>
      </c>
      <c r="D593">
        <v>58.06</v>
      </c>
      <c r="E593">
        <v>64.930000000000007</v>
      </c>
      <c r="F593">
        <v>53662.266869999999</v>
      </c>
      <c r="G593">
        <v>0</v>
      </c>
      <c r="L593" t="s">
        <v>7</v>
      </c>
      <c r="M593" t="s">
        <v>7</v>
      </c>
      <c r="N593" t="s">
        <v>8</v>
      </c>
      <c r="P593">
        <f t="shared" si="989"/>
        <v>0.74587039390088961</v>
      </c>
      <c r="Q593">
        <f t="shared" si="990"/>
        <v>40025.096127941557</v>
      </c>
      <c r="R593">
        <f t="shared" si="991"/>
        <v>735021.44225328707</v>
      </c>
      <c r="S593">
        <f t="shared" si="992"/>
        <v>7.3502144225328703</v>
      </c>
      <c r="T593">
        <f t="shared" si="993"/>
        <v>7.3502144225328706E-3</v>
      </c>
    </row>
    <row r="594" spans="1:20" x14ac:dyDescent="0.25">
      <c r="A594" s="5">
        <v>43999</v>
      </c>
      <c r="B594">
        <v>66.010000000000005</v>
      </c>
      <c r="C594">
        <v>66.959999999999994</v>
      </c>
      <c r="D594">
        <v>64.63</v>
      </c>
      <c r="E594">
        <v>65.09</v>
      </c>
      <c r="F594">
        <v>40350.452250000002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-0.60515021459226759</v>
      </c>
      <c r="Q594">
        <f t="shared" si="990"/>
        <v>-24418.084837982547</v>
      </c>
      <c r="R594">
        <f t="shared" si="991"/>
        <v>694996.34612534556</v>
      </c>
      <c r="S594">
        <f t="shared" si="992"/>
        <v>6.9499634612534553</v>
      </c>
      <c r="T594">
        <f t="shared" si="993"/>
        <v>6.9499634612534555E-3</v>
      </c>
    </row>
    <row r="595" spans="1:20" x14ac:dyDescent="0.25">
      <c r="A595" s="5">
        <v>43998</v>
      </c>
      <c r="B595">
        <v>64.52</v>
      </c>
      <c r="C595">
        <v>66</v>
      </c>
      <c r="D595">
        <v>64.27</v>
      </c>
      <c r="E595">
        <v>66</v>
      </c>
      <c r="F595">
        <v>30699.429069999998</v>
      </c>
      <c r="G595">
        <v>0</v>
      </c>
      <c r="L595" t="s">
        <v>7</v>
      </c>
      <c r="M595" t="s">
        <v>8</v>
      </c>
      <c r="N595" t="s">
        <v>8</v>
      </c>
      <c r="P595">
        <f t="shared" si="989"/>
        <v>1</v>
      </c>
      <c r="Q595">
        <f t="shared" si="990"/>
        <v>30699.429069999998</v>
      </c>
      <c r="R595">
        <f t="shared" si="991"/>
        <v>719414.43096332811</v>
      </c>
      <c r="S595">
        <f t="shared" si="992"/>
        <v>7.1941443096332813</v>
      </c>
      <c r="T595">
        <f t="shared" si="993"/>
        <v>7.1941443096332812E-3</v>
      </c>
    </row>
    <row r="596" spans="1:20" x14ac:dyDescent="0.25">
      <c r="A596" s="5">
        <v>43997</v>
      </c>
      <c r="B596">
        <v>65.400000000000006</v>
      </c>
      <c r="C596">
        <v>65.66</v>
      </c>
      <c r="D596">
        <v>61.87</v>
      </c>
      <c r="E596">
        <v>64.53</v>
      </c>
      <c r="F596">
        <v>60095.559670000002</v>
      </c>
      <c r="G596">
        <v>0</v>
      </c>
      <c r="L596" t="s">
        <v>7</v>
      </c>
      <c r="M596" t="s">
        <v>8</v>
      </c>
      <c r="N596" t="s">
        <v>8</v>
      </c>
      <c r="P596">
        <f t="shared" si="989"/>
        <v>0.40369393139841914</v>
      </c>
      <c r="Q596">
        <f t="shared" si="990"/>
        <v>24260.212742770585</v>
      </c>
      <c r="R596">
        <f t="shared" si="991"/>
        <v>688715.00189332815</v>
      </c>
      <c r="S596">
        <f t="shared" si="992"/>
        <v>6.8871500189332817</v>
      </c>
      <c r="T596">
        <f t="shared" si="993"/>
        <v>6.8871500189332819E-3</v>
      </c>
    </row>
    <row r="597" spans="1:20" x14ac:dyDescent="0.25">
      <c r="A597" s="5">
        <v>43996</v>
      </c>
      <c r="B597">
        <v>66.540000000000006</v>
      </c>
      <c r="C597">
        <v>66.599999999999994</v>
      </c>
      <c r="D597">
        <v>64.5</v>
      </c>
      <c r="E597">
        <v>65.39</v>
      </c>
      <c r="F597">
        <v>32749.567220000001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-0.15238095238094954</v>
      </c>
      <c r="Q597">
        <f t="shared" si="990"/>
        <v>-4990.4102430475259</v>
      </c>
      <c r="R597">
        <f t="shared" si="991"/>
        <v>664454.7891505576</v>
      </c>
      <c r="S597">
        <f t="shared" si="992"/>
        <v>6.6445478915055762</v>
      </c>
      <c r="T597">
        <f t="shared" si="993"/>
        <v>6.6445478915055766E-3</v>
      </c>
    </row>
    <row r="598" spans="1:20" x14ac:dyDescent="0.25">
      <c r="A598" s="5">
        <v>43995</v>
      </c>
      <c r="B598">
        <v>65.7</v>
      </c>
      <c r="C598">
        <v>66.58</v>
      </c>
      <c r="D598">
        <v>65.03</v>
      </c>
      <c r="E598">
        <v>66.58</v>
      </c>
      <c r="F598">
        <v>26907.53083</v>
      </c>
      <c r="G598">
        <v>0</v>
      </c>
      <c r="L598" t="s">
        <v>7</v>
      </c>
      <c r="M598" t="s">
        <v>8</v>
      </c>
      <c r="N598" t="s">
        <v>8</v>
      </c>
      <c r="P598">
        <f t="shared" si="989"/>
        <v>1</v>
      </c>
      <c r="Q598">
        <f t="shared" si="990"/>
        <v>26907.53083</v>
      </c>
      <c r="R598">
        <f t="shared" si="991"/>
        <v>669445.19939360511</v>
      </c>
      <c r="S598">
        <f t="shared" si="992"/>
        <v>6.6944519939360507</v>
      </c>
      <c r="T598">
        <f t="shared" si="993"/>
        <v>6.6944519939360504E-3</v>
      </c>
    </row>
    <row r="599" spans="1:20" x14ac:dyDescent="0.25">
      <c r="A599" s="5">
        <v>43994</v>
      </c>
      <c r="B599">
        <v>63.72</v>
      </c>
      <c r="C599">
        <v>66.58</v>
      </c>
      <c r="D599">
        <v>62.91</v>
      </c>
      <c r="E599">
        <v>65.69</v>
      </c>
      <c r="F599">
        <v>42444.526899999997</v>
      </c>
      <c r="G599">
        <v>0</v>
      </c>
      <c r="L599" t="s">
        <v>7</v>
      </c>
      <c r="M599" t="s">
        <v>8</v>
      </c>
      <c r="N599" t="s">
        <v>8</v>
      </c>
      <c r="P599">
        <f t="shared" si="989"/>
        <v>0.51498637602179831</v>
      </c>
      <c r="Q599">
        <f t="shared" si="990"/>
        <v>21858.353090190732</v>
      </c>
      <c r="R599">
        <f t="shared" si="991"/>
        <v>642537.66856360517</v>
      </c>
      <c r="S599">
        <f t="shared" si="992"/>
        <v>6.4253766856360519</v>
      </c>
      <c r="T599">
        <f t="shared" si="993"/>
        <v>6.4253766856360523E-3</v>
      </c>
    </row>
    <row r="600" spans="1:20" x14ac:dyDescent="0.25">
      <c r="A600" s="5">
        <v>43993</v>
      </c>
      <c r="B600">
        <v>69.69</v>
      </c>
      <c r="C600">
        <v>70.069999999999993</v>
      </c>
      <c r="D600">
        <v>63</v>
      </c>
      <c r="E600">
        <v>63.71</v>
      </c>
      <c r="F600">
        <v>66936.743560000003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-0.79915134370579877</v>
      </c>
      <c r="Q600">
        <f t="shared" si="990"/>
        <v>-53492.588559264477</v>
      </c>
      <c r="R600">
        <f t="shared" si="991"/>
        <v>620679.31547341449</v>
      </c>
      <c r="S600">
        <f t="shared" si="992"/>
        <v>6.2067931547341448</v>
      </c>
      <c r="T600">
        <f t="shared" si="993"/>
        <v>6.2067931547341451E-3</v>
      </c>
    </row>
    <row r="601" spans="1:20" x14ac:dyDescent="0.25">
      <c r="A601" s="5">
        <v>43992</v>
      </c>
      <c r="B601">
        <v>68.06</v>
      </c>
      <c r="C601">
        <v>69.709999999999994</v>
      </c>
      <c r="D601">
        <v>67.42</v>
      </c>
      <c r="E601">
        <v>69.67</v>
      </c>
      <c r="F601">
        <v>60364.505069999999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0.96506550218341292</v>
      </c>
      <c r="Q601">
        <f t="shared" si="990"/>
        <v>58255.701399432721</v>
      </c>
      <c r="R601">
        <f t="shared" si="991"/>
        <v>674171.90403267893</v>
      </c>
      <c r="S601">
        <f t="shared" si="992"/>
        <v>6.7417190403267888</v>
      </c>
      <c r="T601">
        <f t="shared" si="993"/>
        <v>6.741719040326789E-3</v>
      </c>
    </row>
    <row r="602" spans="1:20" x14ac:dyDescent="0.25">
      <c r="A602" s="5">
        <v>43991</v>
      </c>
      <c r="B602">
        <v>68.28</v>
      </c>
      <c r="C602">
        <v>68.790000000000006</v>
      </c>
      <c r="D602">
        <v>67.08</v>
      </c>
      <c r="E602">
        <v>67.989999999999995</v>
      </c>
      <c r="F602">
        <v>38852.992830000003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6.4327485380108018E-2</v>
      </c>
      <c r="Q602">
        <f t="shared" si="990"/>
        <v>2499.3153282452668</v>
      </c>
      <c r="R602">
        <f t="shared" si="991"/>
        <v>615916.2026332462</v>
      </c>
      <c r="S602">
        <f t="shared" si="992"/>
        <v>6.1591620263324618</v>
      </c>
      <c r="T602">
        <f t="shared" si="993"/>
        <v>6.1591620263324615E-3</v>
      </c>
    </row>
    <row r="603" spans="1:20" x14ac:dyDescent="0.25">
      <c r="A603" s="5">
        <v>43990</v>
      </c>
      <c r="B603">
        <v>66.400000000000006</v>
      </c>
      <c r="C603">
        <v>68.34</v>
      </c>
      <c r="D603">
        <v>66.22</v>
      </c>
      <c r="E603">
        <v>68.28</v>
      </c>
      <c r="F603">
        <v>44730.646370000002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0.94339622641509235</v>
      </c>
      <c r="Q603">
        <f t="shared" si="990"/>
        <v>42198.722990565948</v>
      </c>
      <c r="R603">
        <f t="shared" si="991"/>
        <v>613416.88730500091</v>
      </c>
      <c r="S603">
        <f t="shared" si="992"/>
        <v>6.134168873050009</v>
      </c>
      <c r="T603">
        <f t="shared" si="993"/>
        <v>6.1341688730500088E-3</v>
      </c>
    </row>
    <row r="604" spans="1:20" x14ac:dyDescent="0.25">
      <c r="A604" s="5">
        <v>43989</v>
      </c>
      <c r="B604">
        <v>67.650000000000006</v>
      </c>
      <c r="C604">
        <v>68.14</v>
      </c>
      <c r="D604">
        <v>64.64</v>
      </c>
      <c r="E604">
        <v>66.39</v>
      </c>
      <c r="F604">
        <v>66950.268710000004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</v>
      </c>
      <c r="Q604">
        <f t="shared" si="990"/>
        <v>0</v>
      </c>
      <c r="R604">
        <f t="shared" si="991"/>
        <v>571218.16431443498</v>
      </c>
      <c r="S604">
        <f t="shared" si="992"/>
        <v>5.7121816431443495</v>
      </c>
      <c r="T604">
        <f t="shared" si="993"/>
        <v>5.7121816431443496E-3</v>
      </c>
    </row>
    <row r="605" spans="1:20" x14ac:dyDescent="0.25">
      <c r="A605" s="5">
        <v>43988</v>
      </c>
      <c r="B605">
        <v>67.430000000000007</v>
      </c>
      <c r="C605">
        <v>68.12</v>
      </c>
      <c r="D605">
        <v>66.959999999999994</v>
      </c>
      <c r="E605">
        <v>67.7</v>
      </c>
      <c r="F605">
        <v>38534.437749999997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0.27586206896552107</v>
      </c>
      <c r="Q605">
        <f t="shared" si="990"/>
        <v>10630.189724138078</v>
      </c>
      <c r="R605">
        <f t="shared" si="991"/>
        <v>571218.16431443498</v>
      </c>
      <c r="S605">
        <f t="shared" si="992"/>
        <v>5.7121816431443495</v>
      </c>
      <c r="T605">
        <f t="shared" si="993"/>
        <v>5.7121816431443496E-3</v>
      </c>
    </row>
    <row r="606" spans="1:20" x14ac:dyDescent="0.25">
      <c r="A606" s="5">
        <v>43987</v>
      </c>
      <c r="B606">
        <v>68.13</v>
      </c>
      <c r="C606">
        <v>69.209999999999994</v>
      </c>
      <c r="D606">
        <v>67.17</v>
      </c>
      <c r="E606">
        <v>67.45</v>
      </c>
      <c r="F606">
        <v>37004.319750000002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-0.72549019607842924</v>
      </c>
      <c r="Q606">
        <f t="shared" si="990"/>
        <v>-26846.271191176394</v>
      </c>
      <c r="R606">
        <f t="shared" si="991"/>
        <v>560587.97459029686</v>
      </c>
      <c r="S606">
        <f t="shared" si="992"/>
        <v>5.6058797459029686</v>
      </c>
      <c r="T606">
        <f t="shared" si="993"/>
        <v>5.605879745902969E-3</v>
      </c>
    </row>
    <row r="607" spans="1:20" x14ac:dyDescent="0.25">
      <c r="A607" s="5">
        <v>43986</v>
      </c>
      <c r="B607">
        <v>67.17</v>
      </c>
      <c r="C607">
        <v>68.75</v>
      </c>
      <c r="D607">
        <v>65.58</v>
      </c>
      <c r="E607">
        <v>68.14</v>
      </c>
      <c r="F607">
        <v>61016.618459999998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0.61514195583596276</v>
      </c>
      <c r="Q607">
        <f t="shared" si="990"/>
        <v>37533.882017981108</v>
      </c>
      <c r="R607">
        <f t="shared" si="991"/>
        <v>587434.24578147323</v>
      </c>
      <c r="S607">
        <f t="shared" si="992"/>
        <v>5.8743424578147323</v>
      </c>
      <c r="T607">
        <f t="shared" si="993"/>
        <v>5.8743424578147326E-3</v>
      </c>
    </row>
    <row r="608" spans="1:20" x14ac:dyDescent="0.25">
      <c r="A608" s="5">
        <v>43985</v>
      </c>
      <c r="B608">
        <v>66.59</v>
      </c>
      <c r="C608">
        <v>68.209999999999994</v>
      </c>
      <c r="D608">
        <v>66.03</v>
      </c>
      <c r="E608">
        <v>67.16</v>
      </c>
      <c r="F608">
        <v>37779.184930000003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3.6697247706421361E-2</v>
      </c>
      <c r="Q608">
        <f t="shared" si="990"/>
        <v>1386.3921075229111</v>
      </c>
      <c r="R608">
        <f t="shared" si="991"/>
        <v>549900.36376349209</v>
      </c>
      <c r="S608">
        <f t="shared" si="992"/>
        <v>5.4990036376349209</v>
      </c>
      <c r="T608">
        <f t="shared" si="993"/>
        <v>5.4990036376349211E-3</v>
      </c>
    </row>
    <row r="609" spans="1:20" x14ac:dyDescent="0.25">
      <c r="A609" s="5">
        <v>43984</v>
      </c>
      <c r="B609">
        <v>67.72</v>
      </c>
      <c r="C609">
        <v>70.31</v>
      </c>
      <c r="D609">
        <v>63.61</v>
      </c>
      <c r="E609">
        <v>66.66</v>
      </c>
      <c r="F609">
        <v>78751.553029999995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-8.9552238805971379E-2</v>
      </c>
      <c r="Q609">
        <f t="shared" si="990"/>
        <v>-7052.3778832836788</v>
      </c>
      <c r="R609">
        <f t="shared" si="991"/>
        <v>548513.97165596916</v>
      </c>
      <c r="S609">
        <f t="shared" si="992"/>
        <v>5.4851397165596918</v>
      </c>
      <c r="T609">
        <f t="shared" si="993"/>
        <v>5.4851397165596918E-3</v>
      </c>
    </row>
    <row r="610" spans="1:20" x14ac:dyDescent="0.25">
      <c r="A610" s="5">
        <v>43983</v>
      </c>
      <c r="B610">
        <v>64.92</v>
      </c>
      <c r="C610">
        <v>68.47</v>
      </c>
      <c r="D610">
        <v>63.3</v>
      </c>
      <c r="E610">
        <v>67.72</v>
      </c>
      <c r="F610">
        <v>79408.304999999993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0.70986460348162483</v>
      </c>
      <c r="Q610">
        <f t="shared" si="990"/>
        <v>56369.144941972925</v>
      </c>
      <c r="R610">
        <f t="shared" si="991"/>
        <v>555566.34953925281</v>
      </c>
      <c r="S610">
        <f t="shared" si="992"/>
        <v>5.5556634953925279</v>
      </c>
      <c r="T610">
        <f t="shared" si="993"/>
        <v>5.555663495392528E-3</v>
      </c>
    </row>
    <row r="611" spans="1:20" x14ac:dyDescent="0.25">
      <c r="A611" s="5">
        <v>43982</v>
      </c>
      <c r="B611">
        <v>68.36</v>
      </c>
      <c r="C611">
        <v>68.7</v>
      </c>
      <c r="D611">
        <v>63.75</v>
      </c>
      <c r="E611">
        <v>64.94</v>
      </c>
      <c r="F611">
        <v>71165.385389999996</v>
      </c>
      <c r="G611">
        <v>0</v>
      </c>
      <c r="L611" t="s">
        <v>7</v>
      </c>
      <c r="M611" t="s">
        <v>8</v>
      </c>
      <c r="N611" t="s">
        <v>8</v>
      </c>
      <c r="P611">
        <f t="shared" si="989"/>
        <v>-0.51919191919192043</v>
      </c>
      <c r="Q611">
        <f t="shared" si="990"/>
        <v>-36948.493020666756</v>
      </c>
      <c r="R611">
        <f t="shared" si="991"/>
        <v>499197.2045972799</v>
      </c>
      <c r="S611">
        <f t="shared" si="992"/>
        <v>4.9919720459727985</v>
      </c>
      <c r="T611">
        <f t="shared" si="993"/>
        <v>4.9919720459727984E-3</v>
      </c>
    </row>
    <row r="612" spans="1:20" x14ac:dyDescent="0.25">
      <c r="A612" s="5">
        <v>43981</v>
      </c>
      <c r="B612">
        <v>66.069999999999993</v>
      </c>
      <c r="C612">
        <v>68.8</v>
      </c>
      <c r="D612">
        <v>65.33</v>
      </c>
      <c r="E612">
        <v>68.36</v>
      </c>
      <c r="F612">
        <v>70693.198359999995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0.74639769452449689</v>
      </c>
      <c r="Q612">
        <f t="shared" si="990"/>
        <v>52765.240274466938</v>
      </c>
      <c r="R612">
        <f t="shared" si="991"/>
        <v>536145.69761794666</v>
      </c>
      <c r="S612">
        <f t="shared" si="992"/>
        <v>5.3614569761794666</v>
      </c>
      <c r="T612">
        <f t="shared" si="993"/>
        <v>5.3614569761794668E-3</v>
      </c>
    </row>
    <row r="613" spans="1:20" x14ac:dyDescent="0.25">
      <c r="A613" s="5">
        <v>43980</v>
      </c>
      <c r="B613">
        <v>67.13</v>
      </c>
      <c r="C613">
        <v>67.89</v>
      </c>
      <c r="D613">
        <v>65.88</v>
      </c>
      <c r="E613">
        <v>66.05</v>
      </c>
      <c r="F613">
        <v>51959.2667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-0.83084577114427738</v>
      </c>
      <c r="Q613">
        <f t="shared" si="990"/>
        <v>-43170.137009452672</v>
      </c>
      <c r="R613">
        <f t="shared" si="991"/>
        <v>483380.45734347973</v>
      </c>
      <c r="S613">
        <f t="shared" si="992"/>
        <v>4.8338045734347972</v>
      </c>
      <c r="T613">
        <f t="shared" si="993"/>
        <v>4.8338045734347976E-3</v>
      </c>
    </row>
    <row r="614" spans="1:20" x14ac:dyDescent="0.25">
      <c r="A614" s="5">
        <v>43979</v>
      </c>
      <c r="B614">
        <v>64.5</v>
      </c>
      <c r="C614">
        <v>67.56</v>
      </c>
      <c r="D614">
        <v>63.16</v>
      </c>
      <c r="E614">
        <v>67.150000000000006</v>
      </c>
      <c r="F614">
        <v>77866.952290000001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0.81363636363636538</v>
      </c>
      <c r="Q614">
        <f t="shared" si="990"/>
        <v>63355.383908681957</v>
      </c>
      <c r="R614">
        <f t="shared" si="991"/>
        <v>526550.59435293241</v>
      </c>
      <c r="S614">
        <f t="shared" si="992"/>
        <v>5.2655059435293241</v>
      </c>
      <c r="T614">
        <f t="shared" si="993"/>
        <v>5.2655059435293243E-3</v>
      </c>
    </row>
    <row r="615" spans="1:20" x14ac:dyDescent="0.25">
      <c r="A615" s="5">
        <v>43978</v>
      </c>
      <c r="B615">
        <v>61.91</v>
      </c>
      <c r="C615">
        <v>65.569999999999993</v>
      </c>
      <c r="D615">
        <v>61.34</v>
      </c>
      <c r="E615">
        <v>64.47</v>
      </c>
      <c r="F615">
        <v>56913.086439999999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0.47990543735224728</v>
      </c>
      <c r="Q615">
        <f t="shared" si="990"/>
        <v>27312.899639054453</v>
      </c>
      <c r="R615">
        <f t="shared" si="991"/>
        <v>463195.21044425049</v>
      </c>
      <c r="S615">
        <f t="shared" si="992"/>
        <v>4.6319521044425045</v>
      </c>
      <c r="T615">
        <f t="shared" si="993"/>
        <v>4.6319521044425041E-3</v>
      </c>
    </row>
    <row r="616" spans="1:20" x14ac:dyDescent="0.25">
      <c r="A616" s="5">
        <v>43977</v>
      </c>
      <c r="B616">
        <v>61.58</v>
      </c>
      <c r="C616">
        <v>62.36</v>
      </c>
      <c r="D616">
        <v>60.79</v>
      </c>
      <c r="E616">
        <v>61.91</v>
      </c>
      <c r="F616">
        <v>41870.14645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0.42675159235668436</v>
      </c>
      <c r="Q616">
        <f t="shared" si="990"/>
        <v>17868.151669745075</v>
      </c>
      <c r="R616">
        <f t="shared" si="991"/>
        <v>435882.31080519606</v>
      </c>
      <c r="S616">
        <f t="shared" si="992"/>
        <v>4.3588231080519604</v>
      </c>
      <c r="T616">
        <f t="shared" si="993"/>
        <v>4.3588231080519601E-3</v>
      </c>
    </row>
    <row r="617" spans="1:20" x14ac:dyDescent="0.25">
      <c r="A617" s="5">
        <v>43976</v>
      </c>
      <c r="B617">
        <v>60.65</v>
      </c>
      <c r="C617">
        <v>62.4</v>
      </c>
      <c r="D617">
        <v>60.02</v>
      </c>
      <c r="E617">
        <v>61.54</v>
      </c>
      <c r="F617">
        <v>42997.968780000003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0.27731092436974697</v>
      </c>
      <c r="Q617">
        <f t="shared" si="990"/>
        <v>11923.806468403322</v>
      </c>
      <c r="R617">
        <f t="shared" si="991"/>
        <v>418014.15913545096</v>
      </c>
      <c r="S617">
        <f t="shared" si="992"/>
        <v>4.1801415913545092</v>
      </c>
      <c r="T617">
        <f t="shared" si="993"/>
        <v>4.1801415913545088E-3</v>
      </c>
    </row>
    <row r="618" spans="1:20" x14ac:dyDescent="0.25">
      <c r="A618" s="5">
        <v>43975</v>
      </c>
      <c r="B618">
        <v>63.46</v>
      </c>
      <c r="C618">
        <v>63.71</v>
      </c>
      <c r="D618">
        <v>60.58</v>
      </c>
      <c r="E618">
        <v>60.64</v>
      </c>
      <c r="F618">
        <v>54021.436229999999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-0.96166134185303376</v>
      </c>
      <c r="Q618">
        <f t="shared" si="990"/>
        <v>-51950.32685376989</v>
      </c>
      <c r="R618">
        <f t="shared" si="991"/>
        <v>406090.35266704764</v>
      </c>
      <c r="S618">
        <f t="shared" si="992"/>
        <v>4.0609035266704767</v>
      </c>
      <c r="T618">
        <f t="shared" si="993"/>
        <v>4.0609035266704766E-3</v>
      </c>
    </row>
    <row r="619" spans="1:20" x14ac:dyDescent="0.25">
      <c r="A619" s="5">
        <v>43974</v>
      </c>
      <c r="B619">
        <v>62.89</v>
      </c>
      <c r="C619">
        <v>65</v>
      </c>
      <c r="D619">
        <v>62.57</v>
      </c>
      <c r="E619">
        <v>63.46</v>
      </c>
      <c r="F619">
        <v>43248.606489999998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-0.26748971193415583</v>
      </c>
      <c r="Q619">
        <f t="shared" si="990"/>
        <v>-11568.557291563762</v>
      </c>
      <c r="R619">
        <f t="shared" si="991"/>
        <v>458040.67952081753</v>
      </c>
      <c r="S619">
        <f t="shared" si="992"/>
        <v>4.5804067952081757</v>
      </c>
      <c r="T619">
        <f t="shared" si="993"/>
        <v>4.5804067952081758E-3</v>
      </c>
    </row>
    <row r="620" spans="1:20" x14ac:dyDescent="0.25">
      <c r="A620" s="5">
        <v>43973</v>
      </c>
      <c r="B620">
        <v>61.65</v>
      </c>
      <c r="C620">
        <v>63.54</v>
      </c>
      <c r="D620">
        <v>61</v>
      </c>
      <c r="E620">
        <v>62.89</v>
      </c>
      <c r="F620">
        <v>61318.057560000001</v>
      </c>
      <c r="G620">
        <v>0</v>
      </c>
      <c r="L620" t="s">
        <v>7</v>
      </c>
      <c r="M620" t="s">
        <v>8</v>
      </c>
      <c r="N620" t="s">
        <v>8</v>
      </c>
      <c r="P620">
        <f t="shared" si="989"/>
        <v>0.48818897637795372</v>
      </c>
      <c r="Q620">
        <f t="shared" si="990"/>
        <v>29934.799753700849</v>
      </c>
      <c r="R620">
        <f t="shared" si="991"/>
        <v>469609.23681238131</v>
      </c>
      <c r="S620">
        <f t="shared" si="992"/>
        <v>4.6960923681238134</v>
      </c>
      <c r="T620">
        <f t="shared" si="993"/>
        <v>4.6960923681238134E-3</v>
      </c>
    </row>
    <row r="621" spans="1:20" x14ac:dyDescent="0.25">
      <c r="A621" s="5">
        <v>43972</v>
      </c>
      <c r="B621">
        <v>64.69</v>
      </c>
      <c r="C621">
        <v>65.14</v>
      </c>
      <c r="D621">
        <v>59.96</v>
      </c>
      <c r="E621">
        <v>61.65</v>
      </c>
      <c r="F621">
        <v>65248.267489999998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-0.34749034749034835</v>
      </c>
      <c r="Q621">
        <f t="shared" si="990"/>
        <v>-22673.143143243298</v>
      </c>
      <c r="R621">
        <f t="shared" si="991"/>
        <v>439674.43705868046</v>
      </c>
      <c r="S621">
        <f t="shared" si="992"/>
        <v>4.3967443705868048</v>
      </c>
      <c r="T621">
        <f t="shared" si="993"/>
        <v>4.3967443705868045E-3</v>
      </c>
    </row>
    <row r="622" spans="1:20" x14ac:dyDescent="0.25">
      <c r="A622" s="5">
        <v>43971</v>
      </c>
      <c r="B622">
        <v>66.709999999999994</v>
      </c>
      <c r="C622">
        <v>67.09</v>
      </c>
      <c r="D622">
        <v>63.01</v>
      </c>
      <c r="E622">
        <v>64.66</v>
      </c>
      <c r="F622">
        <v>66764.837209999998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-0.19117647058823706</v>
      </c>
      <c r="Q622">
        <f t="shared" si="990"/>
        <v>-12763.865937205999</v>
      </c>
      <c r="R622">
        <f t="shared" si="991"/>
        <v>462347.58020192373</v>
      </c>
      <c r="S622">
        <f t="shared" si="992"/>
        <v>4.6234758020192377</v>
      </c>
      <c r="T622">
        <f t="shared" si="993"/>
        <v>4.6234758020192376E-3</v>
      </c>
    </row>
    <row r="623" spans="1:20" x14ac:dyDescent="0.25">
      <c r="A623" s="5">
        <v>43970</v>
      </c>
      <c r="B623">
        <v>67.02</v>
      </c>
      <c r="C623">
        <v>67.61</v>
      </c>
      <c r="D623">
        <v>64.89</v>
      </c>
      <c r="E623">
        <v>66.7</v>
      </c>
      <c r="F623">
        <v>55491.290679999998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0.33088235294117868</v>
      </c>
      <c r="Q623">
        <f t="shared" si="990"/>
        <v>18361.088827941297</v>
      </c>
      <c r="R623">
        <f t="shared" si="991"/>
        <v>475111.44613912975</v>
      </c>
      <c r="S623">
        <f t="shared" si="992"/>
        <v>4.7511144613912979</v>
      </c>
      <c r="T623">
        <f t="shared" si="993"/>
        <v>4.7511144613912983E-3</v>
      </c>
    </row>
    <row r="624" spans="1:20" x14ac:dyDescent="0.25">
      <c r="A624" s="5">
        <v>43969</v>
      </c>
      <c r="B624">
        <v>65.209999999999994</v>
      </c>
      <c r="C624">
        <v>67.78</v>
      </c>
      <c r="D624">
        <v>65.010000000000005</v>
      </c>
      <c r="E624">
        <v>66.959999999999994</v>
      </c>
      <c r="F624">
        <v>59379.164599999996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0.40794223826714182</v>
      </c>
      <c r="Q624">
        <f t="shared" si="990"/>
        <v>24223.269313357032</v>
      </c>
      <c r="R624">
        <f t="shared" si="991"/>
        <v>456750.35731118848</v>
      </c>
      <c r="S624">
        <f t="shared" si="992"/>
        <v>4.5675035731118845</v>
      </c>
      <c r="T624">
        <f t="shared" si="993"/>
        <v>4.5675035731118849E-3</v>
      </c>
    </row>
    <row r="625" spans="1:20" x14ac:dyDescent="0.25">
      <c r="A625" s="5">
        <v>43968</v>
      </c>
      <c r="B625">
        <v>65.430000000000007</v>
      </c>
      <c r="C625">
        <v>67.150000000000006</v>
      </c>
      <c r="D625">
        <v>64.73</v>
      </c>
      <c r="E625">
        <v>65.22</v>
      </c>
      <c r="F625">
        <v>54596.306409999997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-0.59504132231405416</v>
      </c>
      <c r="Q625">
        <f t="shared" si="990"/>
        <v>-32487.058359669671</v>
      </c>
      <c r="R625">
        <f t="shared" si="991"/>
        <v>432527.08799783146</v>
      </c>
      <c r="S625">
        <f t="shared" si="992"/>
        <v>4.3252708799783148</v>
      </c>
      <c r="T625">
        <f t="shared" si="993"/>
        <v>4.325270879978315E-3</v>
      </c>
    </row>
    <row r="626" spans="1:20" x14ac:dyDescent="0.25">
      <c r="A626" s="5">
        <v>43967</v>
      </c>
      <c r="B626">
        <v>62.73</v>
      </c>
      <c r="C626">
        <v>65.88</v>
      </c>
      <c r="D626">
        <v>62.03</v>
      </c>
      <c r="E626">
        <v>65.42</v>
      </c>
      <c r="F626">
        <v>62814.414230000002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0.76103896103896396</v>
      </c>
      <c r="Q626">
        <f t="shared" si="990"/>
        <v>47804.216543870316</v>
      </c>
      <c r="R626">
        <f t="shared" si="991"/>
        <v>465014.14635750116</v>
      </c>
      <c r="S626">
        <f t="shared" si="992"/>
        <v>4.6501414635750118</v>
      </c>
      <c r="T626">
        <f t="shared" si="993"/>
        <v>4.6501414635750117E-3</v>
      </c>
    </row>
    <row r="627" spans="1:20" x14ac:dyDescent="0.25">
      <c r="A627" s="5">
        <v>43966</v>
      </c>
      <c r="B627">
        <v>65.239999999999995</v>
      </c>
      <c r="C627">
        <v>65.72</v>
      </c>
      <c r="D627">
        <v>62.34</v>
      </c>
      <c r="E627">
        <v>62.77</v>
      </c>
      <c r="F627">
        <v>81238.967850000001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-0.7455621301775146</v>
      </c>
      <c r="Q627">
        <f t="shared" si="990"/>
        <v>-60568.697923668624</v>
      </c>
      <c r="R627">
        <f t="shared" si="991"/>
        <v>417209.92981363082</v>
      </c>
      <c r="S627">
        <f t="shared" si="992"/>
        <v>4.1720992981363079</v>
      </c>
      <c r="T627">
        <f t="shared" si="993"/>
        <v>4.1720992981363076E-3</v>
      </c>
    </row>
    <row r="628" spans="1:20" x14ac:dyDescent="0.25">
      <c r="A628" s="5">
        <v>43965</v>
      </c>
      <c r="B628">
        <v>65.03</v>
      </c>
      <c r="C628">
        <v>65.77</v>
      </c>
      <c r="D628">
        <v>62.66</v>
      </c>
      <c r="E628">
        <v>65.28</v>
      </c>
      <c r="F628">
        <v>100135.35976000001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0.68488745980707721</v>
      </c>
      <c r="Q628">
        <f t="shared" si="990"/>
        <v>68581.452182894223</v>
      </c>
      <c r="R628">
        <f t="shared" si="991"/>
        <v>477778.62773729942</v>
      </c>
      <c r="S628">
        <f t="shared" si="992"/>
        <v>4.7777862773729947</v>
      </c>
      <c r="T628">
        <f t="shared" si="993"/>
        <v>4.7777862773729944E-3</v>
      </c>
    </row>
    <row r="629" spans="1:20" x14ac:dyDescent="0.25">
      <c r="A629" s="5">
        <v>43964</v>
      </c>
      <c r="B629">
        <v>61.54</v>
      </c>
      <c r="C629">
        <v>66.23</v>
      </c>
      <c r="D629">
        <v>61.41</v>
      </c>
      <c r="E629">
        <v>65</v>
      </c>
      <c r="F629">
        <v>116846.55614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0.48962655601659666</v>
      </c>
      <c r="Q629">
        <f t="shared" si="990"/>
        <v>57211.176865228117</v>
      </c>
      <c r="R629">
        <f t="shared" si="991"/>
        <v>409197.1755544052</v>
      </c>
      <c r="S629">
        <f t="shared" si="992"/>
        <v>4.0919717555440522</v>
      </c>
      <c r="T629">
        <f t="shared" si="993"/>
        <v>4.0919717555440525E-3</v>
      </c>
    </row>
    <row r="630" spans="1:20" x14ac:dyDescent="0.25">
      <c r="A630" s="5">
        <v>43963</v>
      </c>
      <c r="B630">
        <v>59.41</v>
      </c>
      <c r="C630">
        <v>62.37</v>
      </c>
      <c r="D630">
        <v>59.16</v>
      </c>
      <c r="E630">
        <v>61.5</v>
      </c>
      <c r="F630">
        <v>67381.496889999995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0.45794392523364658</v>
      </c>
      <c r="Q630">
        <f t="shared" si="990"/>
        <v>30856.947173925346</v>
      </c>
      <c r="R630">
        <f t="shared" si="991"/>
        <v>351985.9986891771</v>
      </c>
      <c r="S630">
        <f t="shared" si="992"/>
        <v>3.5198599868917708</v>
      </c>
      <c r="T630">
        <f t="shared" si="993"/>
        <v>3.5198599868917707E-3</v>
      </c>
    </row>
    <row r="631" spans="1:20" x14ac:dyDescent="0.25">
      <c r="A631" s="5">
        <v>43962</v>
      </c>
      <c r="B631">
        <v>58.77</v>
      </c>
      <c r="C631">
        <v>61.98</v>
      </c>
      <c r="D631">
        <v>55.7</v>
      </c>
      <c r="E631">
        <v>59.36</v>
      </c>
      <c r="F631">
        <v>139601.77309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0.16560509554140129</v>
      </c>
      <c r="Q631">
        <f t="shared" si="990"/>
        <v>23118.764970318476</v>
      </c>
      <c r="R631">
        <f t="shared" si="991"/>
        <v>321129.05151525175</v>
      </c>
      <c r="S631">
        <f t="shared" si="992"/>
        <v>3.2112905151525175</v>
      </c>
      <c r="T631">
        <f t="shared" si="993"/>
        <v>3.2112905151525173E-3</v>
      </c>
    </row>
    <row r="632" spans="1:20" x14ac:dyDescent="0.25">
      <c r="A632" s="5">
        <v>43961</v>
      </c>
      <c r="B632">
        <v>62.97</v>
      </c>
      <c r="C632">
        <v>63.15</v>
      </c>
      <c r="D632">
        <v>53.25</v>
      </c>
      <c r="E632">
        <v>58.85</v>
      </c>
      <c r="F632">
        <v>134564.75291000001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0.13131313131313177</v>
      </c>
      <c r="Q632">
        <f t="shared" si="990"/>
        <v>17670.119068989963</v>
      </c>
      <c r="R632">
        <f t="shared" si="991"/>
        <v>298010.28654493327</v>
      </c>
      <c r="S632">
        <f t="shared" si="992"/>
        <v>2.9801028654493327</v>
      </c>
      <c r="T632">
        <f t="shared" si="993"/>
        <v>2.9801028654493325E-3</v>
      </c>
    </row>
    <row r="633" spans="1:20" x14ac:dyDescent="0.25">
      <c r="A633" s="5">
        <v>43960</v>
      </c>
      <c r="B633">
        <v>63.43</v>
      </c>
      <c r="C633">
        <v>64.92</v>
      </c>
      <c r="D633">
        <v>62.62</v>
      </c>
      <c r="E633">
        <v>63.05</v>
      </c>
      <c r="F633">
        <v>67357.019379999998</v>
      </c>
      <c r="G633">
        <v>0</v>
      </c>
      <c r="L633" t="s">
        <v>8</v>
      </c>
      <c r="M633" t="s">
        <v>7</v>
      </c>
      <c r="N633" t="s">
        <v>8</v>
      </c>
      <c r="P633">
        <f t="shared" si="989"/>
        <v>-0.62608695652174007</v>
      </c>
      <c r="Q633">
        <f t="shared" si="990"/>
        <v>-42171.351264000063</v>
      </c>
      <c r="R633">
        <f t="shared" si="991"/>
        <v>280340.16747594334</v>
      </c>
      <c r="S633">
        <f t="shared" si="992"/>
        <v>2.8034016747594332</v>
      </c>
      <c r="T633">
        <f t="shared" si="993"/>
        <v>2.8034016747594333E-3</v>
      </c>
    </row>
    <row r="634" spans="1:20" x14ac:dyDescent="0.25">
      <c r="A634" s="5">
        <v>43959</v>
      </c>
      <c r="B634">
        <v>64.59</v>
      </c>
      <c r="C634">
        <v>65.930000000000007</v>
      </c>
      <c r="D634">
        <v>63.06</v>
      </c>
      <c r="E634">
        <v>63.39</v>
      </c>
      <c r="F634">
        <v>146156.29751999999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-0.77003484320557647</v>
      </c>
      <c r="Q634">
        <f t="shared" si="990"/>
        <v>-112545.44164432077</v>
      </c>
      <c r="R634">
        <f t="shared" si="991"/>
        <v>322511.51873994339</v>
      </c>
      <c r="S634">
        <f t="shared" si="992"/>
        <v>3.2251151873994339</v>
      </c>
      <c r="T634">
        <f t="shared" si="993"/>
        <v>3.2251151873994338E-3</v>
      </c>
    </row>
    <row r="635" spans="1:20" x14ac:dyDescent="0.25">
      <c r="A635" s="5">
        <v>43958</v>
      </c>
      <c r="B635">
        <v>57.8</v>
      </c>
      <c r="C635">
        <v>64.98</v>
      </c>
      <c r="D635">
        <v>57.2</v>
      </c>
      <c r="E635">
        <v>64.599999999999994</v>
      </c>
      <c r="F635">
        <v>172064.24403999999</v>
      </c>
      <c r="G635">
        <v>0</v>
      </c>
      <c r="L635" t="s">
        <v>8</v>
      </c>
      <c r="M635" t="s">
        <v>7</v>
      </c>
      <c r="N635" t="s">
        <v>8</v>
      </c>
      <c r="P635">
        <f t="shared" si="989"/>
        <v>0.90231362467866072</v>
      </c>
      <c r="Q635">
        <f t="shared" si="990"/>
        <v>155255.91171732603</v>
      </c>
      <c r="R635">
        <f t="shared" si="991"/>
        <v>435056.96038426418</v>
      </c>
      <c r="S635">
        <f t="shared" si="992"/>
        <v>4.3505696038426418</v>
      </c>
      <c r="T635">
        <f t="shared" si="993"/>
        <v>4.350569603842642E-3</v>
      </c>
    </row>
    <row r="636" spans="1:20" x14ac:dyDescent="0.25">
      <c r="A636" s="5">
        <v>43957</v>
      </c>
      <c r="B636">
        <v>60.33</v>
      </c>
      <c r="C636">
        <v>62.06</v>
      </c>
      <c r="D636">
        <v>57.36</v>
      </c>
      <c r="E636">
        <v>57.85</v>
      </c>
      <c r="F636">
        <v>126465.45997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-0.79148936170212691</v>
      </c>
      <c r="Q636">
        <f t="shared" si="990"/>
        <v>-100096.06618902118</v>
      </c>
      <c r="R636">
        <f t="shared" si="991"/>
        <v>279801.04866693815</v>
      </c>
      <c r="S636">
        <f t="shared" si="992"/>
        <v>2.7980104866693813</v>
      </c>
      <c r="T636">
        <f t="shared" si="993"/>
        <v>2.7980104866693815E-3</v>
      </c>
    </row>
    <row r="637" spans="1:20" x14ac:dyDescent="0.25">
      <c r="A637" s="5">
        <v>43956</v>
      </c>
      <c r="B637">
        <v>61.09</v>
      </c>
      <c r="C637">
        <v>62.02</v>
      </c>
      <c r="D637">
        <v>59.7</v>
      </c>
      <c r="E637">
        <v>60.31</v>
      </c>
      <c r="F637">
        <v>57308.976159999998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-0.47413793103448332</v>
      </c>
      <c r="Q637">
        <f t="shared" si="990"/>
        <v>-27172.359386206928</v>
      </c>
      <c r="R637">
        <f t="shared" si="991"/>
        <v>379897.11485595931</v>
      </c>
      <c r="S637">
        <f t="shared" si="992"/>
        <v>3.7989711485595929</v>
      </c>
      <c r="T637">
        <f t="shared" si="993"/>
        <v>3.798971148559593E-3</v>
      </c>
    </row>
    <row r="638" spans="1:20" x14ac:dyDescent="0.25">
      <c r="A638" s="5">
        <v>43955</v>
      </c>
      <c r="B638">
        <v>62.42</v>
      </c>
      <c r="C638">
        <v>62.61</v>
      </c>
      <c r="D638">
        <v>58.53</v>
      </c>
      <c r="E638">
        <v>61.06</v>
      </c>
      <c r="F638">
        <v>73522.354120000004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0.24019607843137361</v>
      </c>
      <c r="Q638">
        <f t="shared" si="990"/>
        <v>17659.781136666745</v>
      </c>
      <c r="R638">
        <f t="shared" si="991"/>
        <v>407069.47424216627</v>
      </c>
      <c r="S638">
        <f t="shared" si="992"/>
        <v>4.0706947424216624</v>
      </c>
      <c r="T638">
        <f t="shared" si="993"/>
        <v>4.070694742421662E-3</v>
      </c>
    </row>
    <row r="639" spans="1:20" x14ac:dyDescent="0.25">
      <c r="A639" s="5">
        <v>43954</v>
      </c>
      <c r="B639">
        <v>64.55</v>
      </c>
      <c r="C639">
        <v>65.12</v>
      </c>
      <c r="D639">
        <v>61.73</v>
      </c>
      <c r="E639">
        <v>62.37</v>
      </c>
      <c r="F639">
        <v>51250.934869999997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-0.62241887905604776</v>
      </c>
      <c r="Q639">
        <f t="shared" si="990"/>
        <v>-31899.549432359909</v>
      </c>
      <c r="R639">
        <f t="shared" si="991"/>
        <v>389409.69310549949</v>
      </c>
      <c r="S639">
        <f t="shared" si="992"/>
        <v>3.8940969310549951</v>
      </c>
      <c r="T639">
        <f t="shared" si="993"/>
        <v>3.8940969310549949E-3</v>
      </c>
    </row>
    <row r="640" spans="1:20" x14ac:dyDescent="0.25">
      <c r="A640" s="5">
        <v>43953</v>
      </c>
      <c r="B640">
        <v>63.45</v>
      </c>
      <c r="C640">
        <v>64.97</v>
      </c>
      <c r="D640">
        <v>63.29</v>
      </c>
      <c r="E640">
        <v>64.540000000000006</v>
      </c>
      <c r="F640">
        <v>27670.265670000001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0.4880952380952468</v>
      </c>
      <c r="Q640">
        <f t="shared" si="990"/>
        <v>13505.724910357383</v>
      </c>
      <c r="R640">
        <f t="shared" si="991"/>
        <v>421309.24253785942</v>
      </c>
      <c r="S640">
        <f t="shared" si="992"/>
        <v>4.2130924253785942</v>
      </c>
      <c r="T640">
        <f t="shared" si="993"/>
        <v>4.2130924253785942E-3</v>
      </c>
    </row>
    <row r="641" spans="1:20" x14ac:dyDescent="0.25">
      <c r="A641" s="5">
        <v>43952</v>
      </c>
      <c r="B641">
        <v>62.26</v>
      </c>
      <c r="C641">
        <v>65</v>
      </c>
      <c r="D641">
        <v>62.2</v>
      </c>
      <c r="E641">
        <v>63.45</v>
      </c>
      <c r="F641">
        <v>49802.917240000002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-0.10714285714285623</v>
      </c>
      <c r="Q641">
        <f t="shared" si="990"/>
        <v>-5336.0268471428126</v>
      </c>
      <c r="R641">
        <f t="shared" si="991"/>
        <v>407803.51762750203</v>
      </c>
      <c r="S641">
        <f t="shared" si="992"/>
        <v>4.0780351762750202</v>
      </c>
      <c r="T641">
        <f t="shared" si="993"/>
        <v>4.0780351762750204E-3</v>
      </c>
    </row>
    <row r="642" spans="1:20" x14ac:dyDescent="0.25">
      <c r="A642" s="5">
        <v>43951</v>
      </c>
      <c r="B642">
        <v>66.31</v>
      </c>
      <c r="C642">
        <v>68.42</v>
      </c>
      <c r="D642">
        <v>61.11</v>
      </c>
      <c r="E642">
        <v>62.28</v>
      </c>
      <c r="F642">
        <v>125526.44439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-0.67989056087551258</v>
      </c>
      <c r="Q642">
        <f t="shared" si="990"/>
        <v>-85344.244681025943</v>
      </c>
      <c r="R642">
        <f t="shared" si="991"/>
        <v>413139.54447464482</v>
      </c>
      <c r="S642">
        <f t="shared" si="992"/>
        <v>4.131395444746448</v>
      </c>
      <c r="T642">
        <f t="shared" si="993"/>
        <v>4.1313954447464484E-3</v>
      </c>
    </row>
    <row r="643" spans="1:20" x14ac:dyDescent="0.25">
      <c r="A643" s="5">
        <v>43950</v>
      </c>
      <c r="B643">
        <v>62.05</v>
      </c>
      <c r="C643">
        <v>66.89</v>
      </c>
      <c r="D643">
        <v>61.63</v>
      </c>
      <c r="E643">
        <v>66.319999999999993</v>
      </c>
      <c r="F643">
        <v>125685.27454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0.78326996197718346</v>
      </c>
      <c r="Q643">
        <f t="shared" si="990"/>
        <v>98445.500210037659</v>
      </c>
      <c r="R643">
        <f t="shared" si="991"/>
        <v>498483.78915567079</v>
      </c>
      <c r="S643">
        <f t="shared" si="992"/>
        <v>4.9848378915567082</v>
      </c>
      <c r="T643">
        <f t="shared" si="993"/>
        <v>4.9848378915567084E-3</v>
      </c>
    </row>
    <row r="644" spans="1:20" x14ac:dyDescent="0.25">
      <c r="A644" s="5">
        <v>43949</v>
      </c>
      <c r="B644">
        <v>62.4</v>
      </c>
      <c r="C644">
        <v>63.83</v>
      </c>
      <c r="D644">
        <v>61.22</v>
      </c>
      <c r="E644">
        <v>62.07</v>
      </c>
      <c r="F644">
        <v>81842.322020000007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-0.3486590038314164</v>
      </c>
      <c r="Q644">
        <f t="shared" si="990"/>
        <v>-28535.062466743198</v>
      </c>
      <c r="R644">
        <f t="shared" si="991"/>
        <v>400038.2889456331</v>
      </c>
      <c r="S644">
        <f t="shared" si="992"/>
        <v>4.0003828894563309</v>
      </c>
      <c r="T644">
        <f t="shared" si="993"/>
        <v>4.0003828894563309E-3</v>
      </c>
    </row>
    <row r="645" spans="1:20" x14ac:dyDescent="0.25">
      <c r="A645" s="5">
        <v>43948</v>
      </c>
      <c r="B645">
        <v>61.36</v>
      </c>
      <c r="C645">
        <v>62.48</v>
      </c>
      <c r="D645">
        <v>60.91</v>
      </c>
      <c r="E645">
        <v>62.36</v>
      </c>
      <c r="F645">
        <v>56186.865380000003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0.84713375796178669</v>
      </c>
      <c r="Q645">
        <f t="shared" si="990"/>
        <v>47597.790417452416</v>
      </c>
      <c r="R645">
        <f t="shared" si="991"/>
        <v>428573.35141237627</v>
      </c>
      <c r="S645">
        <f t="shared" si="992"/>
        <v>4.2857335141237627</v>
      </c>
      <c r="T645">
        <f t="shared" si="993"/>
        <v>4.2857335141237626E-3</v>
      </c>
    </row>
    <row r="646" spans="1:20" x14ac:dyDescent="0.25">
      <c r="A646" s="5">
        <v>43947</v>
      </c>
      <c r="B646">
        <v>60.55</v>
      </c>
      <c r="C646">
        <v>62</v>
      </c>
      <c r="D646">
        <v>59.84</v>
      </c>
      <c r="E646">
        <v>61.33</v>
      </c>
      <c r="F646">
        <v>61648.235110000001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0.3796296296296271</v>
      </c>
      <c r="Q646">
        <f t="shared" ref="Q646:Q709" si="995">F646*P646</f>
        <v>23403.496662129473</v>
      </c>
      <c r="R646">
        <f t="shared" ref="R646:R709" si="996">R647+Q646</f>
        <v>380975.56099492387</v>
      </c>
      <c r="S646">
        <f t="shared" ref="S646:S709" si="997">R646/100000</f>
        <v>3.8097556099492387</v>
      </c>
      <c r="T646">
        <f t="shared" ref="T646:T709" si="998">S646/1000</f>
        <v>3.8097556099492389E-3</v>
      </c>
    </row>
    <row r="647" spans="1:20" x14ac:dyDescent="0.25">
      <c r="A647" s="5">
        <v>43946</v>
      </c>
      <c r="B647">
        <v>60.72</v>
      </c>
      <c r="C647">
        <v>62.39</v>
      </c>
      <c r="D647">
        <v>60.04</v>
      </c>
      <c r="E647">
        <v>60.55</v>
      </c>
      <c r="F647">
        <v>53175.292739999997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-0.56595744680851257</v>
      </c>
      <c r="Q647">
        <f t="shared" si="995"/>
        <v>-30094.952912425633</v>
      </c>
      <c r="R647">
        <f t="shared" si="996"/>
        <v>357572.0643327944</v>
      </c>
      <c r="S647">
        <f t="shared" si="997"/>
        <v>3.5757206433279438</v>
      </c>
      <c r="T647">
        <f t="shared" si="998"/>
        <v>3.575720643327944E-3</v>
      </c>
    </row>
    <row r="648" spans="1:20" x14ac:dyDescent="0.25">
      <c r="A648" s="5">
        <v>43945</v>
      </c>
      <c r="B648">
        <v>59.27</v>
      </c>
      <c r="C648">
        <v>62.45</v>
      </c>
      <c r="D648">
        <v>59.18</v>
      </c>
      <c r="E648">
        <v>60.68</v>
      </c>
      <c r="F648">
        <v>72897.215840000004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-8.256880733945042E-2</v>
      </c>
      <c r="Q648">
        <f t="shared" si="995"/>
        <v>-6019.0361702752934</v>
      </c>
      <c r="R648">
        <f t="shared" si="996"/>
        <v>387667.01724522002</v>
      </c>
      <c r="S648">
        <f t="shared" si="997"/>
        <v>3.8766701724522004</v>
      </c>
      <c r="T648">
        <f t="shared" si="998"/>
        <v>3.8766701724522006E-3</v>
      </c>
    </row>
    <row r="649" spans="1:20" x14ac:dyDescent="0.25">
      <c r="A649" s="5">
        <v>43944</v>
      </c>
      <c r="B649">
        <v>56.98</v>
      </c>
      <c r="C649">
        <v>61.06</v>
      </c>
      <c r="D649">
        <v>56.14</v>
      </c>
      <c r="E649">
        <v>59.27</v>
      </c>
      <c r="F649">
        <v>74876.131150000001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0.27235772357723637</v>
      </c>
      <c r="Q649">
        <f t="shared" si="995"/>
        <v>20393.092630284598</v>
      </c>
      <c r="R649">
        <f t="shared" si="996"/>
        <v>393686.05341549532</v>
      </c>
      <c r="S649">
        <f t="shared" si="997"/>
        <v>3.9368605341549534</v>
      </c>
      <c r="T649">
        <f t="shared" si="998"/>
        <v>3.9368605341549533E-3</v>
      </c>
    </row>
    <row r="650" spans="1:20" x14ac:dyDescent="0.25">
      <c r="A650" s="5">
        <v>43943</v>
      </c>
      <c r="B650">
        <v>55.14</v>
      </c>
      <c r="C650">
        <v>57.35</v>
      </c>
      <c r="D650">
        <v>54.73</v>
      </c>
      <c r="E650">
        <v>56.95</v>
      </c>
      <c r="F650">
        <v>54030.38594</v>
      </c>
      <c r="G650">
        <v>0</v>
      </c>
      <c r="L650" t="s">
        <v>7</v>
      </c>
      <c r="M650" t="s">
        <v>7</v>
      </c>
      <c r="N650" t="s">
        <v>8</v>
      </c>
      <c r="P650">
        <f t="shared" si="994"/>
        <v>0.69465648854961992</v>
      </c>
      <c r="Q650">
        <f t="shared" si="995"/>
        <v>37532.558172061152</v>
      </c>
      <c r="R650">
        <f t="shared" si="996"/>
        <v>373292.96078521071</v>
      </c>
      <c r="S650">
        <f t="shared" si="997"/>
        <v>3.7329296078521073</v>
      </c>
      <c r="T650">
        <f t="shared" si="998"/>
        <v>3.7329296078521075E-3</v>
      </c>
    </row>
    <row r="651" spans="1:20" x14ac:dyDescent="0.25">
      <c r="A651" s="5">
        <v>43942</v>
      </c>
      <c r="B651">
        <v>54.64</v>
      </c>
      <c r="C651">
        <v>55.9</v>
      </c>
      <c r="D651">
        <v>54</v>
      </c>
      <c r="E651">
        <v>55.14</v>
      </c>
      <c r="F651">
        <v>54194.166740000001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0.20000000000000148</v>
      </c>
      <c r="Q651">
        <f t="shared" si="995"/>
        <v>10838.83334800008</v>
      </c>
      <c r="R651">
        <f t="shared" si="996"/>
        <v>335760.40261314955</v>
      </c>
      <c r="S651">
        <f t="shared" si="997"/>
        <v>3.3576040261314954</v>
      </c>
      <c r="T651">
        <f t="shared" si="998"/>
        <v>3.3576040261314955E-3</v>
      </c>
    </row>
    <row r="652" spans="1:20" x14ac:dyDescent="0.25">
      <c r="A652" s="5">
        <v>43941</v>
      </c>
      <c r="B652">
        <v>57.02</v>
      </c>
      <c r="C652">
        <v>58.38</v>
      </c>
      <c r="D652">
        <v>53.96</v>
      </c>
      <c r="E652">
        <v>54.69</v>
      </c>
      <c r="F652">
        <v>68620.334650000004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-0.66968325791855354</v>
      </c>
      <c r="Q652">
        <f t="shared" si="995"/>
        <v>-45953.889267873412</v>
      </c>
      <c r="R652">
        <f t="shared" si="996"/>
        <v>324921.56926514948</v>
      </c>
      <c r="S652">
        <f t="shared" si="997"/>
        <v>3.2492156926514948</v>
      </c>
      <c r="T652">
        <f t="shared" si="998"/>
        <v>3.2492156926514949E-3</v>
      </c>
    </row>
    <row r="653" spans="1:20" x14ac:dyDescent="0.25">
      <c r="A653" s="5">
        <v>43940</v>
      </c>
      <c r="B653">
        <v>57.98</v>
      </c>
      <c r="C653">
        <v>58.49</v>
      </c>
      <c r="D653">
        <v>56.38</v>
      </c>
      <c r="E653">
        <v>57.05</v>
      </c>
      <c r="F653">
        <v>64000.511129999999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-0.36492890995261157</v>
      </c>
      <c r="Q653">
        <f t="shared" si="995"/>
        <v>-23355.636763080885</v>
      </c>
      <c r="R653">
        <f t="shared" si="996"/>
        <v>370875.4585330229</v>
      </c>
      <c r="S653">
        <f t="shared" si="997"/>
        <v>3.7087545853302291</v>
      </c>
      <c r="T653">
        <f t="shared" si="998"/>
        <v>3.708754585330229E-3</v>
      </c>
    </row>
    <row r="654" spans="1:20" x14ac:dyDescent="0.25">
      <c r="A654" s="5">
        <v>43939</v>
      </c>
      <c r="B654">
        <v>56.2</v>
      </c>
      <c r="C654">
        <v>58.8</v>
      </c>
      <c r="D654">
        <v>55.96</v>
      </c>
      <c r="E654">
        <v>58.04</v>
      </c>
      <c r="F654">
        <v>61439.812830000003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0.46478873239436691</v>
      </c>
      <c r="Q654">
        <f t="shared" si="995"/>
        <v>28556.532723802862</v>
      </c>
      <c r="R654">
        <f t="shared" si="996"/>
        <v>394231.0952961038</v>
      </c>
      <c r="S654">
        <f t="shared" si="997"/>
        <v>3.9423109529610381</v>
      </c>
      <c r="T654">
        <f t="shared" si="998"/>
        <v>3.9423109529610383E-3</v>
      </c>
    </row>
    <row r="655" spans="1:20" x14ac:dyDescent="0.25">
      <c r="A655" s="5">
        <v>43938</v>
      </c>
      <c r="B655">
        <v>56.98</v>
      </c>
      <c r="C655">
        <v>57.28</v>
      </c>
      <c r="D655">
        <v>56</v>
      </c>
      <c r="E655">
        <v>56.21</v>
      </c>
      <c r="F655">
        <v>62431.757859999998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-0.671874999999999</v>
      </c>
      <c r="Q655">
        <f t="shared" si="995"/>
        <v>-41946.337312187439</v>
      </c>
      <c r="R655">
        <f t="shared" si="996"/>
        <v>365674.56257230096</v>
      </c>
      <c r="S655">
        <f t="shared" si="997"/>
        <v>3.6567456257230098</v>
      </c>
      <c r="T655">
        <f t="shared" si="998"/>
        <v>3.6567456257230097E-3</v>
      </c>
    </row>
    <row r="656" spans="1:20" x14ac:dyDescent="0.25">
      <c r="A656" s="5">
        <v>43937</v>
      </c>
      <c r="B656">
        <v>53.11</v>
      </c>
      <c r="C656">
        <v>57.65</v>
      </c>
      <c r="D656">
        <v>51.56</v>
      </c>
      <c r="E656">
        <v>56.9</v>
      </c>
      <c r="F656">
        <v>133570.03403000001</v>
      </c>
      <c r="G656">
        <v>0</v>
      </c>
      <c r="L656" t="s">
        <v>8</v>
      </c>
      <c r="M656" t="s">
        <v>7</v>
      </c>
      <c r="N656" t="s">
        <v>8</v>
      </c>
      <c r="P656">
        <f t="shared" si="994"/>
        <v>0.75369458128078803</v>
      </c>
      <c r="Q656">
        <f t="shared" si="995"/>
        <v>100671.01086990147</v>
      </c>
      <c r="R656">
        <f t="shared" si="996"/>
        <v>407620.89988448838</v>
      </c>
      <c r="S656">
        <f t="shared" si="997"/>
        <v>4.0762089988448835</v>
      </c>
      <c r="T656">
        <f t="shared" si="998"/>
        <v>4.0762089988448831E-3</v>
      </c>
    </row>
    <row r="657" spans="1:20" x14ac:dyDescent="0.25">
      <c r="A657" s="5">
        <v>43936</v>
      </c>
      <c r="B657">
        <v>54.08</v>
      </c>
      <c r="C657">
        <v>55.12</v>
      </c>
      <c r="D657">
        <v>53.11</v>
      </c>
      <c r="E657">
        <v>53.12</v>
      </c>
      <c r="F657">
        <v>105132.30664</v>
      </c>
      <c r="G657">
        <v>0</v>
      </c>
      <c r="L657" t="s">
        <v>8</v>
      </c>
      <c r="M657" t="s">
        <v>7</v>
      </c>
      <c r="N657" t="s">
        <v>8</v>
      </c>
      <c r="P657">
        <f t="shared" si="994"/>
        <v>-0.99004975124378303</v>
      </c>
      <c r="Q657">
        <f t="shared" si="995"/>
        <v>-104086.21403661711</v>
      </c>
      <c r="R657">
        <f t="shared" si="996"/>
        <v>306949.88901458692</v>
      </c>
      <c r="S657">
        <f t="shared" si="997"/>
        <v>3.0694988901458693</v>
      </c>
      <c r="T657">
        <f t="shared" si="998"/>
        <v>3.0694988901458693E-3</v>
      </c>
    </row>
    <row r="658" spans="1:20" x14ac:dyDescent="0.25">
      <c r="A658" s="5">
        <v>43935</v>
      </c>
      <c r="B658">
        <v>53.04</v>
      </c>
      <c r="C658">
        <v>55.22</v>
      </c>
      <c r="D658">
        <v>52.65</v>
      </c>
      <c r="E658">
        <v>54.09</v>
      </c>
      <c r="F658">
        <v>78544.548689999996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0.12062256809338885</v>
      </c>
      <c r="Q658">
        <f t="shared" si="995"/>
        <v>9474.2451727240204</v>
      </c>
      <c r="R658">
        <f t="shared" si="996"/>
        <v>411036.10305120406</v>
      </c>
      <c r="S658">
        <f t="shared" si="997"/>
        <v>4.1103610305120402</v>
      </c>
      <c r="T658">
        <f t="shared" si="998"/>
        <v>4.1103610305120398E-3</v>
      </c>
    </row>
    <row r="659" spans="1:20" x14ac:dyDescent="0.25">
      <c r="A659" s="5">
        <v>43934</v>
      </c>
      <c r="B659">
        <v>53.67</v>
      </c>
      <c r="C659">
        <v>53.68</v>
      </c>
      <c r="D659">
        <v>51.01</v>
      </c>
      <c r="E659">
        <v>52.98</v>
      </c>
      <c r="F659">
        <v>98275.002699999997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0.47565543071160871</v>
      </c>
      <c r="Q659">
        <f t="shared" si="995"/>
        <v>46745.038737453004</v>
      </c>
      <c r="R659">
        <f t="shared" si="996"/>
        <v>401561.85787848005</v>
      </c>
      <c r="S659">
        <f t="shared" si="997"/>
        <v>4.0156185787848004</v>
      </c>
      <c r="T659">
        <f t="shared" si="998"/>
        <v>4.0156185787848008E-3</v>
      </c>
    </row>
    <row r="660" spans="1:20" x14ac:dyDescent="0.25">
      <c r="A660" s="5">
        <v>43933</v>
      </c>
      <c r="B660">
        <v>53.84</v>
      </c>
      <c r="C660">
        <v>55.64</v>
      </c>
      <c r="D660">
        <v>52.81</v>
      </c>
      <c r="E660">
        <v>53.68</v>
      </c>
      <c r="F660">
        <v>76041.208970000007</v>
      </c>
      <c r="G660">
        <v>0</v>
      </c>
      <c r="L660" t="s">
        <v>7</v>
      </c>
      <c r="M660" t="s">
        <v>8</v>
      </c>
      <c r="N660" t="s">
        <v>8</v>
      </c>
      <c r="P660">
        <f t="shared" si="994"/>
        <v>-0.38515901060070817</v>
      </c>
      <c r="Q660">
        <f t="shared" si="995"/>
        <v>-29287.956811766897</v>
      </c>
      <c r="R660">
        <f t="shared" si="996"/>
        <v>354816.81914102705</v>
      </c>
      <c r="S660">
        <f t="shared" si="997"/>
        <v>3.5481681914102707</v>
      </c>
      <c r="T660">
        <f t="shared" si="998"/>
        <v>3.5481681914102709E-3</v>
      </c>
    </row>
    <row r="661" spans="1:20" x14ac:dyDescent="0.25">
      <c r="A661" s="5">
        <v>43932</v>
      </c>
      <c r="B661">
        <v>53.7</v>
      </c>
      <c r="C661">
        <v>54.82</v>
      </c>
      <c r="D661">
        <v>52.49</v>
      </c>
      <c r="E661">
        <v>53.86</v>
      </c>
      <c r="F661">
        <v>64901.317190000002</v>
      </c>
      <c r="G661">
        <v>0</v>
      </c>
      <c r="L661" t="s">
        <v>7</v>
      </c>
      <c r="M661" t="s">
        <v>8</v>
      </c>
      <c r="N661" t="s">
        <v>8</v>
      </c>
      <c r="P661">
        <f t="shared" si="994"/>
        <v>0.17596566523605017</v>
      </c>
      <c r="Q661">
        <f t="shared" si="995"/>
        <v>11420.403454034249</v>
      </c>
      <c r="R661">
        <f t="shared" si="996"/>
        <v>384104.77595279395</v>
      </c>
      <c r="S661">
        <f t="shared" si="997"/>
        <v>3.8410477595279393</v>
      </c>
      <c r="T661">
        <f t="shared" si="998"/>
        <v>3.8410477595279395E-3</v>
      </c>
    </row>
    <row r="662" spans="1:20" x14ac:dyDescent="0.25">
      <c r="A662" s="5">
        <v>43931</v>
      </c>
      <c r="B662">
        <v>58.37</v>
      </c>
      <c r="C662">
        <v>58.48</v>
      </c>
      <c r="D662">
        <v>52.43</v>
      </c>
      <c r="E662">
        <v>53.7</v>
      </c>
      <c r="F662">
        <v>99510.991450000001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-0.58016528925619715</v>
      </c>
      <c r="Q662">
        <f t="shared" si="995"/>
        <v>-57732.823138760214</v>
      </c>
      <c r="R662">
        <f t="shared" si="996"/>
        <v>372684.37249875971</v>
      </c>
      <c r="S662">
        <f t="shared" si="997"/>
        <v>3.7268437249875972</v>
      </c>
      <c r="T662">
        <f t="shared" si="998"/>
        <v>3.7268437249875974E-3</v>
      </c>
    </row>
    <row r="663" spans="1:20" x14ac:dyDescent="0.25">
      <c r="A663" s="5">
        <v>43930</v>
      </c>
      <c r="B663">
        <v>57.85</v>
      </c>
      <c r="C663">
        <v>58.93</v>
      </c>
      <c r="D663">
        <v>56.09</v>
      </c>
      <c r="E663">
        <v>58.4</v>
      </c>
      <c r="F663">
        <v>70792.843739999997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0.62676056338028041</v>
      </c>
      <c r="Q663">
        <f t="shared" si="995"/>
        <v>44370.162625774552</v>
      </c>
      <c r="R663">
        <f t="shared" si="996"/>
        <v>430417.19563751994</v>
      </c>
      <c r="S663">
        <f t="shared" si="997"/>
        <v>4.3041719563751997</v>
      </c>
      <c r="T663">
        <f t="shared" si="998"/>
        <v>4.3041719563751994E-3</v>
      </c>
    </row>
    <row r="664" spans="1:20" x14ac:dyDescent="0.25">
      <c r="A664" s="5">
        <v>43929</v>
      </c>
      <c r="B664">
        <v>55.97</v>
      </c>
      <c r="C664">
        <v>58.28</v>
      </c>
      <c r="D664">
        <v>55.55</v>
      </c>
      <c r="E664">
        <v>57.88</v>
      </c>
      <c r="F664">
        <v>82257.550040000002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0.70695970695970844</v>
      </c>
      <c r="Q664">
        <f t="shared" si="995"/>
        <v>58152.773471501954</v>
      </c>
      <c r="R664">
        <f t="shared" si="996"/>
        <v>386047.03301174537</v>
      </c>
      <c r="S664">
        <f t="shared" si="997"/>
        <v>3.8604703301174537</v>
      </c>
      <c r="T664">
        <f t="shared" si="998"/>
        <v>3.8604703301174537E-3</v>
      </c>
    </row>
    <row r="665" spans="1:20" x14ac:dyDescent="0.25">
      <c r="A665" s="5">
        <v>43928</v>
      </c>
      <c r="B665">
        <v>58.89</v>
      </c>
      <c r="C665">
        <v>60.58</v>
      </c>
      <c r="D665">
        <v>54.76</v>
      </c>
      <c r="E665">
        <v>55.94</v>
      </c>
      <c r="F665">
        <v>124691.67780999999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-0.59450171821305853</v>
      </c>
      <c r="Q665">
        <f t="shared" si="995"/>
        <v>-74129.416704914096</v>
      </c>
      <c r="R665">
        <f t="shared" si="996"/>
        <v>327894.25954024342</v>
      </c>
      <c r="S665">
        <f t="shared" si="997"/>
        <v>3.2789425954024343</v>
      </c>
      <c r="T665">
        <f t="shared" si="998"/>
        <v>3.2789425954024344E-3</v>
      </c>
    </row>
    <row r="666" spans="1:20" x14ac:dyDescent="0.25">
      <c r="A666" s="5">
        <v>43927</v>
      </c>
      <c r="B666">
        <v>53.15</v>
      </c>
      <c r="C666">
        <v>59.23</v>
      </c>
      <c r="D666">
        <v>53.14</v>
      </c>
      <c r="E666">
        <v>58.93</v>
      </c>
      <c r="F666">
        <v>122788.89810000001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0.90147783251231617</v>
      </c>
      <c r="Q666">
        <f t="shared" si="995"/>
        <v>110691.46971576367</v>
      </c>
      <c r="R666">
        <f t="shared" si="996"/>
        <v>402023.67624515749</v>
      </c>
      <c r="S666">
        <f t="shared" si="997"/>
        <v>4.0202367624515745</v>
      </c>
      <c r="T666">
        <f t="shared" si="998"/>
        <v>4.020236762451574E-3</v>
      </c>
    </row>
    <row r="667" spans="1:20" x14ac:dyDescent="0.25">
      <c r="A667" s="5">
        <v>43926</v>
      </c>
      <c r="B667">
        <v>54.14</v>
      </c>
      <c r="C667">
        <v>54.32</v>
      </c>
      <c r="D667">
        <v>52.6</v>
      </c>
      <c r="E667">
        <v>53.15</v>
      </c>
      <c r="F667">
        <v>69488.987550000005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-0.36046511627907263</v>
      </c>
      <c r="Q667">
        <f t="shared" si="995"/>
        <v>-25048.355977325784</v>
      </c>
      <c r="R667">
        <f t="shared" si="996"/>
        <v>291332.20652939385</v>
      </c>
      <c r="S667">
        <f t="shared" si="997"/>
        <v>2.9133220652939387</v>
      </c>
      <c r="T667">
        <f t="shared" si="998"/>
        <v>2.9133220652939385E-3</v>
      </c>
    </row>
    <row r="668" spans="1:20" x14ac:dyDescent="0.25">
      <c r="A668" s="5">
        <v>43925</v>
      </c>
      <c r="B668">
        <v>52.98</v>
      </c>
      <c r="C668">
        <v>55.3</v>
      </c>
      <c r="D668">
        <v>52.12</v>
      </c>
      <c r="E668">
        <v>54.11</v>
      </c>
      <c r="F668">
        <v>133614.30853000001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0.25157232704402654</v>
      </c>
      <c r="Q668">
        <f t="shared" si="995"/>
        <v>33613.662523270628</v>
      </c>
      <c r="R668">
        <f t="shared" si="996"/>
        <v>316380.56250671961</v>
      </c>
      <c r="S668">
        <f t="shared" si="997"/>
        <v>3.1638056250671962</v>
      </c>
      <c r="T668">
        <f t="shared" si="998"/>
        <v>3.1638056250671964E-3</v>
      </c>
    </row>
    <row r="669" spans="1:20" x14ac:dyDescent="0.25">
      <c r="A669" s="5">
        <v>43924</v>
      </c>
      <c r="B669">
        <v>50.68</v>
      </c>
      <c r="C669">
        <v>54.35</v>
      </c>
      <c r="D669">
        <v>50.23</v>
      </c>
      <c r="E669">
        <v>52.96</v>
      </c>
      <c r="F669">
        <v>135822.79730999999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0.32524271844660241</v>
      </c>
      <c r="Q669">
        <f t="shared" si="995"/>
        <v>44175.375824126277</v>
      </c>
      <c r="R669">
        <f t="shared" si="996"/>
        <v>282766.89998344897</v>
      </c>
      <c r="S669">
        <f t="shared" si="997"/>
        <v>2.8276689998344895</v>
      </c>
      <c r="T669">
        <f t="shared" si="998"/>
        <v>2.8276689998344897E-3</v>
      </c>
    </row>
    <row r="670" spans="1:20" x14ac:dyDescent="0.25">
      <c r="A670" s="5">
        <v>43923</v>
      </c>
      <c r="B670">
        <v>48.47</v>
      </c>
      <c r="C670">
        <v>53</v>
      </c>
      <c r="D670">
        <v>47.92</v>
      </c>
      <c r="E670">
        <v>50.75</v>
      </c>
      <c r="F670">
        <v>127460.02239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0.11417322834645639</v>
      </c>
      <c r="Q670">
        <f t="shared" si="995"/>
        <v>14552.522241377914</v>
      </c>
      <c r="R670">
        <f t="shared" si="996"/>
        <v>238591.52415932267</v>
      </c>
      <c r="S670">
        <f t="shared" si="997"/>
        <v>2.3859152415932265</v>
      </c>
      <c r="T670">
        <f t="shared" si="998"/>
        <v>2.3859152415932265E-3</v>
      </c>
    </row>
    <row r="671" spans="1:20" x14ac:dyDescent="0.25">
      <c r="A671" s="5">
        <v>43922</v>
      </c>
      <c r="B671">
        <v>47.59</v>
      </c>
      <c r="C671">
        <v>48.89</v>
      </c>
      <c r="D671">
        <v>46.43</v>
      </c>
      <c r="E671">
        <v>48.47</v>
      </c>
      <c r="F671">
        <v>94140.720780000003</v>
      </c>
      <c r="G671">
        <v>0</v>
      </c>
      <c r="L671" t="s">
        <v>8</v>
      </c>
      <c r="M671" t="s">
        <v>8</v>
      </c>
      <c r="N671" t="s">
        <v>8</v>
      </c>
      <c r="P671">
        <f t="shared" si="994"/>
        <v>0.65853658536585236</v>
      </c>
      <c r="Q671">
        <f t="shared" si="995"/>
        <v>61995.108806341341</v>
      </c>
      <c r="R671">
        <f t="shared" si="996"/>
        <v>224039.00191794476</v>
      </c>
      <c r="S671">
        <f t="shared" si="997"/>
        <v>2.2403900191794475</v>
      </c>
      <c r="T671">
        <f t="shared" si="998"/>
        <v>2.2403900191794476E-3</v>
      </c>
    </row>
    <row r="672" spans="1:20" x14ac:dyDescent="0.25">
      <c r="A672" s="5">
        <v>43921</v>
      </c>
      <c r="B672">
        <v>46.48</v>
      </c>
      <c r="C672">
        <v>48.55</v>
      </c>
      <c r="D672">
        <v>46.36</v>
      </c>
      <c r="E672">
        <v>47.6</v>
      </c>
      <c r="F672">
        <v>104684.11339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0.1324200913242039</v>
      </c>
      <c r="Q672">
        <f t="shared" si="995"/>
        <v>13862.279855297116</v>
      </c>
      <c r="R672">
        <f t="shared" si="996"/>
        <v>162043.89311160342</v>
      </c>
      <c r="S672">
        <f t="shared" si="997"/>
        <v>1.6204389311160343</v>
      </c>
      <c r="T672">
        <f t="shared" si="998"/>
        <v>1.6204389311160344E-3</v>
      </c>
    </row>
    <row r="673" spans="1:20" x14ac:dyDescent="0.25">
      <c r="A673" s="5">
        <v>43920</v>
      </c>
      <c r="B673">
        <v>44.04</v>
      </c>
      <c r="C673">
        <v>47.66</v>
      </c>
      <c r="D673">
        <v>43.85</v>
      </c>
      <c r="E673">
        <v>46.41</v>
      </c>
      <c r="F673">
        <v>110255.71745</v>
      </c>
      <c r="G673">
        <v>0</v>
      </c>
      <c r="L673" t="s">
        <v>7</v>
      </c>
      <c r="M673" t="s">
        <v>8</v>
      </c>
      <c r="N673" t="s">
        <v>8</v>
      </c>
      <c r="P673">
        <f t="shared" si="994"/>
        <v>0.34383202099737448</v>
      </c>
      <c r="Q673">
        <f t="shared" si="995"/>
        <v>37909.44615734899</v>
      </c>
      <c r="R673">
        <f t="shared" si="996"/>
        <v>148181.6132563063</v>
      </c>
      <c r="S673">
        <f t="shared" si="997"/>
        <v>1.481816132563063</v>
      </c>
      <c r="T673">
        <f t="shared" si="998"/>
        <v>1.4818161325630629E-3</v>
      </c>
    </row>
    <row r="674" spans="1:20" x14ac:dyDescent="0.25">
      <c r="A674" s="5">
        <v>43919</v>
      </c>
      <c r="B674">
        <v>47.13</v>
      </c>
      <c r="C674">
        <v>47.31</v>
      </c>
      <c r="D674">
        <v>43.96</v>
      </c>
      <c r="E674">
        <v>44.04</v>
      </c>
      <c r="F674">
        <v>72229.071830000001</v>
      </c>
      <c r="G674">
        <v>0</v>
      </c>
      <c r="L674" t="s">
        <v>7</v>
      </c>
      <c r="M674" t="s">
        <v>8</v>
      </c>
      <c r="N674" t="s">
        <v>8</v>
      </c>
      <c r="P674">
        <f t="shared" si="994"/>
        <v>-0.95223880597015031</v>
      </c>
      <c r="Q674">
        <f t="shared" si="995"/>
        <v>-68779.325115731423</v>
      </c>
      <c r="R674">
        <f t="shared" si="996"/>
        <v>110272.16709895732</v>
      </c>
      <c r="S674">
        <f t="shared" si="997"/>
        <v>1.1027216709895731</v>
      </c>
      <c r="T674">
        <f t="shared" si="998"/>
        <v>1.102721670989573E-3</v>
      </c>
    </row>
    <row r="675" spans="1:20" x14ac:dyDescent="0.25">
      <c r="A675" s="5">
        <v>43918</v>
      </c>
      <c r="B675">
        <v>47.69</v>
      </c>
      <c r="C675">
        <v>48.48</v>
      </c>
      <c r="D675">
        <v>44.89</v>
      </c>
      <c r="E675">
        <v>47.11</v>
      </c>
      <c r="F675">
        <v>130406.93777999999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0.2367688022284129</v>
      </c>
      <c r="Q675">
        <f t="shared" si="995"/>
        <v>30876.294460445766</v>
      </c>
      <c r="R675">
        <f t="shared" si="996"/>
        <v>179051.49221468874</v>
      </c>
      <c r="S675">
        <f t="shared" si="997"/>
        <v>1.7905149221468875</v>
      </c>
      <c r="T675">
        <f t="shared" si="998"/>
        <v>1.7905149221468875E-3</v>
      </c>
    </row>
    <row r="676" spans="1:20" x14ac:dyDescent="0.25">
      <c r="A676" s="5">
        <v>43917</v>
      </c>
      <c r="B676">
        <v>50.28</v>
      </c>
      <c r="C676">
        <v>51.44</v>
      </c>
      <c r="D676">
        <v>47.37</v>
      </c>
      <c r="E676">
        <v>47.7</v>
      </c>
      <c r="F676">
        <v>104502.64593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-0.83783783783783516</v>
      </c>
      <c r="Q676">
        <f t="shared" si="995"/>
        <v>-87556.27091432405</v>
      </c>
      <c r="R676">
        <f t="shared" si="996"/>
        <v>148175.19775424298</v>
      </c>
      <c r="S676">
        <f t="shared" si="997"/>
        <v>1.4817519775424297</v>
      </c>
      <c r="T676">
        <f t="shared" si="998"/>
        <v>1.4817519775424297E-3</v>
      </c>
    </row>
    <row r="677" spans="1:20" x14ac:dyDescent="0.25">
      <c r="A677" s="5">
        <v>43916</v>
      </c>
      <c r="B677">
        <v>47.18</v>
      </c>
      <c r="C677">
        <v>51.03</v>
      </c>
      <c r="D677">
        <v>47.18</v>
      </c>
      <c r="E677">
        <v>50.28</v>
      </c>
      <c r="F677">
        <v>164697.75206999999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0.61038961038961048</v>
      </c>
      <c r="Q677">
        <f t="shared" si="995"/>
        <v>100529.79671805196</v>
      </c>
      <c r="R677">
        <f t="shared" si="996"/>
        <v>235731.46866856702</v>
      </c>
      <c r="S677">
        <f t="shared" si="997"/>
        <v>2.3573146866856702</v>
      </c>
      <c r="T677">
        <f t="shared" si="998"/>
        <v>2.3573146866856702E-3</v>
      </c>
    </row>
    <row r="678" spans="1:20" x14ac:dyDescent="0.25">
      <c r="A678" s="5">
        <v>43915</v>
      </c>
      <c r="B678">
        <v>47.13</v>
      </c>
      <c r="C678">
        <v>48.14</v>
      </c>
      <c r="D678">
        <v>45.06</v>
      </c>
      <c r="E678">
        <v>47.15</v>
      </c>
      <c r="F678">
        <v>118935.52705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0.35714285714285549</v>
      </c>
      <c r="Q678">
        <f t="shared" si="995"/>
        <v>42476.973946428378</v>
      </c>
      <c r="R678">
        <f t="shared" si="996"/>
        <v>135201.67195051504</v>
      </c>
      <c r="S678">
        <f t="shared" si="997"/>
        <v>1.3520167195051505</v>
      </c>
      <c r="T678">
        <f t="shared" si="998"/>
        <v>1.3520167195051505E-3</v>
      </c>
    </row>
    <row r="679" spans="1:20" x14ac:dyDescent="0.25">
      <c r="A679" s="5">
        <v>43914</v>
      </c>
      <c r="B679">
        <v>44.45</v>
      </c>
      <c r="C679">
        <v>48.08</v>
      </c>
      <c r="D679">
        <v>43.22</v>
      </c>
      <c r="E679">
        <v>47.26</v>
      </c>
      <c r="F679">
        <v>174599.77015999999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0.66255144032921798</v>
      </c>
      <c r="Q679">
        <f t="shared" si="995"/>
        <v>115681.32920065841</v>
      </c>
      <c r="R679">
        <f t="shared" si="996"/>
        <v>92724.698004086662</v>
      </c>
      <c r="S679">
        <f t="shared" si="997"/>
        <v>0.92724698004086659</v>
      </c>
      <c r="T679">
        <f t="shared" si="998"/>
        <v>9.2724698004086655E-4</v>
      </c>
    </row>
    <row r="680" spans="1:20" x14ac:dyDescent="0.25">
      <c r="A680" s="5">
        <v>43913</v>
      </c>
      <c r="B680">
        <v>38.19</v>
      </c>
      <c r="C680">
        <v>46.75</v>
      </c>
      <c r="D680">
        <v>37.590000000000003</v>
      </c>
      <c r="E680">
        <v>44.45</v>
      </c>
      <c r="F680">
        <v>151242.69515000001</v>
      </c>
      <c r="G680">
        <v>0</v>
      </c>
      <c r="L680" t="s">
        <v>8</v>
      </c>
      <c r="M680" t="s">
        <v>8</v>
      </c>
      <c r="N680" t="s">
        <v>8</v>
      </c>
      <c r="P680">
        <f t="shared" si="994"/>
        <v>0.49781659388646332</v>
      </c>
      <c r="Q680">
        <f t="shared" si="995"/>
        <v>75291.12334978173</v>
      </c>
      <c r="R680">
        <f t="shared" si="996"/>
        <v>-22956.631196571747</v>
      </c>
      <c r="S680">
        <f t="shared" si="997"/>
        <v>-0.22956631196571747</v>
      </c>
      <c r="T680">
        <f t="shared" si="998"/>
        <v>-2.2956631196571748E-4</v>
      </c>
    </row>
    <row r="681" spans="1:20" x14ac:dyDescent="0.25">
      <c r="A681" s="5">
        <v>43912</v>
      </c>
      <c r="B681">
        <v>41.21</v>
      </c>
      <c r="C681">
        <v>42.61</v>
      </c>
      <c r="D681">
        <v>37.770000000000003</v>
      </c>
      <c r="E681">
        <v>38.21</v>
      </c>
      <c r="F681">
        <v>168994.43805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-0.81818181818181901</v>
      </c>
      <c r="Q681">
        <f t="shared" si="995"/>
        <v>-138268.17658636378</v>
      </c>
      <c r="R681">
        <f t="shared" si="996"/>
        <v>-98247.754546353477</v>
      </c>
      <c r="S681">
        <f t="shared" si="997"/>
        <v>-0.98247754546353472</v>
      </c>
      <c r="T681">
        <f t="shared" si="998"/>
        <v>-9.8247754546353463E-4</v>
      </c>
    </row>
    <row r="682" spans="1:20" x14ac:dyDescent="0.25">
      <c r="A682" s="5">
        <v>43911</v>
      </c>
      <c r="B682">
        <v>40.35</v>
      </c>
      <c r="C682">
        <v>45.46</v>
      </c>
      <c r="D682">
        <v>38.409999999999997</v>
      </c>
      <c r="E682">
        <v>41.23</v>
      </c>
      <c r="F682">
        <v>200887.51853999999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-0.2000000000000004</v>
      </c>
      <c r="Q682">
        <f t="shared" si="995"/>
        <v>-40177.503708000077</v>
      </c>
      <c r="R682">
        <f t="shared" si="996"/>
        <v>40020.422040010308</v>
      </c>
      <c r="S682">
        <f t="shared" si="997"/>
        <v>0.40020422040010306</v>
      </c>
      <c r="T682">
        <f t="shared" si="998"/>
        <v>4.0020422040010304E-4</v>
      </c>
    </row>
    <row r="683" spans="1:20" x14ac:dyDescent="0.25">
      <c r="A683" s="5">
        <v>43910</v>
      </c>
      <c r="B683">
        <v>40.82</v>
      </c>
      <c r="C683">
        <v>45.44</v>
      </c>
      <c r="D683">
        <v>36.479999999999997</v>
      </c>
      <c r="E683">
        <v>40.33</v>
      </c>
      <c r="F683">
        <v>175376.25563999999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-0.14062499999999978</v>
      </c>
      <c r="Q683">
        <f t="shared" si="995"/>
        <v>-24662.28594937496</v>
      </c>
      <c r="R683">
        <f t="shared" si="996"/>
        <v>80197.925748010384</v>
      </c>
      <c r="S683">
        <f t="shared" si="997"/>
        <v>0.80197925748010379</v>
      </c>
      <c r="T683">
        <f t="shared" si="998"/>
        <v>8.0197925748010383E-4</v>
      </c>
    </row>
    <row r="684" spans="1:20" x14ac:dyDescent="0.25">
      <c r="A684" s="5">
        <v>43909</v>
      </c>
      <c r="B684">
        <v>37.119999999999997</v>
      </c>
      <c r="C684">
        <v>42.88</v>
      </c>
      <c r="D684">
        <v>36.049999999999997</v>
      </c>
      <c r="E684">
        <v>40.869999999999997</v>
      </c>
      <c r="F684">
        <v>162254.59273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0.41142020497803705</v>
      </c>
      <c r="Q684">
        <f t="shared" si="995"/>
        <v>66754.817799604527</v>
      </c>
      <c r="R684">
        <f t="shared" si="996"/>
        <v>104860.21169738534</v>
      </c>
      <c r="S684">
        <f t="shared" si="997"/>
        <v>1.0486021169738533</v>
      </c>
      <c r="T684">
        <f t="shared" si="998"/>
        <v>1.0486021169738534E-3</v>
      </c>
    </row>
    <row r="685" spans="1:20" x14ac:dyDescent="0.25">
      <c r="A685" s="5">
        <v>43908</v>
      </c>
      <c r="B685">
        <v>36.270000000000003</v>
      </c>
      <c r="C685">
        <v>37.57</v>
      </c>
      <c r="D685">
        <v>33.950000000000003</v>
      </c>
      <c r="E685">
        <v>37.119999999999997</v>
      </c>
      <c r="F685">
        <v>140960.94656000001</v>
      </c>
      <c r="G685">
        <v>0</v>
      </c>
      <c r="L685" t="s">
        <v>8</v>
      </c>
      <c r="M685" t="s">
        <v>8</v>
      </c>
      <c r="N685" t="s">
        <v>7</v>
      </c>
      <c r="P685">
        <f t="shared" si="994"/>
        <v>0.75138121546961156</v>
      </c>
      <c r="Q685">
        <f t="shared" si="995"/>
        <v>105915.40735999976</v>
      </c>
      <c r="R685">
        <f t="shared" si="996"/>
        <v>38105.393897780814</v>
      </c>
      <c r="S685">
        <f t="shared" si="997"/>
        <v>0.38105393897780815</v>
      </c>
      <c r="T685">
        <f t="shared" si="998"/>
        <v>3.8105393897780817E-4</v>
      </c>
    </row>
    <row r="686" spans="1:20" x14ac:dyDescent="0.25">
      <c r="A686" s="5">
        <v>43907</v>
      </c>
      <c r="B686">
        <v>34.049999999999997</v>
      </c>
      <c r="C686">
        <v>37.47</v>
      </c>
      <c r="D686">
        <v>33.49</v>
      </c>
      <c r="E686">
        <v>36.26</v>
      </c>
      <c r="F686">
        <v>110119.7225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0.39195979899497396</v>
      </c>
      <c r="Q686">
        <f t="shared" si="995"/>
        <v>43162.504296482315</v>
      </c>
      <c r="R686">
        <f t="shared" si="996"/>
        <v>-67810.013462218951</v>
      </c>
      <c r="S686">
        <f t="shared" si="997"/>
        <v>-0.67810013462218954</v>
      </c>
      <c r="T686">
        <f t="shared" si="998"/>
        <v>-6.7810013462218954E-4</v>
      </c>
    </row>
    <row r="687" spans="1:20" x14ac:dyDescent="0.25">
      <c r="A687" s="5">
        <v>43906</v>
      </c>
      <c r="B687">
        <v>38.01</v>
      </c>
      <c r="C687">
        <v>38.770000000000003</v>
      </c>
      <c r="D687">
        <v>29.2</v>
      </c>
      <c r="E687">
        <v>34</v>
      </c>
      <c r="F687">
        <v>216900.34328999999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3.1347962382442603E-3</v>
      </c>
      <c r="Q687">
        <f t="shared" si="995"/>
        <v>679.93838021938063</v>
      </c>
      <c r="R687">
        <f t="shared" si="996"/>
        <v>-110972.51775870127</v>
      </c>
      <c r="S687">
        <f t="shared" si="997"/>
        <v>-1.1097251775870127</v>
      </c>
      <c r="T687">
        <f t="shared" si="998"/>
        <v>-1.1097251775870128E-3</v>
      </c>
    </row>
    <row r="688" spans="1:20" x14ac:dyDescent="0.25">
      <c r="A688" s="5">
        <v>43905</v>
      </c>
      <c r="B688">
        <v>36.18</v>
      </c>
      <c r="C688">
        <v>41.25</v>
      </c>
      <c r="D688">
        <v>35.68</v>
      </c>
      <c r="E688">
        <v>38.01</v>
      </c>
      <c r="F688">
        <v>138659.77134000001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-0.16337522441651772</v>
      </c>
      <c r="Q688">
        <f t="shared" si="995"/>
        <v>-22653.571260215533</v>
      </c>
      <c r="R688">
        <f t="shared" si="996"/>
        <v>-111652.45613892065</v>
      </c>
      <c r="S688">
        <f t="shared" si="997"/>
        <v>-1.1165245613892065</v>
      </c>
      <c r="T688">
        <f t="shared" si="998"/>
        <v>-1.1165245613892064E-3</v>
      </c>
    </row>
    <row r="689" spans="1:20" x14ac:dyDescent="0.25">
      <c r="A689" s="5">
        <v>43904</v>
      </c>
      <c r="B689">
        <v>36.94</v>
      </c>
      <c r="C689">
        <v>40.15</v>
      </c>
      <c r="D689">
        <v>35.35</v>
      </c>
      <c r="E689">
        <v>36.21</v>
      </c>
      <c r="F689">
        <v>109242.17365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-0.64166666666666672</v>
      </c>
      <c r="Q689">
        <f t="shared" si="995"/>
        <v>-70097.061425416672</v>
      </c>
      <c r="R689">
        <f t="shared" si="996"/>
        <v>-88998.88487870511</v>
      </c>
      <c r="S689">
        <f t="shared" si="997"/>
        <v>-0.88998884878705109</v>
      </c>
      <c r="T689">
        <f t="shared" si="998"/>
        <v>-8.8998884878705104E-4</v>
      </c>
    </row>
    <row r="690" spans="1:20" x14ac:dyDescent="0.25">
      <c r="A690" s="5">
        <v>43903</v>
      </c>
      <c r="B690">
        <v>31.83</v>
      </c>
      <c r="C690">
        <v>40.450000000000003</v>
      </c>
      <c r="D690">
        <v>25.08</v>
      </c>
      <c r="E690">
        <v>36.92</v>
      </c>
      <c r="F690">
        <v>267765.28941000003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0.54066363044892651</v>
      </c>
      <c r="Q690">
        <f t="shared" si="995"/>
        <v>144770.9534806181</v>
      </c>
      <c r="R690">
        <f t="shared" si="996"/>
        <v>-18901.823453288438</v>
      </c>
      <c r="S690">
        <f t="shared" si="997"/>
        <v>-0.18901823453288438</v>
      </c>
      <c r="T690">
        <f t="shared" si="998"/>
        <v>-1.8901823453288438E-4</v>
      </c>
    </row>
    <row r="691" spans="1:20" x14ac:dyDescent="0.25">
      <c r="A691" s="5">
        <v>43902</v>
      </c>
      <c r="B691">
        <v>54.28</v>
      </c>
      <c r="C691">
        <v>54.38</v>
      </c>
      <c r="D691">
        <v>30.34</v>
      </c>
      <c r="E691">
        <v>31.81</v>
      </c>
      <c r="F691">
        <v>300131.32909999997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-0.87770382695507498</v>
      </c>
      <c r="Q691">
        <f t="shared" si="995"/>
        <v>-263426.41614018305</v>
      </c>
      <c r="R691">
        <f t="shared" si="996"/>
        <v>-163672.77693390654</v>
      </c>
      <c r="S691">
        <f t="shared" si="997"/>
        <v>-1.6367277693390654</v>
      </c>
      <c r="T691">
        <f t="shared" si="998"/>
        <v>-1.6367277693390655E-3</v>
      </c>
    </row>
    <row r="692" spans="1:20" x14ac:dyDescent="0.25">
      <c r="A692" s="5">
        <v>43901</v>
      </c>
      <c r="B692">
        <v>54.87</v>
      </c>
      <c r="C692">
        <v>56.04</v>
      </c>
      <c r="D692">
        <v>50.97</v>
      </c>
      <c r="E692">
        <v>54.2</v>
      </c>
      <c r="F692">
        <v>71365.428849999997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0.27416173570019875</v>
      </c>
      <c r="Q692">
        <f t="shared" si="995"/>
        <v>19565.669842505038</v>
      </c>
      <c r="R692">
        <f t="shared" si="996"/>
        <v>99753.639206276508</v>
      </c>
      <c r="S692">
        <f t="shared" si="997"/>
        <v>0.99753639206276512</v>
      </c>
      <c r="T692">
        <f t="shared" si="998"/>
        <v>9.975363920627651E-4</v>
      </c>
    </row>
    <row r="693" spans="1:20" x14ac:dyDescent="0.25">
      <c r="A693" s="5">
        <v>43900</v>
      </c>
      <c r="B693">
        <v>55.81</v>
      </c>
      <c r="C693">
        <v>57.05</v>
      </c>
      <c r="D693">
        <v>53.59</v>
      </c>
      <c r="E693">
        <v>54.82</v>
      </c>
      <c r="F693">
        <v>74260.924220000001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-0.28901734104046295</v>
      </c>
      <c r="Q693">
        <f t="shared" si="995"/>
        <v>-21462.694861271717</v>
      </c>
      <c r="R693">
        <f t="shared" si="996"/>
        <v>80187.969363771466</v>
      </c>
      <c r="S693">
        <f t="shared" si="997"/>
        <v>0.80187969363771461</v>
      </c>
      <c r="T693">
        <f t="shared" si="998"/>
        <v>8.0187969363771457E-4</v>
      </c>
    </row>
    <row r="694" spans="1:20" x14ac:dyDescent="0.25">
      <c r="A694" s="5">
        <v>43899</v>
      </c>
      <c r="B694">
        <v>56.38</v>
      </c>
      <c r="C694">
        <v>57.71</v>
      </c>
      <c r="D694">
        <v>52.23</v>
      </c>
      <c r="E694">
        <v>55.77</v>
      </c>
      <c r="F694">
        <v>119547.55597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0.29197080291970939</v>
      </c>
      <c r="Q694">
        <f t="shared" si="995"/>
        <v>34904.395903649798</v>
      </c>
      <c r="R694">
        <f t="shared" si="996"/>
        <v>101650.66422504319</v>
      </c>
      <c r="S694">
        <f t="shared" si="997"/>
        <v>1.0165066422504319</v>
      </c>
      <c r="T694">
        <f t="shared" si="998"/>
        <v>1.0165066422504318E-3</v>
      </c>
    </row>
    <row r="695" spans="1:20" x14ac:dyDescent="0.25">
      <c r="A695" s="5">
        <v>43898</v>
      </c>
      <c r="B695">
        <v>65.709999999999994</v>
      </c>
      <c r="C695">
        <v>65.709999999999994</v>
      </c>
      <c r="D695">
        <v>55.78</v>
      </c>
      <c r="E695">
        <v>56.44</v>
      </c>
      <c r="F695">
        <v>108856.47094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-0.86706948640483439</v>
      </c>
      <c r="Q695">
        <f t="shared" si="995"/>
        <v>-94386.124349788573</v>
      </c>
      <c r="R695">
        <f t="shared" si="996"/>
        <v>66746.268321393392</v>
      </c>
      <c r="S695">
        <f t="shared" si="997"/>
        <v>0.66746268321393387</v>
      </c>
      <c r="T695">
        <f t="shared" si="998"/>
        <v>6.6746268321393385E-4</v>
      </c>
    </row>
    <row r="696" spans="1:20" x14ac:dyDescent="0.25">
      <c r="A696" s="5">
        <v>43897</v>
      </c>
      <c r="B696">
        <v>69.12</v>
      </c>
      <c r="C696">
        <v>69.58</v>
      </c>
      <c r="D696">
        <v>65.150000000000006</v>
      </c>
      <c r="E696">
        <v>65.709999999999994</v>
      </c>
      <c r="F696">
        <v>64801.880279999998</v>
      </c>
      <c r="G696">
        <v>0</v>
      </c>
      <c r="L696" t="s">
        <v>7</v>
      </c>
      <c r="M696" t="s">
        <v>7</v>
      </c>
      <c r="N696" t="s">
        <v>7</v>
      </c>
      <c r="P696">
        <f t="shared" si="994"/>
        <v>-0.74717832957111108</v>
      </c>
      <c r="Q696">
        <f t="shared" si="995"/>
        <v>-48418.560660677525</v>
      </c>
      <c r="R696">
        <f t="shared" si="996"/>
        <v>161132.39267118197</v>
      </c>
      <c r="S696">
        <f t="shared" si="997"/>
        <v>1.6113239267118196</v>
      </c>
      <c r="T696">
        <f t="shared" si="998"/>
        <v>1.6113239267118195E-3</v>
      </c>
    </row>
    <row r="697" spans="1:20" x14ac:dyDescent="0.25">
      <c r="A697" s="5">
        <v>43896</v>
      </c>
      <c r="B697">
        <v>68.459999999999994</v>
      </c>
      <c r="C697">
        <v>69.78</v>
      </c>
      <c r="D697">
        <v>67.56</v>
      </c>
      <c r="E697">
        <v>69.13</v>
      </c>
      <c r="F697">
        <v>55041.312339999997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0.41441441441440902</v>
      </c>
      <c r="Q697">
        <f t="shared" si="995"/>
        <v>22809.913221981682</v>
      </c>
      <c r="R697">
        <f t="shared" si="996"/>
        <v>209550.95333185949</v>
      </c>
      <c r="S697">
        <f t="shared" si="997"/>
        <v>2.0955095333185949</v>
      </c>
      <c r="T697">
        <f t="shared" si="998"/>
        <v>2.0955095333185948E-3</v>
      </c>
    </row>
    <row r="698" spans="1:20" x14ac:dyDescent="0.25">
      <c r="A698" s="5">
        <v>43895</v>
      </c>
      <c r="B698">
        <v>65.72</v>
      </c>
      <c r="C698">
        <v>70.05</v>
      </c>
      <c r="D698">
        <v>65.72</v>
      </c>
      <c r="E698">
        <v>68.459999999999994</v>
      </c>
      <c r="F698">
        <v>38793.228029999998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0.26558891454965172</v>
      </c>
      <c r="Q698">
        <f t="shared" si="995"/>
        <v>10303.051324364824</v>
      </c>
      <c r="R698">
        <f t="shared" si="996"/>
        <v>186741.04010987779</v>
      </c>
      <c r="S698">
        <f t="shared" si="997"/>
        <v>1.867410401098778</v>
      </c>
      <c r="T698">
        <f t="shared" si="998"/>
        <v>1.867410401098778E-3</v>
      </c>
    </row>
    <row r="699" spans="1:20" x14ac:dyDescent="0.25">
      <c r="A699" s="5">
        <v>43894</v>
      </c>
      <c r="B699">
        <v>65.900000000000006</v>
      </c>
      <c r="C699">
        <v>67.989999999999995</v>
      </c>
      <c r="D699">
        <v>64.709999999999994</v>
      </c>
      <c r="E699">
        <v>65.680000000000007</v>
      </c>
      <c r="F699">
        <v>44799.420469999997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-0.40853658536584592</v>
      </c>
      <c r="Q699">
        <f t="shared" si="995"/>
        <v>-18302.202265182579</v>
      </c>
      <c r="R699">
        <f t="shared" si="996"/>
        <v>176437.98878551298</v>
      </c>
      <c r="S699">
        <f t="shared" si="997"/>
        <v>1.7643798878551298</v>
      </c>
      <c r="T699">
        <f t="shared" si="998"/>
        <v>1.7643798878551299E-3</v>
      </c>
    </row>
    <row r="700" spans="1:20" x14ac:dyDescent="0.25">
      <c r="A700" s="5">
        <v>43893</v>
      </c>
      <c r="B700">
        <v>68.87</v>
      </c>
      <c r="C700">
        <v>69</v>
      </c>
      <c r="D700">
        <v>65</v>
      </c>
      <c r="E700">
        <v>65.89</v>
      </c>
      <c r="F700">
        <v>50168.481979999997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-0.55499999999999972</v>
      </c>
      <c r="Q700">
        <f t="shared" si="995"/>
        <v>-27843.507498899984</v>
      </c>
      <c r="R700">
        <f t="shared" si="996"/>
        <v>194740.19105069555</v>
      </c>
      <c r="S700">
        <f t="shared" si="997"/>
        <v>1.9474019105069555</v>
      </c>
      <c r="T700">
        <f t="shared" si="998"/>
        <v>1.9474019105069555E-3</v>
      </c>
    </row>
    <row r="701" spans="1:20" x14ac:dyDescent="0.25">
      <c r="A701" s="5">
        <v>43892</v>
      </c>
      <c r="B701">
        <v>64.39</v>
      </c>
      <c r="C701">
        <v>69.25</v>
      </c>
      <c r="D701">
        <v>64.25</v>
      </c>
      <c r="E701">
        <v>68.78</v>
      </c>
      <c r="F701">
        <v>56632.415820000002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0.8120000000000005</v>
      </c>
      <c r="Q701">
        <f t="shared" si="995"/>
        <v>45985.521645840032</v>
      </c>
      <c r="R701">
        <f t="shared" si="996"/>
        <v>222583.69854959552</v>
      </c>
      <c r="S701">
        <f t="shared" si="997"/>
        <v>2.2258369854959552</v>
      </c>
      <c r="T701">
        <f t="shared" si="998"/>
        <v>2.2258369854959554E-3</v>
      </c>
    </row>
    <row r="702" spans="1:20" x14ac:dyDescent="0.25">
      <c r="A702" s="5">
        <v>43891</v>
      </c>
      <c r="B702">
        <v>65.900000000000006</v>
      </c>
      <c r="C702">
        <v>67.75</v>
      </c>
      <c r="D702">
        <v>63.26</v>
      </c>
      <c r="E702">
        <v>64.53</v>
      </c>
      <c r="F702">
        <v>51748.532489999998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-0.43429844097995429</v>
      </c>
      <c r="Q702">
        <f t="shared" si="995"/>
        <v>-22474.30698340751</v>
      </c>
      <c r="R702">
        <f t="shared" si="996"/>
        <v>176598.17690375549</v>
      </c>
      <c r="S702">
        <f t="shared" si="997"/>
        <v>1.765981769037555</v>
      </c>
      <c r="T702">
        <f t="shared" si="998"/>
        <v>1.765981769037555E-3</v>
      </c>
    </row>
    <row r="703" spans="1:20" x14ac:dyDescent="0.25">
      <c r="A703" s="5">
        <v>43890</v>
      </c>
      <c r="B703">
        <v>68.41</v>
      </c>
      <c r="C703">
        <v>69.17</v>
      </c>
      <c r="D703">
        <v>65.91</v>
      </c>
      <c r="E703">
        <v>65.92</v>
      </c>
      <c r="F703">
        <v>46744.022510000003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-0.99386503067484344</v>
      </c>
      <c r="Q703">
        <f t="shared" si="995"/>
        <v>-46457.249365766722</v>
      </c>
      <c r="R703">
        <f t="shared" si="996"/>
        <v>199072.48388716299</v>
      </c>
      <c r="S703">
        <f t="shared" si="997"/>
        <v>1.9907248388716299</v>
      </c>
      <c r="T703">
        <f t="shared" si="998"/>
        <v>1.9907248388716299E-3</v>
      </c>
    </row>
    <row r="704" spans="1:20" x14ac:dyDescent="0.25">
      <c r="A704" s="5">
        <v>43889</v>
      </c>
      <c r="B704">
        <v>70.260000000000005</v>
      </c>
      <c r="C704">
        <v>71.55</v>
      </c>
      <c r="D704">
        <v>66.05</v>
      </c>
      <c r="E704">
        <v>68.41</v>
      </c>
      <c r="F704">
        <v>67880.891000000003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-0.14181818181818204</v>
      </c>
      <c r="Q704">
        <f t="shared" si="995"/>
        <v>-9626.7445418181978</v>
      </c>
      <c r="R704">
        <f t="shared" si="996"/>
        <v>245529.7332529297</v>
      </c>
      <c r="S704">
        <f t="shared" si="997"/>
        <v>2.4552973325292968</v>
      </c>
      <c r="T704">
        <f t="shared" si="998"/>
        <v>2.455297332529297E-3</v>
      </c>
    </row>
    <row r="705" spans="1:20" x14ac:dyDescent="0.25">
      <c r="A705" s="5">
        <v>43888</v>
      </c>
      <c r="B705">
        <v>70.62</v>
      </c>
      <c r="C705">
        <v>72.66</v>
      </c>
      <c r="D705">
        <v>66.709999999999994</v>
      </c>
      <c r="E705">
        <v>70.260000000000005</v>
      </c>
      <c r="F705">
        <v>102439.36646999999</v>
      </c>
      <c r="G705">
        <v>0</v>
      </c>
      <c r="L705" t="s">
        <v>7</v>
      </c>
      <c r="M705" t="s">
        <v>7</v>
      </c>
      <c r="N705" t="s">
        <v>8</v>
      </c>
      <c r="P705">
        <f t="shared" si="994"/>
        <v>0.193277310924373</v>
      </c>
      <c r="Q705">
        <f t="shared" si="995"/>
        <v>19799.205284117979</v>
      </c>
      <c r="R705">
        <f t="shared" si="996"/>
        <v>255156.47779474789</v>
      </c>
      <c r="S705">
        <f t="shared" si="997"/>
        <v>2.5515647779474788</v>
      </c>
      <c r="T705">
        <f t="shared" si="998"/>
        <v>2.5515647779474787E-3</v>
      </c>
    </row>
    <row r="706" spans="1:20" x14ac:dyDescent="0.25">
      <c r="A706" s="5">
        <v>43887</v>
      </c>
      <c r="B706">
        <v>76.48</v>
      </c>
      <c r="C706">
        <v>77.94</v>
      </c>
      <c r="D706">
        <v>68.38</v>
      </c>
      <c r="E706">
        <v>70.61</v>
      </c>
      <c r="F706">
        <v>94766.065910000005</v>
      </c>
      <c r="G706">
        <v>0</v>
      </c>
      <c r="L706" t="s">
        <v>7</v>
      </c>
      <c r="M706" t="s">
        <v>7</v>
      </c>
      <c r="N706" t="s">
        <v>8</v>
      </c>
      <c r="P706">
        <f t="shared" si="994"/>
        <v>-0.53347280334727964</v>
      </c>
      <c r="Q706">
        <f t="shared" si="995"/>
        <v>-50555.118843200777</v>
      </c>
      <c r="R706">
        <f t="shared" si="996"/>
        <v>235357.2725106299</v>
      </c>
      <c r="S706">
        <f t="shared" si="997"/>
        <v>2.3535727251062992</v>
      </c>
      <c r="T706">
        <f t="shared" si="998"/>
        <v>2.3535727251062992E-3</v>
      </c>
    </row>
    <row r="707" spans="1:20" x14ac:dyDescent="0.25">
      <c r="A707" s="5">
        <v>43886</v>
      </c>
      <c r="B707">
        <v>79.19</v>
      </c>
      <c r="C707">
        <v>82.07</v>
      </c>
      <c r="D707">
        <v>75.34</v>
      </c>
      <c r="E707">
        <v>76.489999999999995</v>
      </c>
      <c r="F707">
        <v>70490.558430000005</v>
      </c>
      <c r="G707">
        <v>0</v>
      </c>
      <c r="L707" t="s">
        <v>7</v>
      </c>
      <c r="M707" t="s">
        <v>7</v>
      </c>
      <c r="N707" t="s">
        <v>8</v>
      </c>
      <c r="P707">
        <f t="shared" si="994"/>
        <v>-0.65824665676077465</v>
      </c>
      <c r="Q707">
        <f t="shared" si="995"/>
        <v>-46400.174419747542</v>
      </c>
      <c r="R707">
        <f t="shared" si="996"/>
        <v>285912.3913538307</v>
      </c>
      <c r="S707">
        <f t="shared" si="997"/>
        <v>2.8591239135383071</v>
      </c>
      <c r="T707">
        <f t="shared" si="998"/>
        <v>2.8591239135383069E-3</v>
      </c>
    </row>
    <row r="708" spans="1:20" x14ac:dyDescent="0.25">
      <c r="A708" s="5">
        <v>43885</v>
      </c>
      <c r="B708">
        <v>85.13</v>
      </c>
      <c r="C708">
        <v>86.3</v>
      </c>
      <c r="D708">
        <v>76.89</v>
      </c>
      <c r="E708">
        <v>79.2</v>
      </c>
      <c r="F708">
        <v>80931.931100000002</v>
      </c>
      <c r="G708">
        <v>0</v>
      </c>
      <c r="L708" t="s">
        <v>8</v>
      </c>
      <c r="M708" t="s">
        <v>7</v>
      </c>
      <c r="N708" t="s">
        <v>8</v>
      </c>
      <c r="P708">
        <f t="shared" si="994"/>
        <v>-0.50903294367693874</v>
      </c>
      <c r="Q708">
        <f t="shared" si="995"/>
        <v>-41197.019125292187</v>
      </c>
      <c r="R708">
        <f t="shared" si="996"/>
        <v>332312.56577357824</v>
      </c>
      <c r="S708">
        <f t="shared" si="997"/>
        <v>3.3231256577357824</v>
      </c>
      <c r="T708">
        <f t="shared" si="998"/>
        <v>3.3231256577357822E-3</v>
      </c>
    </row>
    <row r="709" spans="1:20" x14ac:dyDescent="0.25">
      <c r="A709" s="5">
        <v>43884</v>
      </c>
      <c r="B709">
        <v>78.89</v>
      </c>
      <c r="C709">
        <v>85.59</v>
      </c>
      <c r="D709">
        <v>78.819999999999993</v>
      </c>
      <c r="E709">
        <v>85.05</v>
      </c>
      <c r="F709">
        <v>64150.702530000002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0.84047267355982114</v>
      </c>
      <c r="Q709">
        <f t="shared" si="995"/>
        <v>53916.912466129885</v>
      </c>
      <c r="R709">
        <f t="shared" si="996"/>
        <v>373509.58489887044</v>
      </c>
      <c r="S709">
        <f t="shared" si="997"/>
        <v>3.7350958489887045</v>
      </c>
      <c r="T709">
        <f t="shared" si="998"/>
        <v>3.7350958489887043E-3</v>
      </c>
    </row>
    <row r="710" spans="1:20" x14ac:dyDescent="0.25">
      <c r="A710" s="5">
        <v>43883</v>
      </c>
      <c r="B710">
        <v>80.27</v>
      </c>
      <c r="C710">
        <v>82.82</v>
      </c>
      <c r="D710">
        <v>78</v>
      </c>
      <c r="E710">
        <v>78.900000000000006</v>
      </c>
      <c r="F710">
        <v>90729.443239999993</v>
      </c>
      <c r="G710">
        <v>0</v>
      </c>
      <c r="L710" t="s">
        <v>8</v>
      </c>
      <c r="M710" t="s">
        <v>7</v>
      </c>
      <c r="N710" t="s">
        <v>8</v>
      </c>
      <c r="P710">
        <f t="shared" ref="P710:P766" si="999">IF(C710=D710,0,((E710-D710)-(C710-E710))/(C710-D710))</f>
        <v>-0.62655601659750748</v>
      </c>
      <c r="Q710">
        <f t="shared" ref="Q710:Q766" si="1000">F710*P710</f>
        <v>-56847.07854456405</v>
      </c>
      <c r="R710">
        <f t="shared" ref="R710:R766" si="1001">R711+Q710</f>
        <v>319592.67243274057</v>
      </c>
      <c r="S710">
        <f t="shared" ref="S710:S766" si="1002">R710/100000</f>
        <v>3.1959267243274057</v>
      </c>
      <c r="T710">
        <f t="shared" ref="T710:T766" si="1003">S710/1000</f>
        <v>3.1959267243274058E-3</v>
      </c>
    </row>
    <row r="711" spans="1:20" x14ac:dyDescent="0.25">
      <c r="A711" s="5">
        <v>43882</v>
      </c>
      <c r="B711">
        <v>76.53</v>
      </c>
      <c r="C711">
        <v>82.13</v>
      </c>
      <c r="D711">
        <v>75.650000000000006</v>
      </c>
      <c r="E711">
        <v>80.290000000000006</v>
      </c>
      <c r="F711">
        <v>64280.531920000001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0.43209876543210118</v>
      </c>
      <c r="Q711">
        <f t="shared" si="1000"/>
        <v>27775.538483950771</v>
      </c>
      <c r="R711">
        <f t="shared" si="1001"/>
        <v>376439.75097730459</v>
      </c>
      <c r="S711">
        <f t="shared" si="1002"/>
        <v>3.7643975097730458</v>
      </c>
      <c r="T711">
        <f t="shared" si="1003"/>
        <v>3.7643975097730459E-3</v>
      </c>
    </row>
    <row r="712" spans="1:20" x14ac:dyDescent="0.25">
      <c r="A712" s="5">
        <v>43881</v>
      </c>
      <c r="B712">
        <v>77.709999999999994</v>
      </c>
      <c r="C712">
        <v>79.13</v>
      </c>
      <c r="D712">
        <v>74.97</v>
      </c>
      <c r="E712">
        <v>76.39</v>
      </c>
      <c r="F712">
        <v>109683.14036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-0.3173076923076909</v>
      </c>
      <c r="Q712">
        <f t="shared" si="1000"/>
        <v>-34803.304152692152</v>
      </c>
      <c r="R712">
        <f t="shared" si="1001"/>
        <v>348664.21249335381</v>
      </c>
      <c r="S712">
        <f t="shared" si="1002"/>
        <v>3.486642124933538</v>
      </c>
      <c r="T712">
        <f t="shared" si="1003"/>
        <v>3.4866421249335378E-3</v>
      </c>
    </row>
    <row r="713" spans="1:20" x14ac:dyDescent="0.25">
      <c r="A713" s="5">
        <v>43880</v>
      </c>
      <c r="B713">
        <v>86.34</v>
      </c>
      <c r="C713">
        <v>86.81</v>
      </c>
      <c r="D713">
        <v>76.040000000000006</v>
      </c>
      <c r="E713">
        <v>77.69</v>
      </c>
      <c r="F713">
        <v>58141.475339999997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-0.69359331476323272</v>
      </c>
      <c r="Q713">
        <f t="shared" si="1000"/>
        <v>-40326.538606295348</v>
      </c>
      <c r="R713">
        <f t="shared" si="1001"/>
        <v>383467.51664604596</v>
      </c>
      <c r="S713">
        <f t="shared" si="1002"/>
        <v>3.8346751664604595</v>
      </c>
      <c r="T713">
        <f t="shared" si="1003"/>
        <v>3.8346751664604596E-3</v>
      </c>
    </row>
    <row r="714" spans="1:20" x14ac:dyDescent="0.25">
      <c r="A714" s="5">
        <v>43879</v>
      </c>
      <c r="B714">
        <v>82.65</v>
      </c>
      <c r="C714">
        <v>87.26</v>
      </c>
      <c r="D714">
        <v>81.12</v>
      </c>
      <c r="E714">
        <v>86.34</v>
      </c>
      <c r="F714">
        <v>67346.843810000006</v>
      </c>
      <c r="G714">
        <v>0</v>
      </c>
      <c r="L714" t="s">
        <v>7</v>
      </c>
      <c r="M714" t="s">
        <v>7</v>
      </c>
      <c r="N714" t="s">
        <v>8</v>
      </c>
      <c r="P714">
        <f t="shared" si="999"/>
        <v>0.70032573289902222</v>
      </c>
      <c r="Q714">
        <f t="shared" si="1000"/>
        <v>47164.727749674232</v>
      </c>
      <c r="R714">
        <f t="shared" si="1001"/>
        <v>423794.05525234132</v>
      </c>
      <c r="S714">
        <f t="shared" si="1002"/>
        <v>4.2379405525234128</v>
      </c>
      <c r="T714">
        <f t="shared" si="1003"/>
        <v>4.2379405525234132E-3</v>
      </c>
    </row>
    <row r="715" spans="1:20" x14ac:dyDescent="0.25">
      <c r="A715" s="5">
        <v>43878</v>
      </c>
      <c r="B715">
        <v>87.77</v>
      </c>
      <c r="C715">
        <v>89.03</v>
      </c>
      <c r="D715">
        <v>79.19</v>
      </c>
      <c r="E715">
        <v>82.59</v>
      </c>
      <c r="F715">
        <v>86651.766699999993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-0.30894308943089338</v>
      </c>
      <c r="Q715">
        <f t="shared" si="1000"/>
        <v>-26770.464508943005</v>
      </c>
      <c r="R715">
        <f t="shared" si="1001"/>
        <v>376629.32750266709</v>
      </c>
      <c r="S715">
        <f t="shared" si="1002"/>
        <v>3.7662932750266709</v>
      </c>
      <c r="T715">
        <f t="shared" si="1003"/>
        <v>3.7662932750266707E-3</v>
      </c>
    </row>
    <row r="716" spans="1:20" x14ac:dyDescent="0.25">
      <c r="A716" s="5">
        <v>43877</v>
      </c>
      <c r="B716">
        <v>89.17</v>
      </c>
      <c r="C716">
        <v>92.15</v>
      </c>
      <c r="D716">
        <v>79.510000000000005</v>
      </c>
      <c r="E716">
        <v>87.8</v>
      </c>
      <c r="F716">
        <v>89824.400750000001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0.31170886075949233</v>
      </c>
      <c r="Q716">
        <f t="shared" si="1000"/>
        <v>27999.061626186591</v>
      </c>
      <c r="R716">
        <f t="shared" si="1001"/>
        <v>403399.79201161012</v>
      </c>
      <c r="S716">
        <f t="shared" si="1002"/>
        <v>4.0339979201161009</v>
      </c>
      <c r="T716">
        <f t="shared" si="1003"/>
        <v>4.0339979201161006E-3</v>
      </c>
    </row>
    <row r="717" spans="1:20" x14ac:dyDescent="0.25">
      <c r="A717" s="5">
        <v>43876</v>
      </c>
      <c r="B717">
        <v>95.12</v>
      </c>
      <c r="C717">
        <v>96.86</v>
      </c>
      <c r="D717">
        <v>86.42</v>
      </c>
      <c r="E717">
        <v>89.1</v>
      </c>
      <c r="F717">
        <v>69017.882849999995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-0.48659003831417758</v>
      </c>
      <c r="Q717">
        <f t="shared" si="1000"/>
        <v>-33583.414260344915</v>
      </c>
      <c r="R717">
        <f t="shared" si="1001"/>
        <v>375400.73038542352</v>
      </c>
      <c r="S717">
        <f t="shared" si="1002"/>
        <v>3.7540073038542352</v>
      </c>
      <c r="T717">
        <f t="shared" si="1003"/>
        <v>3.7540073038542354E-3</v>
      </c>
    </row>
    <row r="718" spans="1:20" x14ac:dyDescent="0.25">
      <c r="A718" s="5">
        <v>43875</v>
      </c>
      <c r="B718">
        <v>92.25</v>
      </c>
      <c r="C718">
        <v>95.2</v>
      </c>
      <c r="D718">
        <v>90.75</v>
      </c>
      <c r="E718">
        <v>95.16</v>
      </c>
      <c r="F718">
        <v>49133.263830000004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0.98202247191010961</v>
      </c>
      <c r="Q718">
        <f t="shared" si="1000"/>
        <v>48249.969199348183</v>
      </c>
      <c r="R718">
        <f t="shared" si="1001"/>
        <v>408984.14464576845</v>
      </c>
      <c r="S718">
        <f t="shared" si="1002"/>
        <v>4.0898414464576849</v>
      </c>
      <c r="T718">
        <f t="shared" si="1003"/>
        <v>4.0898414464576845E-3</v>
      </c>
    </row>
    <row r="719" spans="1:20" x14ac:dyDescent="0.25">
      <c r="A719" s="5">
        <v>43874</v>
      </c>
      <c r="B719">
        <v>94.37</v>
      </c>
      <c r="C719">
        <v>95.2</v>
      </c>
      <c r="D719">
        <v>89.44</v>
      </c>
      <c r="E719">
        <v>92.25</v>
      </c>
      <c r="F719">
        <v>87832.384789999996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-2.4305555555555632E-2</v>
      </c>
      <c r="Q719">
        <f t="shared" si="1000"/>
        <v>-2134.8149080902845</v>
      </c>
      <c r="R719">
        <f t="shared" si="1001"/>
        <v>360734.17544642027</v>
      </c>
      <c r="S719">
        <f t="shared" si="1002"/>
        <v>3.6073417544642026</v>
      </c>
      <c r="T719">
        <f t="shared" si="1003"/>
        <v>3.6073417544642025E-3</v>
      </c>
    </row>
    <row r="720" spans="1:20" x14ac:dyDescent="0.25">
      <c r="A720" s="5">
        <v>43873</v>
      </c>
      <c r="B720">
        <v>89.45</v>
      </c>
      <c r="C720">
        <v>94.67</v>
      </c>
      <c r="D720">
        <v>89.1</v>
      </c>
      <c r="E720">
        <v>94.29</v>
      </c>
      <c r="F720">
        <v>103240.12183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0.86355475763016343</v>
      </c>
      <c r="Q720">
        <f t="shared" si="1000"/>
        <v>89153.498384614199</v>
      </c>
      <c r="R720">
        <f t="shared" si="1001"/>
        <v>362868.99035451055</v>
      </c>
      <c r="S720">
        <f t="shared" si="1002"/>
        <v>3.6286899035451055</v>
      </c>
      <c r="T720">
        <f t="shared" si="1003"/>
        <v>3.6286899035451055E-3</v>
      </c>
    </row>
    <row r="721" spans="1:20" x14ac:dyDescent="0.25">
      <c r="A721" s="5">
        <v>43872</v>
      </c>
      <c r="B721">
        <v>84.53</v>
      </c>
      <c r="C721">
        <v>89.52</v>
      </c>
      <c r="D721">
        <v>82.65</v>
      </c>
      <c r="E721">
        <v>89.36</v>
      </c>
      <c r="F721">
        <v>67868.154859999995</v>
      </c>
      <c r="G721">
        <v>0</v>
      </c>
      <c r="L721" t="s">
        <v>7</v>
      </c>
      <c r="M721" t="s">
        <v>8</v>
      </c>
      <c r="N721" t="s">
        <v>8</v>
      </c>
      <c r="P721">
        <f t="shared" si="999"/>
        <v>0.95342066957787575</v>
      </c>
      <c r="Q721">
        <f t="shared" si="1000"/>
        <v>64706.901649636158</v>
      </c>
      <c r="R721">
        <f t="shared" si="1001"/>
        <v>273715.49196989636</v>
      </c>
      <c r="S721">
        <f t="shared" si="1002"/>
        <v>2.7371549196989635</v>
      </c>
      <c r="T721">
        <f t="shared" si="1003"/>
        <v>2.7371549196989636E-3</v>
      </c>
    </row>
    <row r="722" spans="1:20" x14ac:dyDescent="0.25">
      <c r="A722" s="5">
        <v>43871</v>
      </c>
      <c r="B722">
        <v>87.63</v>
      </c>
      <c r="C722">
        <v>87.9</v>
      </c>
      <c r="D722">
        <v>83.22</v>
      </c>
      <c r="E722">
        <v>84.53</v>
      </c>
      <c r="F722">
        <v>61795.19253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-0.44017094017093999</v>
      </c>
      <c r="Q722">
        <f t="shared" si="1000"/>
        <v>-27200.447993974347</v>
      </c>
      <c r="R722">
        <f t="shared" si="1001"/>
        <v>209008.59032026023</v>
      </c>
      <c r="S722">
        <f t="shared" si="1002"/>
        <v>2.0900859032026022</v>
      </c>
      <c r="T722">
        <f t="shared" si="1003"/>
        <v>2.0900859032026023E-3</v>
      </c>
    </row>
    <row r="723" spans="1:20" x14ac:dyDescent="0.25">
      <c r="A723" s="5">
        <v>43870</v>
      </c>
      <c r="B723">
        <v>80.64</v>
      </c>
      <c r="C723">
        <v>87.82</v>
      </c>
      <c r="D723">
        <v>80.44</v>
      </c>
      <c r="E723">
        <v>87.59</v>
      </c>
      <c r="F723">
        <v>77002.144100000005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0.93766937669376971</v>
      </c>
      <c r="Q723">
        <f t="shared" si="1000"/>
        <v>72202.552462330845</v>
      </c>
      <c r="R723">
        <f t="shared" si="1001"/>
        <v>236209.03831423458</v>
      </c>
      <c r="S723">
        <f t="shared" si="1002"/>
        <v>2.3620903831423457</v>
      </c>
      <c r="T723">
        <f t="shared" si="1003"/>
        <v>2.3620903831423458E-3</v>
      </c>
    </row>
    <row r="724" spans="1:20" x14ac:dyDescent="0.25">
      <c r="A724" s="5">
        <v>43869</v>
      </c>
      <c r="B724">
        <v>79.47</v>
      </c>
      <c r="C724">
        <v>81.59</v>
      </c>
      <c r="D724">
        <v>76.849999999999994</v>
      </c>
      <c r="E724">
        <v>80.64</v>
      </c>
      <c r="F724">
        <v>48845.040249999998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0.59915611814345948</v>
      </c>
      <c r="Q724">
        <f t="shared" si="1000"/>
        <v>29265.804706751034</v>
      </c>
      <c r="R724">
        <f t="shared" si="1001"/>
        <v>164006.48585190374</v>
      </c>
      <c r="S724">
        <f t="shared" si="1002"/>
        <v>1.6400648585190374</v>
      </c>
      <c r="T724">
        <f t="shared" si="1003"/>
        <v>1.6400648585190374E-3</v>
      </c>
    </row>
    <row r="725" spans="1:20" x14ac:dyDescent="0.25">
      <c r="A725" s="5">
        <v>43868</v>
      </c>
      <c r="B725">
        <v>78.260000000000005</v>
      </c>
      <c r="C725">
        <v>80.959999999999994</v>
      </c>
      <c r="D725">
        <v>78.209999999999994</v>
      </c>
      <c r="E725">
        <v>79.48</v>
      </c>
      <c r="F725">
        <v>57073.627099999998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-7.6363636363628917E-2</v>
      </c>
      <c r="Q725">
        <f t="shared" si="1000"/>
        <v>-4358.3497058177563</v>
      </c>
      <c r="R725">
        <f t="shared" si="1001"/>
        <v>134740.68114515269</v>
      </c>
      <c r="S725">
        <f t="shared" si="1002"/>
        <v>1.347406811451527</v>
      </c>
      <c r="T725">
        <f t="shared" si="1003"/>
        <v>1.3474068114515271E-3</v>
      </c>
    </row>
    <row r="726" spans="1:20" x14ac:dyDescent="0.25">
      <c r="A726" s="5">
        <v>43867</v>
      </c>
      <c r="B726">
        <v>77.83</v>
      </c>
      <c r="C726">
        <v>80.11</v>
      </c>
      <c r="D726">
        <v>76.38</v>
      </c>
      <c r="E726">
        <v>78.3</v>
      </c>
      <c r="F726">
        <v>52575.27104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2.9490616621983729E-2</v>
      </c>
      <c r="Q726">
        <f t="shared" si="1000"/>
        <v>1550.4771620375238</v>
      </c>
      <c r="R726">
        <f t="shared" si="1001"/>
        <v>139099.03085097045</v>
      </c>
      <c r="S726">
        <f t="shared" si="1002"/>
        <v>1.3909903085097044</v>
      </c>
      <c r="T726">
        <f t="shared" si="1003"/>
        <v>1.3909903085097045E-3</v>
      </c>
    </row>
    <row r="727" spans="1:20" x14ac:dyDescent="0.25">
      <c r="A727" s="5">
        <v>43866</v>
      </c>
      <c r="B727">
        <v>75.22</v>
      </c>
      <c r="C727">
        <v>79.19</v>
      </c>
      <c r="D727">
        <v>74.58</v>
      </c>
      <c r="E727">
        <v>77.84</v>
      </c>
      <c r="F727">
        <v>60236.118750000001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0.41431670281995903</v>
      </c>
      <c r="Q727">
        <f t="shared" si="1000"/>
        <v>24956.830111171512</v>
      </c>
      <c r="R727">
        <f t="shared" si="1001"/>
        <v>137548.55368893294</v>
      </c>
      <c r="S727">
        <f t="shared" si="1002"/>
        <v>1.3754855368893293</v>
      </c>
      <c r="T727">
        <f t="shared" si="1003"/>
        <v>1.3754855368893293E-3</v>
      </c>
    </row>
    <row r="728" spans="1:20" x14ac:dyDescent="0.25">
      <c r="A728" s="5">
        <v>43865</v>
      </c>
      <c r="B728">
        <v>76.77</v>
      </c>
      <c r="C728">
        <v>77.39</v>
      </c>
      <c r="D728">
        <v>73.7</v>
      </c>
      <c r="E728">
        <v>75.17</v>
      </c>
      <c r="F728">
        <v>51998.902410000002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-0.20325203252032534</v>
      </c>
      <c r="Q728">
        <f t="shared" si="1000"/>
        <v>-10568.882603658543</v>
      </c>
      <c r="R728">
        <f t="shared" si="1001"/>
        <v>112591.72357776143</v>
      </c>
      <c r="S728">
        <f t="shared" si="1002"/>
        <v>1.1259172357776142</v>
      </c>
      <c r="T728">
        <f t="shared" si="1003"/>
        <v>1.1259172357776142E-3</v>
      </c>
    </row>
    <row r="729" spans="1:20" x14ac:dyDescent="0.25">
      <c r="A729" s="5">
        <v>43864</v>
      </c>
      <c r="B729">
        <v>74.86</v>
      </c>
      <c r="C729">
        <v>78.23</v>
      </c>
      <c r="D729">
        <v>74.28</v>
      </c>
      <c r="E729">
        <v>76.739999999999995</v>
      </c>
      <c r="F729">
        <v>105463.1231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0.24556962025316048</v>
      </c>
      <c r="Q729">
        <f t="shared" si="1000"/>
        <v>25898.539090379316</v>
      </c>
      <c r="R729">
        <f t="shared" si="1001"/>
        <v>123160.60618141996</v>
      </c>
      <c r="S729">
        <f t="shared" si="1002"/>
        <v>1.2316060618141997</v>
      </c>
      <c r="T729">
        <f t="shared" si="1003"/>
        <v>1.2316060618141997E-3</v>
      </c>
    </row>
    <row r="730" spans="1:20" x14ac:dyDescent="0.25">
      <c r="A730" s="5">
        <v>43863</v>
      </c>
      <c r="B730">
        <v>73.25</v>
      </c>
      <c r="C730">
        <v>77.86</v>
      </c>
      <c r="D730">
        <v>70.989999999999995</v>
      </c>
      <c r="E730">
        <v>74.89</v>
      </c>
      <c r="F730">
        <v>89080.243419999999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0.13537117903930221</v>
      </c>
      <c r="Q730">
        <f t="shared" si="1000"/>
        <v>12058.897580873443</v>
      </c>
      <c r="R730">
        <f t="shared" si="1001"/>
        <v>97262.067091040648</v>
      </c>
      <c r="S730">
        <f t="shared" si="1002"/>
        <v>0.97262067091040649</v>
      </c>
      <c r="T730">
        <f t="shared" si="1003"/>
        <v>9.7262067091040654E-4</v>
      </c>
    </row>
    <row r="731" spans="1:20" x14ac:dyDescent="0.25">
      <c r="A731" s="5">
        <v>43862</v>
      </c>
      <c r="B731">
        <v>72.16</v>
      </c>
      <c r="C731">
        <v>73.900000000000006</v>
      </c>
      <c r="D731">
        <v>71.2</v>
      </c>
      <c r="E731">
        <v>73.22</v>
      </c>
      <c r="F731">
        <v>45816.64286</v>
      </c>
      <c r="G731">
        <v>0</v>
      </c>
      <c r="L731" t="s">
        <v>7</v>
      </c>
      <c r="M731" t="s">
        <v>8</v>
      </c>
      <c r="N731" t="s">
        <v>8</v>
      </c>
      <c r="P731">
        <f t="shared" si="999"/>
        <v>0.49629629629629179</v>
      </c>
      <c r="Q731">
        <f t="shared" si="1000"/>
        <v>22738.630160147943</v>
      </c>
      <c r="R731">
        <f t="shared" si="1001"/>
        <v>85203.169510167209</v>
      </c>
      <c r="S731">
        <f t="shared" si="1002"/>
        <v>0.85203169510167209</v>
      </c>
      <c r="T731">
        <f t="shared" si="1003"/>
        <v>8.5203169510167213E-4</v>
      </c>
    </row>
    <row r="732" spans="1:20" x14ac:dyDescent="0.25">
      <c r="A732" s="5">
        <v>43861</v>
      </c>
      <c r="B732">
        <v>74.900000000000006</v>
      </c>
      <c r="C732">
        <v>76.02</v>
      </c>
      <c r="D732">
        <v>69.37</v>
      </c>
      <c r="E732">
        <v>72.16</v>
      </c>
      <c r="F732">
        <v>95888.311799999996</v>
      </c>
      <c r="G732">
        <v>0</v>
      </c>
      <c r="L732" t="s">
        <v>7</v>
      </c>
      <c r="M732" t="s">
        <v>8</v>
      </c>
      <c r="N732" t="s">
        <v>8</v>
      </c>
      <c r="P732">
        <f t="shared" si="999"/>
        <v>-0.16090225563909907</v>
      </c>
      <c r="Q732">
        <f t="shared" si="1000"/>
        <v>-15428.64565804524</v>
      </c>
      <c r="R732">
        <f t="shared" si="1001"/>
        <v>62464.539350019259</v>
      </c>
      <c r="S732">
        <f t="shared" si="1002"/>
        <v>0.62464539350019255</v>
      </c>
      <c r="T732">
        <f t="shared" si="1003"/>
        <v>6.2464539350019256E-4</v>
      </c>
    </row>
    <row r="733" spans="1:20" x14ac:dyDescent="0.25">
      <c r="A733" s="5">
        <v>43860</v>
      </c>
      <c r="B733">
        <v>69.930000000000007</v>
      </c>
      <c r="C733">
        <v>75.02</v>
      </c>
      <c r="D733">
        <v>68.44</v>
      </c>
      <c r="E733">
        <v>74.83</v>
      </c>
      <c r="F733">
        <v>76932.178549999997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0.94224924012158118</v>
      </c>
      <c r="Q733">
        <f t="shared" si="1000"/>
        <v>72489.286779635309</v>
      </c>
      <c r="R733">
        <f t="shared" si="1001"/>
        <v>77893.185008064494</v>
      </c>
      <c r="S733">
        <f t="shared" si="1002"/>
        <v>0.77893185008064492</v>
      </c>
      <c r="T733">
        <f t="shared" si="1003"/>
        <v>7.7893185008064494E-4</v>
      </c>
    </row>
    <row r="734" spans="1:20" x14ac:dyDescent="0.25">
      <c r="A734" s="5">
        <v>43859</v>
      </c>
      <c r="B734">
        <v>67.87</v>
      </c>
      <c r="C734">
        <v>70.84</v>
      </c>
      <c r="D734">
        <v>67.34</v>
      </c>
      <c r="E734">
        <v>70.02</v>
      </c>
      <c r="F734">
        <v>55474.210679999997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0.53142857142856725</v>
      </c>
      <c r="Q734">
        <f t="shared" si="1000"/>
        <v>29480.580532799766</v>
      </c>
      <c r="R734">
        <f t="shared" si="1001"/>
        <v>5403.8982284291924</v>
      </c>
      <c r="S734">
        <f t="shared" si="1002"/>
        <v>5.4038982284291923E-2</v>
      </c>
      <c r="T734">
        <f t="shared" si="1003"/>
        <v>5.4038982284291924E-5</v>
      </c>
    </row>
    <row r="735" spans="1:20" x14ac:dyDescent="0.25">
      <c r="A735" s="5">
        <v>43858</v>
      </c>
      <c r="B735">
        <v>65.48</v>
      </c>
      <c r="C735">
        <v>67.900000000000006</v>
      </c>
      <c r="D735">
        <v>65.13</v>
      </c>
      <c r="E735">
        <v>67.709999999999994</v>
      </c>
      <c r="F735">
        <v>42159.483269999997</v>
      </c>
      <c r="G735">
        <v>0</v>
      </c>
      <c r="L735" t="s">
        <v>8</v>
      </c>
      <c r="M735" t="s">
        <v>7</v>
      </c>
      <c r="N735" t="s">
        <v>8</v>
      </c>
      <c r="P735">
        <f t="shared" si="999"/>
        <v>0.86281588447652613</v>
      </c>
      <c r="Q735">
        <f t="shared" si="1000"/>
        <v>36375.871846678354</v>
      </c>
      <c r="R735">
        <f t="shared" si="1001"/>
        <v>-24076.682304370574</v>
      </c>
      <c r="S735">
        <f t="shared" si="1002"/>
        <v>-0.24076682304370572</v>
      </c>
      <c r="T735">
        <f t="shared" si="1003"/>
        <v>-2.4076682304370573E-4</v>
      </c>
    </row>
    <row r="736" spans="1:20" x14ac:dyDescent="0.25">
      <c r="A736" s="5">
        <v>43857</v>
      </c>
      <c r="B736">
        <v>64.02</v>
      </c>
      <c r="C736">
        <v>66.319999999999993</v>
      </c>
      <c r="D736">
        <v>63.41</v>
      </c>
      <c r="E736">
        <v>65.44</v>
      </c>
      <c r="F736">
        <v>38301.332040000001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0.39518900343642854</v>
      </c>
      <c r="Q736">
        <f t="shared" si="1000"/>
        <v>15136.265239175351</v>
      </c>
      <c r="R736">
        <f t="shared" si="1001"/>
        <v>-60452.554151048927</v>
      </c>
      <c r="S736">
        <f t="shared" si="1002"/>
        <v>-0.60452554151048932</v>
      </c>
      <c r="T736">
        <f t="shared" si="1003"/>
        <v>-6.045255415104893E-4</v>
      </c>
    </row>
    <row r="737" spans="1:20" x14ac:dyDescent="0.25">
      <c r="A737" s="5">
        <v>43856</v>
      </c>
      <c r="B737">
        <v>61.25</v>
      </c>
      <c r="C737">
        <v>64.819999999999993</v>
      </c>
      <c r="D737">
        <v>60.79</v>
      </c>
      <c r="E737">
        <v>63.97</v>
      </c>
      <c r="F737">
        <v>27159.87227</v>
      </c>
      <c r="G737">
        <v>0</v>
      </c>
      <c r="L737" t="s">
        <v>8</v>
      </c>
      <c r="M737" t="s">
        <v>7</v>
      </c>
      <c r="N737" t="s">
        <v>8</v>
      </c>
      <c r="P737">
        <f t="shared" si="999"/>
        <v>0.57816377171216105</v>
      </c>
      <c r="Q737">
        <f t="shared" si="1000"/>
        <v>15702.854190843733</v>
      </c>
      <c r="R737">
        <f t="shared" si="1001"/>
        <v>-75588.819390224278</v>
      </c>
      <c r="S737">
        <f t="shared" si="1002"/>
        <v>-0.75588819390224282</v>
      </c>
      <c r="T737">
        <f t="shared" si="1003"/>
        <v>-7.5588819390224281E-4</v>
      </c>
    </row>
    <row r="738" spans="1:20" x14ac:dyDescent="0.25">
      <c r="A738" s="5">
        <v>43855</v>
      </c>
      <c r="B738">
        <v>61.65</v>
      </c>
      <c r="C738">
        <v>62.57</v>
      </c>
      <c r="D738">
        <v>59.87</v>
      </c>
      <c r="E738">
        <v>61.35</v>
      </c>
      <c r="F738">
        <v>20249.996159999999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9.6296296296298087E-2</v>
      </c>
      <c r="Q738">
        <f t="shared" si="1000"/>
        <v>1949.9996302222585</v>
      </c>
      <c r="R738">
        <f t="shared" si="1001"/>
        <v>-91291.673581068011</v>
      </c>
      <c r="S738">
        <f t="shared" si="1002"/>
        <v>-0.91291673581068011</v>
      </c>
      <c r="T738">
        <f t="shared" si="1003"/>
        <v>-9.1291673581068013E-4</v>
      </c>
    </row>
    <row r="739" spans="1:20" x14ac:dyDescent="0.25">
      <c r="A739" s="5">
        <v>43854</v>
      </c>
      <c r="B739">
        <v>62.57</v>
      </c>
      <c r="C739">
        <v>62.99</v>
      </c>
      <c r="D739">
        <v>58</v>
      </c>
      <c r="E739">
        <v>61.67</v>
      </c>
      <c r="F739">
        <v>56646.651590000001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0.47094188376753515</v>
      </c>
      <c r="Q739">
        <f t="shared" si="1000"/>
        <v>26677.28080891784</v>
      </c>
      <c r="R739">
        <f t="shared" si="1001"/>
        <v>-93241.673211290268</v>
      </c>
      <c r="S739">
        <f t="shared" si="1002"/>
        <v>-0.93241673211290266</v>
      </c>
      <c r="T739">
        <f t="shared" si="1003"/>
        <v>-9.3241673211290268E-4</v>
      </c>
    </row>
    <row r="740" spans="1:20" x14ac:dyDescent="0.25">
      <c r="A740" s="5">
        <v>43853</v>
      </c>
      <c r="B740">
        <v>65.09</v>
      </c>
      <c r="C740">
        <v>65.09</v>
      </c>
      <c r="D740">
        <v>61.15</v>
      </c>
      <c r="E740">
        <v>62.55</v>
      </c>
      <c r="F740">
        <v>24642.657899999998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-0.28934010152284423</v>
      </c>
      <c r="Q740">
        <f t="shared" si="1000"/>
        <v>-7130.1091385787186</v>
      </c>
      <c r="R740">
        <f t="shared" si="1001"/>
        <v>-119918.95402020811</v>
      </c>
      <c r="S740">
        <f t="shared" si="1002"/>
        <v>-1.1991895402020811</v>
      </c>
      <c r="T740">
        <f t="shared" si="1003"/>
        <v>-1.1991895402020812E-3</v>
      </c>
    </row>
    <row r="741" spans="1:20" x14ac:dyDescent="0.25">
      <c r="A741" s="5">
        <v>43852</v>
      </c>
      <c r="B741">
        <v>65.97</v>
      </c>
      <c r="C741">
        <v>66.55</v>
      </c>
      <c r="D741">
        <v>64.349999999999994</v>
      </c>
      <c r="E741">
        <v>65</v>
      </c>
      <c r="F741">
        <v>25926.816770000001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-0.40909090909090468</v>
      </c>
      <c r="Q741">
        <f t="shared" si="1000"/>
        <v>-10606.425042272613</v>
      </c>
      <c r="R741">
        <f t="shared" si="1001"/>
        <v>-112788.8448816294</v>
      </c>
      <c r="S741">
        <f t="shared" si="1002"/>
        <v>-1.1278884488162939</v>
      </c>
      <c r="T741">
        <f t="shared" si="1003"/>
        <v>-1.1278884488162939E-3</v>
      </c>
    </row>
    <row r="742" spans="1:20" x14ac:dyDescent="0.25">
      <c r="A742" s="5">
        <v>43851</v>
      </c>
      <c r="B742">
        <v>64.98</v>
      </c>
      <c r="C742">
        <v>66.88</v>
      </c>
      <c r="D742">
        <v>64.069999999999993</v>
      </c>
      <c r="E742">
        <v>65.87</v>
      </c>
      <c r="F742">
        <v>25334.44886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0.28113879003559422</v>
      </c>
      <c r="Q742">
        <f t="shared" si="1000"/>
        <v>7122.4962987190393</v>
      </c>
      <c r="R742">
        <f t="shared" si="1001"/>
        <v>-102182.41983935678</v>
      </c>
      <c r="S742">
        <f t="shared" si="1002"/>
        <v>-1.0218241983935679</v>
      </c>
      <c r="T742">
        <f t="shared" si="1003"/>
        <v>-1.0218241983935678E-3</v>
      </c>
    </row>
    <row r="743" spans="1:20" x14ac:dyDescent="0.25">
      <c r="A743" s="5">
        <v>43850</v>
      </c>
      <c r="B743">
        <v>65.23</v>
      </c>
      <c r="C743">
        <v>66.53</v>
      </c>
      <c r="D743">
        <v>62.17</v>
      </c>
      <c r="E743">
        <v>64.959999999999994</v>
      </c>
      <c r="F743">
        <v>32916.731050000002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0.27981651376146438</v>
      </c>
      <c r="Q743">
        <f t="shared" si="1000"/>
        <v>9210.6449268347478</v>
      </c>
      <c r="R743">
        <f t="shared" si="1001"/>
        <v>-109304.91613807582</v>
      </c>
      <c r="S743">
        <f t="shared" si="1002"/>
        <v>-1.0930491613807582</v>
      </c>
      <c r="T743">
        <f t="shared" si="1003"/>
        <v>-1.0930491613807582E-3</v>
      </c>
    </row>
    <row r="744" spans="1:20" x14ac:dyDescent="0.25">
      <c r="A744" s="5">
        <v>43849</v>
      </c>
      <c r="B744">
        <v>67</v>
      </c>
      <c r="C744">
        <v>69.47</v>
      </c>
      <c r="D744">
        <v>62.74</v>
      </c>
      <c r="E744">
        <v>65.17</v>
      </c>
      <c r="F744">
        <v>48682.749620000002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-0.27786032689450196</v>
      </c>
      <c r="Q744">
        <f t="shared" si="1000"/>
        <v>-13527.004723536393</v>
      </c>
      <c r="R744">
        <f t="shared" si="1001"/>
        <v>-118515.56106491057</v>
      </c>
      <c r="S744">
        <f t="shared" si="1002"/>
        <v>-1.1851556106491057</v>
      </c>
      <c r="T744">
        <f t="shared" si="1003"/>
        <v>-1.1851556106491057E-3</v>
      </c>
    </row>
    <row r="745" spans="1:20" x14ac:dyDescent="0.25">
      <c r="A745" s="5">
        <v>43848</v>
      </c>
      <c r="B745">
        <v>68.92</v>
      </c>
      <c r="C745">
        <v>70.94</v>
      </c>
      <c r="D745">
        <v>66.150000000000006</v>
      </c>
      <c r="E745">
        <v>67</v>
      </c>
      <c r="F745">
        <v>56225.676639999998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-0.64509394572025236</v>
      </c>
      <c r="Q745">
        <f t="shared" si="1000"/>
        <v>-36270.843594488622</v>
      </c>
      <c r="R745">
        <f t="shared" si="1001"/>
        <v>-104988.55634137418</v>
      </c>
      <c r="S745">
        <f t="shared" si="1002"/>
        <v>-1.0498855634137418</v>
      </c>
      <c r="T745">
        <f t="shared" si="1003"/>
        <v>-1.0498855634137418E-3</v>
      </c>
    </row>
    <row r="746" spans="1:20" x14ac:dyDescent="0.25">
      <c r="A746" s="5">
        <v>43847</v>
      </c>
      <c r="B746">
        <v>65.650000000000006</v>
      </c>
      <c r="C746">
        <v>72</v>
      </c>
      <c r="D746">
        <v>64.05</v>
      </c>
      <c r="E746">
        <v>68.95</v>
      </c>
      <c r="F746">
        <v>90653.310889999993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0.23270440251572427</v>
      </c>
      <c r="Q746">
        <f t="shared" si="1000"/>
        <v>21095.42454672965</v>
      </c>
      <c r="R746">
        <f t="shared" si="1001"/>
        <v>-68717.712746885547</v>
      </c>
      <c r="S746">
        <f t="shared" si="1002"/>
        <v>-0.68717712746885551</v>
      </c>
      <c r="T746">
        <f t="shared" si="1003"/>
        <v>-6.8717712746885554E-4</v>
      </c>
    </row>
    <row r="747" spans="1:20" x14ac:dyDescent="0.25">
      <c r="A747" s="5">
        <v>43846</v>
      </c>
      <c r="B747">
        <v>68.48</v>
      </c>
      <c r="C747">
        <v>69</v>
      </c>
      <c r="D747">
        <v>62.58</v>
      </c>
      <c r="E747">
        <v>65.63</v>
      </c>
      <c r="F747">
        <v>68525.826180000004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-4.9844236760125747E-2</v>
      </c>
      <c r="Q747">
        <f t="shared" si="1000"/>
        <v>-3415.6175042991435</v>
      </c>
      <c r="R747">
        <f t="shared" si="1001"/>
        <v>-89813.137293615189</v>
      </c>
      <c r="S747">
        <f t="shared" si="1002"/>
        <v>-0.89813137293615186</v>
      </c>
      <c r="T747">
        <f t="shared" si="1003"/>
        <v>-8.9813137293615183E-4</v>
      </c>
    </row>
    <row r="748" spans="1:20" x14ac:dyDescent="0.25">
      <c r="A748" s="5">
        <v>43845</v>
      </c>
      <c r="B748">
        <v>62.47</v>
      </c>
      <c r="C748">
        <v>69.36</v>
      </c>
      <c r="D748">
        <v>61.81</v>
      </c>
      <c r="E748">
        <v>68.47</v>
      </c>
      <c r="F748">
        <v>176475.93403999999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0.76423841059602626</v>
      </c>
      <c r="Q748">
        <f t="shared" si="1000"/>
        <v>134869.68733917875</v>
      </c>
      <c r="R748">
        <f t="shared" si="1001"/>
        <v>-86397.519789316051</v>
      </c>
      <c r="S748">
        <f t="shared" si="1002"/>
        <v>-0.86397519789316046</v>
      </c>
      <c r="T748">
        <f t="shared" si="1003"/>
        <v>-8.6397519789316042E-4</v>
      </c>
    </row>
    <row r="749" spans="1:20" x14ac:dyDescent="0.25">
      <c r="A749" s="5">
        <v>43844</v>
      </c>
      <c r="B749">
        <v>57.79</v>
      </c>
      <c r="C749">
        <v>63.05</v>
      </c>
      <c r="D749">
        <v>57.69</v>
      </c>
      <c r="E749">
        <v>62.55</v>
      </c>
      <c r="F749">
        <v>124253.45431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0.81343283582089554</v>
      </c>
      <c r="Q749">
        <f t="shared" si="1000"/>
        <v>101071.83969992537</v>
      </c>
      <c r="R749">
        <f t="shared" si="1001"/>
        <v>-221267.2071284948</v>
      </c>
      <c r="S749">
        <f t="shared" si="1002"/>
        <v>-2.2126720712849481</v>
      </c>
      <c r="T749">
        <f t="shared" si="1003"/>
        <v>-2.2126720712849482E-3</v>
      </c>
    </row>
    <row r="750" spans="1:20" x14ac:dyDescent="0.25">
      <c r="A750" s="5">
        <v>43843</v>
      </c>
      <c r="B750">
        <v>59.21</v>
      </c>
      <c r="C750">
        <v>59.22</v>
      </c>
      <c r="D750">
        <v>56.66</v>
      </c>
      <c r="E750">
        <v>57.72</v>
      </c>
      <c r="F750">
        <v>53718.20923</v>
      </c>
      <c r="G750">
        <v>0</v>
      </c>
      <c r="L750" t="s">
        <v>7</v>
      </c>
      <c r="M750" t="s">
        <v>8</v>
      </c>
      <c r="N750" t="s">
        <v>8</v>
      </c>
      <c r="P750">
        <f t="shared" si="999"/>
        <v>-0.17187499999999895</v>
      </c>
      <c r="Q750">
        <f t="shared" si="1000"/>
        <v>-9232.8172114061927</v>
      </c>
      <c r="R750">
        <f t="shared" si="1001"/>
        <v>-322339.04682842019</v>
      </c>
      <c r="S750">
        <f t="shared" si="1002"/>
        <v>-3.2233904682842018</v>
      </c>
      <c r="T750">
        <f t="shared" si="1003"/>
        <v>-3.2233904682842018E-3</v>
      </c>
    </row>
    <row r="751" spans="1:20" x14ac:dyDescent="0.25">
      <c r="A751" s="5">
        <v>43842</v>
      </c>
      <c r="B751">
        <v>58.17</v>
      </c>
      <c r="C751">
        <v>59.99</v>
      </c>
      <c r="D751">
        <v>57.26</v>
      </c>
      <c r="E751">
        <v>59.19</v>
      </c>
      <c r="F751">
        <v>43850.346019999997</v>
      </c>
      <c r="G751">
        <v>0</v>
      </c>
      <c r="L751" t="s">
        <v>7</v>
      </c>
      <c r="M751" t="s">
        <v>8</v>
      </c>
      <c r="N751" t="s">
        <v>8</v>
      </c>
      <c r="P751">
        <f t="shared" si="999"/>
        <v>0.41391941391941167</v>
      </c>
      <c r="Q751">
        <f t="shared" si="1000"/>
        <v>18150.509524761805</v>
      </c>
      <c r="R751">
        <f t="shared" si="1001"/>
        <v>-313106.229617014</v>
      </c>
      <c r="S751">
        <f t="shared" si="1002"/>
        <v>-3.13106229617014</v>
      </c>
      <c r="T751">
        <f t="shared" si="1003"/>
        <v>-3.1310622961701401E-3</v>
      </c>
    </row>
    <row r="752" spans="1:20" x14ac:dyDescent="0.25">
      <c r="A752" s="5">
        <v>43841</v>
      </c>
      <c r="B752">
        <v>58.43</v>
      </c>
      <c r="C752">
        <v>64.25</v>
      </c>
      <c r="D752">
        <v>57.9</v>
      </c>
      <c r="E752">
        <v>58.25</v>
      </c>
      <c r="F752">
        <v>144805.88889999999</v>
      </c>
      <c r="G752">
        <v>0</v>
      </c>
      <c r="L752" t="s">
        <v>8</v>
      </c>
      <c r="M752" t="s">
        <v>8</v>
      </c>
      <c r="N752" t="s">
        <v>8</v>
      </c>
      <c r="P752">
        <f t="shared" si="999"/>
        <v>-0.88976377952755858</v>
      </c>
      <c r="Q752">
        <f t="shared" si="1000"/>
        <v>-128843.03500551173</v>
      </c>
      <c r="R752">
        <f t="shared" si="1001"/>
        <v>-331256.73914177582</v>
      </c>
      <c r="S752">
        <f t="shared" si="1002"/>
        <v>-3.3125673914177582</v>
      </c>
      <c r="T752">
        <f t="shared" si="1003"/>
        <v>-3.3125673914177582E-3</v>
      </c>
    </row>
    <row r="753" spans="1:20" x14ac:dyDescent="0.25">
      <c r="A753" s="5">
        <v>43840</v>
      </c>
      <c r="B753">
        <v>58.68</v>
      </c>
      <c r="C753">
        <v>59.65</v>
      </c>
      <c r="D753">
        <v>56.77</v>
      </c>
      <c r="E753">
        <v>58.42</v>
      </c>
      <c r="F753">
        <v>84463.611019999997</v>
      </c>
      <c r="G753">
        <v>0</v>
      </c>
      <c r="L753" t="s">
        <v>7</v>
      </c>
      <c r="M753" t="s">
        <v>8</v>
      </c>
      <c r="N753" t="s">
        <v>8</v>
      </c>
      <c r="P753">
        <f t="shared" si="999"/>
        <v>0.14583333333333415</v>
      </c>
      <c r="Q753">
        <f t="shared" si="1000"/>
        <v>12317.609940416734</v>
      </c>
      <c r="R753">
        <f t="shared" si="1001"/>
        <v>-202413.7041362641</v>
      </c>
      <c r="S753">
        <f t="shared" si="1002"/>
        <v>-2.0241370413626409</v>
      </c>
      <c r="T753">
        <f t="shared" si="1003"/>
        <v>-2.0241370413626408E-3</v>
      </c>
    </row>
    <row r="754" spans="1:20" x14ac:dyDescent="0.25">
      <c r="A754" s="5">
        <v>43839</v>
      </c>
      <c r="B754">
        <v>59.46</v>
      </c>
      <c r="C754">
        <v>59.53</v>
      </c>
      <c r="D754">
        <v>56.76</v>
      </c>
      <c r="E754">
        <v>58.68</v>
      </c>
      <c r="F754">
        <v>62202.805630000003</v>
      </c>
      <c r="G754">
        <v>0</v>
      </c>
      <c r="L754" t="s">
        <v>7</v>
      </c>
      <c r="M754" t="s">
        <v>8</v>
      </c>
      <c r="N754" t="s">
        <v>8</v>
      </c>
      <c r="P754">
        <f t="shared" si="999"/>
        <v>0.38628158844765309</v>
      </c>
      <c r="Q754">
        <f t="shared" si="1000"/>
        <v>24027.79856465702</v>
      </c>
      <c r="R754">
        <f t="shared" si="1001"/>
        <v>-214731.31407668084</v>
      </c>
      <c r="S754">
        <f t="shared" si="1002"/>
        <v>-2.1473131407668085</v>
      </c>
      <c r="T754">
        <f t="shared" si="1003"/>
        <v>-2.1473131407668085E-3</v>
      </c>
    </row>
    <row r="755" spans="1:20" x14ac:dyDescent="0.25">
      <c r="A755" s="5">
        <v>43838</v>
      </c>
      <c r="B755">
        <v>58.36</v>
      </c>
      <c r="C755">
        <v>60.33</v>
      </c>
      <c r="D755">
        <v>55.23</v>
      </c>
      <c r="E755">
        <v>59.44</v>
      </c>
      <c r="F755">
        <v>67288.714340000006</v>
      </c>
      <c r="G755">
        <v>0</v>
      </c>
      <c r="L755" t="s">
        <v>8</v>
      </c>
      <c r="M755" t="s">
        <v>8</v>
      </c>
      <c r="N755" t="s">
        <v>8</v>
      </c>
      <c r="P755">
        <f t="shared" si="999"/>
        <v>0.65098039215686265</v>
      </c>
      <c r="Q755">
        <f t="shared" si="1000"/>
        <v>43803.633648784315</v>
      </c>
      <c r="R755">
        <f t="shared" si="1001"/>
        <v>-238759.11264133785</v>
      </c>
      <c r="S755">
        <f t="shared" si="1002"/>
        <v>-2.3875911264133785</v>
      </c>
      <c r="T755">
        <f t="shared" si="1003"/>
        <v>-2.3875911264133786E-3</v>
      </c>
    </row>
    <row r="756" spans="1:20" x14ac:dyDescent="0.25">
      <c r="A756" s="5">
        <v>43837</v>
      </c>
      <c r="B756">
        <v>58.89</v>
      </c>
      <c r="C756">
        <v>60.17</v>
      </c>
      <c r="D756">
        <v>55.4</v>
      </c>
      <c r="E756">
        <v>58.36</v>
      </c>
      <c r="F756">
        <v>76443.133279999995</v>
      </c>
      <c r="G756">
        <v>0</v>
      </c>
      <c r="L756" t="s">
        <v>7</v>
      </c>
      <c r="M756" t="s">
        <v>8</v>
      </c>
      <c r="N756" t="s">
        <v>7</v>
      </c>
      <c r="P756">
        <f t="shared" si="999"/>
        <v>0.24109014675052365</v>
      </c>
      <c r="Q756">
        <f t="shared" si="1000"/>
        <v>18429.686220545038</v>
      </c>
      <c r="R756">
        <f t="shared" si="1001"/>
        <v>-282562.74629012216</v>
      </c>
      <c r="S756">
        <f t="shared" si="1002"/>
        <v>-2.8256274629012217</v>
      </c>
      <c r="T756">
        <f t="shared" si="1003"/>
        <v>-2.8256274629012215E-3</v>
      </c>
    </row>
    <row r="757" spans="1:20" x14ac:dyDescent="0.25">
      <c r="A757" s="5">
        <v>43836</v>
      </c>
      <c r="B757">
        <v>53.68</v>
      </c>
      <c r="C757">
        <v>59.27</v>
      </c>
      <c r="D757">
        <v>53.67</v>
      </c>
      <c r="E757">
        <v>58.91</v>
      </c>
      <c r="F757">
        <v>68723.768939999994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0.87142857142856911</v>
      </c>
      <c r="Q757">
        <f t="shared" si="1000"/>
        <v>59887.855790571266</v>
      </c>
      <c r="R757">
        <f t="shared" si="1001"/>
        <v>-300992.43251066719</v>
      </c>
      <c r="S757">
        <f t="shared" si="1002"/>
        <v>-3.0099243251066721</v>
      </c>
      <c r="T757">
        <f t="shared" si="1003"/>
        <v>-3.0099243251066722E-3</v>
      </c>
    </row>
    <row r="758" spans="1:20" x14ac:dyDescent="0.25">
      <c r="A758" s="5">
        <v>43835</v>
      </c>
      <c r="B758">
        <v>50.35</v>
      </c>
      <c r="C758">
        <v>54.26</v>
      </c>
      <c r="D758">
        <v>50.34</v>
      </c>
      <c r="E758">
        <v>53.69</v>
      </c>
      <c r="F758">
        <v>54781.3655</v>
      </c>
      <c r="G758">
        <v>0</v>
      </c>
      <c r="L758" t="s">
        <v>8</v>
      </c>
      <c r="M758" t="s">
        <v>8</v>
      </c>
      <c r="N758" t="s">
        <v>7</v>
      </c>
      <c r="P758">
        <f t="shared" si="999"/>
        <v>0.70918367346938715</v>
      </c>
      <c r="Q758">
        <f t="shared" si="1000"/>
        <v>38850.050022959149</v>
      </c>
      <c r="R758">
        <f t="shared" si="1001"/>
        <v>-360880.28830123844</v>
      </c>
      <c r="S758">
        <f t="shared" si="1002"/>
        <v>-3.6088028830123844</v>
      </c>
      <c r="T758">
        <f t="shared" si="1003"/>
        <v>-3.6088028830123845E-3</v>
      </c>
    </row>
    <row r="759" spans="1:20" x14ac:dyDescent="0.25">
      <c r="A759" s="5">
        <v>43834</v>
      </c>
      <c r="B759">
        <v>50.96</v>
      </c>
      <c r="C759">
        <v>51.37</v>
      </c>
      <c r="D759">
        <v>49.74</v>
      </c>
      <c r="E759">
        <v>50.37</v>
      </c>
      <c r="F759">
        <v>35053.358160000003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-0.22699386503067828</v>
      </c>
      <c r="Q759">
        <f t="shared" si="1000"/>
        <v>-7956.8972510430658</v>
      </c>
      <c r="R759">
        <f t="shared" si="1001"/>
        <v>-399730.33832419757</v>
      </c>
      <c r="S759">
        <f t="shared" si="1002"/>
        <v>-3.9973033832419755</v>
      </c>
      <c r="T759">
        <f t="shared" si="1003"/>
        <v>-3.9973033832419753E-3</v>
      </c>
    </row>
    <row r="760" spans="1:20" x14ac:dyDescent="0.25">
      <c r="A760" s="5">
        <v>43833</v>
      </c>
      <c r="B760">
        <v>45.54</v>
      </c>
      <c r="C760">
        <v>51.77</v>
      </c>
      <c r="D760">
        <v>45.45</v>
      </c>
      <c r="E760">
        <v>50.93</v>
      </c>
      <c r="F760">
        <v>156643.20918999999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0.73417721518987233</v>
      </c>
      <c r="Q760">
        <f t="shared" si="1000"/>
        <v>115003.87510151882</v>
      </c>
      <c r="R760">
        <f t="shared" si="1001"/>
        <v>-391773.44107315451</v>
      </c>
      <c r="S760">
        <f t="shared" si="1002"/>
        <v>-3.917734410731545</v>
      </c>
      <c r="T760">
        <f t="shared" si="1003"/>
        <v>-3.9177344107315451E-3</v>
      </c>
    </row>
    <row r="761" spans="1:20" x14ac:dyDescent="0.25">
      <c r="A761" s="5">
        <v>43832</v>
      </c>
      <c r="B761">
        <v>45.82</v>
      </c>
      <c r="C761">
        <v>46.14</v>
      </c>
      <c r="D761">
        <v>44.31</v>
      </c>
      <c r="E761">
        <v>45.5</v>
      </c>
      <c r="F761">
        <v>25354.44426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0.30054644808743042</v>
      </c>
      <c r="Q761">
        <f t="shared" si="1000"/>
        <v>7620.1881655737379</v>
      </c>
      <c r="R761">
        <f t="shared" si="1001"/>
        <v>-506777.31617467332</v>
      </c>
      <c r="S761">
        <f t="shared" si="1002"/>
        <v>-5.0677731617467332</v>
      </c>
      <c r="T761">
        <f t="shared" si="1003"/>
        <v>-5.0677731617467334E-3</v>
      </c>
    </row>
    <row r="762" spans="1:20" x14ac:dyDescent="0.25">
      <c r="A762" s="5">
        <v>43831</v>
      </c>
      <c r="B762">
        <v>44.67</v>
      </c>
      <c r="C762">
        <v>45.89</v>
      </c>
      <c r="D762">
        <v>44.54</v>
      </c>
      <c r="E762">
        <v>45.82</v>
      </c>
      <c r="F762">
        <v>18743.63854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0.89629629629629604</v>
      </c>
      <c r="Q762">
        <f t="shared" si="1000"/>
        <v>16799.853802518515</v>
      </c>
      <c r="R762">
        <f t="shared" si="1001"/>
        <v>-514397.50434024708</v>
      </c>
      <c r="S762">
        <f t="shared" si="1002"/>
        <v>-5.1439750434024711</v>
      </c>
      <c r="T762">
        <f t="shared" si="1003"/>
        <v>-5.1439750434024711E-3</v>
      </c>
    </row>
    <row r="763" spans="1:20" x14ac:dyDescent="0.25">
      <c r="A763" s="5">
        <v>43830</v>
      </c>
      <c r="B763">
        <v>46.21</v>
      </c>
      <c r="C763">
        <v>46.26</v>
      </c>
      <c r="D763">
        <v>44.57</v>
      </c>
      <c r="E763">
        <v>44.69</v>
      </c>
      <c r="F763">
        <v>25352.095379999999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-0.8579881656804762</v>
      </c>
      <c r="Q763">
        <f t="shared" si="1000"/>
        <v>-21751.797811242675</v>
      </c>
      <c r="R763">
        <f t="shared" si="1001"/>
        <v>-531197.35814276559</v>
      </c>
      <c r="S763">
        <f t="shared" si="1002"/>
        <v>-5.3119735814276563</v>
      </c>
      <c r="T763">
        <f t="shared" si="1003"/>
        <v>-5.3119735814276562E-3</v>
      </c>
    </row>
    <row r="764" spans="1:20" x14ac:dyDescent="0.25">
      <c r="A764" s="5">
        <v>43829</v>
      </c>
      <c r="B764">
        <v>46.53</v>
      </c>
      <c r="C764">
        <v>46.72</v>
      </c>
      <c r="D764">
        <v>45.62</v>
      </c>
      <c r="E764">
        <v>46.17</v>
      </c>
      <c r="F764">
        <v>31217.06684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6.4594794160009027E-15</v>
      </c>
      <c r="Q764">
        <f t="shared" si="1000"/>
        <v>2.0164600068090433E-10</v>
      </c>
      <c r="R764">
        <f t="shared" si="1001"/>
        <v>-509445.56033152289</v>
      </c>
      <c r="S764">
        <f t="shared" si="1002"/>
        <v>-5.0944556033152288</v>
      </c>
      <c r="T764">
        <f t="shared" si="1003"/>
        <v>-5.0944556033152288E-3</v>
      </c>
    </row>
    <row r="765" spans="1:20" x14ac:dyDescent="0.25">
      <c r="A765" s="5">
        <v>43828</v>
      </c>
      <c r="B765">
        <v>45.44</v>
      </c>
      <c r="C765">
        <v>47.13</v>
      </c>
      <c r="D765">
        <v>45.23</v>
      </c>
      <c r="E765">
        <v>46.5</v>
      </c>
      <c r="F765">
        <v>40830.835079999997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0.33684210526315717</v>
      </c>
      <c r="Q765">
        <f t="shared" si="1000"/>
        <v>13753.54444799997</v>
      </c>
      <c r="R765">
        <f t="shared" si="1001"/>
        <v>-509445.56033152307</v>
      </c>
      <c r="S765">
        <f t="shared" si="1002"/>
        <v>-5.0944556033152306</v>
      </c>
      <c r="T765">
        <f t="shared" si="1003"/>
        <v>-5.0944556033152306E-3</v>
      </c>
    </row>
    <row r="766" spans="1:20" x14ac:dyDescent="0.25">
      <c r="A766" s="5">
        <v>43827</v>
      </c>
      <c r="B766">
        <v>45.11</v>
      </c>
      <c r="C766">
        <v>45.85</v>
      </c>
      <c r="D766">
        <v>44.92</v>
      </c>
      <c r="E766">
        <v>45.43</v>
      </c>
      <c r="F766">
        <v>32982.983930000002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9.6774193548383153E-2</v>
      </c>
      <c r="Q766">
        <f t="shared" si="1000"/>
        <v>3191.9016706450316</v>
      </c>
      <c r="R766">
        <f t="shared" si="1001"/>
        <v>-523199.10477952304</v>
      </c>
      <c r="S766">
        <f t="shared" si="1002"/>
        <v>-5.2319910477952307</v>
      </c>
      <c r="T766">
        <f t="shared" si="1003"/>
        <v>-5.2319910477952305E-3</v>
      </c>
    </row>
    <row r="767" spans="1:20" x14ac:dyDescent="0.25">
      <c r="A767" s="5">
        <v>43826</v>
      </c>
      <c r="B767">
        <v>45.34</v>
      </c>
      <c r="C767">
        <v>46.1</v>
      </c>
      <c r="D767">
        <v>44.53</v>
      </c>
      <c r="E767">
        <v>45.11</v>
      </c>
      <c r="F767">
        <v>43084.37401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-0.26114649681528895</v>
      </c>
      <c r="Q767">
        <f t="shared" ref="Q767:Q830" si="1005">F767*P767</f>
        <v>-11251.333340191182</v>
      </c>
      <c r="R767">
        <f t="shared" ref="R767:R830" si="1006">R768+Q767</f>
        <v>-526391.00645016809</v>
      </c>
      <c r="S767">
        <f t="shared" ref="S767:S830" si="1007">R767/100000</f>
        <v>-5.2639100645016805</v>
      </c>
      <c r="T767">
        <f t="shared" ref="T767:T830" si="1008">S767/1000</f>
        <v>-5.2639100645016802E-3</v>
      </c>
    </row>
    <row r="768" spans="1:20" x14ac:dyDescent="0.25">
      <c r="A768" s="5">
        <v>43825</v>
      </c>
      <c r="B768">
        <v>45.99</v>
      </c>
      <c r="C768">
        <v>46.55</v>
      </c>
      <c r="D768">
        <v>44.85</v>
      </c>
      <c r="E768">
        <v>45.31</v>
      </c>
      <c r="F768">
        <v>44184.960610000002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-0.45882352941176235</v>
      </c>
      <c r="Q768">
        <f t="shared" si="1005"/>
        <v>-20273.099573999898</v>
      </c>
      <c r="R768">
        <f t="shared" si="1006"/>
        <v>-515139.67310997687</v>
      </c>
      <c r="S768">
        <f t="shared" si="1007"/>
        <v>-5.1513967310997684</v>
      </c>
      <c r="T768">
        <f t="shared" si="1008"/>
        <v>-5.1513967310997683E-3</v>
      </c>
    </row>
    <row r="769" spans="1:20" x14ac:dyDescent="0.25">
      <c r="A769" s="5">
        <v>43824</v>
      </c>
      <c r="B769">
        <v>45.81</v>
      </c>
      <c r="C769">
        <v>46.78</v>
      </c>
      <c r="D769">
        <v>45.1</v>
      </c>
      <c r="E769">
        <v>45.99</v>
      </c>
      <c r="F769">
        <v>52884.284970000001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5.9523809523810381E-2</v>
      </c>
      <c r="Q769">
        <f t="shared" si="1005"/>
        <v>3147.874105357188</v>
      </c>
      <c r="R769">
        <f t="shared" si="1006"/>
        <v>-494866.57353597699</v>
      </c>
      <c r="S769">
        <f t="shared" si="1007"/>
        <v>-4.9486657353597696</v>
      </c>
      <c r="T769">
        <f t="shared" si="1008"/>
        <v>-4.9486657353597693E-3</v>
      </c>
    </row>
    <row r="770" spans="1:20" x14ac:dyDescent="0.25">
      <c r="A770" s="5">
        <v>43823</v>
      </c>
      <c r="B770">
        <v>47.18</v>
      </c>
      <c r="C770">
        <v>47.94</v>
      </c>
      <c r="D770">
        <v>45.55</v>
      </c>
      <c r="E770">
        <v>45.82</v>
      </c>
      <c r="F770">
        <v>80341.526549999995</v>
      </c>
      <c r="G770">
        <v>0</v>
      </c>
      <c r="L770" t="s">
        <v>7</v>
      </c>
      <c r="M770" t="s">
        <v>7</v>
      </c>
      <c r="N770" t="s">
        <v>7</v>
      </c>
      <c r="P770">
        <f t="shared" si="1004"/>
        <v>-0.77405857740585515</v>
      </c>
      <c r="Q770">
        <f t="shared" si="1005"/>
        <v>-62189.047747907738</v>
      </c>
      <c r="R770">
        <f t="shared" si="1006"/>
        <v>-498014.44764133421</v>
      </c>
      <c r="S770">
        <f t="shared" si="1007"/>
        <v>-4.9801444764133418</v>
      </c>
      <c r="T770">
        <f t="shared" si="1008"/>
        <v>-4.9801444764133417E-3</v>
      </c>
    </row>
    <row r="771" spans="1:20" x14ac:dyDescent="0.25">
      <c r="A771" s="5">
        <v>43822</v>
      </c>
      <c r="B771">
        <v>47.39</v>
      </c>
      <c r="C771">
        <v>48.61</v>
      </c>
      <c r="D771">
        <v>46.89</v>
      </c>
      <c r="E771">
        <v>47.18</v>
      </c>
      <c r="F771">
        <v>95648.58438</v>
      </c>
      <c r="G771">
        <v>0</v>
      </c>
      <c r="L771" t="s">
        <v>8</v>
      </c>
      <c r="M771" t="s">
        <v>7</v>
      </c>
      <c r="N771" t="s">
        <v>7</v>
      </c>
      <c r="P771">
        <f t="shared" si="1004"/>
        <v>-0.66279069767441934</v>
      </c>
      <c r="Q771">
        <f t="shared" si="1005"/>
        <v>-63394.991972790769</v>
      </c>
      <c r="R771">
        <f t="shared" si="1006"/>
        <v>-435825.39989342645</v>
      </c>
      <c r="S771">
        <f t="shared" si="1007"/>
        <v>-4.3582539989342646</v>
      </c>
      <c r="T771">
        <f t="shared" si="1008"/>
        <v>-4.3582539989342646E-3</v>
      </c>
    </row>
    <row r="772" spans="1:20" x14ac:dyDescent="0.25">
      <c r="A772" s="5">
        <v>43821</v>
      </c>
      <c r="B772">
        <v>44.99</v>
      </c>
      <c r="C772">
        <v>47.97</v>
      </c>
      <c r="D772">
        <v>44.96</v>
      </c>
      <c r="E772">
        <v>47.34</v>
      </c>
      <c r="F772">
        <v>109575.06435</v>
      </c>
      <c r="G772">
        <v>0</v>
      </c>
      <c r="L772" t="s">
        <v>7</v>
      </c>
      <c r="M772" t="s">
        <v>7</v>
      </c>
      <c r="N772" t="s">
        <v>7</v>
      </c>
      <c r="P772">
        <f t="shared" si="1004"/>
        <v>0.581395348837212</v>
      </c>
      <c r="Q772">
        <f t="shared" si="1005"/>
        <v>63706.432761628203</v>
      </c>
      <c r="R772">
        <f t="shared" si="1006"/>
        <v>-372430.40792063571</v>
      </c>
      <c r="S772">
        <f t="shared" si="1007"/>
        <v>-3.7243040792063571</v>
      </c>
      <c r="T772">
        <f t="shared" si="1008"/>
        <v>-3.7243040792063571E-3</v>
      </c>
    </row>
    <row r="773" spans="1:20" x14ac:dyDescent="0.25">
      <c r="A773" s="5">
        <v>43820</v>
      </c>
      <c r="B773">
        <v>46.69</v>
      </c>
      <c r="C773">
        <v>46.71</v>
      </c>
      <c r="D773">
        <v>44.91</v>
      </c>
      <c r="E773">
        <v>44.97</v>
      </c>
      <c r="F773">
        <v>54748.365879999998</v>
      </c>
      <c r="G773">
        <v>0</v>
      </c>
      <c r="L773" t="s">
        <v>7</v>
      </c>
      <c r="M773" t="s">
        <v>7</v>
      </c>
      <c r="N773" t="s">
        <v>7</v>
      </c>
      <c r="P773">
        <f t="shared" si="1004"/>
        <v>-0.93333333333333102</v>
      </c>
      <c r="Q773">
        <f t="shared" si="1005"/>
        <v>-51098.474821333206</v>
      </c>
      <c r="R773">
        <f t="shared" si="1006"/>
        <v>-436136.84068226389</v>
      </c>
      <c r="S773">
        <f t="shared" si="1007"/>
        <v>-4.3613684068226393</v>
      </c>
      <c r="T773">
        <f t="shared" si="1008"/>
        <v>-4.361368406822639E-3</v>
      </c>
    </row>
    <row r="774" spans="1:20" x14ac:dyDescent="0.25">
      <c r="A774" s="5">
        <v>43819</v>
      </c>
      <c r="B774">
        <v>47.4</v>
      </c>
      <c r="C774">
        <v>47.54</v>
      </c>
      <c r="D774">
        <v>46.48</v>
      </c>
      <c r="E774">
        <v>46.64</v>
      </c>
      <c r="F774">
        <v>40614.582410000003</v>
      </c>
      <c r="G774">
        <v>0</v>
      </c>
      <c r="L774" t="s">
        <v>7</v>
      </c>
      <c r="M774" t="s">
        <v>7</v>
      </c>
      <c r="N774" t="s">
        <v>7</v>
      </c>
      <c r="P774">
        <f t="shared" si="1004"/>
        <v>-0.69811320754716344</v>
      </c>
      <c r="Q774">
        <f t="shared" si="1005"/>
        <v>-28353.576399433707</v>
      </c>
      <c r="R774">
        <f t="shared" si="1006"/>
        <v>-385038.3658609307</v>
      </c>
      <c r="S774">
        <f t="shared" si="1007"/>
        <v>-3.850383658609307</v>
      </c>
      <c r="T774">
        <f t="shared" si="1008"/>
        <v>-3.850383658609307E-3</v>
      </c>
    </row>
    <row r="775" spans="1:20" x14ac:dyDescent="0.25">
      <c r="A775" s="5">
        <v>43818</v>
      </c>
      <c r="B775">
        <v>47.94</v>
      </c>
      <c r="C775">
        <v>49.85</v>
      </c>
      <c r="D775">
        <v>46.05</v>
      </c>
      <c r="E775">
        <v>47.45</v>
      </c>
      <c r="F775">
        <v>61832.584159999999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-0.26315789473683993</v>
      </c>
      <c r="Q775">
        <f t="shared" si="1005"/>
        <v>-16271.732673684075</v>
      </c>
      <c r="R775">
        <f t="shared" si="1006"/>
        <v>-356684.78946149698</v>
      </c>
      <c r="S775">
        <f t="shared" si="1007"/>
        <v>-3.5668478946149698</v>
      </c>
      <c r="T775">
        <f t="shared" si="1008"/>
        <v>-3.5668478946149699E-3</v>
      </c>
    </row>
    <row r="776" spans="1:20" x14ac:dyDescent="0.25">
      <c r="A776" s="5">
        <v>43817</v>
      </c>
      <c r="B776">
        <v>45.08</v>
      </c>
      <c r="C776">
        <v>49.19</v>
      </c>
      <c r="D776">
        <v>43.75</v>
      </c>
      <c r="E776">
        <v>47.76</v>
      </c>
      <c r="F776">
        <v>63959.047769999997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0.47426470588235281</v>
      </c>
      <c r="Q776">
        <f t="shared" si="1005"/>
        <v>30333.518979154403</v>
      </c>
      <c r="R776">
        <f t="shared" si="1006"/>
        <v>-340413.05678781291</v>
      </c>
      <c r="S776">
        <f t="shared" si="1007"/>
        <v>-3.4041305678781293</v>
      </c>
      <c r="T776">
        <f t="shared" si="1008"/>
        <v>-3.4041305678781291E-3</v>
      </c>
    </row>
    <row r="777" spans="1:20" x14ac:dyDescent="0.25">
      <c r="A777" s="5">
        <v>43816</v>
      </c>
      <c r="B777">
        <v>49.15</v>
      </c>
      <c r="C777">
        <v>49.4</v>
      </c>
      <c r="D777">
        <v>44.51</v>
      </c>
      <c r="E777">
        <v>45.04</v>
      </c>
      <c r="F777">
        <v>44462.382590000001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-0.78323108384458029</v>
      </c>
      <c r="Q777">
        <f t="shared" si="1005"/>
        <v>-34824.320106278101</v>
      </c>
      <c r="R777">
        <f t="shared" si="1006"/>
        <v>-370746.57576696732</v>
      </c>
      <c r="S777">
        <f t="shared" si="1007"/>
        <v>-3.7074657576696732</v>
      </c>
      <c r="T777">
        <f t="shared" si="1008"/>
        <v>-3.7074657576696732E-3</v>
      </c>
    </row>
    <row r="778" spans="1:20" x14ac:dyDescent="0.25">
      <c r="A778" s="5">
        <v>43815</v>
      </c>
      <c r="B778">
        <v>50.81</v>
      </c>
      <c r="C778">
        <v>51.1</v>
      </c>
      <c r="D778">
        <v>48.28</v>
      </c>
      <c r="E778">
        <v>49.11</v>
      </c>
      <c r="F778">
        <v>23216.15568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-0.41134751773049771</v>
      </c>
      <c r="Q778">
        <f t="shared" si="1005"/>
        <v>-9549.9080102127955</v>
      </c>
      <c r="R778">
        <f t="shared" si="1006"/>
        <v>-335922.2556606892</v>
      </c>
      <c r="S778">
        <f t="shared" si="1007"/>
        <v>-3.3592225566068921</v>
      </c>
      <c r="T778">
        <f t="shared" si="1008"/>
        <v>-3.3592225566068919E-3</v>
      </c>
    </row>
    <row r="779" spans="1:20" x14ac:dyDescent="0.25">
      <c r="A779" s="5">
        <v>43814</v>
      </c>
      <c r="B779">
        <v>51.23</v>
      </c>
      <c r="C779">
        <v>52.09</v>
      </c>
      <c r="D779">
        <v>50.64</v>
      </c>
      <c r="E779">
        <v>50.8</v>
      </c>
      <c r="F779">
        <v>21132.455099999999</v>
      </c>
      <c r="G779">
        <v>0</v>
      </c>
      <c r="L779" t="s">
        <v>7</v>
      </c>
      <c r="M779" t="s">
        <v>8</v>
      </c>
      <c r="N779" t="s">
        <v>7</v>
      </c>
      <c r="P779">
        <f t="shared" si="1004"/>
        <v>-0.77931034482759132</v>
      </c>
      <c r="Q779">
        <f t="shared" si="1005"/>
        <v>-16468.740871034592</v>
      </c>
      <c r="R779">
        <f t="shared" si="1006"/>
        <v>-326372.34765047638</v>
      </c>
      <c r="S779">
        <f t="shared" si="1007"/>
        <v>-3.2637234765047638</v>
      </c>
      <c r="T779">
        <f t="shared" si="1008"/>
        <v>-3.2637234765047637E-3</v>
      </c>
    </row>
    <row r="780" spans="1:20" x14ac:dyDescent="0.25">
      <c r="A780" s="5">
        <v>43813</v>
      </c>
      <c r="B780">
        <v>52.44</v>
      </c>
      <c r="C780">
        <v>52.72</v>
      </c>
      <c r="D780">
        <v>50.9</v>
      </c>
      <c r="E780">
        <v>51.31</v>
      </c>
      <c r="F780">
        <v>22694.457009999998</v>
      </c>
      <c r="G780">
        <v>0</v>
      </c>
      <c r="L780" t="s">
        <v>7</v>
      </c>
      <c r="M780" t="s">
        <v>8</v>
      </c>
      <c r="N780" t="s">
        <v>7</v>
      </c>
      <c r="P780">
        <f t="shared" si="1004"/>
        <v>-0.5494505494505455</v>
      </c>
      <c r="Q780">
        <f t="shared" si="1005"/>
        <v>-12469.481873626282</v>
      </c>
      <c r="R780">
        <f t="shared" si="1006"/>
        <v>-309903.60677944182</v>
      </c>
      <c r="S780">
        <f t="shared" si="1007"/>
        <v>-3.099036067794418</v>
      </c>
      <c r="T780">
        <f t="shared" si="1008"/>
        <v>-3.099036067794418E-3</v>
      </c>
    </row>
    <row r="781" spans="1:20" x14ac:dyDescent="0.25">
      <c r="A781" s="5">
        <v>43812</v>
      </c>
      <c r="B781">
        <v>52.98</v>
      </c>
      <c r="C781">
        <v>53.34</v>
      </c>
      <c r="D781">
        <v>52.21</v>
      </c>
      <c r="E781">
        <v>52.49</v>
      </c>
      <c r="F781">
        <v>24866.748449999999</v>
      </c>
      <c r="G781">
        <v>0</v>
      </c>
      <c r="L781" t="s">
        <v>7</v>
      </c>
      <c r="M781" t="s">
        <v>8</v>
      </c>
      <c r="N781" t="s">
        <v>7</v>
      </c>
      <c r="P781">
        <f t="shared" si="1004"/>
        <v>-0.50442477876106107</v>
      </c>
      <c r="Q781">
        <f t="shared" si="1005"/>
        <v>-12543.404085398208</v>
      </c>
      <c r="R781">
        <f t="shared" si="1006"/>
        <v>-297434.12490581552</v>
      </c>
      <c r="S781">
        <f t="shared" si="1007"/>
        <v>-2.9743412490581553</v>
      </c>
      <c r="T781">
        <f t="shared" si="1008"/>
        <v>-2.9743412490581553E-3</v>
      </c>
    </row>
    <row r="782" spans="1:20" x14ac:dyDescent="0.25">
      <c r="A782" s="5">
        <v>43811</v>
      </c>
      <c r="B782">
        <v>53</v>
      </c>
      <c r="C782">
        <v>53.97</v>
      </c>
      <c r="D782">
        <v>51.01</v>
      </c>
      <c r="E782">
        <v>52.93</v>
      </c>
      <c r="F782">
        <v>34317.940799999997</v>
      </c>
      <c r="G782">
        <v>0</v>
      </c>
      <c r="L782" t="s">
        <v>7</v>
      </c>
      <c r="M782" t="s">
        <v>8</v>
      </c>
      <c r="N782" t="s">
        <v>7</v>
      </c>
      <c r="P782">
        <f t="shared" si="1004"/>
        <v>0.29729729729729809</v>
      </c>
      <c r="Q782">
        <f t="shared" si="1005"/>
        <v>10202.631048648675</v>
      </c>
      <c r="R782">
        <f t="shared" si="1006"/>
        <v>-284890.72082041734</v>
      </c>
      <c r="S782">
        <f t="shared" si="1007"/>
        <v>-2.8489072082041735</v>
      </c>
      <c r="T782">
        <f t="shared" si="1008"/>
        <v>-2.8489072082041734E-3</v>
      </c>
    </row>
    <row r="783" spans="1:20" x14ac:dyDescent="0.25">
      <c r="A783" s="5">
        <v>43810</v>
      </c>
      <c r="B783">
        <v>52.68</v>
      </c>
      <c r="C783">
        <v>53.48</v>
      </c>
      <c r="D783">
        <v>52.48</v>
      </c>
      <c r="E783">
        <v>52.95</v>
      </c>
      <c r="F783">
        <v>21749.406569999999</v>
      </c>
      <c r="G783">
        <v>0</v>
      </c>
      <c r="L783" t="s">
        <v>7</v>
      </c>
      <c r="M783" t="s">
        <v>8</v>
      </c>
      <c r="N783" t="s">
        <v>7</v>
      </c>
      <c r="P783">
        <f t="shared" si="1004"/>
        <v>-5.9999999999988063E-2</v>
      </c>
      <c r="Q783">
        <f t="shared" si="1005"/>
        <v>-1304.9643941997404</v>
      </c>
      <c r="R783">
        <f t="shared" si="1006"/>
        <v>-295093.35186906601</v>
      </c>
      <c r="S783">
        <f t="shared" si="1007"/>
        <v>-2.9509335186906602</v>
      </c>
      <c r="T783">
        <f t="shared" si="1008"/>
        <v>-2.9509335186906601E-3</v>
      </c>
    </row>
    <row r="784" spans="1:20" x14ac:dyDescent="0.25">
      <c r="A784" s="5">
        <v>43809</v>
      </c>
      <c r="B784">
        <v>54.43</v>
      </c>
      <c r="C784">
        <v>54.72</v>
      </c>
      <c r="D784">
        <v>52.12</v>
      </c>
      <c r="E784">
        <v>52.7</v>
      </c>
      <c r="F784">
        <v>27527.24797</v>
      </c>
      <c r="G784">
        <v>0</v>
      </c>
      <c r="L784" t="s">
        <v>7</v>
      </c>
      <c r="M784" t="s">
        <v>8</v>
      </c>
      <c r="N784" t="s">
        <v>7</v>
      </c>
      <c r="P784">
        <f t="shared" si="1004"/>
        <v>-0.55384615384614999</v>
      </c>
      <c r="Q784">
        <f t="shared" si="1005"/>
        <v>-15245.86041415374</v>
      </c>
      <c r="R784">
        <f t="shared" si="1006"/>
        <v>-293788.38747486629</v>
      </c>
      <c r="S784">
        <f t="shared" si="1007"/>
        <v>-2.9378838747486631</v>
      </c>
      <c r="T784">
        <f t="shared" si="1008"/>
        <v>-2.9378838747486629E-3</v>
      </c>
    </row>
    <row r="785" spans="1:20" x14ac:dyDescent="0.25">
      <c r="A785" s="5">
        <v>43808</v>
      </c>
      <c r="B785">
        <v>53.7</v>
      </c>
      <c r="C785">
        <v>54.57</v>
      </c>
      <c r="D785">
        <v>53.01</v>
      </c>
      <c r="E785">
        <v>54.41</v>
      </c>
      <c r="F785">
        <v>30648.33654</v>
      </c>
      <c r="G785">
        <v>0</v>
      </c>
      <c r="L785" t="s">
        <v>7</v>
      </c>
      <c r="M785" t="s">
        <v>8</v>
      </c>
      <c r="N785" t="s">
        <v>7</v>
      </c>
      <c r="P785">
        <f t="shared" si="1004"/>
        <v>0.79487179487179038</v>
      </c>
      <c r="Q785">
        <f t="shared" si="1005"/>
        <v>24361.498275384478</v>
      </c>
      <c r="R785">
        <f t="shared" si="1006"/>
        <v>-278542.52706071257</v>
      </c>
      <c r="S785">
        <f t="shared" si="1007"/>
        <v>-2.7854252706071256</v>
      </c>
      <c r="T785">
        <f t="shared" si="1008"/>
        <v>-2.7854252706071255E-3</v>
      </c>
    </row>
    <row r="786" spans="1:20" x14ac:dyDescent="0.25">
      <c r="A786" s="5">
        <v>43807</v>
      </c>
      <c r="B786">
        <v>54.25</v>
      </c>
      <c r="C786">
        <v>54.82</v>
      </c>
      <c r="D786">
        <v>53.47</v>
      </c>
      <c r="E786">
        <v>53.68</v>
      </c>
      <c r="F786">
        <v>18950.19183</v>
      </c>
      <c r="G786">
        <v>0</v>
      </c>
      <c r="L786" t="s">
        <v>7</v>
      </c>
      <c r="M786" t="s">
        <v>8</v>
      </c>
      <c r="N786" t="s">
        <v>7</v>
      </c>
      <c r="P786">
        <f t="shared" si="1004"/>
        <v>-0.688888888888888</v>
      </c>
      <c r="Q786">
        <f t="shared" si="1005"/>
        <v>-13054.576593999984</v>
      </c>
      <c r="R786">
        <f t="shared" si="1006"/>
        <v>-302904.02533609705</v>
      </c>
      <c r="S786">
        <f t="shared" si="1007"/>
        <v>-3.0290402533609706</v>
      </c>
      <c r="T786">
        <f t="shared" si="1008"/>
        <v>-3.0290402533609704E-3</v>
      </c>
    </row>
    <row r="787" spans="1:20" x14ac:dyDescent="0.25">
      <c r="A787" s="5">
        <v>43806</v>
      </c>
      <c r="B787">
        <v>54.11</v>
      </c>
      <c r="C787">
        <v>55.01</v>
      </c>
      <c r="D787">
        <v>53.33</v>
      </c>
      <c r="E787">
        <v>54.38</v>
      </c>
      <c r="F787">
        <v>34153.670359999996</v>
      </c>
      <c r="G787">
        <v>0</v>
      </c>
      <c r="L787" t="s">
        <v>7</v>
      </c>
      <c r="M787" t="s">
        <v>8</v>
      </c>
      <c r="N787" t="s">
        <v>7</v>
      </c>
      <c r="P787">
        <f t="shared" si="1004"/>
        <v>0.25000000000000527</v>
      </c>
      <c r="Q787">
        <f t="shared" si="1005"/>
        <v>8538.4175900001792</v>
      </c>
      <c r="R787">
        <f t="shared" si="1006"/>
        <v>-289849.44874209707</v>
      </c>
      <c r="S787">
        <f t="shared" si="1007"/>
        <v>-2.8984944874209706</v>
      </c>
      <c r="T787">
        <f t="shared" si="1008"/>
        <v>-2.8984944874209705E-3</v>
      </c>
    </row>
    <row r="788" spans="1:20" x14ac:dyDescent="0.25">
      <c r="A788" s="5">
        <v>43805</v>
      </c>
      <c r="B788">
        <v>53.74</v>
      </c>
      <c r="C788">
        <v>55.5</v>
      </c>
      <c r="D788">
        <v>52.82</v>
      </c>
      <c r="E788">
        <v>54.03</v>
      </c>
      <c r="F788">
        <v>34846.481269999997</v>
      </c>
      <c r="G788">
        <v>0</v>
      </c>
      <c r="L788" t="s">
        <v>7</v>
      </c>
      <c r="M788" t="s">
        <v>8</v>
      </c>
      <c r="N788" t="s">
        <v>7</v>
      </c>
      <c r="P788">
        <f t="shared" si="1004"/>
        <v>-9.7014925373133595E-2</v>
      </c>
      <c r="Q788">
        <f t="shared" si="1005"/>
        <v>-3380.6287799253473</v>
      </c>
      <c r="R788">
        <f t="shared" si="1006"/>
        <v>-298387.86633209727</v>
      </c>
      <c r="S788">
        <f t="shared" si="1007"/>
        <v>-2.9838786633209726</v>
      </c>
      <c r="T788">
        <f t="shared" si="1008"/>
        <v>-2.9838786633209725E-3</v>
      </c>
    </row>
    <row r="789" spans="1:20" x14ac:dyDescent="0.25">
      <c r="A789" s="5">
        <v>43804</v>
      </c>
      <c r="B789">
        <v>52.66</v>
      </c>
      <c r="C789">
        <v>54.2</v>
      </c>
      <c r="D789">
        <v>51.98</v>
      </c>
      <c r="E789">
        <v>53.78</v>
      </c>
      <c r="F789">
        <v>48664.387089999997</v>
      </c>
      <c r="G789">
        <v>0</v>
      </c>
      <c r="L789" t="s">
        <v>7</v>
      </c>
      <c r="M789" t="s">
        <v>8</v>
      </c>
      <c r="N789" t="s">
        <v>7</v>
      </c>
      <c r="P789">
        <f t="shared" si="1004"/>
        <v>0.62162162162162116</v>
      </c>
      <c r="Q789">
        <f t="shared" si="1005"/>
        <v>30250.835218108085</v>
      </c>
      <c r="R789">
        <f t="shared" si="1006"/>
        <v>-295007.23755217192</v>
      </c>
      <c r="S789">
        <f t="shared" si="1007"/>
        <v>-2.9500723755217191</v>
      </c>
      <c r="T789">
        <f t="shared" si="1008"/>
        <v>-2.950072375521719E-3</v>
      </c>
    </row>
    <row r="790" spans="1:20" x14ac:dyDescent="0.25">
      <c r="A790" s="5">
        <v>43803</v>
      </c>
      <c r="B790">
        <v>53.28</v>
      </c>
      <c r="C790">
        <v>57.3</v>
      </c>
      <c r="D790">
        <v>51.65</v>
      </c>
      <c r="E790">
        <v>52.61</v>
      </c>
      <c r="F790">
        <v>47724.319179999999</v>
      </c>
      <c r="G790">
        <v>0</v>
      </c>
      <c r="L790" t="s">
        <v>8</v>
      </c>
      <c r="M790" t="s">
        <v>8</v>
      </c>
      <c r="N790" t="s">
        <v>7</v>
      </c>
      <c r="P790">
        <f t="shared" si="1004"/>
        <v>-0.66017699115044204</v>
      </c>
      <c r="Q790">
        <f t="shared" si="1005"/>
        <v>-31506.497440955729</v>
      </c>
      <c r="R790">
        <f t="shared" si="1006"/>
        <v>-325258.07277028001</v>
      </c>
      <c r="S790">
        <f t="shared" si="1007"/>
        <v>-3.2525807277028003</v>
      </c>
      <c r="T790">
        <f t="shared" si="1008"/>
        <v>-3.2525807277028001E-3</v>
      </c>
    </row>
    <row r="791" spans="1:20" x14ac:dyDescent="0.25">
      <c r="A791" s="5">
        <v>43802</v>
      </c>
      <c r="B791">
        <v>53.91</v>
      </c>
      <c r="C791">
        <v>55.52</v>
      </c>
      <c r="D791">
        <v>53.23</v>
      </c>
      <c r="E791">
        <v>53.35</v>
      </c>
      <c r="F791">
        <v>30911.363700000002</v>
      </c>
      <c r="G791">
        <v>0</v>
      </c>
      <c r="L791" t="s">
        <v>7</v>
      </c>
      <c r="M791" t="s">
        <v>8</v>
      </c>
      <c r="N791" t="s">
        <v>7</v>
      </c>
      <c r="P791">
        <f t="shared" si="1004"/>
        <v>-0.89519650655021465</v>
      </c>
      <c r="Q791">
        <f t="shared" si="1005"/>
        <v>-27671.74479694312</v>
      </c>
      <c r="R791">
        <f t="shared" si="1006"/>
        <v>-293751.57532932429</v>
      </c>
      <c r="S791">
        <f t="shared" si="1007"/>
        <v>-2.9375157532932428</v>
      </c>
      <c r="T791">
        <f t="shared" si="1008"/>
        <v>-2.9375157532932428E-3</v>
      </c>
    </row>
    <row r="792" spans="1:20" x14ac:dyDescent="0.25">
      <c r="A792" s="5">
        <v>43801</v>
      </c>
      <c r="B792">
        <v>53.48</v>
      </c>
      <c r="C792">
        <v>54.58</v>
      </c>
      <c r="D792">
        <v>52.25</v>
      </c>
      <c r="E792">
        <v>53.88</v>
      </c>
      <c r="F792">
        <v>20531.803599999999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0.39914163090129079</v>
      </c>
      <c r="Q792">
        <f t="shared" si="1005"/>
        <v>8195.0975742489936</v>
      </c>
      <c r="R792">
        <f t="shared" si="1006"/>
        <v>-266079.83053238119</v>
      </c>
      <c r="S792">
        <f t="shared" si="1007"/>
        <v>-2.6607983053238118</v>
      </c>
      <c r="T792">
        <f t="shared" si="1008"/>
        <v>-2.6607983053238116E-3</v>
      </c>
    </row>
    <row r="793" spans="1:20" x14ac:dyDescent="0.25">
      <c r="A793" s="5">
        <v>43800</v>
      </c>
      <c r="B793">
        <v>54.77</v>
      </c>
      <c r="C793">
        <v>54.77</v>
      </c>
      <c r="D793">
        <v>52.3</v>
      </c>
      <c r="E793">
        <v>53.38</v>
      </c>
      <c r="F793">
        <v>15930.67931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-0.12550607287449167</v>
      </c>
      <c r="Q793">
        <f t="shared" si="1005"/>
        <v>-1999.3969984210166</v>
      </c>
      <c r="R793">
        <f t="shared" si="1006"/>
        <v>-274274.92810663016</v>
      </c>
      <c r="S793">
        <f t="shared" si="1007"/>
        <v>-2.7427492810663017</v>
      </c>
      <c r="T793">
        <f t="shared" si="1008"/>
        <v>-2.7427492810663018E-3</v>
      </c>
    </row>
    <row r="794" spans="1:20" x14ac:dyDescent="0.25">
      <c r="A794" s="5">
        <v>43799</v>
      </c>
      <c r="B794">
        <v>55.72</v>
      </c>
      <c r="C794">
        <v>56.05</v>
      </c>
      <c r="D794">
        <v>53.58</v>
      </c>
      <c r="E794">
        <v>54.86</v>
      </c>
      <c r="F794">
        <v>12013.90841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3.6437246963564152E-2</v>
      </c>
      <c r="Q794">
        <f t="shared" si="1005"/>
        <v>437.75374773281033</v>
      </c>
      <c r="R794">
        <f t="shared" si="1006"/>
        <v>-272275.53110820916</v>
      </c>
      <c r="S794">
        <f t="shared" si="1007"/>
        <v>-2.7227553110820915</v>
      </c>
      <c r="T794">
        <f t="shared" si="1008"/>
        <v>-2.7227553110820914E-3</v>
      </c>
    </row>
    <row r="795" spans="1:20" x14ac:dyDescent="0.25">
      <c r="A795" s="5">
        <v>43798</v>
      </c>
      <c r="B795">
        <v>53.78</v>
      </c>
      <c r="C795">
        <v>56.12</v>
      </c>
      <c r="D795">
        <v>53.7</v>
      </c>
      <c r="E795">
        <v>55.77</v>
      </c>
      <c r="F795">
        <v>25600.45925</v>
      </c>
      <c r="G795">
        <v>0</v>
      </c>
      <c r="L795" t="s">
        <v>7</v>
      </c>
      <c r="M795" t="s">
        <v>8</v>
      </c>
      <c r="N795" t="s">
        <v>7</v>
      </c>
      <c r="P795">
        <f t="shared" si="1004"/>
        <v>0.71074380165289663</v>
      </c>
      <c r="Q795">
        <f t="shared" si="1005"/>
        <v>18195.367731405062</v>
      </c>
      <c r="R795">
        <f t="shared" si="1006"/>
        <v>-272713.28485594195</v>
      </c>
      <c r="S795">
        <f t="shared" si="1007"/>
        <v>-2.7271328485594193</v>
      </c>
      <c r="T795">
        <f t="shared" si="1008"/>
        <v>-2.7271328485594191E-3</v>
      </c>
    </row>
    <row r="796" spans="1:20" x14ac:dyDescent="0.25">
      <c r="A796" s="5">
        <v>43797</v>
      </c>
      <c r="B796">
        <v>55.73</v>
      </c>
      <c r="C796">
        <v>58.89</v>
      </c>
      <c r="D796">
        <v>53.57</v>
      </c>
      <c r="E796">
        <v>53.81</v>
      </c>
      <c r="F796">
        <v>45613.664140000001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-0.90977443609022479</v>
      </c>
      <c r="Q796">
        <f t="shared" si="1005"/>
        <v>-41498.145570977409</v>
      </c>
      <c r="R796">
        <f t="shared" si="1006"/>
        <v>-290908.65258734702</v>
      </c>
      <c r="S796">
        <f t="shared" si="1007"/>
        <v>-2.9090865258734704</v>
      </c>
      <c r="T796">
        <f t="shared" si="1008"/>
        <v>-2.9090865258734706E-3</v>
      </c>
    </row>
    <row r="797" spans="1:20" x14ac:dyDescent="0.25">
      <c r="A797" s="5">
        <v>43796</v>
      </c>
      <c r="B797">
        <v>51.15</v>
      </c>
      <c r="C797">
        <v>57.18</v>
      </c>
      <c r="D797">
        <v>49.85</v>
      </c>
      <c r="E797">
        <v>55.79</v>
      </c>
      <c r="F797">
        <v>51583.909090000001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0.62073669849931767</v>
      </c>
      <c r="Q797">
        <f t="shared" si="1005"/>
        <v>32020.025424215542</v>
      </c>
      <c r="R797">
        <f t="shared" si="1006"/>
        <v>-249410.50701636961</v>
      </c>
      <c r="S797">
        <f t="shared" si="1007"/>
        <v>-2.494105070163696</v>
      </c>
      <c r="T797">
        <f t="shared" si="1008"/>
        <v>-2.494105070163696E-3</v>
      </c>
    </row>
    <row r="798" spans="1:20" x14ac:dyDescent="0.25">
      <c r="A798" s="5">
        <v>43795</v>
      </c>
      <c r="B798">
        <v>49.87</v>
      </c>
      <c r="C798">
        <v>52.11</v>
      </c>
      <c r="D798">
        <v>49.53</v>
      </c>
      <c r="E798">
        <v>51.18</v>
      </c>
      <c r="F798">
        <v>45328.935839999998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0.27906976744186018</v>
      </c>
      <c r="Q798">
        <f t="shared" si="1005"/>
        <v>12649.935583255801</v>
      </c>
      <c r="R798">
        <f t="shared" si="1006"/>
        <v>-281430.53244058514</v>
      </c>
      <c r="S798">
        <f t="shared" si="1007"/>
        <v>-2.8143053244058516</v>
      </c>
      <c r="T798">
        <f t="shared" si="1008"/>
        <v>-2.8143053244058516E-3</v>
      </c>
    </row>
    <row r="799" spans="1:20" x14ac:dyDescent="0.25">
      <c r="A799" s="5">
        <v>43794</v>
      </c>
      <c r="B799">
        <v>47.44</v>
      </c>
      <c r="C799">
        <v>52.5</v>
      </c>
      <c r="D799">
        <v>45.44</v>
      </c>
      <c r="E799">
        <v>49.87</v>
      </c>
      <c r="F799">
        <v>47607.65021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0.25495750708215248</v>
      </c>
      <c r="Q799">
        <f t="shared" si="1005"/>
        <v>12137.927815580713</v>
      </c>
      <c r="R799">
        <f t="shared" si="1006"/>
        <v>-294080.46802384092</v>
      </c>
      <c r="S799">
        <f t="shared" si="1007"/>
        <v>-2.9408046802384091</v>
      </c>
      <c r="T799">
        <f t="shared" si="1008"/>
        <v>-2.940804680238409E-3</v>
      </c>
    </row>
    <row r="800" spans="1:20" x14ac:dyDescent="0.25">
      <c r="A800" s="5">
        <v>43793</v>
      </c>
      <c r="B800">
        <v>51.56</v>
      </c>
      <c r="C800">
        <v>51.86</v>
      </c>
      <c r="D800">
        <v>47.16</v>
      </c>
      <c r="E800">
        <v>47.44</v>
      </c>
      <c r="F800">
        <v>39731.826309999997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-0.88085106382978684</v>
      </c>
      <c r="Q800">
        <f t="shared" si="1005"/>
        <v>-34997.821473063814</v>
      </c>
      <c r="R800">
        <f t="shared" si="1006"/>
        <v>-306218.39583942166</v>
      </c>
      <c r="S800">
        <f t="shared" si="1007"/>
        <v>-3.0621839583942165</v>
      </c>
      <c r="T800">
        <f t="shared" si="1008"/>
        <v>-3.0621839583942164E-3</v>
      </c>
    </row>
    <row r="801" spans="1:20" x14ac:dyDescent="0.25">
      <c r="A801" s="5">
        <v>43792</v>
      </c>
      <c r="B801">
        <v>50.95</v>
      </c>
      <c r="C801">
        <v>51.99</v>
      </c>
      <c r="D801">
        <v>49.85</v>
      </c>
      <c r="E801">
        <v>51.58</v>
      </c>
      <c r="F801">
        <v>72611.873949999994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0.61682242990653868</v>
      </c>
      <c r="Q801">
        <f t="shared" si="1005"/>
        <v>44788.632529906296</v>
      </c>
      <c r="R801">
        <f t="shared" si="1006"/>
        <v>-271220.57436635782</v>
      </c>
      <c r="S801">
        <f t="shared" si="1007"/>
        <v>-2.7122057436635783</v>
      </c>
      <c r="T801">
        <f t="shared" si="1008"/>
        <v>-2.7122057436635783E-3</v>
      </c>
    </row>
    <row r="802" spans="1:20" x14ac:dyDescent="0.25">
      <c r="A802" s="5">
        <v>43791</v>
      </c>
      <c r="B802">
        <v>54.11</v>
      </c>
      <c r="C802">
        <v>54.92</v>
      </c>
      <c r="D802">
        <v>47.5</v>
      </c>
      <c r="E802">
        <v>50.99</v>
      </c>
      <c r="F802">
        <v>78467.513560000007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-5.9299191374662753E-2</v>
      </c>
      <c r="Q802">
        <f t="shared" si="1005"/>
        <v>-4653.0601032883851</v>
      </c>
      <c r="R802">
        <f t="shared" si="1006"/>
        <v>-316009.20689626411</v>
      </c>
      <c r="S802">
        <f t="shared" si="1007"/>
        <v>-3.1600920689626411</v>
      </c>
      <c r="T802">
        <f t="shared" si="1008"/>
        <v>-3.1600920689626409E-3</v>
      </c>
    </row>
    <row r="803" spans="1:20" x14ac:dyDescent="0.25">
      <c r="A803" s="5">
        <v>43790</v>
      </c>
      <c r="B803">
        <v>57.87</v>
      </c>
      <c r="C803">
        <v>58.64</v>
      </c>
      <c r="D803">
        <v>53.06</v>
      </c>
      <c r="E803">
        <v>54.11</v>
      </c>
      <c r="F803">
        <v>37649.792990000002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-0.62365591397849551</v>
      </c>
      <c r="Q803">
        <f t="shared" si="1005"/>
        <v>-23480.516058279605</v>
      </c>
      <c r="R803">
        <f t="shared" si="1006"/>
        <v>-311356.14679297572</v>
      </c>
      <c r="S803">
        <f t="shared" si="1007"/>
        <v>-3.1135614679297574</v>
      </c>
      <c r="T803">
        <f t="shared" si="1008"/>
        <v>-3.1135614679297574E-3</v>
      </c>
    </row>
    <row r="804" spans="1:20" x14ac:dyDescent="0.25">
      <c r="A804" s="5">
        <v>43789</v>
      </c>
      <c r="B804">
        <v>58.49</v>
      </c>
      <c r="C804">
        <v>59.21</v>
      </c>
      <c r="D804">
        <v>57.61</v>
      </c>
      <c r="E804">
        <v>57.9</v>
      </c>
      <c r="F804">
        <v>36788.415110000002</v>
      </c>
      <c r="G804">
        <v>0</v>
      </c>
      <c r="L804" t="s">
        <v>7</v>
      </c>
      <c r="M804" t="s">
        <v>8</v>
      </c>
      <c r="N804" t="s">
        <v>7</v>
      </c>
      <c r="P804">
        <f t="shared" si="1004"/>
        <v>-0.6375000000000014</v>
      </c>
      <c r="Q804">
        <f t="shared" si="1005"/>
        <v>-23452.614632625053</v>
      </c>
      <c r="R804">
        <f t="shared" si="1006"/>
        <v>-287875.63073469611</v>
      </c>
      <c r="S804">
        <f t="shared" si="1007"/>
        <v>-2.8787563073469613</v>
      </c>
      <c r="T804">
        <f t="shared" si="1008"/>
        <v>-2.8787563073469614E-3</v>
      </c>
    </row>
    <row r="805" spans="1:20" x14ac:dyDescent="0.25">
      <c r="A805" s="5">
        <v>43788</v>
      </c>
      <c r="B805">
        <v>58.41</v>
      </c>
      <c r="C805">
        <v>59.73</v>
      </c>
      <c r="D805">
        <v>57.75</v>
      </c>
      <c r="E805">
        <v>58.53</v>
      </c>
      <c r="F805">
        <v>32747.875540000001</v>
      </c>
      <c r="G805">
        <v>0</v>
      </c>
      <c r="L805" t="s">
        <v>7</v>
      </c>
      <c r="M805" t="s">
        <v>8</v>
      </c>
      <c r="N805" t="s">
        <v>7</v>
      </c>
      <c r="P805">
        <f t="shared" si="1004"/>
        <v>-0.21212121212120974</v>
      </c>
      <c r="Q805">
        <f t="shared" si="1005"/>
        <v>-6946.5190539393161</v>
      </c>
      <c r="R805">
        <f t="shared" si="1006"/>
        <v>-264423.01610207104</v>
      </c>
      <c r="S805">
        <f t="shared" si="1007"/>
        <v>-2.6442301610207104</v>
      </c>
      <c r="T805">
        <f t="shared" si="1008"/>
        <v>-2.6442301610207102E-3</v>
      </c>
    </row>
    <row r="806" spans="1:20" x14ac:dyDescent="0.25">
      <c r="A806" s="5">
        <v>43787</v>
      </c>
      <c r="B806">
        <v>61.66</v>
      </c>
      <c r="C806">
        <v>61.94</v>
      </c>
      <c r="D806">
        <v>57.73</v>
      </c>
      <c r="E806">
        <v>58.41</v>
      </c>
      <c r="F806">
        <v>35615.101199999997</v>
      </c>
      <c r="G806">
        <v>0</v>
      </c>
      <c r="L806" t="s">
        <v>7</v>
      </c>
      <c r="M806" t="s">
        <v>8</v>
      </c>
      <c r="N806" t="s">
        <v>7</v>
      </c>
      <c r="P806">
        <f t="shared" si="1004"/>
        <v>-0.67695961995249421</v>
      </c>
      <c r="Q806">
        <f t="shared" si="1005"/>
        <v>-24109.985372921619</v>
      </c>
      <c r="R806">
        <f t="shared" si="1006"/>
        <v>-257476.49704813171</v>
      </c>
      <c r="S806">
        <f t="shared" si="1007"/>
        <v>-2.5747649704813171</v>
      </c>
      <c r="T806">
        <f t="shared" si="1008"/>
        <v>-2.5747649704813171E-3</v>
      </c>
    </row>
    <row r="807" spans="1:20" x14ac:dyDescent="0.25">
      <c r="A807" s="5">
        <v>43786</v>
      </c>
      <c r="B807">
        <v>61.38</v>
      </c>
      <c r="C807">
        <v>63.11</v>
      </c>
      <c r="D807">
        <v>61.34</v>
      </c>
      <c r="E807">
        <v>61.73</v>
      </c>
      <c r="F807">
        <v>47674.082799999996</v>
      </c>
      <c r="G807">
        <v>0</v>
      </c>
      <c r="L807" t="s">
        <v>7</v>
      </c>
      <c r="M807" t="s">
        <v>8</v>
      </c>
      <c r="N807" t="s">
        <v>7</v>
      </c>
      <c r="P807">
        <f t="shared" si="1004"/>
        <v>-0.55932203389831148</v>
      </c>
      <c r="Q807">
        <f t="shared" si="1005"/>
        <v>-26665.164955932505</v>
      </c>
      <c r="R807">
        <f t="shared" si="1006"/>
        <v>-233366.51167521009</v>
      </c>
      <c r="S807">
        <f t="shared" si="1007"/>
        <v>-2.3336651167521008</v>
      </c>
      <c r="T807">
        <f t="shared" si="1008"/>
        <v>-2.3336651167521006E-3</v>
      </c>
    </row>
    <row r="808" spans="1:20" x14ac:dyDescent="0.25">
      <c r="A808" s="5">
        <v>43785</v>
      </c>
      <c r="B808">
        <v>61.84</v>
      </c>
      <c r="C808">
        <v>62.88</v>
      </c>
      <c r="D808">
        <v>61.05</v>
      </c>
      <c r="E808">
        <v>61.38</v>
      </c>
      <c r="F808">
        <v>26314.512770000001</v>
      </c>
      <c r="G808">
        <v>0</v>
      </c>
      <c r="L808" t="s">
        <v>7</v>
      </c>
      <c r="M808" t="s">
        <v>8</v>
      </c>
      <c r="N808" t="s">
        <v>7</v>
      </c>
      <c r="P808">
        <f t="shared" si="1004"/>
        <v>-0.63934426229507713</v>
      </c>
      <c r="Q808">
        <f t="shared" si="1005"/>
        <v>-16824.032754590036</v>
      </c>
      <c r="R808">
        <f t="shared" si="1006"/>
        <v>-206701.34671927759</v>
      </c>
      <c r="S808">
        <f t="shared" si="1007"/>
        <v>-2.0670134671927758</v>
      </c>
      <c r="T808">
        <f t="shared" si="1008"/>
        <v>-2.0670134671927757E-3</v>
      </c>
    </row>
    <row r="809" spans="1:20" x14ac:dyDescent="0.25">
      <c r="A809" s="5">
        <v>43784</v>
      </c>
      <c r="B809">
        <v>65.02</v>
      </c>
      <c r="C809">
        <v>65.790000000000006</v>
      </c>
      <c r="D809">
        <v>61.81</v>
      </c>
      <c r="E809">
        <v>61.9</v>
      </c>
      <c r="F809">
        <v>28631.693889999999</v>
      </c>
      <c r="G809">
        <v>0</v>
      </c>
      <c r="L809" t="s">
        <v>8</v>
      </c>
      <c r="M809" t="s">
        <v>8</v>
      </c>
      <c r="N809" t="s">
        <v>7</v>
      </c>
      <c r="P809">
        <f t="shared" si="1004"/>
        <v>-0.95477386934673558</v>
      </c>
      <c r="Q809">
        <f t="shared" si="1005"/>
        <v>-27336.793161306585</v>
      </c>
      <c r="R809">
        <f t="shared" si="1006"/>
        <v>-189877.31396468755</v>
      </c>
      <c r="S809">
        <f t="shared" si="1007"/>
        <v>-1.8987731396468754</v>
      </c>
      <c r="T809">
        <f t="shared" si="1008"/>
        <v>-1.8987731396468755E-3</v>
      </c>
    </row>
    <row r="810" spans="1:20" x14ac:dyDescent="0.25">
      <c r="A810" s="5">
        <v>43783</v>
      </c>
      <c r="B810">
        <v>65.33</v>
      </c>
      <c r="C810">
        <v>65.55</v>
      </c>
      <c r="D810">
        <v>63.72</v>
      </c>
      <c r="E810">
        <v>65.02</v>
      </c>
      <c r="F810">
        <v>26492.23632</v>
      </c>
      <c r="G810">
        <v>0</v>
      </c>
      <c r="L810" t="s">
        <v>8</v>
      </c>
      <c r="M810" t="s">
        <v>8</v>
      </c>
      <c r="N810" t="s">
        <v>7</v>
      </c>
      <c r="P810">
        <f t="shared" si="1004"/>
        <v>0.42076502732240256</v>
      </c>
      <c r="Q810">
        <f t="shared" si="1005"/>
        <v>11147.006539016345</v>
      </c>
      <c r="R810">
        <f t="shared" si="1006"/>
        <v>-162540.52080338096</v>
      </c>
      <c r="S810">
        <f t="shared" si="1007"/>
        <v>-1.6254052080338097</v>
      </c>
      <c r="T810">
        <f t="shared" si="1008"/>
        <v>-1.6254052080338097E-3</v>
      </c>
    </row>
    <row r="811" spans="1:20" x14ac:dyDescent="0.25">
      <c r="A811" s="5">
        <v>43782</v>
      </c>
      <c r="B811">
        <v>62.28</v>
      </c>
      <c r="C811">
        <v>65.48</v>
      </c>
      <c r="D811">
        <v>61.79</v>
      </c>
      <c r="E811">
        <v>65.25</v>
      </c>
      <c r="F811">
        <v>27483.803380000001</v>
      </c>
      <c r="G811">
        <v>0</v>
      </c>
      <c r="L811" t="s">
        <v>8</v>
      </c>
      <c r="M811" t="s">
        <v>8</v>
      </c>
      <c r="N811" t="s">
        <v>7</v>
      </c>
      <c r="P811">
        <f t="shared" si="1004"/>
        <v>0.87533875338753186</v>
      </c>
      <c r="Q811">
        <f t="shared" si="1005"/>
        <v>24057.638188997236</v>
      </c>
      <c r="R811">
        <f t="shared" si="1006"/>
        <v>-173687.52734239731</v>
      </c>
      <c r="S811">
        <f t="shared" si="1007"/>
        <v>-1.7368752734239732</v>
      </c>
      <c r="T811">
        <f t="shared" si="1008"/>
        <v>-1.7368752734239733E-3</v>
      </c>
    </row>
    <row r="812" spans="1:20" x14ac:dyDescent="0.25">
      <c r="A812" s="5">
        <v>43781</v>
      </c>
      <c r="B812">
        <v>61.71</v>
      </c>
      <c r="C812">
        <v>66</v>
      </c>
      <c r="D812">
        <v>61.46</v>
      </c>
      <c r="E812">
        <v>62.26</v>
      </c>
      <c r="F812">
        <v>49701.377970000001</v>
      </c>
      <c r="G812">
        <v>0</v>
      </c>
      <c r="L812" t="s">
        <v>8</v>
      </c>
      <c r="M812" t="s">
        <v>8</v>
      </c>
      <c r="N812" t="s">
        <v>7</v>
      </c>
      <c r="P812">
        <f t="shared" si="1004"/>
        <v>-0.64757709251101436</v>
      </c>
      <c r="Q812">
        <f t="shared" si="1005"/>
        <v>-32185.473839603583</v>
      </c>
      <c r="R812">
        <f t="shared" si="1006"/>
        <v>-197745.16553139454</v>
      </c>
      <c r="S812">
        <f t="shared" si="1007"/>
        <v>-1.9774516553139454</v>
      </c>
      <c r="T812">
        <f t="shared" si="1008"/>
        <v>-1.9774516553139453E-3</v>
      </c>
    </row>
    <row r="813" spans="1:20" x14ac:dyDescent="0.25">
      <c r="A813" s="5">
        <v>43780</v>
      </c>
      <c r="B813">
        <v>63.84</v>
      </c>
      <c r="C813">
        <v>63.93</v>
      </c>
      <c r="D813">
        <v>60.86</v>
      </c>
      <c r="E813">
        <v>61.72</v>
      </c>
      <c r="F813">
        <v>24227.042020000001</v>
      </c>
      <c r="G813">
        <v>0</v>
      </c>
      <c r="L813" t="s">
        <v>8</v>
      </c>
      <c r="M813" t="s">
        <v>8</v>
      </c>
      <c r="N813" t="s">
        <v>7</v>
      </c>
      <c r="P813">
        <f t="shared" si="1004"/>
        <v>-0.43973941368078218</v>
      </c>
      <c r="Q813">
        <f t="shared" si="1005"/>
        <v>-10653.585253094472</v>
      </c>
      <c r="R813">
        <f t="shared" si="1006"/>
        <v>-165559.69169179097</v>
      </c>
      <c r="S813">
        <f t="shared" si="1007"/>
        <v>-1.6555969169179097</v>
      </c>
      <c r="T813">
        <f t="shared" si="1008"/>
        <v>-1.6555969169179097E-3</v>
      </c>
    </row>
    <row r="814" spans="1:20" x14ac:dyDescent="0.25">
      <c r="A814" s="5">
        <v>43779</v>
      </c>
      <c r="B814">
        <v>61.91</v>
      </c>
      <c r="C814">
        <v>64.67</v>
      </c>
      <c r="D814">
        <v>61.65</v>
      </c>
      <c r="E814">
        <v>63.78</v>
      </c>
      <c r="F814">
        <v>22749.41617</v>
      </c>
      <c r="G814">
        <v>0</v>
      </c>
      <c r="L814" t="s">
        <v>8</v>
      </c>
      <c r="M814" t="s">
        <v>8</v>
      </c>
      <c r="N814" t="s">
        <v>7</v>
      </c>
      <c r="P814">
        <f t="shared" si="1004"/>
        <v>0.41059602649006643</v>
      </c>
      <c r="Q814">
        <f t="shared" si="1005"/>
        <v>9340.8198843708651</v>
      </c>
      <c r="R814">
        <f t="shared" si="1006"/>
        <v>-154906.1064386965</v>
      </c>
      <c r="S814">
        <f t="shared" si="1007"/>
        <v>-1.5490610643869651</v>
      </c>
      <c r="T814">
        <f t="shared" si="1008"/>
        <v>-1.5490610643869652E-3</v>
      </c>
    </row>
    <row r="815" spans="1:20" x14ac:dyDescent="0.25">
      <c r="A815" s="5">
        <v>43778</v>
      </c>
      <c r="B815">
        <v>60.72</v>
      </c>
      <c r="C815">
        <v>62.36</v>
      </c>
      <c r="D815">
        <v>60.42</v>
      </c>
      <c r="E815">
        <v>61.83</v>
      </c>
      <c r="F815">
        <v>13929.55795</v>
      </c>
      <c r="G815">
        <v>0</v>
      </c>
      <c r="L815" t="s">
        <v>7</v>
      </c>
      <c r="M815" t="s">
        <v>8</v>
      </c>
      <c r="N815" t="s">
        <v>7</v>
      </c>
      <c r="P815">
        <f t="shared" si="1004"/>
        <v>0.45360824742267858</v>
      </c>
      <c r="Q815">
        <f t="shared" si="1005"/>
        <v>6318.5623690721395</v>
      </c>
      <c r="R815">
        <f t="shared" si="1006"/>
        <v>-164246.92632306737</v>
      </c>
      <c r="S815">
        <f t="shared" si="1007"/>
        <v>-1.6424692632306737</v>
      </c>
      <c r="T815">
        <f t="shared" si="1008"/>
        <v>-1.6424692632306737E-3</v>
      </c>
    </row>
    <row r="816" spans="1:20" x14ac:dyDescent="0.25">
      <c r="A816" s="5">
        <v>43777</v>
      </c>
      <c r="B816">
        <v>63.04</v>
      </c>
      <c r="C816">
        <v>63.61</v>
      </c>
      <c r="D816">
        <v>59.88</v>
      </c>
      <c r="E816">
        <v>60.77</v>
      </c>
      <c r="F816">
        <v>26622.827689999998</v>
      </c>
      <c r="G816">
        <v>0</v>
      </c>
      <c r="L816" t="s">
        <v>7</v>
      </c>
      <c r="M816" t="s">
        <v>8</v>
      </c>
      <c r="N816" t="s">
        <v>7</v>
      </c>
      <c r="P816">
        <f t="shared" si="1004"/>
        <v>-0.52278820375335056</v>
      </c>
      <c r="Q816">
        <f t="shared" si="1005"/>
        <v>-13918.100266890062</v>
      </c>
      <c r="R816">
        <f t="shared" si="1006"/>
        <v>-170565.48869213951</v>
      </c>
      <c r="S816">
        <f t="shared" si="1007"/>
        <v>-1.705654886921395</v>
      </c>
      <c r="T816">
        <f t="shared" si="1008"/>
        <v>-1.7056548869213951E-3</v>
      </c>
    </row>
    <row r="817" spans="1:20" x14ac:dyDescent="0.25">
      <c r="A817" s="5">
        <v>43776</v>
      </c>
      <c r="B817">
        <v>64.010000000000005</v>
      </c>
      <c r="C817">
        <v>67.489999999999995</v>
      </c>
      <c r="D817">
        <v>62.76</v>
      </c>
      <c r="E817">
        <v>63.07</v>
      </c>
      <c r="F817">
        <v>64175.830860000002</v>
      </c>
      <c r="G817">
        <v>0</v>
      </c>
      <c r="L817" t="s">
        <v>8</v>
      </c>
      <c r="M817" t="s">
        <v>8</v>
      </c>
      <c r="N817" t="s">
        <v>7</v>
      </c>
      <c r="P817">
        <f t="shared" si="1004"/>
        <v>-0.86892177589851904</v>
      </c>
      <c r="Q817">
        <f t="shared" si="1005"/>
        <v>-55763.776920634184</v>
      </c>
      <c r="R817">
        <f t="shared" si="1006"/>
        <v>-156647.38842524946</v>
      </c>
      <c r="S817">
        <f t="shared" si="1007"/>
        <v>-1.5664738842524946</v>
      </c>
      <c r="T817">
        <f t="shared" si="1008"/>
        <v>-1.5664738842524947E-3</v>
      </c>
    </row>
    <row r="818" spans="1:20" x14ac:dyDescent="0.25">
      <c r="A818" s="5">
        <v>43775</v>
      </c>
      <c r="B818">
        <v>62.73</v>
      </c>
      <c r="C818">
        <v>64.5</v>
      </c>
      <c r="D818">
        <v>62.37</v>
      </c>
      <c r="E818">
        <v>64</v>
      </c>
      <c r="F818">
        <v>30877.42167</v>
      </c>
      <c r="G818">
        <v>0</v>
      </c>
      <c r="L818" t="s">
        <v>8</v>
      </c>
      <c r="M818" t="s">
        <v>7</v>
      </c>
      <c r="N818" t="s">
        <v>7</v>
      </c>
      <c r="P818">
        <f t="shared" si="1004"/>
        <v>0.53051643192488318</v>
      </c>
      <c r="Q818">
        <f t="shared" si="1005"/>
        <v>16380.979571408468</v>
      </c>
      <c r="R818">
        <f t="shared" si="1006"/>
        <v>-100883.61150461528</v>
      </c>
      <c r="S818">
        <f t="shared" si="1007"/>
        <v>-1.0088361150461529</v>
      </c>
      <c r="T818">
        <f t="shared" si="1008"/>
        <v>-1.0088361150461529E-3</v>
      </c>
    </row>
    <row r="819" spans="1:20" x14ac:dyDescent="0.25">
      <c r="A819" s="5">
        <v>43774</v>
      </c>
      <c r="B819">
        <v>62.96</v>
      </c>
      <c r="C819">
        <v>63.65</v>
      </c>
      <c r="D819">
        <v>61.68</v>
      </c>
      <c r="E819">
        <v>62.8</v>
      </c>
      <c r="F819">
        <v>22296.70089</v>
      </c>
      <c r="G819">
        <v>0</v>
      </c>
      <c r="L819" t="s">
        <v>8</v>
      </c>
      <c r="M819" t="s">
        <v>7</v>
      </c>
      <c r="N819" t="s">
        <v>7</v>
      </c>
      <c r="P819">
        <f t="shared" si="1004"/>
        <v>0.13705583756344983</v>
      </c>
      <c r="Q819">
        <f t="shared" si="1005"/>
        <v>3055.8930153806673</v>
      </c>
      <c r="R819">
        <f t="shared" si="1006"/>
        <v>-117264.59107602375</v>
      </c>
      <c r="S819">
        <f t="shared" si="1007"/>
        <v>-1.1726459107602374</v>
      </c>
      <c r="T819">
        <f t="shared" si="1008"/>
        <v>-1.1726459107602373E-3</v>
      </c>
    </row>
    <row r="820" spans="1:20" x14ac:dyDescent="0.25">
      <c r="A820" s="5">
        <v>43773</v>
      </c>
      <c r="B820">
        <v>63.32</v>
      </c>
      <c r="C820">
        <v>64.16</v>
      </c>
      <c r="D820">
        <v>62.27</v>
      </c>
      <c r="E820">
        <v>62.98</v>
      </c>
      <c r="F820">
        <v>35662.71544</v>
      </c>
      <c r="G820">
        <v>0</v>
      </c>
      <c r="L820" t="s">
        <v>8</v>
      </c>
      <c r="M820" t="s">
        <v>7</v>
      </c>
      <c r="N820" t="s">
        <v>7</v>
      </c>
      <c r="P820">
        <f t="shared" si="1004"/>
        <v>-0.24867724867725269</v>
      </c>
      <c r="Q820">
        <f t="shared" si="1005"/>
        <v>-8868.5059559789788</v>
      </c>
      <c r="R820">
        <f t="shared" si="1006"/>
        <v>-120320.48409140442</v>
      </c>
      <c r="S820">
        <f t="shared" si="1007"/>
        <v>-1.2032048409140441</v>
      </c>
      <c r="T820">
        <f t="shared" si="1008"/>
        <v>-1.2032048409140442E-3</v>
      </c>
    </row>
    <row r="821" spans="1:20" x14ac:dyDescent="0.25">
      <c r="A821" s="5">
        <v>43772</v>
      </c>
      <c r="B821">
        <v>62.15</v>
      </c>
      <c r="C821">
        <v>65</v>
      </c>
      <c r="D821">
        <v>61.02</v>
      </c>
      <c r="E821">
        <v>63.25</v>
      </c>
      <c r="F821">
        <v>34905.525419999998</v>
      </c>
      <c r="G821">
        <v>0</v>
      </c>
      <c r="L821" t="s">
        <v>8</v>
      </c>
      <c r="M821" t="s">
        <v>7</v>
      </c>
      <c r="N821" t="s">
        <v>7</v>
      </c>
      <c r="P821">
        <f t="shared" si="1004"/>
        <v>0.1206030150753762</v>
      </c>
      <c r="Q821">
        <f t="shared" si="1005"/>
        <v>4209.7116084421868</v>
      </c>
      <c r="R821">
        <f t="shared" si="1006"/>
        <v>-111451.97813542544</v>
      </c>
      <c r="S821">
        <f t="shared" si="1007"/>
        <v>-1.1145197813542544</v>
      </c>
      <c r="T821">
        <f t="shared" si="1008"/>
        <v>-1.1145197813542545E-3</v>
      </c>
    </row>
    <row r="822" spans="1:20" x14ac:dyDescent="0.25">
      <c r="A822" s="5">
        <v>43771</v>
      </c>
      <c r="B822">
        <v>60.65</v>
      </c>
      <c r="C822">
        <v>63.08</v>
      </c>
      <c r="D822">
        <v>60.43</v>
      </c>
      <c r="E822">
        <v>62.15</v>
      </c>
      <c r="F822">
        <v>24087.825550000001</v>
      </c>
      <c r="G822">
        <v>0</v>
      </c>
      <c r="L822" t="s">
        <v>8</v>
      </c>
      <c r="M822" t="s">
        <v>7</v>
      </c>
      <c r="N822" t="s">
        <v>7</v>
      </c>
      <c r="P822">
        <f t="shared" si="1004"/>
        <v>0.29811320754716963</v>
      </c>
      <c r="Q822">
        <f t="shared" si="1005"/>
        <v>7180.8989375471656</v>
      </c>
      <c r="R822">
        <f t="shared" si="1006"/>
        <v>-115661.68974386762</v>
      </c>
      <c r="S822">
        <f t="shared" si="1007"/>
        <v>-1.1566168974386764</v>
      </c>
      <c r="T822">
        <f t="shared" si="1008"/>
        <v>-1.1566168974386764E-3</v>
      </c>
    </row>
    <row r="823" spans="1:20" x14ac:dyDescent="0.25">
      <c r="A823" s="5">
        <v>43770</v>
      </c>
      <c r="B823">
        <v>59.01</v>
      </c>
      <c r="C823">
        <v>61.2</v>
      </c>
      <c r="D823">
        <v>58.23</v>
      </c>
      <c r="E823">
        <v>60.62</v>
      </c>
      <c r="F823">
        <v>23164.864600000001</v>
      </c>
      <c r="G823">
        <v>0</v>
      </c>
      <c r="L823" t="s">
        <v>7</v>
      </c>
      <c r="M823" t="s">
        <v>7</v>
      </c>
      <c r="N823" t="s">
        <v>7</v>
      </c>
      <c r="P823">
        <f t="shared" si="1004"/>
        <v>0.60942760942760654</v>
      </c>
      <c r="Q823">
        <f t="shared" si="1005"/>
        <v>14117.30805589219</v>
      </c>
      <c r="R823">
        <f t="shared" si="1006"/>
        <v>-122842.5886814148</v>
      </c>
      <c r="S823">
        <f t="shared" si="1007"/>
        <v>-1.228425886814148</v>
      </c>
      <c r="T823">
        <f t="shared" si="1008"/>
        <v>-1.2284258868141479E-3</v>
      </c>
    </row>
    <row r="824" spans="1:20" x14ac:dyDescent="0.25">
      <c r="A824" s="5">
        <v>43769</v>
      </c>
      <c r="B824">
        <v>58.41</v>
      </c>
      <c r="C824">
        <v>60.05</v>
      </c>
      <c r="D824">
        <v>56.94</v>
      </c>
      <c r="E824">
        <v>59.01</v>
      </c>
      <c r="F824">
        <v>25163.280790000001</v>
      </c>
      <c r="G824">
        <v>0</v>
      </c>
      <c r="L824" t="s">
        <v>7</v>
      </c>
      <c r="M824" t="s">
        <v>7</v>
      </c>
      <c r="N824" t="s">
        <v>7</v>
      </c>
      <c r="P824">
        <f t="shared" si="1004"/>
        <v>0.33118971061093289</v>
      </c>
      <c r="Q824">
        <f t="shared" si="1005"/>
        <v>8333.8196828617474</v>
      </c>
      <c r="R824">
        <f t="shared" si="1006"/>
        <v>-136959.89673730699</v>
      </c>
      <c r="S824">
        <f t="shared" si="1007"/>
        <v>-1.36959896737307</v>
      </c>
      <c r="T824">
        <f t="shared" si="1008"/>
        <v>-1.36959896737307E-3</v>
      </c>
    </row>
    <row r="825" spans="1:20" x14ac:dyDescent="0.25">
      <c r="A825" s="5">
        <v>43768</v>
      </c>
      <c r="B825">
        <v>59.53</v>
      </c>
      <c r="C825">
        <v>59.54</v>
      </c>
      <c r="D825">
        <v>57.16</v>
      </c>
      <c r="E825">
        <v>58.42</v>
      </c>
      <c r="F825">
        <v>35488.180500000002</v>
      </c>
      <c r="G825">
        <v>0</v>
      </c>
      <c r="L825" t="s">
        <v>7</v>
      </c>
      <c r="M825" t="s">
        <v>7</v>
      </c>
      <c r="N825" t="s">
        <v>7</v>
      </c>
      <c r="P825">
        <f t="shared" si="1004"/>
        <v>5.8823529411767869E-2</v>
      </c>
      <c r="Q825">
        <f t="shared" si="1005"/>
        <v>2087.5400294118772</v>
      </c>
      <c r="R825">
        <f t="shared" si="1006"/>
        <v>-145293.71642016873</v>
      </c>
      <c r="S825">
        <f t="shared" si="1007"/>
        <v>-1.4529371642016873</v>
      </c>
      <c r="T825">
        <f t="shared" si="1008"/>
        <v>-1.4529371642016873E-3</v>
      </c>
    </row>
    <row r="826" spans="1:20" x14ac:dyDescent="0.25">
      <c r="A826" s="5">
        <v>43767</v>
      </c>
      <c r="B826">
        <v>59.29</v>
      </c>
      <c r="C826">
        <v>63.12</v>
      </c>
      <c r="D826">
        <v>58.92</v>
      </c>
      <c r="E826">
        <v>59.49</v>
      </c>
      <c r="F826">
        <v>42988.006849999998</v>
      </c>
      <c r="G826">
        <v>0</v>
      </c>
      <c r="L826" t="s">
        <v>8</v>
      </c>
      <c r="M826" t="s">
        <v>7</v>
      </c>
      <c r="N826" t="s">
        <v>7</v>
      </c>
      <c r="P826">
        <f t="shared" si="1004"/>
        <v>-0.7285714285714282</v>
      </c>
      <c r="Q826">
        <f t="shared" si="1005"/>
        <v>-31319.833562142841</v>
      </c>
      <c r="R826">
        <f t="shared" si="1006"/>
        <v>-147381.2564495806</v>
      </c>
      <c r="S826">
        <f t="shared" si="1007"/>
        <v>-1.473812564495806</v>
      </c>
      <c r="T826">
        <f t="shared" si="1008"/>
        <v>-1.4738125644958059E-3</v>
      </c>
    </row>
    <row r="827" spans="1:20" x14ac:dyDescent="0.25">
      <c r="A827" s="5">
        <v>43766</v>
      </c>
      <c r="B827">
        <v>59.75</v>
      </c>
      <c r="C827">
        <v>61.63</v>
      </c>
      <c r="D827">
        <v>58.55</v>
      </c>
      <c r="E827">
        <v>59.29</v>
      </c>
      <c r="F827">
        <v>32090.22783</v>
      </c>
      <c r="G827">
        <v>0</v>
      </c>
      <c r="L827" t="s">
        <v>8</v>
      </c>
      <c r="M827" t="s">
        <v>7</v>
      </c>
      <c r="N827" t="s">
        <v>7</v>
      </c>
      <c r="P827">
        <f t="shared" si="1004"/>
        <v>-0.51948051948051899</v>
      </c>
      <c r="Q827">
        <f t="shared" si="1005"/>
        <v>-16670.248223376606</v>
      </c>
      <c r="R827">
        <f t="shared" si="1006"/>
        <v>-116061.42288743777</v>
      </c>
      <c r="S827">
        <f t="shared" si="1007"/>
        <v>-1.1606142288743777</v>
      </c>
      <c r="T827">
        <f t="shared" si="1008"/>
        <v>-1.1606142288743777E-3</v>
      </c>
    </row>
    <row r="828" spans="1:20" x14ac:dyDescent="0.25">
      <c r="A828" s="5">
        <v>43765</v>
      </c>
      <c r="B828">
        <v>56.69</v>
      </c>
      <c r="C828">
        <v>61.24</v>
      </c>
      <c r="D828">
        <v>55.44</v>
      </c>
      <c r="E828">
        <v>59.67</v>
      </c>
      <c r="F828">
        <v>39774.943859999999</v>
      </c>
      <c r="G828">
        <v>0</v>
      </c>
      <c r="L828" t="s">
        <v>7</v>
      </c>
      <c r="M828" t="s">
        <v>7</v>
      </c>
      <c r="N828" t="s">
        <v>7</v>
      </c>
      <c r="P828">
        <f t="shared" si="1004"/>
        <v>0.45862068965517272</v>
      </c>
      <c r="Q828">
        <f t="shared" si="1005"/>
        <v>18241.612184068978</v>
      </c>
      <c r="R828">
        <f t="shared" si="1006"/>
        <v>-99391.174664061167</v>
      </c>
      <c r="S828">
        <f t="shared" si="1007"/>
        <v>-0.99391174664061166</v>
      </c>
      <c r="T828">
        <f t="shared" si="1008"/>
        <v>-9.9391174664061163E-4</v>
      </c>
    </row>
    <row r="829" spans="1:20" x14ac:dyDescent="0.25">
      <c r="A829" s="5">
        <v>43764</v>
      </c>
      <c r="B829">
        <v>59.11</v>
      </c>
      <c r="C829">
        <v>67.010000000000005</v>
      </c>
      <c r="D829">
        <v>55.15</v>
      </c>
      <c r="E829">
        <v>56.77</v>
      </c>
      <c r="F829">
        <v>90818.134399999995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-0.7268128161888695</v>
      </c>
      <c r="Q829">
        <f t="shared" si="1005"/>
        <v>-66007.784024283246</v>
      </c>
      <c r="R829">
        <f t="shared" si="1006"/>
        <v>-117632.78684813014</v>
      </c>
      <c r="S829">
        <f t="shared" si="1007"/>
        <v>-1.1763278684813014</v>
      </c>
      <c r="T829">
        <f t="shared" si="1008"/>
        <v>-1.1763278684813014E-3</v>
      </c>
    </row>
    <row r="830" spans="1:20" x14ac:dyDescent="0.25">
      <c r="A830" s="5">
        <v>43763</v>
      </c>
      <c r="B830">
        <v>53.38</v>
      </c>
      <c r="C830">
        <v>60</v>
      </c>
      <c r="D830">
        <v>52.24</v>
      </c>
      <c r="E830">
        <v>59.05</v>
      </c>
      <c r="F830">
        <v>55520.640870000003</v>
      </c>
      <c r="G830">
        <v>0</v>
      </c>
      <c r="L830" t="s">
        <v>8</v>
      </c>
      <c r="M830" t="s">
        <v>7</v>
      </c>
      <c r="N830" t="s">
        <v>7</v>
      </c>
      <c r="P830">
        <f t="shared" si="1004"/>
        <v>0.75515463917525694</v>
      </c>
      <c r="Q830">
        <f t="shared" si="1005"/>
        <v>41926.669522963879</v>
      </c>
      <c r="R830">
        <f t="shared" si="1006"/>
        <v>-51625.002823846888</v>
      </c>
      <c r="S830">
        <f t="shared" si="1007"/>
        <v>-0.51625002823846888</v>
      </c>
      <c r="T830">
        <f t="shared" si="1008"/>
        <v>-5.1625002823846885E-4</v>
      </c>
    </row>
    <row r="831" spans="1:20" x14ac:dyDescent="0.25">
      <c r="A831" s="5">
        <v>43762</v>
      </c>
      <c r="B831">
        <v>53.28</v>
      </c>
      <c r="C831">
        <v>54.49</v>
      </c>
      <c r="D831">
        <v>50.86</v>
      </c>
      <c r="E831">
        <v>53.32</v>
      </c>
      <c r="F831">
        <v>33496.472809999999</v>
      </c>
      <c r="G831">
        <v>0</v>
      </c>
      <c r="L831" t="s">
        <v>7</v>
      </c>
      <c r="M831" t="s">
        <v>7</v>
      </c>
      <c r="N831" t="s">
        <v>7</v>
      </c>
      <c r="P831">
        <f t="shared" ref="P831:P894" si="1009">IF(C831=D831,0,((E831-D831)-(C831-E831))/(C831-D831))</f>
        <v>0.35537190082644582</v>
      </c>
      <c r="Q831">
        <f t="shared" ref="Q831:Q894" si="1010">F831*P831</f>
        <v>11903.705213471059</v>
      </c>
      <c r="R831">
        <f t="shared" ref="R831:R894" si="1011">R832+Q831</f>
        <v>-93551.672346810767</v>
      </c>
      <c r="S831">
        <f t="shared" ref="S831:S894" si="1012">R831/100000</f>
        <v>-0.93551672346810766</v>
      </c>
      <c r="T831">
        <f t="shared" ref="T831:T894" si="1013">S831/1000</f>
        <v>-9.3551672346810764E-4</v>
      </c>
    </row>
    <row r="832" spans="1:20" x14ac:dyDescent="0.25">
      <c r="A832" s="5">
        <v>43761</v>
      </c>
      <c r="B832">
        <v>56.6</v>
      </c>
      <c r="C832">
        <v>57.28</v>
      </c>
      <c r="D832">
        <v>52</v>
      </c>
      <c r="E832">
        <v>53.27</v>
      </c>
      <c r="F832">
        <v>48014.6345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-0.51893939393939281</v>
      </c>
      <c r="Q832">
        <f t="shared" si="1010"/>
        <v>-24916.685327651459</v>
      </c>
      <c r="R832">
        <f t="shared" si="1011"/>
        <v>-105455.37756028182</v>
      </c>
      <c r="S832">
        <f t="shared" si="1012"/>
        <v>-1.0545537756028183</v>
      </c>
      <c r="T832">
        <f t="shared" si="1013"/>
        <v>-1.0545537756028183E-3</v>
      </c>
    </row>
    <row r="833" spans="1:20" x14ac:dyDescent="0.25">
      <c r="A833" s="5">
        <v>43760</v>
      </c>
      <c r="B833">
        <v>57.43</v>
      </c>
      <c r="C833">
        <v>58.65</v>
      </c>
      <c r="D833">
        <v>55.83</v>
      </c>
      <c r="E833">
        <v>56.67</v>
      </c>
      <c r="F833">
        <v>33645.810460000001</v>
      </c>
      <c r="G833">
        <v>0</v>
      </c>
      <c r="L833" t="s">
        <v>8</v>
      </c>
      <c r="M833" t="s">
        <v>8</v>
      </c>
      <c r="N833" t="s">
        <v>7</v>
      </c>
      <c r="P833">
        <f t="shared" si="1009"/>
        <v>-0.40425531914893381</v>
      </c>
      <c r="Q833">
        <f t="shared" si="1010"/>
        <v>-13601.497845531836</v>
      </c>
      <c r="R833">
        <f t="shared" si="1011"/>
        <v>-80538.692232630361</v>
      </c>
      <c r="S833">
        <f t="shared" si="1012"/>
        <v>-0.8053869223263036</v>
      </c>
      <c r="T833">
        <f t="shared" si="1013"/>
        <v>-8.0538692232630361E-4</v>
      </c>
    </row>
    <row r="834" spans="1:20" x14ac:dyDescent="0.25">
      <c r="A834" s="5">
        <v>43759</v>
      </c>
      <c r="B834">
        <v>56.34</v>
      </c>
      <c r="C834">
        <v>59.37</v>
      </c>
      <c r="D834">
        <v>55.57</v>
      </c>
      <c r="E834">
        <v>57.51</v>
      </c>
      <c r="F834">
        <v>36324.381399999998</v>
      </c>
      <c r="G834">
        <v>0</v>
      </c>
      <c r="L834" t="s">
        <v>8</v>
      </c>
      <c r="M834" t="s">
        <v>8</v>
      </c>
      <c r="N834" t="s">
        <v>7</v>
      </c>
      <c r="P834">
        <f t="shared" si="1009"/>
        <v>2.1052631578946934E-2</v>
      </c>
      <c r="Q834">
        <f t="shared" si="1010"/>
        <v>764.72381894735258</v>
      </c>
      <c r="R834">
        <f t="shared" si="1011"/>
        <v>-66937.194387098527</v>
      </c>
      <c r="S834">
        <f t="shared" si="1012"/>
        <v>-0.66937194387098531</v>
      </c>
      <c r="T834">
        <f t="shared" si="1013"/>
        <v>-6.6937194387098526E-4</v>
      </c>
    </row>
    <row r="835" spans="1:20" x14ac:dyDescent="0.25">
      <c r="A835" s="5">
        <v>43758</v>
      </c>
      <c r="B835">
        <v>54.35</v>
      </c>
      <c r="C835">
        <v>57.27</v>
      </c>
      <c r="D835">
        <v>53.67</v>
      </c>
      <c r="E835">
        <v>56.4</v>
      </c>
      <c r="F835">
        <v>28168.48761</v>
      </c>
      <c r="G835">
        <v>0</v>
      </c>
      <c r="L835" t="s">
        <v>8</v>
      </c>
      <c r="M835" t="s">
        <v>8</v>
      </c>
      <c r="N835" t="s">
        <v>7</v>
      </c>
      <c r="P835">
        <f t="shared" si="1009"/>
        <v>0.51666666666666428</v>
      </c>
      <c r="Q835">
        <f t="shared" si="1010"/>
        <v>14553.718598499932</v>
      </c>
      <c r="R835">
        <f t="shared" si="1011"/>
        <v>-67701.918206045884</v>
      </c>
      <c r="S835">
        <f t="shared" si="1012"/>
        <v>-0.67701918206045886</v>
      </c>
      <c r="T835">
        <f t="shared" si="1013"/>
        <v>-6.7701918206045889E-4</v>
      </c>
    </row>
    <row r="836" spans="1:20" x14ac:dyDescent="0.25">
      <c r="A836" s="5">
        <v>43757</v>
      </c>
      <c r="B836">
        <v>55.22</v>
      </c>
      <c r="C836">
        <v>55.3</v>
      </c>
      <c r="D836">
        <v>53.33</v>
      </c>
      <c r="E836">
        <v>54.42</v>
      </c>
      <c r="F836">
        <v>43917.801509999998</v>
      </c>
      <c r="G836">
        <v>0</v>
      </c>
      <c r="L836" t="s">
        <v>7</v>
      </c>
      <c r="M836" t="s">
        <v>8</v>
      </c>
      <c r="N836" t="s">
        <v>7</v>
      </c>
      <c r="P836">
        <f t="shared" si="1009"/>
        <v>0.1065989847715777</v>
      </c>
      <c r="Q836">
        <f t="shared" si="1010"/>
        <v>4681.5930543656614</v>
      </c>
      <c r="R836">
        <f t="shared" si="1011"/>
        <v>-82255.636804545822</v>
      </c>
      <c r="S836">
        <f t="shared" si="1012"/>
        <v>-0.82255636804545817</v>
      </c>
      <c r="T836">
        <f t="shared" si="1013"/>
        <v>-8.2255636804545815E-4</v>
      </c>
    </row>
    <row r="837" spans="1:20" x14ac:dyDescent="0.25">
      <c r="A837" s="5">
        <v>43756</v>
      </c>
      <c r="B837">
        <v>55.93</v>
      </c>
      <c r="C837">
        <v>58.37</v>
      </c>
      <c r="D837">
        <v>55.1</v>
      </c>
      <c r="E837">
        <v>55.23</v>
      </c>
      <c r="F837">
        <v>57033.685230000003</v>
      </c>
      <c r="G837">
        <v>0</v>
      </c>
      <c r="L837" t="s">
        <v>7</v>
      </c>
      <c r="M837" t="s">
        <v>8</v>
      </c>
      <c r="N837" t="s">
        <v>7</v>
      </c>
      <c r="P837">
        <f t="shared" si="1009"/>
        <v>-0.92048929663608836</v>
      </c>
      <c r="Q837">
        <f t="shared" si="1010"/>
        <v>-52498.896801926763</v>
      </c>
      <c r="R837">
        <f t="shared" si="1011"/>
        <v>-86937.22985891148</v>
      </c>
      <c r="S837">
        <f t="shared" si="1012"/>
        <v>-0.8693722985891148</v>
      </c>
      <c r="T837">
        <f t="shared" si="1013"/>
        <v>-8.6937229858911479E-4</v>
      </c>
    </row>
    <row r="838" spans="1:20" x14ac:dyDescent="0.25">
      <c r="A838" s="5">
        <v>43755</v>
      </c>
      <c r="B838">
        <v>54.8</v>
      </c>
      <c r="C838">
        <v>60.61</v>
      </c>
      <c r="D838">
        <v>54.51</v>
      </c>
      <c r="E838">
        <v>55.92</v>
      </c>
      <c r="F838">
        <v>127581.79113</v>
      </c>
      <c r="G838">
        <v>0</v>
      </c>
      <c r="L838" t="s">
        <v>8</v>
      </c>
      <c r="M838" t="s">
        <v>8</v>
      </c>
      <c r="N838" t="s">
        <v>7</v>
      </c>
      <c r="P838">
        <f t="shared" si="1009"/>
        <v>-0.53770491803278575</v>
      </c>
      <c r="Q838">
        <f t="shared" si="1010"/>
        <v>-68601.356542032634</v>
      </c>
      <c r="R838">
        <f t="shared" si="1011"/>
        <v>-34438.333056984724</v>
      </c>
      <c r="S838">
        <f t="shared" si="1012"/>
        <v>-0.34438333056984721</v>
      </c>
      <c r="T838">
        <f t="shared" si="1013"/>
        <v>-3.4438333056984724E-4</v>
      </c>
    </row>
    <row r="839" spans="1:20" x14ac:dyDescent="0.25">
      <c r="A839" s="5">
        <v>43754</v>
      </c>
      <c r="B839">
        <v>52.05</v>
      </c>
      <c r="C839">
        <v>55.3</v>
      </c>
      <c r="D839">
        <v>51.64</v>
      </c>
      <c r="E839">
        <v>54.79</v>
      </c>
      <c r="F839">
        <v>72445.629780000003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0.72131147540983687</v>
      </c>
      <c r="Q839">
        <f t="shared" si="1010"/>
        <v>52255.864103606618</v>
      </c>
      <c r="R839">
        <f t="shared" si="1011"/>
        <v>34163.02348504791</v>
      </c>
      <c r="S839">
        <f t="shared" si="1012"/>
        <v>0.34163023485047911</v>
      </c>
      <c r="T839">
        <f t="shared" si="1013"/>
        <v>3.4163023485047912E-4</v>
      </c>
    </row>
    <row r="840" spans="1:20" x14ac:dyDescent="0.25">
      <c r="A840" s="5">
        <v>43753</v>
      </c>
      <c r="B840">
        <v>53.06</v>
      </c>
      <c r="C840">
        <v>53.9</v>
      </c>
      <c r="D840">
        <v>51.65</v>
      </c>
      <c r="E840">
        <v>52.1</v>
      </c>
      <c r="F840">
        <v>31782.191350000001</v>
      </c>
      <c r="G840">
        <v>0</v>
      </c>
      <c r="L840" t="s">
        <v>7</v>
      </c>
      <c r="M840" t="s">
        <v>7</v>
      </c>
      <c r="N840" t="s">
        <v>7</v>
      </c>
      <c r="P840">
        <f t="shared" si="1009"/>
        <v>-0.59999999999999742</v>
      </c>
      <c r="Q840">
        <f t="shared" si="1010"/>
        <v>-19069.31480999992</v>
      </c>
      <c r="R840">
        <f t="shared" si="1011"/>
        <v>-18092.840618558708</v>
      </c>
      <c r="S840">
        <f t="shared" si="1012"/>
        <v>-0.18092840618558709</v>
      </c>
      <c r="T840">
        <f t="shared" si="1013"/>
        <v>-1.8092840618558708E-4</v>
      </c>
    </row>
    <row r="841" spans="1:20" x14ac:dyDescent="0.25">
      <c r="A841" s="5">
        <v>43752</v>
      </c>
      <c r="B841">
        <v>53.26</v>
      </c>
      <c r="C841">
        <v>53.66</v>
      </c>
      <c r="D841">
        <v>52.36</v>
      </c>
      <c r="E841">
        <v>53.06</v>
      </c>
      <c r="F841">
        <v>17580.432929999999</v>
      </c>
      <c r="G841">
        <v>0</v>
      </c>
      <c r="L841" t="s">
        <v>7</v>
      </c>
      <c r="M841" t="s">
        <v>7</v>
      </c>
      <c r="N841" t="s">
        <v>7</v>
      </c>
      <c r="P841">
        <f t="shared" si="1009"/>
        <v>7.6923076923083644E-2</v>
      </c>
      <c r="Q841">
        <f t="shared" si="1010"/>
        <v>1352.3409946155027</v>
      </c>
      <c r="R841">
        <f t="shared" si="1011"/>
        <v>976.47419144121159</v>
      </c>
      <c r="S841">
        <f t="shared" si="1012"/>
        <v>9.7647419144121159E-3</v>
      </c>
      <c r="T841">
        <f t="shared" si="1013"/>
        <v>9.7647419144121163E-6</v>
      </c>
    </row>
    <row r="842" spans="1:20" x14ac:dyDescent="0.25">
      <c r="A842" s="5">
        <v>43751</v>
      </c>
      <c r="B842">
        <v>53.55</v>
      </c>
      <c r="C842">
        <v>54.05</v>
      </c>
      <c r="D842">
        <v>52.32</v>
      </c>
      <c r="E842">
        <v>53.25</v>
      </c>
      <c r="F842">
        <v>23259.593359999999</v>
      </c>
      <c r="G842">
        <v>0</v>
      </c>
      <c r="L842" t="s">
        <v>7</v>
      </c>
      <c r="M842" t="s">
        <v>7</v>
      </c>
      <c r="N842" t="s">
        <v>7</v>
      </c>
      <c r="P842">
        <f t="shared" si="1009"/>
        <v>7.5144508670521845E-2</v>
      </c>
      <c r="Q842">
        <f t="shared" si="1010"/>
        <v>1747.8307149133323</v>
      </c>
      <c r="R842">
        <f t="shared" si="1011"/>
        <v>-375.86680317429114</v>
      </c>
      <c r="S842">
        <f t="shared" si="1012"/>
        <v>-3.7586680317429114E-3</v>
      </c>
      <c r="T842">
        <f t="shared" si="1013"/>
        <v>-3.7586680317429113E-6</v>
      </c>
    </row>
    <row r="843" spans="1:20" x14ac:dyDescent="0.25">
      <c r="A843" s="5">
        <v>43750</v>
      </c>
      <c r="B843">
        <v>53.86</v>
      </c>
      <c r="C843">
        <v>54.82</v>
      </c>
      <c r="D843">
        <v>53.35</v>
      </c>
      <c r="E843">
        <v>53.58</v>
      </c>
      <c r="F843">
        <v>22033.77463</v>
      </c>
      <c r="G843">
        <v>0</v>
      </c>
      <c r="L843" t="s">
        <v>7</v>
      </c>
      <c r="M843" t="s">
        <v>7</v>
      </c>
      <c r="N843" t="s">
        <v>7</v>
      </c>
      <c r="P843">
        <f t="shared" si="1009"/>
        <v>-0.68707482993197677</v>
      </c>
      <c r="Q843">
        <f t="shared" si="1010"/>
        <v>-15138.851956666755</v>
      </c>
      <c r="R843">
        <f t="shared" si="1011"/>
        <v>-2123.6975180876234</v>
      </c>
      <c r="S843">
        <f t="shared" si="1012"/>
        <v>-2.1236975180876232E-2</v>
      </c>
      <c r="T843">
        <f t="shared" si="1013"/>
        <v>-2.1236975180876234E-5</v>
      </c>
    </row>
    <row r="844" spans="1:20" x14ac:dyDescent="0.25">
      <c r="A844" s="5">
        <v>43749</v>
      </c>
      <c r="B844">
        <v>55.69</v>
      </c>
      <c r="C844">
        <v>56.63</v>
      </c>
      <c r="D844">
        <v>53.82</v>
      </c>
      <c r="E844">
        <v>53.93</v>
      </c>
      <c r="F844">
        <v>29618.79508</v>
      </c>
      <c r="G844">
        <v>0</v>
      </c>
      <c r="L844" t="s">
        <v>8</v>
      </c>
      <c r="M844" t="s">
        <v>7</v>
      </c>
      <c r="N844" t="s">
        <v>7</v>
      </c>
      <c r="P844">
        <f t="shared" si="1009"/>
        <v>-0.92170818505338126</v>
      </c>
      <c r="Q844">
        <f t="shared" si="1010"/>
        <v>-27299.885856654819</v>
      </c>
      <c r="R844">
        <f t="shared" si="1011"/>
        <v>13015.154438579131</v>
      </c>
      <c r="S844">
        <f t="shared" si="1012"/>
        <v>0.13015154438579132</v>
      </c>
      <c r="T844">
        <f t="shared" si="1013"/>
        <v>1.3015154438579134E-4</v>
      </c>
    </row>
    <row r="845" spans="1:20" x14ac:dyDescent="0.25">
      <c r="A845" s="5">
        <v>43748</v>
      </c>
      <c r="B845">
        <v>57</v>
      </c>
      <c r="C845">
        <v>57.45</v>
      </c>
      <c r="D845">
        <v>55</v>
      </c>
      <c r="E845">
        <v>55.69</v>
      </c>
      <c r="F845">
        <v>35639.722829999999</v>
      </c>
      <c r="G845">
        <v>0</v>
      </c>
      <c r="L845" t="s">
        <v>8</v>
      </c>
      <c r="M845" t="s">
        <v>7</v>
      </c>
      <c r="N845" t="s">
        <v>7</v>
      </c>
      <c r="P845">
        <f t="shared" si="1009"/>
        <v>-0.43673469387755354</v>
      </c>
      <c r="Q845">
        <f t="shared" si="1010"/>
        <v>-15565.103440040906</v>
      </c>
      <c r="R845">
        <f t="shared" si="1011"/>
        <v>40315.04029523395</v>
      </c>
      <c r="S845">
        <f t="shared" si="1012"/>
        <v>0.4031504029523395</v>
      </c>
      <c r="T845">
        <f t="shared" si="1013"/>
        <v>4.0315040295233948E-4</v>
      </c>
    </row>
    <row r="846" spans="1:20" x14ac:dyDescent="0.25">
      <c r="A846" s="5">
        <v>43747</v>
      </c>
      <c r="B846">
        <v>55.37</v>
      </c>
      <c r="C846">
        <v>57.45</v>
      </c>
      <c r="D846">
        <v>54.88</v>
      </c>
      <c r="E846">
        <v>57</v>
      </c>
      <c r="F846">
        <v>34997.881130000002</v>
      </c>
      <c r="G846">
        <v>0</v>
      </c>
      <c r="L846" t="s">
        <v>8</v>
      </c>
      <c r="M846" t="s">
        <v>7</v>
      </c>
      <c r="N846" t="s">
        <v>7</v>
      </c>
      <c r="P846">
        <f t="shared" si="1009"/>
        <v>0.64980544747081492</v>
      </c>
      <c r="Q846">
        <f t="shared" si="1010"/>
        <v>22741.813808210041</v>
      </c>
      <c r="R846">
        <f t="shared" si="1011"/>
        <v>55880.143735274854</v>
      </c>
      <c r="S846">
        <f t="shared" si="1012"/>
        <v>0.55880143735274856</v>
      </c>
      <c r="T846">
        <f t="shared" si="1013"/>
        <v>5.5880143735274857E-4</v>
      </c>
    </row>
    <row r="847" spans="1:20" x14ac:dyDescent="0.25">
      <c r="A847" s="5">
        <v>43746</v>
      </c>
      <c r="B847">
        <v>56.12</v>
      </c>
      <c r="C847">
        <v>56.95</v>
      </c>
      <c r="D847">
        <v>55</v>
      </c>
      <c r="E847">
        <v>55.46</v>
      </c>
      <c r="F847">
        <v>24302.378820000002</v>
      </c>
      <c r="G847">
        <v>0</v>
      </c>
      <c r="L847" t="s">
        <v>8</v>
      </c>
      <c r="M847" t="s">
        <v>7</v>
      </c>
      <c r="N847" t="s">
        <v>7</v>
      </c>
      <c r="P847">
        <f t="shared" si="1009"/>
        <v>-0.52820512820512799</v>
      </c>
      <c r="Q847">
        <f t="shared" si="1010"/>
        <v>-12836.641120307688</v>
      </c>
      <c r="R847">
        <f t="shared" si="1011"/>
        <v>33138.329927064813</v>
      </c>
      <c r="S847">
        <f t="shared" si="1012"/>
        <v>0.33138329927064814</v>
      </c>
      <c r="T847">
        <f t="shared" si="1013"/>
        <v>3.3138329927064812E-4</v>
      </c>
    </row>
    <row r="848" spans="1:20" x14ac:dyDescent="0.25">
      <c r="A848" s="5">
        <v>43745</v>
      </c>
      <c r="B848">
        <v>54.68</v>
      </c>
      <c r="C848">
        <v>57.08</v>
      </c>
      <c r="D848">
        <v>54.19</v>
      </c>
      <c r="E848">
        <v>56.11</v>
      </c>
      <c r="F848">
        <v>34525.095430000001</v>
      </c>
      <c r="G848">
        <v>0</v>
      </c>
      <c r="L848" t="s">
        <v>8</v>
      </c>
      <c r="M848" t="s">
        <v>7</v>
      </c>
      <c r="N848" t="s">
        <v>7</v>
      </c>
      <c r="P848">
        <f t="shared" si="1009"/>
        <v>0.32871972318339193</v>
      </c>
      <c r="Q848">
        <f t="shared" si="1010"/>
        <v>11349.07981262979</v>
      </c>
      <c r="R848">
        <f t="shared" si="1011"/>
        <v>45974.971047372499</v>
      </c>
      <c r="S848">
        <f t="shared" si="1012"/>
        <v>0.45974971047372498</v>
      </c>
      <c r="T848">
        <f t="shared" si="1013"/>
        <v>4.5974971047372496E-4</v>
      </c>
    </row>
    <row r="849" spans="1:20" x14ac:dyDescent="0.25">
      <c r="A849" s="5">
        <v>43744</v>
      </c>
      <c r="B849">
        <v>56.4</v>
      </c>
      <c r="C849">
        <v>56.58</v>
      </c>
      <c r="D849">
        <v>54.2</v>
      </c>
      <c r="E849">
        <v>54.71</v>
      </c>
      <c r="F849">
        <v>22196.378270000001</v>
      </c>
      <c r="G849">
        <v>0</v>
      </c>
      <c r="L849" t="s">
        <v>8</v>
      </c>
      <c r="M849" t="s">
        <v>7</v>
      </c>
      <c r="N849" t="s">
        <v>7</v>
      </c>
      <c r="P849">
        <f t="shared" si="1009"/>
        <v>-0.57142857142857229</v>
      </c>
      <c r="Q849">
        <f t="shared" si="1010"/>
        <v>-12683.644725714305</v>
      </c>
      <c r="R849">
        <f t="shared" si="1011"/>
        <v>34625.89123474271</v>
      </c>
      <c r="S849">
        <f t="shared" si="1012"/>
        <v>0.34625891234742712</v>
      </c>
      <c r="T849">
        <f t="shared" si="1013"/>
        <v>3.462589123474271E-4</v>
      </c>
    </row>
    <row r="850" spans="1:20" x14ac:dyDescent="0.25">
      <c r="A850" s="5">
        <v>43743</v>
      </c>
      <c r="B850">
        <v>57.11</v>
      </c>
      <c r="C850">
        <v>57.62</v>
      </c>
      <c r="D850">
        <v>55.17</v>
      </c>
      <c r="E850">
        <v>56.41</v>
      </c>
      <c r="F850">
        <v>34751.919329999997</v>
      </c>
      <c r="G850">
        <v>0</v>
      </c>
      <c r="L850" t="s">
        <v>8</v>
      </c>
      <c r="M850" t="s">
        <v>7</v>
      </c>
      <c r="N850" t="s">
        <v>7</v>
      </c>
      <c r="P850">
        <f t="shared" si="1009"/>
        <v>1.2244897959181258E-2</v>
      </c>
      <c r="Q850">
        <f t="shared" si="1010"/>
        <v>425.5337060815487</v>
      </c>
      <c r="R850">
        <f t="shared" si="1011"/>
        <v>47309.535960457019</v>
      </c>
      <c r="S850">
        <f t="shared" si="1012"/>
        <v>0.47309535960457016</v>
      </c>
      <c r="T850">
        <f t="shared" si="1013"/>
        <v>4.7309535960457017E-4</v>
      </c>
    </row>
    <row r="851" spans="1:20" x14ac:dyDescent="0.25">
      <c r="A851" s="5">
        <v>43742</v>
      </c>
      <c r="B851">
        <v>56.16</v>
      </c>
      <c r="C851">
        <v>57.77</v>
      </c>
      <c r="D851">
        <v>53.84</v>
      </c>
      <c r="E851">
        <v>57.11</v>
      </c>
      <c r="F851">
        <v>42074.239869999998</v>
      </c>
      <c r="G851">
        <v>0</v>
      </c>
      <c r="L851" t="s">
        <v>8</v>
      </c>
      <c r="M851" t="s">
        <v>7</v>
      </c>
      <c r="N851" t="s">
        <v>7</v>
      </c>
      <c r="P851">
        <f t="shared" si="1009"/>
        <v>0.66412213740457826</v>
      </c>
      <c r="Q851">
        <f t="shared" si="1010"/>
        <v>27942.434112137322</v>
      </c>
      <c r="R851">
        <f t="shared" si="1011"/>
        <v>46884.002254375468</v>
      </c>
      <c r="S851">
        <f t="shared" si="1012"/>
        <v>0.46884002254375468</v>
      </c>
      <c r="T851">
        <f t="shared" si="1013"/>
        <v>4.6884002254375467E-4</v>
      </c>
    </row>
    <row r="852" spans="1:20" x14ac:dyDescent="0.25">
      <c r="A852" s="5">
        <v>43741</v>
      </c>
      <c r="B852">
        <v>55.93</v>
      </c>
      <c r="C852">
        <v>57.23</v>
      </c>
      <c r="D852">
        <v>54.07</v>
      </c>
      <c r="E852">
        <v>56.13</v>
      </c>
      <c r="F852">
        <v>26089.734130000001</v>
      </c>
      <c r="G852">
        <v>0</v>
      </c>
      <c r="L852" t="s">
        <v>8</v>
      </c>
      <c r="M852" t="s">
        <v>7</v>
      </c>
      <c r="N852" t="s">
        <v>7</v>
      </c>
      <c r="P852">
        <f t="shared" si="1009"/>
        <v>0.30379746835443322</v>
      </c>
      <c r="Q852">
        <f t="shared" si="1010"/>
        <v>7925.9951787342516</v>
      </c>
      <c r="R852">
        <f t="shared" si="1011"/>
        <v>18941.568142238146</v>
      </c>
      <c r="S852">
        <f t="shared" si="1012"/>
        <v>0.18941568142238147</v>
      </c>
      <c r="T852">
        <f t="shared" si="1013"/>
        <v>1.8941568142238145E-4</v>
      </c>
    </row>
    <row r="853" spans="1:20" x14ac:dyDescent="0.25">
      <c r="A853" s="5">
        <v>43740</v>
      </c>
      <c r="B853">
        <v>55.52</v>
      </c>
      <c r="C853">
        <v>56.8</v>
      </c>
      <c r="D853">
        <v>54.3</v>
      </c>
      <c r="E853">
        <v>55.88</v>
      </c>
      <c r="F853">
        <v>19011.501670000001</v>
      </c>
      <c r="G853">
        <v>0</v>
      </c>
      <c r="L853" t="s">
        <v>8</v>
      </c>
      <c r="M853" t="s">
        <v>7</v>
      </c>
      <c r="N853" t="s">
        <v>7</v>
      </c>
      <c r="P853">
        <f t="shared" si="1009"/>
        <v>0.26400000000000434</v>
      </c>
      <c r="Q853">
        <f t="shared" si="1010"/>
        <v>5019.0364408800833</v>
      </c>
      <c r="R853">
        <f t="shared" si="1011"/>
        <v>11015.572963503895</v>
      </c>
      <c r="S853">
        <f t="shared" si="1012"/>
        <v>0.11015572963503895</v>
      </c>
      <c r="T853">
        <f t="shared" si="1013"/>
        <v>1.1015572963503894E-4</v>
      </c>
    </row>
    <row r="854" spans="1:20" x14ac:dyDescent="0.25">
      <c r="A854" s="5">
        <v>43739</v>
      </c>
      <c r="B854">
        <v>56.81</v>
      </c>
      <c r="C854">
        <v>58.28</v>
      </c>
      <c r="D854">
        <v>50</v>
      </c>
      <c r="E854">
        <v>55.5</v>
      </c>
      <c r="F854">
        <v>22828.085660000001</v>
      </c>
      <c r="G854">
        <v>0</v>
      </c>
      <c r="L854" t="s">
        <v>7</v>
      </c>
      <c r="M854" t="s">
        <v>7</v>
      </c>
      <c r="N854" t="s">
        <v>7</v>
      </c>
      <c r="P854">
        <f t="shared" si="1009"/>
        <v>0.32850241545893699</v>
      </c>
      <c r="Q854">
        <f t="shared" si="1010"/>
        <v>7499.0812796135224</v>
      </c>
      <c r="R854">
        <f t="shared" si="1011"/>
        <v>5996.5365226238109</v>
      </c>
      <c r="S854">
        <f t="shared" si="1012"/>
        <v>5.9965365226238111E-2</v>
      </c>
      <c r="T854">
        <f t="shared" si="1013"/>
        <v>5.9965365226238114E-5</v>
      </c>
    </row>
    <row r="855" spans="1:20" x14ac:dyDescent="0.25">
      <c r="A855" s="5">
        <v>43738</v>
      </c>
      <c r="B855">
        <v>55.89</v>
      </c>
      <c r="C855">
        <v>57.54</v>
      </c>
      <c r="D855">
        <v>53.36</v>
      </c>
      <c r="E855">
        <v>56.83</v>
      </c>
      <c r="F855">
        <v>23050.436829999999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0.66028708133971248</v>
      </c>
      <c r="Q855">
        <f t="shared" si="1010"/>
        <v>15219.905658086114</v>
      </c>
      <c r="R855">
        <f t="shared" si="1011"/>
        <v>-1502.5447569897115</v>
      </c>
      <c r="S855">
        <f t="shared" si="1012"/>
        <v>-1.5025447569897115E-2</v>
      </c>
      <c r="T855">
        <f t="shared" si="1013"/>
        <v>-1.5025447569897115E-5</v>
      </c>
    </row>
    <row r="856" spans="1:20" x14ac:dyDescent="0.25">
      <c r="A856" s="5">
        <v>43737</v>
      </c>
      <c r="B856">
        <v>57.66</v>
      </c>
      <c r="C856">
        <v>57.81</v>
      </c>
      <c r="D856">
        <v>54.49</v>
      </c>
      <c r="E856">
        <v>55.82</v>
      </c>
      <c r="F856">
        <v>14057.42727</v>
      </c>
      <c r="G856">
        <v>0</v>
      </c>
      <c r="L856" t="s">
        <v>7</v>
      </c>
      <c r="M856" t="s">
        <v>7</v>
      </c>
      <c r="N856" t="s">
        <v>7</v>
      </c>
      <c r="P856">
        <f t="shared" si="1009"/>
        <v>-0.19879518072289265</v>
      </c>
      <c r="Q856">
        <f t="shared" si="1010"/>
        <v>-2794.5487946385697</v>
      </c>
      <c r="R856">
        <f t="shared" si="1011"/>
        <v>-16722.450415075826</v>
      </c>
      <c r="S856">
        <f t="shared" si="1012"/>
        <v>-0.16722450415075826</v>
      </c>
      <c r="T856">
        <f t="shared" si="1013"/>
        <v>-1.6722450415075827E-4</v>
      </c>
    </row>
    <row r="857" spans="1:20" x14ac:dyDescent="0.25">
      <c r="A857" s="5">
        <v>43736</v>
      </c>
      <c r="B857">
        <v>57.56</v>
      </c>
      <c r="C857">
        <v>58.28</v>
      </c>
      <c r="D857">
        <v>56.08</v>
      </c>
      <c r="E857">
        <v>57.6</v>
      </c>
      <c r="F857">
        <v>15462.06724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0.38181818181818289</v>
      </c>
      <c r="Q857">
        <f t="shared" si="1010"/>
        <v>5903.6984007272895</v>
      </c>
      <c r="R857">
        <f t="shared" si="1011"/>
        <v>-13927.901620437255</v>
      </c>
      <c r="S857">
        <f t="shared" si="1012"/>
        <v>-0.13927901620437255</v>
      </c>
      <c r="T857">
        <f t="shared" si="1013"/>
        <v>-1.3927901620437255E-4</v>
      </c>
    </row>
    <row r="858" spans="1:20" x14ac:dyDescent="0.25">
      <c r="A858" s="5">
        <v>43735</v>
      </c>
      <c r="B858">
        <v>57.17</v>
      </c>
      <c r="C858">
        <v>70</v>
      </c>
      <c r="D858">
        <v>54.06</v>
      </c>
      <c r="E858">
        <v>57.48</v>
      </c>
      <c r="F858">
        <v>181284.59617999999</v>
      </c>
      <c r="G858">
        <v>0</v>
      </c>
      <c r="L858" t="s">
        <v>7</v>
      </c>
      <c r="M858" t="s">
        <v>8</v>
      </c>
      <c r="N858" t="s">
        <v>7</v>
      </c>
      <c r="P858">
        <f t="shared" si="1009"/>
        <v>-0.57089084065244733</v>
      </c>
      <c r="Q858">
        <f t="shared" si="1010"/>
        <v>-103493.71551053964</v>
      </c>
      <c r="R858">
        <f t="shared" si="1011"/>
        <v>-19831.600021164544</v>
      </c>
      <c r="S858">
        <f t="shared" si="1012"/>
        <v>-0.19831600021164544</v>
      </c>
      <c r="T858">
        <f t="shared" si="1013"/>
        <v>-1.9831600021164546E-4</v>
      </c>
    </row>
    <row r="859" spans="1:20" x14ac:dyDescent="0.25">
      <c r="A859" s="5">
        <v>43734</v>
      </c>
      <c r="B859">
        <v>59.86</v>
      </c>
      <c r="C859">
        <v>77.900000000000006</v>
      </c>
      <c r="D859">
        <v>54.23</v>
      </c>
      <c r="E859">
        <v>57.3</v>
      </c>
      <c r="F859">
        <v>66266.172839999999</v>
      </c>
      <c r="G859">
        <v>0</v>
      </c>
      <c r="L859" t="s">
        <v>8</v>
      </c>
      <c r="M859" t="s">
        <v>7</v>
      </c>
      <c r="N859" t="s">
        <v>7</v>
      </c>
      <c r="P859">
        <f t="shared" si="1009"/>
        <v>-0.7405999155048586</v>
      </c>
      <c r="Q859">
        <f t="shared" si="1010"/>
        <v>-49076.722006134354</v>
      </c>
      <c r="R859">
        <f t="shared" si="1011"/>
        <v>83662.115489375094</v>
      </c>
      <c r="S859">
        <f t="shared" si="1012"/>
        <v>0.83662115489375088</v>
      </c>
      <c r="T859">
        <f t="shared" si="1013"/>
        <v>8.3662115489375089E-4</v>
      </c>
    </row>
    <row r="860" spans="1:20" x14ac:dyDescent="0.25">
      <c r="A860" s="5">
        <v>43733</v>
      </c>
      <c r="B860">
        <v>58.7</v>
      </c>
      <c r="C860">
        <v>61.35</v>
      </c>
      <c r="D860">
        <v>57.3</v>
      </c>
      <c r="E860">
        <v>59.59</v>
      </c>
      <c r="F860">
        <v>25481.22867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0.13086419753086609</v>
      </c>
      <c r="Q860">
        <f t="shared" si="1010"/>
        <v>3334.5805420000484</v>
      </c>
      <c r="R860">
        <f t="shared" si="1011"/>
        <v>132738.83749550945</v>
      </c>
      <c r="S860">
        <f t="shared" si="1012"/>
        <v>1.3273883749550945</v>
      </c>
      <c r="T860">
        <f t="shared" si="1013"/>
        <v>1.3273883749550946E-3</v>
      </c>
    </row>
    <row r="861" spans="1:20" x14ac:dyDescent="0.25">
      <c r="A861" s="5">
        <v>43732</v>
      </c>
      <c r="B861">
        <v>68.37</v>
      </c>
      <c r="C861">
        <v>70.180000000000007</v>
      </c>
      <c r="D861">
        <v>55.28</v>
      </c>
      <c r="E861">
        <v>58.63</v>
      </c>
      <c r="F861">
        <v>27972.039680000002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-0.55033557046979864</v>
      </c>
      <c r="Q861">
        <f t="shared" si="1010"/>
        <v>-15394.008414496644</v>
      </c>
      <c r="R861">
        <f t="shared" si="1011"/>
        <v>129404.25695350941</v>
      </c>
      <c r="S861">
        <f t="shared" si="1012"/>
        <v>1.2940425695350941</v>
      </c>
      <c r="T861">
        <f t="shared" si="1013"/>
        <v>1.294042569535094E-3</v>
      </c>
    </row>
    <row r="862" spans="1:20" x14ac:dyDescent="0.25">
      <c r="A862" s="5">
        <v>43731</v>
      </c>
      <c r="B862">
        <v>73</v>
      </c>
      <c r="C862">
        <v>73.180000000000007</v>
      </c>
      <c r="D862">
        <v>68.11</v>
      </c>
      <c r="E862">
        <v>68.489999999999995</v>
      </c>
      <c r="F862">
        <v>13191.44974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-0.85009861932939057</v>
      </c>
      <c r="Q862">
        <f t="shared" si="1010"/>
        <v>-11214.033210927048</v>
      </c>
      <c r="R862">
        <f t="shared" si="1011"/>
        <v>144798.26536800605</v>
      </c>
      <c r="S862">
        <f t="shared" si="1012"/>
        <v>1.4479826536800604</v>
      </c>
      <c r="T862">
        <f t="shared" si="1013"/>
        <v>1.4479826536800604E-3</v>
      </c>
    </row>
    <row r="863" spans="1:20" x14ac:dyDescent="0.25">
      <c r="A863" s="5">
        <v>43730</v>
      </c>
      <c r="B863">
        <v>72.34</v>
      </c>
      <c r="C863">
        <v>74.2</v>
      </c>
      <c r="D863">
        <v>70.8</v>
      </c>
      <c r="E863">
        <v>73</v>
      </c>
      <c r="F863">
        <v>19604.148809999999</v>
      </c>
      <c r="G863">
        <v>0</v>
      </c>
      <c r="L863" t="s">
        <v>7</v>
      </c>
      <c r="M863" t="s">
        <v>8</v>
      </c>
      <c r="N863" t="s">
        <v>7</v>
      </c>
      <c r="P863">
        <f t="shared" si="1009"/>
        <v>0.29411764705882304</v>
      </c>
      <c r="Q863">
        <f t="shared" si="1010"/>
        <v>5765.9261205882258</v>
      </c>
      <c r="R863">
        <f t="shared" si="1011"/>
        <v>156012.29857893309</v>
      </c>
      <c r="S863">
        <f t="shared" si="1012"/>
        <v>1.5601229857893308</v>
      </c>
      <c r="T863">
        <f t="shared" si="1013"/>
        <v>1.5601229857893307E-3</v>
      </c>
    </row>
    <row r="864" spans="1:20" x14ac:dyDescent="0.25">
      <c r="A864" s="5">
        <v>43729</v>
      </c>
      <c r="B864">
        <v>73.78</v>
      </c>
      <c r="C864">
        <v>73.91</v>
      </c>
      <c r="D864">
        <v>71.95</v>
      </c>
      <c r="E864">
        <v>72.33</v>
      </c>
      <c r="F864">
        <v>12318.68095</v>
      </c>
      <c r="G864">
        <v>0</v>
      </c>
      <c r="L864" t="s">
        <v>7</v>
      </c>
      <c r="M864" t="s">
        <v>8</v>
      </c>
      <c r="N864" t="s">
        <v>7</v>
      </c>
      <c r="P864">
        <f t="shared" si="1009"/>
        <v>-0.61224489795918713</v>
      </c>
      <c r="Q864">
        <f t="shared" si="1010"/>
        <v>-7542.0495612245322</v>
      </c>
      <c r="R864">
        <f t="shared" si="1011"/>
        <v>150246.37245834485</v>
      </c>
      <c r="S864">
        <f t="shared" si="1012"/>
        <v>1.5024637245834485</v>
      </c>
      <c r="T864">
        <f t="shared" si="1013"/>
        <v>1.5024637245834485E-3</v>
      </c>
    </row>
    <row r="865" spans="1:20" x14ac:dyDescent="0.25">
      <c r="A865" s="5">
        <v>43728</v>
      </c>
      <c r="B865">
        <v>75.66</v>
      </c>
      <c r="C865">
        <v>77.98</v>
      </c>
      <c r="D865">
        <v>72.53</v>
      </c>
      <c r="E865">
        <v>73.78</v>
      </c>
      <c r="F865">
        <v>16026.20962</v>
      </c>
      <c r="G865">
        <v>0</v>
      </c>
      <c r="L865" t="s">
        <v>7</v>
      </c>
      <c r="M865" t="s">
        <v>8</v>
      </c>
      <c r="N865" t="s">
        <v>7</v>
      </c>
      <c r="P865">
        <f t="shared" si="1009"/>
        <v>-0.54128440366972497</v>
      </c>
      <c r="Q865">
        <f t="shared" si="1010"/>
        <v>-8674.7373172477091</v>
      </c>
      <c r="R865">
        <f t="shared" si="1011"/>
        <v>157788.42201956938</v>
      </c>
      <c r="S865">
        <f t="shared" si="1012"/>
        <v>1.5778842201956937</v>
      </c>
      <c r="T865">
        <f t="shared" si="1013"/>
        <v>1.5778842201956938E-3</v>
      </c>
    </row>
    <row r="866" spans="1:20" x14ac:dyDescent="0.25">
      <c r="A866" s="5">
        <v>43727</v>
      </c>
      <c r="B866">
        <v>80.89</v>
      </c>
      <c r="C866">
        <v>81.58</v>
      </c>
      <c r="D866">
        <v>72.5</v>
      </c>
      <c r="E866">
        <v>75.77</v>
      </c>
      <c r="F866">
        <v>29841.274829999998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-0.27973568281938399</v>
      </c>
      <c r="Q866">
        <f t="shared" si="1010"/>
        <v>-8347.6693907709468</v>
      </c>
      <c r="R866">
        <f t="shared" si="1011"/>
        <v>166463.15933681707</v>
      </c>
      <c r="S866">
        <f t="shared" si="1012"/>
        <v>1.6646315933681708</v>
      </c>
      <c r="T866">
        <f t="shared" si="1013"/>
        <v>1.6646315933681708E-3</v>
      </c>
    </row>
    <row r="867" spans="1:20" x14ac:dyDescent="0.25">
      <c r="A867" s="5">
        <v>43726</v>
      </c>
      <c r="B867">
        <v>73.86</v>
      </c>
      <c r="C867">
        <v>82.18</v>
      </c>
      <c r="D867">
        <v>73.63</v>
      </c>
      <c r="E867">
        <v>80.989999999999995</v>
      </c>
      <c r="F867">
        <v>33312.43735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0.72163742690058241</v>
      </c>
      <c r="Q867">
        <f t="shared" si="1010"/>
        <v>24039.501573040856</v>
      </c>
      <c r="R867">
        <f t="shared" si="1011"/>
        <v>174810.82872758803</v>
      </c>
      <c r="S867">
        <f t="shared" si="1012"/>
        <v>1.7481082872758802</v>
      </c>
      <c r="T867">
        <f t="shared" si="1013"/>
        <v>1.7481082872758801E-3</v>
      </c>
    </row>
    <row r="868" spans="1:20" x14ac:dyDescent="0.25">
      <c r="A868" s="5">
        <v>43725</v>
      </c>
      <c r="B868">
        <v>75.37</v>
      </c>
      <c r="C868">
        <v>75.47</v>
      </c>
      <c r="D868">
        <v>73.05</v>
      </c>
      <c r="E868">
        <v>73.73</v>
      </c>
      <c r="F868">
        <v>15428.06594</v>
      </c>
      <c r="G868">
        <v>0</v>
      </c>
      <c r="L868" t="s">
        <v>7</v>
      </c>
      <c r="M868" t="s">
        <v>8</v>
      </c>
      <c r="N868" t="s">
        <v>7</v>
      </c>
      <c r="P868">
        <f t="shared" si="1009"/>
        <v>-0.4380165289256146</v>
      </c>
      <c r="Q868">
        <f t="shared" si="1010"/>
        <v>-6757.7478910742993</v>
      </c>
      <c r="R868">
        <f t="shared" si="1011"/>
        <v>150771.32715454718</v>
      </c>
      <c r="S868">
        <f t="shared" si="1012"/>
        <v>1.5077132715454717</v>
      </c>
      <c r="T868">
        <f t="shared" si="1013"/>
        <v>1.5077132715454718E-3</v>
      </c>
    </row>
    <row r="869" spans="1:20" x14ac:dyDescent="0.25">
      <c r="A869" s="5">
        <v>43724</v>
      </c>
      <c r="B869">
        <v>75.45</v>
      </c>
      <c r="C869">
        <v>76.47</v>
      </c>
      <c r="D869">
        <v>71.23</v>
      </c>
      <c r="E869">
        <v>75.37</v>
      </c>
      <c r="F869">
        <v>15821.295529999999</v>
      </c>
      <c r="G869">
        <v>0</v>
      </c>
      <c r="L869" t="s">
        <v>7</v>
      </c>
      <c r="M869" t="s">
        <v>8</v>
      </c>
      <c r="N869" t="s">
        <v>7</v>
      </c>
      <c r="P869">
        <f t="shared" si="1009"/>
        <v>0.58015267175572693</v>
      </c>
      <c r="Q869">
        <f t="shared" si="1010"/>
        <v>9178.7668723664392</v>
      </c>
      <c r="R869">
        <f t="shared" si="1011"/>
        <v>157529.07504562149</v>
      </c>
      <c r="S869">
        <f t="shared" si="1012"/>
        <v>1.5752907504562148</v>
      </c>
      <c r="T869">
        <f t="shared" si="1013"/>
        <v>1.5752907504562148E-3</v>
      </c>
    </row>
    <row r="870" spans="1:20" x14ac:dyDescent="0.25">
      <c r="A870" s="5">
        <v>43723</v>
      </c>
      <c r="B870">
        <v>76.08</v>
      </c>
      <c r="C870">
        <v>76.5</v>
      </c>
      <c r="D870">
        <v>73.989999999999995</v>
      </c>
      <c r="E870">
        <v>75.45</v>
      </c>
      <c r="F870">
        <v>5712.9348099999997</v>
      </c>
      <c r="G870">
        <v>0</v>
      </c>
      <c r="L870" t="s">
        <v>8</v>
      </c>
      <c r="M870" t="s">
        <v>8</v>
      </c>
      <c r="N870" t="s">
        <v>7</v>
      </c>
      <c r="P870">
        <f t="shared" si="1009"/>
        <v>0.1633466135458207</v>
      </c>
      <c r="Q870">
        <f t="shared" si="1010"/>
        <v>933.18855462153658</v>
      </c>
      <c r="R870">
        <f t="shared" si="1011"/>
        <v>148350.30817325506</v>
      </c>
      <c r="S870">
        <f t="shared" si="1012"/>
        <v>1.4835030817325507</v>
      </c>
      <c r="T870">
        <f t="shared" si="1013"/>
        <v>1.4835030817325508E-3</v>
      </c>
    </row>
    <row r="871" spans="1:20" x14ac:dyDescent="0.25">
      <c r="A871" s="5">
        <v>43722</v>
      </c>
      <c r="B871">
        <v>76.790000000000006</v>
      </c>
      <c r="C871">
        <v>76.819999999999993</v>
      </c>
      <c r="D871">
        <v>73.58</v>
      </c>
      <c r="E871">
        <v>76.099999999999994</v>
      </c>
      <c r="F871">
        <v>6202.4712399999999</v>
      </c>
      <c r="G871">
        <v>0</v>
      </c>
      <c r="L871" t="s">
        <v>8</v>
      </c>
      <c r="M871" t="s">
        <v>8</v>
      </c>
      <c r="N871" t="s">
        <v>7</v>
      </c>
      <c r="P871">
        <f t="shared" si="1009"/>
        <v>0.55555555555555558</v>
      </c>
      <c r="Q871">
        <f t="shared" si="1010"/>
        <v>3445.8173555555554</v>
      </c>
      <c r="R871">
        <f t="shared" si="1011"/>
        <v>147417.11961863353</v>
      </c>
      <c r="S871">
        <f t="shared" si="1012"/>
        <v>1.4741711961863353</v>
      </c>
      <c r="T871">
        <f t="shared" si="1013"/>
        <v>1.4741711961863352E-3</v>
      </c>
    </row>
    <row r="872" spans="1:20" x14ac:dyDescent="0.25">
      <c r="A872" s="5">
        <v>43721</v>
      </c>
      <c r="B872">
        <v>74.89</v>
      </c>
      <c r="C872">
        <v>76.790000000000006</v>
      </c>
      <c r="D872">
        <v>72.680000000000007</v>
      </c>
      <c r="E872">
        <v>76.790000000000006</v>
      </c>
      <c r="F872">
        <v>5678.0439800000004</v>
      </c>
      <c r="G872">
        <v>0</v>
      </c>
      <c r="L872" t="s">
        <v>8</v>
      </c>
      <c r="M872" t="s">
        <v>8</v>
      </c>
      <c r="N872" t="s">
        <v>7</v>
      </c>
      <c r="P872">
        <f t="shared" si="1009"/>
        <v>1</v>
      </c>
      <c r="Q872">
        <f t="shared" si="1010"/>
        <v>5678.0439800000004</v>
      </c>
      <c r="R872">
        <f t="shared" si="1011"/>
        <v>143971.30226307796</v>
      </c>
      <c r="S872">
        <f t="shared" si="1012"/>
        <v>1.4397130226307795</v>
      </c>
      <c r="T872">
        <f t="shared" si="1013"/>
        <v>1.4397130226307794E-3</v>
      </c>
    </row>
    <row r="873" spans="1:20" x14ac:dyDescent="0.25">
      <c r="A873" s="5">
        <v>43720</v>
      </c>
      <c r="B873">
        <v>74.180000000000007</v>
      </c>
      <c r="C873">
        <v>75.42</v>
      </c>
      <c r="D873">
        <v>71.52</v>
      </c>
      <c r="E873">
        <v>74.88</v>
      </c>
      <c r="F873">
        <v>8008.4290099999998</v>
      </c>
      <c r="G873">
        <v>0</v>
      </c>
      <c r="L873" t="s">
        <v>8</v>
      </c>
      <c r="M873" t="s">
        <v>8</v>
      </c>
      <c r="N873" t="s">
        <v>7</v>
      </c>
      <c r="P873">
        <f t="shared" si="1009"/>
        <v>0.72307692307692029</v>
      </c>
      <c r="Q873">
        <f t="shared" si="1010"/>
        <v>5790.7102072307471</v>
      </c>
      <c r="R873">
        <f t="shared" si="1011"/>
        <v>138293.25828307797</v>
      </c>
      <c r="S873">
        <f t="shared" si="1012"/>
        <v>1.3829325828307797</v>
      </c>
      <c r="T873">
        <f t="shared" si="1013"/>
        <v>1.3829325828307796E-3</v>
      </c>
    </row>
    <row r="874" spans="1:20" x14ac:dyDescent="0.25">
      <c r="A874" s="5">
        <v>43719</v>
      </c>
      <c r="B874">
        <v>72.05</v>
      </c>
      <c r="C874">
        <v>74.19</v>
      </c>
      <c r="D874">
        <v>69.430000000000007</v>
      </c>
      <c r="E874">
        <v>74.180000000000007</v>
      </c>
      <c r="F874">
        <v>11528.42894</v>
      </c>
      <c r="G874">
        <v>0</v>
      </c>
      <c r="L874" t="s">
        <v>7</v>
      </c>
      <c r="M874" t="s">
        <v>8</v>
      </c>
      <c r="N874" t="s">
        <v>7</v>
      </c>
      <c r="P874">
        <f t="shared" si="1009"/>
        <v>0.99579831932773488</v>
      </c>
      <c r="Q874">
        <f t="shared" si="1010"/>
        <v>11479.99016294122</v>
      </c>
      <c r="R874">
        <f t="shared" si="1011"/>
        <v>132502.54807584721</v>
      </c>
      <c r="S874">
        <f t="shared" si="1012"/>
        <v>1.325025480758472</v>
      </c>
      <c r="T874">
        <f t="shared" si="1013"/>
        <v>1.325025480758472E-3</v>
      </c>
    </row>
    <row r="875" spans="1:20" x14ac:dyDescent="0.25">
      <c r="A875" s="5">
        <v>43718</v>
      </c>
      <c r="B875">
        <v>74.98</v>
      </c>
      <c r="C875">
        <v>76</v>
      </c>
      <c r="D875">
        <v>71.5</v>
      </c>
      <c r="E875">
        <v>72.27</v>
      </c>
      <c r="F875">
        <v>11768.49972</v>
      </c>
      <c r="G875">
        <v>0</v>
      </c>
      <c r="L875" t="s">
        <v>8</v>
      </c>
      <c r="M875" t="s">
        <v>8</v>
      </c>
      <c r="N875" t="s">
        <v>7</v>
      </c>
      <c r="P875">
        <f t="shared" si="1009"/>
        <v>-0.65777777777777957</v>
      </c>
      <c r="Q875">
        <f t="shared" si="1010"/>
        <v>-7741.0575936000214</v>
      </c>
      <c r="R875">
        <f t="shared" si="1011"/>
        <v>121022.55791290601</v>
      </c>
      <c r="S875">
        <f t="shared" si="1012"/>
        <v>1.2102255791290601</v>
      </c>
      <c r="T875">
        <f t="shared" si="1013"/>
        <v>1.2102255791290601E-3</v>
      </c>
    </row>
    <row r="876" spans="1:20" x14ac:dyDescent="0.25">
      <c r="A876" s="5">
        <v>43717</v>
      </c>
      <c r="B876">
        <v>77.03</v>
      </c>
      <c r="C876">
        <v>77.55</v>
      </c>
      <c r="D876">
        <v>70.2</v>
      </c>
      <c r="E876">
        <v>74.94</v>
      </c>
      <c r="F876">
        <v>7966.7929899999999</v>
      </c>
      <c r="G876">
        <v>0</v>
      </c>
      <c r="L876" t="s">
        <v>7</v>
      </c>
      <c r="M876" t="s">
        <v>8</v>
      </c>
      <c r="N876" t="s">
        <v>7</v>
      </c>
      <c r="P876">
        <f t="shared" si="1009"/>
        <v>0.28979591836734653</v>
      </c>
      <c r="Q876">
        <f t="shared" si="1010"/>
        <v>2308.7440909795887</v>
      </c>
      <c r="R876">
        <f t="shared" si="1011"/>
        <v>128763.61550650603</v>
      </c>
      <c r="S876">
        <f t="shared" si="1012"/>
        <v>1.2876361550650604</v>
      </c>
      <c r="T876">
        <f t="shared" si="1013"/>
        <v>1.2876361550650604E-3</v>
      </c>
    </row>
    <row r="877" spans="1:20" x14ac:dyDescent="0.25">
      <c r="A877" s="5">
        <v>43716</v>
      </c>
      <c r="B877">
        <v>77.97</v>
      </c>
      <c r="C877">
        <v>78.98</v>
      </c>
      <c r="D877">
        <v>75.55</v>
      </c>
      <c r="E877">
        <v>77.150000000000006</v>
      </c>
      <c r="F877">
        <v>4943.0623900000001</v>
      </c>
      <c r="G877">
        <v>0</v>
      </c>
      <c r="L877" t="s">
        <v>7</v>
      </c>
      <c r="M877" t="s">
        <v>8</v>
      </c>
      <c r="N877" t="s">
        <v>7</v>
      </c>
      <c r="P877">
        <f t="shared" si="1009"/>
        <v>-6.7055393586002709E-2</v>
      </c>
      <c r="Q877">
        <f t="shared" si="1010"/>
        <v>-331.45899408161722</v>
      </c>
      <c r="R877">
        <f t="shared" si="1011"/>
        <v>126454.87141552645</v>
      </c>
      <c r="S877">
        <f t="shared" si="1012"/>
        <v>1.2645487141552645</v>
      </c>
      <c r="T877">
        <f t="shared" si="1013"/>
        <v>1.2645487141552645E-3</v>
      </c>
    </row>
    <row r="878" spans="1:20" x14ac:dyDescent="0.25">
      <c r="A878" s="5">
        <v>43715</v>
      </c>
      <c r="B878">
        <v>75.02</v>
      </c>
      <c r="C878">
        <v>78.59</v>
      </c>
      <c r="D878">
        <v>73.78</v>
      </c>
      <c r="E878">
        <v>78</v>
      </c>
      <c r="F878">
        <v>4684.5593200000003</v>
      </c>
      <c r="G878">
        <v>0</v>
      </c>
      <c r="L878" t="s">
        <v>7</v>
      </c>
      <c r="M878" t="s">
        <v>8</v>
      </c>
      <c r="N878" t="s">
        <v>7</v>
      </c>
      <c r="P878">
        <f t="shared" si="1009"/>
        <v>0.75467775467775333</v>
      </c>
      <c r="Q878">
        <f t="shared" si="1010"/>
        <v>3535.332709272343</v>
      </c>
      <c r="R878">
        <f t="shared" si="1011"/>
        <v>126786.33040960807</v>
      </c>
      <c r="S878">
        <f t="shared" si="1012"/>
        <v>1.2678633040960807</v>
      </c>
      <c r="T878">
        <f t="shared" si="1013"/>
        <v>1.2678633040960807E-3</v>
      </c>
    </row>
    <row r="879" spans="1:20" x14ac:dyDescent="0.25">
      <c r="A879" s="5">
        <v>43714</v>
      </c>
      <c r="B879">
        <v>76.069999999999993</v>
      </c>
      <c r="C879">
        <v>79.709999999999994</v>
      </c>
      <c r="D879">
        <v>74.83</v>
      </c>
      <c r="E879">
        <v>75.22</v>
      </c>
      <c r="F879">
        <v>9994.8459800000001</v>
      </c>
      <c r="G879">
        <v>0</v>
      </c>
      <c r="L879" t="s">
        <v>8</v>
      </c>
      <c r="M879" t="s">
        <v>8</v>
      </c>
      <c r="N879" t="s">
        <v>7</v>
      </c>
      <c r="P879">
        <f t="shared" si="1009"/>
        <v>-0.84016393442622916</v>
      </c>
      <c r="Q879">
        <f t="shared" si="1010"/>
        <v>-8397.3091225409808</v>
      </c>
      <c r="R879">
        <f t="shared" si="1011"/>
        <v>123250.99770033572</v>
      </c>
      <c r="S879">
        <f t="shared" si="1012"/>
        <v>1.2325099770033572</v>
      </c>
      <c r="T879">
        <f t="shared" si="1013"/>
        <v>1.2325099770033572E-3</v>
      </c>
    </row>
    <row r="880" spans="1:20" x14ac:dyDescent="0.25">
      <c r="A880" s="5">
        <v>43713</v>
      </c>
      <c r="B880">
        <v>73.98</v>
      </c>
      <c r="C880">
        <v>78</v>
      </c>
      <c r="D880">
        <v>73.52</v>
      </c>
      <c r="E880">
        <v>75.97</v>
      </c>
      <c r="F880">
        <v>11876.046469999999</v>
      </c>
      <c r="G880">
        <v>0</v>
      </c>
      <c r="L880" t="s">
        <v>8</v>
      </c>
      <c r="M880" t="s">
        <v>8</v>
      </c>
      <c r="N880" t="s">
        <v>7</v>
      </c>
      <c r="P880">
        <f t="shared" si="1009"/>
        <v>9.3750000000000291E-2</v>
      </c>
      <c r="Q880">
        <f t="shared" si="1010"/>
        <v>1113.3793565625033</v>
      </c>
      <c r="R880">
        <f t="shared" si="1011"/>
        <v>131648.30682287671</v>
      </c>
      <c r="S880">
        <f t="shared" si="1012"/>
        <v>1.3164830682287672</v>
      </c>
      <c r="T880">
        <f t="shared" si="1013"/>
        <v>1.3164830682287671E-3</v>
      </c>
    </row>
    <row r="881" spans="1:20" x14ac:dyDescent="0.25">
      <c r="A881" s="5">
        <v>43712</v>
      </c>
      <c r="B881">
        <v>74.78</v>
      </c>
      <c r="C881">
        <v>75.010000000000005</v>
      </c>
      <c r="D881">
        <v>71.41</v>
      </c>
      <c r="E881">
        <v>73.790000000000006</v>
      </c>
      <c r="F881">
        <v>8002.0904099999998</v>
      </c>
      <c r="G881">
        <v>0</v>
      </c>
      <c r="L881" t="s">
        <v>8</v>
      </c>
      <c r="M881" t="s">
        <v>7</v>
      </c>
      <c r="N881" t="s">
        <v>7</v>
      </c>
      <c r="P881">
        <f t="shared" si="1009"/>
        <v>0.32222222222222446</v>
      </c>
      <c r="Q881">
        <f t="shared" si="1010"/>
        <v>2578.451354333351</v>
      </c>
      <c r="R881">
        <f t="shared" si="1011"/>
        <v>130534.9274663142</v>
      </c>
      <c r="S881">
        <f t="shared" si="1012"/>
        <v>1.3053492746631419</v>
      </c>
      <c r="T881">
        <f t="shared" si="1013"/>
        <v>1.305349274663142E-3</v>
      </c>
    </row>
    <row r="882" spans="1:20" x14ac:dyDescent="0.25">
      <c r="A882" s="5">
        <v>43711</v>
      </c>
      <c r="B882">
        <v>73.25</v>
      </c>
      <c r="C882">
        <v>75.75</v>
      </c>
      <c r="D882">
        <v>72.87</v>
      </c>
      <c r="E882">
        <v>74.78</v>
      </c>
      <c r="F882">
        <v>10246.196739999999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0.32638888888888862</v>
      </c>
      <c r="Q882">
        <f t="shared" si="1010"/>
        <v>3344.2447693055524</v>
      </c>
      <c r="R882">
        <f t="shared" si="1011"/>
        <v>127956.47611198085</v>
      </c>
      <c r="S882">
        <f t="shared" si="1012"/>
        <v>1.2795647611198084</v>
      </c>
      <c r="T882">
        <f t="shared" si="1013"/>
        <v>1.2795647611198084E-3</v>
      </c>
    </row>
    <row r="883" spans="1:20" x14ac:dyDescent="0.25">
      <c r="A883" s="5">
        <v>43710</v>
      </c>
      <c r="B883">
        <v>71.319999999999993</v>
      </c>
      <c r="C883">
        <v>74.06</v>
      </c>
      <c r="D883">
        <v>69.67</v>
      </c>
      <c r="E883">
        <v>73.05</v>
      </c>
      <c r="F883">
        <v>11150.06436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0.53986332574031659</v>
      </c>
      <c r="Q883">
        <f t="shared" si="1010"/>
        <v>6019.5108276081746</v>
      </c>
      <c r="R883">
        <f t="shared" si="1011"/>
        <v>124612.2313426753</v>
      </c>
      <c r="S883">
        <f t="shared" si="1012"/>
        <v>1.2461223134267529</v>
      </c>
      <c r="T883">
        <f t="shared" si="1013"/>
        <v>1.246122313426753E-3</v>
      </c>
    </row>
    <row r="884" spans="1:20" x14ac:dyDescent="0.25">
      <c r="A884" s="5">
        <v>43709</v>
      </c>
      <c r="B884">
        <v>67.31</v>
      </c>
      <c r="C884">
        <v>74.61</v>
      </c>
      <c r="D884">
        <v>66.63</v>
      </c>
      <c r="E884">
        <v>71.34</v>
      </c>
      <c r="F884">
        <v>6897.7531200000003</v>
      </c>
      <c r="G884">
        <v>0</v>
      </c>
      <c r="L884" t="s">
        <v>8</v>
      </c>
      <c r="M884" t="s">
        <v>7</v>
      </c>
      <c r="N884" t="s">
        <v>7</v>
      </c>
      <c r="P884">
        <f t="shared" si="1009"/>
        <v>0.18045112781955028</v>
      </c>
      <c r="Q884">
        <f t="shared" si="1010"/>
        <v>1244.7073299248218</v>
      </c>
      <c r="R884">
        <f t="shared" si="1011"/>
        <v>118592.72051506712</v>
      </c>
      <c r="S884">
        <f t="shared" si="1012"/>
        <v>1.1859272051506713</v>
      </c>
      <c r="T884">
        <f t="shared" si="1013"/>
        <v>1.1859272051506712E-3</v>
      </c>
    </row>
    <row r="885" spans="1:20" x14ac:dyDescent="0.25">
      <c r="A885" s="5">
        <v>43708</v>
      </c>
      <c r="B885">
        <v>67.849999999999994</v>
      </c>
      <c r="C885">
        <v>68.34</v>
      </c>
      <c r="D885">
        <v>66.069999999999993</v>
      </c>
      <c r="E885">
        <v>67.34</v>
      </c>
      <c r="F885">
        <v>3275.3672900000001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0.11894273127753702</v>
      </c>
      <c r="Q885">
        <f t="shared" si="1010"/>
        <v>389.58113140970465</v>
      </c>
      <c r="R885">
        <f t="shared" si="1011"/>
        <v>117348.01318514231</v>
      </c>
      <c r="S885">
        <f t="shared" si="1012"/>
        <v>1.173480131851423</v>
      </c>
      <c r="T885">
        <f t="shared" si="1013"/>
        <v>1.173480131851423E-3</v>
      </c>
    </row>
    <row r="886" spans="1:20" x14ac:dyDescent="0.25">
      <c r="A886" s="5">
        <v>43707</v>
      </c>
      <c r="B886">
        <v>66.900000000000006</v>
      </c>
      <c r="C886">
        <v>68.319999999999993</v>
      </c>
      <c r="D886">
        <v>65.7</v>
      </c>
      <c r="E886">
        <v>67.819999999999993</v>
      </c>
      <c r="F886">
        <v>6732.7618300000004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0.61832061068702149</v>
      </c>
      <c r="Q886">
        <f t="shared" si="1010"/>
        <v>4163.0054063358684</v>
      </c>
      <c r="R886">
        <f t="shared" si="1011"/>
        <v>116958.4320537326</v>
      </c>
      <c r="S886">
        <f t="shared" si="1012"/>
        <v>1.169584320537326</v>
      </c>
      <c r="T886">
        <f t="shared" si="1013"/>
        <v>1.1695843205373261E-3</v>
      </c>
    </row>
    <row r="887" spans="1:20" x14ac:dyDescent="0.25">
      <c r="A887" s="5">
        <v>43706</v>
      </c>
      <c r="B887">
        <v>72.099999999999994</v>
      </c>
      <c r="C887">
        <v>72.099999999999994</v>
      </c>
      <c r="D887">
        <v>66.709999999999994</v>
      </c>
      <c r="E887">
        <v>66.900000000000006</v>
      </c>
      <c r="F887">
        <v>7727.1842900000001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-0.92949907235621076</v>
      </c>
      <c r="Q887">
        <f t="shared" si="1010"/>
        <v>-7182.4106294804851</v>
      </c>
      <c r="R887">
        <f t="shared" si="1011"/>
        <v>112795.42664739673</v>
      </c>
      <c r="S887">
        <f t="shared" si="1012"/>
        <v>1.1279542664739672</v>
      </c>
      <c r="T887">
        <f t="shared" si="1013"/>
        <v>1.1279542664739673E-3</v>
      </c>
    </row>
    <row r="888" spans="1:20" x14ac:dyDescent="0.25">
      <c r="A888" s="5">
        <v>43705</v>
      </c>
      <c r="B888">
        <v>78.5</v>
      </c>
      <c r="C888">
        <v>79.77</v>
      </c>
      <c r="D888">
        <v>71.41</v>
      </c>
      <c r="E888">
        <v>72.099999999999994</v>
      </c>
      <c r="F888">
        <v>9797.7594399999998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-0.8349282296650723</v>
      </c>
      <c r="Q888">
        <f t="shared" si="1010"/>
        <v>-8180.4259439234502</v>
      </c>
      <c r="R888">
        <f t="shared" si="1011"/>
        <v>119977.83727687721</v>
      </c>
      <c r="S888">
        <f t="shared" si="1012"/>
        <v>1.1997783727687721</v>
      </c>
      <c r="T888">
        <f t="shared" si="1013"/>
        <v>1.1997783727687721E-3</v>
      </c>
    </row>
    <row r="889" spans="1:20" x14ac:dyDescent="0.25">
      <c r="A889" s="5">
        <v>43704</v>
      </c>
      <c r="B889">
        <v>79.7</v>
      </c>
      <c r="C889">
        <v>80.08</v>
      </c>
      <c r="D889">
        <v>77.56</v>
      </c>
      <c r="E889">
        <v>78.5</v>
      </c>
      <c r="F889">
        <v>4241.4713300000003</v>
      </c>
      <c r="G889">
        <v>0</v>
      </c>
      <c r="L889" t="s">
        <v>7</v>
      </c>
      <c r="M889" t="s">
        <v>7</v>
      </c>
      <c r="N889" t="s">
        <v>8</v>
      </c>
      <c r="P889">
        <f t="shared" si="1009"/>
        <v>-0.25396825396825462</v>
      </c>
      <c r="Q889">
        <f t="shared" si="1010"/>
        <v>-1077.1990679365108</v>
      </c>
      <c r="R889">
        <f t="shared" si="1011"/>
        <v>128158.26322080065</v>
      </c>
      <c r="S889">
        <f t="shared" si="1012"/>
        <v>1.2815826322080066</v>
      </c>
      <c r="T889">
        <f t="shared" si="1013"/>
        <v>1.2815826322080065E-3</v>
      </c>
    </row>
    <row r="890" spans="1:20" x14ac:dyDescent="0.25">
      <c r="A890" s="5">
        <v>43703</v>
      </c>
      <c r="B890">
        <v>80.75</v>
      </c>
      <c r="C890">
        <v>83.91</v>
      </c>
      <c r="D890">
        <v>79.040000000000006</v>
      </c>
      <c r="E890">
        <v>79.75</v>
      </c>
      <c r="F890">
        <v>5254.4017899999999</v>
      </c>
      <c r="G890">
        <v>0</v>
      </c>
      <c r="L890" t="s">
        <v>7</v>
      </c>
      <c r="M890" t="s">
        <v>7</v>
      </c>
      <c r="N890" t="s">
        <v>8</v>
      </c>
      <c r="P890">
        <f t="shared" si="1009"/>
        <v>-0.70841889117043322</v>
      </c>
      <c r="Q890">
        <f t="shared" si="1010"/>
        <v>-3722.3174898357393</v>
      </c>
      <c r="R890">
        <f t="shared" si="1011"/>
        <v>129235.46228873717</v>
      </c>
      <c r="S890">
        <f t="shared" si="1012"/>
        <v>1.2923546228873717</v>
      </c>
      <c r="T890">
        <f t="shared" si="1013"/>
        <v>1.2923546228873718E-3</v>
      </c>
    </row>
    <row r="891" spans="1:20" x14ac:dyDescent="0.25">
      <c r="A891" s="5">
        <v>43702</v>
      </c>
      <c r="B891">
        <v>80.459999999999994</v>
      </c>
      <c r="C891">
        <v>82.33</v>
      </c>
      <c r="D891">
        <v>79</v>
      </c>
      <c r="E891">
        <v>80.599999999999994</v>
      </c>
      <c r="F891">
        <v>4828.8909199999998</v>
      </c>
      <c r="G891">
        <v>0</v>
      </c>
      <c r="L891" t="s">
        <v>7</v>
      </c>
      <c r="M891" t="s">
        <v>7</v>
      </c>
      <c r="N891" t="s">
        <v>8</v>
      </c>
      <c r="P891">
        <f t="shared" si="1009"/>
        <v>-3.9039039039041962E-2</v>
      </c>
      <c r="Q891">
        <f t="shared" si="1010"/>
        <v>-188.51526114115524</v>
      </c>
      <c r="R891">
        <f t="shared" si="1011"/>
        <v>132957.77977857291</v>
      </c>
      <c r="S891">
        <f t="shared" si="1012"/>
        <v>1.329577797785729</v>
      </c>
      <c r="T891">
        <f t="shared" si="1013"/>
        <v>1.3295777977857289E-3</v>
      </c>
    </row>
    <row r="892" spans="1:20" x14ac:dyDescent="0.25">
      <c r="A892" s="5">
        <v>43701</v>
      </c>
      <c r="B892">
        <v>82.08</v>
      </c>
      <c r="C892">
        <v>82.2</v>
      </c>
      <c r="D892">
        <v>78.06</v>
      </c>
      <c r="E892">
        <v>80.52</v>
      </c>
      <c r="F892">
        <v>4830.6426700000002</v>
      </c>
      <c r="G892">
        <v>0</v>
      </c>
      <c r="L892" t="s">
        <v>7</v>
      </c>
      <c r="M892" t="s">
        <v>7</v>
      </c>
      <c r="N892" t="s">
        <v>8</v>
      </c>
      <c r="P892">
        <f t="shared" si="1009"/>
        <v>0.18840579710144609</v>
      </c>
      <c r="Q892">
        <f t="shared" si="1010"/>
        <v>910.12108275360788</v>
      </c>
      <c r="R892">
        <f t="shared" si="1011"/>
        <v>133146.29503971405</v>
      </c>
      <c r="S892">
        <f t="shared" si="1012"/>
        <v>1.3314629503971405</v>
      </c>
      <c r="T892">
        <f t="shared" si="1013"/>
        <v>1.3314629503971404E-3</v>
      </c>
    </row>
    <row r="893" spans="1:20" x14ac:dyDescent="0.25">
      <c r="A893" s="5">
        <v>43700</v>
      </c>
      <c r="B893">
        <v>82.02</v>
      </c>
      <c r="C893">
        <v>83.5</v>
      </c>
      <c r="D893">
        <v>80.91</v>
      </c>
      <c r="E893">
        <v>82.08</v>
      </c>
      <c r="F893">
        <v>4933.0711899999997</v>
      </c>
      <c r="G893">
        <v>0</v>
      </c>
      <c r="L893" t="s">
        <v>7</v>
      </c>
      <c r="M893" t="s">
        <v>7</v>
      </c>
      <c r="N893" t="s">
        <v>8</v>
      </c>
      <c r="P893">
        <f t="shared" si="1009"/>
        <v>-9.6525096525096402E-2</v>
      </c>
      <c r="Q893">
        <f t="shared" si="1010"/>
        <v>-476.16517277992216</v>
      </c>
      <c r="R893">
        <f t="shared" si="1011"/>
        <v>132236.17395696044</v>
      </c>
      <c r="S893">
        <f t="shared" si="1012"/>
        <v>1.3223617395696043</v>
      </c>
      <c r="T893">
        <f t="shared" si="1013"/>
        <v>1.3223617395696043E-3</v>
      </c>
    </row>
    <row r="894" spans="1:20" x14ac:dyDescent="0.25">
      <c r="A894" s="5">
        <v>43699</v>
      </c>
      <c r="B894">
        <v>81</v>
      </c>
      <c r="C894">
        <v>83.36</v>
      </c>
      <c r="D894">
        <v>78.22</v>
      </c>
      <c r="E894">
        <v>82.02</v>
      </c>
      <c r="F894">
        <v>4453.8843999999999</v>
      </c>
      <c r="G894">
        <v>0</v>
      </c>
      <c r="L894" t="s">
        <v>7</v>
      </c>
      <c r="M894" t="s">
        <v>7</v>
      </c>
      <c r="N894" t="s">
        <v>8</v>
      </c>
      <c r="P894">
        <f t="shared" si="1009"/>
        <v>0.47859922178988201</v>
      </c>
      <c r="Q894">
        <f t="shared" si="1010"/>
        <v>2131.6256077820954</v>
      </c>
      <c r="R894">
        <f t="shared" si="1011"/>
        <v>132712.33912974037</v>
      </c>
      <c r="S894">
        <f t="shared" si="1012"/>
        <v>1.3271233912974036</v>
      </c>
      <c r="T894">
        <f t="shared" si="1013"/>
        <v>1.3271233912974037E-3</v>
      </c>
    </row>
    <row r="895" spans="1:20" x14ac:dyDescent="0.25">
      <c r="A895" s="5">
        <v>43698</v>
      </c>
      <c r="B895">
        <v>85.84</v>
      </c>
      <c r="C895">
        <v>86.51</v>
      </c>
      <c r="D895">
        <v>78.81</v>
      </c>
      <c r="E895">
        <v>80.84</v>
      </c>
      <c r="F895">
        <v>7850.5748700000004</v>
      </c>
      <c r="G895">
        <v>0</v>
      </c>
      <c r="L895" t="s">
        <v>7</v>
      </c>
      <c r="M895" t="s">
        <v>7</v>
      </c>
      <c r="N895" t="s">
        <v>8</v>
      </c>
      <c r="P895">
        <f t="shared" ref="P895:P958" si="1014">IF(C895=D895,0,((E895-D895)-(C895-E895))/(C895-D895))</f>
        <v>-0.47272727272727261</v>
      </c>
      <c r="Q895">
        <f t="shared" ref="Q895:Q958" si="1015">F895*P895</f>
        <v>-3711.1808476363631</v>
      </c>
      <c r="R895">
        <f t="shared" ref="R895:R958" si="1016">R896+Q895</f>
        <v>130580.71352195827</v>
      </c>
      <c r="S895">
        <f t="shared" ref="S895:S958" si="1017">R895/100000</f>
        <v>1.3058071352195828</v>
      </c>
      <c r="T895">
        <f t="shared" ref="T895:T958" si="1018">S895/1000</f>
        <v>1.3058071352195829E-3</v>
      </c>
    </row>
    <row r="896" spans="1:20" x14ac:dyDescent="0.25">
      <c r="A896" s="5">
        <v>43697</v>
      </c>
      <c r="B896">
        <v>89.5</v>
      </c>
      <c r="C896">
        <v>91.02</v>
      </c>
      <c r="D896">
        <v>84.28</v>
      </c>
      <c r="E896">
        <v>85.61</v>
      </c>
      <c r="F896">
        <v>7415.6728800000001</v>
      </c>
      <c r="G896">
        <v>0</v>
      </c>
      <c r="L896" t="s">
        <v>7</v>
      </c>
      <c r="M896" t="s">
        <v>7</v>
      </c>
      <c r="N896" t="s">
        <v>8</v>
      </c>
      <c r="P896">
        <f t="shared" si="1014"/>
        <v>-0.60534124629080144</v>
      </c>
      <c r="Q896">
        <f t="shared" si="1015"/>
        <v>-4489.0126632640968</v>
      </c>
      <c r="R896">
        <f t="shared" si="1016"/>
        <v>134291.89436959464</v>
      </c>
      <c r="S896">
        <f t="shared" si="1017"/>
        <v>1.3429189436959463</v>
      </c>
      <c r="T896">
        <f t="shared" si="1018"/>
        <v>1.3429189436959463E-3</v>
      </c>
    </row>
    <row r="897" spans="1:20" x14ac:dyDescent="0.25">
      <c r="A897" s="5">
        <v>43696</v>
      </c>
      <c r="B897">
        <v>87.75</v>
      </c>
      <c r="C897">
        <v>91.28</v>
      </c>
      <c r="D897">
        <v>84.18</v>
      </c>
      <c r="E897">
        <v>89.32</v>
      </c>
      <c r="F897">
        <v>7044.4348799999998</v>
      </c>
      <c r="G897">
        <v>0</v>
      </c>
      <c r="L897" t="s">
        <v>8</v>
      </c>
      <c r="M897" t="s">
        <v>7</v>
      </c>
      <c r="N897" t="s">
        <v>8</v>
      </c>
      <c r="P897">
        <f t="shared" si="1014"/>
        <v>0.44788732394365927</v>
      </c>
      <c r="Q897">
        <f t="shared" si="1015"/>
        <v>3155.1130870985726</v>
      </c>
      <c r="R897">
        <f t="shared" si="1016"/>
        <v>138780.90703285873</v>
      </c>
      <c r="S897">
        <f t="shared" si="1017"/>
        <v>1.3878090703285872</v>
      </c>
      <c r="T897">
        <f t="shared" si="1018"/>
        <v>1.3878090703285872E-3</v>
      </c>
    </row>
    <row r="898" spans="1:20" x14ac:dyDescent="0.25">
      <c r="A898" s="5">
        <v>43695</v>
      </c>
      <c r="B898">
        <v>81.900000000000006</v>
      </c>
      <c r="C898">
        <v>87.92</v>
      </c>
      <c r="D898">
        <v>81.540000000000006</v>
      </c>
      <c r="E898">
        <v>87.75</v>
      </c>
      <c r="F898">
        <v>4544.8826799999997</v>
      </c>
      <c r="G898">
        <v>0</v>
      </c>
      <c r="L898" t="s">
        <v>8</v>
      </c>
      <c r="M898" t="s">
        <v>7</v>
      </c>
      <c r="N898" t="s">
        <v>8</v>
      </c>
      <c r="P898">
        <f t="shared" si="1014"/>
        <v>0.94670846394984265</v>
      </c>
      <c r="Q898">
        <f t="shared" si="1015"/>
        <v>4302.6789008150436</v>
      </c>
      <c r="R898">
        <f t="shared" si="1016"/>
        <v>135625.79394576015</v>
      </c>
      <c r="S898">
        <f t="shared" si="1017"/>
        <v>1.3562579394576015</v>
      </c>
      <c r="T898">
        <f t="shared" si="1018"/>
        <v>1.3562579394576016E-3</v>
      </c>
    </row>
    <row r="899" spans="1:20" x14ac:dyDescent="0.25">
      <c r="A899" s="5">
        <v>43694</v>
      </c>
      <c r="B899">
        <v>81.69</v>
      </c>
      <c r="C899">
        <v>83.84</v>
      </c>
      <c r="D899">
        <v>80.819999999999993</v>
      </c>
      <c r="E899">
        <v>81.52</v>
      </c>
      <c r="F899">
        <v>3782.1697300000001</v>
      </c>
      <c r="G899">
        <v>0</v>
      </c>
      <c r="L899" t="s">
        <v>7</v>
      </c>
      <c r="M899" t="s">
        <v>7</v>
      </c>
      <c r="N899" t="s">
        <v>8</v>
      </c>
      <c r="P899">
        <f t="shared" si="1014"/>
        <v>-0.53642384105960239</v>
      </c>
      <c r="Q899">
        <f t="shared" si="1015"/>
        <v>-2028.8460141059593</v>
      </c>
      <c r="R899">
        <f t="shared" si="1016"/>
        <v>131323.11504494509</v>
      </c>
      <c r="S899">
        <f t="shared" si="1017"/>
        <v>1.3132311504494509</v>
      </c>
      <c r="T899">
        <f t="shared" si="1018"/>
        <v>1.3132311504494508E-3</v>
      </c>
    </row>
    <row r="900" spans="1:20" x14ac:dyDescent="0.25">
      <c r="A900" s="5">
        <v>43693</v>
      </c>
      <c r="B900">
        <v>82.44</v>
      </c>
      <c r="C900">
        <v>83.5</v>
      </c>
      <c r="D900">
        <v>78</v>
      </c>
      <c r="E900">
        <v>82.25</v>
      </c>
      <c r="F900">
        <v>7031.6917999999996</v>
      </c>
      <c r="G900">
        <v>0</v>
      </c>
      <c r="L900" t="s">
        <v>7</v>
      </c>
      <c r="M900" t="s">
        <v>7</v>
      </c>
      <c r="N900" t="s">
        <v>8</v>
      </c>
      <c r="P900">
        <f t="shared" si="1014"/>
        <v>0.54545454545454541</v>
      </c>
      <c r="Q900">
        <f t="shared" si="1015"/>
        <v>3835.4682545454539</v>
      </c>
      <c r="R900">
        <f t="shared" si="1016"/>
        <v>133351.96105905104</v>
      </c>
      <c r="S900">
        <f t="shared" si="1017"/>
        <v>1.3335196105905105</v>
      </c>
      <c r="T900">
        <f t="shared" si="1018"/>
        <v>1.3335196105905105E-3</v>
      </c>
    </row>
    <row r="901" spans="1:20" x14ac:dyDescent="0.25">
      <c r="A901" s="5">
        <v>43692</v>
      </c>
      <c r="B901">
        <v>79.040000000000006</v>
      </c>
      <c r="C901">
        <v>82.88</v>
      </c>
      <c r="D901">
        <v>78.11</v>
      </c>
      <c r="E901">
        <v>82.44</v>
      </c>
      <c r="F901">
        <v>4279.0658400000002</v>
      </c>
      <c r="G901">
        <v>0</v>
      </c>
      <c r="L901" t="s">
        <v>7</v>
      </c>
      <c r="M901" t="s">
        <v>7</v>
      </c>
      <c r="N901" t="s">
        <v>8</v>
      </c>
      <c r="P901">
        <f t="shared" si="1014"/>
        <v>0.81551362683438233</v>
      </c>
      <c r="Q901">
        <f t="shared" si="1015"/>
        <v>3489.6365026415128</v>
      </c>
      <c r="R901">
        <f t="shared" si="1016"/>
        <v>129516.4928045056</v>
      </c>
      <c r="S901">
        <f t="shared" si="1017"/>
        <v>1.2951649280450559</v>
      </c>
      <c r="T901">
        <f t="shared" si="1018"/>
        <v>1.2951649280450559E-3</v>
      </c>
    </row>
    <row r="902" spans="1:20" x14ac:dyDescent="0.25">
      <c r="A902" s="5">
        <v>43691</v>
      </c>
      <c r="B902">
        <v>85.57</v>
      </c>
      <c r="C902">
        <v>85.78</v>
      </c>
      <c r="D902">
        <v>78.099999999999994</v>
      </c>
      <c r="E902">
        <v>78.900000000000006</v>
      </c>
      <c r="F902">
        <v>7671.9746800000003</v>
      </c>
      <c r="G902">
        <v>0</v>
      </c>
      <c r="L902" t="s">
        <v>7</v>
      </c>
      <c r="M902" t="s">
        <v>7</v>
      </c>
      <c r="N902" t="s">
        <v>8</v>
      </c>
      <c r="P902">
        <f t="shared" si="1014"/>
        <v>-0.79166666666666385</v>
      </c>
      <c r="Q902">
        <f t="shared" si="1015"/>
        <v>-6073.6466216666449</v>
      </c>
      <c r="R902">
        <f t="shared" si="1016"/>
        <v>126026.85630186409</v>
      </c>
      <c r="S902">
        <f t="shared" si="1017"/>
        <v>1.2602685630186408</v>
      </c>
      <c r="T902">
        <f t="shared" si="1018"/>
        <v>1.2602685630186408E-3</v>
      </c>
    </row>
    <row r="903" spans="1:20" x14ac:dyDescent="0.25">
      <c r="A903" s="5">
        <v>43690</v>
      </c>
      <c r="B903">
        <v>91.14</v>
      </c>
      <c r="C903">
        <v>92</v>
      </c>
      <c r="D903">
        <v>84.75</v>
      </c>
      <c r="E903">
        <v>85.78</v>
      </c>
      <c r="F903">
        <v>11248.431710000001</v>
      </c>
      <c r="G903">
        <v>0</v>
      </c>
      <c r="L903" t="s">
        <v>7</v>
      </c>
      <c r="M903" t="s">
        <v>8</v>
      </c>
      <c r="N903" t="s">
        <v>8</v>
      </c>
      <c r="P903">
        <f t="shared" si="1014"/>
        <v>-0.71586206896551696</v>
      </c>
      <c r="Q903">
        <f t="shared" si="1015"/>
        <v>-8052.3255965379285</v>
      </c>
      <c r="R903">
        <f t="shared" si="1016"/>
        <v>132100.50292353073</v>
      </c>
      <c r="S903">
        <f t="shared" si="1017"/>
        <v>1.3210050292353073</v>
      </c>
      <c r="T903">
        <f t="shared" si="1018"/>
        <v>1.3210050292353072E-3</v>
      </c>
    </row>
    <row r="904" spans="1:20" x14ac:dyDescent="0.25">
      <c r="A904" s="5">
        <v>43689</v>
      </c>
      <c r="B904">
        <v>92.3</v>
      </c>
      <c r="C904">
        <v>92.49</v>
      </c>
      <c r="D904">
        <v>89.5</v>
      </c>
      <c r="E904">
        <v>91.21</v>
      </c>
      <c r="F904">
        <v>2740.8250200000002</v>
      </c>
      <c r="G904">
        <v>0</v>
      </c>
      <c r="L904" t="s">
        <v>7</v>
      </c>
      <c r="M904" t="s">
        <v>8</v>
      </c>
      <c r="N904" t="s">
        <v>8</v>
      </c>
      <c r="P904">
        <f t="shared" si="1014"/>
        <v>0.1438127090300981</v>
      </c>
      <c r="Q904">
        <f t="shared" si="1015"/>
        <v>394.16547110367281</v>
      </c>
      <c r="R904">
        <f t="shared" si="1016"/>
        <v>140152.82852006867</v>
      </c>
      <c r="S904">
        <f t="shared" si="1017"/>
        <v>1.4015282852006867</v>
      </c>
      <c r="T904">
        <f t="shared" si="1018"/>
        <v>1.4015282852006868E-3</v>
      </c>
    </row>
    <row r="905" spans="1:20" x14ac:dyDescent="0.25">
      <c r="A905" s="5">
        <v>43688</v>
      </c>
      <c r="B905">
        <v>90.74</v>
      </c>
      <c r="C905">
        <v>93.12</v>
      </c>
      <c r="D905">
        <v>88.7</v>
      </c>
      <c r="E905">
        <v>92.3</v>
      </c>
      <c r="F905">
        <v>6248.0728099999997</v>
      </c>
      <c r="G905">
        <v>0</v>
      </c>
      <c r="L905" t="s">
        <v>7</v>
      </c>
      <c r="M905" t="s">
        <v>8</v>
      </c>
      <c r="N905" t="s">
        <v>8</v>
      </c>
      <c r="P905">
        <f t="shared" si="1014"/>
        <v>0.62895927601809631</v>
      </c>
      <c r="Q905">
        <f t="shared" si="1015"/>
        <v>3929.7833510859523</v>
      </c>
      <c r="R905">
        <f t="shared" si="1016"/>
        <v>139758.66304896498</v>
      </c>
      <c r="S905">
        <f t="shared" si="1017"/>
        <v>1.3975866304896498</v>
      </c>
      <c r="T905">
        <f t="shared" si="1018"/>
        <v>1.3975866304896498E-3</v>
      </c>
    </row>
    <row r="906" spans="1:20" x14ac:dyDescent="0.25">
      <c r="A906" s="5">
        <v>43687</v>
      </c>
      <c r="B906">
        <v>93.62</v>
      </c>
      <c r="C906">
        <v>95</v>
      </c>
      <c r="D906">
        <v>90.07</v>
      </c>
      <c r="E906">
        <v>90.78</v>
      </c>
      <c r="F906">
        <v>4971.0344699999996</v>
      </c>
      <c r="G906">
        <v>0</v>
      </c>
      <c r="L906" t="s">
        <v>7</v>
      </c>
      <c r="M906" t="s">
        <v>8</v>
      </c>
      <c r="N906" t="s">
        <v>8</v>
      </c>
      <c r="P906">
        <f t="shared" si="1014"/>
        <v>-0.71196754563894238</v>
      </c>
      <c r="Q906">
        <f t="shared" si="1015"/>
        <v>-3539.2152108924806</v>
      </c>
      <c r="R906">
        <f t="shared" si="1016"/>
        <v>135828.87969787902</v>
      </c>
      <c r="S906">
        <f t="shared" si="1017"/>
        <v>1.3582887969787902</v>
      </c>
      <c r="T906">
        <f t="shared" si="1018"/>
        <v>1.3582887969787903E-3</v>
      </c>
    </row>
    <row r="907" spans="1:20" x14ac:dyDescent="0.25">
      <c r="A907" s="5">
        <v>43686</v>
      </c>
      <c r="B907">
        <v>95.55</v>
      </c>
      <c r="C907">
        <v>96</v>
      </c>
      <c r="D907">
        <v>91.01</v>
      </c>
      <c r="E907">
        <v>93.4</v>
      </c>
      <c r="F907">
        <v>7928.6337899999999</v>
      </c>
      <c r="G907">
        <v>0</v>
      </c>
      <c r="L907" t="s">
        <v>7</v>
      </c>
      <c r="M907" t="s">
        <v>8</v>
      </c>
      <c r="N907" t="s">
        <v>8</v>
      </c>
      <c r="P907">
        <f t="shared" si="1014"/>
        <v>-4.208416833667214E-2</v>
      </c>
      <c r="Q907">
        <f t="shared" si="1015"/>
        <v>-333.66995909818684</v>
      </c>
      <c r="R907">
        <f t="shared" si="1016"/>
        <v>139368.09490877151</v>
      </c>
      <c r="S907">
        <f t="shared" si="1017"/>
        <v>1.3936809490877151</v>
      </c>
      <c r="T907">
        <f t="shared" si="1018"/>
        <v>1.3936809490877151E-3</v>
      </c>
    </row>
    <row r="908" spans="1:20" x14ac:dyDescent="0.25">
      <c r="A908" s="5">
        <v>43685</v>
      </c>
      <c r="B908">
        <v>97.43</v>
      </c>
      <c r="C908">
        <v>97.92</v>
      </c>
      <c r="D908">
        <v>91.44</v>
      </c>
      <c r="E908">
        <v>95.55</v>
      </c>
      <c r="F908">
        <v>10203.960160000001</v>
      </c>
      <c r="G908">
        <v>0</v>
      </c>
      <c r="L908" t="s">
        <v>8</v>
      </c>
      <c r="M908" t="s">
        <v>8</v>
      </c>
      <c r="N908" t="s">
        <v>8</v>
      </c>
      <c r="P908">
        <f t="shared" si="1014"/>
        <v>0.26851851851851755</v>
      </c>
      <c r="Q908">
        <f t="shared" si="1015"/>
        <v>2739.9522651851753</v>
      </c>
      <c r="R908">
        <f t="shared" si="1016"/>
        <v>139701.7648678697</v>
      </c>
      <c r="S908">
        <f t="shared" si="1017"/>
        <v>1.3970176486786969</v>
      </c>
      <c r="T908">
        <f t="shared" si="1018"/>
        <v>1.3970176486786969E-3</v>
      </c>
    </row>
    <row r="909" spans="1:20" x14ac:dyDescent="0.25">
      <c r="A909" s="5">
        <v>43684</v>
      </c>
      <c r="B909">
        <v>89.64</v>
      </c>
      <c r="C909">
        <v>98.1</v>
      </c>
      <c r="D909">
        <v>88.99</v>
      </c>
      <c r="E909">
        <v>97.43</v>
      </c>
      <c r="F909">
        <v>11463.554550000001</v>
      </c>
      <c r="G909">
        <v>0</v>
      </c>
      <c r="L909" t="s">
        <v>8</v>
      </c>
      <c r="M909" t="s">
        <v>8</v>
      </c>
      <c r="N909" t="s">
        <v>8</v>
      </c>
      <c r="P909">
        <f t="shared" si="1014"/>
        <v>0.85290889132821346</v>
      </c>
      <c r="Q909">
        <f t="shared" si="1015"/>
        <v>9777.3676019209979</v>
      </c>
      <c r="R909">
        <f t="shared" si="1016"/>
        <v>136961.81260268451</v>
      </c>
      <c r="S909">
        <f t="shared" si="1017"/>
        <v>1.3696181260268452</v>
      </c>
      <c r="T909">
        <f t="shared" si="1018"/>
        <v>1.3696181260268452E-3</v>
      </c>
    </row>
    <row r="910" spans="1:20" x14ac:dyDescent="0.25">
      <c r="A910" s="5">
        <v>43683</v>
      </c>
      <c r="B910">
        <v>93.51</v>
      </c>
      <c r="C910">
        <v>96.7</v>
      </c>
      <c r="D910">
        <v>88</v>
      </c>
      <c r="E910">
        <v>89.9</v>
      </c>
      <c r="F910">
        <v>9765.3187699999999</v>
      </c>
      <c r="G910">
        <v>0</v>
      </c>
      <c r="L910" t="s">
        <v>8</v>
      </c>
      <c r="M910" t="s">
        <v>8</v>
      </c>
      <c r="N910" t="s">
        <v>7</v>
      </c>
      <c r="P910">
        <f t="shared" si="1014"/>
        <v>-0.56321839080459657</v>
      </c>
      <c r="Q910">
        <f t="shared" si="1015"/>
        <v>-5500.0071233333219</v>
      </c>
      <c r="R910">
        <f t="shared" si="1016"/>
        <v>127184.44500076352</v>
      </c>
      <c r="S910">
        <f t="shared" si="1017"/>
        <v>1.2718444500076351</v>
      </c>
      <c r="T910">
        <f t="shared" si="1018"/>
        <v>1.2718444500076352E-3</v>
      </c>
    </row>
    <row r="911" spans="1:20" x14ac:dyDescent="0.25">
      <c r="A911" s="5">
        <v>43682</v>
      </c>
      <c r="B911">
        <v>87.66</v>
      </c>
      <c r="C911">
        <v>95</v>
      </c>
      <c r="D911">
        <v>87.63</v>
      </c>
      <c r="E911">
        <v>93.55</v>
      </c>
      <c r="F911">
        <v>12038.27369</v>
      </c>
      <c r="G911">
        <v>0</v>
      </c>
      <c r="L911" t="s">
        <v>8</v>
      </c>
      <c r="M911" t="s">
        <v>8</v>
      </c>
      <c r="N911" t="s">
        <v>7</v>
      </c>
      <c r="P911">
        <f t="shared" si="1014"/>
        <v>0.60651289009497911</v>
      </c>
      <c r="Q911">
        <f t="shared" si="1015"/>
        <v>7301.3681674762483</v>
      </c>
      <c r="R911">
        <f t="shared" si="1016"/>
        <v>132684.45212409683</v>
      </c>
      <c r="S911">
        <f t="shared" si="1017"/>
        <v>1.3268445212409683</v>
      </c>
      <c r="T911">
        <f t="shared" si="1018"/>
        <v>1.3268445212409683E-3</v>
      </c>
    </row>
    <row r="912" spans="1:20" x14ac:dyDescent="0.25">
      <c r="A912" s="5">
        <v>43681</v>
      </c>
      <c r="B912">
        <v>87.9</v>
      </c>
      <c r="C912">
        <v>88.9</v>
      </c>
      <c r="D912">
        <v>85.39</v>
      </c>
      <c r="E912">
        <v>87.76</v>
      </c>
      <c r="F912">
        <v>8305.2264400000004</v>
      </c>
      <c r="G912">
        <v>0</v>
      </c>
      <c r="L912" t="s">
        <v>8</v>
      </c>
      <c r="M912" t="s">
        <v>8</v>
      </c>
      <c r="N912" t="s">
        <v>7</v>
      </c>
      <c r="P912">
        <f t="shared" si="1014"/>
        <v>0.35042735042735107</v>
      </c>
      <c r="Q912">
        <f t="shared" si="1015"/>
        <v>2910.3784960683815</v>
      </c>
      <c r="R912">
        <f t="shared" si="1016"/>
        <v>125383.08395662058</v>
      </c>
      <c r="S912">
        <f t="shared" si="1017"/>
        <v>1.2538308395662059</v>
      </c>
      <c r="T912">
        <f t="shared" si="1018"/>
        <v>1.2538308395662059E-3</v>
      </c>
    </row>
    <row r="913" spans="1:20" x14ac:dyDescent="0.25">
      <c r="A913" s="5">
        <v>43680</v>
      </c>
      <c r="B913">
        <v>84.1</v>
      </c>
      <c r="C913">
        <v>88.14</v>
      </c>
      <c r="D913">
        <v>83.95</v>
      </c>
      <c r="E913">
        <v>88.03</v>
      </c>
      <c r="F913">
        <v>6127.2477099999996</v>
      </c>
      <c r="G913">
        <v>0</v>
      </c>
      <c r="L913" t="s">
        <v>8</v>
      </c>
      <c r="M913" t="s">
        <v>8</v>
      </c>
      <c r="N913" t="s">
        <v>7</v>
      </c>
      <c r="P913">
        <f t="shared" si="1014"/>
        <v>0.94749403341288807</v>
      </c>
      <c r="Q913">
        <f t="shared" si="1015"/>
        <v>5805.5306464677815</v>
      </c>
      <c r="R913">
        <f t="shared" si="1016"/>
        <v>122472.7054605522</v>
      </c>
      <c r="S913">
        <f t="shared" si="1017"/>
        <v>1.224727054605522</v>
      </c>
      <c r="T913">
        <f t="shared" si="1018"/>
        <v>1.224727054605522E-3</v>
      </c>
    </row>
    <row r="914" spans="1:20" x14ac:dyDescent="0.25">
      <c r="A914" s="5">
        <v>43679</v>
      </c>
      <c r="B914">
        <v>82.18</v>
      </c>
      <c r="C914">
        <v>85.21</v>
      </c>
      <c r="D914">
        <v>81.489999999999995</v>
      </c>
      <c r="E914">
        <v>83.93</v>
      </c>
      <c r="F914">
        <v>5608.9858000000004</v>
      </c>
      <c r="G914">
        <v>0</v>
      </c>
      <c r="L914" t="s">
        <v>8</v>
      </c>
      <c r="M914" t="s">
        <v>8</v>
      </c>
      <c r="N914" t="s">
        <v>7</v>
      </c>
      <c r="P914">
        <f t="shared" si="1014"/>
        <v>0.31182795698925414</v>
      </c>
      <c r="Q914">
        <f t="shared" si="1015"/>
        <v>1749.0385827957373</v>
      </c>
      <c r="R914">
        <f t="shared" si="1016"/>
        <v>116667.17481408441</v>
      </c>
      <c r="S914">
        <f t="shared" si="1017"/>
        <v>1.1666717481408442</v>
      </c>
      <c r="T914">
        <f t="shared" si="1018"/>
        <v>1.1666717481408442E-3</v>
      </c>
    </row>
    <row r="915" spans="1:20" x14ac:dyDescent="0.25">
      <c r="A915" s="5">
        <v>43678</v>
      </c>
      <c r="B915">
        <v>80.64</v>
      </c>
      <c r="C915">
        <v>82.71</v>
      </c>
      <c r="D915">
        <v>79.650000000000006</v>
      </c>
      <c r="E915">
        <v>82.15</v>
      </c>
      <c r="F915">
        <v>4331.6859999999997</v>
      </c>
      <c r="G915">
        <v>0</v>
      </c>
      <c r="L915" t="s">
        <v>7</v>
      </c>
      <c r="M915" t="s">
        <v>8</v>
      </c>
      <c r="N915" t="s">
        <v>7</v>
      </c>
      <c r="P915">
        <f t="shared" si="1014"/>
        <v>0.63398692810458157</v>
      </c>
      <c r="Q915">
        <f t="shared" si="1015"/>
        <v>2746.2323006536221</v>
      </c>
      <c r="R915">
        <f t="shared" si="1016"/>
        <v>114918.13623128868</v>
      </c>
      <c r="S915">
        <f t="shared" si="1017"/>
        <v>1.1491813623128868</v>
      </c>
      <c r="T915">
        <f t="shared" si="1018"/>
        <v>1.1491813623128867E-3</v>
      </c>
    </row>
    <row r="916" spans="1:20" x14ac:dyDescent="0.25">
      <c r="A916" s="5">
        <v>43677</v>
      </c>
      <c r="B916">
        <v>78.09</v>
      </c>
      <c r="C916">
        <v>82.67</v>
      </c>
      <c r="D916">
        <v>77.84</v>
      </c>
      <c r="E916">
        <v>80.459999999999994</v>
      </c>
      <c r="F916">
        <v>6797.22768</v>
      </c>
      <c r="G916">
        <v>0</v>
      </c>
      <c r="L916" t="s">
        <v>7</v>
      </c>
      <c r="M916" t="s">
        <v>8</v>
      </c>
      <c r="N916" t="s">
        <v>7</v>
      </c>
      <c r="P916">
        <f t="shared" si="1014"/>
        <v>8.488612836438561E-2</v>
      </c>
      <c r="Q916">
        <f t="shared" si="1015"/>
        <v>576.99034136643502</v>
      </c>
      <c r="R916">
        <f t="shared" si="1016"/>
        <v>112171.90393063506</v>
      </c>
      <c r="S916">
        <f t="shared" si="1017"/>
        <v>1.1217190393063505</v>
      </c>
      <c r="T916">
        <f t="shared" si="1018"/>
        <v>1.1217190393063505E-3</v>
      </c>
    </row>
    <row r="917" spans="1:20" x14ac:dyDescent="0.25">
      <c r="A917" s="5">
        <v>43676</v>
      </c>
      <c r="B917">
        <v>78</v>
      </c>
      <c r="C917">
        <v>80.83</v>
      </c>
      <c r="D917">
        <v>77.47</v>
      </c>
      <c r="E917">
        <v>78.239999999999995</v>
      </c>
      <c r="F917">
        <v>5545.1582099999996</v>
      </c>
      <c r="G917">
        <v>0</v>
      </c>
      <c r="L917" t="s">
        <v>7</v>
      </c>
      <c r="M917" t="s">
        <v>8</v>
      </c>
      <c r="N917" t="s">
        <v>7</v>
      </c>
      <c r="P917">
        <f t="shared" si="1014"/>
        <v>-0.54166666666666896</v>
      </c>
      <c r="Q917">
        <f t="shared" si="1015"/>
        <v>-3003.6273637500126</v>
      </c>
      <c r="R917">
        <f t="shared" si="1016"/>
        <v>111594.91358926863</v>
      </c>
      <c r="S917">
        <f t="shared" si="1017"/>
        <v>1.1159491358926863</v>
      </c>
      <c r="T917">
        <f t="shared" si="1018"/>
        <v>1.1159491358926862E-3</v>
      </c>
    </row>
    <row r="918" spans="1:20" x14ac:dyDescent="0.25">
      <c r="A918" s="5">
        <v>43675</v>
      </c>
      <c r="B918">
        <v>80.31</v>
      </c>
      <c r="C918">
        <v>81.69</v>
      </c>
      <c r="D918">
        <v>77.73</v>
      </c>
      <c r="E918">
        <v>78.28</v>
      </c>
      <c r="F918">
        <v>4605.3241099999996</v>
      </c>
      <c r="G918">
        <v>0</v>
      </c>
      <c r="L918" t="s">
        <v>7</v>
      </c>
      <c r="M918" t="s">
        <v>8</v>
      </c>
      <c r="N918" t="s">
        <v>7</v>
      </c>
      <c r="P918">
        <f t="shared" si="1014"/>
        <v>-0.72222222222222321</v>
      </c>
      <c r="Q918">
        <f t="shared" si="1015"/>
        <v>-3326.067412777782</v>
      </c>
      <c r="R918">
        <f t="shared" si="1016"/>
        <v>114598.54095301864</v>
      </c>
      <c r="S918">
        <f t="shared" si="1017"/>
        <v>1.1459854095301865</v>
      </c>
      <c r="T918">
        <f t="shared" si="1018"/>
        <v>1.1459854095301864E-3</v>
      </c>
    </row>
    <row r="919" spans="1:20" x14ac:dyDescent="0.25">
      <c r="A919" s="5">
        <v>43674</v>
      </c>
      <c r="B919">
        <v>78.849999999999994</v>
      </c>
      <c r="C919">
        <v>83.66</v>
      </c>
      <c r="D919">
        <v>77.180000000000007</v>
      </c>
      <c r="E919">
        <v>80.180000000000007</v>
      </c>
      <c r="F919">
        <v>5220.1332700000003</v>
      </c>
      <c r="G919">
        <v>0</v>
      </c>
      <c r="L919" t="s">
        <v>8</v>
      </c>
      <c r="M919" t="s">
        <v>8</v>
      </c>
      <c r="N919" t="s">
        <v>7</v>
      </c>
      <c r="P919">
        <f t="shared" si="1014"/>
        <v>-7.4074074074072613E-2</v>
      </c>
      <c r="Q919">
        <f t="shared" si="1015"/>
        <v>-386.67653851851094</v>
      </c>
      <c r="R919">
        <f t="shared" si="1016"/>
        <v>117924.60836579643</v>
      </c>
      <c r="S919">
        <f t="shared" si="1017"/>
        <v>1.1792460836579644</v>
      </c>
      <c r="T919">
        <f t="shared" si="1018"/>
        <v>1.1792460836579644E-3</v>
      </c>
    </row>
    <row r="920" spans="1:20" x14ac:dyDescent="0.25">
      <c r="A920" s="5">
        <v>43673</v>
      </c>
      <c r="B920">
        <v>80.099999999999994</v>
      </c>
      <c r="C920">
        <v>83.19</v>
      </c>
      <c r="D920">
        <v>77.430000000000007</v>
      </c>
      <c r="E920">
        <v>78.89</v>
      </c>
      <c r="F920">
        <v>7304.9618899999996</v>
      </c>
      <c r="G920">
        <v>0</v>
      </c>
      <c r="L920" t="s">
        <v>7</v>
      </c>
      <c r="M920" t="s">
        <v>8</v>
      </c>
      <c r="N920" t="s">
        <v>7</v>
      </c>
      <c r="P920">
        <f t="shared" si="1014"/>
        <v>-0.49305555555555691</v>
      </c>
      <c r="Q920">
        <f t="shared" si="1015"/>
        <v>-3601.7520429861206</v>
      </c>
      <c r="R920">
        <f t="shared" si="1016"/>
        <v>118311.28490431495</v>
      </c>
      <c r="S920">
        <f t="shared" si="1017"/>
        <v>1.1831128490431495</v>
      </c>
      <c r="T920">
        <f t="shared" si="1018"/>
        <v>1.1831128490431494E-3</v>
      </c>
    </row>
    <row r="921" spans="1:20" x14ac:dyDescent="0.25">
      <c r="A921" s="5">
        <v>43672</v>
      </c>
      <c r="B921">
        <v>80.95</v>
      </c>
      <c r="C921">
        <v>81.37</v>
      </c>
      <c r="D921">
        <v>78.48</v>
      </c>
      <c r="E921">
        <v>80.2</v>
      </c>
      <c r="F921">
        <v>7363.37644</v>
      </c>
      <c r="G921">
        <v>0</v>
      </c>
      <c r="L921" t="s">
        <v>7</v>
      </c>
      <c r="M921" t="s">
        <v>8</v>
      </c>
      <c r="N921" t="s">
        <v>7</v>
      </c>
      <c r="P921">
        <f t="shared" si="1014"/>
        <v>0.19031141868512008</v>
      </c>
      <c r="Q921">
        <f t="shared" si="1015"/>
        <v>1401.3346166089889</v>
      </c>
      <c r="R921">
        <f t="shared" si="1016"/>
        <v>121913.03694730107</v>
      </c>
      <c r="S921">
        <f t="shared" si="1017"/>
        <v>1.2191303694730107</v>
      </c>
      <c r="T921">
        <f t="shared" si="1018"/>
        <v>1.2191303694730107E-3</v>
      </c>
    </row>
    <row r="922" spans="1:20" x14ac:dyDescent="0.25">
      <c r="A922" s="5">
        <v>43671</v>
      </c>
      <c r="B922">
        <v>80.319999999999993</v>
      </c>
      <c r="C922">
        <v>83.67</v>
      </c>
      <c r="D922">
        <v>80.25</v>
      </c>
      <c r="E922">
        <v>81.040000000000006</v>
      </c>
      <c r="F922">
        <v>5326.4508800000003</v>
      </c>
      <c r="G922">
        <v>0</v>
      </c>
      <c r="L922" t="s">
        <v>7</v>
      </c>
      <c r="M922" t="s">
        <v>8</v>
      </c>
      <c r="N922" t="s">
        <v>7</v>
      </c>
      <c r="P922">
        <f t="shared" si="1014"/>
        <v>-0.53801169590642928</v>
      </c>
      <c r="Q922">
        <f t="shared" si="1015"/>
        <v>-2865.6928711110927</v>
      </c>
      <c r="R922">
        <f t="shared" si="1016"/>
        <v>120511.70233069207</v>
      </c>
      <c r="S922">
        <f t="shared" si="1017"/>
        <v>1.2051170233069208</v>
      </c>
      <c r="T922">
        <f t="shared" si="1018"/>
        <v>1.2051170233069208E-3</v>
      </c>
    </row>
    <row r="923" spans="1:20" x14ac:dyDescent="0.25">
      <c r="A923" s="5">
        <v>43670</v>
      </c>
      <c r="B923">
        <v>81.010000000000005</v>
      </c>
      <c r="C923">
        <v>82.18</v>
      </c>
      <c r="D923">
        <v>78.39</v>
      </c>
      <c r="E923">
        <v>80.44</v>
      </c>
      <c r="F923">
        <v>6680.75108</v>
      </c>
      <c r="G923">
        <v>0</v>
      </c>
      <c r="L923" t="s">
        <v>7</v>
      </c>
      <c r="M923" t="s">
        <v>8</v>
      </c>
      <c r="N923" t="s">
        <v>7</v>
      </c>
      <c r="P923">
        <f t="shared" si="1014"/>
        <v>8.1794195250656343E-2</v>
      </c>
      <c r="Q923">
        <f t="shared" si="1015"/>
        <v>546.44665825855327</v>
      </c>
      <c r="R923">
        <f t="shared" si="1016"/>
        <v>123377.39520180317</v>
      </c>
      <c r="S923">
        <f t="shared" si="1017"/>
        <v>1.2337739520180317</v>
      </c>
      <c r="T923">
        <f t="shared" si="1018"/>
        <v>1.2337739520180318E-3</v>
      </c>
    </row>
    <row r="924" spans="1:20" x14ac:dyDescent="0.25">
      <c r="A924" s="5">
        <v>43669</v>
      </c>
      <c r="B924">
        <v>83.43</v>
      </c>
      <c r="C924">
        <v>84.03</v>
      </c>
      <c r="D924">
        <v>80.16</v>
      </c>
      <c r="E924">
        <v>81.09</v>
      </c>
      <c r="F924">
        <v>6902.2249199999997</v>
      </c>
      <c r="G924">
        <v>0</v>
      </c>
      <c r="L924" t="s">
        <v>7</v>
      </c>
      <c r="M924" t="s">
        <v>8</v>
      </c>
      <c r="N924" t="s">
        <v>7</v>
      </c>
      <c r="P924">
        <f t="shared" si="1014"/>
        <v>-0.51937984496123735</v>
      </c>
      <c r="Q924">
        <f t="shared" si="1015"/>
        <v>-3584.8765088371888</v>
      </c>
      <c r="R924">
        <f t="shared" si="1016"/>
        <v>122830.94854354461</v>
      </c>
      <c r="S924">
        <f t="shared" si="1017"/>
        <v>1.2283094854354462</v>
      </c>
      <c r="T924">
        <f t="shared" si="1018"/>
        <v>1.2283094854354461E-3</v>
      </c>
    </row>
    <row r="925" spans="1:20" x14ac:dyDescent="0.25">
      <c r="A925" s="5">
        <v>43668</v>
      </c>
      <c r="B925">
        <v>84.23</v>
      </c>
      <c r="C925">
        <v>85.57</v>
      </c>
      <c r="D925">
        <v>81.06</v>
      </c>
      <c r="E925">
        <v>83.48</v>
      </c>
      <c r="F925">
        <v>8944.7324499999995</v>
      </c>
      <c r="G925">
        <v>0</v>
      </c>
      <c r="L925" t="s">
        <v>7</v>
      </c>
      <c r="M925" t="s">
        <v>8</v>
      </c>
      <c r="N925" t="s">
        <v>7</v>
      </c>
      <c r="P925">
        <f t="shared" si="1014"/>
        <v>7.3170731707319997E-2</v>
      </c>
      <c r="Q925">
        <f t="shared" si="1015"/>
        <v>654.49261829270904</v>
      </c>
      <c r="R925">
        <f t="shared" si="1016"/>
        <v>126415.8250523818</v>
      </c>
      <c r="S925">
        <f t="shared" si="1017"/>
        <v>1.264158250523818</v>
      </c>
      <c r="T925">
        <f t="shared" si="1018"/>
        <v>1.2641582505238181E-3</v>
      </c>
    </row>
    <row r="926" spans="1:20" x14ac:dyDescent="0.25">
      <c r="A926" s="5">
        <v>43667</v>
      </c>
      <c r="B926">
        <v>84.89</v>
      </c>
      <c r="C926">
        <v>88.14</v>
      </c>
      <c r="D926">
        <v>83.12</v>
      </c>
      <c r="E926">
        <v>84.1</v>
      </c>
      <c r="F926">
        <v>7252.2270500000004</v>
      </c>
      <c r="G926">
        <v>0</v>
      </c>
      <c r="L926" t="s">
        <v>8</v>
      </c>
      <c r="M926" t="s">
        <v>8</v>
      </c>
      <c r="N926" t="s">
        <v>7</v>
      </c>
      <c r="P926">
        <f t="shared" si="1014"/>
        <v>-0.6095617529880516</v>
      </c>
      <c r="Q926">
        <f t="shared" si="1015"/>
        <v>-4420.6802336653664</v>
      </c>
      <c r="R926">
        <f t="shared" si="1016"/>
        <v>125761.33243408908</v>
      </c>
      <c r="S926">
        <f t="shared" si="1017"/>
        <v>1.2576133243408909</v>
      </c>
      <c r="T926">
        <f t="shared" si="1018"/>
        <v>1.2576133243408908E-3</v>
      </c>
    </row>
    <row r="927" spans="1:20" x14ac:dyDescent="0.25">
      <c r="A927" s="5">
        <v>43666</v>
      </c>
      <c r="B927">
        <v>82.05</v>
      </c>
      <c r="C927">
        <v>87.73</v>
      </c>
      <c r="D927">
        <v>81.37</v>
      </c>
      <c r="E927">
        <v>85.35</v>
      </c>
      <c r="F927">
        <v>14521.37357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0.25157232704402205</v>
      </c>
      <c r="Q927">
        <f t="shared" si="1015"/>
        <v>3653.1757408804579</v>
      </c>
      <c r="R927">
        <f t="shared" si="1016"/>
        <v>130182.01266775445</v>
      </c>
      <c r="S927">
        <f t="shared" si="1017"/>
        <v>1.3018201266775444</v>
      </c>
      <c r="T927">
        <f t="shared" si="1018"/>
        <v>1.3018201266775445E-3</v>
      </c>
    </row>
    <row r="928" spans="1:20" x14ac:dyDescent="0.25">
      <c r="A928" s="5">
        <v>43665</v>
      </c>
      <c r="B928">
        <v>83.83</v>
      </c>
      <c r="C928">
        <v>84.66</v>
      </c>
      <c r="D928">
        <v>80.180000000000007</v>
      </c>
      <c r="E928">
        <v>82.05</v>
      </c>
      <c r="F928">
        <v>17515.489369999999</v>
      </c>
      <c r="G928">
        <v>0</v>
      </c>
      <c r="L928" t="s">
        <v>8</v>
      </c>
      <c r="M928" t="s">
        <v>8</v>
      </c>
      <c r="N928" t="s">
        <v>7</v>
      </c>
      <c r="P928">
        <f t="shared" si="1014"/>
        <v>-0.16517857142857384</v>
      </c>
      <c r="Q928">
        <f t="shared" si="1015"/>
        <v>-2893.1835120089709</v>
      </c>
      <c r="R928">
        <f t="shared" si="1016"/>
        <v>126528.83692687399</v>
      </c>
      <c r="S928">
        <f t="shared" si="1017"/>
        <v>1.26528836926874</v>
      </c>
      <c r="T928">
        <f t="shared" si="1018"/>
        <v>1.26528836926874E-3</v>
      </c>
    </row>
    <row r="929" spans="1:20" x14ac:dyDescent="0.25">
      <c r="A929" s="5">
        <v>43664</v>
      </c>
      <c r="B929">
        <v>76.8</v>
      </c>
      <c r="C929">
        <v>85.7</v>
      </c>
      <c r="D929">
        <v>74.819999999999993</v>
      </c>
      <c r="E929">
        <v>84.06</v>
      </c>
      <c r="F929">
        <v>18391.318790000001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0.69852941176470607</v>
      </c>
      <c r="Q929">
        <f t="shared" si="1015"/>
        <v>12846.877095955886</v>
      </c>
      <c r="R929">
        <f t="shared" si="1016"/>
        <v>129422.02043888296</v>
      </c>
      <c r="S929">
        <f t="shared" si="1017"/>
        <v>1.2942202043888296</v>
      </c>
      <c r="T929">
        <f t="shared" si="1018"/>
        <v>1.2942202043888297E-3</v>
      </c>
    </row>
    <row r="930" spans="1:20" x14ac:dyDescent="0.25">
      <c r="A930" s="5">
        <v>43663</v>
      </c>
      <c r="B930">
        <v>74.25</v>
      </c>
      <c r="C930">
        <v>80.599999999999994</v>
      </c>
      <c r="D930">
        <v>71.8</v>
      </c>
      <c r="E930">
        <v>76.59</v>
      </c>
      <c r="F930">
        <v>22498.268800000002</v>
      </c>
      <c r="G930">
        <v>0</v>
      </c>
      <c r="L930" t="s">
        <v>7</v>
      </c>
      <c r="M930" t="s">
        <v>7</v>
      </c>
      <c r="N930" t="s">
        <v>7</v>
      </c>
      <c r="P930">
        <f t="shared" si="1014"/>
        <v>8.8636363636365414E-2</v>
      </c>
      <c r="Q930">
        <f t="shared" si="1015"/>
        <v>1994.1647345454946</v>
      </c>
      <c r="R930">
        <f t="shared" si="1016"/>
        <v>116575.14334292707</v>
      </c>
      <c r="S930">
        <f t="shared" si="1017"/>
        <v>1.1657514334292707</v>
      </c>
      <c r="T930">
        <f t="shared" si="1018"/>
        <v>1.1657514334292706E-3</v>
      </c>
    </row>
    <row r="931" spans="1:20" x14ac:dyDescent="0.25">
      <c r="A931" s="5">
        <v>43662</v>
      </c>
      <c r="B931">
        <v>88.84</v>
      </c>
      <c r="C931">
        <v>89.37</v>
      </c>
      <c r="D931">
        <v>73.5</v>
      </c>
      <c r="E931">
        <v>74.22</v>
      </c>
      <c r="F931">
        <v>21284.513129999999</v>
      </c>
      <c r="G931">
        <v>0</v>
      </c>
      <c r="L931" t="s">
        <v>7</v>
      </c>
      <c r="M931" t="s">
        <v>8</v>
      </c>
      <c r="N931" t="s">
        <v>7</v>
      </c>
      <c r="P931">
        <f t="shared" si="1014"/>
        <v>-0.90926275992438577</v>
      </c>
      <c r="Q931">
        <f t="shared" si="1015"/>
        <v>-19353.215152230627</v>
      </c>
      <c r="R931">
        <f t="shared" si="1016"/>
        <v>114580.97860838157</v>
      </c>
      <c r="S931">
        <f t="shared" si="1017"/>
        <v>1.1458097860838157</v>
      </c>
      <c r="T931">
        <f t="shared" si="1018"/>
        <v>1.1458097860838157E-3</v>
      </c>
    </row>
    <row r="932" spans="1:20" x14ac:dyDescent="0.25">
      <c r="A932" s="5">
        <v>43661</v>
      </c>
      <c r="B932">
        <v>85.94</v>
      </c>
      <c r="C932">
        <v>90.52</v>
      </c>
      <c r="D932">
        <v>76.010000000000005</v>
      </c>
      <c r="E932">
        <v>88.84</v>
      </c>
      <c r="F932">
        <v>29400.014190000002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0.76843556168159977</v>
      </c>
      <c r="Q932">
        <f t="shared" si="1015"/>
        <v>22592.016417539653</v>
      </c>
      <c r="R932">
        <f t="shared" si="1016"/>
        <v>133934.19376061219</v>
      </c>
      <c r="S932">
        <f t="shared" si="1017"/>
        <v>1.339341937606122</v>
      </c>
      <c r="T932">
        <f t="shared" si="1018"/>
        <v>1.3393419376061221E-3</v>
      </c>
    </row>
    <row r="933" spans="1:20" x14ac:dyDescent="0.25">
      <c r="A933" s="5">
        <v>43660</v>
      </c>
      <c r="B933">
        <v>93.39</v>
      </c>
      <c r="C933">
        <v>94.74</v>
      </c>
      <c r="D933">
        <v>85.01</v>
      </c>
      <c r="E933">
        <v>86.23</v>
      </c>
      <c r="F933">
        <v>21528.001799999998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-0.7492291880781089</v>
      </c>
      <c r="Q933">
        <f t="shared" si="1015"/>
        <v>-16129.407309558066</v>
      </c>
      <c r="R933">
        <f t="shared" si="1016"/>
        <v>111342.17734307253</v>
      </c>
      <c r="S933">
        <f t="shared" si="1017"/>
        <v>1.1134217734307252</v>
      </c>
      <c r="T933">
        <f t="shared" si="1018"/>
        <v>1.1134217734307251E-3</v>
      </c>
    </row>
    <row r="934" spans="1:20" x14ac:dyDescent="0.25">
      <c r="A934" s="5">
        <v>43659</v>
      </c>
      <c r="B934">
        <v>98.08</v>
      </c>
      <c r="C934">
        <v>98.08</v>
      </c>
      <c r="D934">
        <v>89.03</v>
      </c>
      <c r="E934">
        <v>93.49</v>
      </c>
      <c r="F934">
        <v>11241.95235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-1.4364640883978973E-2</v>
      </c>
      <c r="Q934">
        <f t="shared" si="1015"/>
        <v>-161.4866083425535</v>
      </c>
      <c r="R934">
        <f t="shared" si="1016"/>
        <v>127471.5846526306</v>
      </c>
      <c r="S934">
        <f t="shared" si="1017"/>
        <v>1.274715846526306</v>
      </c>
      <c r="T934">
        <f t="shared" si="1018"/>
        <v>1.2747158465263059E-3</v>
      </c>
    </row>
    <row r="935" spans="1:20" x14ac:dyDescent="0.25">
      <c r="A935" s="5">
        <v>43658</v>
      </c>
      <c r="B935">
        <v>89.76</v>
      </c>
      <c r="C935">
        <v>98.41</v>
      </c>
      <c r="D935">
        <v>86.13</v>
      </c>
      <c r="E935">
        <v>98.08</v>
      </c>
      <c r="F935">
        <v>10804.74301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0.94625407166123809</v>
      </c>
      <c r="Q935">
        <f t="shared" si="1015"/>
        <v>10224.032066465801</v>
      </c>
      <c r="R935">
        <f t="shared" si="1016"/>
        <v>127633.07126097316</v>
      </c>
      <c r="S935">
        <f t="shared" si="1017"/>
        <v>1.2763307126097316</v>
      </c>
      <c r="T935">
        <f t="shared" si="1018"/>
        <v>1.2763307126097316E-3</v>
      </c>
    </row>
    <row r="936" spans="1:20" x14ac:dyDescent="0.25">
      <c r="A936" s="5">
        <v>43657</v>
      </c>
      <c r="B936">
        <v>95</v>
      </c>
      <c r="C936">
        <v>95.37</v>
      </c>
      <c r="D936">
        <v>87.3</v>
      </c>
      <c r="E936">
        <v>89.75</v>
      </c>
      <c r="F936">
        <v>14751.40184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-0.3928128872366789</v>
      </c>
      <c r="Q936">
        <f t="shared" si="1015"/>
        <v>-5794.5407475588581</v>
      </c>
      <c r="R936">
        <f t="shared" si="1016"/>
        <v>117409.03919450735</v>
      </c>
      <c r="S936">
        <f t="shared" si="1017"/>
        <v>1.1740903919450736</v>
      </c>
      <c r="T936">
        <f t="shared" si="1018"/>
        <v>1.1740903919450736E-3</v>
      </c>
    </row>
    <row r="937" spans="1:20" x14ac:dyDescent="0.25">
      <c r="A937" s="5">
        <v>43656</v>
      </c>
      <c r="B937">
        <v>99.35</v>
      </c>
      <c r="C937">
        <v>101.82</v>
      </c>
      <c r="D937">
        <v>92.47</v>
      </c>
      <c r="E937">
        <v>95</v>
      </c>
      <c r="F937">
        <v>15019.712320000001</v>
      </c>
      <c r="G937">
        <v>0</v>
      </c>
      <c r="L937" t="s">
        <v>7</v>
      </c>
      <c r="M937" t="s">
        <v>8</v>
      </c>
      <c r="N937" t="s">
        <v>7</v>
      </c>
      <c r="P937">
        <f t="shared" si="1014"/>
        <v>-0.45882352941176413</v>
      </c>
      <c r="Q937">
        <f t="shared" si="1015"/>
        <v>-6891.3974174117566</v>
      </c>
      <c r="R937">
        <f t="shared" si="1016"/>
        <v>123203.57994206621</v>
      </c>
      <c r="S937">
        <f t="shared" si="1017"/>
        <v>1.2320357994206621</v>
      </c>
      <c r="T937">
        <f t="shared" si="1018"/>
        <v>1.2320357994206621E-3</v>
      </c>
    </row>
    <row r="938" spans="1:20" x14ac:dyDescent="0.25">
      <c r="A938" s="5">
        <v>43655</v>
      </c>
      <c r="B938">
        <v>101.16</v>
      </c>
      <c r="C938">
        <v>104.67</v>
      </c>
      <c r="D938">
        <v>97.42</v>
      </c>
      <c r="E938">
        <v>99.35</v>
      </c>
      <c r="F938">
        <v>11394.176890000001</v>
      </c>
      <c r="G938">
        <v>0</v>
      </c>
      <c r="L938" t="s">
        <v>7</v>
      </c>
      <c r="M938" t="s">
        <v>8</v>
      </c>
      <c r="N938" t="s">
        <v>7</v>
      </c>
      <c r="P938">
        <f t="shared" si="1014"/>
        <v>-0.46758620689655378</v>
      </c>
      <c r="Q938">
        <f t="shared" si="1015"/>
        <v>-5327.7599527034718</v>
      </c>
      <c r="R938">
        <f t="shared" si="1016"/>
        <v>130094.97735947797</v>
      </c>
      <c r="S938">
        <f t="shared" si="1017"/>
        <v>1.3009497735947797</v>
      </c>
      <c r="T938">
        <f t="shared" si="1018"/>
        <v>1.3009497735947796E-3</v>
      </c>
    </row>
    <row r="939" spans="1:20" x14ac:dyDescent="0.25">
      <c r="A939" s="5">
        <v>43654</v>
      </c>
      <c r="B939">
        <v>106.78</v>
      </c>
      <c r="C939">
        <v>107.4</v>
      </c>
      <c r="D939">
        <v>99.93</v>
      </c>
      <c r="E939">
        <v>101.15</v>
      </c>
      <c r="F939">
        <v>21365.030460000002</v>
      </c>
      <c r="G939">
        <v>0</v>
      </c>
      <c r="L939" t="s">
        <v>7</v>
      </c>
      <c r="M939" t="s">
        <v>8</v>
      </c>
      <c r="N939" t="s">
        <v>7</v>
      </c>
      <c r="P939">
        <f t="shared" si="1014"/>
        <v>-0.67336010709504712</v>
      </c>
      <c r="Q939">
        <f t="shared" si="1015"/>
        <v>-14386.359198634545</v>
      </c>
      <c r="R939">
        <f t="shared" si="1016"/>
        <v>135422.73731218145</v>
      </c>
      <c r="S939">
        <f t="shared" si="1017"/>
        <v>1.3542273731218144</v>
      </c>
      <c r="T939">
        <f t="shared" si="1018"/>
        <v>1.3542273731218144E-3</v>
      </c>
    </row>
    <row r="940" spans="1:20" x14ac:dyDescent="0.25">
      <c r="A940" s="5">
        <v>43653</v>
      </c>
      <c r="B940">
        <v>94.58</v>
      </c>
      <c r="C940">
        <v>107.07</v>
      </c>
      <c r="D940">
        <v>93</v>
      </c>
      <c r="E940">
        <v>106.99</v>
      </c>
      <c r="F940">
        <v>19828.440999999999</v>
      </c>
      <c r="G940">
        <v>0</v>
      </c>
      <c r="L940" t="s">
        <v>8</v>
      </c>
      <c r="M940" t="s">
        <v>8</v>
      </c>
      <c r="N940" t="s">
        <v>7</v>
      </c>
      <c r="P940">
        <f t="shared" si="1014"/>
        <v>0.98862828713575002</v>
      </c>
      <c r="Q940">
        <f t="shared" si="1015"/>
        <v>19602.957662402277</v>
      </c>
      <c r="R940">
        <f t="shared" si="1016"/>
        <v>149809.09651081599</v>
      </c>
      <c r="S940">
        <f t="shared" si="1017"/>
        <v>1.49809096510816</v>
      </c>
      <c r="T940">
        <f t="shared" si="1018"/>
        <v>1.4980909651081599E-3</v>
      </c>
    </row>
    <row r="941" spans="1:20" x14ac:dyDescent="0.25">
      <c r="A941" s="5">
        <v>43652</v>
      </c>
      <c r="B941">
        <v>89.4</v>
      </c>
      <c r="C941">
        <v>98.98</v>
      </c>
      <c r="D941">
        <v>89.39</v>
      </c>
      <c r="E941">
        <v>94.65</v>
      </c>
      <c r="F941">
        <v>25713.193289999999</v>
      </c>
      <c r="G941">
        <v>0</v>
      </c>
      <c r="L941" t="s">
        <v>8</v>
      </c>
      <c r="M941" t="s">
        <v>8</v>
      </c>
      <c r="N941" t="s">
        <v>7</v>
      </c>
      <c r="P941">
        <f t="shared" si="1014"/>
        <v>9.6976016684046554E-2</v>
      </c>
      <c r="Q941">
        <f t="shared" si="1015"/>
        <v>2493.5630614911538</v>
      </c>
      <c r="R941">
        <f t="shared" si="1016"/>
        <v>130206.1388484137</v>
      </c>
      <c r="S941">
        <f t="shared" si="1017"/>
        <v>1.302061388484137</v>
      </c>
      <c r="T941">
        <f t="shared" si="1018"/>
        <v>1.302061388484137E-3</v>
      </c>
    </row>
    <row r="942" spans="1:20" x14ac:dyDescent="0.25">
      <c r="A942" s="5">
        <v>43651</v>
      </c>
      <c r="B942">
        <v>87.63</v>
      </c>
      <c r="C942">
        <v>92.65</v>
      </c>
      <c r="D942">
        <v>86.18</v>
      </c>
      <c r="E942">
        <v>89.45</v>
      </c>
      <c r="F942">
        <v>10878.139020000001</v>
      </c>
      <c r="G942">
        <v>0</v>
      </c>
      <c r="L942" t="s">
        <v>8</v>
      </c>
      <c r="M942" t="s">
        <v>7</v>
      </c>
      <c r="N942" t="s">
        <v>7</v>
      </c>
      <c r="P942">
        <f t="shared" si="1014"/>
        <v>1.0819165378669737E-2</v>
      </c>
      <c r="Q942">
        <f t="shared" si="1015"/>
        <v>117.69238506954034</v>
      </c>
      <c r="R942">
        <f t="shared" si="1016"/>
        <v>127712.57578692255</v>
      </c>
      <c r="S942">
        <f t="shared" si="1017"/>
        <v>1.2771257578692254</v>
      </c>
      <c r="T942">
        <f t="shared" si="1018"/>
        <v>1.2771257578692255E-3</v>
      </c>
    </row>
    <row r="943" spans="1:20" x14ac:dyDescent="0.25">
      <c r="A943" s="5">
        <v>43650</v>
      </c>
      <c r="B943">
        <v>89.93</v>
      </c>
      <c r="C943">
        <v>92.9</v>
      </c>
      <c r="D943">
        <v>87.14</v>
      </c>
      <c r="E943">
        <v>87.65</v>
      </c>
      <c r="F943">
        <v>14815.03405</v>
      </c>
      <c r="G943">
        <v>0</v>
      </c>
      <c r="L943" t="s">
        <v>8</v>
      </c>
      <c r="M943" t="s">
        <v>7</v>
      </c>
      <c r="N943" t="s">
        <v>7</v>
      </c>
      <c r="P943">
        <f t="shared" si="1014"/>
        <v>-0.82291666666666508</v>
      </c>
      <c r="Q943">
        <f t="shared" si="1015"/>
        <v>-12191.538436979143</v>
      </c>
      <c r="R943">
        <f t="shared" si="1016"/>
        <v>127594.883401853</v>
      </c>
      <c r="S943">
        <f t="shared" si="1017"/>
        <v>1.2759488340185301</v>
      </c>
      <c r="T943">
        <f t="shared" si="1018"/>
        <v>1.2759488340185301E-3</v>
      </c>
    </row>
    <row r="944" spans="1:20" x14ac:dyDescent="0.25">
      <c r="A944" s="5">
        <v>43649</v>
      </c>
      <c r="B944">
        <v>86.78</v>
      </c>
      <c r="C944">
        <v>92.4</v>
      </c>
      <c r="D944">
        <v>85.59</v>
      </c>
      <c r="E944">
        <v>89.84</v>
      </c>
      <c r="F944">
        <v>22812.011350000001</v>
      </c>
      <c r="G944">
        <v>0</v>
      </c>
      <c r="L944" t="s">
        <v>8</v>
      </c>
      <c r="M944" t="s">
        <v>7</v>
      </c>
      <c r="N944" t="s">
        <v>7</v>
      </c>
      <c r="P944">
        <f t="shared" si="1014"/>
        <v>0.24816446402349443</v>
      </c>
      <c r="Q944">
        <f t="shared" si="1015"/>
        <v>5661.1305699706218</v>
      </c>
      <c r="R944">
        <f t="shared" si="1016"/>
        <v>139786.42183883215</v>
      </c>
      <c r="S944">
        <f t="shared" si="1017"/>
        <v>1.3978642183883214</v>
      </c>
      <c r="T944">
        <f t="shared" si="1018"/>
        <v>1.3978642183883215E-3</v>
      </c>
    </row>
    <row r="945" spans="1:20" x14ac:dyDescent="0.25">
      <c r="A945" s="5">
        <v>43648</v>
      </c>
      <c r="B945">
        <v>88.96</v>
      </c>
      <c r="C945">
        <v>89.6</v>
      </c>
      <c r="D945">
        <v>82.43</v>
      </c>
      <c r="E945">
        <v>86.73</v>
      </c>
      <c r="F945">
        <v>21375.88579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0.19944211994421329</v>
      </c>
      <c r="Q945">
        <f t="shared" si="1015"/>
        <v>4263.2519776429845</v>
      </c>
      <c r="R945">
        <f t="shared" si="1016"/>
        <v>134125.29126886153</v>
      </c>
      <c r="S945">
        <f t="shared" si="1017"/>
        <v>1.3412529126886152</v>
      </c>
      <c r="T945">
        <f t="shared" si="1018"/>
        <v>1.3412529126886152E-3</v>
      </c>
    </row>
    <row r="946" spans="1:20" x14ac:dyDescent="0.25">
      <c r="A946" s="5">
        <v>43647</v>
      </c>
      <c r="B946">
        <v>88.74</v>
      </c>
      <c r="C946">
        <v>94.8</v>
      </c>
      <c r="D946">
        <v>84.14</v>
      </c>
      <c r="E946">
        <v>88.96</v>
      </c>
      <c r="F946">
        <v>25094.33496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-9.5684803001877164E-2</v>
      </c>
      <c r="Q946">
        <f t="shared" si="1015"/>
        <v>-2401.1464971107189</v>
      </c>
      <c r="R946">
        <f t="shared" si="1016"/>
        <v>129862.03929121853</v>
      </c>
      <c r="S946">
        <f t="shared" si="1017"/>
        <v>1.2986203929121853</v>
      </c>
      <c r="T946">
        <f t="shared" si="1018"/>
        <v>1.2986203929121853E-3</v>
      </c>
    </row>
    <row r="947" spans="1:20" x14ac:dyDescent="0.25">
      <c r="A947" s="5">
        <v>43646</v>
      </c>
      <c r="B947">
        <v>100.27</v>
      </c>
      <c r="C947">
        <v>100.96</v>
      </c>
      <c r="D947">
        <v>87.8</v>
      </c>
      <c r="E947">
        <v>88.71</v>
      </c>
      <c r="F947">
        <v>19417.206279999999</v>
      </c>
      <c r="G947">
        <v>0</v>
      </c>
      <c r="L947" t="s">
        <v>7</v>
      </c>
      <c r="M947" t="s">
        <v>7</v>
      </c>
      <c r="N947" t="s">
        <v>7</v>
      </c>
      <c r="P947">
        <f t="shared" si="1014"/>
        <v>-0.86170212765957499</v>
      </c>
      <c r="Q947">
        <f t="shared" si="1015"/>
        <v>-16731.847964680859</v>
      </c>
      <c r="R947">
        <f t="shared" si="1016"/>
        <v>132263.18578832925</v>
      </c>
      <c r="S947">
        <f t="shared" si="1017"/>
        <v>1.3226318578832925</v>
      </c>
      <c r="T947">
        <f t="shared" si="1018"/>
        <v>1.3226318578832925E-3</v>
      </c>
    </row>
    <row r="948" spans="1:20" x14ac:dyDescent="0.25">
      <c r="A948" s="5">
        <v>43645</v>
      </c>
      <c r="B948">
        <v>102</v>
      </c>
      <c r="C948">
        <v>102.09</v>
      </c>
      <c r="D948">
        <v>93.2</v>
      </c>
      <c r="E948">
        <v>99.93</v>
      </c>
      <c r="F948">
        <v>14519.59403</v>
      </c>
      <c r="G948">
        <v>0</v>
      </c>
      <c r="L948" t="s">
        <v>7</v>
      </c>
      <c r="M948" t="s">
        <v>7</v>
      </c>
      <c r="N948" t="s">
        <v>8</v>
      </c>
      <c r="P948">
        <f t="shared" si="1014"/>
        <v>0.5140607424071999</v>
      </c>
      <c r="Q948">
        <f t="shared" si="1015"/>
        <v>7463.9532865129477</v>
      </c>
      <c r="R948">
        <f t="shared" si="1016"/>
        <v>148995.03375301012</v>
      </c>
      <c r="S948">
        <f t="shared" si="1017"/>
        <v>1.4899503375301013</v>
      </c>
      <c r="T948">
        <f t="shared" si="1018"/>
        <v>1.4899503375301014E-3</v>
      </c>
    </row>
    <row r="949" spans="1:20" x14ac:dyDescent="0.25">
      <c r="A949" s="5">
        <v>43644</v>
      </c>
      <c r="B949">
        <v>96.39</v>
      </c>
      <c r="C949">
        <v>103</v>
      </c>
      <c r="D949">
        <v>94.28</v>
      </c>
      <c r="E949">
        <v>102.06</v>
      </c>
      <c r="F949">
        <v>23897.838759999999</v>
      </c>
      <c r="G949">
        <v>0</v>
      </c>
      <c r="L949" t="s">
        <v>8</v>
      </c>
      <c r="M949" t="s">
        <v>7</v>
      </c>
      <c r="N949" t="s">
        <v>8</v>
      </c>
      <c r="P949">
        <f t="shared" si="1014"/>
        <v>0.78440366972477116</v>
      </c>
      <c r="Q949">
        <f t="shared" si="1015"/>
        <v>18745.552421834873</v>
      </c>
      <c r="R949">
        <f t="shared" si="1016"/>
        <v>141531.08046649717</v>
      </c>
      <c r="S949">
        <f t="shared" si="1017"/>
        <v>1.4153108046649716</v>
      </c>
      <c r="T949">
        <f t="shared" si="1018"/>
        <v>1.4153108046649715E-3</v>
      </c>
    </row>
    <row r="950" spans="1:20" x14ac:dyDescent="0.25">
      <c r="A950" s="5">
        <v>43643</v>
      </c>
      <c r="B950">
        <v>105</v>
      </c>
      <c r="C950">
        <v>106.91</v>
      </c>
      <c r="D950">
        <v>89.31</v>
      </c>
      <c r="E950">
        <v>96.38</v>
      </c>
      <c r="F950">
        <v>45856.104670000001</v>
      </c>
      <c r="G950">
        <v>0</v>
      </c>
      <c r="L950" t="s">
        <v>7</v>
      </c>
      <c r="M950" t="s">
        <v>7</v>
      </c>
      <c r="N950" t="s">
        <v>8</v>
      </c>
      <c r="P950">
        <f t="shared" si="1014"/>
        <v>-0.19659090909090959</v>
      </c>
      <c r="Q950">
        <f t="shared" si="1015"/>
        <v>-9014.8933044432051</v>
      </c>
      <c r="R950">
        <f t="shared" si="1016"/>
        <v>122785.52804466228</v>
      </c>
      <c r="S950">
        <f t="shared" si="1017"/>
        <v>1.2278552804466227</v>
      </c>
      <c r="T950">
        <f t="shared" si="1018"/>
        <v>1.2278552804466227E-3</v>
      </c>
    </row>
    <row r="951" spans="1:20" x14ac:dyDescent="0.25">
      <c r="A951" s="5">
        <v>43642</v>
      </c>
      <c r="B951">
        <v>112.33</v>
      </c>
      <c r="C951">
        <v>114.43</v>
      </c>
      <c r="D951">
        <v>99.51</v>
      </c>
      <c r="E951">
        <v>105</v>
      </c>
      <c r="F951">
        <v>79140.387830000007</v>
      </c>
      <c r="G951">
        <v>0</v>
      </c>
      <c r="L951" t="s">
        <v>7</v>
      </c>
      <c r="M951" t="s">
        <v>7</v>
      </c>
      <c r="N951" t="s">
        <v>8</v>
      </c>
      <c r="P951">
        <f t="shared" si="1014"/>
        <v>-0.26407506702412947</v>
      </c>
      <c r="Q951">
        <f t="shared" si="1015"/>
        <v>-20899.003220522853</v>
      </c>
      <c r="R951">
        <f t="shared" si="1016"/>
        <v>131800.42134910548</v>
      </c>
      <c r="S951">
        <f t="shared" si="1017"/>
        <v>1.3180042134910548</v>
      </c>
      <c r="T951">
        <f t="shared" si="1018"/>
        <v>1.3180042134910547E-3</v>
      </c>
    </row>
    <row r="952" spans="1:20" x14ac:dyDescent="0.25">
      <c r="A952" s="5">
        <v>43641</v>
      </c>
      <c r="B952">
        <v>117.87</v>
      </c>
      <c r="C952">
        <v>118.39</v>
      </c>
      <c r="D952">
        <v>111.43</v>
      </c>
      <c r="E952">
        <v>112.3</v>
      </c>
      <c r="F952">
        <v>20565.13464</v>
      </c>
      <c r="G952">
        <v>0</v>
      </c>
      <c r="L952" t="s">
        <v>7</v>
      </c>
      <c r="M952" t="s">
        <v>8</v>
      </c>
      <c r="N952" t="s">
        <v>8</v>
      </c>
      <c r="P952">
        <f t="shared" si="1014"/>
        <v>-0.75000000000000255</v>
      </c>
      <c r="Q952">
        <f t="shared" si="1015"/>
        <v>-15423.850980000052</v>
      </c>
      <c r="R952">
        <f t="shared" si="1016"/>
        <v>152699.42456962835</v>
      </c>
      <c r="S952">
        <f t="shared" si="1017"/>
        <v>1.5269942456962835</v>
      </c>
      <c r="T952">
        <f t="shared" si="1018"/>
        <v>1.5269942456962835E-3</v>
      </c>
    </row>
    <row r="953" spans="1:20" x14ac:dyDescent="0.25">
      <c r="A953" s="5">
        <v>43640</v>
      </c>
      <c r="B953">
        <v>115.68</v>
      </c>
      <c r="C953">
        <v>119.98</v>
      </c>
      <c r="D953">
        <v>112.64</v>
      </c>
      <c r="E953">
        <v>117.86</v>
      </c>
      <c r="F953">
        <v>12161.42684</v>
      </c>
      <c r="G953">
        <v>0</v>
      </c>
      <c r="L953" t="s">
        <v>7</v>
      </c>
      <c r="M953" t="s">
        <v>8</v>
      </c>
      <c r="N953" t="s">
        <v>8</v>
      </c>
      <c r="P953">
        <f t="shared" si="1014"/>
        <v>0.42234332425068022</v>
      </c>
      <c r="Q953">
        <f t="shared" si="1015"/>
        <v>5136.2974392370452</v>
      </c>
      <c r="R953">
        <f t="shared" si="1016"/>
        <v>168123.27554962839</v>
      </c>
      <c r="S953">
        <f t="shared" si="1017"/>
        <v>1.681232755496284</v>
      </c>
      <c r="T953">
        <f t="shared" si="1018"/>
        <v>1.681232755496284E-3</v>
      </c>
    </row>
    <row r="954" spans="1:20" x14ac:dyDescent="0.25">
      <c r="A954" s="5">
        <v>43639</v>
      </c>
      <c r="B954">
        <v>115.65</v>
      </c>
      <c r="C954">
        <v>121.55</v>
      </c>
      <c r="D954">
        <v>114.21</v>
      </c>
      <c r="E954">
        <v>116.01</v>
      </c>
      <c r="F954">
        <v>14517.918729999999</v>
      </c>
      <c r="G954">
        <v>0</v>
      </c>
      <c r="L954" t="s">
        <v>8</v>
      </c>
      <c r="M954" t="s">
        <v>8</v>
      </c>
      <c r="N954" t="s">
        <v>8</v>
      </c>
      <c r="P954">
        <f t="shared" si="1014"/>
        <v>-0.5095367847411415</v>
      </c>
      <c r="Q954">
        <f t="shared" si="1015"/>
        <v>-7397.4136308173966</v>
      </c>
      <c r="R954">
        <f t="shared" si="1016"/>
        <v>162986.97811039136</v>
      </c>
      <c r="S954">
        <f t="shared" si="1017"/>
        <v>1.6298697811039136</v>
      </c>
      <c r="T954">
        <f t="shared" si="1018"/>
        <v>1.6298697811039135E-3</v>
      </c>
    </row>
    <row r="955" spans="1:20" x14ac:dyDescent="0.25">
      <c r="A955" s="5">
        <v>43638</v>
      </c>
      <c r="B955">
        <v>109.5</v>
      </c>
      <c r="C955">
        <v>119.07</v>
      </c>
      <c r="D955">
        <v>107.57</v>
      </c>
      <c r="E955">
        <v>115.48</v>
      </c>
      <c r="F955">
        <v>26341.549060000001</v>
      </c>
      <c r="G955">
        <v>0</v>
      </c>
      <c r="L955" t="s">
        <v>8</v>
      </c>
      <c r="M955" t="s">
        <v>8</v>
      </c>
      <c r="N955" t="s">
        <v>8</v>
      </c>
      <c r="P955">
        <f t="shared" si="1014"/>
        <v>0.37565217391304534</v>
      </c>
      <c r="Q955">
        <f t="shared" si="1015"/>
        <v>9895.2601686261369</v>
      </c>
      <c r="R955">
        <f t="shared" si="1016"/>
        <v>170384.39174120876</v>
      </c>
      <c r="S955">
        <f t="shared" si="1017"/>
        <v>1.7038439174120876</v>
      </c>
      <c r="T955">
        <f t="shared" si="1018"/>
        <v>1.7038439174120877E-3</v>
      </c>
    </row>
    <row r="956" spans="1:20" x14ac:dyDescent="0.25">
      <c r="A956" s="5">
        <v>43637</v>
      </c>
      <c r="B956">
        <v>105.24</v>
      </c>
      <c r="C956">
        <v>110.09</v>
      </c>
      <c r="D956">
        <v>105.24</v>
      </c>
      <c r="E956">
        <v>109.54</v>
      </c>
      <c r="F956">
        <v>20466.169249999999</v>
      </c>
      <c r="G956">
        <v>0</v>
      </c>
      <c r="L956" t="s">
        <v>8</v>
      </c>
      <c r="M956" t="s">
        <v>8</v>
      </c>
      <c r="N956" t="s">
        <v>8</v>
      </c>
      <c r="P956">
        <f t="shared" si="1014"/>
        <v>0.77319587628866138</v>
      </c>
      <c r="Q956">
        <f t="shared" si="1015"/>
        <v>15824.357667525805</v>
      </c>
      <c r="R956">
        <f t="shared" si="1016"/>
        <v>160489.13157258261</v>
      </c>
      <c r="S956">
        <f t="shared" si="1017"/>
        <v>1.6048913157258262</v>
      </c>
      <c r="T956">
        <f t="shared" si="1018"/>
        <v>1.6048913157258261E-3</v>
      </c>
    </row>
    <row r="957" spans="1:20" x14ac:dyDescent="0.25">
      <c r="A957" s="5">
        <v>43636</v>
      </c>
      <c r="B957">
        <v>100.37</v>
      </c>
      <c r="C957">
        <v>109.01</v>
      </c>
      <c r="D957">
        <v>99.73</v>
      </c>
      <c r="E957">
        <v>105.07</v>
      </c>
      <c r="F957">
        <v>30271.815129999999</v>
      </c>
      <c r="G957">
        <v>0</v>
      </c>
      <c r="L957" t="s">
        <v>8</v>
      </c>
      <c r="M957" t="s">
        <v>8</v>
      </c>
      <c r="N957" t="s">
        <v>8</v>
      </c>
      <c r="P957">
        <f t="shared" si="1014"/>
        <v>0.15086206896551477</v>
      </c>
      <c r="Q957">
        <f t="shared" si="1015"/>
        <v>4566.8686618533729</v>
      </c>
      <c r="R957">
        <f t="shared" si="1016"/>
        <v>144664.77390505682</v>
      </c>
      <c r="S957">
        <f t="shared" si="1017"/>
        <v>1.4466477390505681</v>
      </c>
      <c r="T957">
        <f t="shared" si="1018"/>
        <v>1.446647739050568E-3</v>
      </c>
    </row>
    <row r="958" spans="1:20" x14ac:dyDescent="0.25">
      <c r="A958" s="5">
        <v>43635</v>
      </c>
      <c r="B958">
        <v>96.49</v>
      </c>
      <c r="C958">
        <v>102.31</v>
      </c>
      <c r="D958">
        <v>95.81</v>
      </c>
      <c r="E958">
        <v>100.19</v>
      </c>
      <c r="F958">
        <v>17807.590489999999</v>
      </c>
      <c r="G958">
        <v>0</v>
      </c>
      <c r="L958" t="s">
        <v>8</v>
      </c>
      <c r="M958" t="s">
        <v>8</v>
      </c>
      <c r="N958" t="s">
        <v>8</v>
      </c>
      <c r="P958">
        <f t="shared" si="1014"/>
        <v>0.3476923076923063</v>
      </c>
      <c r="Q958">
        <f t="shared" si="1015"/>
        <v>6191.5622319076674</v>
      </c>
      <c r="R958">
        <f t="shared" si="1016"/>
        <v>140097.90524320345</v>
      </c>
      <c r="S958">
        <f t="shared" si="1017"/>
        <v>1.4009790524320345</v>
      </c>
      <c r="T958">
        <f t="shared" si="1018"/>
        <v>1.4009790524320345E-3</v>
      </c>
    </row>
    <row r="959" spans="1:20" x14ac:dyDescent="0.25">
      <c r="A959" s="5">
        <v>43634</v>
      </c>
      <c r="B959">
        <v>98.3</v>
      </c>
      <c r="C959">
        <v>98.98</v>
      </c>
      <c r="D959">
        <v>95.03</v>
      </c>
      <c r="E959">
        <v>96.49</v>
      </c>
      <c r="F959">
        <v>9353.8819399999993</v>
      </c>
      <c r="G959">
        <v>0</v>
      </c>
      <c r="L959" t="s">
        <v>8</v>
      </c>
      <c r="M959" t="s">
        <v>8</v>
      </c>
      <c r="N959" t="s">
        <v>8</v>
      </c>
      <c r="P959">
        <f t="shared" ref="P959:P1022" si="1019">IF(C959=D959,0,((E959-D959)-(C959-E959))/(C959-D959))</f>
        <v>-0.2607594936708898</v>
      </c>
      <c r="Q959">
        <f t="shared" ref="Q959:Q1022" si="1020">F959*P959</f>
        <v>-2439.1135185316803</v>
      </c>
      <c r="R959">
        <f t="shared" ref="R959:R1022" si="1021">R960+Q959</f>
        <v>133906.34301129577</v>
      </c>
      <c r="S959">
        <f t="shared" ref="S959:S1022" si="1022">R959/100000</f>
        <v>1.3390634301129578</v>
      </c>
      <c r="T959">
        <f t="shared" ref="T959:T1022" si="1023">S959/1000</f>
        <v>1.3390634301129578E-3</v>
      </c>
    </row>
    <row r="960" spans="1:20" x14ac:dyDescent="0.25">
      <c r="A960" s="5">
        <v>43633</v>
      </c>
      <c r="B960">
        <v>95.99</v>
      </c>
      <c r="C960">
        <v>99.68</v>
      </c>
      <c r="D960">
        <v>95.99</v>
      </c>
      <c r="E960">
        <v>98.71</v>
      </c>
      <c r="F960">
        <v>13294.6198</v>
      </c>
      <c r="G960">
        <v>0</v>
      </c>
      <c r="L960" t="s">
        <v>8</v>
      </c>
      <c r="M960" t="s">
        <v>8</v>
      </c>
      <c r="N960" t="s">
        <v>8</v>
      </c>
      <c r="P960">
        <f t="shared" si="1019"/>
        <v>0.47425474254742012</v>
      </c>
      <c r="Q960">
        <f t="shared" si="1020"/>
        <v>6305.0364905148344</v>
      </c>
      <c r="R960">
        <f t="shared" si="1021"/>
        <v>136345.45652982744</v>
      </c>
      <c r="S960">
        <f t="shared" si="1022"/>
        <v>1.3634545652982744</v>
      </c>
      <c r="T960">
        <f t="shared" si="1023"/>
        <v>1.3634545652982744E-3</v>
      </c>
    </row>
    <row r="961" spans="1:20" x14ac:dyDescent="0.25">
      <c r="A961" s="5">
        <v>43632</v>
      </c>
      <c r="B961">
        <v>94.85</v>
      </c>
      <c r="C961">
        <v>97.82</v>
      </c>
      <c r="D961">
        <v>93.8</v>
      </c>
      <c r="E961">
        <v>95.99</v>
      </c>
      <c r="F961">
        <v>10278.458409999999</v>
      </c>
      <c r="G961">
        <v>0</v>
      </c>
      <c r="L961" t="s">
        <v>8</v>
      </c>
      <c r="M961" t="s">
        <v>7</v>
      </c>
      <c r="N961" t="s">
        <v>8</v>
      </c>
      <c r="P961">
        <f t="shared" si="1019"/>
        <v>8.9552238805970102E-2</v>
      </c>
      <c r="Q961">
        <f t="shared" si="1020"/>
        <v>920.45896208955173</v>
      </c>
      <c r="R961">
        <f t="shared" si="1021"/>
        <v>130040.42003931261</v>
      </c>
      <c r="S961">
        <f t="shared" si="1022"/>
        <v>1.300404200393126</v>
      </c>
      <c r="T961">
        <f t="shared" si="1023"/>
        <v>1.3004042003931259E-3</v>
      </c>
    </row>
    <row r="962" spans="1:20" x14ac:dyDescent="0.25">
      <c r="A962" s="5">
        <v>43631</v>
      </c>
      <c r="B962">
        <v>90.52</v>
      </c>
      <c r="C962">
        <v>95.23</v>
      </c>
      <c r="D962">
        <v>89.78</v>
      </c>
      <c r="E962">
        <v>94.72</v>
      </c>
      <c r="F962">
        <v>14677.60094</v>
      </c>
      <c r="G962">
        <v>0</v>
      </c>
      <c r="L962" t="s">
        <v>8</v>
      </c>
      <c r="M962" t="s">
        <v>7</v>
      </c>
      <c r="N962" t="s">
        <v>8</v>
      </c>
      <c r="P962">
        <f t="shared" si="1019"/>
        <v>0.81284403669724592</v>
      </c>
      <c r="Q962">
        <f t="shared" si="1020"/>
        <v>11930.600397100892</v>
      </c>
      <c r="R962">
        <f t="shared" si="1021"/>
        <v>129119.96107722305</v>
      </c>
      <c r="S962">
        <f t="shared" si="1022"/>
        <v>1.2911996107722306</v>
      </c>
      <c r="T962">
        <f t="shared" si="1023"/>
        <v>1.2911996107722306E-3</v>
      </c>
    </row>
    <row r="963" spans="1:20" x14ac:dyDescent="0.25">
      <c r="A963" s="5">
        <v>43630</v>
      </c>
      <c r="B963">
        <v>89.35</v>
      </c>
      <c r="C963">
        <v>90.7</v>
      </c>
      <c r="D963">
        <v>87</v>
      </c>
      <c r="E963">
        <v>90.29</v>
      </c>
      <c r="F963">
        <v>10244.47299</v>
      </c>
      <c r="G963">
        <v>0</v>
      </c>
      <c r="L963" t="s">
        <v>8</v>
      </c>
      <c r="M963" t="s">
        <v>7</v>
      </c>
      <c r="N963" t="s">
        <v>8</v>
      </c>
      <c r="P963">
        <f t="shared" si="1019"/>
        <v>0.77837837837838042</v>
      </c>
      <c r="Q963">
        <f t="shared" si="1020"/>
        <v>7974.076273297318</v>
      </c>
      <c r="R963">
        <f t="shared" si="1021"/>
        <v>117189.36068012216</v>
      </c>
      <c r="S963">
        <f t="shared" si="1022"/>
        <v>1.1718936068012216</v>
      </c>
      <c r="T963">
        <f t="shared" si="1023"/>
        <v>1.1718936068012215E-3</v>
      </c>
    </row>
    <row r="964" spans="1:20" x14ac:dyDescent="0.25">
      <c r="A964" s="5">
        <v>43629</v>
      </c>
      <c r="B964">
        <v>90.1</v>
      </c>
      <c r="C964">
        <v>91.98</v>
      </c>
      <c r="D964">
        <v>89.01</v>
      </c>
      <c r="E964">
        <v>89.26</v>
      </c>
      <c r="F964">
        <v>10717.84928</v>
      </c>
      <c r="G964">
        <v>0</v>
      </c>
      <c r="L964" t="s">
        <v>8</v>
      </c>
      <c r="M964" t="s">
        <v>7</v>
      </c>
      <c r="N964" t="s">
        <v>8</v>
      </c>
      <c r="P964">
        <f t="shared" si="1019"/>
        <v>-0.83164983164983164</v>
      </c>
      <c r="Q964">
        <f t="shared" si="1020"/>
        <v>-8913.4975493602687</v>
      </c>
      <c r="R964">
        <f t="shared" si="1021"/>
        <v>109215.28440682484</v>
      </c>
      <c r="S964">
        <f t="shared" si="1022"/>
        <v>1.0921528440682484</v>
      </c>
      <c r="T964">
        <f t="shared" si="1023"/>
        <v>1.0921528440682483E-3</v>
      </c>
    </row>
    <row r="965" spans="1:20" x14ac:dyDescent="0.25">
      <c r="A965" s="5">
        <v>43628</v>
      </c>
      <c r="B965">
        <v>86.19</v>
      </c>
      <c r="C965">
        <v>90.14</v>
      </c>
      <c r="D965">
        <v>85.38</v>
      </c>
      <c r="E965">
        <v>90.1</v>
      </c>
      <c r="F965">
        <v>10887.793369999999</v>
      </c>
      <c r="G965">
        <v>0</v>
      </c>
      <c r="L965" t="s">
        <v>8</v>
      </c>
      <c r="M965" t="s">
        <v>7</v>
      </c>
      <c r="N965" t="s">
        <v>8</v>
      </c>
      <c r="P965">
        <f t="shared" si="1019"/>
        <v>0.98319327731092176</v>
      </c>
      <c r="Q965">
        <f t="shared" si="1020"/>
        <v>10704.805246134425</v>
      </c>
      <c r="R965">
        <f t="shared" si="1021"/>
        <v>118128.78195618511</v>
      </c>
      <c r="S965">
        <f t="shared" si="1022"/>
        <v>1.181287819561851</v>
      </c>
      <c r="T965">
        <f t="shared" si="1023"/>
        <v>1.1812878195618509E-3</v>
      </c>
    </row>
    <row r="966" spans="1:20" x14ac:dyDescent="0.25">
      <c r="A966" s="5">
        <v>43627</v>
      </c>
      <c r="B966">
        <v>86.72</v>
      </c>
      <c r="C966">
        <v>87.5</v>
      </c>
      <c r="D966">
        <v>85.28</v>
      </c>
      <c r="E966">
        <v>86.13</v>
      </c>
      <c r="F966">
        <v>6339.1791499999999</v>
      </c>
      <c r="G966">
        <v>0</v>
      </c>
      <c r="L966" t="s">
        <v>7</v>
      </c>
      <c r="M966" t="s">
        <v>7</v>
      </c>
      <c r="N966" t="s">
        <v>8</v>
      </c>
      <c r="P966">
        <f t="shared" si="1019"/>
        <v>-0.23423423423423897</v>
      </c>
      <c r="Q966">
        <f t="shared" si="1020"/>
        <v>-1484.852773873904</v>
      </c>
      <c r="R966">
        <f t="shared" si="1021"/>
        <v>107423.97671005069</v>
      </c>
      <c r="S966">
        <f t="shared" si="1022"/>
        <v>1.0742397671005068</v>
      </c>
      <c r="T966">
        <f t="shared" si="1023"/>
        <v>1.0742397671005069E-3</v>
      </c>
    </row>
    <row r="967" spans="1:20" x14ac:dyDescent="0.25">
      <c r="A967" s="5">
        <v>43626</v>
      </c>
      <c r="B967">
        <v>83.04</v>
      </c>
      <c r="C967">
        <v>87.36</v>
      </c>
      <c r="D967">
        <v>82.29</v>
      </c>
      <c r="E967">
        <v>86.72</v>
      </c>
      <c r="F967">
        <v>6575.9661599999999</v>
      </c>
      <c r="G967">
        <v>0</v>
      </c>
      <c r="L967" t="s">
        <v>7</v>
      </c>
      <c r="M967" t="s">
        <v>7</v>
      </c>
      <c r="N967" t="s">
        <v>8</v>
      </c>
      <c r="P967">
        <f t="shared" si="1019"/>
        <v>0.74753451676528548</v>
      </c>
      <c r="Q967">
        <f t="shared" si="1020"/>
        <v>4915.7616856804698</v>
      </c>
      <c r="R967">
        <f t="shared" si="1021"/>
        <v>108908.82948392459</v>
      </c>
      <c r="S967">
        <f t="shared" si="1022"/>
        <v>1.089088294839246</v>
      </c>
      <c r="T967">
        <f t="shared" si="1023"/>
        <v>1.0890882948392459E-3</v>
      </c>
    </row>
    <row r="968" spans="1:20" x14ac:dyDescent="0.25">
      <c r="A968" s="5">
        <v>43625</v>
      </c>
      <c r="B968">
        <v>87.29</v>
      </c>
      <c r="C968">
        <v>87.89</v>
      </c>
      <c r="D968">
        <v>82.07</v>
      </c>
      <c r="E968">
        <v>83.38</v>
      </c>
      <c r="F968">
        <v>9455.7415600000004</v>
      </c>
      <c r="G968">
        <v>0</v>
      </c>
      <c r="L968" t="s">
        <v>7</v>
      </c>
      <c r="M968" t="s">
        <v>7</v>
      </c>
      <c r="N968" t="s">
        <v>8</v>
      </c>
      <c r="P968">
        <f t="shared" si="1019"/>
        <v>-0.5498281786941579</v>
      </c>
      <c r="Q968">
        <f t="shared" si="1020"/>
        <v>-5199.0331601374555</v>
      </c>
      <c r="R968">
        <f t="shared" si="1021"/>
        <v>103993.06779824413</v>
      </c>
      <c r="S968">
        <f t="shared" si="1022"/>
        <v>1.0399306779824413</v>
      </c>
      <c r="T968">
        <f t="shared" si="1023"/>
        <v>1.0399306779824413E-3</v>
      </c>
    </row>
    <row r="969" spans="1:20" x14ac:dyDescent="0.25">
      <c r="A969" s="5">
        <v>43624</v>
      </c>
      <c r="B969">
        <v>87.64</v>
      </c>
      <c r="C969">
        <v>88.52</v>
      </c>
      <c r="D969">
        <v>85.89</v>
      </c>
      <c r="E969">
        <v>87.32</v>
      </c>
      <c r="F969">
        <v>4056.7570099999998</v>
      </c>
      <c r="G969">
        <v>0</v>
      </c>
      <c r="L969" t="s">
        <v>8</v>
      </c>
      <c r="M969" t="s">
        <v>7</v>
      </c>
      <c r="N969" t="s">
        <v>8</v>
      </c>
      <c r="P969">
        <f t="shared" si="1019"/>
        <v>8.7452471482885999E-2</v>
      </c>
      <c r="Q969">
        <f t="shared" si="1020"/>
        <v>354.77342673002283</v>
      </c>
      <c r="R969">
        <f t="shared" si="1021"/>
        <v>109192.10095838158</v>
      </c>
      <c r="S969">
        <f t="shared" si="1022"/>
        <v>1.0919210095838157</v>
      </c>
      <c r="T969">
        <f t="shared" si="1023"/>
        <v>1.0919210095838158E-3</v>
      </c>
    </row>
    <row r="970" spans="1:20" x14ac:dyDescent="0.25">
      <c r="A970" s="5">
        <v>43623</v>
      </c>
      <c r="B970">
        <v>86.73</v>
      </c>
      <c r="C970">
        <v>89.52</v>
      </c>
      <c r="D970">
        <v>85.09</v>
      </c>
      <c r="E970">
        <v>88</v>
      </c>
      <c r="F970">
        <v>10052.830180000001</v>
      </c>
      <c r="G970">
        <v>0</v>
      </c>
      <c r="L970" t="s">
        <v>8</v>
      </c>
      <c r="M970" t="s">
        <v>7</v>
      </c>
      <c r="N970" t="s">
        <v>8</v>
      </c>
      <c r="P970">
        <f t="shared" si="1019"/>
        <v>0.31376975169300292</v>
      </c>
      <c r="Q970">
        <f t="shared" si="1020"/>
        <v>3154.2740293905263</v>
      </c>
      <c r="R970">
        <f t="shared" si="1021"/>
        <v>108837.32753165155</v>
      </c>
      <c r="S970">
        <f t="shared" si="1022"/>
        <v>1.0883732753165154</v>
      </c>
      <c r="T970">
        <f t="shared" si="1023"/>
        <v>1.0883732753165154E-3</v>
      </c>
    </row>
    <row r="971" spans="1:20" x14ac:dyDescent="0.25">
      <c r="A971" s="5">
        <v>43622</v>
      </c>
      <c r="B971">
        <v>84.63</v>
      </c>
      <c r="C971">
        <v>87.14</v>
      </c>
      <c r="D971">
        <v>82.78</v>
      </c>
      <c r="E971">
        <v>86.69</v>
      </c>
      <c r="F971">
        <v>9642.1718999999994</v>
      </c>
      <c r="G971">
        <v>0</v>
      </c>
      <c r="L971" t="s">
        <v>7</v>
      </c>
      <c r="M971" t="s">
        <v>7</v>
      </c>
      <c r="N971" t="s">
        <v>8</v>
      </c>
      <c r="P971">
        <f t="shared" si="1019"/>
        <v>0.79357798165137483</v>
      </c>
      <c r="Q971">
        <f t="shared" si="1020"/>
        <v>7651.8153151376018</v>
      </c>
      <c r="R971">
        <f t="shared" si="1021"/>
        <v>105683.05350226103</v>
      </c>
      <c r="S971">
        <f t="shared" si="1022"/>
        <v>1.0568305350226104</v>
      </c>
      <c r="T971">
        <f t="shared" si="1023"/>
        <v>1.0568305350226103E-3</v>
      </c>
    </row>
    <row r="972" spans="1:20" x14ac:dyDescent="0.25">
      <c r="A972" s="5">
        <v>43621</v>
      </c>
      <c r="B972">
        <v>83.65</v>
      </c>
      <c r="C972">
        <v>87</v>
      </c>
      <c r="D972">
        <v>82.87</v>
      </c>
      <c r="E972">
        <v>84.65</v>
      </c>
      <c r="F972">
        <v>8431.7146900000007</v>
      </c>
      <c r="G972">
        <v>0</v>
      </c>
      <c r="L972" t="s">
        <v>7</v>
      </c>
      <c r="M972" t="s">
        <v>7</v>
      </c>
      <c r="N972" t="s">
        <v>8</v>
      </c>
      <c r="P972">
        <f t="shared" si="1019"/>
        <v>-0.13801452784503482</v>
      </c>
      <c r="Q972">
        <f t="shared" si="1020"/>
        <v>-1163.6991218643941</v>
      </c>
      <c r="R972">
        <f t="shared" si="1021"/>
        <v>98031.238187123425</v>
      </c>
      <c r="S972">
        <f t="shared" si="1022"/>
        <v>0.98031238187123426</v>
      </c>
      <c r="T972">
        <f t="shared" si="1023"/>
        <v>9.8031238187123418E-4</v>
      </c>
    </row>
    <row r="973" spans="1:20" x14ac:dyDescent="0.25">
      <c r="A973" s="5">
        <v>43620</v>
      </c>
      <c r="B973">
        <v>88.81</v>
      </c>
      <c r="C973">
        <v>89</v>
      </c>
      <c r="D973">
        <v>81.17</v>
      </c>
      <c r="E973">
        <v>83.65</v>
      </c>
      <c r="F973">
        <v>11825.09013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-0.36653895274584813</v>
      </c>
      <c r="Q973">
        <f t="shared" si="1020"/>
        <v>-4334.3561523754652</v>
      </c>
      <c r="R973">
        <f t="shared" si="1021"/>
        <v>99194.937308987821</v>
      </c>
      <c r="S973">
        <f t="shared" si="1022"/>
        <v>0.99194937308987818</v>
      </c>
      <c r="T973">
        <f t="shared" si="1023"/>
        <v>9.9194937308987822E-4</v>
      </c>
    </row>
    <row r="974" spans="1:20" x14ac:dyDescent="0.25">
      <c r="A974" s="5">
        <v>43619</v>
      </c>
      <c r="B974">
        <v>94.77</v>
      </c>
      <c r="C974">
        <v>96</v>
      </c>
      <c r="D974">
        <v>88.83</v>
      </c>
      <c r="E974">
        <v>88.85</v>
      </c>
      <c r="F974">
        <v>8904.1785799999998</v>
      </c>
      <c r="G974">
        <v>0</v>
      </c>
      <c r="L974" t="s">
        <v>7</v>
      </c>
      <c r="M974" t="s">
        <v>8</v>
      </c>
      <c r="N974" t="s">
        <v>8</v>
      </c>
      <c r="P974">
        <f t="shared" si="1019"/>
        <v>-0.99442119944212104</v>
      </c>
      <c r="Q974">
        <f t="shared" si="1020"/>
        <v>-8854.5039435704421</v>
      </c>
      <c r="R974">
        <f t="shared" si="1021"/>
        <v>103529.29346136328</v>
      </c>
      <c r="S974">
        <f t="shared" si="1022"/>
        <v>1.0352929346136328</v>
      </c>
      <c r="T974">
        <f t="shared" si="1023"/>
        <v>1.0352929346136327E-3</v>
      </c>
    </row>
    <row r="975" spans="1:20" x14ac:dyDescent="0.25">
      <c r="A975" s="5">
        <v>43618</v>
      </c>
      <c r="B975">
        <v>92.82</v>
      </c>
      <c r="C975">
        <v>96.14</v>
      </c>
      <c r="D975">
        <v>92.56</v>
      </c>
      <c r="E975">
        <v>94.77</v>
      </c>
      <c r="F975">
        <v>4403.9621900000002</v>
      </c>
      <c r="G975">
        <v>0</v>
      </c>
      <c r="L975" t="s">
        <v>8</v>
      </c>
      <c r="M975" t="s">
        <v>8</v>
      </c>
      <c r="N975" t="s">
        <v>8</v>
      </c>
      <c r="P975">
        <f t="shared" si="1019"/>
        <v>0.23463687150837698</v>
      </c>
      <c r="Q975">
        <f t="shared" si="1020"/>
        <v>1033.3319105027806</v>
      </c>
      <c r="R975">
        <f t="shared" si="1021"/>
        <v>112383.79740493372</v>
      </c>
      <c r="S975">
        <f t="shared" si="1022"/>
        <v>1.1238379740493372</v>
      </c>
      <c r="T975">
        <f t="shared" si="1023"/>
        <v>1.1238379740493372E-3</v>
      </c>
    </row>
    <row r="976" spans="1:20" x14ac:dyDescent="0.25">
      <c r="A976" s="5">
        <v>43617</v>
      </c>
      <c r="B976">
        <v>93.25</v>
      </c>
      <c r="C976">
        <v>93.93</v>
      </c>
      <c r="D976">
        <v>91.07</v>
      </c>
      <c r="E976">
        <v>92.96</v>
      </c>
      <c r="F976">
        <v>11483.953960000001</v>
      </c>
      <c r="G976">
        <v>0</v>
      </c>
      <c r="L976" t="s">
        <v>7</v>
      </c>
      <c r="M976" t="s">
        <v>8</v>
      </c>
      <c r="N976" t="s">
        <v>8</v>
      </c>
      <c r="P976">
        <f t="shared" si="1019"/>
        <v>0.32167832167831578</v>
      </c>
      <c r="Q976">
        <f t="shared" si="1020"/>
        <v>3694.1390360838486</v>
      </c>
      <c r="R976">
        <f t="shared" si="1021"/>
        <v>111350.46549443094</v>
      </c>
      <c r="S976">
        <f t="shared" si="1022"/>
        <v>1.1135046549443095</v>
      </c>
      <c r="T976">
        <f t="shared" si="1023"/>
        <v>1.1135046549443095E-3</v>
      </c>
    </row>
    <row r="977" spans="1:20" x14ac:dyDescent="0.25">
      <c r="A977" s="5">
        <v>43616</v>
      </c>
      <c r="B977">
        <v>91.69</v>
      </c>
      <c r="C977">
        <v>93.66</v>
      </c>
      <c r="D977">
        <v>89.07</v>
      </c>
      <c r="E977">
        <v>93.25</v>
      </c>
      <c r="F977">
        <v>8083.30206</v>
      </c>
      <c r="G977">
        <v>0</v>
      </c>
      <c r="L977" t="s">
        <v>7</v>
      </c>
      <c r="M977" t="s">
        <v>8</v>
      </c>
      <c r="N977" t="s">
        <v>8</v>
      </c>
      <c r="P977">
        <f t="shared" si="1019"/>
        <v>0.82135076252723471</v>
      </c>
      <c r="Q977">
        <f t="shared" si="1020"/>
        <v>6639.2263107189674</v>
      </c>
      <c r="R977">
        <f t="shared" si="1021"/>
        <v>107656.32645834709</v>
      </c>
      <c r="S977">
        <f t="shared" si="1022"/>
        <v>1.0765632645834708</v>
      </c>
      <c r="T977">
        <f t="shared" si="1023"/>
        <v>1.0765632645834708E-3</v>
      </c>
    </row>
    <row r="978" spans="1:20" x14ac:dyDescent="0.25">
      <c r="A978" s="5">
        <v>43615</v>
      </c>
      <c r="B978">
        <v>93.77</v>
      </c>
      <c r="C978">
        <v>98.99</v>
      </c>
      <c r="D978">
        <v>88.28</v>
      </c>
      <c r="E978">
        <v>91.61</v>
      </c>
      <c r="F978">
        <v>15633.511200000001</v>
      </c>
      <c r="G978">
        <v>0</v>
      </c>
      <c r="L978" t="s">
        <v>7</v>
      </c>
      <c r="M978" t="s">
        <v>8</v>
      </c>
      <c r="N978" t="s">
        <v>8</v>
      </c>
      <c r="P978">
        <f t="shared" si="1019"/>
        <v>-0.37815126050420161</v>
      </c>
      <c r="Q978">
        <f t="shared" si="1020"/>
        <v>-5911.8319663865541</v>
      </c>
      <c r="R978">
        <f t="shared" si="1021"/>
        <v>101017.10014762812</v>
      </c>
      <c r="S978">
        <f t="shared" si="1022"/>
        <v>1.0101710014762812</v>
      </c>
      <c r="T978">
        <f t="shared" si="1023"/>
        <v>1.0101710014762811E-3</v>
      </c>
    </row>
    <row r="979" spans="1:20" x14ac:dyDescent="0.25">
      <c r="A979" s="5">
        <v>43614</v>
      </c>
      <c r="B979">
        <v>95.63</v>
      </c>
      <c r="C979">
        <v>95.91</v>
      </c>
      <c r="D979">
        <v>90</v>
      </c>
      <c r="E979">
        <v>93.81</v>
      </c>
      <c r="F979">
        <v>9949.8217399999994</v>
      </c>
      <c r="G979">
        <v>0</v>
      </c>
      <c r="L979" t="s">
        <v>7</v>
      </c>
      <c r="M979" t="s">
        <v>8</v>
      </c>
      <c r="N979" t="s">
        <v>8</v>
      </c>
      <c r="P979">
        <f t="shared" si="1019"/>
        <v>0.28934010152284417</v>
      </c>
      <c r="Q979">
        <f t="shared" si="1020"/>
        <v>2878.8824323858021</v>
      </c>
      <c r="R979">
        <f t="shared" si="1021"/>
        <v>106928.93211401468</v>
      </c>
      <c r="S979">
        <f t="shared" si="1022"/>
        <v>1.0692893211401469</v>
      </c>
      <c r="T979">
        <f t="shared" si="1023"/>
        <v>1.0692893211401468E-3</v>
      </c>
    </row>
    <row r="980" spans="1:20" x14ac:dyDescent="0.25">
      <c r="A980" s="5">
        <v>43613</v>
      </c>
      <c r="B980">
        <v>97.31</v>
      </c>
      <c r="C980">
        <v>98.47</v>
      </c>
      <c r="D980">
        <v>95.28</v>
      </c>
      <c r="E980">
        <v>95.93</v>
      </c>
      <c r="F980">
        <v>7523.9145500000004</v>
      </c>
      <c r="G980">
        <v>0</v>
      </c>
      <c r="L980" t="s">
        <v>8</v>
      </c>
      <c r="M980" t="s">
        <v>8</v>
      </c>
      <c r="N980" t="s">
        <v>8</v>
      </c>
      <c r="P980">
        <f t="shared" si="1019"/>
        <v>-0.59247648902820926</v>
      </c>
      <c r="Q980">
        <f t="shared" si="1020"/>
        <v>-4457.7424763322597</v>
      </c>
      <c r="R980">
        <f t="shared" si="1021"/>
        <v>104050.04968162888</v>
      </c>
      <c r="S980">
        <f t="shared" si="1022"/>
        <v>1.0405004968162888</v>
      </c>
      <c r="T980">
        <f t="shared" si="1023"/>
        <v>1.0405004968162888E-3</v>
      </c>
    </row>
    <row r="981" spans="1:20" x14ac:dyDescent="0.25">
      <c r="A981" s="5">
        <v>43612</v>
      </c>
      <c r="B981">
        <v>91.22</v>
      </c>
      <c r="C981">
        <v>98.84</v>
      </c>
      <c r="D981">
        <v>91.22</v>
      </c>
      <c r="E981">
        <v>97.43</v>
      </c>
      <c r="F981">
        <v>13539.46342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0.62992125984252079</v>
      </c>
      <c r="Q981">
        <f t="shared" si="1020"/>
        <v>8528.7958551181255</v>
      </c>
      <c r="R981">
        <f t="shared" si="1021"/>
        <v>108507.79215796114</v>
      </c>
      <c r="S981">
        <f t="shared" si="1022"/>
        <v>1.0850779215796114</v>
      </c>
      <c r="T981">
        <f t="shared" si="1023"/>
        <v>1.0850779215796113E-3</v>
      </c>
    </row>
    <row r="982" spans="1:20" x14ac:dyDescent="0.25">
      <c r="A982" s="5">
        <v>43611</v>
      </c>
      <c r="B982">
        <v>86.67</v>
      </c>
      <c r="C982">
        <v>92.39</v>
      </c>
      <c r="D982">
        <v>85</v>
      </c>
      <c r="E982">
        <v>91.3</v>
      </c>
      <c r="F982">
        <v>12335.57747</v>
      </c>
      <c r="G982">
        <v>0</v>
      </c>
      <c r="L982" t="s">
        <v>8</v>
      </c>
      <c r="M982" t="s">
        <v>8</v>
      </c>
      <c r="N982" t="s">
        <v>8</v>
      </c>
      <c r="P982">
        <f t="shared" si="1019"/>
        <v>0.70500676589986377</v>
      </c>
      <c r="Q982">
        <f t="shared" si="1020"/>
        <v>8696.665577631924</v>
      </c>
      <c r="R982">
        <f t="shared" si="1021"/>
        <v>99978.996302843021</v>
      </c>
      <c r="S982">
        <f t="shared" si="1022"/>
        <v>0.99978996302843026</v>
      </c>
      <c r="T982">
        <f t="shared" si="1023"/>
        <v>9.9978996302843028E-4</v>
      </c>
    </row>
    <row r="983" spans="1:20" x14ac:dyDescent="0.25">
      <c r="A983" s="5">
        <v>43610</v>
      </c>
      <c r="B983">
        <v>85.32</v>
      </c>
      <c r="C983">
        <v>87.31</v>
      </c>
      <c r="D983">
        <v>85.02</v>
      </c>
      <c r="E983">
        <v>86.8</v>
      </c>
      <c r="F983">
        <v>5615.9559099999997</v>
      </c>
      <c r="G983">
        <v>0</v>
      </c>
      <c r="L983" t="s">
        <v>8</v>
      </c>
      <c r="M983" t="s">
        <v>8</v>
      </c>
      <c r="N983" t="s">
        <v>8</v>
      </c>
      <c r="P983">
        <f t="shared" si="1019"/>
        <v>0.55458515283842469</v>
      </c>
      <c r="Q983">
        <f t="shared" si="1020"/>
        <v>3114.525766681204</v>
      </c>
      <c r="R983">
        <f t="shared" si="1021"/>
        <v>91282.330725211097</v>
      </c>
      <c r="S983">
        <f t="shared" si="1022"/>
        <v>0.91282330725211103</v>
      </c>
      <c r="T983">
        <f t="shared" si="1023"/>
        <v>9.1282330725211101E-4</v>
      </c>
    </row>
    <row r="984" spans="1:20" x14ac:dyDescent="0.25">
      <c r="A984" s="5">
        <v>43609</v>
      </c>
      <c r="B984">
        <v>84.81</v>
      </c>
      <c r="C984">
        <v>86.93</v>
      </c>
      <c r="D984">
        <v>83.36</v>
      </c>
      <c r="E984">
        <v>85.44</v>
      </c>
      <c r="F984">
        <v>9096.9901599999994</v>
      </c>
      <c r="G984">
        <v>0</v>
      </c>
      <c r="L984" t="s">
        <v>8</v>
      </c>
      <c r="M984" t="s">
        <v>8</v>
      </c>
      <c r="N984" t="s">
        <v>8</v>
      </c>
      <c r="P984">
        <f t="shared" si="1019"/>
        <v>0.16526610644257367</v>
      </c>
      <c r="Q984">
        <f t="shared" si="1020"/>
        <v>1503.4241440896051</v>
      </c>
      <c r="R984">
        <f t="shared" si="1021"/>
        <v>88167.804958529887</v>
      </c>
      <c r="S984">
        <f t="shared" si="1022"/>
        <v>0.88167804958529883</v>
      </c>
      <c r="T984">
        <f t="shared" si="1023"/>
        <v>8.8167804958529886E-4</v>
      </c>
    </row>
    <row r="985" spans="1:20" x14ac:dyDescent="0.25">
      <c r="A985" s="5">
        <v>43608</v>
      </c>
      <c r="B985">
        <v>83.19</v>
      </c>
      <c r="C985">
        <v>85.34</v>
      </c>
      <c r="D985">
        <v>80.66</v>
      </c>
      <c r="E985">
        <v>84.69</v>
      </c>
      <c r="F985">
        <v>8565.1373999999996</v>
      </c>
      <c r="G985">
        <v>0</v>
      </c>
      <c r="L985" t="s">
        <v>7</v>
      </c>
      <c r="M985" t="s">
        <v>8</v>
      </c>
      <c r="N985" t="s">
        <v>8</v>
      </c>
      <c r="P985">
        <f t="shared" si="1019"/>
        <v>0.72222222222222021</v>
      </c>
      <c r="Q985">
        <f t="shared" si="1020"/>
        <v>6185.9325666666491</v>
      </c>
      <c r="R985">
        <f t="shared" si="1021"/>
        <v>86664.380814440286</v>
      </c>
      <c r="S985">
        <f t="shared" si="1022"/>
        <v>0.86664380814440289</v>
      </c>
      <c r="T985">
        <f t="shared" si="1023"/>
        <v>8.6664380814440291E-4</v>
      </c>
    </row>
    <row r="986" spans="1:20" x14ac:dyDescent="0.25">
      <c r="A986" s="5">
        <v>43607</v>
      </c>
      <c r="B986">
        <v>88.51</v>
      </c>
      <c r="C986">
        <v>91.27</v>
      </c>
      <c r="D986">
        <v>80.180000000000007</v>
      </c>
      <c r="E986">
        <v>83.07</v>
      </c>
      <c r="F986">
        <v>17803.41345</v>
      </c>
      <c r="G986">
        <v>0</v>
      </c>
      <c r="L986" t="s">
        <v>7</v>
      </c>
      <c r="M986" t="s">
        <v>8</v>
      </c>
      <c r="N986" t="s">
        <v>8</v>
      </c>
      <c r="P986">
        <f t="shared" si="1019"/>
        <v>-0.47880973850315794</v>
      </c>
      <c r="Q986">
        <f t="shared" si="1020"/>
        <v>-8524.4477384581041</v>
      </c>
      <c r="R986">
        <f t="shared" si="1021"/>
        <v>80478.448247773631</v>
      </c>
      <c r="S986">
        <f t="shared" si="1022"/>
        <v>0.80478448247773626</v>
      </c>
      <c r="T986">
        <f t="shared" si="1023"/>
        <v>8.0478448247773627E-4</v>
      </c>
    </row>
    <row r="987" spans="1:20" x14ac:dyDescent="0.25">
      <c r="A987" s="5">
        <v>43606</v>
      </c>
      <c r="B987">
        <v>87.14</v>
      </c>
      <c r="C987">
        <v>92.5</v>
      </c>
      <c r="D987">
        <v>87.06</v>
      </c>
      <c r="E987">
        <v>88.51</v>
      </c>
      <c r="F987">
        <v>16885.208119999999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-0.46691176470588108</v>
      </c>
      <c r="Q987">
        <f t="shared" si="1020"/>
        <v>-7883.902320735272</v>
      </c>
      <c r="R987">
        <f t="shared" si="1021"/>
        <v>89002.895986231728</v>
      </c>
      <c r="S987">
        <f t="shared" si="1022"/>
        <v>0.89002895986231723</v>
      </c>
      <c r="T987">
        <f t="shared" si="1023"/>
        <v>8.9002895986231719E-4</v>
      </c>
    </row>
    <row r="988" spans="1:20" x14ac:dyDescent="0.25">
      <c r="A988" s="5">
        <v>43605</v>
      </c>
      <c r="B988">
        <v>89.72</v>
      </c>
      <c r="C988">
        <v>90.3</v>
      </c>
      <c r="D988">
        <v>84</v>
      </c>
      <c r="E988">
        <v>87.19</v>
      </c>
      <c r="F988">
        <v>11784.156849999999</v>
      </c>
      <c r="G988">
        <v>0</v>
      </c>
      <c r="L988" t="s">
        <v>7</v>
      </c>
      <c r="M988" t="s">
        <v>8</v>
      </c>
      <c r="N988" t="s">
        <v>8</v>
      </c>
      <c r="P988">
        <f t="shared" si="1019"/>
        <v>1.2698412698412433E-2</v>
      </c>
      <c r="Q988">
        <f t="shared" si="1020"/>
        <v>149.64008698412385</v>
      </c>
      <c r="R988">
        <f t="shared" si="1021"/>
        <v>96886.798306967001</v>
      </c>
      <c r="S988">
        <f t="shared" si="1022"/>
        <v>0.96886798306967004</v>
      </c>
      <c r="T988">
        <f t="shared" si="1023"/>
        <v>9.6886798306967004E-4</v>
      </c>
    </row>
    <row r="989" spans="1:20" x14ac:dyDescent="0.25">
      <c r="A989" s="5">
        <v>43604</v>
      </c>
      <c r="B989">
        <v>79.55</v>
      </c>
      <c r="C989">
        <v>90.6</v>
      </c>
      <c r="D989">
        <v>79.39</v>
      </c>
      <c r="E989">
        <v>90.09</v>
      </c>
      <c r="F989">
        <v>15529.76599</v>
      </c>
      <c r="G989">
        <v>0</v>
      </c>
      <c r="L989" t="s">
        <v>8</v>
      </c>
      <c r="M989" t="s">
        <v>8</v>
      </c>
      <c r="N989" t="s">
        <v>8</v>
      </c>
      <c r="P989">
        <f t="shared" si="1019"/>
        <v>0.909009812667263</v>
      </c>
      <c r="Q989">
        <f t="shared" si="1020"/>
        <v>14116.709673336332</v>
      </c>
      <c r="R989">
        <f t="shared" si="1021"/>
        <v>96737.15821998287</v>
      </c>
      <c r="S989">
        <f t="shared" si="1022"/>
        <v>0.96737158219982866</v>
      </c>
      <c r="T989">
        <f t="shared" si="1023"/>
        <v>9.6737158219982868E-4</v>
      </c>
    </row>
    <row r="990" spans="1:20" x14ac:dyDescent="0.25">
      <c r="A990" s="5">
        <v>43603</v>
      </c>
      <c r="B990">
        <v>82.61</v>
      </c>
      <c r="C990">
        <v>83</v>
      </c>
      <c r="D990">
        <v>78.95</v>
      </c>
      <c r="E990">
        <v>79.75</v>
      </c>
      <c r="F990">
        <v>10043.79016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-0.6049382716049394</v>
      </c>
      <c r="Q990">
        <f t="shared" si="1020"/>
        <v>-6075.8730597530985</v>
      </c>
      <c r="R990">
        <f t="shared" si="1021"/>
        <v>82620.448546646541</v>
      </c>
      <c r="S990">
        <f t="shared" si="1022"/>
        <v>0.82620448546646541</v>
      </c>
      <c r="T990">
        <f t="shared" si="1023"/>
        <v>8.262044854664654E-4</v>
      </c>
    </row>
    <row r="991" spans="1:20" x14ac:dyDescent="0.25">
      <c r="A991" s="5">
        <v>43602</v>
      </c>
      <c r="B991">
        <v>87.1</v>
      </c>
      <c r="C991">
        <v>87.79</v>
      </c>
      <c r="D991">
        <v>76.25</v>
      </c>
      <c r="E991">
        <v>82.61</v>
      </c>
      <c r="F991">
        <v>14493.816580000001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0.10225303292894211</v>
      </c>
      <c r="Q991">
        <f t="shared" si="1020"/>
        <v>1482.0367040207873</v>
      </c>
      <c r="R991">
        <f t="shared" si="1021"/>
        <v>88696.321606399637</v>
      </c>
      <c r="S991">
        <f t="shared" si="1022"/>
        <v>0.88696321606399642</v>
      </c>
      <c r="T991">
        <f t="shared" si="1023"/>
        <v>8.8696321606399639E-4</v>
      </c>
    </row>
    <row r="992" spans="1:20" x14ac:dyDescent="0.25">
      <c r="A992" s="5">
        <v>43601</v>
      </c>
      <c r="B992">
        <v>94.01</v>
      </c>
      <c r="C992">
        <v>97.27</v>
      </c>
      <c r="D992">
        <v>84.51</v>
      </c>
      <c r="E992">
        <v>87.2</v>
      </c>
      <c r="F992">
        <v>19593.500789999998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-0.57836990595611293</v>
      </c>
      <c r="Q992">
        <f t="shared" si="1020"/>
        <v>-11332.291209263323</v>
      </c>
      <c r="R992">
        <f t="shared" si="1021"/>
        <v>87214.284902378844</v>
      </c>
      <c r="S992">
        <f t="shared" si="1022"/>
        <v>0.87214284902378847</v>
      </c>
      <c r="T992">
        <f t="shared" si="1023"/>
        <v>8.7214284902378846E-4</v>
      </c>
    </row>
    <row r="993" spans="1:20" x14ac:dyDescent="0.25">
      <c r="A993" s="5">
        <v>43600</v>
      </c>
      <c r="B993">
        <v>83.46</v>
      </c>
      <c r="C993">
        <v>95.03</v>
      </c>
      <c r="D993">
        <v>82.37</v>
      </c>
      <c r="E993">
        <v>94</v>
      </c>
      <c r="F993">
        <v>12453.845950000001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0.83728278041074222</v>
      </c>
      <c r="Q993">
        <f t="shared" si="1020"/>
        <v>10427.390763823061</v>
      </c>
      <c r="R993">
        <f t="shared" si="1021"/>
        <v>98546.576111642164</v>
      </c>
      <c r="S993">
        <f t="shared" si="1022"/>
        <v>0.98546576111642159</v>
      </c>
      <c r="T993">
        <f t="shared" si="1023"/>
        <v>9.8546576111642166E-4</v>
      </c>
    </row>
    <row r="994" spans="1:20" x14ac:dyDescent="0.25">
      <c r="A994" s="5">
        <v>43599</v>
      </c>
      <c r="B994">
        <v>79.510000000000005</v>
      </c>
      <c r="C994">
        <v>84.91</v>
      </c>
      <c r="D994">
        <v>72</v>
      </c>
      <c r="E994">
        <v>83.46</v>
      </c>
      <c r="F994">
        <v>10703.24128</v>
      </c>
      <c r="G994">
        <v>0</v>
      </c>
      <c r="L994" t="s">
        <v>8</v>
      </c>
      <c r="M994" t="s">
        <v>8</v>
      </c>
      <c r="N994" t="s">
        <v>8</v>
      </c>
      <c r="P994">
        <f t="shared" si="1019"/>
        <v>0.77536793183578567</v>
      </c>
      <c r="Q994">
        <f t="shared" si="1020"/>
        <v>8298.9500552130066</v>
      </c>
      <c r="R994">
        <f t="shared" si="1021"/>
        <v>88119.185347819104</v>
      </c>
      <c r="S994">
        <f t="shared" si="1022"/>
        <v>0.88119185347819107</v>
      </c>
      <c r="T994">
        <f t="shared" si="1023"/>
        <v>8.8119185347819103E-4</v>
      </c>
    </row>
    <row r="995" spans="1:20" x14ac:dyDescent="0.25">
      <c r="A995" s="5">
        <v>43598</v>
      </c>
      <c r="B995">
        <v>75.45</v>
      </c>
      <c r="C995">
        <v>82.67</v>
      </c>
      <c r="D995">
        <v>74.86</v>
      </c>
      <c r="E995">
        <v>79.53</v>
      </c>
      <c r="F995">
        <v>9969.9587499999998</v>
      </c>
      <c r="G995">
        <v>0</v>
      </c>
      <c r="L995" t="s">
        <v>8</v>
      </c>
      <c r="M995" t="s">
        <v>8</v>
      </c>
      <c r="N995" t="s">
        <v>8</v>
      </c>
      <c r="P995">
        <f t="shared" si="1019"/>
        <v>0.19590268886043544</v>
      </c>
      <c r="Q995">
        <f t="shared" si="1020"/>
        <v>1953.1417269526257</v>
      </c>
      <c r="R995">
        <f t="shared" si="1021"/>
        <v>79820.235292606099</v>
      </c>
      <c r="S995">
        <f t="shared" si="1022"/>
        <v>0.79820235292606101</v>
      </c>
      <c r="T995">
        <f t="shared" si="1023"/>
        <v>7.9820235292606101E-4</v>
      </c>
    </row>
    <row r="996" spans="1:20" x14ac:dyDescent="0.25">
      <c r="A996" s="5">
        <v>43597</v>
      </c>
      <c r="B996">
        <v>77.5</v>
      </c>
      <c r="C996">
        <v>81.400000000000006</v>
      </c>
      <c r="D996">
        <v>71.599999999999994</v>
      </c>
      <c r="E996">
        <v>75.66</v>
      </c>
      <c r="F996">
        <v>15792.30652</v>
      </c>
      <c r="G996">
        <v>0</v>
      </c>
      <c r="L996" t="s">
        <v>7</v>
      </c>
      <c r="M996" t="s">
        <v>8</v>
      </c>
      <c r="N996" t="s">
        <v>8</v>
      </c>
      <c r="P996">
        <f t="shared" si="1019"/>
        <v>-0.17142857142857193</v>
      </c>
      <c r="Q996">
        <f t="shared" si="1020"/>
        <v>-2707.252546285722</v>
      </c>
      <c r="R996">
        <f t="shared" si="1021"/>
        <v>77867.093565653471</v>
      </c>
      <c r="S996">
        <f t="shared" si="1022"/>
        <v>0.77867093565653467</v>
      </c>
      <c r="T996">
        <f t="shared" si="1023"/>
        <v>7.7867093565653464E-4</v>
      </c>
    </row>
    <row r="997" spans="1:20" x14ac:dyDescent="0.25">
      <c r="A997" s="5">
        <v>43596</v>
      </c>
      <c r="B997">
        <v>68.87</v>
      </c>
      <c r="C997">
        <v>81.72</v>
      </c>
      <c r="D997">
        <v>68.87</v>
      </c>
      <c r="E997">
        <v>77.73</v>
      </c>
      <c r="F997">
        <v>16162.744210000001</v>
      </c>
      <c r="G997">
        <v>0</v>
      </c>
      <c r="L997" t="s">
        <v>8</v>
      </c>
      <c r="M997" t="s">
        <v>8</v>
      </c>
      <c r="N997" t="s">
        <v>8</v>
      </c>
      <c r="P997">
        <f t="shared" si="1019"/>
        <v>0.37898832684824957</v>
      </c>
      <c r="Q997">
        <f t="shared" si="1020"/>
        <v>6125.4913854241331</v>
      </c>
      <c r="R997">
        <f t="shared" si="1021"/>
        <v>80574.346111939187</v>
      </c>
      <c r="S997">
        <f t="shared" si="1022"/>
        <v>0.80574346111939188</v>
      </c>
      <c r="T997">
        <f t="shared" si="1023"/>
        <v>8.0574346111939184E-4</v>
      </c>
    </row>
    <row r="998" spans="1:20" x14ac:dyDescent="0.25">
      <c r="A998" s="5">
        <v>43595</v>
      </c>
      <c r="B998">
        <v>65.790000000000006</v>
      </c>
      <c r="C998">
        <v>69.33</v>
      </c>
      <c r="D998">
        <v>64.97</v>
      </c>
      <c r="E998">
        <v>68.84</v>
      </c>
      <c r="F998">
        <v>4925.6910900000003</v>
      </c>
      <c r="G998">
        <v>0</v>
      </c>
      <c r="L998" t="s">
        <v>8</v>
      </c>
      <c r="M998" t="s">
        <v>8</v>
      </c>
      <c r="N998" t="s">
        <v>8</v>
      </c>
      <c r="P998">
        <f t="shared" si="1019"/>
        <v>0.77522935779816748</v>
      </c>
      <c r="Q998">
        <f t="shared" si="1020"/>
        <v>3818.5403404128556</v>
      </c>
      <c r="R998">
        <f t="shared" si="1021"/>
        <v>74448.854726515056</v>
      </c>
      <c r="S998">
        <f t="shared" si="1022"/>
        <v>0.74448854726515057</v>
      </c>
      <c r="T998">
        <f t="shared" si="1023"/>
        <v>7.4448854726515059E-4</v>
      </c>
    </row>
    <row r="999" spans="1:20" x14ac:dyDescent="0.25">
      <c r="A999" s="5">
        <v>43594</v>
      </c>
      <c r="B999">
        <v>68.06</v>
      </c>
      <c r="C999">
        <v>69.19</v>
      </c>
      <c r="D999">
        <v>64.260000000000005</v>
      </c>
      <c r="E999">
        <v>65.61</v>
      </c>
      <c r="F999">
        <v>5488.8039399999998</v>
      </c>
      <c r="G999">
        <v>0</v>
      </c>
      <c r="L999" t="s">
        <v>7</v>
      </c>
      <c r="M999" t="s">
        <v>8</v>
      </c>
      <c r="N999" t="s">
        <v>8</v>
      </c>
      <c r="P999">
        <f t="shared" si="1019"/>
        <v>-0.45233265720081284</v>
      </c>
      <c r="Q999">
        <f t="shared" si="1020"/>
        <v>-2482.765271034491</v>
      </c>
      <c r="R999">
        <f t="shared" si="1021"/>
        <v>70630.314386102196</v>
      </c>
      <c r="S999">
        <f t="shared" si="1022"/>
        <v>0.706303143861022</v>
      </c>
      <c r="T999">
        <f t="shared" si="1023"/>
        <v>7.0630314386102198E-4</v>
      </c>
    </row>
    <row r="1000" spans="1:20" x14ac:dyDescent="0.25">
      <c r="A1000" s="5">
        <v>43593</v>
      </c>
      <c r="B1000">
        <v>65.930000000000007</v>
      </c>
      <c r="C1000">
        <v>68.290000000000006</v>
      </c>
      <c r="D1000">
        <v>65.12</v>
      </c>
      <c r="E1000">
        <v>67.930000000000007</v>
      </c>
      <c r="F1000">
        <v>3580.6770799999999</v>
      </c>
      <c r="G1000">
        <v>0</v>
      </c>
      <c r="L1000" t="s">
        <v>7</v>
      </c>
      <c r="M1000" t="s">
        <v>8</v>
      </c>
      <c r="N1000" t="s">
        <v>8</v>
      </c>
      <c r="P1000">
        <f t="shared" si="1019"/>
        <v>0.77287066246056835</v>
      </c>
      <c r="Q1000">
        <f t="shared" si="1020"/>
        <v>2767.4002668769735</v>
      </c>
      <c r="R1000">
        <f t="shared" si="1021"/>
        <v>73113.079657136681</v>
      </c>
      <c r="S1000">
        <f t="shared" si="1022"/>
        <v>0.73113079657136681</v>
      </c>
      <c r="T1000">
        <f t="shared" si="1023"/>
        <v>7.3113079657136678E-4</v>
      </c>
    </row>
    <row r="1001" spans="1:20" x14ac:dyDescent="0.25">
      <c r="A1001" s="5">
        <v>43592</v>
      </c>
      <c r="B1001">
        <v>67.5</v>
      </c>
      <c r="C1001">
        <v>71.209999999999994</v>
      </c>
      <c r="D1001">
        <v>65.83</v>
      </c>
      <c r="E1001">
        <v>65.930000000000007</v>
      </c>
      <c r="F1001">
        <v>15408.823109999999</v>
      </c>
      <c r="G1001">
        <v>0</v>
      </c>
      <c r="L1001" t="s">
        <v>8</v>
      </c>
      <c r="M1001" t="s">
        <v>8</v>
      </c>
      <c r="N1001" t="s">
        <v>8</v>
      </c>
      <c r="P1001">
        <f t="shared" si="1019"/>
        <v>-0.96282527881040569</v>
      </c>
      <c r="Q1001">
        <f t="shared" si="1020"/>
        <v>-14836.004407025972</v>
      </c>
      <c r="R1001">
        <f t="shared" si="1021"/>
        <v>70345.679390259713</v>
      </c>
      <c r="S1001">
        <f t="shared" si="1022"/>
        <v>0.70345679390259708</v>
      </c>
      <c r="T1001">
        <f t="shared" si="1023"/>
        <v>7.0345679390259707E-4</v>
      </c>
    </row>
    <row r="1002" spans="1:20" x14ac:dyDescent="0.25">
      <c r="A1002" s="5">
        <v>43591</v>
      </c>
      <c r="B1002">
        <v>66.709999999999994</v>
      </c>
      <c r="C1002">
        <v>68.290000000000006</v>
      </c>
      <c r="D1002">
        <v>64.67</v>
      </c>
      <c r="E1002">
        <v>67.5</v>
      </c>
      <c r="F1002">
        <v>9994.1545900000001</v>
      </c>
      <c r="G1002">
        <v>0</v>
      </c>
      <c r="L1002" t="s">
        <v>8</v>
      </c>
      <c r="M1002" t="s">
        <v>7</v>
      </c>
      <c r="N1002" t="s">
        <v>8</v>
      </c>
      <c r="P1002">
        <f t="shared" si="1019"/>
        <v>0.56353591160220706</v>
      </c>
      <c r="Q1002">
        <f t="shared" si="1020"/>
        <v>5632.0650175690316</v>
      </c>
      <c r="R1002">
        <f t="shared" si="1021"/>
        <v>85181.683797285688</v>
      </c>
      <c r="S1002">
        <f t="shared" si="1022"/>
        <v>0.8518168379728569</v>
      </c>
      <c r="T1002">
        <f t="shared" si="1023"/>
        <v>8.5181683797285693E-4</v>
      </c>
    </row>
    <row r="1003" spans="1:20" x14ac:dyDescent="0.25">
      <c r="A1003" s="5">
        <v>43590</v>
      </c>
      <c r="B1003">
        <v>68.5</v>
      </c>
      <c r="C1003">
        <v>68.989999999999995</v>
      </c>
      <c r="D1003">
        <v>65.98</v>
      </c>
      <c r="E1003">
        <v>66.52</v>
      </c>
      <c r="F1003">
        <v>7426.5879800000002</v>
      </c>
      <c r="G1003">
        <v>0</v>
      </c>
      <c r="L1003" t="s">
        <v>8</v>
      </c>
      <c r="M1003" t="s">
        <v>7</v>
      </c>
      <c r="N1003" t="s">
        <v>8</v>
      </c>
      <c r="P1003">
        <f t="shared" si="1019"/>
        <v>-0.64119601328904074</v>
      </c>
      <c r="Q1003">
        <f t="shared" si="1020"/>
        <v>-4761.8986051163101</v>
      </c>
      <c r="R1003">
        <f t="shared" si="1021"/>
        <v>79549.618779716664</v>
      </c>
      <c r="S1003">
        <f t="shared" si="1022"/>
        <v>0.79549618779716669</v>
      </c>
      <c r="T1003">
        <f t="shared" si="1023"/>
        <v>7.9549618779716673E-4</v>
      </c>
    </row>
    <row r="1004" spans="1:20" x14ac:dyDescent="0.25">
      <c r="A1004" s="5">
        <v>43589</v>
      </c>
      <c r="B1004">
        <v>67.5</v>
      </c>
      <c r="C1004">
        <v>68.97</v>
      </c>
      <c r="D1004">
        <v>65.7</v>
      </c>
      <c r="E1004">
        <v>68.400000000000006</v>
      </c>
      <c r="F1004">
        <v>8906.1903899999998</v>
      </c>
      <c r="G1004">
        <v>0</v>
      </c>
      <c r="L1004" t="s">
        <v>8</v>
      </c>
      <c r="M1004" t="s">
        <v>7</v>
      </c>
      <c r="N1004" t="s">
        <v>8</v>
      </c>
      <c r="P1004">
        <f t="shared" si="1019"/>
        <v>0.65137614678899458</v>
      </c>
      <c r="Q1004">
        <f t="shared" si="1020"/>
        <v>5801.2799788073726</v>
      </c>
      <c r="R1004">
        <f t="shared" si="1021"/>
        <v>84311.517384832972</v>
      </c>
      <c r="S1004">
        <f t="shared" si="1022"/>
        <v>0.84311517384832968</v>
      </c>
      <c r="T1004">
        <f t="shared" si="1023"/>
        <v>8.4311517384832969E-4</v>
      </c>
    </row>
    <row r="1005" spans="1:20" x14ac:dyDescent="0.25">
      <c r="A1005" s="5">
        <v>43588</v>
      </c>
      <c r="B1005">
        <v>65.099999999999994</v>
      </c>
      <c r="C1005">
        <v>68.58</v>
      </c>
      <c r="D1005">
        <v>64.59</v>
      </c>
      <c r="E1005">
        <v>67.459999999999994</v>
      </c>
      <c r="F1005">
        <v>7737.5868600000003</v>
      </c>
      <c r="G1005">
        <v>0</v>
      </c>
      <c r="L1005" t="s">
        <v>8</v>
      </c>
      <c r="M1005" t="s">
        <v>7</v>
      </c>
      <c r="N1005" t="s">
        <v>8</v>
      </c>
      <c r="P1005">
        <f t="shared" si="1019"/>
        <v>0.43859649122806715</v>
      </c>
      <c r="Q1005">
        <f t="shared" si="1020"/>
        <v>3393.6784473683979</v>
      </c>
      <c r="R1005">
        <f t="shared" si="1021"/>
        <v>78510.237406025597</v>
      </c>
      <c r="S1005">
        <f t="shared" si="1022"/>
        <v>0.78510237406025596</v>
      </c>
      <c r="T1005">
        <f t="shared" si="1023"/>
        <v>7.8510237406025595E-4</v>
      </c>
    </row>
    <row r="1006" spans="1:20" x14ac:dyDescent="0.25">
      <c r="A1006" s="5">
        <v>43587</v>
      </c>
      <c r="B1006">
        <v>65.48</v>
      </c>
      <c r="C1006">
        <v>66.5</v>
      </c>
      <c r="D1006">
        <v>63.92</v>
      </c>
      <c r="E1006">
        <v>65.099999999999994</v>
      </c>
      <c r="F1006">
        <v>7072.4393300000002</v>
      </c>
      <c r="G1006">
        <v>0</v>
      </c>
      <c r="L1006" t="s">
        <v>8</v>
      </c>
      <c r="M1006" t="s">
        <v>7</v>
      </c>
      <c r="N1006" t="s">
        <v>8</v>
      </c>
      <c r="P1006">
        <f t="shared" si="1019"/>
        <v>-8.5271317829462484E-2</v>
      </c>
      <c r="Q1006">
        <f t="shared" si="1020"/>
        <v>-603.07622193802069</v>
      </c>
      <c r="R1006">
        <f t="shared" si="1021"/>
        <v>75116.558958657202</v>
      </c>
      <c r="S1006">
        <f t="shared" si="1022"/>
        <v>0.75116558958657198</v>
      </c>
      <c r="T1006">
        <f t="shared" si="1023"/>
        <v>7.5116558958657198E-4</v>
      </c>
    </row>
    <row r="1007" spans="1:20" x14ac:dyDescent="0.25">
      <c r="A1007" s="5">
        <v>43586</v>
      </c>
      <c r="B1007">
        <v>62.66</v>
      </c>
      <c r="C1007">
        <v>65.64</v>
      </c>
      <c r="D1007">
        <v>62.66</v>
      </c>
      <c r="E1007">
        <v>65.64</v>
      </c>
      <c r="F1007">
        <v>6909.2093599999998</v>
      </c>
      <c r="G1007">
        <v>0</v>
      </c>
      <c r="L1007" t="s">
        <v>8</v>
      </c>
      <c r="M1007" t="s">
        <v>7</v>
      </c>
      <c r="N1007" t="s">
        <v>8</v>
      </c>
      <c r="P1007">
        <f t="shared" si="1019"/>
        <v>1</v>
      </c>
      <c r="Q1007">
        <f t="shared" si="1020"/>
        <v>6909.2093599999998</v>
      </c>
      <c r="R1007">
        <f t="shared" si="1021"/>
        <v>75719.635180595229</v>
      </c>
      <c r="S1007">
        <f t="shared" si="1022"/>
        <v>0.75719635180595224</v>
      </c>
      <c r="T1007">
        <f t="shared" si="1023"/>
        <v>7.5719635180595223E-4</v>
      </c>
    </row>
    <row r="1008" spans="1:20" x14ac:dyDescent="0.25">
      <c r="A1008" s="5">
        <v>43585</v>
      </c>
      <c r="B1008">
        <v>61.08</v>
      </c>
      <c r="C1008">
        <v>62.78</v>
      </c>
      <c r="D1008">
        <v>60.69</v>
      </c>
      <c r="E1008">
        <v>62.55</v>
      </c>
      <c r="F1008">
        <v>7116.4895399999996</v>
      </c>
      <c r="G1008">
        <v>0</v>
      </c>
      <c r="L1008" t="s">
        <v>7</v>
      </c>
      <c r="M1008" t="s">
        <v>7</v>
      </c>
      <c r="N1008" t="s">
        <v>8</v>
      </c>
      <c r="P1008">
        <f t="shared" si="1019"/>
        <v>0.77990430622009221</v>
      </c>
      <c r="Q1008">
        <f t="shared" si="1020"/>
        <v>5550.1808374162429</v>
      </c>
      <c r="R1008">
        <f t="shared" si="1021"/>
        <v>68810.425820595236</v>
      </c>
      <c r="S1008">
        <f t="shared" si="1022"/>
        <v>0.68810425820595233</v>
      </c>
      <c r="T1008">
        <f t="shared" si="1023"/>
        <v>6.8810425820595232E-4</v>
      </c>
    </row>
    <row r="1009" spans="1:20" x14ac:dyDescent="0.25">
      <c r="A1009" s="5">
        <v>43584</v>
      </c>
      <c r="B1009">
        <v>61.92</v>
      </c>
      <c r="C1009">
        <v>62.56</v>
      </c>
      <c r="D1009">
        <v>60.11</v>
      </c>
      <c r="E1009">
        <v>61.08</v>
      </c>
      <c r="F1009">
        <v>5090.6664499999997</v>
      </c>
      <c r="G1009">
        <v>0</v>
      </c>
      <c r="L1009" t="s">
        <v>7</v>
      </c>
      <c r="M1009" t="s">
        <v>7</v>
      </c>
      <c r="N1009" t="s">
        <v>8</v>
      </c>
      <c r="P1009">
        <f t="shared" si="1019"/>
        <v>-0.20816326530612431</v>
      </c>
      <c r="Q1009">
        <f t="shared" si="1020"/>
        <v>-1059.6897508163358</v>
      </c>
      <c r="R1009">
        <f t="shared" si="1021"/>
        <v>63260.244983178985</v>
      </c>
      <c r="S1009">
        <f t="shared" si="1022"/>
        <v>0.63260244983178981</v>
      </c>
      <c r="T1009">
        <f t="shared" si="1023"/>
        <v>6.3260244983178978E-4</v>
      </c>
    </row>
    <row r="1010" spans="1:20" x14ac:dyDescent="0.25">
      <c r="A1010" s="5">
        <v>43583</v>
      </c>
      <c r="B1010">
        <v>63</v>
      </c>
      <c r="C1010">
        <v>63.54</v>
      </c>
      <c r="D1010">
        <v>61.42</v>
      </c>
      <c r="E1010">
        <v>62.07</v>
      </c>
      <c r="F1010">
        <v>3725.8152300000002</v>
      </c>
      <c r="G1010">
        <v>0</v>
      </c>
      <c r="L1010" t="s">
        <v>8</v>
      </c>
      <c r="M1010" t="s">
        <v>7</v>
      </c>
      <c r="N1010" t="s">
        <v>8</v>
      </c>
      <c r="P1010">
        <f t="shared" si="1019"/>
        <v>-0.38679245283018926</v>
      </c>
      <c r="Q1010">
        <f t="shared" si="1020"/>
        <v>-1441.1172116037758</v>
      </c>
      <c r="R1010">
        <f t="shared" si="1021"/>
        <v>64319.934733995324</v>
      </c>
      <c r="S1010">
        <f t="shared" si="1022"/>
        <v>0.64319934733995321</v>
      </c>
      <c r="T1010">
        <f t="shared" si="1023"/>
        <v>6.4319934733995325E-4</v>
      </c>
    </row>
    <row r="1011" spans="1:20" x14ac:dyDescent="0.25">
      <c r="A1011" s="5">
        <v>43582</v>
      </c>
      <c r="B1011">
        <v>62.45</v>
      </c>
      <c r="C1011">
        <v>64.58</v>
      </c>
      <c r="D1011">
        <v>62</v>
      </c>
      <c r="E1011">
        <v>63.12</v>
      </c>
      <c r="F1011">
        <v>11767.776019999999</v>
      </c>
      <c r="G1011">
        <v>0</v>
      </c>
      <c r="L1011" t="s">
        <v>8</v>
      </c>
      <c r="M1011" t="s">
        <v>7</v>
      </c>
      <c r="N1011" t="s">
        <v>8</v>
      </c>
      <c r="P1011">
        <f t="shared" si="1019"/>
        <v>-0.13178294573643551</v>
      </c>
      <c r="Q1011">
        <f t="shared" si="1020"/>
        <v>-1550.7921886821869</v>
      </c>
      <c r="R1011">
        <f t="shared" si="1021"/>
        <v>65761.051945599102</v>
      </c>
      <c r="S1011">
        <f t="shared" si="1022"/>
        <v>0.65761051945599103</v>
      </c>
      <c r="T1011">
        <f t="shared" si="1023"/>
        <v>6.5761051945599101E-4</v>
      </c>
    </row>
    <row r="1012" spans="1:20" x14ac:dyDescent="0.25">
      <c r="A1012" s="5">
        <v>43581</v>
      </c>
      <c r="B1012">
        <v>61.7</v>
      </c>
      <c r="C1012">
        <v>65.42</v>
      </c>
      <c r="D1012">
        <v>60.03</v>
      </c>
      <c r="E1012">
        <v>62.5</v>
      </c>
      <c r="F1012">
        <v>13292.24296</v>
      </c>
      <c r="G1012">
        <v>0</v>
      </c>
      <c r="L1012" t="s">
        <v>7</v>
      </c>
      <c r="M1012" t="s">
        <v>7</v>
      </c>
      <c r="N1012" t="s">
        <v>8</v>
      </c>
      <c r="P1012">
        <f t="shared" si="1019"/>
        <v>-8.3487940630798299E-2</v>
      </c>
      <c r="Q1012">
        <f t="shared" si="1020"/>
        <v>-1109.7419910946267</v>
      </c>
      <c r="R1012">
        <f t="shared" si="1021"/>
        <v>67311.844134281288</v>
      </c>
      <c r="S1012">
        <f t="shared" si="1022"/>
        <v>0.67311844134281285</v>
      </c>
      <c r="T1012">
        <f t="shared" si="1023"/>
        <v>6.7311844134281288E-4</v>
      </c>
    </row>
    <row r="1013" spans="1:20" x14ac:dyDescent="0.25">
      <c r="A1013" s="5">
        <v>43580</v>
      </c>
      <c r="B1013">
        <v>67.37</v>
      </c>
      <c r="C1013">
        <v>67.48</v>
      </c>
      <c r="D1013">
        <v>61.49</v>
      </c>
      <c r="E1013">
        <v>61.49</v>
      </c>
      <c r="F1013">
        <v>12369.12256</v>
      </c>
      <c r="G1013">
        <v>0</v>
      </c>
      <c r="L1013" t="s">
        <v>7</v>
      </c>
      <c r="M1013" t="s">
        <v>8</v>
      </c>
      <c r="N1013" t="s">
        <v>8</v>
      </c>
      <c r="P1013">
        <f t="shared" si="1019"/>
        <v>-1</v>
      </c>
      <c r="Q1013">
        <f t="shared" si="1020"/>
        <v>-12369.12256</v>
      </c>
      <c r="R1013">
        <f t="shared" si="1021"/>
        <v>68421.586125375921</v>
      </c>
      <c r="S1013">
        <f t="shared" si="1022"/>
        <v>0.68421586125375922</v>
      </c>
      <c r="T1013">
        <f t="shared" si="1023"/>
        <v>6.8421586125375924E-4</v>
      </c>
    </row>
    <row r="1014" spans="1:20" x14ac:dyDescent="0.25">
      <c r="A1014" s="5">
        <v>43579</v>
      </c>
      <c r="B1014">
        <v>68.290000000000006</v>
      </c>
      <c r="C1014">
        <v>70.45</v>
      </c>
      <c r="D1014">
        <v>64.36</v>
      </c>
      <c r="E1014">
        <v>67.31</v>
      </c>
      <c r="F1014">
        <v>21241.3665</v>
      </c>
      <c r="G1014">
        <v>0</v>
      </c>
      <c r="L1014" t="s">
        <v>7</v>
      </c>
      <c r="M1014" t="s">
        <v>8</v>
      </c>
      <c r="N1014" t="s">
        <v>8</v>
      </c>
      <c r="P1014">
        <f t="shared" si="1019"/>
        <v>-3.1198686371099772E-2</v>
      </c>
      <c r="Q1014">
        <f t="shared" si="1020"/>
        <v>-662.70273152708523</v>
      </c>
      <c r="R1014">
        <f t="shared" si="1021"/>
        <v>80790.708685375925</v>
      </c>
      <c r="S1014">
        <f t="shared" si="1022"/>
        <v>0.80790708685375923</v>
      </c>
      <c r="T1014">
        <f t="shared" si="1023"/>
        <v>8.0790708685375928E-4</v>
      </c>
    </row>
    <row r="1015" spans="1:20" x14ac:dyDescent="0.25">
      <c r="A1015" s="5">
        <v>43578</v>
      </c>
      <c r="B1015">
        <v>68.22</v>
      </c>
      <c r="C1015">
        <v>70.75</v>
      </c>
      <c r="D1015">
        <v>67.44</v>
      </c>
      <c r="E1015">
        <v>68.290000000000006</v>
      </c>
      <c r="F1015">
        <v>16321.115449999999</v>
      </c>
      <c r="G1015">
        <v>0</v>
      </c>
      <c r="L1015" t="s">
        <v>8</v>
      </c>
      <c r="M1015" t="s">
        <v>8</v>
      </c>
      <c r="N1015" t="s">
        <v>8</v>
      </c>
      <c r="P1015">
        <f t="shared" si="1019"/>
        <v>-0.48640483383685323</v>
      </c>
      <c r="Q1015">
        <f t="shared" si="1020"/>
        <v>-7938.6694484893478</v>
      </c>
      <c r="R1015">
        <f t="shared" si="1021"/>
        <v>81453.411416903007</v>
      </c>
      <c r="S1015">
        <f t="shared" si="1022"/>
        <v>0.8145341141690301</v>
      </c>
      <c r="T1015">
        <f t="shared" si="1023"/>
        <v>8.1453411416903014E-4</v>
      </c>
    </row>
    <row r="1016" spans="1:20" x14ac:dyDescent="0.25">
      <c r="A1016" s="5">
        <v>43577</v>
      </c>
      <c r="B1016">
        <v>68.180000000000007</v>
      </c>
      <c r="C1016">
        <v>69.05</v>
      </c>
      <c r="D1016">
        <v>67.19</v>
      </c>
      <c r="E1016">
        <v>68.17</v>
      </c>
      <c r="F1016">
        <v>11642.48789</v>
      </c>
      <c r="G1016">
        <v>0</v>
      </c>
      <c r="L1016" t="s">
        <v>8</v>
      </c>
      <c r="M1016" t="s">
        <v>8</v>
      </c>
      <c r="N1016" t="s">
        <v>8</v>
      </c>
      <c r="P1016">
        <f t="shared" si="1019"/>
        <v>5.3763440860219655E-2</v>
      </c>
      <c r="Q1016">
        <f t="shared" si="1020"/>
        <v>625.94020913983854</v>
      </c>
      <c r="R1016">
        <f t="shared" si="1021"/>
        <v>89392.08086539236</v>
      </c>
      <c r="S1016">
        <f t="shared" si="1022"/>
        <v>0.89392080865392365</v>
      </c>
      <c r="T1016">
        <f t="shared" si="1023"/>
        <v>8.9392080865392364E-4</v>
      </c>
    </row>
    <row r="1017" spans="1:20" x14ac:dyDescent="0.25">
      <c r="A1017" s="5">
        <v>43576</v>
      </c>
      <c r="B1017">
        <v>69.19</v>
      </c>
      <c r="C1017">
        <v>69.989999999999995</v>
      </c>
      <c r="D1017">
        <v>66.45</v>
      </c>
      <c r="E1017">
        <v>68.290000000000006</v>
      </c>
      <c r="F1017">
        <v>5720.0641299999997</v>
      </c>
      <c r="G1017">
        <v>0</v>
      </c>
      <c r="L1017" t="s">
        <v>8</v>
      </c>
      <c r="M1017" t="s">
        <v>8</v>
      </c>
      <c r="N1017" t="s">
        <v>8</v>
      </c>
      <c r="P1017">
        <f t="shared" si="1019"/>
        <v>3.954802259887432E-2</v>
      </c>
      <c r="Q1017">
        <f t="shared" si="1020"/>
        <v>226.21722548025036</v>
      </c>
      <c r="R1017">
        <f t="shared" si="1021"/>
        <v>88766.140656252523</v>
      </c>
      <c r="S1017">
        <f t="shared" si="1022"/>
        <v>0.88766140656252523</v>
      </c>
      <c r="T1017">
        <f t="shared" si="1023"/>
        <v>8.8766140656252527E-4</v>
      </c>
    </row>
    <row r="1018" spans="1:20" x14ac:dyDescent="0.25">
      <c r="A1018" s="5">
        <v>43575</v>
      </c>
      <c r="B1018">
        <v>68.290000000000006</v>
      </c>
      <c r="C1018">
        <v>69.959999999999994</v>
      </c>
      <c r="D1018">
        <v>67.12</v>
      </c>
      <c r="E1018">
        <v>69.349999999999994</v>
      </c>
      <c r="F1018">
        <v>9803.3206900000005</v>
      </c>
      <c r="G1018">
        <v>0</v>
      </c>
      <c r="L1018" t="s">
        <v>8</v>
      </c>
      <c r="M1018" t="s">
        <v>8</v>
      </c>
      <c r="N1018" t="s">
        <v>8</v>
      </c>
      <c r="P1018">
        <f t="shared" si="1019"/>
        <v>0.5704225352112664</v>
      </c>
      <c r="Q1018">
        <f t="shared" si="1020"/>
        <v>5592.0350414788618</v>
      </c>
      <c r="R1018">
        <f t="shared" si="1021"/>
        <v>88539.923430772265</v>
      </c>
      <c r="S1018">
        <f t="shared" si="1022"/>
        <v>0.8853992343077226</v>
      </c>
      <c r="T1018">
        <f t="shared" si="1023"/>
        <v>8.8539923430772257E-4</v>
      </c>
    </row>
    <row r="1019" spans="1:20" x14ac:dyDescent="0.25">
      <c r="A1019" s="5">
        <v>43574</v>
      </c>
      <c r="B1019">
        <v>68.709999999999994</v>
      </c>
      <c r="C1019">
        <v>69.400000000000006</v>
      </c>
      <c r="D1019">
        <v>67.03</v>
      </c>
      <c r="E1019">
        <v>68.27</v>
      </c>
      <c r="F1019">
        <v>6030.1985800000002</v>
      </c>
      <c r="G1019">
        <v>0</v>
      </c>
      <c r="L1019" t="s">
        <v>8</v>
      </c>
      <c r="M1019" t="s">
        <v>8</v>
      </c>
      <c r="N1019" t="s">
        <v>8</v>
      </c>
      <c r="P1019">
        <f t="shared" si="1019"/>
        <v>4.6413502109698315E-2</v>
      </c>
      <c r="Q1019">
        <f t="shared" si="1020"/>
        <v>279.88263451472977</v>
      </c>
      <c r="R1019">
        <f t="shared" si="1021"/>
        <v>82947.88838929341</v>
      </c>
      <c r="S1019">
        <f t="shared" si="1022"/>
        <v>0.82947888389293412</v>
      </c>
      <c r="T1019">
        <f t="shared" si="1023"/>
        <v>8.2947888389293413E-4</v>
      </c>
    </row>
    <row r="1020" spans="1:20" x14ac:dyDescent="0.25">
      <c r="A1020" s="5">
        <v>43573</v>
      </c>
      <c r="B1020">
        <v>67.02</v>
      </c>
      <c r="C1020">
        <v>69.88</v>
      </c>
      <c r="D1020">
        <v>67.02</v>
      </c>
      <c r="E1020">
        <v>68.739999999999995</v>
      </c>
      <c r="F1020">
        <v>8005.3247799999999</v>
      </c>
      <c r="G1020">
        <v>0</v>
      </c>
      <c r="L1020" t="s">
        <v>8</v>
      </c>
      <c r="M1020" t="s">
        <v>8</v>
      </c>
      <c r="N1020" t="s">
        <v>8</v>
      </c>
      <c r="P1020">
        <f t="shared" si="1019"/>
        <v>0.20279720279720223</v>
      </c>
      <c r="Q1020">
        <f t="shared" si="1020"/>
        <v>1623.4574728671282</v>
      </c>
      <c r="R1020">
        <f t="shared" si="1021"/>
        <v>82668.005754778686</v>
      </c>
      <c r="S1020">
        <f t="shared" si="1022"/>
        <v>0.82668005754778684</v>
      </c>
      <c r="T1020">
        <f t="shared" si="1023"/>
        <v>8.2668005754778684E-4</v>
      </c>
    </row>
    <row r="1021" spans="1:20" x14ac:dyDescent="0.25">
      <c r="A1021" s="5">
        <v>43572</v>
      </c>
      <c r="B1021">
        <v>68.16</v>
      </c>
      <c r="C1021">
        <v>69.400000000000006</v>
      </c>
      <c r="D1021">
        <v>66.23</v>
      </c>
      <c r="E1021">
        <v>67.010000000000005</v>
      </c>
      <c r="F1021">
        <v>8379.5772300000008</v>
      </c>
      <c r="G1021">
        <v>0</v>
      </c>
      <c r="L1021" t="s">
        <v>8</v>
      </c>
      <c r="M1021" t="s">
        <v>8</v>
      </c>
      <c r="N1021" t="s">
        <v>8</v>
      </c>
      <c r="P1021">
        <f t="shared" si="1019"/>
        <v>-0.50788643533122979</v>
      </c>
      <c r="Q1021">
        <f t="shared" si="1020"/>
        <v>-4255.8736089274407</v>
      </c>
      <c r="R1021">
        <f t="shared" si="1021"/>
        <v>81044.548281911557</v>
      </c>
      <c r="S1021">
        <f t="shared" si="1022"/>
        <v>0.81044548281911555</v>
      </c>
      <c r="T1021">
        <f t="shared" si="1023"/>
        <v>8.1044548281911555E-4</v>
      </c>
    </row>
    <row r="1022" spans="1:20" x14ac:dyDescent="0.25">
      <c r="A1022" s="5">
        <v>43571</v>
      </c>
      <c r="B1022">
        <v>63.81</v>
      </c>
      <c r="C1022">
        <v>69.66</v>
      </c>
      <c r="D1022">
        <v>63.41</v>
      </c>
      <c r="E1022">
        <v>68.16</v>
      </c>
      <c r="F1022">
        <v>10606.91949</v>
      </c>
      <c r="G1022">
        <v>0</v>
      </c>
      <c r="L1022" t="s">
        <v>8</v>
      </c>
      <c r="M1022" t="s">
        <v>8</v>
      </c>
      <c r="N1022" t="s">
        <v>8</v>
      </c>
      <c r="P1022">
        <f t="shared" si="1019"/>
        <v>0.52</v>
      </c>
      <c r="Q1022">
        <f t="shared" si="1020"/>
        <v>5515.5981348000005</v>
      </c>
      <c r="R1022">
        <f t="shared" si="1021"/>
        <v>85300.421890839003</v>
      </c>
      <c r="S1022">
        <f t="shared" si="1022"/>
        <v>0.85300421890839007</v>
      </c>
      <c r="T1022">
        <f t="shared" si="1023"/>
        <v>8.5300421890839009E-4</v>
      </c>
    </row>
    <row r="1023" spans="1:20" x14ac:dyDescent="0.25">
      <c r="A1023" s="5">
        <v>43570</v>
      </c>
      <c r="B1023">
        <v>66.319999999999993</v>
      </c>
      <c r="C1023">
        <v>66.819999999999993</v>
      </c>
      <c r="D1023">
        <v>63.27</v>
      </c>
      <c r="E1023">
        <v>63.91</v>
      </c>
      <c r="F1023">
        <v>6987.3794099999996</v>
      </c>
      <c r="G1023">
        <v>0</v>
      </c>
      <c r="L1023" t="s">
        <v>7</v>
      </c>
      <c r="M1023" t="s">
        <v>8</v>
      </c>
      <c r="N1023" t="s">
        <v>8</v>
      </c>
      <c r="P1023">
        <f t="shared" ref="P1023:P1054" si="1024">IF(C1023=D1023,0,((E1023-D1023)-(C1023-E1023))/(C1023-D1023))</f>
        <v>-0.63943661971831256</v>
      </c>
      <c r="Q1023">
        <f t="shared" ref="Q1023:Q1054" si="1025">F1023*P1023</f>
        <v>-4467.9862706197373</v>
      </c>
      <c r="R1023">
        <f t="shared" ref="R1023:R1054" si="1026">R1024+Q1023</f>
        <v>79784.823756038997</v>
      </c>
      <c r="S1023">
        <f t="shared" ref="S1023:S1054" si="1027">R1023/100000</f>
        <v>0.79784823756038992</v>
      </c>
      <c r="T1023">
        <f t="shared" ref="T1023:T1054" si="1028">S1023/1000</f>
        <v>7.9784823756038996E-4</v>
      </c>
    </row>
    <row r="1024" spans="1:20" x14ac:dyDescent="0.25">
      <c r="A1024" s="5">
        <v>43569</v>
      </c>
      <c r="B1024">
        <v>64.819999999999993</v>
      </c>
      <c r="C1024">
        <v>67</v>
      </c>
      <c r="D1024">
        <v>63.81</v>
      </c>
      <c r="E1024">
        <v>66.25</v>
      </c>
      <c r="F1024">
        <v>9393.3098800000007</v>
      </c>
      <c r="G1024">
        <v>0</v>
      </c>
      <c r="L1024" t="s">
        <v>7</v>
      </c>
      <c r="M1024" t="s">
        <v>8</v>
      </c>
      <c r="N1024" t="s">
        <v>8</v>
      </c>
      <c r="P1024">
        <f t="shared" si="1024"/>
        <v>0.52978056426332254</v>
      </c>
      <c r="Q1024">
        <f t="shared" si="1025"/>
        <v>4976.3930085266429</v>
      </c>
      <c r="R1024">
        <f t="shared" si="1026"/>
        <v>84252.810026658728</v>
      </c>
      <c r="S1024">
        <f t="shared" si="1027"/>
        <v>0.84252810026658731</v>
      </c>
      <c r="T1024">
        <f t="shared" si="1028"/>
        <v>8.4252810026658729E-4</v>
      </c>
    </row>
    <row r="1025" spans="1:20" x14ac:dyDescent="0.25">
      <c r="A1025" s="5">
        <v>43568</v>
      </c>
      <c r="B1025">
        <v>65.39</v>
      </c>
      <c r="C1025">
        <v>67.36</v>
      </c>
      <c r="D1025">
        <v>63.07</v>
      </c>
      <c r="E1025">
        <v>64.92</v>
      </c>
      <c r="F1025">
        <v>9722.9117499999993</v>
      </c>
      <c r="G1025">
        <v>0</v>
      </c>
      <c r="L1025" t="s">
        <v>7</v>
      </c>
      <c r="M1025" t="s">
        <v>8</v>
      </c>
      <c r="N1025" t="s">
        <v>8</v>
      </c>
      <c r="P1025">
        <f t="shared" si="1024"/>
        <v>-0.1375291375291367</v>
      </c>
      <c r="Q1025">
        <f t="shared" si="1025"/>
        <v>-1337.1836672494092</v>
      </c>
      <c r="R1025">
        <f t="shared" si="1026"/>
        <v>79276.417018132081</v>
      </c>
      <c r="S1025">
        <f t="shared" si="1027"/>
        <v>0.79276417018132084</v>
      </c>
      <c r="T1025">
        <f t="shared" si="1028"/>
        <v>7.9276417018132081E-4</v>
      </c>
    </row>
    <row r="1026" spans="1:20" x14ac:dyDescent="0.25">
      <c r="A1026" s="5">
        <v>43567</v>
      </c>
      <c r="B1026">
        <v>66.099999999999994</v>
      </c>
      <c r="C1026">
        <v>68.5</v>
      </c>
      <c r="D1026">
        <v>64.36</v>
      </c>
      <c r="E1026">
        <v>65.73</v>
      </c>
      <c r="F1026">
        <v>12377.684279999999</v>
      </c>
      <c r="G1026">
        <v>0</v>
      </c>
      <c r="L1026" t="s">
        <v>8</v>
      </c>
      <c r="M1026" t="s">
        <v>8</v>
      </c>
      <c r="N1026" t="s">
        <v>8</v>
      </c>
      <c r="P1026">
        <f t="shared" si="1024"/>
        <v>-0.33816425120772736</v>
      </c>
      <c r="Q1026">
        <f t="shared" si="1025"/>
        <v>-4185.6903362318581</v>
      </c>
      <c r="R1026">
        <f t="shared" si="1026"/>
        <v>80613.600685381491</v>
      </c>
      <c r="S1026">
        <f t="shared" si="1027"/>
        <v>0.80613600685381492</v>
      </c>
      <c r="T1026">
        <f t="shared" si="1028"/>
        <v>8.0613600685381487E-4</v>
      </c>
    </row>
    <row r="1027" spans="1:20" x14ac:dyDescent="0.25">
      <c r="A1027" s="5">
        <v>43566</v>
      </c>
      <c r="B1027">
        <v>70.64</v>
      </c>
      <c r="C1027">
        <v>71.17</v>
      </c>
      <c r="D1027">
        <v>61.51</v>
      </c>
      <c r="E1027">
        <v>65.97</v>
      </c>
      <c r="F1027">
        <v>17040.10943</v>
      </c>
      <c r="G1027">
        <v>0</v>
      </c>
      <c r="L1027" t="s">
        <v>7</v>
      </c>
      <c r="M1027" t="s">
        <v>8</v>
      </c>
      <c r="N1027" t="s">
        <v>8</v>
      </c>
      <c r="P1027">
        <f t="shared" si="1024"/>
        <v>-7.6604554865424612E-2</v>
      </c>
      <c r="Q1027">
        <f t="shared" si="1025"/>
        <v>-1305.3499977432743</v>
      </c>
      <c r="R1027">
        <f t="shared" si="1026"/>
        <v>84799.291021613346</v>
      </c>
      <c r="S1027">
        <f t="shared" si="1027"/>
        <v>0.84799291021613343</v>
      </c>
      <c r="T1027">
        <f t="shared" si="1028"/>
        <v>8.4799291021613347E-4</v>
      </c>
    </row>
    <row r="1028" spans="1:20" x14ac:dyDescent="0.25">
      <c r="A1028" s="5">
        <v>43565</v>
      </c>
      <c r="B1028">
        <v>67.75</v>
      </c>
      <c r="C1028">
        <v>72</v>
      </c>
      <c r="D1028">
        <v>67.489999999999995</v>
      </c>
      <c r="E1028">
        <v>70.86</v>
      </c>
      <c r="F1028">
        <v>13288.043890000001</v>
      </c>
      <c r="G1028">
        <v>0</v>
      </c>
      <c r="L1028" t="s">
        <v>7</v>
      </c>
      <c r="M1028" t="s">
        <v>8</v>
      </c>
      <c r="N1028" t="s">
        <v>8</v>
      </c>
      <c r="P1028">
        <f t="shared" si="1024"/>
        <v>0.494456762749446</v>
      </c>
      <c r="Q1028">
        <f t="shared" si="1025"/>
        <v>6570.3631651219557</v>
      </c>
      <c r="R1028">
        <f t="shared" si="1026"/>
        <v>86104.641019356626</v>
      </c>
      <c r="S1028">
        <f t="shared" si="1027"/>
        <v>0.86104641019356631</v>
      </c>
      <c r="T1028">
        <f t="shared" si="1028"/>
        <v>8.6104641019356637E-4</v>
      </c>
    </row>
    <row r="1029" spans="1:20" x14ac:dyDescent="0.25">
      <c r="A1029" s="5">
        <v>43564</v>
      </c>
      <c r="B1029">
        <v>70.42</v>
      </c>
      <c r="C1029">
        <v>70.55</v>
      </c>
      <c r="D1029">
        <v>66.819999999999993</v>
      </c>
      <c r="E1029">
        <v>67.75</v>
      </c>
      <c r="F1029">
        <v>14689.79196</v>
      </c>
      <c r="G1029">
        <v>0</v>
      </c>
      <c r="L1029" t="s">
        <v>7</v>
      </c>
      <c r="M1029" t="s">
        <v>8</v>
      </c>
      <c r="N1029" t="s">
        <v>8</v>
      </c>
      <c r="P1029">
        <f t="shared" si="1024"/>
        <v>-0.50134048257372343</v>
      </c>
      <c r="Q1029">
        <f t="shared" si="1025"/>
        <v>-7364.5873901340028</v>
      </c>
      <c r="R1029">
        <f t="shared" si="1026"/>
        <v>79534.277854234664</v>
      </c>
      <c r="S1029">
        <f t="shared" si="1027"/>
        <v>0.7953427785423467</v>
      </c>
      <c r="T1029">
        <f t="shared" si="1028"/>
        <v>7.9534277854234668E-4</v>
      </c>
    </row>
    <row r="1030" spans="1:20" x14ac:dyDescent="0.25">
      <c r="A1030" s="5">
        <v>43563</v>
      </c>
      <c r="B1030">
        <v>69.349999999999994</v>
      </c>
      <c r="C1030">
        <v>72.27</v>
      </c>
      <c r="D1030">
        <v>67.400000000000006</v>
      </c>
      <c r="E1030">
        <v>70.47</v>
      </c>
      <c r="F1030">
        <v>17181.606790000002</v>
      </c>
      <c r="G1030">
        <v>0</v>
      </c>
      <c r="L1030" t="s">
        <v>8</v>
      </c>
      <c r="M1030" t="s">
        <v>8</v>
      </c>
      <c r="N1030" t="s">
        <v>8</v>
      </c>
      <c r="P1030">
        <f t="shared" si="1024"/>
        <v>0.26078028747433235</v>
      </c>
      <c r="Q1030">
        <f t="shared" si="1025"/>
        <v>4480.6243579671409</v>
      </c>
      <c r="R1030">
        <f t="shared" si="1026"/>
        <v>86898.865244368673</v>
      </c>
      <c r="S1030">
        <f t="shared" si="1027"/>
        <v>0.86898865244368673</v>
      </c>
      <c r="T1030">
        <f t="shared" si="1028"/>
        <v>8.6898865244368676E-4</v>
      </c>
    </row>
    <row r="1031" spans="1:20" x14ac:dyDescent="0.25">
      <c r="A1031" s="5">
        <v>43562</v>
      </c>
      <c r="B1031">
        <v>67.87</v>
      </c>
      <c r="C1031">
        <v>70.09</v>
      </c>
      <c r="D1031">
        <v>67.63</v>
      </c>
      <c r="E1031">
        <v>69.34</v>
      </c>
      <c r="F1031">
        <v>6695.7328799999996</v>
      </c>
      <c r="G1031">
        <v>0</v>
      </c>
      <c r="L1031" t="s">
        <v>8</v>
      </c>
      <c r="M1031" t="s">
        <v>8</v>
      </c>
      <c r="N1031" t="s">
        <v>8</v>
      </c>
      <c r="P1031">
        <f t="shared" si="1024"/>
        <v>0.39024390243902635</v>
      </c>
      <c r="Q1031">
        <f t="shared" si="1025"/>
        <v>2612.9689287805008</v>
      </c>
      <c r="R1031">
        <f t="shared" si="1026"/>
        <v>82418.240886401531</v>
      </c>
      <c r="S1031">
        <f t="shared" si="1027"/>
        <v>0.82418240886401528</v>
      </c>
      <c r="T1031">
        <f t="shared" si="1028"/>
        <v>8.2418240886401525E-4</v>
      </c>
    </row>
    <row r="1032" spans="1:20" x14ac:dyDescent="0.25">
      <c r="A1032" s="5">
        <v>43561</v>
      </c>
      <c r="B1032">
        <v>68.930000000000007</v>
      </c>
      <c r="C1032">
        <v>69.97</v>
      </c>
      <c r="D1032">
        <v>66.319999999999993</v>
      </c>
      <c r="E1032">
        <v>67.819999999999993</v>
      </c>
      <c r="F1032">
        <v>16698.186420000002</v>
      </c>
      <c r="G1032">
        <v>0</v>
      </c>
      <c r="L1032" t="s">
        <v>8</v>
      </c>
      <c r="M1032" t="s">
        <v>8</v>
      </c>
      <c r="N1032" t="s">
        <v>8</v>
      </c>
      <c r="P1032">
        <f t="shared" si="1024"/>
        <v>-0.17808219178082318</v>
      </c>
      <c r="Q1032">
        <f t="shared" si="1025"/>
        <v>-2973.6496364383775</v>
      </c>
      <c r="R1032">
        <f t="shared" si="1026"/>
        <v>79805.271957621037</v>
      </c>
      <c r="S1032">
        <f t="shared" si="1027"/>
        <v>0.79805271957621038</v>
      </c>
      <c r="T1032">
        <f t="shared" si="1028"/>
        <v>7.9805271957621041E-4</v>
      </c>
    </row>
    <row r="1033" spans="1:20" x14ac:dyDescent="0.25">
      <c r="A1033" s="5">
        <v>43560</v>
      </c>
      <c r="B1033">
        <v>63.77</v>
      </c>
      <c r="C1033">
        <v>69.08</v>
      </c>
      <c r="D1033">
        <v>63.22</v>
      </c>
      <c r="E1033">
        <v>69.08</v>
      </c>
      <c r="F1033">
        <v>16267.280199999999</v>
      </c>
      <c r="G1033">
        <v>0</v>
      </c>
      <c r="L1033" t="s">
        <v>8</v>
      </c>
      <c r="M1033" t="s">
        <v>7</v>
      </c>
      <c r="N1033" t="s">
        <v>8</v>
      </c>
      <c r="P1033">
        <f t="shared" si="1024"/>
        <v>1</v>
      </c>
      <c r="Q1033">
        <f t="shared" si="1025"/>
        <v>16267.280199999999</v>
      </c>
      <c r="R1033">
        <f t="shared" si="1026"/>
        <v>82778.921594059415</v>
      </c>
      <c r="S1033">
        <f t="shared" si="1027"/>
        <v>0.82778921594059418</v>
      </c>
      <c r="T1033">
        <f t="shared" si="1028"/>
        <v>8.2778921594059418E-4</v>
      </c>
    </row>
    <row r="1034" spans="1:20" x14ac:dyDescent="0.25">
      <c r="A1034" s="5">
        <v>43559</v>
      </c>
      <c r="B1034">
        <v>65.88</v>
      </c>
      <c r="C1034">
        <v>66.77</v>
      </c>
      <c r="D1034">
        <v>61.15</v>
      </c>
      <c r="E1034">
        <v>63.57</v>
      </c>
      <c r="F1034">
        <v>14457.308720000001</v>
      </c>
      <c r="G1034">
        <v>0</v>
      </c>
      <c r="L1034" t="s">
        <v>7</v>
      </c>
      <c r="M1034" t="s">
        <v>7</v>
      </c>
      <c r="N1034" t="s">
        <v>8</v>
      </c>
      <c r="P1034">
        <f t="shared" si="1024"/>
        <v>-0.13879003558718761</v>
      </c>
      <c r="Q1034">
        <f t="shared" si="1025"/>
        <v>-2006.5303917437579</v>
      </c>
      <c r="R1034">
        <f t="shared" si="1026"/>
        <v>66511.641394059421</v>
      </c>
      <c r="S1034">
        <f t="shared" si="1027"/>
        <v>0.66511641394059418</v>
      </c>
      <c r="T1034">
        <f t="shared" si="1028"/>
        <v>6.6511641394059414E-4</v>
      </c>
    </row>
    <row r="1035" spans="1:20" x14ac:dyDescent="0.25">
      <c r="A1035" s="5">
        <v>43558</v>
      </c>
      <c r="B1035">
        <v>68.83</v>
      </c>
      <c r="C1035">
        <v>72.900000000000006</v>
      </c>
      <c r="D1035">
        <v>60.01</v>
      </c>
      <c r="E1035">
        <v>65.88</v>
      </c>
      <c r="F1035">
        <v>36232.356809999997</v>
      </c>
      <c r="G1035">
        <v>0</v>
      </c>
      <c r="L1035" t="s">
        <v>8</v>
      </c>
      <c r="M1035" t="s">
        <v>7</v>
      </c>
      <c r="N1035" t="s">
        <v>8</v>
      </c>
      <c r="P1035">
        <f t="shared" si="1024"/>
        <v>-8.9216446858030415E-2</v>
      </c>
      <c r="Q1035">
        <f t="shared" si="1025"/>
        <v>-3232.5221358805611</v>
      </c>
      <c r="R1035">
        <f t="shared" si="1026"/>
        <v>68518.171785803177</v>
      </c>
      <c r="S1035">
        <f t="shared" si="1027"/>
        <v>0.68518171785803172</v>
      </c>
      <c r="T1035">
        <f t="shared" si="1028"/>
        <v>6.8518171785803168E-4</v>
      </c>
    </row>
    <row r="1036" spans="1:20" x14ac:dyDescent="0.25">
      <c r="A1036" s="5">
        <v>43557</v>
      </c>
      <c r="B1036">
        <v>60.05</v>
      </c>
      <c r="C1036">
        <v>70</v>
      </c>
      <c r="D1036">
        <v>58.87</v>
      </c>
      <c r="E1036">
        <v>68.94</v>
      </c>
      <c r="F1036">
        <v>31894.06812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0.8095238095238092</v>
      </c>
      <c r="Q1036">
        <f t="shared" si="1025"/>
        <v>25819.007525714274</v>
      </c>
      <c r="R1036">
        <f t="shared" si="1026"/>
        <v>71750.693921683735</v>
      </c>
      <c r="S1036">
        <f t="shared" si="1027"/>
        <v>0.71750693921683739</v>
      </c>
      <c r="T1036">
        <f t="shared" si="1028"/>
        <v>7.1750693921683736E-4</v>
      </c>
    </row>
    <row r="1037" spans="1:20" x14ac:dyDescent="0.25">
      <c r="A1037" s="5">
        <v>43556</v>
      </c>
      <c r="B1037">
        <v>56.01</v>
      </c>
      <c r="C1037">
        <v>60.5</v>
      </c>
      <c r="D1037">
        <v>55.66</v>
      </c>
      <c r="E1037">
        <v>60.13</v>
      </c>
      <c r="F1037">
        <v>16485.98216</v>
      </c>
      <c r="G1037">
        <v>0</v>
      </c>
      <c r="L1037" t="s">
        <v>8</v>
      </c>
      <c r="M1037" t="s">
        <v>8</v>
      </c>
      <c r="N1037" t="s">
        <v>8</v>
      </c>
      <c r="P1037">
        <f t="shared" si="1024"/>
        <v>0.8471074380165301</v>
      </c>
      <c r="Q1037">
        <f t="shared" si="1025"/>
        <v>13965.398110743821</v>
      </c>
      <c r="R1037">
        <f t="shared" si="1026"/>
        <v>45931.686395969467</v>
      </c>
      <c r="S1037">
        <f t="shared" si="1027"/>
        <v>0.45931686395969468</v>
      </c>
      <c r="T1037">
        <f t="shared" si="1028"/>
        <v>4.5931686395969467E-4</v>
      </c>
    </row>
    <row r="1038" spans="1:20" x14ac:dyDescent="0.25">
      <c r="A1038" s="5">
        <v>43555</v>
      </c>
      <c r="B1038">
        <v>53.5</v>
      </c>
      <c r="C1038">
        <v>56.83</v>
      </c>
      <c r="D1038">
        <v>50.56</v>
      </c>
      <c r="E1038">
        <v>56.07</v>
      </c>
      <c r="F1038">
        <v>12798.87428</v>
      </c>
      <c r="G1038">
        <v>0</v>
      </c>
      <c r="L1038" t="s">
        <v>8</v>
      </c>
      <c r="M1038" t="s">
        <v>8</v>
      </c>
      <c r="N1038" t="s">
        <v>8</v>
      </c>
      <c r="P1038">
        <f t="shared" si="1024"/>
        <v>0.75757575757575801</v>
      </c>
      <c r="Q1038">
        <f t="shared" si="1025"/>
        <v>9696.1168787878851</v>
      </c>
      <c r="R1038">
        <f t="shared" si="1026"/>
        <v>31966.288285225644</v>
      </c>
      <c r="S1038">
        <f t="shared" si="1027"/>
        <v>0.31966288285225647</v>
      </c>
      <c r="T1038">
        <f t="shared" si="1028"/>
        <v>3.1966288285225649E-4</v>
      </c>
    </row>
    <row r="1039" spans="1:20" x14ac:dyDescent="0.25">
      <c r="A1039" s="5">
        <v>43554</v>
      </c>
      <c r="B1039">
        <v>53.58</v>
      </c>
      <c r="C1039">
        <v>54</v>
      </c>
      <c r="D1039">
        <v>53.01</v>
      </c>
      <c r="E1039">
        <v>53.53</v>
      </c>
      <c r="F1039">
        <v>3337.9065000000001</v>
      </c>
      <c r="G1039">
        <v>0</v>
      </c>
      <c r="L1039" t="s">
        <v>8</v>
      </c>
      <c r="M1039" t="s">
        <v>8</v>
      </c>
      <c r="N1039" t="s">
        <v>8</v>
      </c>
      <c r="P1039">
        <f t="shared" si="1024"/>
        <v>5.0505050505054709E-2</v>
      </c>
      <c r="Q1039">
        <f t="shared" si="1025"/>
        <v>168.58113636365039</v>
      </c>
      <c r="R1039">
        <f t="shared" si="1026"/>
        <v>22270.171406437759</v>
      </c>
      <c r="S1039">
        <f t="shared" si="1027"/>
        <v>0.22270171406437758</v>
      </c>
      <c r="T1039">
        <f t="shared" si="1028"/>
        <v>2.2270171406437759E-4</v>
      </c>
    </row>
    <row r="1040" spans="1:20" x14ac:dyDescent="0.25">
      <c r="A1040" s="5">
        <v>43553</v>
      </c>
      <c r="B1040">
        <v>52.57</v>
      </c>
      <c r="C1040">
        <v>54.15</v>
      </c>
      <c r="D1040">
        <v>52.18</v>
      </c>
      <c r="E1040">
        <v>53.72</v>
      </c>
      <c r="F1040">
        <v>6652.5472399999999</v>
      </c>
      <c r="G1040">
        <v>0</v>
      </c>
      <c r="L1040" t="s">
        <v>8</v>
      </c>
      <c r="M1040" t="s">
        <v>8</v>
      </c>
      <c r="N1040" t="s">
        <v>8</v>
      </c>
      <c r="P1040">
        <f t="shared" si="1024"/>
        <v>0.56345177664974622</v>
      </c>
      <c r="Q1040">
        <f t="shared" si="1025"/>
        <v>3748.3895616243653</v>
      </c>
      <c r="R1040">
        <f t="shared" si="1026"/>
        <v>22101.59027007411</v>
      </c>
      <c r="S1040">
        <f t="shared" si="1027"/>
        <v>0.22101590270074109</v>
      </c>
      <c r="T1040">
        <f t="shared" si="1028"/>
        <v>2.2101590270074109E-4</v>
      </c>
    </row>
    <row r="1041" spans="1:20" x14ac:dyDescent="0.25">
      <c r="A1041" s="5">
        <v>43552</v>
      </c>
      <c r="B1041">
        <v>53.27</v>
      </c>
      <c r="C1041">
        <v>53.35</v>
      </c>
      <c r="D1041">
        <v>52.18</v>
      </c>
      <c r="E1041">
        <v>52.8</v>
      </c>
      <c r="F1041">
        <v>8971.5571199999995</v>
      </c>
      <c r="G1041">
        <v>0</v>
      </c>
      <c r="L1041" t="s">
        <v>8</v>
      </c>
      <c r="M1041" t="s">
        <v>8</v>
      </c>
      <c r="N1041" t="s">
        <v>8</v>
      </c>
      <c r="P1041">
        <f t="shared" si="1024"/>
        <v>5.9829059829053913E-2</v>
      </c>
      <c r="Q1041">
        <f t="shared" si="1025"/>
        <v>536.75982769225459</v>
      </c>
      <c r="R1041">
        <f t="shared" si="1026"/>
        <v>18353.200708449745</v>
      </c>
      <c r="S1041">
        <f t="shared" si="1027"/>
        <v>0.18353200708449746</v>
      </c>
      <c r="T1041">
        <f t="shared" si="1028"/>
        <v>1.8353200708449746E-4</v>
      </c>
    </row>
    <row r="1042" spans="1:20" x14ac:dyDescent="0.25">
      <c r="A1042" s="5">
        <v>43551</v>
      </c>
      <c r="B1042">
        <v>51.81</v>
      </c>
      <c r="C1042">
        <v>53.6</v>
      </c>
      <c r="D1042">
        <v>51.67</v>
      </c>
      <c r="E1042">
        <v>53.48</v>
      </c>
      <c r="F1042">
        <v>4570.7098400000004</v>
      </c>
      <c r="G1042">
        <v>0</v>
      </c>
      <c r="L1042" t="s">
        <v>8</v>
      </c>
      <c r="M1042" t="s">
        <v>8</v>
      </c>
      <c r="N1042" t="s">
        <v>8</v>
      </c>
      <c r="P1042">
        <f t="shared" si="1024"/>
        <v>0.87564766839377761</v>
      </c>
      <c r="Q1042">
        <f t="shared" si="1025"/>
        <v>4002.3314143004968</v>
      </c>
      <c r="R1042">
        <f t="shared" si="1026"/>
        <v>17816.440880757491</v>
      </c>
      <c r="S1042">
        <f t="shared" si="1027"/>
        <v>0.17816440880757492</v>
      </c>
      <c r="T1042">
        <f t="shared" si="1028"/>
        <v>1.7816440880757492E-4</v>
      </c>
    </row>
    <row r="1043" spans="1:20" x14ac:dyDescent="0.25">
      <c r="A1043" s="5">
        <v>43550</v>
      </c>
      <c r="B1043">
        <v>51.28</v>
      </c>
      <c r="C1043">
        <v>52.05</v>
      </c>
      <c r="D1043">
        <v>49.76</v>
      </c>
      <c r="E1043">
        <v>51.74</v>
      </c>
      <c r="F1043">
        <v>5716.8166899999997</v>
      </c>
      <c r="G1043">
        <v>0</v>
      </c>
      <c r="L1043" t="s">
        <v>7</v>
      </c>
      <c r="M1043" t="s">
        <v>8</v>
      </c>
      <c r="N1043" t="s">
        <v>8</v>
      </c>
      <c r="P1043">
        <f t="shared" si="1024"/>
        <v>0.72925764192140152</v>
      </c>
      <c r="Q1043">
        <f t="shared" si="1025"/>
        <v>4169.0322586463117</v>
      </c>
      <c r="R1043">
        <f t="shared" si="1026"/>
        <v>13814.109466456994</v>
      </c>
      <c r="S1043">
        <f t="shared" si="1027"/>
        <v>0.13814109466456995</v>
      </c>
      <c r="T1043">
        <f t="shared" si="1028"/>
        <v>1.3814109466456996E-4</v>
      </c>
    </row>
    <row r="1044" spans="1:20" x14ac:dyDescent="0.25">
      <c r="A1044" s="5">
        <v>43549</v>
      </c>
      <c r="B1044">
        <v>52.57</v>
      </c>
      <c r="C1044">
        <v>52.92</v>
      </c>
      <c r="D1044">
        <v>50</v>
      </c>
      <c r="E1044">
        <v>51.21</v>
      </c>
      <c r="F1044">
        <v>8674.6047299999991</v>
      </c>
      <c r="G1044">
        <v>0</v>
      </c>
      <c r="L1044" t="s">
        <v>7</v>
      </c>
      <c r="M1044" t="s">
        <v>8</v>
      </c>
      <c r="N1044" t="s">
        <v>8</v>
      </c>
      <c r="P1044">
        <f t="shared" si="1024"/>
        <v>-0.17123287671232867</v>
      </c>
      <c r="Q1044">
        <f t="shared" si="1025"/>
        <v>-1485.3775222602731</v>
      </c>
      <c r="R1044">
        <f t="shared" si="1026"/>
        <v>9645.077207810682</v>
      </c>
      <c r="S1044">
        <f t="shared" si="1027"/>
        <v>9.6450772078106817E-2</v>
      </c>
      <c r="T1044">
        <f t="shared" si="1028"/>
        <v>9.645077207810681E-5</v>
      </c>
    </row>
    <row r="1045" spans="1:20" x14ac:dyDescent="0.25">
      <c r="A1045" s="5">
        <v>43548</v>
      </c>
      <c r="B1045">
        <v>52.56</v>
      </c>
      <c r="C1045">
        <v>52.89</v>
      </c>
      <c r="D1045">
        <v>52.2</v>
      </c>
      <c r="E1045">
        <v>52.64</v>
      </c>
      <c r="F1045">
        <v>3765.4259699999998</v>
      </c>
      <c r="G1045">
        <v>0</v>
      </c>
      <c r="L1045" t="s">
        <v>7</v>
      </c>
      <c r="M1045" t="s">
        <v>8</v>
      </c>
      <c r="N1045" t="s">
        <v>8</v>
      </c>
      <c r="P1045">
        <f t="shared" si="1024"/>
        <v>0.27536231884057732</v>
      </c>
      <c r="Q1045">
        <f t="shared" si="1025"/>
        <v>1036.8564265217301</v>
      </c>
      <c r="R1045">
        <f t="shared" si="1026"/>
        <v>11130.454730070955</v>
      </c>
      <c r="S1045">
        <f t="shared" si="1027"/>
        <v>0.11130454730070954</v>
      </c>
      <c r="T1045">
        <f t="shared" si="1028"/>
        <v>1.1130454730070954E-4</v>
      </c>
    </row>
    <row r="1046" spans="1:20" x14ac:dyDescent="0.25">
      <c r="A1046" s="5">
        <v>43547</v>
      </c>
      <c r="B1046">
        <v>52.9</v>
      </c>
      <c r="C1046">
        <v>53.25</v>
      </c>
      <c r="D1046">
        <v>51.93</v>
      </c>
      <c r="E1046">
        <v>52.67</v>
      </c>
      <c r="F1046">
        <v>4902.6471899999997</v>
      </c>
      <c r="G1046">
        <v>0</v>
      </c>
      <c r="L1046" t="s">
        <v>7</v>
      </c>
      <c r="M1046" t="s">
        <v>8</v>
      </c>
      <c r="N1046" t="s">
        <v>8</v>
      </c>
      <c r="P1046">
        <f t="shared" si="1024"/>
        <v>0.12121212121212399</v>
      </c>
      <c r="Q1046">
        <f t="shared" si="1025"/>
        <v>594.26026545455909</v>
      </c>
      <c r="R1046">
        <f t="shared" si="1026"/>
        <v>10093.598303549225</v>
      </c>
      <c r="S1046">
        <f t="shared" si="1027"/>
        <v>0.10093598303549224</v>
      </c>
      <c r="T1046">
        <f t="shared" si="1028"/>
        <v>1.0093598303549224E-4</v>
      </c>
    </row>
    <row r="1047" spans="1:20" x14ac:dyDescent="0.25">
      <c r="A1047" s="5">
        <v>43546</v>
      </c>
      <c r="B1047">
        <v>52.22</v>
      </c>
      <c r="C1047">
        <v>53.25</v>
      </c>
      <c r="D1047">
        <v>51.83</v>
      </c>
      <c r="E1047">
        <v>52.66</v>
      </c>
      <c r="F1047">
        <v>3488.3803699999999</v>
      </c>
      <c r="G1047">
        <v>0</v>
      </c>
      <c r="L1047" t="s">
        <v>7</v>
      </c>
      <c r="M1047" t="s">
        <v>8</v>
      </c>
      <c r="N1047" t="s">
        <v>8</v>
      </c>
      <c r="P1047">
        <f t="shared" si="1024"/>
        <v>0.16901408450703845</v>
      </c>
      <c r="Q1047">
        <f t="shared" si="1025"/>
        <v>589.58541464787402</v>
      </c>
      <c r="R1047">
        <f t="shared" si="1026"/>
        <v>9499.3380380946655</v>
      </c>
      <c r="S1047">
        <f t="shared" si="1027"/>
        <v>9.4993380380946651E-2</v>
      </c>
      <c r="T1047">
        <f t="shared" si="1028"/>
        <v>9.4993380380946647E-5</v>
      </c>
    </row>
    <row r="1048" spans="1:20" x14ac:dyDescent="0.25">
      <c r="A1048" s="5">
        <v>43545</v>
      </c>
      <c r="B1048">
        <v>54.29</v>
      </c>
      <c r="C1048">
        <v>54.29</v>
      </c>
      <c r="D1048">
        <v>50</v>
      </c>
      <c r="E1048">
        <v>52.28</v>
      </c>
      <c r="F1048">
        <v>7047.3770400000003</v>
      </c>
      <c r="G1048">
        <v>0</v>
      </c>
      <c r="L1048" t="s">
        <v>7</v>
      </c>
      <c r="M1048" t="s">
        <v>8</v>
      </c>
      <c r="N1048" t="s">
        <v>8</v>
      </c>
      <c r="P1048">
        <f t="shared" si="1024"/>
        <v>6.2937062937063679E-2</v>
      </c>
      <c r="Q1048">
        <f t="shared" si="1025"/>
        <v>443.54121230769755</v>
      </c>
      <c r="R1048">
        <f t="shared" si="1026"/>
        <v>8909.7526234467914</v>
      </c>
      <c r="S1048">
        <f t="shared" si="1027"/>
        <v>8.9097526234467914E-2</v>
      </c>
      <c r="T1048">
        <f t="shared" si="1028"/>
        <v>8.9097526234467912E-5</v>
      </c>
    </row>
    <row r="1049" spans="1:20" x14ac:dyDescent="0.25">
      <c r="A1049" s="5">
        <v>43544</v>
      </c>
      <c r="B1049">
        <v>52.83</v>
      </c>
      <c r="C1049">
        <v>54.6</v>
      </c>
      <c r="D1049">
        <v>52.41</v>
      </c>
      <c r="E1049">
        <v>54.19</v>
      </c>
      <c r="F1049">
        <v>8340.9280299999991</v>
      </c>
      <c r="G1049">
        <v>0</v>
      </c>
      <c r="L1049" t="s">
        <v>7</v>
      </c>
      <c r="M1049" t="s">
        <v>8</v>
      </c>
      <c r="N1049" t="s">
        <v>8</v>
      </c>
      <c r="P1049">
        <f t="shared" si="1024"/>
        <v>0.62557077625570523</v>
      </c>
      <c r="Q1049">
        <f t="shared" si="1025"/>
        <v>5217.8408224200693</v>
      </c>
      <c r="R1049">
        <f t="shared" si="1026"/>
        <v>8466.2114111390947</v>
      </c>
      <c r="S1049">
        <f t="shared" si="1027"/>
        <v>8.4662114111390949E-2</v>
      </c>
      <c r="T1049">
        <f t="shared" si="1028"/>
        <v>8.4662114111390947E-5</v>
      </c>
    </row>
    <row r="1050" spans="1:20" x14ac:dyDescent="0.25">
      <c r="A1050" s="5">
        <v>43543</v>
      </c>
      <c r="B1050">
        <v>51.93</v>
      </c>
      <c r="C1050">
        <v>54</v>
      </c>
      <c r="D1050">
        <v>51.61</v>
      </c>
      <c r="E1050">
        <v>52.9</v>
      </c>
      <c r="F1050">
        <v>6567.87086</v>
      </c>
      <c r="G1050">
        <v>0</v>
      </c>
      <c r="L1050" t="s">
        <v>7</v>
      </c>
      <c r="M1050" t="s">
        <v>8</v>
      </c>
      <c r="N1050" t="s">
        <v>8</v>
      </c>
      <c r="P1050">
        <f t="shared" si="1024"/>
        <v>7.9497907949789823E-2</v>
      </c>
      <c r="Q1050">
        <f t="shared" si="1025"/>
        <v>522.13199305438695</v>
      </c>
      <c r="R1050">
        <f t="shared" si="1026"/>
        <v>3248.3705887190263</v>
      </c>
      <c r="S1050">
        <f t="shared" si="1027"/>
        <v>3.248370588719026E-2</v>
      </c>
      <c r="T1050">
        <f t="shared" si="1028"/>
        <v>3.248370588719026E-5</v>
      </c>
    </row>
    <row r="1051" spans="1:20" x14ac:dyDescent="0.25">
      <c r="A1051" s="5">
        <v>43542</v>
      </c>
      <c r="B1051">
        <v>52.38</v>
      </c>
      <c r="C1051">
        <v>53.01</v>
      </c>
      <c r="D1051">
        <v>51.27</v>
      </c>
      <c r="E1051">
        <v>52.06</v>
      </c>
      <c r="F1051">
        <v>4037.8016299999999</v>
      </c>
      <c r="G1051">
        <v>0</v>
      </c>
      <c r="L1051" t="s">
        <v>7</v>
      </c>
      <c r="M1051" t="s">
        <v>8</v>
      </c>
      <c r="N1051" t="s">
        <v>8</v>
      </c>
      <c r="P1051">
        <f t="shared" si="1024"/>
        <v>-9.1954022988504053E-2</v>
      </c>
      <c r="Q1051">
        <f t="shared" si="1025"/>
        <v>-371.29210390803911</v>
      </c>
      <c r="R1051">
        <f t="shared" si="1026"/>
        <v>2726.2385956646394</v>
      </c>
      <c r="S1051">
        <f t="shared" si="1027"/>
        <v>2.7262385956646394E-2</v>
      </c>
      <c r="T1051">
        <f t="shared" si="1028"/>
        <v>2.7262385956646394E-5</v>
      </c>
    </row>
    <row r="1052" spans="1:20" x14ac:dyDescent="0.25">
      <c r="A1052" s="5">
        <v>43541</v>
      </c>
      <c r="B1052">
        <v>53.56</v>
      </c>
      <c r="C1052">
        <v>53.57</v>
      </c>
      <c r="D1052">
        <v>51.54</v>
      </c>
      <c r="E1052">
        <v>52.36</v>
      </c>
      <c r="F1052">
        <v>3314.97426</v>
      </c>
      <c r="G1052">
        <v>0</v>
      </c>
      <c r="L1052" t="s">
        <v>8</v>
      </c>
      <c r="M1052" t="s">
        <v>8</v>
      </c>
      <c r="N1052" t="s">
        <v>8</v>
      </c>
      <c r="P1052">
        <f t="shared" si="1024"/>
        <v>-0.1921182266009854</v>
      </c>
      <c r="Q1052">
        <f t="shared" si="1025"/>
        <v>-636.86697605911388</v>
      </c>
      <c r="R1052">
        <f t="shared" si="1026"/>
        <v>3097.5306995726787</v>
      </c>
      <c r="S1052">
        <f t="shared" si="1027"/>
        <v>3.0975306995726787E-2</v>
      </c>
      <c r="T1052">
        <f t="shared" si="1028"/>
        <v>3.0975306995726787E-5</v>
      </c>
    </row>
    <row r="1053" spans="1:20" x14ac:dyDescent="0.25">
      <c r="A1053" s="5">
        <v>43540</v>
      </c>
      <c r="B1053">
        <v>52.1</v>
      </c>
      <c r="C1053">
        <v>54.89</v>
      </c>
      <c r="D1053">
        <v>52.1</v>
      </c>
      <c r="E1053">
        <v>53.35</v>
      </c>
      <c r="F1053">
        <v>8103.4609300000002</v>
      </c>
      <c r="G1053">
        <v>0</v>
      </c>
      <c r="L1053" t="s">
        <v>8</v>
      </c>
      <c r="M1053" t="s">
        <v>8</v>
      </c>
      <c r="N1053" t="s">
        <v>8</v>
      </c>
      <c r="P1053">
        <f t="shared" si="1024"/>
        <v>-0.10394265232974884</v>
      </c>
      <c r="Q1053">
        <f t="shared" si="1025"/>
        <v>-842.29522211469316</v>
      </c>
      <c r="R1053">
        <f t="shared" si="1026"/>
        <v>3734.3976756317925</v>
      </c>
      <c r="S1053">
        <f t="shared" si="1027"/>
        <v>3.7343976756317926E-2</v>
      </c>
      <c r="T1053">
        <f t="shared" si="1028"/>
        <v>3.7343976756317929E-5</v>
      </c>
    </row>
    <row r="1054" spans="1:20" x14ac:dyDescent="0.25">
      <c r="A1054" s="5">
        <v>43539</v>
      </c>
      <c r="B1054">
        <v>51.99</v>
      </c>
      <c r="C1054">
        <v>52.22</v>
      </c>
      <c r="D1054">
        <v>48.67</v>
      </c>
      <c r="E1054">
        <v>52.1</v>
      </c>
      <c r="F1054">
        <v>4908.5376999999999</v>
      </c>
      <c r="G1054">
        <v>0</v>
      </c>
      <c r="P1054">
        <f t="shared" si="1024"/>
        <v>0.93239436619718452</v>
      </c>
      <c r="Q1054">
        <f t="shared" si="1025"/>
        <v>4576.6928977464859</v>
      </c>
      <c r="R1054">
        <f t="shared" si="1026"/>
        <v>4576.6928977464859</v>
      </c>
      <c r="S1054">
        <f t="shared" si="1027"/>
        <v>4.5766928977464857E-2</v>
      </c>
      <c r="T1054">
        <f t="shared" si="1028"/>
        <v>4.5766928977464854E-5</v>
      </c>
    </row>
    <row r="1055" spans="1:20" x14ac:dyDescent="0.25">
      <c r="A1055" s="5"/>
      <c r="C1055"/>
      <c r="D1055"/>
    </row>
    <row r="1056" spans="1:20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MX336" sqref="MX33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$A$335</v>
      </c>
      <c r="D111" s="1" t="str">
        <f>ADDRESS(C121-1,D121,1,1)</f>
        <v>$MX$335</v>
      </c>
      <c r="E111"/>
    </row>
    <row r="112" spans="1:5" x14ac:dyDescent="0.25">
      <c r="A112" s="7">
        <v>12164.144957890772</v>
      </c>
      <c r="C112" s="1" t="str">
        <f>ADDRESS(C121,1,1,1)</f>
        <v>$A$336</v>
      </c>
      <c r="D112" s="1" t="str">
        <f>ADDRESS(C121,D121-1,1,1)</f>
        <v>$MW$336</v>
      </c>
      <c r="E112"/>
    </row>
    <row r="113" spans="1:5" x14ac:dyDescent="0.25">
      <c r="A113" s="7">
        <v>11925.63231165762</v>
      </c>
      <c r="C113" s="1" t="str">
        <f>ADDRESS(C121+1,1,1,1)</f>
        <v>$A$337</v>
      </c>
      <c r="D113" s="1" t="str">
        <f>ADDRESS(C121-1,D121+1,1,1)</f>
        <v>$MY$335</v>
      </c>
    </row>
    <row r="114" spans="1:5" x14ac:dyDescent="0.25">
      <c r="A114" s="7">
        <v>11691.796383978059</v>
      </c>
      <c r="C114" s="1" t="str">
        <f>ADDRESS(C121,D121,1,1)</f>
        <v>$MX$336</v>
      </c>
      <c r="D114" s="1" t="str">
        <f>ADDRESS(C121+1,D121+1,1,1)</f>
        <v>$MY$337</v>
      </c>
    </row>
    <row r="115" spans="1:5" x14ac:dyDescent="0.25">
      <c r="A115" s="7">
        <v>11462.545474488292</v>
      </c>
      <c r="C115" s="1" t="str">
        <f>ADDRESS(C121+1,D121,1,1)</f>
        <v>$MX$337</v>
      </c>
    </row>
    <row r="116" spans="1:5" x14ac:dyDescent="0.25">
      <c r="A116" s="7">
        <v>11237.789680870874</v>
      </c>
      <c r="C116" s="1">
        <f>C117-1</f>
        <v>335</v>
      </c>
    </row>
    <row r="117" spans="1:5" x14ac:dyDescent="0.25">
      <c r="A117" s="7">
        <v>11017.440863598895</v>
      </c>
      <c r="C117" s="1">
        <f>C121</f>
        <v>336</v>
      </c>
      <c r="D117" s="1">
        <f>D121</f>
        <v>362</v>
      </c>
    </row>
    <row r="118" spans="1:5" x14ac:dyDescent="0.25">
      <c r="A118" s="7">
        <v>10801.412611371465</v>
      </c>
      <c r="C118" s="1">
        <f>C117+1</f>
        <v>337</v>
      </c>
      <c r="D118" s="1">
        <f>D117+1</f>
        <v>363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336</v>
      </c>
      <c r="D121" s="19">
        <v>362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R336</v>
      </c>
      <c r="D123" s="1" t="str">
        <f>"C"&amp;D121</f>
        <v>C362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144.09307592152317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253" x14ac:dyDescent="0.25">
      <c r="A257" s="7">
        <v>688.74218085310292</v>
      </c>
      <c r="B257"/>
      <c r="C257"/>
      <c r="D257"/>
      <c r="E257"/>
    </row>
    <row r="258" spans="1:253" x14ac:dyDescent="0.25">
      <c r="A258" s="7">
        <v>675.23743220892447</v>
      </c>
      <c r="B258"/>
      <c r="C258"/>
      <c r="D258"/>
      <c r="E258"/>
    </row>
    <row r="259" spans="1:253" x14ac:dyDescent="0.25">
      <c r="A259" s="7">
        <v>661.9974825577691</v>
      </c>
      <c r="B259"/>
      <c r="C259"/>
      <c r="D259"/>
      <c r="E259"/>
    </row>
    <row r="260" spans="1:253" x14ac:dyDescent="0.25">
      <c r="A260" s="7">
        <v>649.0171397625187</v>
      </c>
      <c r="B260"/>
      <c r="C260"/>
      <c r="D260"/>
      <c r="E260"/>
    </row>
    <row r="261" spans="1:253" x14ac:dyDescent="0.25">
      <c r="A261" s="7">
        <v>636.29131349266538</v>
      </c>
      <c r="B261"/>
      <c r="C261"/>
      <c r="D261"/>
      <c r="E261"/>
    </row>
    <row r="262" spans="1:253" x14ac:dyDescent="0.25">
      <c r="A262" s="7">
        <v>623.81501322810334</v>
      </c>
      <c r="B262"/>
      <c r="C262"/>
      <c r="D262"/>
      <c r="E262"/>
    </row>
    <row r="263" spans="1:253" x14ac:dyDescent="0.25">
      <c r="A263" s="7">
        <v>611.58334630206207</v>
      </c>
      <c r="B263"/>
      <c r="C263"/>
      <c r="D263"/>
      <c r="E263"/>
    </row>
    <row r="264" spans="1:253" x14ac:dyDescent="0.25">
      <c r="A264" s="7">
        <v>599.59151598241374</v>
      </c>
      <c r="B264"/>
      <c r="C264"/>
      <c r="D264"/>
      <c r="E264"/>
    </row>
    <row r="265" spans="1:253" x14ac:dyDescent="0.25">
      <c r="A265" s="7">
        <v>587.83481959060168</v>
      </c>
      <c r="B265"/>
      <c r="C265"/>
      <c r="D265"/>
      <c r="E265"/>
    </row>
    <row r="266" spans="1:253" x14ac:dyDescent="0.25">
      <c r="A266" s="7">
        <v>576.30864665745264</v>
      </c>
      <c r="B266"/>
      <c r="C266"/>
      <c r="D266"/>
      <c r="E266"/>
    </row>
    <row r="267" spans="1:253" x14ac:dyDescent="0.25">
      <c r="A267" s="7">
        <v>565.00847711514962</v>
      </c>
      <c r="B267"/>
      <c r="C267"/>
      <c r="D267"/>
      <c r="E267"/>
    </row>
    <row r="268" spans="1:253" x14ac:dyDescent="0.25">
      <c r="A268" s="7">
        <v>553.92987952465649</v>
      </c>
      <c r="B268"/>
      <c r="C268"/>
      <c r="D268"/>
      <c r="E268"/>
    </row>
    <row r="269" spans="1:253" x14ac:dyDescent="0.25">
      <c r="A269" s="7">
        <v>543.06850933789849</v>
      </c>
      <c r="B269"/>
      <c r="C269"/>
      <c r="D269"/>
      <c r="E269"/>
    </row>
    <row r="270" spans="1:253" x14ac:dyDescent="0.25">
      <c r="A270" s="7">
        <v>532.4201071940181</v>
      </c>
      <c r="B270"/>
      <c r="C270"/>
      <c r="D270"/>
      <c r="E270"/>
    </row>
    <row r="271" spans="1:253" x14ac:dyDescent="0.25">
      <c r="A271" s="7">
        <v>521.9804972490374</v>
      </c>
      <c r="B271"/>
      <c r="C271"/>
      <c r="D271"/>
      <c r="E271"/>
    </row>
    <row r="272" spans="1:253" x14ac:dyDescent="0.25">
      <c r="A272" s="7">
        <v>511.74558553827194</v>
      </c>
      <c r="B272"/>
      <c r="C272"/>
      <c r="D272"/>
      <c r="E272"/>
      <c r="IS272" s="27" t="s">
        <v>8</v>
      </c>
    </row>
    <row r="273" spans="1:258" x14ac:dyDescent="0.25">
      <c r="A273" s="7">
        <v>501.71135837085484</v>
      </c>
      <c r="B273"/>
      <c r="C273"/>
      <c r="D273"/>
      <c r="E273"/>
      <c r="IS273" s="27" t="s">
        <v>8</v>
      </c>
      <c r="IT273" s="27" t="s">
        <v>7</v>
      </c>
    </row>
    <row r="274" spans="1:258" x14ac:dyDescent="0.25">
      <c r="A274" s="7">
        <v>491.87388075574</v>
      </c>
      <c r="B274"/>
      <c r="C274"/>
      <c r="D274"/>
      <c r="E274"/>
      <c r="IS274" s="27" t="s">
        <v>8</v>
      </c>
      <c r="IT274" s="27" t="s">
        <v>7</v>
      </c>
      <c r="IU274" s="27" t="s">
        <v>8</v>
      </c>
    </row>
    <row r="275" spans="1:258" x14ac:dyDescent="0.25">
      <c r="A275" s="7">
        <v>482.22929485856861</v>
      </c>
      <c r="B275"/>
      <c r="C275"/>
      <c r="D275"/>
      <c r="E275"/>
      <c r="IS275" s="27" t="s">
        <v>8</v>
      </c>
      <c r="IT275" s="27" t="s">
        <v>7</v>
      </c>
      <c r="IU275" s="27" t="s">
        <v>8</v>
      </c>
      <c r="IV275" s="27" t="s">
        <v>7</v>
      </c>
    </row>
    <row r="276" spans="1:258" x14ac:dyDescent="0.25">
      <c r="A276" s="7">
        <v>472.77381848879276</v>
      </c>
      <c r="B276"/>
      <c r="C276"/>
      <c r="D276"/>
      <c r="E276"/>
      <c r="IS276" s="27" t="s">
        <v>8</v>
      </c>
      <c r="IT276" s="27" t="s">
        <v>7</v>
      </c>
      <c r="IU276" s="27" t="s">
        <v>8</v>
      </c>
      <c r="IV276" s="27" t="s">
        <v>7</v>
      </c>
    </row>
    <row r="277" spans="1:258" x14ac:dyDescent="0.25">
      <c r="A277" s="7">
        <v>463.50374361646345</v>
      </c>
      <c r="B277"/>
      <c r="C277"/>
      <c r="D277"/>
      <c r="E277"/>
      <c r="IS277" s="27" t="s">
        <v>8</v>
      </c>
      <c r="IT277" s="27" t="s">
        <v>7</v>
      </c>
      <c r="IU277" s="27" t="s">
        <v>8</v>
      </c>
      <c r="IV277" s="27" t="s">
        <v>7</v>
      </c>
    </row>
    <row r="278" spans="1:258" x14ac:dyDescent="0.25">
      <c r="A278" s="7">
        <v>454.41543491810143</v>
      </c>
      <c r="B278"/>
      <c r="C278"/>
      <c r="D278"/>
      <c r="E278"/>
      <c r="IS278" s="27" t="s">
        <v>8</v>
      </c>
      <c r="IT278" s="27" t="s">
        <v>7</v>
      </c>
      <c r="IV278" s="27" t="s">
        <v>7</v>
      </c>
    </row>
    <row r="279" spans="1:258" x14ac:dyDescent="0.25">
      <c r="A279" s="7">
        <v>445.50532835107981</v>
      </c>
      <c r="B279"/>
      <c r="C279"/>
      <c r="D279"/>
      <c r="E279"/>
      <c r="IS279" s="27" t="s">
        <v>8</v>
      </c>
      <c r="IV279" s="27" t="s">
        <v>7</v>
      </c>
    </row>
    <row r="280" spans="1:258" x14ac:dyDescent="0.25">
      <c r="A280" s="7">
        <v>436.76992975596062</v>
      </c>
      <c r="B280"/>
      <c r="C280"/>
      <c r="D280"/>
      <c r="E280"/>
      <c r="IO280" s="27" t="s">
        <v>8</v>
      </c>
      <c r="IS280" s="27" t="s">
        <v>8</v>
      </c>
      <c r="IV280" s="27" t="s">
        <v>7</v>
      </c>
      <c r="IW280" s="27" t="s">
        <v>8</v>
      </c>
    </row>
    <row r="281" spans="1:258" x14ac:dyDescent="0.25">
      <c r="A281" s="7">
        <v>428.20581348623591</v>
      </c>
      <c r="B281"/>
      <c r="C281"/>
      <c r="D281"/>
      <c r="E281"/>
      <c r="IO281" s="27" t="s">
        <v>8</v>
      </c>
      <c r="IP281" s="27" t="s">
        <v>7</v>
      </c>
      <c r="IQ281" s="27" t="s">
        <v>8</v>
      </c>
      <c r="IS281" s="27" t="s">
        <v>8</v>
      </c>
      <c r="IV281" s="27" t="s">
        <v>7</v>
      </c>
      <c r="IW281" s="27" t="s">
        <v>8</v>
      </c>
      <c r="IX281" s="27" t="s">
        <v>7</v>
      </c>
    </row>
    <row r="282" spans="1:258" x14ac:dyDescent="0.25">
      <c r="A282" s="7">
        <v>419.80962106493718</v>
      </c>
      <c r="B282"/>
      <c r="C282"/>
      <c r="D282"/>
      <c r="E282"/>
      <c r="IK282" s="27" t="s">
        <v>8</v>
      </c>
      <c r="IO282" s="27" t="s">
        <v>8</v>
      </c>
      <c r="IP282" s="27" t="s">
        <v>7</v>
      </c>
      <c r="IQ282" s="27" t="s">
        <v>8</v>
      </c>
      <c r="IR282" s="27" t="s">
        <v>7</v>
      </c>
      <c r="IS282" s="27" t="s">
        <v>8</v>
      </c>
      <c r="IV282" s="27" t="s">
        <v>7</v>
      </c>
      <c r="IW282" s="27" t="s">
        <v>8</v>
      </c>
      <c r="IX282" s="27" t="s">
        <v>7</v>
      </c>
    </row>
    <row r="283" spans="1:258" x14ac:dyDescent="0.25">
      <c r="A283" s="7">
        <v>411.57805986758547</v>
      </c>
      <c r="B283"/>
      <c r="C283"/>
      <c r="D283"/>
      <c r="E283"/>
      <c r="IK283" s="27" t="s">
        <v>8</v>
      </c>
      <c r="IL283" s="27" t="s">
        <v>7</v>
      </c>
      <c r="IO283" s="27" t="s">
        <v>8</v>
      </c>
      <c r="IP283" s="27" t="s">
        <v>7</v>
      </c>
      <c r="IQ283" s="27" t="s">
        <v>8</v>
      </c>
      <c r="IR283" s="27" t="s">
        <v>7</v>
      </c>
      <c r="IS283" s="27" t="s">
        <v>8</v>
      </c>
      <c r="IV283" s="27" t="s">
        <v>7</v>
      </c>
      <c r="IW283" s="27" t="s">
        <v>8</v>
      </c>
      <c r="IX283" s="27" t="s">
        <v>7</v>
      </c>
    </row>
    <row r="284" spans="1:258" x14ac:dyDescent="0.25">
      <c r="A284" s="7">
        <v>403.50790183096615</v>
      </c>
      <c r="B284"/>
      <c r="C284"/>
      <c r="D284"/>
      <c r="E284"/>
      <c r="IK284" s="27" t="s">
        <v>8</v>
      </c>
      <c r="IL284" s="27" t="s">
        <v>7</v>
      </c>
      <c r="IM284" s="27" t="s">
        <v>8</v>
      </c>
      <c r="IO284" s="27" t="s">
        <v>8</v>
      </c>
      <c r="IP284" s="27" t="s">
        <v>7</v>
      </c>
      <c r="IR284" s="27" t="s">
        <v>7</v>
      </c>
      <c r="IS284" s="27" t="s">
        <v>8</v>
      </c>
      <c r="IV284" s="27" t="s">
        <v>7</v>
      </c>
      <c r="IW284" s="27" t="s">
        <v>8</v>
      </c>
      <c r="IX284" s="27" t="s">
        <v>7</v>
      </c>
    </row>
    <row r="285" spans="1:258" x14ac:dyDescent="0.25">
      <c r="A285" s="7">
        <v>395.59598218722169</v>
      </c>
      <c r="B285"/>
      <c r="C285"/>
      <c r="D285"/>
      <c r="E285"/>
      <c r="IK285" s="27" t="s">
        <v>8</v>
      </c>
      <c r="IL285" s="27" t="s">
        <v>7</v>
      </c>
      <c r="IM285" s="27" t="s">
        <v>8</v>
      </c>
      <c r="IN285" s="27" t="s">
        <v>7</v>
      </c>
      <c r="IO285" s="27" t="s">
        <v>8</v>
      </c>
      <c r="IR285" s="27" t="s">
        <v>7</v>
      </c>
      <c r="IS285" s="27" t="s">
        <v>8</v>
      </c>
      <c r="IV285" s="27" t="s">
        <v>7</v>
      </c>
      <c r="IW285" s="27" t="s">
        <v>8</v>
      </c>
      <c r="IX285" s="27" t="s">
        <v>7</v>
      </c>
    </row>
    <row r="286" spans="1:258" x14ac:dyDescent="0.25">
      <c r="A286" s="7">
        <v>387.83919822276636</v>
      </c>
      <c r="B286"/>
      <c r="C286"/>
      <c r="D286"/>
      <c r="E286"/>
      <c r="IK286" s="27" t="s">
        <v>8</v>
      </c>
      <c r="IL286" s="27" t="s">
        <v>7</v>
      </c>
      <c r="IM286" s="27" t="s">
        <v>8</v>
      </c>
      <c r="IN286" s="27" t="s">
        <v>7</v>
      </c>
      <c r="IO286" s="27" t="s">
        <v>8</v>
      </c>
      <c r="IR286" s="27" t="s">
        <v>7</v>
      </c>
      <c r="IS286" s="27" t="s">
        <v>8</v>
      </c>
      <c r="IV286" s="27" t="s">
        <v>7</v>
      </c>
      <c r="IW286" s="27" t="s">
        <v>8</v>
      </c>
      <c r="IX286" s="27" t="s">
        <v>7</v>
      </c>
    </row>
    <row r="287" spans="1:258" x14ac:dyDescent="0.25">
      <c r="A287" s="7">
        <v>380.23450806153562</v>
      </c>
      <c r="B287"/>
      <c r="C287"/>
      <c r="D287"/>
      <c r="E287"/>
      <c r="IK287" s="27" t="s">
        <v>8</v>
      </c>
      <c r="IL287" s="27" t="s">
        <v>7</v>
      </c>
      <c r="IM287" s="27" t="s">
        <v>8</v>
      </c>
      <c r="IN287" s="27" t="s">
        <v>7</v>
      </c>
      <c r="IO287" s="27" t="s">
        <v>8</v>
      </c>
      <c r="IR287" s="27" t="s">
        <v>7</v>
      </c>
      <c r="IV287" s="27" t="s">
        <v>7</v>
      </c>
      <c r="IW287" s="27" t="s">
        <v>8</v>
      </c>
      <c r="IX287" s="27" t="s">
        <v>7</v>
      </c>
    </row>
    <row r="288" spans="1:258" x14ac:dyDescent="0.25">
      <c r="A288" s="7">
        <v>372.77892947209375</v>
      </c>
      <c r="B288"/>
      <c r="C288"/>
      <c r="D288"/>
      <c r="E288"/>
      <c r="II288" s="27" t="s">
        <v>8</v>
      </c>
      <c r="IK288" s="27" t="s">
        <v>8</v>
      </c>
      <c r="IL288" s="27" t="s">
        <v>7</v>
      </c>
      <c r="IM288" s="27" t="s">
        <v>8</v>
      </c>
      <c r="IN288" s="27" t="s">
        <v>7</v>
      </c>
      <c r="IO288" s="27" t="s">
        <v>8</v>
      </c>
      <c r="IV288" s="27" t="s">
        <v>7</v>
      </c>
      <c r="IX288" s="27" t="s">
        <v>7</v>
      </c>
    </row>
    <row r="289" spans="1:326" x14ac:dyDescent="0.25">
      <c r="A289" s="7">
        <v>365.46953869813115</v>
      </c>
      <c r="B289"/>
      <c r="C289"/>
      <c r="D289"/>
      <c r="E289"/>
      <c r="II289" s="27" t="s">
        <v>8</v>
      </c>
      <c r="IJ289" s="27" t="s">
        <v>7</v>
      </c>
      <c r="IK289" s="27" t="s">
        <v>8</v>
      </c>
      <c r="IL289" s="27" t="s">
        <v>7</v>
      </c>
      <c r="IM289" s="27" t="s">
        <v>8</v>
      </c>
      <c r="IN289" s="27" t="s">
        <v>7</v>
      </c>
      <c r="IO289" s="27" t="s">
        <v>8</v>
      </c>
      <c r="IX289" s="27" t="s">
        <v>7</v>
      </c>
    </row>
    <row r="290" spans="1:326" x14ac:dyDescent="0.25">
      <c r="A290" s="7">
        <v>358.30346931189325</v>
      </c>
      <c r="B290"/>
      <c r="C290"/>
      <c r="D290"/>
      <c r="E290"/>
      <c r="II290" s="27" t="s">
        <v>8</v>
      </c>
      <c r="IJ290" s="27" t="s">
        <v>7</v>
      </c>
      <c r="IK290" s="27" t="s">
        <v>8</v>
      </c>
      <c r="IL290" s="27" t="s">
        <v>7</v>
      </c>
      <c r="IM290" s="27" t="s">
        <v>8</v>
      </c>
      <c r="IN290" s="27" t="s">
        <v>7</v>
      </c>
      <c r="IO290" s="27" t="s">
        <v>8</v>
      </c>
      <c r="IX290" s="27" t="s">
        <v>7</v>
      </c>
      <c r="IY290" s="27" t="s">
        <v>8</v>
      </c>
    </row>
    <row r="291" spans="1:326" x14ac:dyDescent="0.25">
      <c r="A291" s="7">
        <v>351.27791109009144</v>
      </c>
      <c r="B291"/>
      <c r="C291"/>
      <c r="D291"/>
      <c r="E291"/>
      <c r="II291" s="27" t="s">
        <v>8</v>
      </c>
      <c r="IJ291" s="27" t="s">
        <v>7</v>
      </c>
      <c r="IK291" s="27" t="s">
        <v>8</v>
      </c>
      <c r="IL291" s="27" t="s">
        <v>7</v>
      </c>
      <c r="IM291" s="27" t="s">
        <v>8</v>
      </c>
      <c r="IN291" s="27" t="s">
        <v>7</v>
      </c>
      <c r="IO291" s="27" t="s">
        <v>8</v>
      </c>
      <c r="IX291" s="27" t="s">
        <v>7</v>
      </c>
      <c r="IY291" s="27" t="s">
        <v>8</v>
      </c>
      <c r="IZ291" s="27" t="s">
        <v>7</v>
      </c>
    </row>
    <row r="292" spans="1:326" x14ac:dyDescent="0.25">
      <c r="A292" s="7">
        <v>344.39010891185433</v>
      </c>
      <c r="B292"/>
      <c r="C292"/>
      <c r="D292"/>
      <c r="E292"/>
      <c r="IE292" s="27" t="s">
        <v>8</v>
      </c>
      <c r="IG292" s="27" t="s">
        <v>8</v>
      </c>
      <c r="II292" s="27" t="s">
        <v>8</v>
      </c>
      <c r="IJ292" s="27" t="s">
        <v>7</v>
      </c>
      <c r="IK292" s="27" t="s">
        <v>8</v>
      </c>
      <c r="IL292" s="27" t="s">
        <v>7</v>
      </c>
      <c r="IM292" s="27" t="s">
        <v>8</v>
      </c>
      <c r="IN292" s="27" t="s">
        <v>7</v>
      </c>
      <c r="IX292" s="27" t="s">
        <v>7</v>
      </c>
      <c r="IY292" s="27" t="s">
        <v>8</v>
      </c>
      <c r="IZ292" s="27" t="s">
        <v>7</v>
      </c>
    </row>
    <row r="293" spans="1:326" x14ac:dyDescent="0.25">
      <c r="A293" s="7">
        <v>337.63736167828853</v>
      </c>
      <c r="B293"/>
      <c r="C293"/>
      <c r="D293"/>
      <c r="E293"/>
      <c r="IE293" s="27" t="s">
        <v>8</v>
      </c>
      <c r="IF293" s="27" t="s">
        <v>7</v>
      </c>
      <c r="IG293" s="27" t="s">
        <v>8</v>
      </c>
      <c r="IH293" s="27" t="s">
        <v>7</v>
      </c>
      <c r="II293" s="27" t="s">
        <v>8</v>
      </c>
      <c r="IJ293" s="27" t="s">
        <v>7</v>
      </c>
      <c r="IK293" s="27" t="s">
        <v>8</v>
      </c>
      <c r="IL293" s="27" t="s">
        <v>7</v>
      </c>
      <c r="IM293" s="27" t="s">
        <v>8</v>
      </c>
      <c r="IX293" s="27" t="s">
        <v>7</v>
      </c>
      <c r="IY293" s="27" t="s">
        <v>8</v>
      </c>
      <c r="IZ293" s="27" t="s">
        <v>7</v>
      </c>
      <c r="KM293" s="27" t="s">
        <v>8</v>
      </c>
    </row>
    <row r="294" spans="1:326" x14ac:dyDescent="0.25">
      <c r="A294" s="7">
        <v>331.01702125322402</v>
      </c>
      <c r="B294"/>
      <c r="C294"/>
      <c r="D294"/>
      <c r="E294"/>
      <c r="IE294" s="27" t="s">
        <v>8</v>
      </c>
      <c r="IF294" s="27" t="s">
        <v>7</v>
      </c>
      <c r="IG294" s="27" t="s">
        <v>8</v>
      </c>
      <c r="IH294" s="27" t="s">
        <v>7</v>
      </c>
      <c r="II294" s="27" t="s">
        <v>8</v>
      </c>
      <c r="IJ294" s="27" t="s">
        <v>7</v>
      </c>
      <c r="IK294" s="27" t="s">
        <v>8</v>
      </c>
      <c r="IL294" s="27" t="s">
        <v>7</v>
      </c>
      <c r="IM294" s="27" t="s">
        <v>8</v>
      </c>
      <c r="IX294" s="27" t="s">
        <v>7</v>
      </c>
      <c r="IZ294" s="27" t="s">
        <v>7</v>
      </c>
      <c r="KM294" s="27" t="s">
        <v>8</v>
      </c>
      <c r="KN294" s="27" t="s">
        <v>7</v>
      </c>
    </row>
    <row r="295" spans="1:326" x14ac:dyDescent="0.25">
      <c r="A295" s="7">
        <v>324.52649142472944</v>
      </c>
      <c r="B295"/>
      <c r="C295"/>
      <c r="D295"/>
      <c r="E295"/>
      <c r="IE295" s="27" t="s">
        <v>8</v>
      </c>
      <c r="IF295" s="27" t="s">
        <v>7</v>
      </c>
      <c r="IG295" s="27" t="s">
        <v>8</v>
      </c>
      <c r="IH295" s="27" t="s">
        <v>7</v>
      </c>
      <c r="II295" s="27" t="s">
        <v>8</v>
      </c>
      <c r="IJ295" s="27" t="s">
        <v>7</v>
      </c>
      <c r="IK295" s="27" t="s">
        <v>8</v>
      </c>
      <c r="IL295" s="27" t="s">
        <v>7</v>
      </c>
      <c r="IM295" s="27" t="s">
        <v>8</v>
      </c>
      <c r="IZ295" s="27" t="s">
        <v>7</v>
      </c>
      <c r="JA295" s="27" t="s">
        <v>8</v>
      </c>
      <c r="KM295" s="27" t="s">
        <v>8</v>
      </c>
      <c r="KN295" s="27" t="s">
        <v>7</v>
      </c>
    </row>
    <row r="296" spans="1:326" x14ac:dyDescent="0.25">
      <c r="A296" s="7">
        <v>318.16322688698966</v>
      </c>
      <c r="B296"/>
      <c r="C296"/>
      <c r="D296"/>
      <c r="E296"/>
      <c r="IE296" s="27" t="s">
        <v>8</v>
      </c>
      <c r="IF296" s="27" t="s">
        <v>7</v>
      </c>
      <c r="IG296" s="27" t="s">
        <v>8</v>
      </c>
      <c r="IH296" s="27" t="s">
        <v>7</v>
      </c>
      <c r="IJ296" s="27" t="s">
        <v>7</v>
      </c>
      <c r="IK296" s="27" t="s">
        <v>8</v>
      </c>
      <c r="IL296" s="27" t="s">
        <v>7</v>
      </c>
      <c r="IM296" s="27" t="s">
        <v>8</v>
      </c>
      <c r="IZ296" s="27" t="s">
        <v>7</v>
      </c>
      <c r="JA296" s="27" t="s">
        <v>8</v>
      </c>
      <c r="JB296" s="27" t="s">
        <v>7</v>
      </c>
      <c r="KM296" s="27" t="s">
        <v>8</v>
      </c>
      <c r="KN296" s="27" t="s">
        <v>7</v>
      </c>
      <c r="KQ296" s="27" t="s">
        <v>8</v>
      </c>
    </row>
    <row r="297" spans="1:326" x14ac:dyDescent="0.25">
      <c r="A297" s="7">
        <v>311.92473224214672</v>
      </c>
      <c r="B297"/>
      <c r="C297"/>
      <c r="D297"/>
      <c r="E297"/>
      <c r="IE297" s="27" t="s">
        <v>8</v>
      </c>
      <c r="IF297" s="27" t="s">
        <v>7</v>
      </c>
      <c r="IJ297" s="27" t="s">
        <v>7</v>
      </c>
      <c r="IK297" s="27" t="s">
        <v>8</v>
      </c>
      <c r="IL297" s="27" t="s">
        <v>7</v>
      </c>
      <c r="IM297" s="27" t="s">
        <v>8</v>
      </c>
      <c r="IZ297" s="27" t="s">
        <v>7</v>
      </c>
      <c r="JA297" s="27" t="s">
        <v>8</v>
      </c>
      <c r="JB297" s="27" t="s">
        <v>7</v>
      </c>
      <c r="JI297" s="27" t="s">
        <v>8</v>
      </c>
      <c r="KM297" s="27" t="s">
        <v>8</v>
      </c>
      <c r="KN297" s="27" t="s">
        <v>7</v>
      </c>
      <c r="KO297" s="27" t="s">
        <v>8</v>
      </c>
      <c r="KQ297" s="27" t="s">
        <v>8</v>
      </c>
      <c r="KR297" s="27" t="s">
        <v>7</v>
      </c>
    </row>
    <row r="298" spans="1:326" x14ac:dyDescent="0.25">
      <c r="A298" s="7">
        <v>305.80856102171248</v>
      </c>
      <c r="B298"/>
      <c r="C298"/>
      <c r="D298"/>
      <c r="E298"/>
      <c r="IE298" s="27" t="s">
        <v>8</v>
      </c>
      <c r="IJ298" s="27" t="s">
        <v>7</v>
      </c>
      <c r="IK298" s="27" t="s">
        <v>8</v>
      </c>
      <c r="IL298" s="27" t="s">
        <v>7</v>
      </c>
      <c r="IZ298" s="27" t="s">
        <v>7</v>
      </c>
      <c r="JA298" s="27" t="s">
        <v>8</v>
      </c>
      <c r="JB298" s="27" t="s">
        <v>7</v>
      </c>
      <c r="JI298" s="27" t="s">
        <v>8</v>
      </c>
      <c r="JJ298" s="27" t="s">
        <v>7</v>
      </c>
      <c r="KM298" s="27" t="s">
        <v>8</v>
      </c>
      <c r="KN298" s="27" t="s">
        <v>7</v>
      </c>
      <c r="KO298" s="27" t="s">
        <v>8</v>
      </c>
      <c r="KP298" s="27" t="s">
        <v>7</v>
      </c>
      <c r="KQ298" s="27" t="s">
        <v>8</v>
      </c>
      <c r="KR298" s="27" t="s">
        <v>7</v>
      </c>
    </row>
    <row r="299" spans="1:326" x14ac:dyDescent="0.25">
      <c r="A299" s="7">
        <v>299.81231472716911</v>
      </c>
      <c r="B299"/>
      <c r="C299"/>
      <c r="D299"/>
      <c r="E299"/>
      <c r="IE299" s="27" t="s">
        <v>8</v>
      </c>
      <c r="IJ299" s="27" t="s">
        <v>7</v>
      </c>
      <c r="IK299" s="27" t="s">
        <v>8</v>
      </c>
      <c r="IZ299" s="27" t="s">
        <v>7</v>
      </c>
      <c r="JA299" s="27" t="s">
        <v>8</v>
      </c>
      <c r="JB299" s="27" t="s">
        <v>7</v>
      </c>
      <c r="JI299" s="27" t="s">
        <v>8</v>
      </c>
      <c r="JJ299" s="27" t="s">
        <v>7</v>
      </c>
      <c r="KM299" s="27" t="s">
        <v>8</v>
      </c>
      <c r="KN299" s="27" t="s">
        <v>7</v>
      </c>
      <c r="KO299" s="27" t="s">
        <v>8</v>
      </c>
      <c r="KP299" s="27" t="s">
        <v>7</v>
      </c>
      <c r="KQ299" s="27" t="s">
        <v>8</v>
      </c>
      <c r="KR299" s="27" t="s">
        <v>7</v>
      </c>
    </row>
    <row r="300" spans="1:326" x14ac:dyDescent="0.25">
      <c r="A300" s="7">
        <v>293.93364188938148</v>
      </c>
      <c r="B300"/>
      <c r="C300"/>
      <c r="D300"/>
      <c r="E300"/>
      <c r="IE300" s="27" t="s">
        <v>8</v>
      </c>
      <c r="IJ300" s="27" t="s">
        <v>7</v>
      </c>
      <c r="IK300" s="27" t="s">
        <v>8</v>
      </c>
      <c r="IZ300" s="27" t="s">
        <v>7</v>
      </c>
      <c r="JA300" s="27" t="s">
        <v>8</v>
      </c>
      <c r="JB300" s="27" t="s">
        <v>7</v>
      </c>
      <c r="JE300" s="27" t="s">
        <v>8</v>
      </c>
      <c r="JI300" s="27" t="s">
        <v>8</v>
      </c>
      <c r="JJ300" s="27" t="s">
        <v>7</v>
      </c>
      <c r="KM300" s="27" t="s">
        <v>8</v>
      </c>
      <c r="KN300" s="27" t="s">
        <v>7</v>
      </c>
      <c r="KO300" s="27" t="s">
        <v>8</v>
      </c>
      <c r="KP300" s="27" t="s">
        <v>7</v>
      </c>
      <c r="KQ300" s="27" t="s">
        <v>8</v>
      </c>
      <c r="KR300" s="27" t="s">
        <v>7</v>
      </c>
      <c r="LC300" s="27" t="s">
        <v>8</v>
      </c>
      <c r="LG300" s="27" t="s">
        <v>8</v>
      </c>
      <c r="LK300" s="27" t="s">
        <v>8</v>
      </c>
    </row>
    <row r="301" spans="1:326" x14ac:dyDescent="0.25">
      <c r="A301" s="7">
        <v>288.17023714645245</v>
      </c>
      <c r="B301"/>
      <c r="C301"/>
      <c r="D301"/>
      <c r="E301"/>
      <c r="HM301" s="27" t="s">
        <v>8</v>
      </c>
      <c r="IE301" s="27" t="s">
        <v>8</v>
      </c>
      <c r="IJ301" s="27" t="s">
        <v>7</v>
      </c>
      <c r="IK301" s="27" t="s">
        <v>8</v>
      </c>
      <c r="IZ301" s="27" t="s">
        <v>7</v>
      </c>
      <c r="JA301" s="27" t="s">
        <v>8</v>
      </c>
      <c r="JB301" s="27" t="s">
        <v>7</v>
      </c>
      <c r="JE301" s="27" t="s">
        <v>8</v>
      </c>
      <c r="JF301" s="27" t="s">
        <v>7</v>
      </c>
      <c r="JI301" s="27" t="s">
        <v>8</v>
      </c>
      <c r="JJ301" s="27" t="s">
        <v>7</v>
      </c>
      <c r="JM301" s="27" t="s">
        <v>8</v>
      </c>
      <c r="KM301" s="27" t="s">
        <v>8</v>
      </c>
      <c r="KN301" s="27" t="s">
        <v>7</v>
      </c>
      <c r="KP301" s="27" t="s">
        <v>7</v>
      </c>
      <c r="KQ301" s="27" t="s">
        <v>8</v>
      </c>
      <c r="KR301" s="27" t="s">
        <v>7</v>
      </c>
      <c r="LC301" s="27" t="s">
        <v>8</v>
      </c>
      <c r="LD301" s="27" t="s">
        <v>7</v>
      </c>
      <c r="LG301" s="27" t="s">
        <v>8</v>
      </c>
      <c r="LH301" s="27" t="s">
        <v>7</v>
      </c>
      <c r="LK301" s="27" t="s">
        <v>8</v>
      </c>
      <c r="LL301" s="27" t="s">
        <v>7</v>
      </c>
    </row>
    <row r="302" spans="1:326" x14ac:dyDescent="0.25">
      <c r="A302" s="7">
        <v>282.51984033965925</v>
      </c>
      <c r="B302"/>
      <c r="C302"/>
      <c r="D302"/>
      <c r="E302"/>
      <c r="HM302" s="27" t="s">
        <v>8</v>
      </c>
      <c r="HN302" s="27" t="s">
        <v>7</v>
      </c>
      <c r="IE302" s="27" t="s">
        <v>8</v>
      </c>
      <c r="IJ302" s="27" t="s">
        <v>7</v>
      </c>
      <c r="IZ302" s="27" t="s">
        <v>7</v>
      </c>
      <c r="JA302" s="27" t="s">
        <v>8</v>
      </c>
      <c r="JB302" s="27" t="s">
        <v>7</v>
      </c>
      <c r="JE302" s="27" t="s">
        <v>8</v>
      </c>
      <c r="JF302" s="27" t="s">
        <v>7</v>
      </c>
      <c r="JI302" s="27" t="s">
        <v>8</v>
      </c>
      <c r="JJ302" s="27" t="s">
        <v>7</v>
      </c>
      <c r="JK302" s="27" t="s">
        <v>8</v>
      </c>
      <c r="JM302" s="27" t="s">
        <v>8</v>
      </c>
      <c r="JN302" s="27" t="s">
        <v>7</v>
      </c>
      <c r="KK302" s="27" t="s">
        <v>8</v>
      </c>
      <c r="KM302" s="27" t="s">
        <v>8</v>
      </c>
      <c r="KP302" s="27" t="s">
        <v>7</v>
      </c>
      <c r="KR302" s="27" t="s">
        <v>7</v>
      </c>
      <c r="LC302" s="27" t="s">
        <v>8</v>
      </c>
      <c r="LD302" s="27" t="s">
        <v>7</v>
      </c>
      <c r="LE302" s="27" t="s">
        <v>8</v>
      </c>
      <c r="LG302" s="27" t="s">
        <v>8</v>
      </c>
      <c r="LH302" s="27" t="s">
        <v>7</v>
      </c>
      <c r="LI302" s="27" t="s">
        <v>8</v>
      </c>
      <c r="LK302" s="27" t="s">
        <v>8</v>
      </c>
      <c r="LL302" s="27" t="s">
        <v>7</v>
      </c>
    </row>
    <row r="303" spans="1:326" x14ac:dyDescent="0.25">
      <c r="A303" s="7">
        <v>276.98023562711688</v>
      </c>
      <c r="B303"/>
      <c r="C303"/>
      <c r="D303"/>
      <c r="E303"/>
      <c r="HM303" s="27" t="s">
        <v>8</v>
      </c>
      <c r="HN303" s="27" t="s">
        <v>7</v>
      </c>
      <c r="IC303" s="27" t="s">
        <v>8</v>
      </c>
      <c r="IE303" s="27" t="s">
        <v>8</v>
      </c>
      <c r="IZ303" s="27" t="s">
        <v>7</v>
      </c>
      <c r="JA303" s="27" t="s">
        <v>8</v>
      </c>
      <c r="JB303" s="27" t="s">
        <v>7</v>
      </c>
      <c r="JE303" s="27" t="s">
        <v>8</v>
      </c>
      <c r="JF303" s="27" t="s">
        <v>7</v>
      </c>
      <c r="JI303" s="27" t="s">
        <v>8</v>
      </c>
      <c r="JJ303" s="27" t="s">
        <v>7</v>
      </c>
      <c r="JK303" s="27" t="s">
        <v>8</v>
      </c>
      <c r="JL303" s="27" t="s">
        <v>7</v>
      </c>
      <c r="JM303" s="27" t="s">
        <v>8</v>
      </c>
      <c r="JN303" s="27" t="s">
        <v>7</v>
      </c>
      <c r="JO303" s="27" t="s">
        <v>8</v>
      </c>
      <c r="KI303" s="27" t="s">
        <v>8</v>
      </c>
      <c r="KK303" s="27" t="s">
        <v>8</v>
      </c>
      <c r="KL303" s="27" t="s">
        <v>7</v>
      </c>
      <c r="KM303" s="27" t="s">
        <v>8</v>
      </c>
      <c r="KR303" s="27" t="s">
        <v>7</v>
      </c>
      <c r="LC303" s="27" t="s">
        <v>8</v>
      </c>
      <c r="LD303" s="27" t="s">
        <v>7</v>
      </c>
      <c r="LE303" s="27" t="s">
        <v>8</v>
      </c>
      <c r="LF303" s="27" t="s">
        <v>7</v>
      </c>
      <c r="LG303" s="27" t="s">
        <v>8</v>
      </c>
      <c r="LH303" s="27" t="s">
        <v>7</v>
      </c>
      <c r="LI303" s="27" t="s">
        <v>8</v>
      </c>
      <c r="LJ303" s="27" t="s">
        <v>7</v>
      </c>
      <c r="LK303" s="27" t="s">
        <v>8</v>
      </c>
      <c r="LL303" s="27" t="s">
        <v>7</v>
      </c>
      <c r="LM303" s="27" t="s">
        <v>8</v>
      </c>
    </row>
    <row r="304" spans="1:326" x14ac:dyDescent="0.25">
      <c r="A304" s="7">
        <v>271.54925061482049</v>
      </c>
      <c r="B304"/>
      <c r="C304"/>
      <c r="D304"/>
      <c r="E304"/>
      <c r="HK304" s="27" t="s">
        <v>8</v>
      </c>
      <c r="HM304" s="27" t="s">
        <v>8</v>
      </c>
      <c r="HN304" s="27" t="s">
        <v>7</v>
      </c>
      <c r="IC304" s="27" t="s">
        <v>8</v>
      </c>
      <c r="ID304" s="27" t="s">
        <v>7</v>
      </c>
      <c r="IE304" s="27" t="s">
        <v>8</v>
      </c>
      <c r="IZ304" s="27" t="s">
        <v>7</v>
      </c>
      <c r="JA304" s="27" t="s">
        <v>8</v>
      </c>
      <c r="JB304" s="27" t="s">
        <v>7</v>
      </c>
      <c r="JC304" s="27" t="s">
        <v>8</v>
      </c>
      <c r="JE304" s="27" t="s">
        <v>8</v>
      </c>
      <c r="JF304" s="27" t="s">
        <v>7</v>
      </c>
      <c r="JG304" s="27" t="s">
        <v>8</v>
      </c>
      <c r="JI304" s="27" t="s">
        <v>8</v>
      </c>
      <c r="JJ304" s="27" t="s">
        <v>7</v>
      </c>
      <c r="JK304" s="27" t="s">
        <v>8</v>
      </c>
      <c r="JL304" s="27" t="s">
        <v>7</v>
      </c>
      <c r="JM304" s="27" t="s">
        <v>8</v>
      </c>
      <c r="JN304" s="27" t="s">
        <v>7</v>
      </c>
      <c r="JO304" s="27" t="s">
        <v>8</v>
      </c>
      <c r="JP304" s="27" t="s">
        <v>7</v>
      </c>
      <c r="KG304" s="27" t="s">
        <v>8</v>
      </c>
      <c r="KI304" s="27" t="s">
        <v>8</v>
      </c>
      <c r="KJ304" s="27" t="s">
        <v>7</v>
      </c>
      <c r="KK304" s="27" t="s">
        <v>8</v>
      </c>
      <c r="KL304" s="27" t="s">
        <v>7</v>
      </c>
      <c r="KM304" s="27" t="s">
        <v>8</v>
      </c>
      <c r="KR304" s="27" t="s">
        <v>7</v>
      </c>
      <c r="KU304" s="27" t="s">
        <v>8</v>
      </c>
      <c r="LC304" s="27" t="s">
        <v>8</v>
      </c>
      <c r="LD304" s="27" t="s">
        <v>7</v>
      </c>
      <c r="LE304" s="27" t="s">
        <v>8</v>
      </c>
      <c r="LF304" s="27" t="s">
        <v>7</v>
      </c>
      <c r="LG304" s="27" t="s">
        <v>8</v>
      </c>
      <c r="LH304" s="27" t="s">
        <v>7</v>
      </c>
      <c r="LI304" s="27" t="s">
        <v>8</v>
      </c>
      <c r="LJ304" s="27" t="s">
        <v>7</v>
      </c>
      <c r="LK304" s="27" t="s">
        <v>8</v>
      </c>
      <c r="LL304" s="27" t="s">
        <v>7</v>
      </c>
      <c r="LM304" s="27" t="s">
        <v>8</v>
      </c>
      <c r="LN304" s="27" t="s">
        <v>7</v>
      </c>
    </row>
    <row r="305" spans="1:358" x14ac:dyDescent="0.25">
      <c r="A305" s="7">
        <v>266.22475550472598</v>
      </c>
      <c r="B305"/>
      <c r="C305"/>
      <c r="D305"/>
      <c r="E305"/>
      <c r="HK305" s="27" t="s">
        <v>8</v>
      </c>
      <c r="HL305" s="27" t="s">
        <v>7</v>
      </c>
      <c r="HM305" s="27" t="s">
        <v>8</v>
      </c>
      <c r="HN305" s="27" t="s">
        <v>7</v>
      </c>
      <c r="IC305" s="27" t="s">
        <v>8</v>
      </c>
      <c r="ID305" s="27" t="s">
        <v>7</v>
      </c>
      <c r="IE305" s="27" t="s">
        <v>8</v>
      </c>
      <c r="IZ305" s="27" t="s">
        <v>7</v>
      </c>
      <c r="JA305" s="27" t="s">
        <v>8</v>
      </c>
      <c r="JB305" s="27" t="s">
        <v>7</v>
      </c>
      <c r="JC305" s="27" t="s">
        <v>8</v>
      </c>
      <c r="JD305" s="27" t="s">
        <v>7</v>
      </c>
      <c r="JE305" s="27" t="s">
        <v>8</v>
      </c>
      <c r="JF305" s="27" t="s">
        <v>7</v>
      </c>
      <c r="JG305" s="27" t="s">
        <v>8</v>
      </c>
      <c r="JH305" s="27" t="s">
        <v>7</v>
      </c>
      <c r="JI305" s="27" t="s">
        <v>8</v>
      </c>
      <c r="JJ305" s="27" t="s">
        <v>7</v>
      </c>
      <c r="JK305" s="27" t="s">
        <v>8</v>
      </c>
      <c r="JL305" s="27" t="s">
        <v>7</v>
      </c>
      <c r="JM305" s="27" t="s">
        <v>8</v>
      </c>
      <c r="JN305" s="27" t="s">
        <v>7</v>
      </c>
      <c r="JO305" s="27" t="s">
        <v>8</v>
      </c>
      <c r="JP305" s="27" t="s">
        <v>7</v>
      </c>
      <c r="KG305" s="27" t="s">
        <v>8</v>
      </c>
      <c r="KH305" s="27" t="s">
        <v>7</v>
      </c>
      <c r="KI305" s="27" t="s">
        <v>8</v>
      </c>
      <c r="KJ305" s="27" t="s">
        <v>7</v>
      </c>
      <c r="KK305" s="27" t="s">
        <v>8</v>
      </c>
      <c r="KL305" s="27" t="s">
        <v>7</v>
      </c>
      <c r="KM305" s="27" t="s">
        <v>8</v>
      </c>
      <c r="KR305" s="27" t="s">
        <v>7</v>
      </c>
      <c r="KS305" s="27" t="s">
        <v>8</v>
      </c>
      <c r="KU305" s="27" t="s">
        <v>8</v>
      </c>
      <c r="KV305" s="27" t="s">
        <v>7</v>
      </c>
      <c r="LC305" s="27" t="s">
        <v>8</v>
      </c>
      <c r="LD305" s="27" t="s">
        <v>7</v>
      </c>
      <c r="LF305" s="27" t="s">
        <v>7</v>
      </c>
      <c r="LG305" s="27" t="s">
        <v>8</v>
      </c>
      <c r="LH305" s="27" t="s">
        <v>7</v>
      </c>
      <c r="LI305" s="27" t="s">
        <v>8</v>
      </c>
      <c r="LJ305" s="27" t="s">
        <v>7</v>
      </c>
      <c r="LK305" s="27" t="s">
        <v>8</v>
      </c>
      <c r="LL305" s="27" t="s">
        <v>7</v>
      </c>
      <c r="LM305" s="27" t="s">
        <v>8</v>
      </c>
      <c r="LN305" s="27" t="s">
        <v>7</v>
      </c>
    </row>
    <row r="306" spans="1:358" x14ac:dyDescent="0.25">
      <c r="A306" s="7">
        <v>261.00466225953528</v>
      </c>
      <c r="B306"/>
      <c r="C306"/>
      <c r="D306"/>
      <c r="E306"/>
      <c r="HK306" s="27" t="s">
        <v>8</v>
      </c>
      <c r="HL306" s="27" t="s">
        <v>7</v>
      </c>
      <c r="HM306" s="27" t="s">
        <v>8</v>
      </c>
      <c r="HN306" s="27" t="s">
        <v>7</v>
      </c>
      <c r="IA306" s="27" t="s">
        <v>8</v>
      </c>
      <c r="IC306" s="27" t="s">
        <v>8</v>
      </c>
      <c r="ID306" s="27" t="s">
        <v>7</v>
      </c>
      <c r="IE306" s="27" t="s">
        <v>8</v>
      </c>
      <c r="IZ306" s="27" t="s">
        <v>7</v>
      </c>
      <c r="JA306" s="27" t="s">
        <v>8</v>
      </c>
      <c r="JB306" s="27" t="s">
        <v>7</v>
      </c>
      <c r="JC306" s="27" t="s">
        <v>8</v>
      </c>
      <c r="JD306" s="27" t="s">
        <v>7</v>
      </c>
      <c r="JE306" s="27" t="s">
        <v>8</v>
      </c>
      <c r="JF306" s="27" t="s">
        <v>7</v>
      </c>
      <c r="JG306" s="27" t="s">
        <v>8</v>
      </c>
      <c r="JH306" s="27" t="s">
        <v>7</v>
      </c>
      <c r="JI306" s="27" t="s">
        <v>8</v>
      </c>
      <c r="JJ306" s="27" t="s">
        <v>7</v>
      </c>
      <c r="JK306" s="27" t="s">
        <v>8</v>
      </c>
      <c r="JL306" s="27" t="s">
        <v>7</v>
      </c>
      <c r="JM306" s="27" t="s">
        <v>8</v>
      </c>
      <c r="JN306" s="27" t="s">
        <v>7</v>
      </c>
      <c r="JP306" s="27" t="s">
        <v>7</v>
      </c>
      <c r="KG306" s="27" t="s">
        <v>8</v>
      </c>
      <c r="KH306" s="27" t="s">
        <v>7</v>
      </c>
      <c r="KI306" s="27" t="s">
        <v>8</v>
      </c>
      <c r="KJ306" s="27" t="s">
        <v>7</v>
      </c>
      <c r="KK306" s="27" t="s">
        <v>8</v>
      </c>
      <c r="KL306" s="27" t="s">
        <v>7</v>
      </c>
      <c r="KM306" s="27" t="s">
        <v>8</v>
      </c>
      <c r="KR306" s="27" t="s">
        <v>7</v>
      </c>
      <c r="KS306" s="27" t="s">
        <v>8</v>
      </c>
      <c r="KT306" s="27" t="s">
        <v>7</v>
      </c>
      <c r="KU306" s="27" t="s">
        <v>8</v>
      </c>
      <c r="KV306" s="27" t="s">
        <v>7</v>
      </c>
      <c r="LC306" s="27" t="s">
        <v>8</v>
      </c>
      <c r="LF306" s="27" t="s">
        <v>7</v>
      </c>
      <c r="LG306" s="27" t="s">
        <v>8</v>
      </c>
      <c r="LH306" s="27" t="s">
        <v>7</v>
      </c>
      <c r="LI306" s="27" t="s">
        <v>8</v>
      </c>
      <c r="LJ306" s="27" t="s">
        <v>7</v>
      </c>
      <c r="LK306" s="27" t="s">
        <v>8</v>
      </c>
      <c r="LL306" s="27" t="s">
        <v>7</v>
      </c>
      <c r="LM306" s="27" t="s">
        <v>8</v>
      </c>
      <c r="LN306" s="27" t="s">
        <v>7</v>
      </c>
    </row>
    <row r="307" spans="1:358" x14ac:dyDescent="0.25">
      <c r="A307" s="7">
        <v>255.88692378385809</v>
      </c>
      <c r="B307"/>
      <c r="C307"/>
      <c r="D307"/>
      <c r="E307"/>
      <c r="HK307" s="27" t="s">
        <v>8</v>
      </c>
      <c r="HL307" s="27" t="s">
        <v>7</v>
      </c>
      <c r="HM307" s="27" t="s">
        <v>8</v>
      </c>
      <c r="HN307" s="27" t="s">
        <v>7</v>
      </c>
      <c r="IA307" s="27" t="s">
        <v>8</v>
      </c>
      <c r="IB307" s="27" t="s">
        <v>7</v>
      </c>
      <c r="IC307" s="27" t="s">
        <v>8</v>
      </c>
      <c r="ID307" s="27" t="s">
        <v>7</v>
      </c>
      <c r="IE307" s="27" t="s">
        <v>8</v>
      </c>
      <c r="IZ307" s="27" t="s">
        <v>7</v>
      </c>
      <c r="JA307" s="27" t="s">
        <v>8</v>
      </c>
      <c r="JB307" s="27" t="s">
        <v>7</v>
      </c>
      <c r="JC307" s="27" t="s">
        <v>8</v>
      </c>
      <c r="JD307" s="27" t="s">
        <v>7</v>
      </c>
      <c r="JE307" s="27" t="s">
        <v>8</v>
      </c>
      <c r="JF307" s="27" t="s">
        <v>7</v>
      </c>
      <c r="JG307" s="27" t="s">
        <v>8</v>
      </c>
      <c r="JH307" s="27" t="s">
        <v>7</v>
      </c>
      <c r="JJ307" s="27" t="s">
        <v>7</v>
      </c>
      <c r="JK307" s="27" t="s">
        <v>8</v>
      </c>
      <c r="JL307" s="27" t="s">
        <v>7</v>
      </c>
      <c r="JM307" s="27" t="s">
        <v>8</v>
      </c>
      <c r="JP307" s="27" t="s">
        <v>7</v>
      </c>
      <c r="KG307" s="27" t="s">
        <v>8</v>
      </c>
      <c r="KH307" s="27" t="s">
        <v>7</v>
      </c>
      <c r="KJ307" s="27" t="s">
        <v>7</v>
      </c>
      <c r="KL307" s="27" t="s">
        <v>7</v>
      </c>
      <c r="KM307" s="27" t="s">
        <v>8</v>
      </c>
      <c r="KR307" s="27" t="s">
        <v>7</v>
      </c>
      <c r="KS307" s="27" t="s">
        <v>8</v>
      </c>
      <c r="KT307" s="27" t="s">
        <v>7</v>
      </c>
      <c r="KU307" s="27" t="s">
        <v>8</v>
      </c>
      <c r="KV307" s="27" t="s">
        <v>7</v>
      </c>
      <c r="LC307" s="27" t="s">
        <v>8</v>
      </c>
      <c r="LF307" s="27" t="s">
        <v>7</v>
      </c>
      <c r="LH307" s="27" t="s">
        <v>7</v>
      </c>
      <c r="LI307" s="27" t="s">
        <v>8</v>
      </c>
      <c r="LJ307" s="27" t="s">
        <v>7</v>
      </c>
      <c r="LK307" s="27" t="s">
        <v>8</v>
      </c>
      <c r="LL307" s="27" t="s">
        <v>7</v>
      </c>
      <c r="LN307" s="27" t="s">
        <v>7</v>
      </c>
      <c r="LU307" s="27" t="s">
        <v>8</v>
      </c>
    </row>
    <row r="308" spans="1:358" x14ac:dyDescent="0.25">
      <c r="A308" s="7">
        <v>250.8695331214295</v>
      </c>
      <c r="B308"/>
      <c r="C308"/>
      <c r="D308"/>
      <c r="E308"/>
      <c r="HI308" s="27" t="s">
        <v>8</v>
      </c>
      <c r="HK308" s="27" t="s">
        <v>8</v>
      </c>
      <c r="HL308" s="27" t="s">
        <v>7</v>
      </c>
      <c r="HN308" s="27" t="s">
        <v>7</v>
      </c>
      <c r="IA308" s="27" t="s">
        <v>8</v>
      </c>
      <c r="IB308" s="27" t="s">
        <v>7</v>
      </c>
      <c r="IC308" s="27" t="s">
        <v>8</v>
      </c>
      <c r="ID308" s="27" t="s">
        <v>7</v>
      </c>
      <c r="IZ308" s="27" t="s">
        <v>7</v>
      </c>
      <c r="JA308" s="27" t="s">
        <v>8</v>
      </c>
      <c r="JB308" s="27" t="s">
        <v>7</v>
      </c>
      <c r="JC308" s="27" t="s">
        <v>8</v>
      </c>
      <c r="JD308" s="27" t="s">
        <v>7</v>
      </c>
      <c r="JE308" s="27" t="s">
        <v>8</v>
      </c>
      <c r="JF308" s="27" t="s">
        <v>7</v>
      </c>
      <c r="JG308" s="27" t="s">
        <v>8</v>
      </c>
      <c r="JJ308" s="27" t="s">
        <v>7</v>
      </c>
      <c r="JK308" s="27" t="s">
        <v>8</v>
      </c>
      <c r="JL308" s="27" t="s">
        <v>7</v>
      </c>
      <c r="JM308" s="27" t="s">
        <v>8</v>
      </c>
      <c r="JP308" s="27" t="s">
        <v>7</v>
      </c>
      <c r="KG308" s="27" t="s">
        <v>8</v>
      </c>
      <c r="KL308" s="27" t="s">
        <v>7</v>
      </c>
      <c r="KM308" s="27" t="s">
        <v>8</v>
      </c>
      <c r="KR308" s="27" t="s">
        <v>7</v>
      </c>
      <c r="KS308" s="27" t="s">
        <v>8</v>
      </c>
      <c r="KT308" s="27" t="s">
        <v>7</v>
      </c>
      <c r="KU308" s="27" t="s">
        <v>8</v>
      </c>
      <c r="KV308" s="27" t="s">
        <v>7</v>
      </c>
      <c r="KW308" s="27" t="s">
        <v>8</v>
      </c>
      <c r="LC308" s="27" t="s">
        <v>8</v>
      </c>
      <c r="LH308" s="27" t="s">
        <v>7</v>
      </c>
      <c r="LJ308" s="27" t="s">
        <v>7</v>
      </c>
      <c r="LN308" s="27" t="s">
        <v>7</v>
      </c>
      <c r="LQ308" s="27" t="s">
        <v>8</v>
      </c>
      <c r="LS308" s="27" t="s">
        <v>8</v>
      </c>
      <c r="LU308" s="27" t="s">
        <v>8</v>
      </c>
      <c r="LV308" s="27" t="s">
        <v>7</v>
      </c>
      <c r="MM308" s="27" t="s">
        <v>8</v>
      </c>
    </row>
    <row r="309" spans="1:358" x14ac:dyDescent="0.25">
      <c r="A309" s="7">
        <v>245.95052266806812</v>
      </c>
      <c r="B309"/>
      <c r="C309"/>
      <c r="D309"/>
      <c r="E309"/>
      <c r="HI309" s="27" t="s">
        <v>8</v>
      </c>
      <c r="HJ309" s="27" t="s">
        <v>7</v>
      </c>
      <c r="HK309" s="27" t="s">
        <v>8</v>
      </c>
      <c r="HN309" s="27" t="s">
        <v>7</v>
      </c>
      <c r="IA309" s="27" t="s">
        <v>8</v>
      </c>
      <c r="IB309" s="27" t="s">
        <v>7</v>
      </c>
      <c r="IZ309" s="27" t="s">
        <v>7</v>
      </c>
      <c r="JA309" s="27" t="s">
        <v>8</v>
      </c>
      <c r="JB309" s="27" t="s">
        <v>7</v>
      </c>
      <c r="JC309" s="27" t="s">
        <v>8</v>
      </c>
      <c r="JD309" s="27" t="s">
        <v>7</v>
      </c>
      <c r="JE309" s="27" t="s">
        <v>8</v>
      </c>
      <c r="JF309" s="27" t="s">
        <v>7</v>
      </c>
      <c r="JG309" s="27" t="s">
        <v>8</v>
      </c>
      <c r="JJ309" s="27" t="s">
        <v>7</v>
      </c>
      <c r="JK309" s="27" t="s">
        <v>8</v>
      </c>
      <c r="JL309" s="27" t="s">
        <v>7</v>
      </c>
      <c r="JM309" s="27" t="s">
        <v>8</v>
      </c>
      <c r="JP309" s="27" t="s">
        <v>7</v>
      </c>
      <c r="KC309" s="27" t="s">
        <v>8</v>
      </c>
      <c r="KE309" s="27" t="s">
        <v>8</v>
      </c>
      <c r="KG309" s="27" t="s">
        <v>8</v>
      </c>
      <c r="KL309" s="27" t="s">
        <v>7</v>
      </c>
      <c r="KR309" s="27" t="s">
        <v>7</v>
      </c>
      <c r="KS309" s="27" t="s">
        <v>8</v>
      </c>
      <c r="KT309" s="27" t="s">
        <v>7</v>
      </c>
      <c r="KU309" s="27" t="s">
        <v>8</v>
      </c>
      <c r="KV309" s="27" t="s">
        <v>7</v>
      </c>
      <c r="KW309" s="27" t="s">
        <v>8</v>
      </c>
      <c r="KX309" s="27" t="s">
        <v>7</v>
      </c>
      <c r="LA309" s="27" t="s">
        <v>8</v>
      </c>
      <c r="LC309" s="27" t="s">
        <v>8</v>
      </c>
      <c r="LN309" s="27" t="s">
        <v>7</v>
      </c>
      <c r="LQ309" s="27" t="s">
        <v>8</v>
      </c>
      <c r="LR309" s="27" t="s">
        <v>7</v>
      </c>
      <c r="LS309" s="27" t="s">
        <v>8</v>
      </c>
      <c r="LT309" s="27" t="s">
        <v>7</v>
      </c>
      <c r="LU309" s="27" t="s">
        <v>8</v>
      </c>
      <c r="LV309" s="27" t="s">
        <v>7</v>
      </c>
      <c r="MM309" s="27" t="s">
        <v>8</v>
      </c>
      <c r="MN309" s="27" t="s">
        <v>7</v>
      </c>
    </row>
    <row r="310" spans="1:358" x14ac:dyDescent="0.25">
      <c r="A310" s="7">
        <v>241.12796340006679</v>
      </c>
      <c r="B310"/>
      <c r="C310"/>
      <c r="D310"/>
      <c r="E310"/>
      <c r="HI310" s="27" t="s">
        <v>8</v>
      </c>
      <c r="HJ310" s="27" t="s">
        <v>7</v>
      </c>
      <c r="HK310" s="27" t="s">
        <v>8</v>
      </c>
      <c r="HN310" s="27" t="s">
        <v>7</v>
      </c>
      <c r="IA310" s="27" t="s">
        <v>8</v>
      </c>
      <c r="IZ310" s="27" t="s">
        <v>7</v>
      </c>
      <c r="JA310" s="27" t="s">
        <v>8</v>
      </c>
      <c r="JB310" s="27" t="s">
        <v>7</v>
      </c>
      <c r="JC310" s="27" t="s">
        <v>8</v>
      </c>
      <c r="JD310" s="27" t="s">
        <v>7</v>
      </c>
      <c r="JE310" s="27" t="s">
        <v>8</v>
      </c>
      <c r="JF310" s="27" t="s">
        <v>7</v>
      </c>
      <c r="JG310" s="27" t="s">
        <v>8</v>
      </c>
      <c r="JJ310" s="27" t="s">
        <v>7</v>
      </c>
      <c r="JK310" s="27" t="s">
        <v>8</v>
      </c>
      <c r="JL310" s="27" t="s">
        <v>7</v>
      </c>
      <c r="JM310" s="27" t="s">
        <v>8</v>
      </c>
      <c r="JP310" s="27" t="s">
        <v>7</v>
      </c>
      <c r="KC310" s="27" t="s">
        <v>8</v>
      </c>
      <c r="KD310" s="27" t="s">
        <v>7</v>
      </c>
      <c r="KE310" s="27" t="s">
        <v>8</v>
      </c>
      <c r="KF310" s="27" t="s">
        <v>7</v>
      </c>
      <c r="KG310" s="27" t="s">
        <v>8</v>
      </c>
      <c r="KR310" s="27" t="s">
        <v>7</v>
      </c>
      <c r="KS310" s="27" t="s">
        <v>8</v>
      </c>
      <c r="KT310" s="27" t="s">
        <v>7</v>
      </c>
      <c r="KV310" s="27" t="s">
        <v>7</v>
      </c>
      <c r="KW310" s="27" t="s">
        <v>8</v>
      </c>
      <c r="KX310" s="27" t="s">
        <v>7</v>
      </c>
      <c r="KY310" s="27" t="s">
        <v>8</v>
      </c>
      <c r="LA310" s="27" t="s">
        <v>8</v>
      </c>
      <c r="LB310" s="27" t="s">
        <v>7</v>
      </c>
      <c r="LC310" s="27" t="s">
        <v>8</v>
      </c>
      <c r="LN310" s="27" t="s">
        <v>7</v>
      </c>
      <c r="LO310" s="27" t="s">
        <v>8</v>
      </c>
      <c r="LQ310" s="27" t="s">
        <v>8</v>
      </c>
      <c r="LR310" s="27" t="s">
        <v>7</v>
      </c>
      <c r="LS310" s="27" t="s">
        <v>8</v>
      </c>
      <c r="LT310" s="27" t="s">
        <v>7</v>
      </c>
      <c r="LU310" s="27" t="s">
        <v>8</v>
      </c>
      <c r="LV310" s="27" t="s">
        <v>7</v>
      </c>
      <c r="LW310" s="27" t="s">
        <v>8</v>
      </c>
      <c r="MM310" s="27" t="s">
        <v>8</v>
      </c>
      <c r="MN310" s="27" t="s">
        <v>7</v>
      </c>
    </row>
    <row r="311" spans="1:358" x14ac:dyDescent="0.25">
      <c r="A311" s="7">
        <v>236.39996411771253</v>
      </c>
      <c r="B311"/>
      <c r="C311"/>
      <c r="D311"/>
      <c r="E311"/>
      <c r="HI311" s="27" t="s">
        <v>8</v>
      </c>
      <c r="HJ311" s="27" t="s">
        <v>7</v>
      </c>
      <c r="HK311" s="27" t="s">
        <v>8</v>
      </c>
      <c r="HN311" s="27" t="s">
        <v>7</v>
      </c>
      <c r="HW311" s="27" t="s">
        <v>8</v>
      </c>
      <c r="HY311" s="27" t="s">
        <v>8</v>
      </c>
      <c r="IA311" s="27" t="s">
        <v>8</v>
      </c>
      <c r="IZ311" s="27" t="s">
        <v>7</v>
      </c>
      <c r="JA311" s="27" t="s">
        <v>8</v>
      </c>
      <c r="JB311" s="27" t="s">
        <v>7</v>
      </c>
      <c r="JC311" s="27" t="s">
        <v>8</v>
      </c>
      <c r="JD311" s="27" t="s">
        <v>7</v>
      </c>
      <c r="JE311" s="27" t="s">
        <v>8</v>
      </c>
      <c r="JF311" s="27" t="s">
        <v>7</v>
      </c>
      <c r="JG311" s="27" t="s">
        <v>8</v>
      </c>
      <c r="JJ311" s="27" t="s">
        <v>7</v>
      </c>
      <c r="JK311" s="27" t="s">
        <v>8</v>
      </c>
      <c r="JL311" s="27" t="s">
        <v>7</v>
      </c>
      <c r="JP311" s="27" t="s">
        <v>7</v>
      </c>
      <c r="KC311" s="27" t="s">
        <v>8</v>
      </c>
      <c r="KD311" s="27" t="s">
        <v>7</v>
      </c>
      <c r="KE311" s="27" t="s">
        <v>8</v>
      </c>
      <c r="KF311" s="27" t="s">
        <v>7</v>
      </c>
      <c r="KG311" s="27" t="s">
        <v>8</v>
      </c>
      <c r="KR311" s="27" t="s">
        <v>7</v>
      </c>
      <c r="KV311" s="27" t="s">
        <v>7</v>
      </c>
      <c r="KW311" s="27" t="s">
        <v>8</v>
      </c>
      <c r="KX311" s="27" t="s">
        <v>7</v>
      </c>
      <c r="KY311" s="27" t="s">
        <v>8</v>
      </c>
      <c r="KZ311" s="27" t="s">
        <v>7</v>
      </c>
      <c r="LA311" s="27" t="s">
        <v>8</v>
      </c>
      <c r="LB311" s="27" t="s">
        <v>7</v>
      </c>
      <c r="LC311" s="27" t="s">
        <v>8</v>
      </c>
      <c r="LN311" s="27" t="s">
        <v>7</v>
      </c>
      <c r="LO311" s="27" t="s">
        <v>8</v>
      </c>
      <c r="LP311" s="27" t="s">
        <v>7</v>
      </c>
      <c r="LQ311" s="27" t="s">
        <v>8</v>
      </c>
      <c r="LR311" s="27" t="s">
        <v>7</v>
      </c>
      <c r="LS311" s="27" t="s">
        <v>8</v>
      </c>
      <c r="LT311" s="27" t="s">
        <v>7</v>
      </c>
      <c r="LU311" s="27" t="s">
        <v>8</v>
      </c>
      <c r="LV311" s="27" t="s">
        <v>7</v>
      </c>
      <c r="LW311" s="27" t="s">
        <v>8</v>
      </c>
      <c r="LX311" s="27" t="s">
        <v>7</v>
      </c>
      <c r="MK311" s="27" t="s">
        <v>8</v>
      </c>
      <c r="MM311" s="27" t="s">
        <v>8</v>
      </c>
      <c r="MN311" s="27" t="s">
        <v>7</v>
      </c>
      <c r="MS311" s="27" t="s">
        <v>8</v>
      </c>
    </row>
    <row r="312" spans="1:358" x14ac:dyDescent="0.25">
      <c r="A312" s="7">
        <v>231.76467070363972</v>
      </c>
      <c r="B312"/>
      <c r="C312"/>
      <c r="D312"/>
      <c r="E312"/>
      <c r="HI312" s="27" t="s">
        <v>8</v>
      </c>
      <c r="HJ312" s="27" t="s">
        <v>7</v>
      </c>
      <c r="HK312" s="27" t="s">
        <v>8</v>
      </c>
      <c r="HN312" s="27" t="s">
        <v>7</v>
      </c>
      <c r="HS312" s="27" t="s">
        <v>8</v>
      </c>
      <c r="HW312" s="27" t="s">
        <v>8</v>
      </c>
      <c r="HX312" s="27" t="s">
        <v>7</v>
      </c>
      <c r="HY312" s="27" t="s">
        <v>8</v>
      </c>
      <c r="HZ312" s="27" t="s">
        <v>7</v>
      </c>
      <c r="IA312" s="27" t="s">
        <v>8</v>
      </c>
      <c r="IZ312" s="27" t="s">
        <v>7</v>
      </c>
      <c r="JA312" s="27" t="s">
        <v>8</v>
      </c>
      <c r="JB312" s="27" t="s">
        <v>7</v>
      </c>
      <c r="JC312" s="27" t="s">
        <v>8</v>
      </c>
      <c r="JD312" s="27" t="s">
        <v>7</v>
      </c>
      <c r="JE312" s="27" t="s">
        <v>8</v>
      </c>
      <c r="JF312" s="27" t="s">
        <v>7</v>
      </c>
      <c r="JG312" s="27" t="s">
        <v>8</v>
      </c>
      <c r="JJ312" s="27" t="s">
        <v>7</v>
      </c>
      <c r="JK312" s="27" t="s">
        <v>8</v>
      </c>
      <c r="JP312" s="27" t="s">
        <v>7</v>
      </c>
      <c r="KA312" s="27" t="s">
        <v>8</v>
      </c>
      <c r="KC312" s="27" t="s">
        <v>8</v>
      </c>
      <c r="KD312" s="27" t="s">
        <v>7</v>
      </c>
      <c r="KF312" s="27" t="s">
        <v>7</v>
      </c>
      <c r="KG312" s="27" t="s">
        <v>8</v>
      </c>
      <c r="KV312" s="27" t="s">
        <v>7</v>
      </c>
      <c r="KW312" s="27" t="s">
        <v>8</v>
      </c>
      <c r="KX312" s="27" t="s">
        <v>7</v>
      </c>
      <c r="KY312" s="27" t="s">
        <v>8</v>
      </c>
      <c r="KZ312" s="27" t="s">
        <v>7</v>
      </c>
      <c r="LA312" s="27" t="s">
        <v>8</v>
      </c>
      <c r="LB312" s="27" t="s">
        <v>7</v>
      </c>
      <c r="LN312" s="27" t="s">
        <v>7</v>
      </c>
      <c r="LO312" s="27" t="s">
        <v>8</v>
      </c>
      <c r="LP312" s="27" t="s">
        <v>7</v>
      </c>
      <c r="LQ312" s="27" t="s">
        <v>8</v>
      </c>
      <c r="LR312" s="27" t="s">
        <v>7</v>
      </c>
      <c r="LS312" s="27" t="s">
        <v>8</v>
      </c>
      <c r="LT312" s="27" t="s">
        <v>7</v>
      </c>
      <c r="LU312" s="27" t="s">
        <v>8</v>
      </c>
      <c r="LV312" s="27" t="s">
        <v>7</v>
      </c>
      <c r="LW312" s="27" t="s">
        <v>8</v>
      </c>
      <c r="LX312" s="27" t="s">
        <v>7</v>
      </c>
      <c r="MK312" s="27" t="s">
        <v>8</v>
      </c>
      <c r="ML312" s="27" t="s">
        <v>7</v>
      </c>
      <c r="MM312" s="27" t="s">
        <v>8</v>
      </c>
      <c r="MN312" s="27" t="s">
        <v>7</v>
      </c>
      <c r="MS312" s="27" t="s">
        <v>8</v>
      </c>
      <c r="MT312" s="27" t="s">
        <v>7</v>
      </c>
    </row>
    <row r="313" spans="1:358" x14ac:dyDescent="0.25">
      <c r="A313" s="7">
        <v>227.22026539572522</v>
      </c>
      <c r="B313"/>
      <c r="C313"/>
      <c r="D313"/>
      <c r="E313"/>
      <c r="HI313" s="27" t="s">
        <v>8</v>
      </c>
      <c r="HJ313" s="27" t="s">
        <v>7</v>
      </c>
      <c r="HK313" s="27" t="s">
        <v>8</v>
      </c>
      <c r="HN313" s="27" t="s">
        <v>7</v>
      </c>
      <c r="HQ313" s="27" t="s">
        <v>8</v>
      </c>
      <c r="HS313" s="27" t="s">
        <v>8</v>
      </c>
      <c r="HT313" s="27" t="s">
        <v>7</v>
      </c>
      <c r="HU313" s="27" t="s">
        <v>8</v>
      </c>
      <c r="HW313" s="27" t="s">
        <v>8</v>
      </c>
      <c r="HX313" s="27" t="s">
        <v>7</v>
      </c>
      <c r="HY313" s="27" t="s">
        <v>8</v>
      </c>
      <c r="HZ313" s="27" t="s">
        <v>7</v>
      </c>
      <c r="IA313" s="27" t="s">
        <v>8</v>
      </c>
      <c r="IZ313" s="27" t="s">
        <v>7</v>
      </c>
      <c r="JA313" s="27" t="s">
        <v>8</v>
      </c>
      <c r="JB313" s="27" t="s">
        <v>7</v>
      </c>
      <c r="JC313" s="27" t="s">
        <v>8</v>
      </c>
      <c r="JD313" s="27" t="s">
        <v>7</v>
      </c>
      <c r="JE313" s="27" t="s">
        <v>8</v>
      </c>
      <c r="JF313" s="27" t="s">
        <v>7</v>
      </c>
      <c r="JJ313" s="27" t="s">
        <v>7</v>
      </c>
      <c r="JK313" s="27" t="s">
        <v>8</v>
      </c>
      <c r="JP313" s="27" t="s">
        <v>7</v>
      </c>
      <c r="JQ313" s="27" t="s">
        <v>8</v>
      </c>
      <c r="JW313" s="27" t="s">
        <v>8</v>
      </c>
      <c r="KA313" s="27" t="s">
        <v>8</v>
      </c>
      <c r="KB313" s="27" t="s">
        <v>7</v>
      </c>
      <c r="KC313" s="27" t="s">
        <v>8</v>
      </c>
      <c r="KF313" s="27" t="s">
        <v>7</v>
      </c>
      <c r="KV313" s="27" t="s">
        <v>7</v>
      </c>
      <c r="KW313" s="27" t="s">
        <v>8</v>
      </c>
      <c r="KX313" s="27" t="s">
        <v>7</v>
      </c>
      <c r="KY313" s="27" t="s">
        <v>8</v>
      </c>
      <c r="KZ313" s="27" t="s">
        <v>7</v>
      </c>
      <c r="LA313" s="27" t="s">
        <v>8</v>
      </c>
      <c r="LN313" s="27" t="s">
        <v>7</v>
      </c>
      <c r="LO313" s="27" t="s">
        <v>8</v>
      </c>
      <c r="LP313" s="27" t="s">
        <v>7</v>
      </c>
      <c r="LR313" s="27" t="s">
        <v>7</v>
      </c>
      <c r="LT313" s="27" t="s">
        <v>7</v>
      </c>
      <c r="LU313" s="27" t="s">
        <v>8</v>
      </c>
      <c r="LV313" s="27" t="s">
        <v>7</v>
      </c>
      <c r="LX313" s="27" t="s">
        <v>7</v>
      </c>
      <c r="MK313" s="27" t="s">
        <v>8</v>
      </c>
      <c r="ML313" s="27" t="s">
        <v>7</v>
      </c>
      <c r="MM313" s="27" t="s">
        <v>8</v>
      </c>
      <c r="MN313" s="27" t="s">
        <v>7</v>
      </c>
      <c r="MS313" s="27" t="s">
        <v>8</v>
      </c>
      <c r="MT313" s="27" t="s">
        <v>7</v>
      </c>
    </row>
    <row r="314" spans="1:358" x14ac:dyDescent="0.25">
      <c r="A314" s="7">
        <v>222.76496607424042</v>
      </c>
      <c r="B314"/>
      <c r="C314"/>
      <c r="D314"/>
      <c r="E314"/>
      <c r="HI314" s="27" t="s">
        <v>8</v>
      </c>
      <c r="HJ314" s="27" t="s">
        <v>7</v>
      </c>
      <c r="HK314" s="27" t="s">
        <v>8</v>
      </c>
      <c r="HN314" s="27" t="s">
        <v>7</v>
      </c>
      <c r="HO314" s="27" t="s">
        <v>8</v>
      </c>
      <c r="HQ314" s="27" t="s">
        <v>8</v>
      </c>
      <c r="HR314" s="27" t="s">
        <v>7</v>
      </c>
      <c r="HS314" s="27" t="s">
        <v>8</v>
      </c>
      <c r="HT314" s="27" t="s">
        <v>7</v>
      </c>
      <c r="HU314" s="27" t="s">
        <v>8</v>
      </c>
      <c r="HV314" s="27" t="s">
        <v>7</v>
      </c>
      <c r="HW314" s="27" t="s">
        <v>8</v>
      </c>
      <c r="HX314" s="27" t="s">
        <v>7</v>
      </c>
      <c r="HY314" s="27" t="s">
        <v>8</v>
      </c>
      <c r="HZ314" s="27" t="s">
        <v>7</v>
      </c>
      <c r="IA314" s="27" t="s">
        <v>8</v>
      </c>
      <c r="IZ314" s="27" t="s">
        <v>7</v>
      </c>
      <c r="JA314" s="27" t="s">
        <v>8</v>
      </c>
      <c r="JB314" s="27" t="s">
        <v>7</v>
      </c>
      <c r="JC314" s="27" t="s">
        <v>8</v>
      </c>
      <c r="JD314" s="27" t="s">
        <v>7</v>
      </c>
      <c r="JJ314" s="27" t="s">
        <v>7</v>
      </c>
      <c r="JP314" s="27" t="s">
        <v>7</v>
      </c>
      <c r="JQ314" s="27" t="s">
        <v>8</v>
      </c>
      <c r="JR314" s="27" t="s">
        <v>7</v>
      </c>
      <c r="JS314" s="27" t="s">
        <v>8</v>
      </c>
      <c r="JU314" s="27" t="s">
        <v>8</v>
      </c>
      <c r="JW314" s="27" t="s">
        <v>8</v>
      </c>
      <c r="JX314" s="27" t="s">
        <v>7</v>
      </c>
      <c r="KA314" s="27" t="s">
        <v>8</v>
      </c>
      <c r="KB314" s="27" t="s">
        <v>7</v>
      </c>
      <c r="KC314" s="27" t="s">
        <v>8</v>
      </c>
      <c r="KV314" s="27" t="s">
        <v>7</v>
      </c>
      <c r="KW314" s="27" t="s">
        <v>8</v>
      </c>
      <c r="KX314" s="27" t="s">
        <v>7</v>
      </c>
      <c r="KZ314" s="27" t="s">
        <v>7</v>
      </c>
      <c r="LN314" s="27" t="s">
        <v>7</v>
      </c>
      <c r="LO314" s="27" t="s">
        <v>8</v>
      </c>
      <c r="LT314" s="27" t="s">
        <v>7</v>
      </c>
      <c r="LU314" s="27" t="s">
        <v>8</v>
      </c>
      <c r="LX314" s="27" t="s">
        <v>7</v>
      </c>
      <c r="MK314" s="27" t="s">
        <v>8</v>
      </c>
      <c r="ML314" s="27" t="s">
        <v>7</v>
      </c>
      <c r="MM314" s="27" t="s">
        <v>8</v>
      </c>
      <c r="MN314" s="27" t="s">
        <v>7</v>
      </c>
      <c r="MS314" s="27" t="s">
        <v>8</v>
      </c>
      <c r="MT314" s="27" t="s">
        <v>7</v>
      </c>
    </row>
    <row r="315" spans="1:358" x14ac:dyDescent="0.25">
      <c r="A315" s="7">
        <v>218.39702556298079</v>
      </c>
      <c r="B315"/>
      <c r="C315"/>
      <c r="D315"/>
      <c r="E315"/>
      <c r="HI315" s="27" t="s">
        <v>8</v>
      </c>
      <c r="HJ315" s="27" t="s">
        <v>7</v>
      </c>
      <c r="HK315" s="27" t="s">
        <v>8</v>
      </c>
      <c r="HN315" s="27" t="s">
        <v>7</v>
      </c>
      <c r="HO315" s="27" t="s">
        <v>8</v>
      </c>
      <c r="HP315" s="27" t="s">
        <v>7</v>
      </c>
      <c r="HQ315" s="27" t="s">
        <v>8</v>
      </c>
      <c r="HR315" s="27" t="s">
        <v>7</v>
      </c>
      <c r="HS315" s="27" t="s">
        <v>8</v>
      </c>
      <c r="HT315" s="27" t="s">
        <v>7</v>
      </c>
      <c r="HU315" s="27" t="s">
        <v>8</v>
      </c>
      <c r="HV315" s="27" t="s">
        <v>7</v>
      </c>
      <c r="HW315" s="27" t="s">
        <v>8</v>
      </c>
      <c r="HX315" s="27" t="s">
        <v>7</v>
      </c>
      <c r="HY315" s="27" t="s">
        <v>8</v>
      </c>
      <c r="HZ315" s="27" t="s">
        <v>7</v>
      </c>
      <c r="IA315" s="27" t="s">
        <v>8</v>
      </c>
      <c r="IZ315" s="27" t="s">
        <v>7</v>
      </c>
      <c r="JA315" s="27" t="s">
        <v>8</v>
      </c>
      <c r="JB315" s="27" t="s">
        <v>7</v>
      </c>
      <c r="JC315" s="27" t="s">
        <v>8</v>
      </c>
      <c r="JP315" s="27" t="s">
        <v>7</v>
      </c>
      <c r="JQ315" s="27" t="s">
        <v>8</v>
      </c>
      <c r="JR315" s="27" t="s">
        <v>7</v>
      </c>
      <c r="JS315" s="27" t="s">
        <v>8</v>
      </c>
      <c r="JT315" s="27" t="s">
        <v>7</v>
      </c>
      <c r="JU315" s="27" t="s">
        <v>8</v>
      </c>
      <c r="JV315" s="27" t="s">
        <v>7</v>
      </c>
      <c r="JW315" s="27" t="s">
        <v>8</v>
      </c>
      <c r="JX315" s="27" t="s">
        <v>7</v>
      </c>
      <c r="KA315" s="27" t="s">
        <v>8</v>
      </c>
      <c r="KB315" s="27" t="s">
        <v>7</v>
      </c>
      <c r="KC315" s="27" t="s">
        <v>8</v>
      </c>
      <c r="KV315" s="27" t="s">
        <v>7</v>
      </c>
      <c r="KW315" s="27" t="s">
        <v>8</v>
      </c>
      <c r="LN315" s="27" t="s">
        <v>7</v>
      </c>
      <c r="LO315" s="27" t="s">
        <v>8</v>
      </c>
      <c r="LT315" s="27" t="s">
        <v>7</v>
      </c>
      <c r="LX315" s="27" t="s">
        <v>7</v>
      </c>
      <c r="MK315" s="27" t="s">
        <v>8</v>
      </c>
      <c r="ML315" s="27" t="s">
        <v>7</v>
      </c>
      <c r="MM315" s="27" t="s">
        <v>8</v>
      </c>
      <c r="MN315" s="27" t="s">
        <v>7</v>
      </c>
      <c r="MS315" s="27" t="s">
        <v>8</v>
      </c>
      <c r="MT315" s="27" t="s">
        <v>7</v>
      </c>
    </row>
    <row r="316" spans="1:358" x14ac:dyDescent="0.25">
      <c r="A316" s="7">
        <v>214.1147309440988</v>
      </c>
      <c r="B316"/>
      <c r="C316"/>
      <c r="D316"/>
      <c r="E316"/>
      <c r="HI316" s="27" t="s">
        <v>8</v>
      </c>
      <c r="HJ316" s="27" t="s">
        <v>7</v>
      </c>
      <c r="HK316" s="27" t="s">
        <v>8</v>
      </c>
      <c r="HN316" s="27" t="s">
        <v>7</v>
      </c>
      <c r="HO316" s="27" t="s">
        <v>8</v>
      </c>
      <c r="HP316" s="27" t="s">
        <v>7</v>
      </c>
      <c r="HQ316" s="27" t="s">
        <v>8</v>
      </c>
      <c r="HR316" s="27" t="s">
        <v>7</v>
      </c>
      <c r="HT316" s="27" t="s">
        <v>7</v>
      </c>
      <c r="HU316" s="27" t="s">
        <v>8</v>
      </c>
      <c r="HV316" s="27" t="s">
        <v>7</v>
      </c>
      <c r="HX316" s="27" t="s">
        <v>7</v>
      </c>
      <c r="HZ316" s="27" t="s">
        <v>7</v>
      </c>
      <c r="IA316" s="27" t="s">
        <v>8</v>
      </c>
      <c r="IZ316" s="27" t="s">
        <v>7</v>
      </c>
      <c r="JA316" s="27" t="s">
        <v>8</v>
      </c>
      <c r="JB316" s="27" t="s">
        <v>7</v>
      </c>
      <c r="JC316" s="27" t="s">
        <v>8</v>
      </c>
      <c r="JP316" s="27" t="s">
        <v>7</v>
      </c>
      <c r="JQ316" s="27" t="s">
        <v>8</v>
      </c>
      <c r="JR316" s="27" t="s">
        <v>7</v>
      </c>
      <c r="JS316" s="27" t="s">
        <v>8</v>
      </c>
      <c r="JT316" s="27" t="s">
        <v>7</v>
      </c>
      <c r="JU316" s="27" t="s">
        <v>8</v>
      </c>
      <c r="JV316" s="27" t="s">
        <v>7</v>
      </c>
      <c r="JW316" s="27" t="s">
        <v>8</v>
      </c>
      <c r="JX316" s="27" t="s">
        <v>7</v>
      </c>
      <c r="JY316" s="27" t="s">
        <v>8</v>
      </c>
      <c r="KA316" s="27" t="s">
        <v>8</v>
      </c>
      <c r="KB316" s="27" t="s">
        <v>7</v>
      </c>
      <c r="KV316" s="27" t="s">
        <v>7</v>
      </c>
      <c r="LN316" s="27" t="s">
        <v>7</v>
      </c>
      <c r="LO316" s="27" t="s">
        <v>8</v>
      </c>
      <c r="LX316" s="27" t="s">
        <v>7</v>
      </c>
      <c r="MA316" s="27" t="s">
        <v>8</v>
      </c>
      <c r="MI316" s="27" t="s">
        <v>8</v>
      </c>
      <c r="MK316" s="27" t="s">
        <v>8</v>
      </c>
      <c r="ML316" s="27" t="s">
        <v>7</v>
      </c>
      <c r="MM316" s="27" t="s">
        <v>8</v>
      </c>
      <c r="MN316" s="27" t="s">
        <v>7</v>
      </c>
      <c r="MS316" s="27" t="s">
        <v>8</v>
      </c>
      <c r="MT316" s="27" t="s">
        <v>7</v>
      </c>
    </row>
    <row r="317" spans="1:358" x14ac:dyDescent="0.25">
      <c r="A317" s="7">
        <v>209.91640288637137</v>
      </c>
      <c r="B317"/>
      <c r="C317"/>
      <c r="D317"/>
      <c r="E317"/>
      <c r="HI317" s="27" t="s">
        <v>8</v>
      </c>
      <c r="HJ317" s="27" t="s">
        <v>7</v>
      </c>
      <c r="HK317" s="27" t="s">
        <v>8</v>
      </c>
      <c r="HN317" s="27" t="s">
        <v>7</v>
      </c>
      <c r="HO317" s="27" t="s">
        <v>8</v>
      </c>
      <c r="HP317" s="27" t="s">
        <v>7</v>
      </c>
      <c r="HQ317" s="27" t="s">
        <v>8</v>
      </c>
      <c r="HT317" s="27" t="s">
        <v>7</v>
      </c>
      <c r="HU317" s="27" t="s">
        <v>8</v>
      </c>
      <c r="HZ317" s="27" t="s">
        <v>7</v>
      </c>
      <c r="IA317" s="27" t="s">
        <v>8</v>
      </c>
      <c r="IZ317" s="27" t="s">
        <v>7</v>
      </c>
      <c r="JA317" s="27" t="s">
        <v>8</v>
      </c>
      <c r="JB317" s="27" t="s">
        <v>7</v>
      </c>
      <c r="JC317" s="27" t="s">
        <v>8</v>
      </c>
      <c r="JP317" s="27" t="s">
        <v>7</v>
      </c>
      <c r="JQ317" s="27" t="s">
        <v>8</v>
      </c>
      <c r="JR317" s="27" t="s">
        <v>7</v>
      </c>
      <c r="JS317" s="27" t="s">
        <v>8</v>
      </c>
      <c r="JT317" s="27" t="s">
        <v>7</v>
      </c>
      <c r="JU317" s="27" t="s">
        <v>8</v>
      </c>
      <c r="JV317" s="27" t="s">
        <v>7</v>
      </c>
      <c r="JW317" s="27" t="s">
        <v>8</v>
      </c>
      <c r="JX317" s="27" t="s">
        <v>7</v>
      </c>
      <c r="JY317" s="27" t="s">
        <v>8</v>
      </c>
      <c r="JZ317" s="27" t="s">
        <v>7</v>
      </c>
      <c r="KA317" s="27" t="s">
        <v>8</v>
      </c>
      <c r="LN317" s="27" t="s">
        <v>7</v>
      </c>
      <c r="LO317" s="27" t="s">
        <v>8</v>
      </c>
      <c r="LX317" s="27" t="s">
        <v>7</v>
      </c>
      <c r="MA317" s="27" t="s">
        <v>8</v>
      </c>
      <c r="MB317" s="27" t="s">
        <v>7</v>
      </c>
      <c r="MI317" s="27" t="s">
        <v>8</v>
      </c>
      <c r="MJ317" s="27" t="s">
        <v>7</v>
      </c>
      <c r="MK317" s="27" t="s">
        <v>8</v>
      </c>
      <c r="ML317" s="27" t="s">
        <v>7</v>
      </c>
      <c r="MM317" s="27" t="s">
        <v>8</v>
      </c>
      <c r="MN317" s="27" t="s">
        <v>7</v>
      </c>
      <c r="MS317" s="27" t="s">
        <v>8</v>
      </c>
      <c r="MT317" s="27" t="s">
        <v>7</v>
      </c>
    </row>
    <row r="318" spans="1:358" x14ac:dyDescent="0.25">
      <c r="A318" s="7">
        <v>205.80039498663859</v>
      </c>
      <c r="B318"/>
      <c r="C318"/>
      <c r="D318"/>
      <c r="E318"/>
      <c r="HI318" s="27" t="s">
        <v>8</v>
      </c>
      <c r="HJ318" s="27" t="s">
        <v>7</v>
      </c>
      <c r="HK318" s="27" t="s">
        <v>8</v>
      </c>
      <c r="HN318" s="27" t="s">
        <v>7</v>
      </c>
      <c r="HO318" s="27" t="s">
        <v>8</v>
      </c>
      <c r="HP318" s="27" t="s">
        <v>7</v>
      </c>
      <c r="HQ318" s="27" t="s">
        <v>8</v>
      </c>
      <c r="HT318" s="27" t="s">
        <v>7</v>
      </c>
      <c r="HU318" s="27" t="s">
        <v>8</v>
      </c>
      <c r="HZ318" s="27" t="s">
        <v>7</v>
      </c>
      <c r="IZ318" s="27" t="s">
        <v>7</v>
      </c>
      <c r="JA318" s="27" t="s">
        <v>8</v>
      </c>
      <c r="JB318" s="27" t="s">
        <v>7</v>
      </c>
      <c r="JC318" s="27" t="s">
        <v>8</v>
      </c>
      <c r="JP318" s="27" t="s">
        <v>7</v>
      </c>
      <c r="JQ318" s="27" t="s">
        <v>8</v>
      </c>
      <c r="JR318" s="27" t="s">
        <v>7</v>
      </c>
      <c r="JS318" s="27" t="s">
        <v>8</v>
      </c>
      <c r="JT318" s="27" t="s">
        <v>7</v>
      </c>
      <c r="JU318" s="27" t="s">
        <v>8</v>
      </c>
      <c r="JV318" s="27" t="s">
        <v>7</v>
      </c>
      <c r="JX318" s="27" t="s">
        <v>7</v>
      </c>
      <c r="JY318" s="27" t="s">
        <v>8</v>
      </c>
      <c r="JZ318" s="27" t="s">
        <v>7</v>
      </c>
      <c r="KA318" s="27" t="s">
        <v>8</v>
      </c>
      <c r="LN318" s="27" t="s">
        <v>7</v>
      </c>
      <c r="LO318" s="27" t="s">
        <v>8</v>
      </c>
      <c r="LX318" s="27" t="s">
        <v>7</v>
      </c>
      <c r="LY318" s="27" t="s">
        <v>8</v>
      </c>
      <c r="MA318" s="27" t="s">
        <v>8</v>
      </c>
      <c r="MB318" s="27" t="s">
        <v>7</v>
      </c>
      <c r="ME318" s="27" t="s">
        <v>8</v>
      </c>
      <c r="MI318" s="27" t="s">
        <v>8</v>
      </c>
      <c r="MJ318" s="27" t="s">
        <v>7</v>
      </c>
      <c r="MK318" s="27" t="s">
        <v>8</v>
      </c>
      <c r="ML318" s="27" t="s">
        <v>7</v>
      </c>
      <c r="MN318" s="27" t="s">
        <v>7</v>
      </c>
      <c r="MO318" s="27" t="s">
        <v>8</v>
      </c>
      <c r="MS318" s="27" t="s">
        <v>8</v>
      </c>
      <c r="MT318" s="27" t="s">
        <v>7</v>
      </c>
    </row>
    <row r="319" spans="1:358" x14ac:dyDescent="0.25">
      <c r="A319" s="7">
        <v>201.76509312415547</v>
      </c>
      <c r="B319"/>
      <c r="C319"/>
      <c r="D319"/>
      <c r="E319"/>
      <c r="HI319" s="27" t="s">
        <v>8</v>
      </c>
      <c r="HJ319" s="27" t="s">
        <v>7</v>
      </c>
      <c r="HN319" s="27" t="s">
        <v>7</v>
      </c>
      <c r="HO319" s="27" t="s">
        <v>8</v>
      </c>
      <c r="HP319" s="27" t="s">
        <v>7</v>
      </c>
      <c r="HQ319" s="27" t="s">
        <v>8</v>
      </c>
      <c r="HT319" s="27" t="s">
        <v>7</v>
      </c>
      <c r="IZ319" s="27" t="s">
        <v>7</v>
      </c>
      <c r="JA319" s="27" t="s">
        <v>8</v>
      </c>
      <c r="JB319" s="27" t="s">
        <v>7</v>
      </c>
      <c r="JC319" s="27" t="s">
        <v>8</v>
      </c>
      <c r="JP319" s="27" t="s">
        <v>7</v>
      </c>
      <c r="JQ319" s="27" t="s">
        <v>8</v>
      </c>
      <c r="JR319" s="27" t="s">
        <v>7</v>
      </c>
      <c r="JS319" s="27" t="s">
        <v>8</v>
      </c>
      <c r="JT319" s="27" t="s">
        <v>7</v>
      </c>
      <c r="JX319" s="27" t="s">
        <v>7</v>
      </c>
      <c r="JZ319" s="27" t="s">
        <v>7</v>
      </c>
      <c r="KA319" s="27" t="s">
        <v>8</v>
      </c>
      <c r="LN319" s="27" t="s">
        <v>7</v>
      </c>
      <c r="LX319" s="27" t="s">
        <v>7</v>
      </c>
      <c r="LY319" s="27" t="s">
        <v>8</v>
      </c>
      <c r="LZ319" s="27" t="s">
        <v>7</v>
      </c>
      <c r="MA319" s="27" t="s">
        <v>8</v>
      </c>
      <c r="MB319" s="27" t="s">
        <v>7</v>
      </c>
      <c r="MC319" s="27" t="s">
        <v>8</v>
      </c>
      <c r="ME319" s="27" t="s">
        <v>8</v>
      </c>
      <c r="MF319" s="27" t="s">
        <v>7</v>
      </c>
      <c r="MI319" s="27" t="s">
        <v>8</v>
      </c>
      <c r="MJ319" s="27" t="s">
        <v>7</v>
      </c>
      <c r="MN319" s="27" t="s">
        <v>7</v>
      </c>
      <c r="MO319" s="27" t="s">
        <v>8</v>
      </c>
      <c r="MP319" s="27" t="s">
        <v>7</v>
      </c>
      <c r="MS319" s="27" t="s">
        <v>8</v>
      </c>
      <c r="MT319" s="27" t="s">
        <v>7</v>
      </c>
    </row>
    <row r="320" spans="1:358" x14ac:dyDescent="0.25">
      <c r="A320" s="7">
        <v>197.80891482760339</v>
      </c>
      <c r="B320"/>
      <c r="C320"/>
      <c r="D320"/>
      <c r="E320"/>
      <c r="HI320" s="27" t="s">
        <v>8</v>
      </c>
      <c r="HN320" s="27" t="s">
        <v>7</v>
      </c>
      <c r="HO320" s="27" t="s">
        <v>8</v>
      </c>
      <c r="HP320" s="27" t="s">
        <v>7</v>
      </c>
      <c r="HQ320" s="27" t="s">
        <v>8</v>
      </c>
      <c r="IZ320" s="27" t="s">
        <v>7</v>
      </c>
      <c r="JA320" s="27" t="s">
        <v>8</v>
      </c>
      <c r="JB320" s="27" t="s">
        <v>7</v>
      </c>
      <c r="JC320" s="27" t="s">
        <v>8</v>
      </c>
      <c r="JP320" s="27" t="s">
        <v>7</v>
      </c>
      <c r="JQ320" s="27" t="s">
        <v>8</v>
      </c>
      <c r="JR320" s="27" t="s">
        <v>7</v>
      </c>
      <c r="JS320" s="27" t="s">
        <v>8</v>
      </c>
      <c r="JZ320" s="27" t="s">
        <v>7</v>
      </c>
      <c r="KA320" s="27" t="s">
        <v>8</v>
      </c>
      <c r="LX320" s="27" t="s">
        <v>7</v>
      </c>
      <c r="LY320" s="27" t="s">
        <v>8</v>
      </c>
      <c r="LZ320" s="27" t="s">
        <v>7</v>
      </c>
      <c r="MA320" s="27" t="s">
        <v>8</v>
      </c>
      <c r="MB320" s="27" t="s">
        <v>7</v>
      </c>
      <c r="MC320" s="27" t="s">
        <v>8</v>
      </c>
      <c r="MD320" s="27" t="s">
        <v>7</v>
      </c>
      <c r="ME320" s="27" t="s">
        <v>8</v>
      </c>
      <c r="MF320" s="27" t="s">
        <v>7</v>
      </c>
      <c r="MG320" s="27" t="s">
        <v>8</v>
      </c>
      <c r="MI320" s="27" t="s">
        <v>8</v>
      </c>
      <c r="MN320" s="27" t="s">
        <v>7</v>
      </c>
      <c r="MO320" s="27" t="s">
        <v>8</v>
      </c>
      <c r="MP320" s="27" t="s">
        <v>7</v>
      </c>
      <c r="MS320" s="27" t="s">
        <v>8</v>
      </c>
      <c r="MT320" s="27" t="s">
        <v>7</v>
      </c>
    </row>
    <row r="321" spans="1:362" x14ac:dyDescent="0.25">
      <c r="A321" s="7">
        <v>193.93030865451311</v>
      </c>
      <c r="B321"/>
      <c r="C321"/>
      <c r="D321"/>
      <c r="E321"/>
      <c r="HI321" s="27" t="s">
        <v>8</v>
      </c>
      <c r="HN321" s="27" t="s">
        <v>7</v>
      </c>
      <c r="HO321" s="27" t="s">
        <v>8</v>
      </c>
      <c r="HP321" s="27" t="s">
        <v>7</v>
      </c>
      <c r="IZ321" s="27" t="s">
        <v>7</v>
      </c>
      <c r="JA321" s="27" t="s">
        <v>8</v>
      </c>
      <c r="JB321" s="27" t="s">
        <v>7</v>
      </c>
      <c r="JC321" s="27" t="s">
        <v>8</v>
      </c>
      <c r="JP321" s="27" t="s">
        <v>7</v>
      </c>
      <c r="JQ321" s="27" t="s">
        <v>8</v>
      </c>
      <c r="JR321" s="27" t="s">
        <v>7</v>
      </c>
      <c r="JS321" s="27" t="s">
        <v>8</v>
      </c>
      <c r="JZ321" s="27" t="s">
        <v>7</v>
      </c>
      <c r="KA321" s="27" t="s">
        <v>8</v>
      </c>
      <c r="LX321" s="27" t="s">
        <v>7</v>
      </c>
      <c r="LY321" s="27" t="s">
        <v>8</v>
      </c>
      <c r="LZ321" s="27" t="s">
        <v>7</v>
      </c>
      <c r="MA321" s="27" t="s">
        <v>8</v>
      </c>
      <c r="MB321" s="27" t="s">
        <v>7</v>
      </c>
      <c r="MC321" s="27" t="s">
        <v>8</v>
      </c>
      <c r="MD321" s="27" t="s">
        <v>7</v>
      </c>
      <c r="ME321" s="27" t="s">
        <v>8</v>
      </c>
      <c r="MF321" s="27" t="s">
        <v>7</v>
      </c>
      <c r="MG321" s="27" t="s">
        <v>8</v>
      </c>
      <c r="MH321" s="27" t="s">
        <v>7</v>
      </c>
      <c r="MI321" s="27" t="s">
        <v>8</v>
      </c>
      <c r="MN321" s="27" t="s">
        <v>7</v>
      </c>
      <c r="MP321" s="27" t="s">
        <v>7</v>
      </c>
      <c r="MQ321" s="27" t="s">
        <v>8</v>
      </c>
      <c r="MS321" s="27" t="s">
        <v>8</v>
      </c>
      <c r="MT321" s="27" t="s">
        <v>7</v>
      </c>
    </row>
    <row r="322" spans="1:362" x14ac:dyDescent="0.25">
      <c r="A322" s="7">
        <v>190.127753582856</v>
      </c>
      <c r="B322"/>
      <c r="C322"/>
      <c r="D322"/>
      <c r="E322"/>
      <c r="HI322" s="27" t="s">
        <v>8</v>
      </c>
      <c r="HN322" s="27" t="s">
        <v>7</v>
      </c>
      <c r="HO322" s="27" t="s">
        <v>8</v>
      </c>
      <c r="IZ322" s="27" t="s">
        <v>7</v>
      </c>
      <c r="JA322" s="27" t="s">
        <v>8</v>
      </c>
      <c r="JB322" s="27" t="s">
        <v>7</v>
      </c>
      <c r="JC322" s="27" t="s">
        <v>8</v>
      </c>
      <c r="JP322" s="27" t="s">
        <v>7</v>
      </c>
      <c r="JQ322" s="27" t="s">
        <v>8</v>
      </c>
      <c r="JR322" s="27" t="s">
        <v>7</v>
      </c>
      <c r="JS322" s="27" t="s">
        <v>8</v>
      </c>
      <c r="JZ322" s="18" t="s">
        <v>7</v>
      </c>
      <c r="KA322" s="27" t="s">
        <v>8</v>
      </c>
      <c r="LX322" s="27" t="s">
        <v>7</v>
      </c>
      <c r="LY322" s="27" t="s">
        <v>8</v>
      </c>
      <c r="LZ322" s="27" t="s">
        <v>7</v>
      </c>
      <c r="MA322" s="27" t="s">
        <v>8</v>
      </c>
      <c r="MB322" s="27" t="s">
        <v>7</v>
      </c>
      <c r="MC322" s="27" t="s">
        <v>8</v>
      </c>
      <c r="MD322" s="27" t="s">
        <v>7</v>
      </c>
      <c r="ME322" s="27" t="s">
        <v>8</v>
      </c>
      <c r="MF322" s="27" t="s">
        <v>7</v>
      </c>
      <c r="MG322" s="27" t="s">
        <v>8</v>
      </c>
      <c r="MH322" s="27" t="s">
        <v>7</v>
      </c>
      <c r="MI322" s="27" t="s">
        <v>8</v>
      </c>
      <c r="MP322" s="27" t="s">
        <v>7</v>
      </c>
      <c r="MQ322" s="27" t="s">
        <v>8</v>
      </c>
      <c r="MR322" s="27" t="s">
        <v>7</v>
      </c>
      <c r="MS322" s="27" t="s">
        <v>8</v>
      </c>
      <c r="MT322" s="27" t="s">
        <v>7</v>
      </c>
    </row>
    <row r="323" spans="1:362" x14ac:dyDescent="0.25">
      <c r="A323" s="7">
        <v>186.3997584145647</v>
      </c>
      <c r="B323"/>
      <c r="C323"/>
      <c r="D323"/>
      <c r="E323"/>
      <c r="GU323" s="27" t="s">
        <v>8</v>
      </c>
      <c r="HI323" s="27" t="s">
        <v>8</v>
      </c>
      <c r="HN323" s="27" t="s">
        <v>7</v>
      </c>
      <c r="HO323" s="27" t="s">
        <v>8</v>
      </c>
      <c r="IZ323" s="27" t="s">
        <v>7</v>
      </c>
      <c r="JA323" s="27" t="s">
        <v>8</v>
      </c>
      <c r="JB323" s="27" t="s">
        <v>7</v>
      </c>
      <c r="JC323" s="27" t="s">
        <v>8</v>
      </c>
      <c r="JP323" s="27" t="s">
        <v>7</v>
      </c>
      <c r="JQ323" s="27" t="s">
        <v>8</v>
      </c>
      <c r="JR323" s="27" t="s">
        <v>7</v>
      </c>
      <c r="JZ323" s="27" t="s">
        <v>7</v>
      </c>
      <c r="KA323" s="27" t="s">
        <v>8</v>
      </c>
      <c r="LX323" s="27" t="s">
        <v>7</v>
      </c>
      <c r="LY323" s="27" t="s">
        <v>8</v>
      </c>
      <c r="LZ323" s="27" t="s">
        <v>7</v>
      </c>
      <c r="MB323" s="27" t="s">
        <v>7</v>
      </c>
      <c r="MD323" s="27" t="s">
        <v>7</v>
      </c>
      <c r="ME323" s="27" t="s">
        <v>8</v>
      </c>
      <c r="MF323" s="27" t="s">
        <v>7</v>
      </c>
      <c r="MG323" s="27" t="s">
        <v>8</v>
      </c>
      <c r="MH323" s="27" t="s">
        <v>7</v>
      </c>
      <c r="MP323" s="27" t="s">
        <v>7</v>
      </c>
      <c r="MQ323" s="27" t="s">
        <v>8</v>
      </c>
      <c r="MR323" s="27" t="s">
        <v>7</v>
      </c>
      <c r="MS323" s="27" t="s">
        <v>8</v>
      </c>
      <c r="MT323" s="27" t="s">
        <v>7</v>
      </c>
    </row>
    <row r="324" spans="1:362" x14ac:dyDescent="0.25">
      <c r="A324" s="7">
        <v>182.7448611907497</v>
      </c>
      <c r="B324"/>
      <c r="C324"/>
      <c r="D324"/>
      <c r="E324"/>
      <c r="GU324" s="27" t="s">
        <v>8</v>
      </c>
      <c r="GV324" s="27" t="s">
        <v>7</v>
      </c>
      <c r="HI324" s="27" t="s">
        <v>8</v>
      </c>
      <c r="HN324" s="27" t="s">
        <v>7</v>
      </c>
      <c r="HO324" s="27" t="s">
        <v>8</v>
      </c>
      <c r="IZ324" s="27" t="s">
        <v>7</v>
      </c>
      <c r="JA324" s="27" t="s">
        <v>8</v>
      </c>
      <c r="JB324" s="27" t="s">
        <v>7</v>
      </c>
      <c r="JC324" s="27" t="s">
        <v>8</v>
      </c>
      <c r="JP324" s="27" t="s">
        <v>7</v>
      </c>
      <c r="JZ324" s="27" t="s">
        <v>7</v>
      </c>
      <c r="KA324" s="27" t="s">
        <v>8</v>
      </c>
      <c r="LX324" s="27" t="s">
        <v>7</v>
      </c>
      <c r="LY324" s="27" t="s">
        <v>8</v>
      </c>
      <c r="MD324" s="27" t="s">
        <v>7</v>
      </c>
      <c r="ME324" s="27" t="s">
        <v>8</v>
      </c>
      <c r="MF324" s="27" t="s">
        <v>7</v>
      </c>
      <c r="MG324" s="27" t="s">
        <v>8</v>
      </c>
      <c r="MP324" s="27" t="s">
        <v>7</v>
      </c>
      <c r="MQ324" s="27" t="s">
        <v>8</v>
      </c>
      <c r="MR324" s="27" t="s">
        <v>7</v>
      </c>
      <c r="MS324" s="27" t="s">
        <v>8</v>
      </c>
      <c r="MT324" s="27" t="s">
        <v>7</v>
      </c>
    </row>
    <row r="325" spans="1:362" x14ac:dyDescent="0.25">
      <c r="A325" s="7">
        <v>179.16162861838205</v>
      </c>
      <c r="B325"/>
      <c r="C325"/>
      <c r="D325"/>
      <c r="E325"/>
      <c r="GU325" s="27" t="s">
        <v>8</v>
      </c>
      <c r="GV325" s="27" t="s">
        <v>7</v>
      </c>
      <c r="HI325" s="27" t="s">
        <v>8</v>
      </c>
      <c r="HN325" s="27" t="s">
        <v>7</v>
      </c>
      <c r="HO325" s="27" t="s">
        <v>8</v>
      </c>
      <c r="IZ325" s="27" t="s">
        <v>7</v>
      </c>
      <c r="JA325" s="27" t="s">
        <v>8</v>
      </c>
      <c r="JB325" s="27" t="s">
        <v>7</v>
      </c>
      <c r="JC325" s="27" t="s">
        <v>8</v>
      </c>
      <c r="JZ325" s="27" t="s">
        <v>7</v>
      </c>
      <c r="LX325" s="27" t="s">
        <v>7</v>
      </c>
      <c r="MD325" s="27" t="s">
        <v>7</v>
      </c>
      <c r="MF325" s="27" t="s">
        <v>7</v>
      </c>
      <c r="MP325" s="27" t="s">
        <v>7</v>
      </c>
      <c r="MR325" s="27" t="s">
        <v>7</v>
      </c>
      <c r="MS325" s="27" t="s">
        <v>8</v>
      </c>
      <c r="MT325" s="27" t="s">
        <v>7</v>
      </c>
    </row>
    <row r="326" spans="1:362" x14ac:dyDescent="0.25">
      <c r="A326" s="7">
        <v>175.6486555082177</v>
      </c>
      <c r="B326"/>
      <c r="C326"/>
      <c r="D326"/>
      <c r="E326"/>
      <c r="GU326" s="27" t="s">
        <v>8</v>
      </c>
      <c r="GV326" s="27" t="s">
        <v>7</v>
      </c>
      <c r="HI326" s="27" t="s">
        <v>8</v>
      </c>
      <c r="HN326" s="27" t="s">
        <v>7</v>
      </c>
      <c r="HO326" s="27" t="s">
        <v>8</v>
      </c>
      <c r="IZ326" s="27" t="s">
        <v>7</v>
      </c>
      <c r="JA326" s="27" t="s">
        <v>8</v>
      </c>
      <c r="JB326" s="27" t="s">
        <v>7</v>
      </c>
      <c r="MR326" s="27" t="s">
        <v>7</v>
      </c>
      <c r="MT326" s="27" t="s">
        <v>7</v>
      </c>
    </row>
    <row r="327" spans="1:362" x14ac:dyDescent="0.25">
      <c r="A327" s="7">
        <v>172.20456422374284</v>
      </c>
      <c r="B327"/>
      <c r="C327"/>
      <c r="D327"/>
      <c r="E327"/>
      <c r="GU327" s="27" t="s">
        <v>8</v>
      </c>
      <c r="GV327" s="27" t="s">
        <v>7</v>
      </c>
      <c r="GW327" s="27" t="s">
        <v>8</v>
      </c>
      <c r="HI327" s="27" t="s">
        <v>8</v>
      </c>
      <c r="HN327" s="27" t="s">
        <v>7</v>
      </c>
      <c r="IZ327" s="27" t="s">
        <v>7</v>
      </c>
      <c r="JA327" s="27" t="s">
        <v>8</v>
      </c>
      <c r="MT327" s="27" t="s">
        <v>7</v>
      </c>
    </row>
    <row r="328" spans="1:362" x14ac:dyDescent="0.25">
      <c r="A328" s="7">
        <v>168.82800414092435</v>
      </c>
      <c r="B328"/>
      <c r="C328"/>
      <c r="D328"/>
      <c r="E328"/>
      <c r="GM328" s="27" t="s">
        <v>8</v>
      </c>
      <c r="GO328" s="27" t="s">
        <v>8</v>
      </c>
      <c r="GU328" s="27" t="s">
        <v>8</v>
      </c>
      <c r="GV328" s="27" t="s">
        <v>7</v>
      </c>
      <c r="GW328" s="27" t="s">
        <v>8</v>
      </c>
      <c r="GX328" s="27" t="s">
        <v>7</v>
      </c>
      <c r="GY328" s="27" t="s">
        <v>8</v>
      </c>
      <c r="HI328" s="27" t="s">
        <v>8</v>
      </c>
      <c r="IZ328" s="27" t="s">
        <v>7</v>
      </c>
      <c r="JA328" s="27" t="s">
        <v>8</v>
      </c>
      <c r="MT328" s="27" t="s">
        <v>7</v>
      </c>
    </row>
    <row r="329" spans="1:362" x14ac:dyDescent="0.25">
      <c r="A329" s="7">
        <v>165.51765111855329</v>
      </c>
      <c r="B329"/>
      <c r="C329"/>
      <c r="D329"/>
      <c r="E329"/>
      <c r="GM329" s="27" t="s">
        <v>8</v>
      </c>
      <c r="GN329" s="27" t="s">
        <v>7</v>
      </c>
      <c r="GO329" s="27" t="s">
        <v>8</v>
      </c>
      <c r="GP329" s="27" t="s">
        <v>7</v>
      </c>
      <c r="GU329" s="27" t="s">
        <v>8</v>
      </c>
      <c r="GV329" s="27" t="s">
        <v>7</v>
      </c>
      <c r="GW329" s="27" t="s">
        <v>8</v>
      </c>
      <c r="GX329" s="27" t="s">
        <v>7</v>
      </c>
      <c r="GY329" s="27" t="s">
        <v>8</v>
      </c>
      <c r="GZ329" s="27" t="s">
        <v>7</v>
      </c>
      <c r="HC329" s="27" t="s">
        <v>8</v>
      </c>
      <c r="HI329" s="27" t="s">
        <v>8</v>
      </c>
      <c r="IZ329" s="27" t="s">
        <v>7</v>
      </c>
      <c r="JA329" s="27" t="s">
        <v>8</v>
      </c>
      <c r="MT329" s="27" t="s">
        <v>7</v>
      </c>
    </row>
    <row r="330" spans="1:362" x14ac:dyDescent="0.25">
      <c r="A330" s="7">
        <v>162.2722069789738</v>
      </c>
      <c r="B330"/>
      <c r="C330"/>
      <c r="D330"/>
      <c r="E330"/>
      <c r="GK330" s="27" t="s">
        <v>8</v>
      </c>
      <c r="GM330" s="27" t="s">
        <v>8</v>
      </c>
      <c r="GN330" s="27" t="s">
        <v>7</v>
      </c>
      <c r="GO330" s="27" t="s">
        <v>8</v>
      </c>
      <c r="GP330" s="27" t="s">
        <v>7</v>
      </c>
      <c r="GU330" s="27" t="s">
        <v>8</v>
      </c>
      <c r="GV330" s="27" t="s">
        <v>7</v>
      </c>
      <c r="GW330" s="27" t="s">
        <v>8</v>
      </c>
      <c r="GX330" s="27" t="s">
        <v>7</v>
      </c>
      <c r="GY330" s="27" t="s">
        <v>8</v>
      </c>
      <c r="GZ330" s="27" t="s">
        <v>7</v>
      </c>
      <c r="HA330" s="27" t="s">
        <v>8</v>
      </c>
      <c r="HC330" s="27" t="s">
        <v>8</v>
      </c>
      <c r="HD330" s="27" t="s">
        <v>7</v>
      </c>
      <c r="HI330" s="27" t="s">
        <v>8</v>
      </c>
      <c r="IZ330" s="27" t="s">
        <v>7</v>
      </c>
      <c r="JA330" s="27" t="s">
        <v>8</v>
      </c>
      <c r="MT330" s="27" t="s">
        <v>7</v>
      </c>
    </row>
    <row r="331" spans="1:362" x14ac:dyDescent="0.25">
      <c r="A331" s="7">
        <v>159.09039899899392</v>
      </c>
      <c r="B331"/>
      <c r="C331"/>
      <c r="D331"/>
      <c r="E331"/>
      <c r="GK331" s="27" t="s">
        <v>8</v>
      </c>
      <c r="GL331" s="27" t="s">
        <v>7</v>
      </c>
      <c r="GM331" s="27" t="s">
        <v>8</v>
      </c>
      <c r="GN331" s="27" t="s">
        <v>7</v>
      </c>
      <c r="GO331" s="27" t="s">
        <v>8</v>
      </c>
      <c r="GP331" s="27" t="s">
        <v>7</v>
      </c>
      <c r="GU331" s="27" t="s">
        <v>8</v>
      </c>
      <c r="GV331" s="27" t="s">
        <v>7</v>
      </c>
      <c r="GW331" s="27" t="s">
        <v>8</v>
      </c>
      <c r="GX331" s="27" t="s">
        <v>7</v>
      </c>
      <c r="GY331" s="27" t="s">
        <v>8</v>
      </c>
      <c r="GZ331" s="27" t="s">
        <v>7</v>
      </c>
      <c r="HA331" s="27" t="s">
        <v>8</v>
      </c>
      <c r="HB331" s="27" t="s">
        <v>7</v>
      </c>
      <c r="HC331" s="27" t="s">
        <v>8</v>
      </c>
      <c r="HD331" s="27" t="s">
        <v>7</v>
      </c>
      <c r="HI331" s="27" t="s">
        <v>8</v>
      </c>
      <c r="IZ331" s="27" t="s">
        <v>7</v>
      </c>
      <c r="JA331" s="27" t="s">
        <v>8</v>
      </c>
      <c r="MT331" s="27" t="s">
        <v>7</v>
      </c>
    </row>
    <row r="332" spans="1:362" x14ac:dyDescent="0.25">
      <c r="A332" s="7">
        <v>155.97097941077834</v>
      </c>
      <c r="B332"/>
      <c r="C332"/>
      <c r="D332"/>
      <c r="E332"/>
      <c r="GK332" s="27" t="s">
        <v>8</v>
      </c>
      <c r="GL332" s="27" t="s">
        <v>7</v>
      </c>
      <c r="GM332" s="27" t="s">
        <v>8</v>
      </c>
      <c r="GN332" s="27" t="s">
        <v>7</v>
      </c>
      <c r="GO332" s="27" t="s">
        <v>8</v>
      </c>
      <c r="GP332" s="27" t="s">
        <v>7</v>
      </c>
      <c r="GU332" s="27" t="s">
        <v>8</v>
      </c>
      <c r="GV332" s="27" t="s">
        <v>7</v>
      </c>
      <c r="GW332" s="27" t="s">
        <v>8</v>
      </c>
      <c r="GX332" s="27" t="s">
        <v>7</v>
      </c>
      <c r="GY332" s="27" t="s">
        <v>8</v>
      </c>
      <c r="GZ332" s="27" t="s">
        <v>7</v>
      </c>
      <c r="HA332" s="27" t="s">
        <v>8</v>
      </c>
      <c r="HB332" s="27" t="s">
        <v>7</v>
      </c>
      <c r="HC332" s="27" t="s">
        <v>8</v>
      </c>
      <c r="HD332" s="27" t="s">
        <v>7</v>
      </c>
      <c r="HI332" s="27" t="s">
        <v>8</v>
      </c>
      <c r="IZ332" s="27" t="s">
        <v>7</v>
      </c>
      <c r="JA332" s="27" t="s">
        <v>8</v>
      </c>
      <c r="MT332" s="27" t="s">
        <v>7</v>
      </c>
      <c r="MU332" s="27" t="s">
        <v>8</v>
      </c>
      <c r="MW332" s="27" t="s">
        <v>8</v>
      </c>
    </row>
    <row r="333" spans="1:362" x14ac:dyDescent="0.25">
      <c r="A333" s="7">
        <v>152.91272491252778</v>
      </c>
      <c r="B333"/>
      <c r="C333"/>
      <c r="D333"/>
      <c r="E333"/>
      <c r="GK333" s="27" t="s">
        <v>8</v>
      </c>
      <c r="GL333" s="27" t="s">
        <v>7</v>
      </c>
      <c r="GM333" s="27" t="s">
        <v>8</v>
      </c>
      <c r="GN333" s="27" t="s">
        <v>7</v>
      </c>
      <c r="GO333" s="27" t="s">
        <v>8</v>
      </c>
      <c r="GP333" s="27" t="s">
        <v>7</v>
      </c>
      <c r="GS333" s="27" t="s">
        <v>8</v>
      </c>
      <c r="GU333" s="27" t="s">
        <v>8</v>
      </c>
      <c r="GV333" s="27" t="s">
        <v>7</v>
      </c>
      <c r="GW333" s="27" t="s">
        <v>8</v>
      </c>
      <c r="GX333" s="27" t="s">
        <v>7</v>
      </c>
      <c r="GZ333" s="27" t="s">
        <v>7</v>
      </c>
      <c r="HA333" s="27" t="s">
        <v>8</v>
      </c>
      <c r="HB333" s="27" t="s">
        <v>7</v>
      </c>
      <c r="HD333" s="27" t="s">
        <v>7</v>
      </c>
      <c r="HI333" s="27" t="s">
        <v>8</v>
      </c>
      <c r="IZ333" s="27" t="s">
        <v>7</v>
      </c>
      <c r="JA333" s="27" t="s">
        <v>8</v>
      </c>
      <c r="MT333" s="27" t="s">
        <v>7</v>
      </c>
      <c r="MU333" s="27" t="s">
        <v>8</v>
      </c>
      <c r="MV333" s="27" t="s">
        <v>7</v>
      </c>
      <c r="MW333" s="27" t="s">
        <v>8</v>
      </c>
      <c r="MX333" s="27" t="s">
        <v>7</v>
      </c>
    </row>
    <row r="334" spans="1:362" x14ac:dyDescent="0.25">
      <c r="A334" s="7">
        <v>149.91443618875272</v>
      </c>
      <c r="B334"/>
      <c r="C334"/>
      <c r="D334"/>
      <c r="E334"/>
      <c r="GK334" s="27" t="s">
        <v>8</v>
      </c>
      <c r="GL334" s="27" t="s">
        <v>7</v>
      </c>
      <c r="GM334" s="27" t="s">
        <v>8</v>
      </c>
      <c r="GN334" s="27" t="s">
        <v>7</v>
      </c>
      <c r="GO334" s="27" t="s">
        <v>8</v>
      </c>
      <c r="GP334" s="27" t="s">
        <v>7</v>
      </c>
      <c r="GS334" s="27" t="s">
        <v>8</v>
      </c>
      <c r="GT334" s="27" t="s">
        <v>7</v>
      </c>
      <c r="GU334" s="27" t="s">
        <v>8</v>
      </c>
      <c r="GV334" s="27" t="s">
        <v>7</v>
      </c>
      <c r="GW334" s="27" t="s">
        <v>8</v>
      </c>
      <c r="GZ334" s="27" t="s">
        <v>7</v>
      </c>
      <c r="HD334" s="27" t="s">
        <v>7</v>
      </c>
      <c r="HG334" s="27" t="s">
        <v>8</v>
      </c>
      <c r="HI334" s="27" t="s">
        <v>8</v>
      </c>
      <c r="IZ334" s="27" t="s">
        <v>7</v>
      </c>
      <c r="JA334" s="27" t="s">
        <v>8</v>
      </c>
      <c r="MT334" s="27" t="s">
        <v>7</v>
      </c>
      <c r="MU334" s="27" t="s">
        <v>8</v>
      </c>
      <c r="MV334" s="27" t="s">
        <v>7</v>
      </c>
      <c r="MW334" s="27" t="s">
        <v>8</v>
      </c>
      <c r="MX334" s="27" t="s">
        <v>7</v>
      </c>
    </row>
    <row r="335" spans="1:362" x14ac:dyDescent="0.25">
      <c r="A335" s="7">
        <v>146.97493743995364</v>
      </c>
      <c r="B335"/>
      <c r="C335"/>
      <c r="D335"/>
      <c r="E335"/>
      <c r="FK335" s="27" t="s">
        <v>8</v>
      </c>
      <c r="GK335" s="27" t="s">
        <v>8</v>
      </c>
      <c r="GL335" s="27" t="s">
        <v>7</v>
      </c>
      <c r="GM335" s="27" t="s">
        <v>8</v>
      </c>
      <c r="GN335" s="27" t="s">
        <v>7</v>
      </c>
      <c r="GP335" s="27" t="s">
        <v>7</v>
      </c>
      <c r="GS335" s="27" t="s">
        <v>8</v>
      </c>
      <c r="GT335" s="27" t="s">
        <v>7</v>
      </c>
      <c r="GU335" s="27" t="s">
        <v>8</v>
      </c>
      <c r="GV335" s="27" t="s">
        <v>7</v>
      </c>
      <c r="GW335" s="27" t="s">
        <v>8</v>
      </c>
      <c r="HD335" s="27" t="s">
        <v>7</v>
      </c>
      <c r="HG335" s="27" t="s">
        <v>8</v>
      </c>
      <c r="HH335" s="27" t="s">
        <v>7</v>
      </c>
      <c r="HI335" s="27" t="s">
        <v>8</v>
      </c>
      <c r="IZ335" s="27" t="s">
        <v>7</v>
      </c>
      <c r="JA335" s="27" t="s">
        <v>8</v>
      </c>
      <c r="MT335" s="27" t="s">
        <v>7</v>
      </c>
      <c r="MU335" s="27" t="s">
        <v>8</v>
      </c>
      <c r="MV335" s="27" t="s">
        <v>7</v>
      </c>
      <c r="MW335" s="27" t="s">
        <v>8</v>
      </c>
      <c r="MX335" s="27" t="s">
        <v>7</v>
      </c>
    </row>
    <row r="336" spans="1:362" x14ac:dyDescent="0.25">
      <c r="A336" s="7">
        <v>144.09307592152317</v>
      </c>
      <c r="B336"/>
      <c r="C336"/>
      <c r="D336"/>
      <c r="E336"/>
      <c r="FK336" s="27" t="s">
        <v>8</v>
      </c>
      <c r="FL336" s="27" t="s">
        <v>7</v>
      </c>
      <c r="GI336" s="27" t="s">
        <v>8</v>
      </c>
      <c r="GK336" s="27" t="s">
        <v>8</v>
      </c>
      <c r="GL336" s="27" t="s">
        <v>7</v>
      </c>
      <c r="GP336" s="27" t="s">
        <v>7</v>
      </c>
      <c r="GQ336" s="27" t="s">
        <v>8</v>
      </c>
      <c r="GS336" s="27" t="s">
        <v>8</v>
      </c>
      <c r="GT336" s="27" t="s">
        <v>7</v>
      </c>
      <c r="GU336" s="27" t="s">
        <v>8</v>
      </c>
      <c r="GV336" s="27" t="s">
        <v>7</v>
      </c>
      <c r="HD336" s="27" t="s">
        <v>7</v>
      </c>
      <c r="HE336" s="27" t="s">
        <v>8</v>
      </c>
      <c r="HG336" s="27" t="s">
        <v>8</v>
      </c>
      <c r="HH336" s="27" t="s">
        <v>7</v>
      </c>
      <c r="HI336" s="27" t="s">
        <v>8</v>
      </c>
      <c r="IZ336" s="27" t="s">
        <v>7</v>
      </c>
      <c r="JA336" s="27" t="s">
        <v>8</v>
      </c>
      <c r="MT336" s="27" t="s">
        <v>7</v>
      </c>
      <c r="MU336" s="27" t="s">
        <v>8</v>
      </c>
      <c r="MV336" s="27" t="s">
        <v>7</v>
      </c>
      <c r="MW336" s="27" t="s">
        <v>8</v>
      </c>
      <c r="MX336" s="27" t="s">
        <v>7</v>
      </c>
    </row>
    <row r="337" spans="1:361" x14ac:dyDescent="0.25">
      <c r="A337" s="7">
        <v>141.26772149168937</v>
      </c>
      <c r="B337"/>
      <c r="C337"/>
      <c r="D337"/>
      <c r="E337"/>
      <c r="FK337" s="27" t="s">
        <v>8</v>
      </c>
      <c r="FL337" s="27" t="s">
        <v>7</v>
      </c>
      <c r="GC337" s="27" t="s">
        <v>8</v>
      </c>
      <c r="GI337" s="27" t="s">
        <v>8</v>
      </c>
      <c r="GJ337" s="27" t="s">
        <v>7</v>
      </c>
      <c r="GK337" s="27" t="s">
        <v>8</v>
      </c>
      <c r="GP337" s="27" t="s">
        <v>7</v>
      </c>
      <c r="GQ337" s="27" t="s">
        <v>8</v>
      </c>
      <c r="GR337" s="27" t="s">
        <v>7</v>
      </c>
      <c r="GS337" s="27" t="s">
        <v>8</v>
      </c>
      <c r="GT337" s="27" t="s">
        <v>7</v>
      </c>
      <c r="GU337" s="27" t="s">
        <v>8</v>
      </c>
      <c r="HD337" s="27" t="s">
        <v>7</v>
      </c>
      <c r="HE337" s="27" t="s">
        <v>8</v>
      </c>
      <c r="HF337" s="27" t="s">
        <v>7</v>
      </c>
      <c r="HG337" s="27" t="s">
        <v>8</v>
      </c>
      <c r="HH337" s="27" t="s">
        <v>7</v>
      </c>
      <c r="HI337" s="27" t="s">
        <v>8</v>
      </c>
      <c r="IZ337" s="27" t="s">
        <v>7</v>
      </c>
      <c r="JA337" s="27" t="s">
        <v>8</v>
      </c>
      <c r="MT337" s="27" t="s">
        <v>7</v>
      </c>
      <c r="MV337" s="27" t="s">
        <v>7</v>
      </c>
      <c r="MW337" s="27" t="s">
        <v>8</v>
      </c>
    </row>
    <row r="338" spans="1:361" x14ac:dyDescent="0.25">
      <c r="A338" s="7">
        <v>138.4977661683229</v>
      </c>
      <c r="B338"/>
      <c r="C338"/>
      <c r="D338"/>
      <c r="E338"/>
      <c r="FK338" s="27" t="s">
        <v>8</v>
      </c>
      <c r="FL338" s="27" t="s">
        <v>7</v>
      </c>
      <c r="FQ338" s="27" t="s">
        <v>8</v>
      </c>
      <c r="GC338" s="27" t="s">
        <v>8</v>
      </c>
      <c r="GD338" s="27" t="s">
        <v>7</v>
      </c>
      <c r="GI338" s="27" t="s">
        <v>8</v>
      </c>
      <c r="GJ338" s="27" t="s">
        <v>7</v>
      </c>
      <c r="GK338" s="27" t="s">
        <v>8</v>
      </c>
      <c r="GP338" s="27" t="s">
        <v>7</v>
      </c>
      <c r="GQ338" s="27" t="s">
        <v>8</v>
      </c>
      <c r="GR338" s="27" t="s">
        <v>7</v>
      </c>
      <c r="GS338" s="27" t="s">
        <v>8</v>
      </c>
      <c r="GT338" s="27" t="s">
        <v>7</v>
      </c>
      <c r="GU338" s="27" t="s">
        <v>8</v>
      </c>
      <c r="HD338" s="27" t="s">
        <v>7</v>
      </c>
      <c r="HE338" s="27" t="s">
        <v>8</v>
      </c>
      <c r="HF338" s="27" t="s">
        <v>7</v>
      </c>
      <c r="HG338" s="27" t="s">
        <v>8</v>
      </c>
      <c r="HH338" s="27" t="s">
        <v>7</v>
      </c>
      <c r="HI338" s="27" t="s">
        <v>8</v>
      </c>
      <c r="IZ338" s="27" t="s">
        <v>7</v>
      </c>
      <c r="JA338" s="27" t="s">
        <v>8</v>
      </c>
      <c r="MV338" s="27" t="s">
        <v>7</v>
      </c>
      <c r="MW338" s="27" t="s">
        <v>8</v>
      </c>
    </row>
    <row r="339" spans="1:361" x14ac:dyDescent="0.25">
      <c r="A339" s="7">
        <v>135.7821236944342</v>
      </c>
      <c r="B339"/>
      <c r="C339"/>
      <c r="D339"/>
      <c r="E339"/>
      <c r="FK339" s="27" t="s">
        <v>8</v>
      </c>
      <c r="FL339" s="27" t="s">
        <v>7</v>
      </c>
      <c r="FQ339" s="27" t="s">
        <v>8</v>
      </c>
      <c r="FR339" s="27" t="s">
        <v>7</v>
      </c>
      <c r="GC339" s="27" t="s">
        <v>8</v>
      </c>
      <c r="GD339" s="27" t="s">
        <v>7</v>
      </c>
      <c r="GI339" s="27" t="s">
        <v>8</v>
      </c>
      <c r="GJ339" s="27" t="s">
        <v>7</v>
      </c>
      <c r="GK339" s="27" t="s">
        <v>8</v>
      </c>
      <c r="GP339" s="27" t="s">
        <v>7</v>
      </c>
      <c r="GQ339" s="27" t="s">
        <v>8</v>
      </c>
      <c r="GR339" s="27" t="s">
        <v>7</v>
      </c>
      <c r="GS339" s="27" t="s">
        <v>8</v>
      </c>
      <c r="GT339" s="27" t="s">
        <v>7</v>
      </c>
      <c r="HD339" s="27" t="s">
        <v>7</v>
      </c>
      <c r="HE339" s="27" t="s">
        <v>8</v>
      </c>
      <c r="HF339" s="27" t="s">
        <v>7</v>
      </c>
      <c r="HG339" s="27" t="s">
        <v>8</v>
      </c>
      <c r="HH339" s="27" t="s">
        <v>7</v>
      </c>
      <c r="HI339" s="27" t="s">
        <v>8</v>
      </c>
      <c r="IZ339" s="27" t="s">
        <v>7</v>
      </c>
      <c r="JA339" s="27" t="s">
        <v>8</v>
      </c>
      <c r="MV339" s="27" t="s">
        <v>7</v>
      </c>
    </row>
    <row r="340" spans="1:361" x14ac:dyDescent="0.25">
      <c r="A340" s="7">
        <v>133.11972911219038</v>
      </c>
      <c r="B340"/>
      <c r="C340"/>
      <c r="D340"/>
      <c r="E340"/>
      <c r="FK340" s="27" t="s">
        <v>8</v>
      </c>
      <c r="FL340" s="27" t="s">
        <v>7</v>
      </c>
      <c r="FM340" s="27" t="s">
        <v>8</v>
      </c>
      <c r="FQ340" s="27" t="s">
        <v>8</v>
      </c>
      <c r="FR340" s="27" t="s">
        <v>7</v>
      </c>
      <c r="GC340" s="27" t="s">
        <v>8</v>
      </c>
      <c r="GD340" s="27" t="s">
        <v>7</v>
      </c>
      <c r="GG340" s="27" t="s">
        <v>8</v>
      </c>
      <c r="GI340" s="27" t="s">
        <v>8</v>
      </c>
      <c r="GJ340" s="27" t="s">
        <v>7</v>
      </c>
      <c r="GK340" s="27" t="s">
        <v>8</v>
      </c>
      <c r="GP340" s="27" t="s">
        <v>7</v>
      </c>
      <c r="GQ340" s="27" t="s">
        <v>8</v>
      </c>
      <c r="GR340" s="27" t="s">
        <v>7</v>
      </c>
      <c r="GS340" s="27" t="s">
        <v>8</v>
      </c>
      <c r="HD340" s="27" t="s">
        <v>7</v>
      </c>
      <c r="HE340" s="27" t="s">
        <v>8</v>
      </c>
      <c r="HF340" s="27" t="s">
        <v>7</v>
      </c>
      <c r="HG340" s="27" t="s">
        <v>8</v>
      </c>
      <c r="HH340" s="27" t="s">
        <v>7</v>
      </c>
      <c r="IZ340" s="27" t="s">
        <v>7</v>
      </c>
      <c r="JA340" s="27" t="s">
        <v>8</v>
      </c>
    </row>
    <row r="341" spans="1:361" x14ac:dyDescent="0.25">
      <c r="A341" s="7">
        <v>130.50953834528468</v>
      </c>
      <c r="B341"/>
      <c r="C341"/>
      <c r="D341"/>
      <c r="E341"/>
      <c r="FK341" s="27" t="s">
        <v>8</v>
      </c>
      <c r="FL341" s="27" t="s">
        <v>7</v>
      </c>
      <c r="FM341" s="27" t="s">
        <v>8</v>
      </c>
      <c r="FN341" s="27" t="s">
        <v>7</v>
      </c>
      <c r="FQ341" s="27" t="s">
        <v>8</v>
      </c>
      <c r="FR341" s="27" t="s">
        <v>7</v>
      </c>
      <c r="GC341" s="27" t="s">
        <v>8</v>
      </c>
      <c r="GD341" s="27" t="s">
        <v>7</v>
      </c>
      <c r="GE341" s="27" t="s">
        <v>8</v>
      </c>
      <c r="GG341" s="27" t="s">
        <v>8</v>
      </c>
      <c r="GH341" s="27" t="s">
        <v>7</v>
      </c>
      <c r="GI341" s="27" t="s">
        <v>8</v>
      </c>
      <c r="GJ341" s="27" t="s">
        <v>7</v>
      </c>
      <c r="GK341" s="27" t="s">
        <v>8</v>
      </c>
      <c r="GP341" s="27" t="s">
        <v>7</v>
      </c>
      <c r="GR341" s="27" t="s">
        <v>7</v>
      </c>
      <c r="HD341" s="27" t="s">
        <v>7</v>
      </c>
      <c r="HE341" s="27" t="s">
        <v>8</v>
      </c>
      <c r="HF341" s="27" t="s">
        <v>7</v>
      </c>
      <c r="HG341" s="27" t="s">
        <v>8</v>
      </c>
      <c r="IZ341" s="27" t="s">
        <v>7</v>
      </c>
      <c r="JA341" s="27" t="s">
        <v>8</v>
      </c>
    </row>
    <row r="342" spans="1:361" x14ac:dyDescent="0.25">
      <c r="A342" s="7">
        <v>127.95052778949477</v>
      </c>
      <c r="B342"/>
      <c r="C342"/>
      <c r="D342"/>
      <c r="E342"/>
      <c r="FK342" s="27" t="s">
        <v>8</v>
      </c>
      <c r="FL342" s="27" t="s">
        <v>7</v>
      </c>
      <c r="FM342" s="27" t="s">
        <v>8</v>
      </c>
      <c r="FN342" s="27" t="s">
        <v>7</v>
      </c>
      <c r="FO342" s="27" t="s">
        <v>8</v>
      </c>
      <c r="FQ342" s="27" t="s">
        <v>8</v>
      </c>
      <c r="FR342" s="27" t="s">
        <v>7</v>
      </c>
      <c r="FS342" s="27" t="s">
        <v>8</v>
      </c>
      <c r="GA342" s="27" t="s">
        <v>8</v>
      </c>
      <c r="GC342" s="27" t="s">
        <v>8</v>
      </c>
      <c r="GD342" s="27" t="s">
        <v>7</v>
      </c>
      <c r="GE342" s="27" t="s">
        <v>8</v>
      </c>
      <c r="GF342" s="27" t="s">
        <v>7</v>
      </c>
      <c r="GG342" s="27" t="s">
        <v>8</v>
      </c>
      <c r="GH342" s="27" t="s">
        <v>7</v>
      </c>
      <c r="GI342" s="27" t="s">
        <v>8</v>
      </c>
      <c r="GJ342" s="27" t="s">
        <v>7</v>
      </c>
      <c r="HD342" s="27" t="s">
        <v>7</v>
      </c>
      <c r="HE342" s="27" t="s">
        <v>8</v>
      </c>
      <c r="HF342" s="27" t="s">
        <v>7</v>
      </c>
      <c r="HG342" s="27" t="s">
        <v>8</v>
      </c>
      <c r="IZ342" s="27" t="s">
        <v>7</v>
      </c>
      <c r="JA342" s="27" t="s">
        <v>8</v>
      </c>
    </row>
    <row r="343" spans="1:361" x14ac:dyDescent="0.25">
      <c r="A343" s="7">
        <v>125.44169391126938</v>
      </c>
      <c r="B343"/>
      <c r="C343"/>
      <c r="D343"/>
      <c r="E343"/>
      <c r="FK343" s="27" t="s">
        <v>8</v>
      </c>
      <c r="FL343" s="27" t="s">
        <v>7</v>
      </c>
      <c r="FN343" s="27" t="s">
        <v>7</v>
      </c>
      <c r="FO343" s="27" t="s">
        <v>8</v>
      </c>
      <c r="FP343" s="27" t="s">
        <v>7</v>
      </c>
      <c r="FQ343" s="27" t="s">
        <v>8</v>
      </c>
      <c r="FR343" s="27" t="s">
        <v>7</v>
      </c>
      <c r="FS343" s="27" t="s">
        <v>8</v>
      </c>
      <c r="FT343" s="27" t="s">
        <v>7</v>
      </c>
      <c r="FU343" s="27" t="s">
        <v>8</v>
      </c>
      <c r="FY343" s="27" t="s">
        <v>8</v>
      </c>
      <c r="GA343" s="27" t="s">
        <v>8</v>
      </c>
      <c r="GB343" s="27" t="s">
        <v>7</v>
      </c>
      <c r="GC343" s="27" t="s">
        <v>8</v>
      </c>
      <c r="GD343" s="27" t="s">
        <v>7</v>
      </c>
      <c r="GE343" s="27" t="s">
        <v>8</v>
      </c>
      <c r="GF343" s="27" t="s">
        <v>7</v>
      </c>
      <c r="GG343" s="27" t="s">
        <v>8</v>
      </c>
      <c r="GH343" s="27" t="s">
        <v>7</v>
      </c>
      <c r="HD343" s="27" t="s">
        <v>7</v>
      </c>
      <c r="HE343" s="27" t="s">
        <v>8</v>
      </c>
      <c r="HF343" s="27" t="s">
        <v>7</v>
      </c>
      <c r="IZ343" s="27" t="s">
        <v>7</v>
      </c>
    </row>
    <row r="344" spans="1:361" x14ac:dyDescent="0.25">
      <c r="A344" s="7">
        <v>122.98205285418567</v>
      </c>
      <c r="B344"/>
      <c r="C344"/>
      <c r="D344"/>
      <c r="E344"/>
      <c r="FK344" s="27" t="s">
        <v>8</v>
      </c>
      <c r="FN344" s="27" t="s">
        <v>7</v>
      </c>
      <c r="FO344" s="27" t="s">
        <v>8</v>
      </c>
      <c r="FP344" s="27" t="s">
        <v>7</v>
      </c>
      <c r="FQ344" s="27" t="s">
        <v>8</v>
      </c>
      <c r="FR344" s="27" t="s">
        <v>7</v>
      </c>
      <c r="FS344" s="27" t="s">
        <v>8</v>
      </c>
      <c r="FT344" s="27" t="s">
        <v>7</v>
      </c>
      <c r="FU344" s="27" t="s">
        <v>8</v>
      </c>
      <c r="FV344" s="27" t="s">
        <v>7</v>
      </c>
      <c r="FY344" s="27" t="s">
        <v>8</v>
      </c>
      <c r="FZ344" s="27" t="s">
        <v>7</v>
      </c>
      <c r="GA344" s="27" t="s">
        <v>8</v>
      </c>
      <c r="GB344" s="27" t="s">
        <v>7</v>
      </c>
      <c r="GC344" s="27" t="s">
        <v>8</v>
      </c>
      <c r="GD344" s="27" t="s">
        <v>7</v>
      </c>
      <c r="GE344" s="27" t="s">
        <v>8</v>
      </c>
      <c r="GF344" s="27" t="s">
        <v>7</v>
      </c>
      <c r="GG344" s="27" t="s">
        <v>8</v>
      </c>
      <c r="HD344" s="27" t="s">
        <v>7</v>
      </c>
    </row>
    <row r="345" spans="1:361" x14ac:dyDescent="0.25">
      <c r="A345" s="7">
        <v>120.5706400531232</v>
      </c>
      <c r="B345"/>
      <c r="C345"/>
      <c r="D345"/>
      <c r="E345"/>
      <c r="AG345" s="27" t="s">
        <v>8</v>
      </c>
      <c r="FK345" s="27" t="s">
        <v>8</v>
      </c>
      <c r="FN345" s="27" t="s">
        <v>7</v>
      </c>
      <c r="FP345" s="27" t="s">
        <v>7</v>
      </c>
      <c r="FQ345" s="27" t="s">
        <v>8</v>
      </c>
      <c r="FR345" s="27" t="s">
        <v>7</v>
      </c>
      <c r="FS345" s="27" t="s">
        <v>8</v>
      </c>
      <c r="FT345" s="27" t="s">
        <v>7</v>
      </c>
      <c r="FU345" s="27" t="s">
        <v>8</v>
      </c>
      <c r="FV345" s="27" t="s">
        <v>7</v>
      </c>
      <c r="FW345" s="27" t="s">
        <v>8</v>
      </c>
      <c r="FY345" s="27" t="s">
        <v>8</v>
      </c>
      <c r="FZ345" s="27" t="s">
        <v>7</v>
      </c>
      <c r="GA345" s="27" t="s">
        <v>8</v>
      </c>
      <c r="GB345" s="27" t="s">
        <v>7</v>
      </c>
      <c r="GD345" s="27" t="s">
        <v>7</v>
      </c>
      <c r="GE345" s="27" t="s">
        <v>8</v>
      </c>
      <c r="GF345" s="27" t="s">
        <v>7</v>
      </c>
    </row>
    <row r="346" spans="1:361" x14ac:dyDescent="0.25">
      <c r="A346" s="7">
        <v>118.20650985600314</v>
      </c>
      <c r="B346"/>
      <c r="C346"/>
      <c r="D346"/>
      <c r="E346"/>
      <c r="AG346" s="27" t="s">
        <v>8</v>
      </c>
      <c r="AH346" s="27" t="s">
        <v>7</v>
      </c>
      <c r="FK346" s="27" t="s">
        <v>8</v>
      </c>
      <c r="FP346" s="27" t="s">
        <v>7</v>
      </c>
      <c r="FR346" s="27" t="s">
        <v>7</v>
      </c>
      <c r="FT346" s="27" t="s">
        <v>7</v>
      </c>
      <c r="FU346" s="27" t="s">
        <v>8</v>
      </c>
      <c r="FV346" s="27" t="s">
        <v>7</v>
      </c>
      <c r="FW346" s="27" t="s">
        <v>8</v>
      </c>
      <c r="FX346" s="27" t="s">
        <v>7</v>
      </c>
      <c r="FY346" s="27" t="s">
        <v>8</v>
      </c>
      <c r="FZ346" s="27" t="s">
        <v>7</v>
      </c>
      <c r="GD346" s="27" t="s">
        <v>7</v>
      </c>
      <c r="GE346" s="27" t="s">
        <v>8</v>
      </c>
    </row>
    <row r="347" spans="1:361" x14ac:dyDescent="0.25">
      <c r="A347" s="7">
        <v>115.88873515294425</v>
      </c>
      <c r="B347"/>
      <c r="C347"/>
      <c r="D347"/>
      <c r="E347"/>
      <c r="AG347" s="27" t="s">
        <v>8</v>
      </c>
      <c r="AH347" s="27" t="s">
        <v>7</v>
      </c>
      <c r="FK347" s="27" t="s">
        <v>8</v>
      </c>
      <c r="FT347" s="27" t="s">
        <v>7</v>
      </c>
      <c r="FU347" s="27" t="s">
        <v>8</v>
      </c>
      <c r="FV347" s="27" t="s">
        <v>7</v>
      </c>
      <c r="FW347" s="27" t="s">
        <v>8</v>
      </c>
      <c r="FX347" s="27" t="s">
        <v>7</v>
      </c>
      <c r="FY347" s="27" t="s">
        <v>8</v>
      </c>
      <c r="GD347" s="27" t="s">
        <v>7</v>
      </c>
      <c r="GE347" s="27" t="s">
        <v>8</v>
      </c>
    </row>
    <row r="348" spans="1:361" x14ac:dyDescent="0.25">
      <c r="A348" s="7">
        <v>113.61640701269044</v>
      </c>
      <c r="B348"/>
      <c r="C348"/>
      <c r="D348"/>
      <c r="E348"/>
      <c r="AG348" s="27" t="s">
        <v>8</v>
      </c>
      <c r="AH348" s="27" t="s">
        <v>7</v>
      </c>
      <c r="FI348" s="27" t="s">
        <v>8</v>
      </c>
      <c r="FK348" s="27" t="s">
        <v>8</v>
      </c>
      <c r="FT348" s="27" t="s">
        <v>7</v>
      </c>
      <c r="FU348" s="27" t="s">
        <v>8</v>
      </c>
      <c r="FV348" s="27" t="s">
        <v>7</v>
      </c>
      <c r="FW348" s="27" t="s">
        <v>8</v>
      </c>
      <c r="FX348" s="27" t="s">
        <v>7</v>
      </c>
      <c r="FY348" s="27" t="s">
        <v>8</v>
      </c>
      <c r="GD348" s="27" t="s">
        <v>7</v>
      </c>
      <c r="GE348" s="27" t="s">
        <v>8</v>
      </c>
    </row>
    <row r="349" spans="1:361" x14ac:dyDescent="0.25">
      <c r="A349" s="7">
        <v>111.38863432616711</v>
      </c>
      <c r="B349"/>
      <c r="C349"/>
      <c r="D349"/>
      <c r="E349"/>
      <c r="AG349" s="27" t="s">
        <v>8</v>
      </c>
      <c r="AH349" s="27" t="s">
        <v>7</v>
      </c>
      <c r="FG349" s="27" t="s">
        <v>8</v>
      </c>
      <c r="FI349" s="27" t="s">
        <v>8</v>
      </c>
      <c r="FJ349" s="27" t="s">
        <v>7</v>
      </c>
      <c r="FK349" s="27" t="s">
        <v>8</v>
      </c>
      <c r="FT349" s="27" t="s">
        <v>7</v>
      </c>
      <c r="FV349" s="27" t="s">
        <v>7</v>
      </c>
      <c r="FX349" s="27" t="s">
        <v>7</v>
      </c>
      <c r="GD349" s="27" t="s">
        <v>7</v>
      </c>
      <c r="GE349" s="27" t="s">
        <v>8</v>
      </c>
    </row>
    <row r="350" spans="1:361" x14ac:dyDescent="0.25">
      <c r="A350" s="7">
        <v>109.20454345702657</v>
      </c>
      <c r="B350"/>
      <c r="C350"/>
      <c r="D350"/>
      <c r="E350"/>
      <c r="AG350" s="27" t="s">
        <v>8</v>
      </c>
      <c r="AH350" s="27" t="s">
        <v>7</v>
      </c>
      <c r="FG350" s="27" t="s">
        <v>8</v>
      </c>
      <c r="FH350" s="27" t="s">
        <v>7</v>
      </c>
      <c r="FI350" s="27" t="s">
        <v>8</v>
      </c>
      <c r="FJ350" s="27" t="s">
        <v>7</v>
      </c>
      <c r="FK350" s="27" t="s">
        <v>8</v>
      </c>
      <c r="GD350" s="27" t="s">
        <v>7</v>
      </c>
    </row>
    <row r="351" spans="1:361" x14ac:dyDescent="0.25">
      <c r="A351" s="7">
        <v>107.06327789904566</v>
      </c>
      <c r="B351"/>
      <c r="C351"/>
      <c r="D351"/>
      <c r="E351"/>
      <c r="AG351" s="27" t="s">
        <v>8</v>
      </c>
      <c r="AH351" s="27" t="s">
        <v>7</v>
      </c>
      <c r="AK351" s="27" t="s">
        <v>8</v>
      </c>
      <c r="FG351" s="27" t="s">
        <v>8</v>
      </c>
      <c r="FH351" s="27" t="s">
        <v>7</v>
      </c>
      <c r="FI351" s="27" t="s">
        <v>8</v>
      </c>
      <c r="FJ351" s="27" t="s">
        <v>7</v>
      </c>
      <c r="FK351" s="27" t="s">
        <v>8</v>
      </c>
    </row>
    <row r="352" spans="1:361" x14ac:dyDescent="0.25">
      <c r="A352" s="7">
        <v>104.96399794024084</v>
      </c>
      <c r="B352"/>
      <c r="C352"/>
      <c r="D352"/>
      <c r="E352"/>
      <c r="AG352" s="27" t="s">
        <v>8</v>
      </c>
      <c r="AH352" s="27" t="s">
        <v>7</v>
      </c>
      <c r="AK352" s="27" t="s">
        <v>8</v>
      </c>
      <c r="AL352" s="27" t="s">
        <v>7</v>
      </c>
      <c r="EU352" s="27" t="s">
        <v>8</v>
      </c>
      <c r="FG352" s="27" t="s">
        <v>8</v>
      </c>
      <c r="FH352" s="27" t="s">
        <v>7</v>
      </c>
      <c r="FI352" s="27" t="s">
        <v>8</v>
      </c>
      <c r="FJ352" s="27" t="s">
        <v>7</v>
      </c>
      <c r="FK352" s="27" t="s">
        <v>8</v>
      </c>
    </row>
    <row r="353" spans="1:166" x14ac:dyDescent="0.25">
      <c r="A353" s="7">
        <v>102.90588033356946</v>
      </c>
      <c r="B353"/>
      <c r="C353"/>
      <c r="D353"/>
      <c r="E353"/>
      <c r="AG353" s="27" t="s">
        <v>8</v>
      </c>
      <c r="AH353" s="27" t="s">
        <v>7</v>
      </c>
      <c r="AI353" s="27" t="s">
        <v>8</v>
      </c>
      <c r="AK353" s="27" t="s">
        <v>8</v>
      </c>
      <c r="AL353" s="27" t="s">
        <v>7</v>
      </c>
      <c r="EU353" s="27" t="s">
        <v>8</v>
      </c>
      <c r="EV353" s="27" t="s">
        <v>7</v>
      </c>
      <c r="FG353" s="27" t="s">
        <v>8</v>
      </c>
      <c r="FH353" s="27" t="s">
        <v>7</v>
      </c>
      <c r="FI353" s="27" t="s">
        <v>8</v>
      </c>
      <c r="FJ353" s="27" t="s">
        <v>7</v>
      </c>
    </row>
    <row r="354" spans="1:166" x14ac:dyDescent="0.25">
      <c r="A354" s="7">
        <v>100.88811797408771</v>
      </c>
      <c r="B354"/>
      <c r="C354"/>
      <c r="D354"/>
      <c r="E354"/>
      <c r="AG354" s="27" t="s">
        <v>8</v>
      </c>
      <c r="AH354" s="27" t="s">
        <v>7</v>
      </c>
      <c r="AI354" s="27" t="s">
        <v>8</v>
      </c>
      <c r="AJ354" s="27" t="s">
        <v>7</v>
      </c>
      <c r="AK354" s="27" t="s">
        <v>8</v>
      </c>
      <c r="AL354" s="27" t="s">
        <v>7</v>
      </c>
      <c r="EU354" s="27" t="s">
        <v>8</v>
      </c>
      <c r="EV354" s="27" t="s">
        <v>7</v>
      </c>
      <c r="FG354" s="27" t="s">
        <v>8</v>
      </c>
      <c r="FH354" s="27" t="s">
        <v>7</v>
      </c>
      <c r="FI354" s="27" t="s">
        <v>8</v>
      </c>
    </row>
    <row r="355" spans="1:166" x14ac:dyDescent="0.25">
      <c r="A355" s="7">
        <v>98.909919582438931</v>
      </c>
      <c r="B355"/>
      <c r="C355"/>
      <c r="D355"/>
      <c r="E355"/>
      <c r="AG355" s="27" t="s">
        <v>8</v>
      </c>
      <c r="AH355" s="27" t="s">
        <v>7</v>
      </c>
      <c r="AI355" s="27" t="s">
        <v>8</v>
      </c>
      <c r="AJ355" s="27" t="s">
        <v>7</v>
      </c>
      <c r="AK355" s="27" t="s">
        <v>8</v>
      </c>
      <c r="AL355" s="27" t="s">
        <v>7</v>
      </c>
      <c r="EU355" s="27" t="s">
        <v>8</v>
      </c>
      <c r="EV355" s="27" t="s">
        <v>7</v>
      </c>
      <c r="FG355" s="27" t="s">
        <v>8</v>
      </c>
      <c r="FH355" s="27" t="s">
        <v>7</v>
      </c>
      <c r="FI355" s="27" t="s">
        <v>8</v>
      </c>
    </row>
    <row r="356" spans="1:166" x14ac:dyDescent="0.25">
      <c r="A356" s="7">
        <v>96.970509394547975</v>
      </c>
      <c r="B356"/>
      <c r="C356"/>
      <c r="D356"/>
      <c r="E356"/>
      <c r="U356" s="27" t="s">
        <v>8</v>
      </c>
      <c r="AA356" s="27" t="s">
        <v>8</v>
      </c>
      <c r="AG356" s="27" t="s">
        <v>8</v>
      </c>
      <c r="AH356" s="27" t="s">
        <v>7</v>
      </c>
      <c r="AI356" s="27" t="s">
        <v>8</v>
      </c>
      <c r="AJ356" s="27" t="s">
        <v>7</v>
      </c>
      <c r="AK356" s="27" t="s">
        <v>8</v>
      </c>
      <c r="AL356" s="27" t="s">
        <v>7</v>
      </c>
      <c r="AM356" s="27" t="s">
        <v>8</v>
      </c>
      <c r="AS356" s="27" t="s">
        <v>8</v>
      </c>
      <c r="ES356" s="27" t="s">
        <v>8</v>
      </c>
      <c r="EU356" s="27" t="s">
        <v>8</v>
      </c>
      <c r="EV356" s="27" t="s">
        <v>7</v>
      </c>
      <c r="EW356" s="27" t="s">
        <v>8</v>
      </c>
      <c r="FE356" s="27" t="s">
        <v>8</v>
      </c>
      <c r="FG356" s="27" t="s">
        <v>8</v>
      </c>
      <c r="FH356" s="27" t="s">
        <v>7</v>
      </c>
      <c r="FI356" s="27" t="s">
        <v>8</v>
      </c>
    </row>
    <row r="357" spans="1:166" x14ac:dyDescent="0.25">
      <c r="A357" s="7">
        <v>95.069126857399979</v>
      </c>
      <c r="B357"/>
      <c r="C357"/>
      <c r="D357"/>
      <c r="E357"/>
      <c r="U357" s="27" t="s">
        <v>8</v>
      </c>
      <c r="V357" s="27" t="s">
        <v>7</v>
      </c>
      <c r="AA357" s="27" t="s">
        <v>8</v>
      </c>
      <c r="AB357" s="27" t="s">
        <v>7</v>
      </c>
      <c r="AC357" s="27" t="s">
        <v>8</v>
      </c>
      <c r="AG357" s="27" t="s">
        <v>8</v>
      </c>
      <c r="AH357" s="27" t="s">
        <v>7</v>
      </c>
      <c r="AI357" s="27" t="s">
        <v>8</v>
      </c>
      <c r="AJ357" s="27" t="s">
        <v>7</v>
      </c>
      <c r="AK357" s="27" t="s">
        <v>8</v>
      </c>
      <c r="AL357" s="27" t="s">
        <v>7</v>
      </c>
      <c r="AM357" s="27" t="s">
        <v>8</v>
      </c>
      <c r="AN357" s="27" t="s">
        <v>7</v>
      </c>
      <c r="AS357" s="27" t="s">
        <v>8</v>
      </c>
      <c r="AT357" s="27" t="s">
        <v>7</v>
      </c>
      <c r="CW357" s="27" t="s">
        <v>8</v>
      </c>
      <c r="EQ357" s="27" t="s">
        <v>8</v>
      </c>
      <c r="ES357" s="27" t="s">
        <v>8</v>
      </c>
      <c r="ET357" s="27" t="s">
        <v>7</v>
      </c>
      <c r="EU357" s="27" t="s">
        <v>8</v>
      </c>
      <c r="EV357" s="27" t="s">
        <v>7</v>
      </c>
      <c r="EW357" s="27" t="s">
        <v>8</v>
      </c>
      <c r="EX357" s="27" t="s">
        <v>7</v>
      </c>
      <c r="FA357" s="27" t="s">
        <v>8</v>
      </c>
      <c r="FC357" s="27" t="s">
        <v>8</v>
      </c>
      <c r="FE357" s="27" t="s">
        <v>8</v>
      </c>
      <c r="FF357" s="27" t="s">
        <v>7</v>
      </c>
      <c r="FG357" s="27" t="s">
        <v>8</v>
      </c>
      <c r="FH357" s="27" t="s">
        <v>7</v>
      </c>
    </row>
    <row r="358" spans="1:166" x14ac:dyDescent="0.25">
      <c r="A358" s="7">
        <v>93.205026330784293</v>
      </c>
      <c r="B358"/>
      <c r="C358"/>
      <c r="D358"/>
      <c r="E358"/>
      <c r="U358" s="27" t="s">
        <v>8</v>
      </c>
      <c r="V358" s="27" t="s">
        <v>7</v>
      </c>
      <c r="AA358" s="27" t="s">
        <v>8</v>
      </c>
      <c r="AB358" s="27" t="s">
        <v>7</v>
      </c>
      <c r="AC358" s="27" t="s">
        <v>8</v>
      </c>
      <c r="AD358" s="27" t="s">
        <v>7</v>
      </c>
      <c r="AG358" s="27" t="s">
        <v>8</v>
      </c>
      <c r="AH358" s="27" t="s">
        <v>7</v>
      </c>
      <c r="AI358" s="27" t="s">
        <v>8</v>
      </c>
      <c r="AJ358" s="27" t="s">
        <v>7</v>
      </c>
      <c r="AK358" s="27" t="s">
        <v>8</v>
      </c>
      <c r="AL358" s="27" t="s">
        <v>7</v>
      </c>
      <c r="AM358" s="27" t="s">
        <v>8</v>
      </c>
      <c r="AN358" s="27" t="s">
        <v>7</v>
      </c>
      <c r="AS358" s="27" t="s">
        <v>8</v>
      </c>
      <c r="AT358" s="27" t="s">
        <v>7</v>
      </c>
      <c r="CW358" s="27" t="s">
        <v>8</v>
      </c>
      <c r="CX358" s="27" t="s">
        <v>7</v>
      </c>
      <c r="EQ358" s="27" t="s">
        <v>8</v>
      </c>
      <c r="ER358" s="27" t="s">
        <v>7</v>
      </c>
      <c r="ES358" s="27" t="s">
        <v>8</v>
      </c>
      <c r="ET358" s="27" t="s">
        <v>7</v>
      </c>
      <c r="EU358" s="27" t="s">
        <v>8</v>
      </c>
      <c r="EV358" s="27" t="s">
        <v>7</v>
      </c>
      <c r="EW358" s="27" t="s">
        <v>8</v>
      </c>
      <c r="EX358" s="27" t="s">
        <v>7</v>
      </c>
      <c r="FA358" s="27" t="s">
        <v>8</v>
      </c>
      <c r="FB358" s="27" t="s">
        <v>7</v>
      </c>
      <c r="FC358" s="27" t="s">
        <v>8</v>
      </c>
      <c r="FD358" s="27" t="s">
        <v>7</v>
      </c>
      <c r="FE358" s="27" t="s">
        <v>8</v>
      </c>
      <c r="FF358" s="27" t="s">
        <v>7</v>
      </c>
      <c r="FG358" s="27" t="s">
        <v>8</v>
      </c>
    </row>
    <row r="359" spans="1:166" x14ac:dyDescent="0.25">
      <c r="A359" s="7">
        <v>91.377476794886562</v>
      </c>
      <c r="B359"/>
      <c r="C359"/>
      <c r="D359"/>
      <c r="E359"/>
      <c r="U359" s="27" t="s">
        <v>8</v>
      </c>
      <c r="V359" s="27" t="s">
        <v>7</v>
      </c>
      <c r="Y359" s="27" t="s">
        <v>8</v>
      </c>
      <c r="AA359" s="27" t="s">
        <v>8</v>
      </c>
      <c r="AB359" s="27" t="s">
        <v>7</v>
      </c>
      <c r="AC359" s="27" t="s">
        <v>8</v>
      </c>
      <c r="AD359" s="27" t="s">
        <v>7</v>
      </c>
      <c r="AG359" s="27" t="s">
        <v>8</v>
      </c>
      <c r="AH359" s="27" t="s">
        <v>7</v>
      </c>
      <c r="AI359" s="27" t="s">
        <v>8</v>
      </c>
      <c r="AJ359" s="27" t="s">
        <v>7</v>
      </c>
      <c r="AK359" s="27" t="s">
        <v>8</v>
      </c>
      <c r="AL359" s="27" t="s">
        <v>7</v>
      </c>
      <c r="AM359" s="27" t="s">
        <v>8</v>
      </c>
      <c r="AN359" s="27" t="s">
        <v>7</v>
      </c>
      <c r="AS359" s="27" t="s">
        <v>8</v>
      </c>
      <c r="AT359" s="27" t="s">
        <v>7</v>
      </c>
      <c r="CW359" s="27" t="s">
        <v>8</v>
      </c>
      <c r="CX359" s="27" t="s">
        <v>7</v>
      </c>
      <c r="EQ359" s="27" t="s">
        <v>8</v>
      </c>
      <c r="ER359" s="27" t="s">
        <v>7</v>
      </c>
      <c r="ES359" s="27" t="s">
        <v>8</v>
      </c>
      <c r="ET359" s="27" t="s">
        <v>7</v>
      </c>
      <c r="EU359" s="27" t="s">
        <v>8</v>
      </c>
      <c r="EV359" s="27" t="s">
        <v>7</v>
      </c>
      <c r="EW359" s="27" t="s">
        <v>8</v>
      </c>
      <c r="EX359" s="27" t="s">
        <v>7</v>
      </c>
      <c r="FA359" s="27" t="s">
        <v>8</v>
      </c>
      <c r="FB359" s="27" t="s">
        <v>7</v>
      </c>
      <c r="FC359" s="27" t="s">
        <v>8</v>
      </c>
      <c r="FD359" s="27" t="s">
        <v>7</v>
      </c>
      <c r="FE359" s="27" t="s">
        <v>8</v>
      </c>
      <c r="FF359" s="27" t="s">
        <v>7</v>
      </c>
      <c r="FG359" s="27" t="s">
        <v>8</v>
      </c>
    </row>
    <row r="360" spans="1:166" x14ac:dyDescent="0.25">
      <c r="A360" s="7">
        <v>89.58576156361427</v>
      </c>
      <c r="B360"/>
      <c r="C360"/>
      <c r="D360"/>
      <c r="E360"/>
      <c r="U360" s="27" t="s">
        <v>8</v>
      </c>
      <c r="V360" s="27" t="s">
        <v>7</v>
      </c>
      <c r="W360" s="27" t="s">
        <v>8</v>
      </c>
      <c r="Y360" s="27" t="s">
        <v>8</v>
      </c>
      <c r="Z360" s="27" t="s">
        <v>7</v>
      </c>
      <c r="AA360" s="27" t="s">
        <v>8</v>
      </c>
      <c r="AB360" s="27" t="s">
        <v>7</v>
      </c>
      <c r="AD360" s="27" t="s">
        <v>7</v>
      </c>
      <c r="AG360" s="27" t="s">
        <v>8</v>
      </c>
      <c r="AH360" s="27" t="s">
        <v>7</v>
      </c>
      <c r="AJ360" s="27" t="s">
        <v>7</v>
      </c>
      <c r="AK360" s="27" t="s">
        <v>8</v>
      </c>
      <c r="AL360" s="27" t="s">
        <v>7</v>
      </c>
      <c r="AM360" s="27" t="s">
        <v>8</v>
      </c>
      <c r="AN360" s="27" t="s">
        <v>7</v>
      </c>
      <c r="AS360" s="27" t="s">
        <v>8</v>
      </c>
      <c r="AT360" s="27" t="s">
        <v>7</v>
      </c>
      <c r="AU360" s="27" t="s">
        <v>8</v>
      </c>
      <c r="CW360" s="27" t="s">
        <v>8</v>
      </c>
      <c r="CX360" s="27" t="s">
        <v>7</v>
      </c>
      <c r="EO360" s="27" t="s">
        <v>8</v>
      </c>
      <c r="EQ360" s="27" t="s">
        <v>8</v>
      </c>
      <c r="ER360" s="27" t="s">
        <v>7</v>
      </c>
      <c r="ES360" s="27" t="s">
        <v>8</v>
      </c>
      <c r="ET360" s="27" t="s">
        <v>7</v>
      </c>
      <c r="EV360" s="27" t="s">
        <v>7</v>
      </c>
      <c r="EW360" s="27" t="s">
        <v>8</v>
      </c>
      <c r="EX360" s="27" t="s">
        <v>7</v>
      </c>
      <c r="FA360" s="27" t="s">
        <v>8</v>
      </c>
      <c r="FB360" s="27" t="s">
        <v>7</v>
      </c>
      <c r="FC360" s="27" t="s">
        <v>8</v>
      </c>
      <c r="FD360" s="27" t="s">
        <v>7</v>
      </c>
      <c r="FE360" s="27" t="s">
        <v>8</v>
      </c>
      <c r="FF360" s="27" t="s">
        <v>7</v>
      </c>
      <c r="FG360" s="27" t="s">
        <v>8</v>
      </c>
    </row>
    <row r="361" spans="1:166" x14ac:dyDescent="0.25">
      <c r="A361" s="7">
        <v>87.829178003543404</v>
      </c>
      <c r="B361"/>
      <c r="C361"/>
      <c r="D361"/>
      <c r="E361"/>
      <c r="U361" s="27" t="s">
        <v>8</v>
      </c>
      <c r="V361" s="27" t="s">
        <v>7</v>
      </c>
      <c r="W361" s="27" t="s">
        <v>8</v>
      </c>
      <c r="X361" s="27" t="s">
        <v>7</v>
      </c>
      <c r="Y361" s="27" t="s">
        <v>8</v>
      </c>
      <c r="Z361" s="27" t="s">
        <v>7</v>
      </c>
      <c r="AA361" s="27" t="s">
        <v>8</v>
      </c>
      <c r="AD361" s="27" t="s">
        <v>7</v>
      </c>
      <c r="AE361" s="27" t="s">
        <v>8</v>
      </c>
      <c r="AG361" s="27" t="s">
        <v>8</v>
      </c>
      <c r="AJ361" s="27" t="s">
        <v>7</v>
      </c>
      <c r="AK361" s="27" t="s">
        <v>8</v>
      </c>
      <c r="AL361" s="27" t="s">
        <v>7</v>
      </c>
      <c r="AN361" s="27" t="s">
        <v>7</v>
      </c>
      <c r="AO361" s="27" t="s">
        <v>8</v>
      </c>
      <c r="AS361" s="27" t="s">
        <v>8</v>
      </c>
      <c r="AT361" s="27" t="s">
        <v>7</v>
      </c>
      <c r="AU361" s="27" t="s">
        <v>8</v>
      </c>
      <c r="AV361" s="27" t="s">
        <v>7</v>
      </c>
      <c r="CU361" s="27" t="s">
        <v>8</v>
      </c>
      <c r="CW361" s="27" t="s">
        <v>8</v>
      </c>
      <c r="CX361" s="27" t="s">
        <v>7</v>
      </c>
      <c r="CY361" s="27" t="s">
        <v>8</v>
      </c>
      <c r="EO361" s="27" t="s">
        <v>8</v>
      </c>
      <c r="EP361" s="27" t="s">
        <v>7</v>
      </c>
      <c r="EQ361" s="27" t="s">
        <v>8</v>
      </c>
      <c r="ER361" s="27" t="s">
        <v>7</v>
      </c>
      <c r="ES361" s="27" t="s">
        <v>8</v>
      </c>
      <c r="EV361" s="27" t="s">
        <v>7</v>
      </c>
      <c r="EW361" s="27" t="s">
        <v>8</v>
      </c>
      <c r="EX361" s="27" t="s">
        <v>7</v>
      </c>
      <c r="FA361" s="27" t="s">
        <v>8</v>
      </c>
      <c r="FB361" s="27" t="s">
        <v>7</v>
      </c>
      <c r="FD361" s="27" t="s">
        <v>7</v>
      </c>
      <c r="FE361" s="27" t="s">
        <v>8</v>
      </c>
      <c r="FF361" s="27" t="s">
        <v>7</v>
      </c>
    </row>
    <row r="362" spans="1:166" x14ac:dyDescent="0.25">
      <c r="A362" s="7">
        <v>86.107037258375883</v>
      </c>
      <c r="B362"/>
      <c r="C362"/>
      <c r="D362"/>
      <c r="E362"/>
      <c r="U362" s="27" t="s">
        <v>8</v>
      </c>
      <c r="V362" s="27" t="s">
        <v>7</v>
      </c>
      <c r="W362" s="27" t="s">
        <v>8</v>
      </c>
      <c r="X362" s="27" t="s">
        <v>7</v>
      </c>
      <c r="Y362" s="27" t="s">
        <v>8</v>
      </c>
      <c r="Z362" s="27" t="s">
        <v>7</v>
      </c>
      <c r="AA362" s="27" t="s">
        <v>8</v>
      </c>
      <c r="AD362" s="27" t="s">
        <v>7</v>
      </c>
      <c r="AE362" s="27" t="s">
        <v>8</v>
      </c>
      <c r="AF362" s="27" t="s">
        <v>7</v>
      </c>
      <c r="AG362" s="27" t="s">
        <v>8</v>
      </c>
      <c r="AJ362" s="27" t="s">
        <v>7</v>
      </c>
      <c r="AK362" s="27" t="s">
        <v>8</v>
      </c>
      <c r="AN362" s="27" t="s">
        <v>7</v>
      </c>
      <c r="AO362" s="27" t="s">
        <v>8</v>
      </c>
      <c r="AP362" s="27" t="s">
        <v>7</v>
      </c>
      <c r="AS362" s="27" t="s">
        <v>8</v>
      </c>
      <c r="AT362" s="27" t="s">
        <v>7</v>
      </c>
      <c r="AU362" s="27" t="s">
        <v>8</v>
      </c>
      <c r="AV362" s="27" t="s">
        <v>7</v>
      </c>
      <c r="CU362" s="27" t="s">
        <v>8</v>
      </c>
      <c r="CV362" s="27" t="s">
        <v>7</v>
      </c>
      <c r="CW362" s="27" t="s">
        <v>8</v>
      </c>
      <c r="CX362" s="27" t="s">
        <v>7</v>
      </c>
      <c r="CY362" s="27" t="s">
        <v>8</v>
      </c>
      <c r="CZ362" s="27" t="s">
        <v>7</v>
      </c>
      <c r="DA362" s="27" t="s">
        <v>8</v>
      </c>
      <c r="EO362" s="27" t="s">
        <v>8</v>
      </c>
      <c r="EP362" s="27" t="s">
        <v>7</v>
      </c>
      <c r="EQ362" s="27" t="s">
        <v>8</v>
      </c>
      <c r="ER362" s="27" t="s">
        <v>7</v>
      </c>
      <c r="ES362" s="27" t="s">
        <v>8</v>
      </c>
      <c r="EV362" s="27" t="s">
        <v>7</v>
      </c>
      <c r="EX362" s="27" t="s">
        <v>7</v>
      </c>
      <c r="FA362" s="27" t="s">
        <v>8</v>
      </c>
      <c r="FD362" s="27" t="s">
        <v>7</v>
      </c>
    </row>
    <row r="363" spans="1:166" x14ac:dyDescent="0.25">
      <c r="A363" s="7">
        <v>84.418663978799884</v>
      </c>
      <c r="B363"/>
      <c r="C363"/>
      <c r="D363"/>
      <c r="E363"/>
      <c r="U363" s="27" t="s">
        <v>8</v>
      </c>
      <c r="V363" s="27" t="s">
        <v>7</v>
      </c>
      <c r="W363" s="27" t="s">
        <v>8</v>
      </c>
      <c r="X363" s="27" t="s">
        <v>7</v>
      </c>
      <c r="Z363" s="27" t="s">
        <v>7</v>
      </c>
      <c r="AA363" s="27" t="s">
        <v>8</v>
      </c>
      <c r="AD363" s="27" t="s">
        <v>7</v>
      </c>
      <c r="AE363" s="27" t="s">
        <v>8</v>
      </c>
      <c r="AF363" s="27" t="s">
        <v>7</v>
      </c>
      <c r="AG363" s="27" t="s">
        <v>8</v>
      </c>
      <c r="AJ363" s="27" t="s">
        <v>7</v>
      </c>
      <c r="AK363" s="27" t="s">
        <v>8</v>
      </c>
      <c r="AN363" s="27" t="s">
        <v>7</v>
      </c>
      <c r="AO363" s="27" t="s">
        <v>8</v>
      </c>
      <c r="AP363" s="27" t="s">
        <v>7</v>
      </c>
      <c r="AS363" s="27" t="s">
        <v>8</v>
      </c>
      <c r="AT363" s="27" t="s">
        <v>7</v>
      </c>
      <c r="AU363" s="27" t="s">
        <v>8</v>
      </c>
      <c r="AV363" s="27" t="s">
        <v>7</v>
      </c>
      <c r="CU363" s="27" t="s">
        <v>8</v>
      </c>
      <c r="CV363" s="27" t="s">
        <v>7</v>
      </c>
      <c r="CW363" s="27" t="s">
        <v>8</v>
      </c>
      <c r="CX363" s="27" t="s">
        <v>7</v>
      </c>
      <c r="CY363" s="27" t="s">
        <v>8</v>
      </c>
      <c r="CZ363" s="27" t="s">
        <v>7</v>
      </c>
      <c r="DA363" s="27" t="s">
        <v>8</v>
      </c>
      <c r="DB363" s="27" t="s">
        <v>7</v>
      </c>
      <c r="EO363" s="27" t="s">
        <v>8</v>
      </c>
      <c r="EP363" s="27" t="s">
        <v>7</v>
      </c>
      <c r="EQ363" s="27" t="s">
        <v>8</v>
      </c>
      <c r="ER363" s="27" t="s">
        <v>7</v>
      </c>
      <c r="EX363" s="27" t="s">
        <v>7</v>
      </c>
      <c r="FA363" s="27" t="s">
        <v>8</v>
      </c>
    </row>
    <row r="364" spans="1:166" x14ac:dyDescent="0.25">
      <c r="A364" s="7">
        <v>82.763396057646943</v>
      </c>
      <c r="B364"/>
      <c r="C364"/>
      <c r="D364"/>
      <c r="E364"/>
      <c r="U364" s="27" t="s">
        <v>8</v>
      </c>
      <c r="V364" s="27" t="s">
        <v>7</v>
      </c>
      <c r="W364" s="27" t="s">
        <v>8</v>
      </c>
      <c r="Z364" s="27" t="s">
        <v>7</v>
      </c>
      <c r="AA364" s="27" t="s">
        <v>8</v>
      </c>
      <c r="AD364" s="27" t="s">
        <v>7</v>
      </c>
      <c r="AF364" s="27" t="s">
        <v>7</v>
      </c>
      <c r="AJ364" s="27" t="s">
        <v>7</v>
      </c>
      <c r="AN364" s="27" t="s">
        <v>7</v>
      </c>
      <c r="AO364" s="27" t="s">
        <v>8</v>
      </c>
      <c r="AP364" s="27" t="s">
        <v>7</v>
      </c>
      <c r="AQ364" s="27" t="s">
        <v>8</v>
      </c>
      <c r="AS364" s="27" t="s">
        <v>8</v>
      </c>
      <c r="AT364" s="27" t="s">
        <v>7</v>
      </c>
      <c r="AU364" s="27" t="s">
        <v>8</v>
      </c>
      <c r="AV364" s="27" t="s">
        <v>7</v>
      </c>
      <c r="CU364" s="27" t="s">
        <v>8</v>
      </c>
      <c r="CV364" s="27" t="s">
        <v>7</v>
      </c>
      <c r="CX364" s="27" t="s">
        <v>7</v>
      </c>
      <c r="CY364" s="27" t="s">
        <v>8</v>
      </c>
      <c r="CZ364" s="27" t="s">
        <v>7</v>
      </c>
      <c r="DA364" s="27" t="s">
        <v>8</v>
      </c>
      <c r="DB364" s="27" t="s">
        <v>7</v>
      </c>
      <c r="EO364" s="27" t="s">
        <v>8</v>
      </c>
      <c r="EP364" s="27" t="s">
        <v>7</v>
      </c>
      <c r="EQ364" s="27" t="s">
        <v>8</v>
      </c>
      <c r="EX364" s="27" t="s">
        <v>7</v>
      </c>
      <c r="EY364" s="27" t="s">
        <v>8</v>
      </c>
      <c r="FA364" s="27" t="s">
        <v>8</v>
      </c>
    </row>
    <row r="365" spans="1:166" x14ac:dyDescent="0.25">
      <c r="A365" s="7">
        <v>81.140584370242095</v>
      </c>
      <c r="B365"/>
      <c r="C365"/>
      <c r="D365"/>
      <c r="E365"/>
      <c r="S365" s="27" t="s">
        <v>8</v>
      </c>
      <c r="U365" s="27" t="s">
        <v>8</v>
      </c>
      <c r="V365" s="27" t="s">
        <v>7</v>
      </c>
      <c r="W365" s="27" t="s">
        <v>8</v>
      </c>
      <c r="Z365" s="27" t="s">
        <v>7</v>
      </c>
      <c r="AN365" s="27" t="s">
        <v>7</v>
      </c>
      <c r="AO365" s="27" t="s">
        <v>8</v>
      </c>
      <c r="AP365" s="27" t="s">
        <v>7</v>
      </c>
      <c r="AQ365" s="27" t="s">
        <v>8</v>
      </c>
      <c r="AR365" s="27" t="s">
        <v>7</v>
      </c>
      <c r="AS365" s="27" t="s">
        <v>8</v>
      </c>
      <c r="AT365" s="27" t="s">
        <v>7</v>
      </c>
      <c r="AU365" s="27" t="s">
        <v>8</v>
      </c>
      <c r="AV365" s="27" t="s">
        <v>7</v>
      </c>
      <c r="BC365" s="27" t="s">
        <v>8</v>
      </c>
      <c r="CU365" s="27" t="s">
        <v>8</v>
      </c>
      <c r="CX365" s="27" t="s">
        <v>7</v>
      </c>
      <c r="CY365" s="27" t="s">
        <v>8</v>
      </c>
      <c r="CZ365" s="27" t="s">
        <v>7</v>
      </c>
      <c r="DA365" s="27" t="s">
        <v>8</v>
      </c>
      <c r="DB365" s="27" t="s">
        <v>7</v>
      </c>
      <c r="EO365" s="27" t="s">
        <v>8</v>
      </c>
      <c r="EP365" s="27" t="s">
        <v>7</v>
      </c>
      <c r="EQ365" s="27" t="s">
        <v>8</v>
      </c>
      <c r="EX365" s="27" t="s">
        <v>7</v>
      </c>
      <c r="EY365" s="27" t="s">
        <v>8</v>
      </c>
      <c r="EZ365" s="27" t="s">
        <v>7</v>
      </c>
      <c r="FA365" s="27" t="s">
        <v>8</v>
      </c>
    </row>
    <row r="366" spans="1:166" x14ac:dyDescent="0.25">
      <c r="A366" s="7">
        <v>79.549592519845191</v>
      </c>
      <c r="B366"/>
      <c r="C366"/>
      <c r="D366"/>
      <c r="E366"/>
      <c r="S366" s="27" t="s">
        <v>8</v>
      </c>
      <c r="T366" s="27" t="s">
        <v>7</v>
      </c>
      <c r="U366" s="27" t="s">
        <v>8</v>
      </c>
      <c r="V366" s="27" t="s">
        <v>7</v>
      </c>
      <c r="W366" s="27" t="s">
        <v>8</v>
      </c>
      <c r="AN366" s="27" t="s">
        <v>7</v>
      </c>
      <c r="AO366" s="27" t="s">
        <v>8</v>
      </c>
      <c r="AP366" s="27" t="s">
        <v>7</v>
      </c>
      <c r="AQ366" s="27" t="s">
        <v>8</v>
      </c>
      <c r="AR366" s="27" t="s">
        <v>7</v>
      </c>
      <c r="AS366" s="27" t="s">
        <v>8</v>
      </c>
      <c r="AT366" s="27" t="s">
        <v>7</v>
      </c>
      <c r="AV366" s="27" t="s">
        <v>7</v>
      </c>
      <c r="AW366" s="27" t="s">
        <v>8</v>
      </c>
      <c r="BC366" s="27" t="s">
        <v>8</v>
      </c>
      <c r="BD366" s="27" t="s">
        <v>7</v>
      </c>
      <c r="CU366" s="27" t="s">
        <v>8</v>
      </c>
      <c r="CX366" s="27" t="s">
        <v>7</v>
      </c>
      <c r="CZ366" s="27" t="s">
        <v>7</v>
      </c>
      <c r="DA366" s="27" t="s">
        <v>8</v>
      </c>
      <c r="DB366" s="27" t="s">
        <v>7</v>
      </c>
      <c r="EO366" s="27" t="s">
        <v>8</v>
      </c>
      <c r="EP366" s="27" t="s">
        <v>7</v>
      </c>
      <c r="EQ366" s="27" t="s">
        <v>8</v>
      </c>
      <c r="EX366" s="27" t="s">
        <v>7</v>
      </c>
      <c r="EY366" s="27" t="s">
        <v>8</v>
      </c>
      <c r="EZ366" s="27" t="s">
        <v>7</v>
      </c>
      <c r="FA366" s="27" t="s">
        <v>8</v>
      </c>
    </row>
    <row r="367" spans="1:166" x14ac:dyDescent="0.25">
      <c r="A367" s="7">
        <v>77.989796588083522</v>
      </c>
      <c r="B367"/>
      <c r="C367"/>
      <c r="D367"/>
      <c r="E367"/>
      <c r="S367" s="27" t="s">
        <v>8</v>
      </c>
      <c r="T367" s="27" t="s">
        <v>7</v>
      </c>
      <c r="U367" s="27" t="s">
        <v>8</v>
      </c>
      <c r="V367" s="27" t="s">
        <v>7</v>
      </c>
      <c r="W367" s="27" t="s">
        <v>8</v>
      </c>
      <c r="AN367" s="27" t="s">
        <v>7</v>
      </c>
      <c r="AO367" s="27" t="s">
        <v>8</v>
      </c>
      <c r="AP367" s="27" t="s">
        <v>7</v>
      </c>
      <c r="AR367" s="27" t="s">
        <v>7</v>
      </c>
      <c r="AV367" s="27" t="s">
        <v>7</v>
      </c>
      <c r="AW367" s="27" t="s">
        <v>8</v>
      </c>
      <c r="AX367" s="27" t="s">
        <v>7</v>
      </c>
      <c r="BC367" s="27" t="s">
        <v>8</v>
      </c>
      <c r="BD367" s="27" t="s">
        <v>7</v>
      </c>
      <c r="CU367" s="27" t="s">
        <v>8</v>
      </c>
      <c r="CZ367" s="27" t="s">
        <v>7</v>
      </c>
      <c r="DA367" s="27" t="s">
        <v>8</v>
      </c>
      <c r="DB367" s="27" t="s">
        <v>7</v>
      </c>
      <c r="EO367" s="27" t="s">
        <v>8</v>
      </c>
      <c r="EP367" s="27" t="s">
        <v>7</v>
      </c>
      <c r="EX367" s="27" t="s">
        <v>7</v>
      </c>
      <c r="EY367" s="27" t="s">
        <v>8</v>
      </c>
      <c r="EZ367" s="27" t="s">
        <v>7</v>
      </c>
      <c r="FA367" s="27" t="s">
        <v>8</v>
      </c>
    </row>
    <row r="368" spans="1:166" x14ac:dyDescent="0.25">
      <c r="A368" s="7">
        <v>76.460584890277957</v>
      </c>
      <c r="B368"/>
      <c r="C368"/>
      <c r="D368"/>
      <c r="E368"/>
      <c r="S368" s="27" t="s">
        <v>8</v>
      </c>
      <c r="T368" s="27" t="s">
        <v>7</v>
      </c>
      <c r="U368" s="27" t="s">
        <v>8</v>
      </c>
      <c r="V368" s="27" t="s">
        <v>7</v>
      </c>
      <c r="AN368" s="27" t="s">
        <v>7</v>
      </c>
      <c r="AO368" s="27" t="s">
        <v>8</v>
      </c>
      <c r="AV368" s="27" t="s">
        <v>7</v>
      </c>
      <c r="AW368" s="27" t="s">
        <v>8</v>
      </c>
      <c r="AX368" s="27" t="s">
        <v>7</v>
      </c>
      <c r="BA368" s="27" t="s">
        <v>8</v>
      </c>
      <c r="BC368" s="27" t="s">
        <v>8</v>
      </c>
      <c r="BD368" s="27" t="s">
        <v>7</v>
      </c>
      <c r="BE368" s="27" t="s">
        <v>8</v>
      </c>
      <c r="CU368" s="27" t="s">
        <v>8</v>
      </c>
      <c r="CZ368" s="27" t="s">
        <v>7</v>
      </c>
      <c r="DB368" s="27" t="s">
        <v>7</v>
      </c>
      <c r="EO368" s="27" t="s">
        <v>8</v>
      </c>
      <c r="EX368" s="27" t="s">
        <v>7</v>
      </c>
      <c r="EZ368" s="27" t="s">
        <v>7</v>
      </c>
      <c r="FA368" s="27" t="s">
        <v>8</v>
      </c>
    </row>
    <row r="369" spans="1:156" x14ac:dyDescent="0.25">
      <c r="A369" s="7">
        <v>74.961357735566622</v>
      </c>
      <c r="B369"/>
      <c r="C369"/>
      <c r="D369"/>
      <c r="E369"/>
      <c r="S369" s="27" t="s">
        <v>8</v>
      </c>
      <c r="T369" s="27" t="s">
        <v>7</v>
      </c>
      <c r="U369" s="27" t="s">
        <v>8</v>
      </c>
      <c r="AN369" s="27" t="s">
        <v>7</v>
      </c>
      <c r="AO369" s="27" t="s">
        <v>8</v>
      </c>
      <c r="AV369" s="27" t="s">
        <v>7</v>
      </c>
      <c r="AW369" s="27" t="s">
        <v>8</v>
      </c>
      <c r="AX369" s="27" t="s">
        <v>7</v>
      </c>
      <c r="AY369" s="27" t="s">
        <v>8</v>
      </c>
      <c r="BA369" s="27" t="s">
        <v>8</v>
      </c>
      <c r="BB369" s="27" t="s">
        <v>7</v>
      </c>
      <c r="BC369" s="27" t="s">
        <v>8</v>
      </c>
      <c r="BD369" s="27" t="s">
        <v>7</v>
      </c>
      <c r="BE369" s="27" t="s">
        <v>8</v>
      </c>
      <c r="BF369" s="27" t="s">
        <v>7</v>
      </c>
      <c r="CS369" s="27" t="s">
        <v>8</v>
      </c>
      <c r="CU369" s="27" t="s">
        <v>8</v>
      </c>
      <c r="DB369" s="27" t="s">
        <v>7</v>
      </c>
      <c r="EO369" s="27" t="s">
        <v>8</v>
      </c>
      <c r="EZ369" s="27" t="s">
        <v>7</v>
      </c>
    </row>
    <row r="370" spans="1:156" x14ac:dyDescent="0.25">
      <c r="A370" s="7">
        <v>73.491527191731976</v>
      </c>
      <c r="B370"/>
      <c r="C370"/>
      <c r="D370"/>
      <c r="E370"/>
      <c r="S370" s="27" t="s">
        <v>8</v>
      </c>
      <c r="T370" s="27" t="s">
        <v>7</v>
      </c>
      <c r="U370" s="27" t="s">
        <v>8</v>
      </c>
      <c r="AN370" s="27" t="s">
        <v>7</v>
      </c>
      <c r="AO370" s="27" t="s">
        <v>8</v>
      </c>
      <c r="AV370" s="27" t="s">
        <v>7</v>
      </c>
      <c r="AW370" s="27" t="s">
        <v>8</v>
      </c>
      <c r="AX370" s="27" t="s">
        <v>7</v>
      </c>
      <c r="AY370" s="27" t="s">
        <v>8</v>
      </c>
      <c r="AZ370" s="27" t="s">
        <v>7</v>
      </c>
      <c r="BA370" s="27" t="s">
        <v>8</v>
      </c>
      <c r="BB370" s="27" t="s">
        <v>7</v>
      </c>
      <c r="BC370" s="27" t="s">
        <v>8</v>
      </c>
      <c r="BD370" s="27" t="s">
        <v>7</v>
      </c>
      <c r="BE370" s="27" t="s">
        <v>8</v>
      </c>
      <c r="BF370" s="27" t="s">
        <v>7</v>
      </c>
      <c r="CS370" s="27" t="s">
        <v>8</v>
      </c>
      <c r="CT370" s="27" t="s">
        <v>7</v>
      </c>
      <c r="CU370" s="27" t="s">
        <v>8</v>
      </c>
      <c r="DB370" s="27" t="s">
        <v>7</v>
      </c>
      <c r="EO370" s="27" t="s">
        <v>8</v>
      </c>
    </row>
    <row r="371" spans="1:156" x14ac:dyDescent="0.25">
      <c r="A371" s="7">
        <v>72.050516854639184</v>
      </c>
      <c r="B371"/>
      <c r="C371"/>
      <c r="D371"/>
      <c r="E371"/>
      <c r="G371" s="27" t="s">
        <v>8</v>
      </c>
      <c r="I371" s="27" t="s">
        <v>8</v>
      </c>
      <c r="S371" s="27" t="s">
        <v>8</v>
      </c>
      <c r="T371" s="27" t="s">
        <v>7</v>
      </c>
      <c r="AN371" s="27" t="s">
        <v>7</v>
      </c>
      <c r="AV371" s="27" t="s">
        <v>7</v>
      </c>
      <c r="AW371" s="27" t="s">
        <v>8</v>
      </c>
      <c r="AX371" s="27" t="s">
        <v>7</v>
      </c>
      <c r="AY371" s="27" t="s">
        <v>8</v>
      </c>
      <c r="AZ371" s="27" t="s">
        <v>7</v>
      </c>
      <c r="BA371" s="27" t="s">
        <v>8</v>
      </c>
      <c r="BB371" s="27" t="s">
        <v>7</v>
      </c>
      <c r="BD371" s="27" t="s">
        <v>7</v>
      </c>
      <c r="BE371" s="27" t="s">
        <v>8</v>
      </c>
      <c r="BF371" s="27" t="s">
        <v>7</v>
      </c>
      <c r="CS371" s="27" t="s">
        <v>8</v>
      </c>
      <c r="CT371" s="27" t="s">
        <v>7</v>
      </c>
      <c r="CU371" s="27" t="s">
        <v>8</v>
      </c>
      <c r="DB371" s="27" t="s">
        <v>7</v>
      </c>
      <c r="EM371" s="27" t="s">
        <v>8</v>
      </c>
      <c r="EO371" s="27" t="s">
        <v>8</v>
      </c>
    </row>
    <row r="372" spans="1:156" x14ac:dyDescent="0.25">
      <c r="A372" s="7">
        <v>70.637761622195271</v>
      </c>
      <c r="B372"/>
      <c r="C372"/>
      <c r="D372"/>
      <c r="E372"/>
      <c r="G372" s="27" t="s">
        <v>8</v>
      </c>
      <c r="H372" s="27" t="s">
        <v>7</v>
      </c>
      <c r="I372" s="27" t="s">
        <v>8</v>
      </c>
      <c r="J372" s="27" t="s">
        <v>7</v>
      </c>
      <c r="M372" s="27" t="s">
        <v>8</v>
      </c>
      <c r="Q372" s="27" t="s">
        <v>8</v>
      </c>
      <c r="S372" s="27" t="s">
        <v>8</v>
      </c>
      <c r="AV372" s="27" t="s">
        <v>7</v>
      </c>
      <c r="AW372" s="27" t="s">
        <v>8</v>
      </c>
      <c r="AX372" s="27" t="s">
        <v>7</v>
      </c>
      <c r="AZ372" s="27" t="s">
        <v>7</v>
      </c>
      <c r="BD372" s="27" t="s">
        <v>7</v>
      </c>
      <c r="BE372" s="27" t="s">
        <v>8</v>
      </c>
      <c r="BF372" s="27" t="s">
        <v>7</v>
      </c>
      <c r="CO372" s="27" t="s">
        <v>8</v>
      </c>
      <c r="CS372" s="27" t="s">
        <v>8</v>
      </c>
      <c r="CT372" s="27" t="s">
        <v>7</v>
      </c>
      <c r="DB372" s="27" t="s">
        <v>7</v>
      </c>
      <c r="EM372" s="27" t="s">
        <v>8</v>
      </c>
      <c r="EN372" s="27" t="s">
        <v>7</v>
      </c>
      <c r="EO372" s="27" t="s">
        <v>8</v>
      </c>
    </row>
    <row r="373" spans="1:156" x14ac:dyDescent="0.25">
      <c r="A373" s="7">
        <v>69.252707472740454</v>
      </c>
      <c r="B373"/>
      <c r="C373"/>
      <c r="D373"/>
      <c r="E373"/>
      <c r="G373" s="27" t="s">
        <v>8</v>
      </c>
      <c r="H373" s="27" t="s">
        <v>7</v>
      </c>
      <c r="I373" s="27" t="s">
        <v>8</v>
      </c>
      <c r="J373" s="27" t="s">
        <v>7</v>
      </c>
      <c r="M373" s="27" t="s">
        <v>8</v>
      </c>
      <c r="N373" s="27" t="s">
        <v>7</v>
      </c>
      <c r="Q373" s="27" t="s">
        <v>8</v>
      </c>
      <c r="R373" s="27" t="s">
        <v>7</v>
      </c>
      <c r="S373" s="27" t="s">
        <v>8</v>
      </c>
      <c r="AV373" s="27" t="s">
        <v>7</v>
      </c>
      <c r="AW373" s="27" t="s">
        <v>8</v>
      </c>
      <c r="BD373" s="27" t="s">
        <v>7</v>
      </c>
      <c r="BE373" s="27" t="s">
        <v>8</v>
      </c>
      <c r="BF373" s="27" t="s">
        <v>7</v>
      </c>
      <c r="CM373" s="27" t="s">
        <v>8</v>
      </c>
      <c r="CO373" s="27" t="s">
        <v>8</v>
      </c>
      <c r="CP373" s="27" t="s">
        <v>7</v>
      </c>
      <c r="CS373" s="27" t="s">
        <v>8</v>
      </c>
      <c r="DB373" s="27" t="s">
        <v>7</v>
      </c>
      <c r="DC373" s="27" t="s">
        <v>8</v>
      </c>
      <c r="EA373" s="27" t="s">
        <v>8</v>
      </c>
      <c r="EC373" s="27" t="s">
        <v>8</v>
      </c>
      <c r="EK373" s="27" t="s">
        <v>8</v>
      </c>
      <c r="EM373" s="27" t="s">
        <v>8</v>
      </c>
      <c r="EN373" s="27" t="s">
        <v>7</v>
      </c>
      <c r="EO373" s="27" t="s">
        <v>8</v>
      </c>
    </row>
    <row r="374" spans="1:156" x14ac:dyDescent="0.25">
      <c r="A374" s="7">
        <v>67.894811247784759</v>
      </c>
      <c r="B374"/>
      <c r="C374"/>
      <c r="D374"/>
      <c r="E374"/>
      <c r="G374" s="27" t="s">
        <v>8</v>
      </c>
      <c r="H374" s="27" t="s">
        <v>7</v>
      </c>
      <c r="I374" s="27" t="s">
        <v>8</v>
      </c>
      <c r="J374" s="27" t="s">
        <v>7</v>
      </c>
      <c r="K374" s="27" t="s">
        <v>8</v>
      </c>
      <c r="M374" s="27" t="s">
        <v>8</v>
      </c>
      <c r="N374" s="27" t="s">
        <v>7</v>
      </c>
      <c r="Q374" s="27" t="s">
        <v>8</v>
      </c>
      <c r="R374" s="27" t="s">
        <v>7</v>
      </c>
      <c r="S374" s="27" t="s">
        <v>8</v>
      </c>
      <c r="AV374" s="27" t="s">
        <v>7</v>
      </c>
      <c r="AW374" s="27" t="s">
        <v>8</v>
      </c>
      <c r="BD374" s="27" t="s">
        <v>7</v>
      </c>
      <c r="BE374" s="27" t="s">
        <v>8</v>
      </c>
      <c r="BF374" s="27" t="s">
        <v>7</v>
      </c>
      <c r="CM374" s="27" t="s">
        <v>8</v>
      </c>
      <c r="CN374" s="27" t="s">
        <v>7</v>
      </c>
      <c r="CO374" s="27" t="s">
        <v>8</v>
      </c>
      <c r="CP374" s="27" t="s">
        <v>7</v>
      </c>
      <c r="CS374" s="27" t="s">
        <v>8</v>
      </c>
      <c r="DB374" s="27" t="s">
        <v>7</v>
      </c>
      <c r="DC374" s="27" t="s">
        <v>8</v>
      </c>
      <c r="DD374" s="27" t="s">
        <v>7</v>
      </c>
      <c r="DQ374" s="27" t="s">
        <v>8</v>
      </c>
      <c r="DY374" s="27" t="s">
        <v>8</v>
      </c>
      <c r="EA374" s="27" t="s">
        <v>8</v>
      </c>
      <c r="EB374" s="27" t="s">
        <v>7</v>
      </c>
      <c r="EC374" s="27" t="s">
        <v>8</v>
      </c>
      <c r="ED374" s="27" t="s">
        <v>7</v>
      </c>
      <c r="EK374" s="27" t="s">
        <v>8</v>
      </c>
      <c r="EL374" s="27" t="s">
        <v>7</v>
      </c>
      <c r="EM374" s="27" t="s">
        <v>8</v>
      </c>
      <c r="EN374" s="27" t="s">
        <v>7</v>
      </c>
      <c r="EO374" s="27" t="s">
        <v>8</v>
      </c>
    </row>
    <row r="375" spans="1:156" x14ac:dyDescent="0.25">
      <c r="A375" s="7">
        <v>66.563540439004669</v>
      </c>
      <c r="B375"/>
      <c r="C375"/>
      <c r="D375"/>
      <c r="E375"/>
      <c r="G375" s="27" t="s">
        <v>8</v>
      </c>
      <c r="H375" s="27" t="s">
        <v>7</v>
      </c>
      <c r="I375" s="27" t="s">
        <v>8</v>
      </c>
      <c r="J375" s="27" t="s">
        <v>7</v>
      </c>
      <c r="K375" s="27" t="s">
        <v>8</v>
      </c>
      <c r="L375" s="27" t="s">
        <v>7</v>
      </c>
      <c r="M375" s="27" t="s">
        <v>8</v>
      </c>
      <c r="N375" s="27" t="s">
        <v>7</v>
      </c>
      <c r="Q375" s="27" t="s">
        <v>8</v>
      </c>
      <c r="R375" s="27" t="s">
        <v>7</v>
      </c>
      <c r="S375" s="27" t="s">
        <v>8</v>
      </c>
      <c r="AV375" s="27" t="s">
        <v>7</v>
      </c>
      <c r="BD375" s="27" t="s">
        <v>7</v>
      </c>
      <c r="BE375" s="27" t="s">
        <v>8</v>
      </c>
      <c r="BF375" s="27" t="s">
        <v>7</v>
      </c>
      <c r="BO375" s="27" t="s">
        <v>8</v>
      </c>
      <c r="BS375" s="27" t="s">
        <v>8</v>
      </c>
      <c r="CM375" s="27" t="s">
        <v>8</v>
      </c>
      <c r="CN375" s="27" t="s">
        <v>7</v>
      </c>
      <c r="CO375" s="27" t="s">
        <v>8</v>
      </c>
      <c r="CP375" s="27" t="s">
        <v>7</v>
      </c>
      <c r="CQ375" s="27" t="s">
        <v>8</v>
      </c>
      <c r="CS375" s="27" t="s">
        <v>8</v>
      </c>
      <c r="DB375" s="27" t="s">
        <v>7</v>
      </c>
      <c r="DC375" s="27" t="s">
        <v>8</v>
      </c>
      <c r="DD375" s="27" t="s">
        <v>7</v>
      </c>
      <c r="DQ375" s="27" t="s">
        <v>8</v>
      </c>
      <c r="DR375" s="27" t="s">
        <v>7</v>
      </c>
      <c r="DU375" s="27" t="s">
        <v>8</v>
      </c>
      <c r="DY375" s="27" t="s">
        <v>8</v>
      </c>
      <c r="DZ375" s="27" t="s">
        <v>7</v>
      </c>
      <c r="EA375" s="27" t="s">
        <v>8</v>
      </c>
      <c r="EB375" s="27" t="s">
        <v>7</v>
      </c>
      <c r="EC375" s="27" t="s">
        <v>8</v>
      </c>
      <c r="ED375" s="27" t="s">
        <v>7</v>
      </c>
      <c r="EE375" s="27" t="s">
        <v>8</v>
      </c>
      <c r="EG375" s="27" t="s">
        <v>8</v>
      </c>
      <c r="EI375" s="27" t="s">
        <v>8</v>
      </c>
      <c r="EK375" s="27" t="s">
        <v>8</v>
      </c>
      <c r="EL375" s="27" t="s">
        <v>7</v>
      </c>
      <c r="EM375" s="27" t="s">
        <v>8</v>
      </c>
      <c r="EN375" s="27" t="s">
        <v>7</v>
      </c>
    </row>
    <row r="376" spans="1:156" x14ac:dyDescent="0.25">
      <c r="A376" s="7">
        <v>65.258372979416336</v>
      </c>
      <c r="B376"/>
      <c r="C376"/>
      <c r="D376"/>
      <c r="E376"/>
      <c r="G376" s="27" t="s">
        <v>8</v>
      </c>
      <c r="H376" s="27" t="s">
        <v>7</v>
      </c>
      <c r="I376" s="27" t="s">
        <v>8</v>
      </c>
      <c r="J376" s="27" t="s">
        <v>7</v>
      </c>
      <c r="K376" s="27" t="s">
        <v>8</v>
      </c>
      <c r="L376" s="27" t="s">
        <v>7</v>
      </c>
      <c r="M376" s="27" t="s">
        <v>8</v>
      </c>
      <c r="N376" s="27" t="s">
        <v>7</v>
      </c>
      <c r="Q376" s="27" t="s">
        <v>8</v>
      </c>
      <c r="R376" s="27" t="s">
        <v>7</v>
      </c>
      <c r="BD376" s="27" t="s">
        <v>7</v>
      </c>
      <c r="BE376" s="27" t="s">
        <v>8</v>
      </c>
      <c r="BF376" s="27" t="s">
        <v>7</v>
      </c>
      <c r="BO376" s="27" t="s">
        <v>8</v>
      </c>
      <c r="BP376" s="27" t="s">
        <v>7</v>
      </c>
      <c r="BS376" s="27" t="s">
        <v>8</v>
      </c>
      <c r="BT376" s="27" t="s">
        <v>7</v>
      </c>
      <c r="BU376" s="27" t="s">
        <v>8</v>
      </c>
      <c r="CM376" s="27" t="s">
        <v>8</v>
      </c>
      <c r="CN376" s="27" t="s">
        <v>7</v>
      </c>
      <c r="CO376" s="27" t="s">
        <v>8</v>
      </c>
      <c r="CP376" s="27" t="s">
        <v>7</v>
      </c>
      <c r="CQ376" s="27" t="s">
        <v>8</v>
      </c>
      <c r="CR376" s="27" t="s">
        <v>7</v>
      </c>
      <c r="CS376" s="27" t="s">
        <v>8</v>
      </c>
      <c r="DB376" s="27" t="s">
        <v>7</v>
      </c>
      <c r="DC376" s="27" t="s">
        <v>8</v>
      </c>
      <c r="DD376" s="27" t="s">
        <v>7</v>
      </c>
      <c r="DQ376" s="27" t="s">
        <v>8</v>
      </c>
      <c r="DR376" s="27" t="s">
        <v>7</v>
      </c>
      <c r="DS376" s="27" t="s">
        <v>8</v>
      </c>
      <c r="DU376" s="27" t="s">
        <v>8</v>
      </c>
      <c r="DV376" s="27" t="s">
        <v>7</v>
      </c>
      <c r="DY376" s="27" t="s">
        <v>8</v>
      </c>
      <c r="DZ376" s="27" t="s">
        <v>7</v>
      </c>
      <c r="EA376" s="27" t="s">
        <v>8</v>
      </c>
      <c r="EB376" s="27" t="s">
        <v>7</v>
      </c>
      <c r="ED376" s="27" t="s">
        <v>7</v>
      </c>
      <c r="EE376" s="27" t="s">
        <v>8</v>
      </c>
      <c r="EF376" s="27" t="s">
        <v>7</v>
      </c>
      <c r="EG376" s="27" t="s">
        <v>8</v>
      </c>
      <c r="EH376" s="27" t="s">
        <v>7</v>
      </c>
      <c r="EI376" s="27" t="s">
        <v>8</v>
      </c>
      <c r="EJ376" s="27" t="s">
        <v>7</v>
      </c>
      <c r="EK376" s="27" t="s">
        <v>8</v>
      </c>
      <c r="EL376" s="27" t="s">
        <v>7</v>
      </c>
    </row>
    <row r="377" spans="1:156" x14ac:dyDescent="0.25">
      <c r="A377" s="7">
        <v>63.978797038643471</v>
      </c>
      <c r="B377"/>
      <c r="C377"/>
      <c r="D377"/>
      <c r="E377"/>
      <c r="G377" s="27" t="s">
        <v>8</v>
      </c>
      <c r="H377" s="27" t="s">
        <v>7</v>
      </c>
      <c r="I377" s="27" t="s">
        <v>8</v>
      </c>
      <c r="J377" s="27" t="s">
        <v>7</v>
      </c>
      <c r="K377" s="27" t="s">
        <v>8</v>
      </c>
      <c r="L377" s="27" t="s">
        <v>7</v>
      </c>
      <c r="N377" s="27" t="s">
        <v>7</v>
      </c>
      <c r="O377" s="27" t="s">
        <v>8</v>
      </c>
      <c r="Q377" s="27" t="s">
        <v>8</v>
      </c>
      <c r="BD377" s="27" t="s">
        <v>7</v>
      </c>
      <c r="BE377" s="27" t="s">
        <v>8</v>
      </c>
      <c r="BF377" s="27" t="s">
        <v>7</v>
      </c>
      <c r="BO377" s="27" t="s">
        <v>8</v>
      </c>
      <c r="BP377" s="27" t="s">
        <v>7</v>
      </c>
      <c r="BS377" s="27" t="s">
        <v>8</v>
      </c>
      <c r="BT377" s="27" t="s">
        <v>7</v>
      </c>
      <c r="BU377" s="27" t="s">
        <v>8</v>
      </c>
      <c r="BV377" s="27" t="s">
        <v>7</v>
      </c>
      <c r="CK377" s="27" t="s">
        <v>8</v>
      </c>
      <c r="CM377" s="27" t="s">
        <v>8</v>
      </c>
      <c r="CN377" s="27" t="s">
        <v>7</v>
      </c>
      <c r="CO377" s="27" t="s">
        <v>8</v>
      </c>
      <c r="CP377" s="27" t="s">
        <v>7</v>
      </c>
      <c r="CQ377" s="27" t="s">
        <v>8</v>
      </c>
      <c r="CR377" s="27" t="s">
        <v>7</v>
      </c>
      <c r="CS377" s="27" t="s">
        <v>8</v>
      </c>
      <c r="DB377" s="27" t="s">
        <v>7</v>
      </c>
      <c r="DD377" s="27" t="s">
        <v>7</v>
      </c>
      <c r="DQ377" s="27" t="s">
        <v>8</v>
      </c>
      <c r="DR377" s="27" t="s">
        <v>7</v>
      </c>
      <c r="DS377" s="27" t="s">
        <v>8</v>
      </c>
      <c r="DT377" s="27" t="s">
        <v>7</v>
      </c>
      <c r="DU377" s="27" t="s">
        <v>8</v>
      </c>
      <c r="DV377" s="27" t="s">
        <v>7</v>
      </c>
      <c r="DW377" s="27" t="s">
        <v>8</v>
      </c>
      <c r="DY377" s="27" t="s">
        <v>8</v>
      </c>
      <c r="DZ377" s="27" t="s">
        <v>7</v>
      </c>
      <c r="ED377" s="27" t="s">
        <v>7</v>
      </c>
      <c r="EE377" s="27" t="s">
        <v>8</v>
      </c>
      <c r="EF377" s="27" t="s">
        <v>7</v>
      </c>
      <c r="EG377" s="27" t="s">
        <v>8</v>
      </c>
      <c r="EH377" s="27" t="s">
        <v>7</v>
      </c>
      <c r="EI377" s="27" t="s">
        <v>8</v>
      </c>
      <c r="EJ377" s="27" t="s">
        <v>7</v>
      </c>
      <c r="EK377" s="27" t="s">
        <v>8</v>
      </c>
    </row>
    <row r="378" spans="1:156" x14ac:dyDescent="0.25">
      <c r="A378" s="7">
        <v>62.724310822199477</v>
      </c>
      <c r="B378"/>
      <c r="C378"/>
      <c r="D378"/>
      <c r="E378"/>
      <c r="G378" s="27" t="s">
        <v>8</v>
      </c>
      <c r="H378" s="27" t="s">
        <v>7</v>
      </c>
      <c r="I378" s="27" t="s">
        <v>8</v>
      </c>
      <c r="J378" s="27" t="s">
        <v>7</v>
      </c>
      <c r="N378" s="27" t="s">
        <v>7</v>
      </c>
      <c r="O378" s="27" t="s">
        <v>8</v>
      </c>
      <c r="P378" s="27" t="s">
        <v>7</v>
      </c>
      <c r="Q378" s="27" t="s">
        <v>8</v>
      </c>
      <c r="BD378" s="27" t="s">
        <v>7</v>
      </c>
      <c r="BE378" s="27" t="s">
        <v>8</v>
      </c>
      <c r="BF378" s="27" t="s">
        <v>7</v>
      </c>
      <c r="BO378" s="27" t="s">
        <v>8</v>
      </c>
      <c r="BP378" s="27" t="s">
        <v>7</v>
      </c>
      <c r="BQ378" s="27" t="s">
        <v>8</v>
      </c>
      <c r="BS378" s="27" t="s">
        <v>8</v>
      </c>
      <c r="BT378" s="27" t="s">
        <v>7</v>
      </c>
      <c r="BU378" s="27" t="s">
        <v>8</v>
      </c>
      <c r="BV378" s="27" t="s">
        <v>7</v>
      </c>
      <c r="CK378" s="27" t="s">
        <v>8</v>
      </c>
      <c r="CL378" s="27" t="s">
        <v>7</v>
      </c>
      <c r="CM378" s="27" t="s">
        <v>8</v>
      </c>
      <c r="CN378" s="27" t="s">
        <v>7</v>
      </c>
      <c r="CP378" s="27" t="s">
        <v>7</v>
      </c>
      <c r="CR378" s="27" t="s">
        <v>7</v>
      </c>
      <c r="CS378" s="27" t="s">
        <v>8</v>
      </c>
      <c r="DD378" s="27" t="s">
        <v>7</v>
      </c>
      <c r="DQ378" s="27" t="s">
        <v>8</v>
      </c>
      <c r="DR378" s="27" t="s">
        <v>7</v>
      </c>
      <c r="DS378" s="27" t="s">
        <v>8</v>
      </c>
      <c r="DT378" s="27" t="s">
        <v>7</v>
      </c>
      <c r="DU378" s="27" t="s">
        <v>8</v>
      </c>
      <c r="DV378" s="27" t="s">
        <v>7</v>
      </c>
      <c r="DW378" s="27" t="s">
        <v>8</v>
      </c>
      <c r="DX378" s="27" t="s">
        <v>7</v>
      </c>
      <c r="DY378" s="27" t="s">
        <v>8</v>
      </c>
      <c r="ED378" s="27" t="s">
        <v>7</v>
      </c>
      <c r="EF378" s="27" t="s">
        <v>7</v>
      </c>
      <c r="EG378" s="27" t="s">
        <v>8</v>
      </c>
      <c r="EH378" s="27" t="s">
        <v>7</v>
      </c>
      <c r="EI378" s="27" t="s">
        <v>8</v>
      </c>
      <c r="EJ378" s="27" t="s">
        <v>7</v>
      </c>
      <c r="EK378" s="27" t="s">
        <v>8</v>
      </c>
    </row>
    <row r="379" spans="1:156" x14ac:dyDescent="0.25">
      <c r="A379" s="7">
        <v>61.494422374705366</v>
      </c>
      <c r="B379"/>
      <c r="C379"/>
      <c r="D379"/>
      <c r="E379"/>
      <c r="G379" s="27" t="s">
        <v>8</v>
      </c>
      <c r="H379" s="27" t="s">
        <v>7</v>
      </c>
      <c r="N379" s="27" t="s">
        <v>7</v>
      </c>
      <c r="O379" s="27" t="s">
        <v>8</v>
      </c>
      <c r="P379" s="27" t="s">
        <v>7</v>
      </c>
      <c r="Q379" s="27" t="s">
        <v>8</v>
      </c>
      <c r="BD379" s="27" t="s">
        <v>7</v>
      </c>
      <c r="BE379" s="27" t="s">
        <v>8</v>
      </c>
      <c r="BF379" s="27" t="s">
        <v>7</v>
      </c>
      <c r="BO379" s="27" t="s">
        <v>8</v>
      </c>
      <c r="BP379" s="27" t="s">
        <v>7</v>
      </c>
      <c r="BQ379" s="27" t="s">
        <v>8</v>
      </c>
      <c r="BR379" s="27" t="s">
        <v>7</v>
      </c>
      <c r="BS379" s="27" t="s">
        <v>8</v>
      </c>
      <c r="BT379" s="27" t="s">
        <v>7</v>
      </c>
      <c r="BU379" s="27" t="s">
        <v>8</v>
      </c>
      <c r="BV379" s="27" t="s">
        <v>7</v>
      </c>
      <c r="CK379" s="27" t="s">
        <v>8</v>
      </c>
      <c r="CL379" s="27" t="s">
        <v>7</v>
      </c>
      <c r="CM379" s="27" t="s">
        <v>8</v>
      </c>
      <c r="CR379" s="27" t="s">
        <v>7</v>
      </c>
      <c r="CS379" s="27" t="s">
        <v>8</v>
      </c>
      <c r="DD379" s="27" t="s">
        <v>7</v>
      </c>
      <c r="DQ379" s="27" t="s">
        <v>8</v>
      </c>
      <c r="DR379" s="27" t="s">
        <v>7</v>
      </c>
      <c r="DS379" s="27" t="s">
        <v>8</v>
      </c>
      <c r="DT379" s="27" t="s">
        <v>7</v>
      </c>
      <c r="DU379" s="27" t="s">
        <v>8</v>
      </c>
      <c r="DV379" s="27" t="s">
        <v>7</v>
      </c>
      <c r="DW379" s="27" t="s">
        <v>8</v>
      </c>
      <c r="DX379" s="27" t="s">
        <v>7</v>
      </c>
      <c r="DY379" s="27" t="s">
        <v>8</v>
      </c>
      <c r="EF379" s="27" t="s">
        <v>7</v>
      </c>
      <c r="EG379" s="27" t="s">
        <v>8</v>
      </c>
      <c r="EH379" s="27" t="s">
        <v>7</v>
      </c>
      <c r="EI379" s="27" t="s">
        <v>8</v>
      </c>
      <c r="EJ379" s="27" t="s">
        <v>7</v>
      </c>
    </row>
    <row r="380" spans="1:156" x14ac:dyDescent="0.25">
      <c r="A380" s="7">
        <v>60.288649386966043</v>
      </c>
      <c r="B380"/>
      <c r="C380"/>
      <c r="D380"/>
      <c r="E380"/>
      <c r="G380" s="27" t="s">
        <v>8</v>
      </c>
      <c r="N380" s="27" t="s">
        <v>7</v>
      </c>
      <c r="P380" s="27" t="s">
        <v>7</v>
      </c>
      <c r="BD380" s="27" t="s">
        <v>7</v>
      </c>
      <c r="BE380" s="27" t="s">
        <v>8</v>
      </c>
      <c r="BF380" s="27" t="s">
        <v>7</v>
      </c>
      <c r="BK380" s="27" t="s">
        <v>8</v>
      </c>
      <c r="BO380" s="27" t="s">
        <v>8</v>
      </c>
      <c r="BP380" s="27" t="s">
        <v>7</v>
      </c>
      <c r="BQ380" s="27" t="s">
        <v>8</v>
      </c>
      <c r="BR380" s="27" t="s">
        <v>7</v>
      </c>
      <c r="BS380" s="27" t="s">
        <v>8</v>
      </c>
      <c r="BT380" s="27" t="s">
        <v>7</v>
      </c>
      <c r="BV380" s="27" t="s">
        <v>7</v>
      </c>
      <c r="CI380" s="27" t="s">
        <v>8</v>
      </c>
      <c r="CK380" s="27" t="s">
        <v>8</v>
      </c>
      <c r="CL380" s="27" t="s">
        <v>7</v>
      </c>
      <c r="CM380" s="27" t="s">
        <v>8</v>
      </c>
      <c r="CR380" s="27" t="s">
        <v>7</v>
      </c>
      <c r="CS380" s="27" t="s">
        <v>8</v>
      </c>
      <c r="DD380" s="27" t="s">
        <v>7</v>
      </c>
      <c r="DM380" s="27" t="s">
        <v>8</v>
      </c>
      <c r="DQ380" s="27" t="s">
        <v>8</v>
      </c>
      <c r="DR380" s="27" t="s">
        <v>7</v>
      </c>
      <c r="DS380" s="27" t="s">
        <v>8</v>
      </c>
      <c r="DT380" s="27" t="s">
        <v>7</v>
      </c>
      <c r="DU380" s="27" t="s">
        <v>8</v>
      </c>
      <c r="DV380" s="27" t="s">
        <v>7</v>
      </c>
      <c r="DX380" s="27" t="s">
        <v>7</v>
      </c>
      <c r="EF380" s="27" t="s">
        <v>7</v>
      </c>
      <c r="EG380" s="27" t="s">
        <v>8</v>
      </c>
      <c r="EH380" s="27" t="s">
        <v>7</v>
      </c>
    </row>
    <row r="381" spans="1:156" x14ac:dyDescent="0.25">
      <c r="A381" s="7">
        <v>59.106519006829451</v>
      </c>
      <c r="B381"/>
      <c r="C381"/>
      <c r="D381"/>
      <c r="E381"/>
      <c r="G381" s="27" t="s">
        <v>8</v>
      </c>
      <c r="BD381" s="27" t="s">
        <v>7</v>
      </c>
      <c r="BE381" s="27" t="s">
        <v>8</v>
      </c>
      <c r="BF381" s="27" t="s">
        <v>7</v>
      </c>
      <c r="BK381" s="27" t="s">
        <v>8</v>
      </c>
      <c r="BL381" s="27" t="s">
        <v>7</v>
      </c>
      <c r="BM381" s="27" t="s">
        <v>8</v>
      </c>
      <c r="BO381" s="27" t="s">
        <v>8</v>
      </c>
      <c r="BP381" s="27" t="s">
        <v>7</v>
      </c>
      <c r="BQ381" s="27" t="s">
        <v>8</v>
      </c>
      <c r="BR381" s="27" t="s">
        <v>7</v>
      </c>
      <c r="BS381" s="27" t="s">
        <v>8</v>
      </c>
      <c r="BV381" s="27" t="s">
        <v>7</v>
      </c>
      <c r="CG381" s="27" t="s">
        <v>8</v>
      </c>
      <c r="CI381" s="27" t="s">
        <v>8</v>
      </c>
      <c r="CJ381" s="27" t="s">
        <v>7</v>
      </c>
      <c r="CK381" s="27" t="s">
        <v>8</v>
      </c>
      <c r="CL381" s="27" t="s">
        <v>7</v>
      </c>
      <c r="CM381" s="27" t="s">
        <v>8</v>
      </c>
      <c r="CR381" s="27" t="s">
        <v>7</v>
      </c>
      <c r="DD381" s="27" t="s">
        <v>7</v>
      </c>
      <c r="DM381" s="27" t="s">
        <v>8</v>
      </c>
      <c r="DN381" s="27" t="s">
        <v>7</v>
      </c>
      <c r="DQ381" s="27" t="s">
        <v>8</v>
      </c>
      <c r="DR381" s="27" t="s">
        <v>7</v>
      </c>
      <c r="DS381" s="27" t="s">
        <v>8</v>
      </c>
      <c r="DT381" s="27" t="s">
        <v>7</v>
      </c>
      <c r="DU381" s="27" t="s">
        <v>8</v>
      </c>
      <c r="EF381" s="27" t="s">
        <v>7</v>
      </c>
    </row>
    <row r="382" spans="1:156" x14ac:dyDescent="0.25">
      <c r="A382" s="7">
        <v>57.947567653754362</v>
      </c>
      <c r="B382"/>
      <c r="C382"/>
      <c r="D382"/>
      <c r="E382"/>
      <c r="G382" s="27" t="s">
        <v>8</v>
      </c>
      <c r="BD382" s="27" t="s">
        <v>7</v>
      </c>
      <c r="BE382" s="27" t="s">
        <v>8</v>
      </c>
      <c r="BF382" s="27" t="s">
        <v>7</v>
      </c>
      <c r="BG382" s="27" t="s">
        <v>8</v>
      </c>
      <c r="BK382" s="27" t="s">
        <v>8</v>
      </c>
      <c r="BL382" s="27" t="s">
        <v>7</v>
      </c>
      <c r="BM382" s="27" t="s">
        <v>8</v>
      </c>
      <c r="BN382" s="27" t="s">
        <v>7</v>
      </c>
      <c r="BO382" s="27" t="s">
        <v>8</v>
      </c>
      <c r="BP382" s="27" t="s">
        <v>7</v>
      </c>
      <c r="BQ382" s="27" t="s">
        <v>8</v>
      </c>
      <c r="BR382" s="27" t="s">
        <v>7</v>
      </c>
      <c r="BV382" s="27" t="s">
        <v>7</v>
      </c>
      <c r="BY382" s="27" t="s">
        <v>8</v>
      </c>
      <c r="CG382" s="27" t="s">
        <v>8</v>
      </c>
      <c r="CH382" s="27" t="s">
        <v>7</v>
      </c>
      <c r="CI382" s="27" t="s">
        <v>8</v>
      </c>
      <c r="CJ382" s="27" t="s">
        <v>7</v>
      </c>
      <c r="CK382" s="27" t="s">
        <v>8</v>
      </c>
      <c r="CL382" s="27" t="s">
        <v>7</v>
      </c>
      <c r="CM382" s="27" t="s">
        <v>8</v>
      </c>
      <c r="DD382" s="27" t="s">
        <v>7</v>
      </c>
      <c r="DM382" s="27" t="s">
        <v>8</v>
      </c>
      <c r="DN382" s="27" t="s">
        <v>7</v>
      </c>
      <c r="DO382" s="27" t="s">
        <v>8</v>
      </c>
      <c r="DQ382" s="27" t="s">
        <v>8</v>
      </c>
      <c r="DR382" s="27" t="s">
        <v>7</v>
      </c>
      <c r="DT382" s="27" t="s">
        <v>7</v>
      </c>
      <c r="DU382" s="27" t="s">
        <v>8</v>
      </c>
    </row>
    <row r="383" spans="1:156" x14ac:dyDescent="0.25">
      <c r="A383" s="7">
        <v>56.811340837014079</v>
      </c>
      <c r="B383"/>
      <c r="C383"/>
      <c r="D383"/>
      <c r="E383"/>
      <c r="G383" s="27" t="s">
        <v>8</v>
      </c>
      <c r="BD383" s="27" t="s">
        <v>7</v>
      </c>
      <c r="BE383" s="27" t="s">
        <v>8</v>
      </c>
      <c r="BF383" s="27" t="s">
        <v>7</v>
      </c>
      <c r="BG383" s="27" t="s">
        <v>8</v>
      </c>
      <c r="BH383" s="27" t="s">
        <v>7</v>
      </c>
      <c r="BI383" s="27" t="s">
        <v>8</v>
      </c>
      <c r="BK383" s="27" t="s">
        <v>8</v>
      </c>
      <c r="BL383" s="27" t="s">
        <v>7</v>
      </c>
      <c r="BM383" s="27" t="s">
        <v>8</v>
      </c>
      <c r="BN383" s="27" t="s">
        <v>7</v>
      </c>
      <c r="BO383" s="27" t="s">
        <v>8</v>
      </c>
      <c r="BP383" s="27" t="s">
        <v>7</v>
      </c>
      <c r="BQ383" s="27" t="s">
        <v>8</v>
      </c>
      <c r="BV383" s="27" t="s">
        <v>7</v>
      </c>
      <c r="BY383" s="27" t="s">
        <v>8</v>
      </c>
      <c r="BZ383" s="27" t="s">
        <v>7</v>
      </c>
      <c r="CA383" s="27" t="s">
        <v>8</v>
      </c>
      <c r="CG383" s="27" t="s">
        <v>8</v>
      </c>
      <c r="CH383" s="27" t="s">
        <v>7</v>
      </c>
      <c r="CI383" s="27" t="s">
        <v>8</v>
      </c>
      <c r="CJ383" s="27" t="s">
        <v>7</v>
      </c>
      <c r="CL383" s="27" t="s">
        <v>7</v>
      </c>
      <c r="DD383" s="27" t="s">
        <v>7</v>
      </c>
      <c r="DE383" s="27" t="s">
        <v>8</v>
      </c>
      <c r="DM383" s="27" t="s">
        <v>8</v>
      </c>
      <c r="DN383" s="27" t="s">
        <v>7</v>
      </c>
      <c r="DO383" s="27" t="s">
        <v>8</v>
      </c>
      <c r="DP383" s="27" t="s">
        <v>7</v>
      </c>
      <c r="DQ383" s="27" t="s">
        <v>8</v>
      </c>
      <c r="DT383" s="27" t="s">
        <v>7</v>
      </c>
      <c r="DU383" s="27" t="s">
        <v>8</v>
      </c>
    </row>
    <row r="384" spans="1:156" x14ac:dyDescent="0.25">
      <c r="A384" s="7">
        <v>55.69739297746478</v>
      </c>
      <c r="B384"/>
      <c r="C384"/>
      <c r="D384"/>
      <c r="E384"/>
      <c r="G384" s="27" t="s">
        <v>8</v>
      </c>
      <c r="BD384" s="27" t="s">
        <v>7</v>
      </c>
      <c r="BF384" s="27" t="s">
        <v>7</v>
      </c>
      <c r="BG384" s="27" t="s">
        <v>8</v>
      </c>
      <c r="BH384" s="27" t="s">
        <v>7</v>
      </c>
      <c r="BI384" s="27" t="s">
        <v>8</v>
      </c>
      <c r="BJ384" s="27" t="s">
        <v>7</v>
      </c>
      <c r="BK384" s="27" t="s">
        <v>8</v>
      </c>
      <c r="BL384" s="27" t="s">
        <v>7</v>
      </c>
      <c r="BM384" s="27" t="s">
        <v>8</v>
      </c>
      <c r="BN384" s="27" t="s">
        <v>7</v>
      </c>
      <c r="BO384" s="27" t="s">
        <v>8</v>
      </c>
      <c r="BP384" s="27" t="s">
        <v>7</v>
      </c>
      <c r="BV384" s="27" t="s">
        <v>7</v>
      </c>
      <c r="BY384" s="27" t="s">
        <v>8</v>
      </c>
      <c r="BZ384" s="27" t="s">
        <v>7</v>
      </c>
      <c r="CA384" s="27" t="s">
        <v>8</v>
      </c>
      <c r="CB384" s="27" t="s">
        <v>7</v>
      </c>
      <c r="CG384" s="27" t="s">
        <v>8</v>
      </c>
      <c r="CH384" s="27" t="s">
        <v>7</v>
      </c>
      <c r="DD384" s="27" t="s">
        <v>7</v>
      </c>
      <c r="DE384" s="27" t="s">
        <v>8</v>
      </c>
      <c r="DF384" s="27" t="s">
        <v>7</v>
      </c>
      <c r="DM384" s="27" t="s">
        <v>8</v>
      </c>
      <c r="DN384" s="27" t="s">
        <v>7</v>
      </c>
      <c r="DO384" s="27" t="s">
        <v>8</v>
      </c>
      <c r="DP384" s="27" t="s">
        <v>7</v>
      </c>
      <c r="DQ384" s="27" t="s">
        <v>8</v>
      </c>
      <c r="DT384" s="27" t="s">
        <v>7</v>
      </c>
      <c r="DU384" s="27" t="s">
        <v>8</v>
      </c>
    </row>
    <row r="385" spans="1:125" x14ac:dyDescent="0.25">
      <c r="A385" s="7">
        <v>54.605287232808607</v>
      </c>
      <c r="B385"/>
      <c r="C385"/>
      <c r="D385"/>
      <c r="E385" t="s">
        <v>8</v>
      </c>
      <c r="G385" s="27" t="s">
        <v>8</v>
      </c>
      <c r="BF385" s="27" t="s">
        <v>7</v>
      </c>
      <c r="BH385" s="27" t="s">
        <v>7</v>
      </c>
      <c r="BI385" s="27" t="s">
        <v>8</v>
      </c>
      <c r="BJ385" s="27" t="s">
        <v>7</v>
      </c>
      <c r="BK385" s="27" t="s">
        <v>8</v>
      </c>
      <c r="BL385" s="27" t="s">
        <v>7</v>
      </c>
      <c r="BM385" s="27" t="s">
        <v>8</v>
      </c>
      <c r="BN385" s="27" t="s">
        <v>7</v>
      </c>
      <c r="BO385" s="27" t="s">
        <v>8</v>
      </c>
      <c r="BV385" s="27" t="s">
        <v>7</v>
      </c>
      <c r="BY385" s="27" t="s">
        <v>8</v>
      </c>
      <c r="BZ385" s="27" t="s">
        <v>7</v>
      </c>
      <c r="CA385" s="27" t="s">
        <v>8</v>
      </c>
      <c r="CB385" s="27" t="s">
        <v>7</v>
      </c>
      <c r="CG385" s="27" t="s">
        <v>8</v>
      </c>
      <c r="DD385" s="27" t="s">
        <v>7</v>
      </c>
      <c r="DE385" s="27" t="s">
        <v>8</v>
      </c>
      <c r="DF385" s="27" t="s">
        <v>7</v>
      </c>
      <c r="DM385" s="27" t="s">
        <v>8</v>
      </c>
      <c r="DN385" s="27" t="s">
        <v>7</v>
      </c>
      <c r="DO385" s="27" t="s">
        <v>8</v>
      </c>
      <c r="DP385" s="27" t="s">
        <v>7</v>
      </c>
      <c r="DT385" s="27" t="s">
        <v>7</v>
      </c>
      <c r="DU385" s="27" t="s">
        <v>8</v>
      </c>
    </row>
    <row r="386" spans="1:125" x14ac:dyDescent="0.25">
      <c r="A386" s="7">
        <v>53.534595326282947</v>
      </c>
      <c r="B386"/>
      <c r="C386"/>
      <c r="D386"/>
      <c r="E386" t="s">
        <v>8</v>
      </c>
      <c r="F386" s="27" t="s">
        <v>7</v>
      </c>
      <c r="G386" s="27" t="s">
        <v>8</v>
      </c>
      <c r="BH386" s="27" t="s">
        <v>7</v>
      </c>
      <c r="BI386" s="27" t="s">
        <v>8</v>
      </c>
      <c r="BJ386" s="27" t="s">
        <v>7</v>
      </c>
      <c r="BK386" s="27" t="s">
        <v>8</v>
      </c>
      <c r="BL386" s="27" t="s">
        <v>7</v>
      </c>
      <c r="BN386" s="27" t="s">
        <v>7</v>
      </c>
      <c r="BO386" s="27" t="s">
        <v>8</v>
      </c>
      <c r="BV386" s="27" t="s">
        <v>7</v>
      </c>
      <c r="BY386" s="27" t="s">
        <v>8</v>
      </c>
      <c r="BZ386" s="27" t="s">
        <v>7</v>
      </c>
      <c r="CA386" s="27" t="s">
        <v>8</v>
      </c>
      <c r="CB386" s="27" t="s">
        <v>7</v>
      </c>
      <c r="CG386" s="27" t="s">
        <v>8</v>
      </c>
      <c r="DD386" s="27" t="s">
        <v>7</v>
      </c>
      <c r="DE386" s="27" t="s">
        <v>8</v>
      </c>
      <c r="DF386" s="27" t="s">
        <v>7</v>
      </c>
      <c r="DM386" s="27" t="s">
        <v>8</v>
      </c>
      <c r="DN386" s="27" t="s">
        <v>7</v>
      </c>
      <c r="DO386" s="27" t="s">
        <v>8</v>
      </c>
      <c r="DT386" s="27" t="s">
        <v>7</v>
      </c>
    </row>
    <row r="387" spans="1:125" x14ac:dyDescent="0.25">
      <c r="A387" s="7">
        <v>52.484897378708773</v>
      </c>
      <c r="B387"/>
      <c r="C387"/>
      <c r="D387"/>
      <c r="E387" t="s">
        <v>8</v>
      </c>
      <c r="F387" s="27" t="s">
        <v>7</v>
      </c>
      <c r="G387" s="27" t="s">
        <v>8</v>
      </c>
      <c r="BH387" s="27" t="s">
        <v>7</v>
      </c>
      <c r="BI387" s="27" t="s">
        <v>8</v>
      </c>
      <c r="BJ387" s="27" t="s">
        <v>7</v>
      </c>
      <c r="BN387" s="27" t="s">
        <v>7</v>
      </c>
      <c r="BO387" s="27" t="s">
        <v>8</v>
      </c>
      <c r="BV387" s="27" t="s">
        <v>7</v>
      </c>
      <c r="BY387" s="27" t="s">
        <v>8</v>
      </c>
      <c r="BZ387" s="27" t="s">
        <v>7</v>
      </c>
      <c r="CB387" s="27" t="s">
        <v>7</v>
      </c>
      <c r="CG387" s="27" t="s">
        <v>8</v>
      </c>
      <c r="DD387" s="27" t="s">
        <v>7</v>
      </c>
      <c r="DF387" s="27" t="s">
        <v>7</v>
      </c>
      <c r="DM387" s="27" t="s">
        <v>8</v>
      </c>
      <c r="DN387" s="27" t="s">
        <v>7</v>
      </c>
      <c r="DO387" s="27" t="s">
        <v>8</v>
      </c>
    </row>
    <row r="388" spans="1:125" x14ac:dyDescent="0.25">
      <c r="A388" s="7">
        <v>51.455781743832127</v>
      </c>
      <c r="B388"/>
      <c r="C388"/>
      <c r="D388"/>
      <c r="E388" t="s">
        <v>8</v>
      </c>
      <c r="F388" s="27" t="s">
        <v>7</v>
      </c>
      <c r="G388" s="27" t="s">
        <v>8</v>
      </c>
      <c r="BH388" s="27" t="s">
        <v>7</v>
      </c>
      <c r="BI388" s="27" t="s">
        <v>8</v>
      </c>
      <c r="BN388" s="27" t="s">
        <v>7</v>
      </c>
      <c r="BV388" s="27" t="s">
        <v>7</v>
      </c>
      <c r="BW388" s="27" t="s">
        <v>8</v>
      </c>
      <c r="BY388" s="27" t="s">
        <v>8</v>
      </c>
      <c r="CB388" s="27" t="s">
        <v>7</v>
      </c>
      <c r="CG388" s="27" t="s">
        <v>8</v>
      </c>
      <c r="DF388" s="27" t="s">
        <v>7</v>
      </c>
      <c r="DM388" s="27" t="s">
        <v>8</v>
      </c>
      <c r="DN388" s="27" t="s">
        <v>7</v>
      </c>
    </row>
    <row r="389" spans="1:125" x14ac:dyDescent="0.25">
      <c r="A389" s="7">
        <v>50.446844846894244</v>
      </c>
      <c r="B389"/>
      <c r="C389"/>
      <c r="D389"/>
      <c r="E389" t="s">
        <v>8</v>
      </c>
      <c r="F389" s="27" t="s">
        <v>7</v>
      </c>
      <c r="BH389" s="27" t="s">
        <v>7</v>
      </c>
      <c r="BV389" s="27" t="s">
        <v>7</v>
      </c>
      <c r="BW389" s="27" t="s">
        <v>8</v>
      </c>
      <c r="BX389" s="27" t="s">
        <v>7</v>
      </c>
      <c r="BY389" s="27" t="s">
        <v>8</v>
      </c>
      <c r="CB389" s="27" t="s">
        <v>7</v>
      </c>
      <c r="CG389" s="27" t="s">
        <v>8</v>
      </c>
      <c r="DF389" s="27" t="s">
        <v>7</v>
      </c>
      <c r="DK389" s="27" t="s">
        <v>8</v>
      </c>
      <c r="DM389" s="27" t="s">
        <v>8</v>
      </c>
    </row>
    <row r="390" spans="1:125" x14ac:dyDescent="0.25">
      <c r="A390" s="7">
        <v>49.457691026366902</v>
      </c>
      <c r="B390"/>
      <c r="C390"/>
      <c r="D390"/>
      <c r="E390" t="s">
        <v>8</v>
      </c>
      <c r="BV390" s="27" t="s">
        <v>7</v>
      </c>
      <c r="BW390" s="27" t="s">
        <v>8</v>
      </c>
      <c r="BX390" s="27" t="s">
        <v>7</v>
      </c>
      <c r="BY390" s="27" t="s">
        <v>8</v>
      </c>
      <c r="CB390" s="27" t="s">
        <v>7</v>
      </c>
      <c r="CC390" s="27" t="s">
        <v>8</v>
      </c>
      <c r="CG390" s="27" t="s">
        <v>8</v>
      </c>
      <c r="DF390" s="27" t="s">
        <v>7</v>
      </c>
      <c r="DK390" s="27" t="s">
        <v>8</v>
      </c>
      <c r="DL390" s="27" t="s">
        <v>7</v>
      </c>
      <c r="DM390" s="27" t="s">
        <v>8</v>
      </c>
    </row>
    <row r="391" spans="1:125" x14ac:dyDescent="0.25">
      <c r="A391" s="7">
        <v>48.487932378791079</v>
      </c>
      <c r="B391"/>
      <c r="C391"/>
      <c r="D391"/>
      <c r="E391" t="s">
        <v>8</v>
      </c>
      <c r="BV391" s="27" t="s">
        <v>7</v>
      </c>
      <c r="BW391" s="27" t="s">
        <v>8</v>
      </c>
      <c r="BX391" s="27" t="s">
        <v>7</v>
      </c>
      <c r="BY391" s="27" t="s">
        <v>8</v>
      </c>
      <c r="CB391" s="27" t="s">
        <v>7</v>
      </c>
      <c r="CC391" s="27" t="s">
        <v>8</v>
      </c>
      <c r="CD391" s="27" t="s">
        <v>7</v>
      </c>
      <c r="CE391" s="27" t="s">
        <v>8</v>
      </c>
      <c r="CG391" s="27" t="s">
        <v>8</v>
      </c>
      <c r="DF391" s="27" t="s">
        <v>7</v>
      </c>
      <c r="DK391" s="27" t="s">
        <v>8</v>
      </c>
      <c r="DL391" s="27" t="s">
        <v>7</v>
      </c>
      <c r="DM391" s="27" t="s">
        <v>8</v>
      </c>
    </row>
    <row r="392" spans="1:125" x14ac:dyDescent="0.25">
      <c r="A392" s="7">
        <v>47.537188606657921</v>
      </c>
      <c r="B392"/>
      <c r="C392"/>
      <c r="D392"/>
      <c r="E392" t="s">
        <v>8</v>
      </c>
      <c r="BV392" s="27" t="s">
        <v>7</v>
      </c>
      <c r="BX392" s="27" t="s">
        <v>7</v>
      </c>
      <c r="BY392" s="27" t="s">
        <v>8</v>
      </c>
      <c r="CB392" s="27" t="s">
        <v>7</v>
      </c>
      <c r="CC392" s="27" t="s">
        <v>8</v>
      </c>
      <c r="CD392" s="27" t="s">
        <v>7</v>
      </c>
      <c r="CE392" s="27" t="s">
        <v>8</v>
      </c>
      <c r="CF392" s="27" t="s">
        <v>7</v>
      </c>
      <c r="CG392" s="27" t="s">
        <v>8</v>
      </c>
      <c r="DF392" s="27" t="s">
        <v>7</v>
      </c>
      <c r="DK392" s="27" t="s">
        <v>8</v>
      </c>
      <c r="DL392" s="27" t="s">
        <v>7</v>
      </c>
      <c r="DM392" s="27" t="s">
        <v>8</v>
      </c>
    </row>
    <row r="393" spans="1:125" x14ac:dyDescent="0.25">
      <c r="A393" s="7">
        <v>46.605086869272469</v>
      </c>
      <c r="B393"/>
      <c r="C393"/>
      <c r="D393"/>
      <c r="E393" t="s">
        <v>8</v>
      </c>
      <c r="BX393" s="27" t="s">
        <v>7</v>
      </c>
      <c r="BY393" s="27" t="s">
        <v>8</v>
      </c>
      <c r="CB393" s="27" t="s">
        <v>7</v>
      </c>
      <c r="CC393" s="27" t="s">
        <v>8</v>
      </c>
      <c r="CD393" s="27" t="s">
        <v>7</v>
      </c>
      <c r="CE393" s="27" t="s">
        <v>8</v>
      </c>
      <c r="CF393" s="27" t="s">
        <v>7</v>
      </c>
      <c r="CG393" s="27" t="s">
        <v>8</v>
      </c>
      <c r="DF393" s="27" t="s">
        <v>7</v>
      </c>
      <c r="DK393" s="27" t="s">
        <v>8</v>
      </c>
      <c r="DL393" s="27" t="s">
        <v>7</v>
      </c>
      <c r="DM393" s="27" t="s">
        <v>8</v>
      </c>
    </row>
    <row r="394" spans="1:125" x14ac:dyDescent="0.25">
      <c r="A394" s="7">
        <v>45.691261636541633</v>
      </c>
      <c r="B394"/>
      <c r="C394"/>
      <c r="D394"/>
      <c r="E394" t="s">
        <v>8</v>
      </c>
      <c r="BX394" s="27" t="s">
        <v>7</v>
      </c>
      <c r="CB394" s="27" t="s">
        <v>7</v>
      </c>
      <c r="CC394" s="27" t="s">
        <v>8</v>
      </c>
      <c r="CD394" s="27" t="s">
        <v>7</v>
      </c>
      <c r="CF394" s="27" t="s">
        <v>7</v>
      </c>
      <c r="CG394" s="27" t="s">
        <v>8</v>
      </c>
      <c r="DF394" s="27" t="s">
        <v>7</v>
      </c>
      <c r="DK394" s="27" t="s">
        <v>8</v>
      </c>
      <c r="DL394" s="27" t="s">
        <v>7</v>
      </c>
      <c r="DM394" s="27" t="s">
        <v>8</v>
      </c>
    </row>
    <row r="395" spans="1:125" x14ac:dyDescent="0.25">
      <c r="A395" s="7">
        <v>44.795354545629053</v>
      </c>
      <c r="B395"/>
      <c r="C395"/>
      <c r="D395"/>
      <c r="E395" t="s">
        <v>8</v>
      </c>
      <c r="CB395" s="27" t="s">
        <v>7</v>
      </c>
      <c r="CC395" s="27" t="s">
        <v>8</v>
      </c>
      <c r="CF395" s="27" t="s">
        <v>7</v>
      </c>
      <c r="DF395" s="27" t="s">
        <v>7</v>
      </c>
      <c r="DI395" s="27" t="s">
        <v>8</v>
      </c>
      <c r="DK395" s="27" t="s">
        <v>8</v>
      </c>
      <c r="DL395" s="27" t="s">
        <v>7</v>
      </c>
      <c r="DM395" s="27" t="s">
        <v>8</v>
      </c>
    </row>
    <row r="396" spans="1:125" x14ac:dyDescent="0.25">
      <c r="A396" s="7">
        <v>43.917014260420636</v>
      </c>
      <c r="B396"/>
      <c r="C396"/>
      <c r="D396"/>
      <c r="E396" t="s">
        <v>8</v>
      </c>
      <c r="CB396" s="27" t="s">
        <v>7</v>
      </c>
      <c r="DF396" s="27" t="s">
        <v>7</v>
      </c>
      <c r="DI396" s="27" t="s">
        <v>8</v>
      </c>
      <c r="DJ396" s="27" t="s">
        <v>7</v>
      </c>
      <c r="DK396" s="27" t="s">
        <v>8</v>
      </c>
      <c r="DL396" s="27" t="s">
        <v>7</v>
      </c>
    </row>
    <row r="397" spans="1:125" x14ac:dyDescent="0.25">
      <c r="A397" s="7">
        <v>43.055896333745721</v>
      </c>
      <c r="B397"/>
      <c r="C397"/>
      <c r="D397"/>
      <c r="E397" t="s">
        <v>8</v>
      </c>
      <c r="DF397" s="27" t="s">
        <v>7</v>
      </c>
      <c r="DI397" s="27" t="s">
        <v>8</v>
      </c>
      <c r="DJ397" s="27" t="s">
        <v>7</v>
      </c>
      <c r="DK397" s="27" t="s">
        <v>8</v>
      </c>
    </row>
    <row r="398" spans="1:125" x14ac:dyDescent="0.25">
      <c r="A398" s="7">
        <v>42.211663072299729</v>
      </c>
      <c r="B398"/>
      <c r="C398"/>
      <c r="D398"/>
      <c r="E398" t="s">
        <v>8</v>
      </c>
      <c r="DF398" s="27" t="s">
        <v>7</v>
      </c>
      <c r="DI398" s="27" t="s">
        <v>8</v>
      </c>
      <c r="DJ398" s="27" t="s">
        <v>7</v>
      </c>
      <c r="DK398" s="27" t="s">
        <v>8</v>
      </c>
    </row>
    <row r="399" spans="1:125" x14ac:dyDescent="0.25">
      <c r="A399" s="7">
        <v>41.383983404215421</v>
      </c>
      <c r="B399"/>
      <c r="C399"/>
      <c r="D399"/>
      <c r="E399" t="s">
        <v>8</v>
      </c>
      <c r="DF399" s="27" t="s">
        <v>7</v>
      </c>
      <c r="DI399" s="27" t="s">
        <v>8</v>
      </c>
      <c r="DJ399" s="27" t="s">
        <v>7</v>
      </c>
      <c r="DK399" s="27" t="s">
        <v>8</v>
      </c>
    </row>
    <row r="400" spans="1:125" x14ac:dyDescent="0.25">
      <c r="A400" s="7">
        <v>40.572532749230803</v>
      </c>
      <c r="B400"/>
      <c r="C400"/>
      <c r="D400"/>
      <c r="E400" t="s">
        <v>8</v>
      </c>
      <c r="DF400" s="27" t="s">
        <v>7</v>
      </c>
      <c r="DG400" s="27" t="s">
        <v>8</v>
      </c>
      <c r="DI400" s="27" t="s">
        <v>8</v>
      </c>
      <c r="DJ400" s="27" t="s">
        <v>7</v>
      </c>
      <c r="DK400" s="27" t="s">
        <v>8</v>
      </c>
    </row>
    <row r="401" spans="1:115" x14ac:dyDescent="0.25">
      <c r="A401" s="7">
        <v>39.776992891402749</v>
      </c>
      <c r="B401"/>
      <c r="C401"/>
      <c r="D401"/>
      <c r="E401" t="s">
        <v>8</v>
      </c>
      <c r="DF401" s="27" t="s">
        <v>7</v>
      </c>
      <c r="DG401" s="27" t="s">
        <v>8</v>
      </c>
      <c r="DH401" s="27" t="s">
        <v>7</v>
      </c>
      <c r="DI401" s="27" t="s">
        <v>8</v>
      </c>
      <c r="DJ401" s="27" t="s">
        <v>7</v>
      </c>
      <c r="DK401" s="27" t="s">
        <v>8</v>
      </c>
    </row>
    <row r="402" spans="1:115" x14ac:dyDescent="0.25">
      <c r="A402" s="7">
        <v>38.997051854316418</v>
      </c>
      <c r="B402"/>
      <c r="C402"/>
      <c r="D402"/>
      <c r="E402" t="s">
        <v>8</v>
      </c>
      <c r="DF402" s="27" t="s">
        <v>7</v>
      </c>
      <c r="DG402" s="27" t="s">
        <v>8</v>
      </c>
      <c r="DH402" s="27" t="s">
        <v>7</v>
      </c>
      <c r="DI402" s="27" t="s">
        <v>8</v>
      </c>
      <c r="DJ402" s="27" t="s">
        <v>7</v>
      </c>
      <c r="DK402" s="27" t="s">
        <v>8</v>
      </c>
    </row>
    <row r="403" spans="1:115" x14ac:dyDescent="0.25">
      <c r="A403" s="7">
        <v>38.232403778741585</v>
      </c>
      <c r="B403"/>
      <c r="C403"/>
      <c r="D403"/>
      <c r="E403" t="s">
        <v>8</v>
      </c>
      <c r="DF403" s="27" t="s">
        <v>7</v>
      </c>
      <c r="DG403" s="27" t="s">
        <v>8</v>
      </c>
      <c r="DH403" s="27" t="s">
        <v>7</v>
      </c>
      <c r="DI403" s="27" t="s">
        <v>8</v>
      </c>
      <c r="DJ403" s="27" t="s">
        <v>7</v>
      </c>
    </row>
    <row r="404" spans="1:115" x14ac:dyDescent="0.25">
      <c r="A404" s="7">
        <v>37.48274880268783</v>
      </c>
      <c r="B404"/>
      <c r="C404"/>
      <c r="D404"/>
      <c r="E404" t="s">
        <v>8</v>
      </c>
      <c r="DF404" s="27" t="s">
        <v>7</v>
      </c>
      <c r="DG404" s="27" t="s">
        <v>8</v>
      </c>
      <c r="DH404" s="27" t="s">
        <v>7</v>
      </c>
      <c r="DI404" s="27" t="s">
        <v>8</v>
      </c>
    </row>
    <row r="405" spans="1:115" x14ac:dyDescent="0.25">
      <c r="A405" s="7">
        <v>36.747792943811596</v>
      </c>
      <c r="B405"/>
      <c r="C405"/>
      <c r="D405"/>
      <c r="E405" t="s">
        <v>8</v>
      </c>
      <c r="DF405" s="27" t="s">
        <v>7</v>
      </c>
      <c r="DG405" s="27" t="s">
        <v>8</v>
      </c>
      <c r="DH405" s="27" t="s">
        <v>7</v>
      </c>
      <c r="DI405" s="27" t="s">
        <v>8</v>
      </c>
    </row>
    <row r="406" spans="1:115" x14ac:dyDescent="0.25">
      <c r="A406" s="7">
        <v>36.027247984129012</v>
      </c>
      <c r="B406"/>
      <c r="C406"/>
      <c r="D406"/>
      <c r="E406" t="s">
        <v>8</v>
      </c>
      <c r="DF406" s="27" t="s">
        <v>7</v>
      </c>
      <c r="DG406" s="27" t="s">
        <v>8</v>
      </c>
      <c r="DH406" s="27" t="s">
        <v>7</v>
      </c>
      <c r="DI406" s="27" t="s">
        <v>8</v>
      </c>
    </row>
    <row r="407" spans="1:115" x14ac:dyDescent="0.25">
      <c r="A407" s="7">
        <v>35.320831356989224</v>
      </c>
      <c r="B407"/>
      <c r="C407"/>
      <c r="D407"/>
      <c r="E407" t="s">
        <v>8</v>
      </c>
      <c r="DF407" s="27" t="s">
        <v>7</v>
      </c>
      <c r="DG407" s="27" t="s">
        <v>8</v>
      </c>
      <c r="DH407" s="27" t="s">
        <v>7</v>
      </c>
      <c r="DI407" s="27" t="s">
        <v>8</v>
      </c>
    </row>
    <row r="408" spans="1:115" x14ac:dyDescent="0.25">
      <c r="A408" s="7">
        <v>34.628266036263945</v>
      </c>
      <c r="B408"/>
      <c r="C408"/>
      <c r="D408"/>
      <c r="E408" t="s">
        <v>8</v>
      </c>
      <c r="DF408" s="27" t="s">
        <v>7</v>
      </c>
      <c r="DG408" s="27" t="s">
        <v>8</v>
      </c>
      <c r="DH408" s="27" t="s">
        <v>7</v>
      </c>
      <c r="DI408" s="27" t="s">
        <v>8</v>
      </c>
    </row>
    <row r="409" spans="1:115" x14ac:dyDescent="0.25">
      <c r="A409" s="7">
        <v>33.949280427709752</v>
      </c>
      <c r="B409"/>
      <c r="C409"/>
      <c r="D409"/>
      <c r="E409" t="s">
        <v>8</v>
      </c>
      <c r="DF409" s="27" t="s">
        <v>7</v>
      </c>
      <c r="DG409" s="27" t="s">
        <v>8</v>
      </c>
      <c r="DH409" s="27" t="s">
        <v>7</v>
      </c>
      <c r="DI409" s="27" t="s">
        <v>8</v>
      </c>
    </row>
    <row r="410" spans="1:115" x14ac:dyDescent="0.25">
      <c r="A410" s="7">
        <v>33.28360826246054</v>
      </c>
      <c r="B410"/>
      <c r="C410"/>
      <c r="D410"/>
      <c r="E410" t="s">
        <v>8</v>
      </c>
      <c r="DF410" s="27" t="s">
        <v>7</v>
      </c>
      <c r="DG410" s="27" t="s">
        <v>8</v>
      </c>
      <c r="DH410" s="27" t="s">
        <v>7</v>
      </c>
      <c r="DI410" s="27" t="s">
        <v>8</v>
      </c>
    </row>
    <row r="411" spans="1:115" x14ac:dyDescent="0.25">
      <c r="A411" s="7">
        <v>32.630988492608374</v>
      </c>
      <c r="B411"/>
      <c r="C411"/>
      <c r="D411"/>
      <c r="E411" t="s">
        <v>8</v>
      </c>
      <c r="DF411" s="27" t="s">
        <v>7</v>
      </c>
      <c r="DG411" s="27" t="s">
        <v>8</v>
      </c>
      <c r="DH411" s="27" t="s">
        <v>7</v>
      </c>
      <c r="DI411" s="27" t="s">
        <v>8</v>
      </c>
    </row>
    <row r="412" spans="1:115" x14ac:dyDescent="0.25">
      <c r="A412" s="7">
        <v>31.99116518883174</v>
      </c>
      <c r="B412"/>
      <c r="C412"/>
      <c r="D412"/>
      <c r="E412" t="s">
        <v>8</v>
      </c>
      <c r="DF412" s="27" t="s">
        <v>7</v>
      </c>
      <c r="DG412" s="27" t="s">
        <v>8</v>
      </c>
      <c r="DH412" s="27" t="s">
        <v>7</v>
      </c>
      <c r="DI412" s="27" t="s">
        <v>8</v>
      </c>
    </row>
    <row r="413" spans="1:115" x14ac:dyDescent="0.25">
      <c r="A413" s="7">
        <v>31.363887440031117</v>
      </c>
      <c r="B413"/>
      <c r="C413"/>
      <c r="D413"/>
      <c r="E413" t="s">
        <v>8</v>
      </c>
      <c r="DF413" s="27" t="s">
        <v>7</v>
      </c>
      <c r="DG413" s="27" t="s">
        <v>8</v>
      </c>
      <c r="DH413" s="27" t="s">
        <v>7</v>
      </c>
      <c r="DI413" s="27" t="s">
        <v>8</v>
      </c>
    </row>
    <row r="414" spans="1:115" x14ac:dyDescent="0.25">
      <c r="A414" s="7">
        <v>30.748909254932467</v>
      </c>
      <c r="B414"/>
      <c r="C414"/>
      <c r="D414"/>
      <c r="E414" t="s">
        <v>8</v>
      </c>
      <c r="DF414" s="27" t="s">
        <v>7</v>
      </c>
      <c r="DG414" s="27" t="s">
        <v>8</v>
      </c>
      <c r="DH414" s="27" t="s">
        <v>7</v>
      </c>
      <c r="DI414" s="27" t="s">
        <v>8</v>
      </c>
    </row>
    <row r="415" spans="1:115" x14ac:dyDescent="0.25">
      <c r="A415" s="7">
        <v>30.145989465620065</v>
      </c>
      <c r="B415"/>
      <c r="C415"/>
      <c r="D415"/>
      <c r="E415" t="s">
        <v>8</v>
      </c>
      <c r="DF415" s="27" t="s">
        <v>7</v>
      </c>
      <c r="DG415" s="27" t="s">
        <v>8</v>
      </c>
      <c r="DH415" s="27" t="s">
        <v>7</v>
      </c>
      <c r="DI415" s="27" t="s">
        <v>8</v>
      </c>
    </row>
    <row r="416" spans="1:115" x14ac:dyDescent="0.25">
      <c r="A416" s="7">
        <v>29.55489163296085</v>
      </c>
      <c r="B416"/>
      <c r="C416"/>
      <c r="D416"/>
      <c r="E416" t="s">
        <v>8</v>
      </c>
      <c r="DF416" s="27" t="s">
        <v>7</v>
      </c>
      <c r="DG416" s="27" t="s">
        <v>8</v>
      </c>
      <c r="DH416" s="27" t="s">
        <v>7</v>
      </c>
    </row>
    <row r="417" spans="1:111" x14ac:dyDescent="0.25">
      <c r="A417" s="7">
        <v>28.975383953883185</v>
      </c>
      <c r="B417"/>
      <c r="C417"/>
      <c r="D417"/>
      <c r="E417" t="s">
        <v>8</v>
      </c>
      <c r="DF417" s="27" t="s">
        <v>7</v>
      </c>
      <c r="DG417" s="27" t="s">
        <v>8</v>
      </c>
    </row>
    <row r="418" spans="1:111" x14ac:dyDescent="0.25">
      <c r="A418" s="7">
        <v>28.407239170473709</v>
      </c>
      <c r="B418"/>
      <c r="C418"/>
      <c r="D418"/>
      <c r="E418" t="s">
        <v>8</v>
      </c>
      <c r="DF418" s="27" t="s">
        <v>7</v>
      </c>
      <c r="DG418" s="27" t="s">
        <v>8</v>
      </c>
    </row>
    <row r="419" spans="1:111" x14ac:dyDescent="0.25">
      <c r="A419" s="7">
        <v>27.850234480856578</v>
      </c>
      <c r="B419"/>
      <c r="C419"/>
      <c r="D419"/>
      <c r="E419" t="s">
        <v>8</v>
      </c>
      <c r="DF419" s="27" t="s">
        <v>7</v>
      </c>
      <c r="DG419" s="27" t="s">
        <v>8</v>
      </c>
    </row>
    <row r="420" spans="1:111" x14ac:dyDescent="0.25">
      <c r="A420" s="7">
        <v>27.304151451820175</v>
      </c>
      <c r="B420"/>
      <c r="C420"/>
      <c r="D420"/>
      <c r="E420" t="s">
        <v>8</v>
      </c>
      <c r="DF420" s="27" t="s">
        <v>7</v>
      </c>
      <c r="DG420" s="27" t="s">
        <v>8</v>
      </c>
    </row>
    <row r="421" spans="1:111" x14ac:dyDescent="0.25">
      <c r="A421" s="7">
        <v>26.768775933157034</v>
      </c>
      <c r="B421"/>
      <c r="C421"/>
      <c r="D421"/>
      <c r="E421" t="s">
        <v>8</v>
      </c>
      <c r="DF421" s="27" t="s">
        <v>7</v>
      </c>
      <c r="DG421" s="27" t="s">
        <v>8</v>
      </c>
    </row>
    <row r="422" spans="1:111" x14ac:dyDescent="0.25">
      <c r="A422" s="7">
        <v>26.243897973683367</v>
      </c>
      <c r="B422"/>
      <c r="C422"/>
      <c r="D422"/>
      <c r="E422" t="s">
        <v>8</v>
      </c>
      <c r="DF422" s="27" t="s">
        <v>7</v>
      </c>
      <c r="DG422" s="27" t="s">
        <v>8</v>
      </c>
    </row>
    <row r="423" spans="1:111" x14ac:dyDescent="0.25">
      <c r="A423" s="7">
        <v>25.729311738905263</v>
      </c>
      <c r="B423"/>
      <c r="C423"/>
      <c r="D423"/>
      <c r="E423" t="s">
        <v>8</v>
      </c>
      <c r="DF423" s="27" t="s">
        <v>7</v>
      </c>
      <c r="DG423" s="27" t="s">
        <v>8</v>
      </c>
    </row>
    <row r="424" spans="1:111" x14ac:dyDescent="0.25">
      <c r="A424" s="7">
        <v>25.224815430299277</v>
      </c>
      <c r="B424"/>
      <c r="C424"/>
      <c r="D424"/>
      <c r="E424" t="s">
        <v>8</v>
      </c>
      <c r="DF424" s="27" t="s">
        <v>7</v>
      </c>
    </row>
    <row r="425" spans="1:111" x14ac:dyDescent="0.25">
      <c r="A425" s="7">
        <v>24.73021120617576</v>
      </c>
      <c r="B425"/>
      <c r="C425"/>
      <c r="D425"/>
      <c r="E425" t="s">
        <v>8</v>
      </c>
    </row>
    <row r="426" spans="1:111" x14ac:dyDescent="0.25">
      <c r="A426" s="7">
        <v>24.24530510409388</v>
      </c>
      <c r="B426"/>
      <c r="C426"/>
      <c r="D426"/>
      <c r="E426" t="s">
        <v>8</v>
      </c>
    </row>
    <row r="427" spans="1:111" x14ac:dyDescent="0.25">
      <c r="A427" s="7">
        <v>23.769906964797922</v>
      </c>
      <c r="B427"/>
      <c r="C427"/>
      <c r="D427"/>
      <c r="E427" t="s">
        <v>8</v>
      </c>
    </row>
    <row r="428" spans="1:111" x14ac:dyDescent="0.25">
      <c r="A428" s="7">
        <v>23.303830357645023</v>
      </c>
      <c r="B428"/>
      <c r="C428"/>
      <c r="D428"/>
      <c r="E428" t="s">
        <v>8</v>
      </c>
    </row>
    <row r="429" spans="1:111" x14ac:dyDescent="0.25">
      <c r="A429" s="7">
        <v>22.84689250749512</v>
      </c>
      <c r="B429"/>
      <c r="C429"/>
      <c r="D429"/>
      <c r="E429" t="s">
        <v>8</v>
      </c>
    </row>
    <row r="430" spans="1:111" x14ac:dyDescent="0.25">
      <c r="A430" s="7">
        <v>22.398914223034431</v>
      </c>
      <c r="B430"/>
      <c r="C430"/>
      <c r="D430"/>
      <c r="E430" t="s">
        <v>8</v>
      </c>
    </row>
    <row r="431" spans="1:111" x14ac:dyDescent="0.25">
      <c r="A431" s="7">
        <v>21.959719826504344</v>
      </c>
      <c r="B431"/>
      <c r="C431"/>
      <c r="D431"/>
      <c r="E431" t="s">
        <v>8</v>
      </c>
    </row>
    <row r="432" spans="1:111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55" operator="equal">
      <formula>$U$1</formula>
    </cfRule>
    <cfRule type="cellIs" dxfId="89" priority="1456" operator="equal">
      <formula>$S$1</formula>
    </cfRule>
  </conditionalFormatting>
  <conditionalFormatting sqref="D27">
    <cfRule type="cellIs" dxfId="88" priority="1453" operator="equal">
      <formula>$S$1</formula>
    </cfRule>
    <cfRule type="cellIs" dxfId="87" priority="1454" operator="equal">
      <formula>$U$1</formula>
    </cfRule>
  </conditionalFormatting>
  <conditionalFormatting sqref="C164">
    <cfRule type="cellIs" dxfId="86" priority="1451" operator="equal">
      <formula>$U$1</formula>
    </cfRule>
    <cfRule type="cellIs" dxfId="85" priority="1452" operator="equal">
      <formula>$S$1</formula>
    </cfRule>
  </conditionalFormatting>
  <conditionalFormatting sqref="D164">
    <cfRule type="cellIs" dxfId="84" priority="1449" operator="equal">
      <formula>$S$1</formula>
    </cfRule>
    <cfRule type="cellIs" dxfId="83" priority="1450" operator="equal">
      <formula>$U$1</formula>
    </cfRule>
  </conditionalFormatting>
  <conditionalFormatting sqref="C55">
    <cfRule type="cellIs" dxfId="82" priority="1447" operator="equal">
      <formula>$U$1</formula>
    </cfRule>
    <cfRule type="cellIs" dxfId="81" priority="1448" operator="equal">
      <formula>$S$1</formula>
    </cfRule>
  </conditionalFormatting>
  <conditionalFormatting sqref="D55">
    <cfRule type="cellIs" dxfId="80" priority="1445" operator="equal">
      <formula>$S$1</formula>
    </cfRule>
    <cfRule type="cellIs" dxfId="79" priority="1446" operator="equal">
      <formula>$U$1</formula>
    </cfRule>
  </conditionalFormatting>
  <conditionalFormatting sqref="C89">
    <cfRule type="cellIs" dxfId="78" priority="1443" operator="equal">
      <formula>$U$1</formula>
    </cfRule>
    <cfRule type="cellIs" dxfId="77" priority="1444" operator="equal">
      <formula>$S$1</formula>
    </cfRule>
  </conditionalFormatting>
  <conditionalFormatting sqref="D89">
    <cfRule type="cellIs" dxfId="76" priority="1441" operator="equal">
      <formula>$S$1</formula>
    </cfRule>
    <cfRule type="cellIs" dxfId="75" priority="1442" operator="equal">
      <formula>$U$1</formula>
    </cfRule>
  </conditionalFormatting>
  <conditionalFormatting sqref="C136">
    <cfRule type="cellIs" dxfId="74" priority="1439" operator="equal">
      <formula>$U$1</formula>
    </cfRule>
    <cfRule type="cellIs" dxfId="73" priority="1440" operator="equal">
      <formula>$S$1</formula>
    </cfRule>
  </conditionalFormatting>
  <conditionalFormatting sqref="D136">
    <cfRule type="cellIs" dxfId="72" priority="1437" operator="equal">
      <formula>$S$1</formula>
    </cfRule>
    <cfRule type="cellIs" dxfId="71" priority="1438" operator="equal">
      <formula>$U$1</formula>
    </cfRule>
  </conditionalFormatting>
  <conditionalFormatting sqref="C1">
    <cfRule type="cellIs" dxfId="70" priority="143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06" zoomScale="90" zoomScaleNormal="90" workbookViewId="0">
      <pane xSplit="4" topLeftCell="BG1" activePane="topRight" state="frozen"/>
      <selection activeCell="A109" sqref="A109"/>
      <selection pane="topRight" activeCell="DD139" sqref="DD13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75" x14ac:dyDescent="0.25">
      <c r="A97" s="30">
        <v>1071.6914527012709</v>
      </c>
      <c r="C97" s="7">
        <v>0.11686133436193799</v>
      </c>
      <c r="D97"/>
      <c r="E97"/>
    </row>
    <row r="98" spans="1:75" x14ac:dyDescent="0.25">
      <c r="A98" s="30">
        <v>1020.6585263821628</v>
      </c>
      <c r="E98"/>
    </row>
    <row r="99" spans="1:75" x14ac:dyDescent="0.25">
      <c r="A99" s="30">
        <v>972.05573941158355</v>
      </c>
      <c r="C99" s="1" t="s">
        <v>11</v>
      </c>
      <c r="D99" s="1" t="s">
        <v>12</v>
      </c>
      <c r="E99"/>
    </row>
    <row r="100" spans="1:75" x14ac:dyDescent="0.25">
      <c r="A100" s="30">
        <v>925.76737086817479</v>
      </c>
      <c r="C100"/>
      <c r="D100"/>
      <c r="E100"/>
    </row>
    <row r="101" spans="1:75" x14ac:dyDescent="0.25">
      <c r="A101" s="30">
        <v>881.68321035064264</v>
      </c>
      <c r="E101"/>
    </row>
    <row r="102" spans="1:75" x14ac:dyDescent="0.25">
      <c r="A102" s="30">
        <v>839.69829557204059</v>
      </c>
      <c r="C102" s="1" t="s">
        <v>13</v>
      </c>
      <c r="E102"/>
    </row>
    <row r="103" spans="1:75" x14ac:dyDescent="0.25">
      <c r="A103" s="30">
        <v>799.71266244956246</v>
      </c>
      <c r="C103" s="1">
        <f>C92</f>
        <v>0</v>
      </c>
      <c r="E103"/>
    </row>
    <row r="104" spans="1:75" x14ac:dyDescent="0.25">
      <c r="A104" s="30">
        <v>761.63110709482135</v>
      </c>
      <c r="C104"/>
      <c r="E104"/>
    </row>
    <row r="105" spans="1:75" x14ac:dyDescent="0.25">
      <c r="A105" s="30">
        <v>725.36295913792503</v>
      </c>
      <c r="C105" s="1" t="s">
        <v>14</v>
      </c>
      <c r="E105"/>
    </row>
    <row r="106" spans="1:7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75" x14ac:dyDescent="0.25">
      <c r="A107" s="30">
        <v>657.92558651965976</v>
      </c>
      <c r="E107"/>
    </row>
    <row r="108" spans="1:75" x14ac:dyDescent="0.25">
      <c r="A108" s="30">
        <v>626.59579668539027</v>
      </c>
      <c r="E108"/>
    </row>
    <row r="109" spans="1:75" x14ac:dyDescent="0.25">
      <c r="A109" s="30">
        <v>596.75790160513361</v>
      </c>
      <c r="E109"/>
    </row>
    <row r="110" spans="1:75" x14ac:dyDescent="0.25">
      <c r="A110" s="30">
        <v>568.34085867155579</v>
      </c>
      <c r="E110"/>
    </row>
    <row r="111" spans="1:75" x14ac:dyDescent="0.25">
      <c r="A111" s="30">
        <v>541.27700825862451</v>
      </c>
      <c r="C111" s="1" t="str">
        <f>ADDRESS(C121-1,1,1,1)</f>
        <v>$A$138</v>
      </c>
      <c r="D111" s="1" t="str">
        <f>ADDRESS(C121-1,D121,1,1)</f>
        <v>$DD$138</v>
      </c>
      <c r="E111"/>
    </row>
    <row r="112" spans="1:75" x14ac:dyDescent="0.25">
      <c r="A112" s="30">
        <v>515.50191262726139</v>
      </c>
      <c r="C112" s="1" t="str">
        <f>ADDRESS(C121,1,1,1)</f>
        <v>$A$139</v>
      </c>
      <c r="D112" s="1" t="str">
        <f>ADDRESS(C121,D121-1,1,1)</f>
        <v>$DC$139</v>
      </c>
      <c r="E112"/>
      <c r="BW112" s="31" t="s">
        <v>8</v>
      </c>
    </row>
    <row r="113" spans="1:107" x14ac:dyDescent="0.25">
      <c r="A113" s="30">
        <v>490.95420250215363</v>
      </c>
      <c r="C113" s="1" t="str">
        <f>ADDRESS(C121+1,1,1,1)</f>
        <v>$A$140</v>
      </c>
      <c r="D113" s="1" t="str">
        <f>ADDRESS(C121-1,D121+1,1,1)</f>
        <v>$DE$138</v>
      </c>
      <c r="BW113" s="27" t="s">
        <v>8</v>
      </c>
      <c r="BX113" s="31" t="s">
        <v>7</v>
      </c>
    </row>
    <row r="114" spans="1:107" x14ac:dyDescent="0.25">
      <c r="A114" s="30">
        <v>467.57543095443202</v>
      </c>
      <c r="C114" s="1" t="str">
        <f>ADDRESS(C121,D121,1,1)</f>
        <v>$DD$139</v>
      </c>
      <c r="D114" s="1" t="str">
        <f>ADDRESS(C121+1,D121+1,1,1)</f>
        <v>$DE$140</v>
      </c>
      <c r="BW114" s="27" t="s">
        <v>8</v>
      </c>
      <c r="BX114" s="27" t="s">
        <v>7</v>
      </c>
      <c r="BY114" s="31"/>
    </row>
    <row r="115" spans="1:107" x14ac:dyDescent="0.25">
      <c r="A115" s="30">
        <v>445.30993424231622</v>
      </c>
      <c r="C115" s="1" t="str">
        <f>ADDRESS(C121+1,D121,1,1)</f>
        <v>$DD$140</v>
      </c>
      <c r="BW115" s="27" t="s">
        <v>8</v>
      </c>
      <c r="BX115" s="27" t="s">
        <v>7</v>
      </c>
      <c r="BZ115" s="31"/>
    </row>
    <row r="116" spans="1:107" x14ac:dyDescent="0.25">
      <c r="A116" s="30">
        <v>424.10469927839637</v>
      </c>
      <c r="C116" s="1">
        <f>C117-1</f>
        <v>138</v>
      </c>
      <c r="BS116" s="27" t="s">
        <v>8</v>
      </c>
      <c r="BW116" s="27" t="s">
        <v>8</v>
      </c>
      <c r="BX116" s="27" t="s">
        <v>7</v>
      </c>
      <c r="CA116" s="31"/>
    </row>
    <row r="117" spans="1:107" x14ac:dyDescent="0.25">
      <c r="A117" s="30">
        <v>403.9092374079965</v>
      </c>
      <c r="C117" s="1">
        <f>C121</f>
        <v>139</v>
      </c>
      <c r="D117" s="1">
        <f>D121</f>
        <v>108</v>
      </c>
      <c r="BS117" s="27" t="s">
        <v>8</v>
      </c>
      <c r="BT117" s="27" t="s">
        <v>7</v>
      </c>
      <c r="BU117" s="27" t="s">
        <v>8</v>
      </c>
      <c r="BW117" s="27" t="s">
        <v>8</v>
      </c>
      <c r="BX117" s="27" t="s">
        <v>7</v>
      </c>
      <c r="CB117" s="31"/>
    </row>
    <row r="118" spans="1:107" x14ac:dyDescent="0.25">
      <c r="A118" s="30">
        <v>384.6754641980919</v>
      </c>
      <c r="C118" s="1">
        <f>C117+1</f>
        <v>140</v>
      </c>
      <c r="D118" s="1">
        <f>D117+1</f>
        <v>109</v>
      </c>
      <c r="BS118" s="27" t="s">
        <v>8</v>
      </c>
      <c r="BT118" s="27" t="s">
        <v>7</v>
      </c>
      <c r="BU118" s="27" t="s">
        <v>8</v>
      </c>
      <c r="BV118" s="27" t="s">
        <v>7</v>
      </c>
      <c r="BW118" s="27" t="s">
        <v>8</v>
      </c>
      <c r="BX118" s="27" t="s">
        <v>7</v>
      </c>
      <c r="CC118" s="31"/>
    </row>
    <row r="119" spans="1:107" x14ac:dyDescent="0.25">
      <c r="A119" s="30">
        <v>366.35758495056371</v>
      </c>
      <c r="BQ119" s="27" t="s">
        <v>8</v>
      </c>
      <c r="BS119" s="27" t="s">
        <v>8</v>
      </c>
      <c r="BT119" s="27" t="s">
        <v>7</v>
      </c>
      <c r="BU119" s="27" t="s">
        <v>8</v>
      </c>
      <c r="BV119" s="27" t="s">
        <v>7</v>
      </c>
      <c r="BW119" s="27" t="s">
        <v>8</v>
      </c>
      <c r="BX119" s="27" t="s">
        <v>7</v>
      </c>
      <c r="CD119" s="31"/>
    </row>
    <row r="120" spans="1:107" x14ac:dyDescent="0.25">
      <c r="A120" s="30">
        <v>348.91198566720351</v>
      </c>
      <c r="C120" s="1" t="s">
        <v>9</v>
      </c>
      <c r="BQ120" s="27" t="s">
        <v>8</v>
      </c>
      <c r="BR120" s="27" t="s">
        <v>7</v>
      </c>
      <c r="BS120" s="27" t="s">
        <v>8</v>
      </c>
      <c r="BT120" s="27" t="s">
        <v>7</v>
      </c>
      <c r="BU120" s="27" t="s">
        <v>8</v>
      </c>
      <c r="BV120" s="27" t="s">
        <v>7</v>
      </c>
      <c r="BX120" s="27" t="s">
        <v>7</v>
      </c>
      <c r="CE120" s="31"/>
    </row>
    <row r="121" spans="1:107" x14ac:dyDescent="0.25">
      <c r="A121" s="30">
        <v>332.29712920686046</v>
      </c>
      <c r="C121" s="18">
        <v>139</v>
      </c>
      <c r="D121" s="19">
        <v>108</v>
      </c>
      <c r="E121" s="19"/>
      <c r="BQ121" s="27" t="s">
        <v>8</v>
      </c>
      <c r="BR121" s="27" t="s">
        <v>7</v>
      </c>
      <c r="BS121" s="27" t="s">
        <v>8</v>
      </c>
      <c r="BT121" s="27" t="s">
        <v>7</v>
      </c>
      <c r="BU121" s="27" t="s">
        <v>8</v>
      </c>
      <c r="BX121" s="35" t="s">
        <v>7</v>
      </c>
      <c r="CF121" s="31"/>
      <c r="CO121" s="27" t="s">
        <v>8</v>
      </c>
    </row>
    <row r="122" spans="1:107" x14ac:dyDescent="0.25">
      <c r="A122" s="30">
        <v>316.47345638748612</v>
      </c>
      <c r="C122" s="1" t="str">
        <f>INDEX(1:1048576,C117,D117)</f>
        <v>O</v>
      </c>
      <c r="BQ122" s="27" t="s">
        <v>8</v>
      </c>
      <c r="BR122" s="27" t="s">
        <v>7</v>
      </c>
      <c r="BS122" s="27" t="s">
        <v>8</v>
      </c>
      <c r="BT122" s="27" t="s">
        <v>7</v>
      </c>
      <c r="BU122" s="27" t="s">
        <v>8</v>
      </c>
      <c r="BX122" s="27" t="s">
        <v>7</v>
      </c>
      <c r="BY122" s="27" t="s">
        <v>8</v>
      </c>
      <c r="CG122" s="31"/>
      <c r="CO122" s="27" t="s">
        <v>8</v>
      </c>
      <c r="CP122" s="27" t="s">
        <v>7</v>
      </c>
    </row>
    <row r="123" spans="1:107" x14ac:dyDescent="0.25">
      <c r="A123" s="30">
        <v>301.40329179760585</v>
      </c>
      <c r="C123" s="1" t="str">
        <f>"R"&amp;C121</f>
        <v>R139</v>
      </c>
      <c r="D123" s="1" t="str">
        <f>"C"&amp;D121</f>
        <v>C108</v>
      </c>
      <c r="BQ123" s="27" t="s">
        <v>8</v>
      </c>
      <c r="BR123" s="27" t="s">
        <v>7</v>
      </c>
      <c r="BS123" s="27" t="s">
        <v>8</v>
      </c>
      <c r="BT123" s="27" t="s">
        <v>7</v>
      </c>
      <c r="BX123" s="27" t="s">
        <v>7</v>
      </c>
      <c r="BY123" s="27" t="s">
        <v>8</v>
      </c>
      <c r="BZ123" s="27" t="s">
        <v>7</v>
      </c>
      <c r="CE123" s="27" t="s">
        <v>8</v>
      </c>
      <c r="CH123" s="31"/>
      <c r="CO123" s="27" t="s">
        <v>8</v>
      </c>
      <c r="CP123" s="27" t="s">
        <v>7</v>
      </c>
    </row>
    <row r="124" spans="1:107" x14ac:dyDescent="0.25">
      <c r="A124" s="30">
        <v>287.05075409295796</v>
      </c>
      <c r="C124" s="1">
        <f>SUM(C130:D130)</f>
        <v>0</v>
      </c>
      <c r="D124" s="1">
        <f>IF(C124=0,0,1)</f>
        <v>0</v>
      </c>
      <c r="BM124" s="27" t="s">
        <v>8</v>
      </c>
      <c r="BQ124" s="27" t="s">
        <v>8</v>
      </c>
      <c r="BR124" s="27" t="s">
        <v>7</v>
      </c>
      <c r="BX124" s="27" t="s">
        <v>7</v>
      </c>
      <c r="BY124" s="27" t="s">
        <v>8</v>
      </c>
      <c r="BZ124" s="27" t="s">
        <v>7</v>
      </c>
      <c r="CC124" s="33" t="s">
        <v>8</v>
      </c>
      <c r="CE124" s="27" t="s">
        <v>8</v>
      </c>
      <c r="CF124" s="27" t="s">
        <v>7</v>
      </c>
      <c r="CI124" s="33" t="s">
        <v>8</v>
      </c>
      <c r="CO124" s="27" t="s">
        <v>8</v>
      </c>
      <c r="CP124" s="27" t="s">
        <v>7</v>
      </c>
      <c r="CS124" s="27" t="s">
        <v>8</v>
      </c>
      <c r="CU124" s="27" t="s">
        <v>8</v>
      </c>
    </row>
    <row r="125" spans="1:107" x14ac:dyDescent="0.25">
      <c r="A125" s="30">
        <v>273.38167056472184</v>
      </c>
      <c r="BM125" s="27" t="s">
        <v>8</v>
      </c>
      <c r="BN125" s="27" t="s">
        <v>7</v>
      </c>
      <c r="BQ125" s="27" t="s">
        <v>8</v>
      </c>
      <c r="BX125" s="27" t="s">
        <v>7</v>
      </c>
      <c r="BY125" s="27" t="s">
        <v>8</v>
      </c>
      <c r="BZ125" s="27" t="s">
        <v>7</v>
      </c>
      <c r="CA125" s="27" t="s">
        <v>8</v>
      </c>
      <c r="CC125" s="27" t="s">
        <v>8</v>
      </c>
      <c r="CD125" s="27" t="s">
        <v>7</v>
      </c>
      <c r="CE125" s="27" t="s">
        <v>8</v>
      </c>
      <c r="CF125" s="27" t="s">
        <v>7</v>
      </c>
      <c r="CG125" s="27" t="s">
        <v>8</v>
      </c>
      <c r="CI125" s="27" t="s">
        <v>8</v>
      </c>
      <c r="CJ125" s="31" t="s">
        <v>7</v>
      </c>
      <c r="CO125" s="27" t="s">
        <v>8</v>
      </c>
      <c r="CP125" s="27" t="s">
        <v>7</v>
      </c>
      <c r="CQ125" s="27" t="s">
        <v>8</v>
      </c>
      <c r="CS125" s="27" t="s">
        <v>8</v>
      </c>
      <c r="CT125" s="27" t="s">
        <v>7</v>
      </c>
      <c r="CU125" s="27" t="s">
        <v>8</v>
      </c>
      <c r="CV125" s="27" t="s">
        <v>7</v>
      </c>
    </row>
    <row r="126" spans="1:107" x14ac:dyDescent="0.25">
      <c r="A126" s="30">
        <v>260.36349577592557</v>
      </c>
      <c r="C126" s="1" t="s">
        <v>10</v>
      </c>
      <c r="BM126" s="27" t="s">
        <v>8</v>
      </c>
      <c r="BN126" s="27" t="s">
        <v>7</v>
      </c>
      <c r="BQ126" s="27" t="s">
        <v>8</v>
      </c>
      <c r="BX126" s="27" t="s">
        <v>7</v>
      </c>
      <c r="BY126" s="27" t="s">
        <v>8</v>
      </c>
      <c r="BZ126" s="27" t="s">
        <v>7</v>
      </c>
      <c r="CA126" s="27" t="s">
        <v>8</v>
      </c>
      <c r="CB126" s="27" t="s">
        <v>7</v>
      </c>
      <c r="CC126" s="27" t="s">
        <v>8</v>
      </c>
      <c r="CD126" s="27" t="s">
        <v>7</v>
      </c>
      <c r="CE126" s="27" t="s">
        <v>8</v>
      </c>
      <c r="CF126" s="27" t="s">
        <v>7</v>
      </c>
      <c r="CG126" s="27" t="s">
        <v>8</v>
      </c>
      <c r="CH126" s="27" t="s">
        <v>7</v>
      </c>
      <c r="CI126" s="27" t="s">
        <v>8</v>
      </c>
      <c r="CJ126" s="27" t="s">
        <v>7</v>
      </c>
      <c r="CK126" s="31"/>
      <c r="CO126" s="27" t="s">
        <v>8</v>
      </c>
      <c r="CP126" s="27" t="s">
        <v>7</v>
      </c>
      <c r="CQ126" s="27" t="s">
        <v>8</v>
      </c>
      <c r="CR126" s="27" t="s">
        <v>7</v>
      </c>
      <c r="CS126" s="27" t="s">
        <v>8</v>
      </c>
      <c r="CT126" s="27" t="s">
        <v>7</v>
      </c>
      <c r="CU126" s="27" t="s">
        <v>8</v>
      </c>
      <c r="CV126" s="27" t="s">
        <v>7</v>
      </c>
    </row>
    <row r="127" spans="1:107" x14ac:dyDescent="0.25">
      <c r="A127" s="30">
        <v>247.96523407231004</v>
      </c>
      <c r="C127" s="30">
        <v>138.07632073861922</v>
      </c>
      <c r="D127"/>
      <c r="BK127" s="27" t="s">
        <v>8</v>
      </c>
      <c r="BM127" s="27" t="s">
        <v>8</v>
      </c>
      <c r="BN127" s="27" t="s">
        <v>7</v>
      </c>
      <c r="BQ127" s="27" t="s">
        <v>8</v>
      </c>
      <c r="BX127" s="27" t="s">
        <v>7</v>
      </c>
      <c r="BY127" s="27" t="s">
        <v>8</v>
      </c>
      <c r="BZ127" s="27" t="s">
        <v>7</v>
      </c>
      <c r="CA127" s="27" t="s">
        <v>8</v>
      </c>
      <c r="CB127" s="27" t="s">
        <v>7</v>
      </c>
      <c r="CC127" s="27" t="s">
        <v>8</v>
      </c>
      <c r="CD127" s="27" t="s">
        <v>7</v>
      </c>
      <c r="CE127" s="27" t="s">
        <v>8</v>
      </c>
      <c r="CF127" s="27" t="s">
        <v>7</v>
      </c>
      <c r="CG127" s="27" t="s">
        <v>8</v>
      </c>
      <c r="CH127" s="27" t="s">
        <v>7</v>
      </c>
      <c r="CI127" s="27" t="s">
        <v>8</v>
      </c>
      <c r="CJ127" s="27" t="s">
        <v>7</v>
      </c>
      <c r="CL127" s="31"/>
      <c r="CO127" s="27" t="s">
        <v>8</v>
      </c>
      <c r="CP127" s="27" t="s">
        <v>7</v>
      </c>
      <c r="CQ127" s="27" t="s">
        <v>8</v>
      </c>
      <c r="CR127" s="27" t="s">
        <v>7</v>
      </c>
      <c r="CS127" s="27" t="s">
        <v>8</v>
      </c>
      <c r="CT127" s="27" t="s">
        <v>7</v>
      </c>
      <c r="CV127" s="27" t="s">
        <v>7</v>
      </c>
      <c r="CW127" s="27" t="s">
        <v>8</v>
      </c>
      <c r="DA127" s="27" t="s">
        <v>8</v>
      </c>
    </row>
    <row r="128" spans="1:107" x14ac:dyDescent="0.25">
      <c r="A128" s="30">
        <v>236.15736578315241</v>
      </c>
      <c r="BK128" s="27" t="s">
        <v>8</v>
      </c>
      <c r="BL128" s="27" t="s">
        <v>7</v>
      </c>
      <c r="BM128" s="27" t="s">
        <v>8</v>
      </c>
      <c r="BN128" s="27" t="s">
        <v>7</v>
      </c>
      <c r="BQ128" s="33" t="s">
        <v>8</v>
      </c>
      <c r="BX128" s="27" t="s">
        <v>7</v>
      </c>
      <c r="BY128" s="27" t="s">
        <v>8</v>
      </c>
      <c r="BZ128" s="27" t="s">
        <v>7</v>
      </c>
      <c r="CA128" s="27" t="s">
        <v>8</v>
      </c>
      <c r="CB128" s="27" t="s">
        <v>7</v>
      </c>
      <c r="CC128" s="27" t="s">
        <v>8</v>
      </c>
      <c r="CD128" s="27" t="s">
        <v>7</v>
      </c>
      <c r="CF128" s="27" t="s">
        <v>7</v>
      </c>
      <c r="CG128" s="27" t="s">
        <v>8</v>
      </c>
      <c r="CH128" s="27" t="s">
        <v>7</v>
      </c>
      <c r="CJ128" s="27" t="s">
        <v>7</v>
      </c>
      <c r="CM128" s="31"/>
      <c r="CO128" s="33" t="s">
        <v>8</v>
      </c>
      <c r="CP128" s="27" t="s">
        <v>7</v>
      </c>
      <c r="CR128" s="27" t="s">
        <v>7</v>
      </c>
      <c r="CS128" s="27" t="s">
        <v>8</v>
      </c>
      <c r="CV128" s="27" t="s">
        <v>7</v>
      </c>
      <c r="CW128" s="27" t="s">
        <v>8</v>
      </c>
      <c r="CX128" s="27" t="s">
        <v>7</v>
      </c>
      <c r="CY128" s="27" t="s">
        <v>8</v>
      </c>
      <c r="DA128" s="27" t="s">
        <v>8</v>
      </c>
      <c r="DB128" s="27" t="s">
        <v>7</v>
      </c>
      <c r="DC128" s="27" t="s">
        <v>8</v>
      </c>
    </row>
    <row r="129" spans="1:108" x14ac:dyDescent="0.25">
      <c r="A129" s="30">
        <v>224.91177693633563</v>
      </c>
      <c r="C129" s="1" t="s">
        <v>11</v>
      </c>
      <c r="D129" s="1" t="s">
        <v>12</v>
      </c>
      <c r="E129"/>
      <c r="BK129" s="27" t="s">
        <v>8</v>
      </c>
      <c r="BL129" s="27" t="s">
        <v>7</v>
      </c>
      <c r="BM129" s="27" t="s">
        <v>8</v>
      </c>
      <c r="BN129" s="27" t="s">
        <v>7</v>
      </c>
      <c r="BO129" s="27" t="s">
        <v>8</v>
      </c>
      <c r="BQ129" s="27" t="s">
        <v>8</v>
      </c>
      <c r="BX129" s="27" t="s">
        <v>7</v>
      </c>
      <c r="BY129" s="27" t="s">
        <v>8</v>
      </c>
      <c r="BZ129" s="27" t="s">
        <v>7</v>
      </c>
      <c r="CA129" s="27" t="s">
        <v>8</v>
      </c>
      <c r="CB129" s="27" t="s">
        <v>7</v>
      </c>
      <c r="CF129" s="34" t="s">
        <v>7</v>
      </c>
      <c r="CJ129" s="34" t="s">
        <v>7</v>
      </c>
      <c r="CK129" s="32" t="s">
        <v>8</v>
      </c>
      <c r="CM129" s="32" t="s">
        <v>8</v>
      </c>
      <c r="CN129" s="31"/>
      <c r="CO129" s="27" t="s">
        <v>8</v>
      </c>
      <c r="CR129" s="27" t="s">
        <v>7</v>
      </c>
      <c r="CS129" s="27" t="s">
        <v>8</v>
      </c>
      <c r="CV129" s="27" t="s">
        <v>7</v>
      </c>
      <c r="CW129" s="27" t="s">
        <v>8</v>
      </c>
      <c r="CX129" s="27" t="s">
        <v>7</v>
      </c>
      <c r="CY129" s="27" t="s">
        <v>8</v>
      </c>
      <c r="CZ129" s="27" t="s">
        <v>7</v>
      </c>
      <c r="DA129" s="27" t="s">
        <v>8</v>
      </c>
      <c r="DB129" s="27" t="s">
        <v>7</v>
      </c>
      <c r="DC129" s="27" t="s">
        <v>8</v>
      </c>
      <c r="DD129" s="27" t="s">
        <v>7</v>
      </c>
    </row>
    <row r="130" spans="1:108" x14ac:dyDescent="0.25">
      <c r="A130" s="30">
        <v>214.20169232031964</v>
      </c>
      <c r="C130" s="6"/>
      <c r="D130" s="6"/>
      <c r="E130"/>
      <c r="BK130" s="27" t="s">
        <v>8</v>
      </c>
      <c r="BL130" s="27" t="s">
        <v>7</v>
      </c>
      <c r="BM130" s="27" t="s">
        <v>8</v>
      </c>
      <c r="BN130" s="27" t="s">
        <v>7</v>
      </c>
      <c r="BO130" s="27" t="s">
        <v>8</v>
      </c>
      <c r="BP130" s="27" t="s">
        <v>7</v>
      </c>
      <c r="BQ130" s="27" t="s">
        <v>8</v>
      </c>
      <c r="BX130" s="27" t="s">
        <v>7</v>
      </c>
      <c r="BY130" s="27" t="s">
        <v>8</v>
      </c>
      <c r="BZ130" s="27" t="s">
        <v>7</v>
      </c>
      <c r="CA130" s="27" t="s">
        <v>8</v>
      </c>
      <c r="CJ130" s="27" t="s">
        <v>7</v>
      </c>
      <c r="CK130" s="27" t="s">
        <v>8</v>
      </c>
      <c r="CL130" s="27" t="s">
        <v>7</v>
      </c>
      <c r="CM130" s="27" t="s">
        <v>8</v>
      </c>
      <c r="CN130" s="27" t="s">
        <v>7</v>
      </c>
      <c r="CO130" s="31" t="s">
        <v>8</v>
      </c>
      <c r="CR130" s="27" t="s">
        <v>7</v>
      </c>
      <c r="CV130" s="27" t="s">
        <v>7</v>
      </c>
      <c r="CW130" s="27" t="s">
        <v>8</v>
      </c>
      <c r="CX130" s="27" t="s">
        <v>7</v>
      </c>
      <c r="CY130" s="27" t="s">
        <v>8</v>
      </c>
      <c r="CZ130" s="27" t="s">
        <v>7</v>
      </c>
      <c r="DA130" s="27" t="s">
        <v>8</v>
      </c>
      <c r="DB130" s="27" t="s">
        <v>7</v>
      </c>
      <c r="DC130" s="27" t="s">
        <v>8</v>
      </c>
      <c r="DD130" s="27" t="s">
        <v>7</v>
      </c>
    </row>
    <row r="131" spans="1:108" x14ac:dyDescent="0.25">
      <c r="A131" s="30">
        <v>204.00161173363773</v>
      </c>
      <c r="E131"/>
      <c r="BK131" s="27" t="s">
        <v>8</v>
      </c>
      <c r="BL131" s="27" t="s">
        <v>7</v>
      </c>
      <c r="BN131" s="27" t="s">
        <v>7</v>
      </c>
      <c r="BO131" s="27" t="s">
        <v>8</v>
      </c>
      <c r="BP131" s="27" t="s">
        <v>7</v>
      </c>
      <c r="BQ131" s="27" t="s">
        <v>8</v>
      </c>
      <c r="BX131" s="27" t="s">
        <v>7</v>
      </c>
      <c r="BY131" s="27" t="s">
        <v>8</v>
      </c>
      <c r="BZ131" s="27" t="s">
        <v>7</v>
      </c>
      <c r="CA131" s="27" t="s">
        <v>8</v>
      </c>
      <c r="CJ131" s="27" t="s">
        <v>7</v>
      </c>
      <c r="CK131" s="27" t="s">
        <v>8</v>
      </c>
      <c r="CL131" s="27" t="s">
        <v>7</v>
      </c>
      <c r="CM131" s="27" t="s">
        <v>8</v>
      </c>
      <c r="CN131" s="27" t="s">
        <v>7</v>
      </c>
      <c r="CO131" s="27" t="s">
        <v>8</v>
      </c>
      <c r="CV131" s="27" t="s">
        <v>7</v>
      </c>
      <c r="CX131" s="27" t="s">
        <v>7</v>
      </c>
      <c r="CY131" s="27" t="s">
        <v>8</v>
      </c>
      <c r="CZ131" s="27" t="s">
        <v>7</v>
      </c>
      <c r="DB131" s="27" t="s">
        <v>7</v>
      </c>
      <c r="DC131" s="27" t="s">
        <v>8</v>
      </c>
      <c r="DD131" s="27" t="s">
        <v>7</v>
      </c>
    </row>
    <row r="132" spans="1:108" x14ac:dyDescent="0.25">
      <c r="A132" s="30">
        <v>194.28724927013116</v>
      </c>
      <c r="C132" s="1" t="s">
        <v>13</v>
      </c>
      <c r="E132"/>
      <c r="BK132" s="27" t="s">
        <v>8</v>
      </c>
      <c r="BN132" s="34" t="s">
        <v>7</v>
      </c>
      <c r="BO132" s="27" t="s">
        <v>8</v>
      </c>
      <c r="BP132" s="27" t="s">
        <v>7</v>
      </c>
      <c r="BX132" s="27" t="s">
        <v>7</v>
      </c>
      <c r="BY132" s="27" t="s">
        <v>8</v>
      </c>
      <c r="BZ132" s="27" t="s">
        <v>7</v>
      </c>
      <c r="CA132" s="27" t="s">
        <v>8</v>
      </c>
      <c r="CJ132" s="27" t="s">
        <v>7</v>
      </c>
      <c r="CK132" s="27" t="s">
        <v>8</v>
      </c>
      <c r="CL132" s="27" t="s">
        <v>7</v>
      </c>
      <c r="CN132" s="19" t="s">
        <v>7</v>
      </c>
      <c r="CO132" s="27" t="s">
        <v>8</v>
      </c>
      <c r="CX132" s="27" t="s">
        <v>7</v>
      </c>
      <c r="CY132" s="27" t="s">
        <v>8</v>
      </c>
      <c r="DB132" s="27" t="s">
        <v>7</v>
      </c>
      <c r="DC132" s="27" t="s">
        <v>8</v>
      </c>
      <c r="DD132" s="27" t="s">
        <v>7</v>
      </c>
    </row>
    <row r="133" spans="1:108" x14ac:dyDescent="0.25">
      <c r="A133" s="30">
        <v>185.03547549536299</v>
      </c>
      <c r="C133" s="1" t="str">
        <f>C122</f>
        <v>O</v>
      </c>
      <c r="E133"/>
      <c r="BE133" s="27" t="s">
        <v>8</v>
      </c>
      <c r="BK133" s="27" t="s">
        <v>8</v>
      </c>
      <c r="BN133" s="27" t="s">
        <v>7</v>
      </c>
      <c r="BO133" s="27" t="s">
        <v>8</v>
      </c>
      <c r="BX133" s="31" t="s">
        <v>7</v>
      </c>
      <c r="BY133" s="27" t="s">
        <v>8</v>
      </c>
      <c r="BZ133" s="27" t="s">
        <v>7</v>
      </c>
      <c r="CA133" s="27" t="s">
        <v>8</v>
      </c>
      <c r="CJ133" s="27" t="s">
        <v>7</v>
      </c>
      <c r="CN133" s="27" t="s">
        <v>7</v>
      </c>
      <c r="CX133" s="27" t="s">
        <v>7</v>
      </c>
      <c r="DB133" s="27" t="s">
        <v>7</v>
      </c>
      <c r="DC133" s="27" t="s">
        <v>8</v>
      </c>
      <c r="DD133" s="27" t="s">
        <v>7</v>
      </c>
    </row>
    <row r="134" spans="1:108" x14ac:dyDescent="0.25">
      <c r="A134" s="30">
        <v>176.22426237653616</v>
      </c>
      <c r="C134"/>
      <c r="E134"/>
      <c r="BE134" s="27" t="s">
        <v>8</v>
      </c>
      <c r="BF134" s="27" t="s">
        <v>7</v>
      </c>
      <c r="BK134" s="27" t="s">
        <v>8</v>
      </c>
      <c r="BN134" s="27" t="s">
        <v>7</v>
      </c>
      <c r="BW134" s="31"/>
      <c r="BX134" s="27" t="s">
        <v>7</v>
      </c>
      <c r="BY134" s="27" t="s">
        <v>8</v>
      </c>
      <c r="BZ134" s="27" t="s">
        <v>7</v>
      </c>
      <c r="DB134" s="27" t="s">
        <v>7</v>
      </c>
      <c r="DD134" s="27" t="s">
        <v>7</v>
      </c>
    </row>
    <row r="135" spans="1:108" x14ac:dyDescent="0.25">
      <c r="A135" s="30">
        <v>167.83263083479633</v>
      </c>
      <c r="C135" s="1" t="s">
        <v>14</v>
      </c>
      <c r="E135"/>
      <c r="BC135" s="27" t="s">
        <v>8</v>
      </c>
      <c r="BE135" s="27" t="s">
        <v>8</v>
      </c>
      <c r="BF135" s="27" t="s">
        <v>7</v>
      </c>
      <c r="BG135" s="27" t="s">
        <v>8</v>
      </c>
      <c r="BK135" s="27" t="s">
        <v>8</v>
      </c>
      <c r="BV135" s="31"/>
      <c r="BX135" s="27" t="s">
        <v>7</v>
      </c>
      <c r="BY135" s="27" t="s">
        <v>8</v>
      </c>
      <c r="DD135" s="27" t="s">
        <v>7</v>
      </c>
    </row>
    <row r="136" spans="1:108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  <c r="BC136" s="27" t="s">
        <v>8</v>
      </c>
      <c r="BD136" s="27" t="s">
        <v>7</v>
      </c>
      <c r="BE136" s="27" t="s">
        <v>8</v>
      </c>
      <c r="BF136" s="27" t="s">
        <v>7</v>
      </c>
      <c r="BG136" s="27" t="s">
        <v>8</v>
      </c>
      <c r="BH136" s="27" t="s">
        <v>7</v>
      </c>
      <c r="BK136" s="27" t="s">
        <v>8</v>
      </c>
      <c r="BU136" s="31"/>
      <c r="BX136" s="27" t="s">
        <v>7</v>
      </c>
      <c r="BY136" s="27" t="s">
        <v>8</v>
      </c>
      <c r="DD136" s="27" t="s">
        <v>7</v>
      </c>
    </row>
    <row r="137" spans="1:108" x14ac:dyDescent="0.25">
      <c r="A137" s="30">
        <v>152.22914361432771</v>
      </c>
      <c r="E137"/>
      <c r="BC137" s="27" t="s">
        <v>8</v>
      </c>
      <c r="BD137" s="27" t="s">
        <v>7</v>
      </c>
      <c r="BE137" s="27" t="s">
        <v>8</v>
      </c>
      <c r="BF137" s="27" t="s">
        <v>7</v>
      </c>
      <c r="BG137" s="27" t="s">
        <v>8</v>
      </c>
      <c r="BH137" s="27" t="s">
        <v>7</v>
      </c>
      <c r="BK137" s="33" t="s">
        <v>8</v>
      </c>
      <c r="BT137" s="31"/>
      <c r="BX137" s="27" t="s">
        <v>7</v>
      </c>
      <c r="BY137" s="27" t="s">
        <v>8</v>
      </c>
      <c r="DD137" s="27" t="s">
        <v>7</v>
      </c>
    </row>
    <row r="138" spans="1:108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  <c r="AW138" s="27" t="s">
        <v>8</v>
      </c>
      <c r="BC138" s="33" t="s">
        <v>8</v>
      </c>
      <c r="BD138" s="27" t="s">
        <v>7</v>
      </c>
      <c r="BE138" s="27" t="s">
        <v>8</v>
      </c>
      <c r="BF138" s="27" t="s">
        <v>7</v>
      </c>
      <c r="BH138" s="27" t="s">
        <v>7</v>
      </c>
      <c r="BI138" s="27" t="s">
        <v>8</v>
      </c>
      <c r="BK138" s="27" t="s">
        <v>8</v>
      </c>
      <c r="BS138" s="31"/>
      <c r="BX138" s="27" t="s">
        <v>7</v>
      </c>
      <c r="BY138" s="27" t="s">
        <v>8</v>
      </c>
      <c r="DD138" s="27" t="s">
        <v>7</v>
      </c>
    </row>
    <row r="139" spans="1:108" x14ac:dyDescent="0.25">
      <c r="A139" s="30">
        <v>138.07632073861922</v>
      </c>
      <c r="E139"/>
      <c r="AW139" s="27" t="s">
        <v>8</v>
      </c>
      <c r="AX139" s="27" t="s">
        <v>7</v>
      </c>
      <c r="AY139" s="32" t="s">
        <v>8</v>
      </c>
      <c r="BA139" s="32" t="s">
        <v>8</v>
      </c>
      <c r="BC139" s="27" t="s">
        <v>8</v>
      </c>
      <c r="BD139" s="27" t="s">
        <v>7</v>
      </c>
      <c r="BE139" s="27" t="s">
        <v>8</v>
      </c>
      <c r="BH139" s="34" t="s">
        <v>7</v>
      </c>
      <c r="BI139" s="27" t="s">
        <v>8</v>
      </c>
      <c r="BJ139" s="27" t="s">
        <v>7</v>
      </c>
      <c r="BK139" s="27" t="s">
        <v>8</v>
      </c>
      <c r="BR139" s="31"/>
      <c r="BX139" s="27" t="s">
        <v>7</v>
      </c>
      <c r="BY139" s="27" t="s">
        <v>8</v>
      </c>
      <c r="DD139" s="27" t="s">
        <v>7</v>
      </c>
    </row>
    <row r="140" spans="1:108" x14ac:dyDescent="0.25">
      <c r="A140" s="30">
        <v>131.50125784630401</v>
      </c>
      <c r="C140" s="1">
        <v>0</v>
      </c>
      <c r="E140"/>
      <c r="AW140" s="27" t="s">
        <v>8</v>
      </c>
      <c r="AX140" s="27" t="s">
        <v>7</v>
      </c>
      <c r="AY140" s="27" t="s">
        <v>8</v>
      </c>
      <c r="AZ140" s="27" t="s">
        <v>7</v>
      </c>
      <c r="BA140" s="27" t="s">
        <v>8</v>
      </c>
      <c r="BB140" s="27" t="s">
        <v>7</v>
      </c>
      <c r="BC140" s="27" t="s">
        <v>8</v>
      </c>
      <c r="BD140" s="27" t="s">
        <v>7</v>
      </c>
      <c r="BH140" s="27" t="s">
        <v>7</v>
      </c>
      <c r="BI140" s="27" t="s">
        <v>8</v>
      </c>
      <c r="BJ140" s="27" t="s">
        <v>7</v>
      </c>
      <c r="BK140" s="27" t="s">
        <v>8</v>
      </c>
      <c r="BQ140" s="31"/>
      <c r="BX140" s="27" t="s">
        <v>7</v>
      </c>
      <c r="BY140" s="27" t="s">
        <v>8</v>
      </c>
    </row>
    <row r="141" spans="1:108" x14ac:dyDescent="0.25">
      <c r="A141" s="30">
        <v>125.23929318695619</v>
      </c>
      <c r="C141" s="1">
        <v>1</v>
      </c>
      <c r="E141"/>
      <c r="AW141" s="27" t="s">
        <v>8</v>
      </c>
      <c r="AX141" s="27" t="s">
        <v>7</v>
      </c>
      <c r="AY141" s="27" t="s">
        <v>8</v>
      </c>
      <c r="AZ141" s="27" t="s">
        <v>7</v>
      </c>
      <c r="BA141" s="27" t="s">
        <v>8</v>
      </c>
      <c r="BB141" s="27" t="s">
        <v>7</v>
      </c>
      <c r="BC141" s="27" t="s">
        <v>8</v>
      </c>
      <c r="BH141" s="32" t="s">
        <v>7</v>
      </c>
      <c r="BJ141" s="32" t="s">
        <v>7</v>
      </c>
      <c r="BP141" s="31"/>
      <c r="BX141" s="27" t="s">
        <v>7</v>
      </c>
    </row>
    <row r="142" spans="1:108" x14ac:dyDescent="0.25">
      <c r="A142" s="30">
        <v>119.27551732091065</v>
      </c>
      <c r="C142" s="1">
        <v>2</v>
      </c>
      <c r="E142"/>
      <c r="M142" s="27" t="s">
        <v>8</v>
      </c>
      <c r="AW142" s="27" t="s">
        <v>8</v>
      </c>
      <c r="AX142" s="27" t="s">
        <v>7</v>
      </c>
      <c r="AZ142" s="27" t="s">
        <v>7</v>
      </c>
      <c r="BA142" s="27" t="s">
        <v>8</v>
      </c>
      <c r="BB142" s="27" t="s">
        <v>7</v>
      </c>
      <c r="BC142" s="27" t="s">
        <v>8</v>
      </c>
      <c r="BO142" s="31"/>
    </row>
    <row r="143" spans="1:108" x14ac:dyDescent="0.25">
      <c r="A143" s="30">
        <v>113.59573078181967</v>
      </c>
      <c r="C143" s="1">
        <v>3</v>
      </c>
      <c r="E143"/>
      <c r="M143" s="27" t="s">
        <v>8</v>
      </c>
      <c r="N143" s="27" t="s">
        <v>7</v>
      </c>
      <c r="AW143" s="27" t="s">
        <v>8</v>
      </c>
      <c r="AZ143" s="27" t="s">
        <v>7</v>
      </c>
      <c r="BB143" s="27" t="s">
        <v>7</v>
      </c>
      <c r="BC143" s="27" t="s">
        <v>8</v>
      </c>
      <c r="BN143" s="31"/>
    </row>
    <row r="144" spans="1:108" x14ac:dyDescent="0.25">
      <c r="A144" s="30">
        <v>108.18641026839968</v>
      </c>
      <c r="C144" s="1">
        <v>4</v>
      </c>
      <c r="E144"/>
      <c r="M144" s="27" t="s">
        <v>8</v>
      </c>
      <c r="N144" s="27" t="s">
        <v>7</v>
      </c>
      <c r="AW144" s="27" t="s">
        <v>8</v>
      </c>
      <c r="BB144" s="27" t="s">
        <v>7</v>
      </c>
      <c r="BM144" s="31"/>
    </row>
    <row r="145" spans="1:64" x14ac:dyDescent="0.25">
      <c r="A145" s="30">
        <v>103.03467644609493</v>
      </c>
      <c r="E145"/>
      <c r="M145" s="27" t="s">
        <v>8</v>
      </c>
      <c r="N145" s="27" t="s">
        <v>7</v>
      </c>
      <c r="O145" s="27" t="s">
        <v>8</v>
      </c>
      <c r="AU145" s="27" t="s">
        <v>8</v>
      </c>
      <c r="AW145" s="27" t="s">
        <v>8</v>
      </c>
      <c r="BL145" s="31"/>
    </row>
    <row r="146" spans="1:64" x14ac:dyDescent="0.25">
      <c r="A146" s="30">
        <v>98.128263281995174</v>
      </c>
      <c r="E146"/>
      <c r="K146" s="27" t="s">
        <v>8</v>
      </c>
      <c r="M146" s="27" t="s">
        <v>8</v>
      </c>
      <c r="N146" s="27" t="s">
        <v>7</v>
      </c>
      <c r="O146" s="27" t="s">
        <v>8</v>
      </c>
      <c r="P146" s="27" t="s">
        <v>7</v>
      </c>
      <c r="AU146" s="27" t="s">
        <v>8</v>
      </c>
      <c r="AV146" s="27" t="s">
        <v>7</v>
      </c>
      <c r="AW146" s="27" t="s">
        <v>8</v>
      </c>
      <c r="BK146" s="31"/>
    </row>
    <row r="147" spans="1:64" x14ac:dyDescent="0.25">
      <c r="A147" s="30">
        <v>93.455488839995397</v>
      </c>
      <c r="E147"/>
      <c r="I147" s="27" t="s">
        <v>8</v>
      </c>
      <c r="K147" s="27" t="s">
        <v>8</v>
      </c>
      <c r="L147" s="27" t="s">
        <v>7</v>
      </c>
      <c r="M147" s="27" t="s">
        <v>8</v>
      </c>
      <c r="N147" s="27" t="s">
        <v>7</v>
      </c>
      <c r="O147" s="27" t="s">
        <v>8</v>
      </c>
      <c r="P147" s="27" t="s">
        <v>7</v>
      </c>
      <c r="S147" s="27" t="s">
        <v>8</v>
      </c>
      <c r="AI147" s="27" t="s">
        <v>8</v>
      </c>
      <c r="AU147" s="27" t="s">
        <v>8</v>
      </c>
      <c r="AV147" s="27" t="s">
        <v>7</v>
      </c>
      <c r="AW147" s="27" t="s">
        <v>8</v>
      </c>
      <c r="BJ147" s="31"/>
    </row>
    <row r="148" spans="1:64" x14ac:dyDescent="0.25">
      <c r="A148" s="30">
        <v>89.005227466662276</v>
      </c>
      <c r="E148"/>
      <c r="I148" s="27" t="s">
        <v>8</v>
      </c>
      <c r="J148" s="27" t="s">
        <v>7</v>
      </c>
      <c r="K148" s="27" t="s">
        <v>8</v>
      </c>
      <c r="L148" s="27" t="s">
        <v>7</v>
      </c>
      <c r="M148" s="27" t="s">
        <v>8</v>
      </c>
      <c r="N148" s="27" t="s">
        <v>7</v>
      </c>
      <c r="O148" s="27" t="s">
        <v>8</v>
      </c>
      <c r="P148" s="27" t="s">
        <v>7</v>
      </c>
      <c r="Q148" s="27" t="s">
        <v>8</v>
      </c>
      <c r="S148" s="27" t="s">
        <v>8</v>
      </c>
      <c r="T148" s="27" t="s">
        <v>7</v>
      </c>
      <c r="AI148" s="27" t="s">
        <v>8</v>
      </c>
      <c r="AJ148" s="27" t="s">
        <v>7</v>
      </c>
      <c r="AU148" s="27" t="s">
        <v>8</v>
      </c>
      <c r="AV148" s="27" t="s">
        <v>7</v>
      </c>
      <c r="AW148" s="27" t="s">
        <v>8</v>
      </c>
      <c r="BI148" s="31"/>
    </row>
    <row r="149" spans="1:64" x14ac:dyDescent="0.25">
      <c r="A149" s="30">
        <v>84.766883301583121</v>
      </c>
      <c r="E149"/>
      <c r="I149" s="27" t="s">
        <v>8</v>
      </c>
      <c r="J149" s="27" t="s">
        <v>7</v>
      </c>
      <c r="K149" s="27" t="s">
        <v>8</v>
      </c>
      <c r="L149" s="27" t="s">
        <v>7</v>
      </c>
      <c r="N149" s="27" t="s">
        <v>7</v>
      </c>
      <c r="P149" s="27" t="s">
        <v>7</v>
      </c>
      <c r="Q149" s="27" t="s">
        <v>8</v>
      </c>
      <c r="R149" s="27" t="s">
        <v>7</v>
      </c>
      <c r="S149" s="27" t="s">
        <v>8</v>
      </c>
      <c r="T149" s="27" t="s">
        <v>7</v>
      </c>
      <c r="AI149" s="27" t="s">
        <v>8</v>
      </c>
      <c r="AJ149" s="27" t="s">
        <v>7</v>
      </c>
      <c r="AU149" s="27" t="s">
        <v>8</v>
      </c>
      <c r="AV149" s="27" t="s">
        <v>7</v>
      </c>
      <c r="AW149" s="27" t="s">
        <v>8</v>
      </c>
      <c r="BH149" s="31"/>
    </row>
    <row r="150" spans="1:64" x14ac:dyDescent="0.25">
      <c r="A150" s="30">
        <v>80.730365049126775</v>
      </c>
      <c r="E150"/>
      <c r="I150" s="27" t="s">
        <v>8</v>
      </c>
      <c r="J150" s="27" t="s">
        <v>7</v>
      </c>
      <c r="K150" s="27" t="s">
        <v>8</v>
      </c>
      <c r="P150" s="27" t="s">
        <v>7</v>
      </c>
      <c r="Q150" s="27" t="s">
        <v>8</v>
      </c>
      <c r="R150" s="27" t="s">
        <v>7</v>
      </c>
      <c r="S150" s="27" t="s">
        <v>8</v>
      </c>
      <c r="T150" s="27" t="s">
        <v>7</v>
      </c>
      <c r="U150" s="27" t="s">
        <v>8</v>
      </c>
      <c r="AI150" s="27" t="s">
        <v>8</v>
      </c>
      <c r="AJ150" s="27" t="s">
        <v>7</v>
      </c>
      <c r="AU150" s="27" t="s">
        <v>8</v>
      </c>
      <c r="AV150" s="27" t="s">
        <v>7</v>
      </c>
      <c r="AW150" s="27" t="s">
        <v>8</v>
      </c>
      <c r="BG150" s="31"/>
    </row>
    <row r="151" spans="1:64" x14ac:dyDescent="0.25">
      <c r="A151" s="30">
        <v>76.886061951549308</v>
      </c>
      <c r="E151"/>
      <c r="I151" s="27" t="s">
        <v>8</v>
      </c>
      <c r="J151" s="27" t="s">
        <v>7</v>
      </c>
      <c r="P151" s="27" t="s">
        <v>7</v>
      </c>
      <c r="R151" s="27" t="s">
        <v>7</v>
      </c>
      <c r="S151" s="27" t="s">
        <v>8</v>
      </c>
      <c r="T151" s="27" t="s">
        <v>7</v>
      </c>
      <c r="U151" s="27" t="s">
        <v>8</v>
      </c>
      <c r="V151" s="27" t="s">
        <v>7</v>
      </c>
      <c r="AI151" s="27" t="s">
        <v>8</v>
      </c>
      <c r="AJ151" s="27" t="s">
        <v>7</v>
      </c>
      <c r="AU151" s="27" t="s">
        <v>8</v>
      </c>
      <c r="AV151" s="27" t="s">
        <v>7</v>
      </c>
      <c r="BF151" s="31"/>
    </row>
    <row r="152" spans="1:64" x14ac:dyDescent="0.25">
      <c r="A152" s="30">
        <v>73.22482090623744</v>
      </c>
      <c r="E152"/>
      <c r="I152" s="27" t="s">
        <v>8</v>
      </c>
      <c r="R152" s="27" t="s">
        <v>7</v>
      </c>
      <c r="T152" s="27" t="s">
        <v>7</v>
      </c>
      <c r="U152" s="27" t="s">
        <v>8</v>
      </c>
      <c r="V152" s="27" t="s">
        <v>7</v>
      </c>
      <c r="AI152" s="27" t="s">
        <v>8</v>
      </c>
      <c r="AJ152" s="27" t="s">
        <v>7</v>
      </c>
      <c r="AU152" s="27" t="s">
        <v>8</v>
      </c>
      <c r="BE152" s="31"/>
    </row>
    <row r="153" spans="1:64" x14ac:dyDescent="0.25">
      <c r="A153" s="30">
        <v>69.737924672607079</v>
      </c>
      <c r="C153" s="7"/>
      <c r="D153"/>
      <c r="E153" t="s">
        <v>8</v>
      </c>
      <c r="G153" s="27" t="s">
        <v>8</v>
      </c>
      <c r="I153" s="27" t="s">
        <v>8</v>
      </c>
      <c r="T153" s="27" t="s">
        <v>7</v>
      </c>
      <c r="U153" s="27" t="s">
        <v>8</v>
      </c>
      <c r="V153" s="27" t="s">
        <v>7</v>
      </c>
      <c r="W153" s="27" t="s">
        <v>8</v>
      </c>
      <c r="AG153" s="27" t="s">
        <v>8</v>
      </c>
      <c r="AI153" s="27" t="s">
        <v>8</v>
      </c>
      <c r="AJ153" s="27" t="s">
        <v>7</v>
      </c>
      <c r="AS153" s="27" t="s">
        <v>8</v>
      </c>
      <c r="AU153" s="27" t="s">
        <v>8</v>
      </c>
      <c r="BD153" s="31"/>
    </row>
    <row r="154" spans="1:64" x14ac:dyDescent="0.25">
      <c r="A154" s="30">
        <v>66.417071116768639</v>
      </c>
      <c r="E154" t="s">
        <v>8</v>
      </c>
      <c r="F154" s="27" t="s">
        <v>7</v>
      </c>
      <c r="G154" s="27" t="s">
        <v>8</v>
      </c>
      <c r="H154" s="27" t="s">
        <v>7</v>
      </c>
      <c r="I154" s="27" t="s">
        <v>8</v>
      </c>
      <c r="T154" s="27" t="s">
        <v>7</v>
      </c>
      <c r="V154" s="27" t="s">
        <v>7</v>
      </c>
      <c r="W154" s="27" t="s">
        <v>8</v>
      </c>
      <c r="X154" s="27" t="s">
        <v>7</v>
      </c>
      <c r="AA154" s="27" t="s">
        <v>8</v>
      </c>
      <c r="AC154" s="27" t="s">
        <v>8</v>
      </c>
      <c r="AG154" s="27" t="s">
        <v>8</v>
      </c>
      <c r="AH154" s="27" t="s">
        <v>7</v>
      </c>
      <c r="AI154" s="27" t="s">
        <v>8</v>
      </c>
      <c r="AJ154" s="27" t="s">
        <v>7</v>
      </c>
      <c r="AQ154" s="27" t="s">
        <v>8</v>
      </c>
      <c r="AS154" s="27" t="s">
        <v>8</v>
      </c>
      <c r="AT154" s="27" t="s">
        <v>7</v>
      </c>
      <c r="AU154" s="27" t="s">
        <v>8</v>
      </c>
      <c r="BC154" s="31"/>
    </row>
    <row r="155" spans="1:64" x14ac:dyDescent="0.25">
      <c r="A155" s="30">
        <v>63.254353444541557</v>
      </c>
      <c r="E155" t="s">
        <v>8</v>
      </c>
      <c r="F155" s="27" t="s">
        <v>7</v>
      </c>
      <c r="G155" s="27" t="s">
        <v>8</v>
      </c>
      <c r="H155" s="27" t="s">
        <v>7</v>
      </c>
      <c r="I155" s="27" t="s">
        <v>8</v>
      </c>
      <c r="V155" s="27" t="s">
        <v>7</v>
      </c>
      <c r="W155" s="27" t="s">
        <v>8</v>
      </c>
      <c r="X155" s="27" t="s">
        <v>7</v>
      </c>
      <c r="AA155" s="27" t="s">
        <v>8</v>
      </c>
      <c r="AB155" s="27" t="s">
        <v>7</v>
      </c>
      <c r="AC155" s="27" t="s">
        <v>8</v>
      </c>
      <c r="AD155" s="27" t="s">
        <v>7</v>
      </c>
      <c r="AG155" s="27" t="s">
        <v>8</v>
      </c>
      <c r="AH155" s="27" t="s">
        <v>7</v>
      </c>
      <c r="AI155" s="27" t="s">
        <v>8</v>
      </c>
      <c r="AJ155" s="27" t="s">
        <v>7</v>
      </c>
      <c r="AQ155" s="27" t="s">
        <v>8</v>
      </c>
      <c r="AR155" s="27" t="s">
        <v>7</v>
      </c>
      <c r="AS155" s="27" t="s">
        <v>8</v>
      </c>
      <c r="AT155" s="27" t="s">
        <v>7</v>
      </c>
      <c r="AU155" s="27" t="s">
        <v>8</v>
      </c>
      <c r="BB155" s="31"/>
    </row>
    <row r="156" spans="1:64" x14ac:dyDescent="0.25">
      <c r="A156" s="30">
        <v>60.242241375753864</v>
      </c>
      <c r="C156"/>
      <c r="D156"/>
      <c r="E156" t="s">
        <v>8</v>
      </c>
      <c r="F156" s="27" t="s">
        <v>7</v>
      </c>
      <c r="H156" s="27" t="s">
        <v>7</v>
      </c>
      <c r="V156" s="27" t="s">
        <v>7</v>
      </c>
      <c r="W156" s="27" t="s">
        <v>8</v>
      </c>
      <c r="X156" s="27" t="s">
        <v>7</v>
      </c>
      <c r="Y156" s="27" t="s">
        <v>8</v>
      </c>
      <c r="AA156" s="27" t="s">
        <v>8</v>
      </c>
      <c r="AB156" s="27" t="s">
        <v>7</v>
      </c>
      <c r="AC156" s="27" t="s">
        <v>8</v>
      </c>
      <c r="AD156" s="27" t="s">
        <v>7</v>
      </c>
      <c r="AG156" s="27" t="s">
        <v>8</v>
      </c>
      <c r="AH156" s="27" t="s">
        <v>7</v>
      </c>
      <c r="AJ156" s="27" t="s">
        <v>7</v>
      </c>
      <c r="AO156" s="27" t="s">
        <v>8</v>
      </c>
      <c r="AQ156" s="27" t="s">
        <v>8</v>
      </c>
      <c r="AR156" s="27" t="s">
        <v>7</v>
      </c>
      <c r="AS156" s="27" t="s">
        <v>8</v>
      </c>
      <c r="AT156" s="27" t="s">
        <v>7</v>
      </c>
      <c r="BA156" s="31"/>
    </row>
    <row r="157" spans="1:64" x14ac:dyDescent="0.25">
      <c r="A157" s="30">
        <v>57.373563215003678</v>
      </c>
      <c r="E157" t="s">
        <v>8</v>
      </c>
      <c r="V157" s="27" t="s">
        <v>7</v>
      </c>
      <c r="W157" s="27" t="s">
        <v>8</v>
      </c>
      <c r="X157" s="27" t="s">
        <v>7</v>
      </c>
      <c r="Y157" s="27" t="s">
        <v>8</v>
      </c>
      <c r="Z157" s="27" t="s">
        <v>7</v>
      </c>
      <c r="AA157" s="27" t="s">
        <v>8</v>
      </c>
      <c r="AB157" s="27" t="s">
        <v>7</v>
      </c>
      <c r="AD157" s="27" t="s">
        <v>7</v>
      </c>
      <c r="AE157" s="27" t="s">
        <v>8</v>
      </c>
      <c r="AG157" s="27" t="s">
        <v>8</v>
      </c>
      <c r="AJ157" s="27" t="s">
        <v>7</v>
      </c>
      <c r="AO157" s="27" t="s">
        <v>8</v>
      </c>
      <c r="AP157" s="27" t="s">
        <v>7</v>
      </c>
      <c r="AQ157" s="27" t="s">
        <v>8</v>
      </c>
      <c r="AR157" s="27" t="s">
        <v>7</v>
      </c>
      <c r="AS157" s="27" t="s">
        <v>8</v>
      </c>
      <c r="AZ157" s="31"/>
    </row>
    <row r="158" spans="1:64" x14ac:dyDescent="0.25">
      <c r="A158" s="30">
        <v>54.641488776193974</v>
      </c>
      <c r="E158" t="s">
        <v>8</v>
      </c>
      <c r="V158" s="27" t="s">
        <v>7</v>
      </c>
      <c r="X158" s="27" t="s">
        <v>7</v>
      </c>
      <c r="Y158" s="27" t="s">
        <v>8</v>
      </c>
      <c r="Z158" s="27" t="s">
        <v>7</v>
      </c>
      <c r="AA158" s="27" t="s">
        <v>8</v>
      </c>
      <c r="AD158" s="27" t="s">
        <v>7</v>
      </c>
      <c r="AE158" s="27" t="s">
        <v>8</v>
      </c>
      <c r="AF158" s="27" t="s">
        <v>7</v>
      </c>
      <c r="AG158" s="27" t="s">
        <v>8</v>
      </c>
      <c r="AJ158" s="27" t="s">
        <v>7</v>
      </c>
      <c r="AO158" s="27" t="s">
        <v>8</v>
      </c>
      <c r="AP158" s="27" t="s">
        <v>7</v>
      </c>
      <c r="AQ158" s="27" t="s">
        <v>8</v>
      </c>
      <c r="AR158" s="27" t="s">
        <v>7</v>
      </c>
      <c r="AY158" s="31"/>
    </row>
    <row r="159" spans="1:64" x14ac:dyDescent="0.25">
      <c r="A159" s="30">
        <v>52.039513120184736</v>
      </c>
      <c r="E159" t="s">
        <v>8</v>
      </c>
      <c r="X159" s="27" t="s">
        <v>7</v>
      </c>
      <c r="Z159" s="27" t="s">
        <v>7</v>
      </c>
      <c r="AD159" s="27" t="s">
        <v>7</v>
      </c>
      <c r="AE159" s="27" t="s">
        <v>8</v>
      </c>
      <c r="AF159" s="27" t="s">
        <v>7</v>
      </c>
      <c r="AG159" s="27" t="s">
        <v>8</v>
      </c>
      <c r="AJ159" s="27" t="s">
        <v>7</v>
      </c>
      <c r="AO159" s="27" t="s">
        <v>8</v>
      </c>
      <c r="AP159" s="27" t="s">
        <v>7</v>
      </c>
      <c r="AX159" s="31"/>
    </row>
    <row r="160" spans="1:64" x14ac:dyDescent="0.25">
      <c r="A160" s="30">
        <v>49.561441066842605</v>
      </c>
      <c r="C160"/>
      <c r="E160" t="s">
        <v>8</v>
      </c>
      <c r="AD160" s="27" t="s">
        <v>7</v>
      </c>
      <c r="AE160" s="27" t="s">
        <v>8</v>
      </c>
      <c r="AF160" s="27" t="s">
        <v>7</v>
      </c>
      <c r="AG160" s="27" t="s">
        <v>8</v>
      </c>
      <c r="AJ160" s="27" t="s">
        <v>7</v>
      </c>
      <c r="AO160" s="27" t="s">
        <v>8</v>
      </c>
      <c r="AW160" s="31"/>
    </row>
    <row r="161" spans="1:48" x14ac:dyDescent="0.25">
      <c r="A161" s="30">
        <v>47.201372444612005</v>
      </c>
      <c r="E161" t="s">
        <v>8</v>
      </c>
      <c r="AD161" s="27" t="s">
        <v>7</v>
      </c>
      <c r="AF161" s="27" t="s">
        <v>7</v>
      </c>
      <c r="AG161" s="27" t="s">
        <v>8</v>
      </c>
      <c r="AJ161" s="27" t="s">
        <v>7</v>
      </c>
      <c r="AO161" s="27" t="s">
        <v>8</v>
      </c>
      <c r="AV161" s="31"/>
    </row>
    <row r="162" spans="1:48" x14ac:dyDescent="0.25">
      <c r="A162" s="30">
        <v>44.95368804248762</v>
      </c>
      <c r="E162" t="s">
        <v>8</v>
      </c>
      <c r="AF162" s="27" t="s">
        <v>7</v>
      </c>
      <c r="AJ162" s="27" t="s">
        <v>7</v>
      </c>
      <c r="AM162" s="27" t="s">
        <v>8</v>
      </c>
      <c r="AO162" s="27" t="s">
        <v>8</v>
      </c>
      <c r="AU162" s="31"/>
    </row>
    <row r="163" spans="1:48" x14ac:dyDescent="0.25">
      <c r="A163" s="30">
        <v>42.81303623094059</v>
      </c>
      <c r="E163" t="s">
        <v>8</v>
      </c>
      <c r="AJ163" s="27" t="s">
        <v>7</v>
      </c>
      <c r="AM163" s="27" t="s">
        <v>8</v>
      </c>
      <c r="AN163" s="27" t="s">
        <v>7</v>
      </c>
      <c r="AO163" s="27" t="s">
        <v>8</v>
      </c>
      <c r="AT163" s="31"/>
    </row>
    <row r="164" spans="1:48" x14ac:dyDescent="0.25">
      <c r="A164" s="30">
        <v>40.774320219943419</v>
      </c>
      <c r="E164" t="s">
        <v>8</v>
      </c>
      <c r="AJ164" s="27" t="s">
        <v>7</v>
      </c>
      <c r="AK164" s="27" t="s">
        <v>8</v>
      </c>
      <c r="AM164" s="27" t="s">
        <v>8</v>
      </c>
      <c r="AN164" s="27" t="s">
        <v>7</v>
      </c>
      <c r="AO164" s="27" t="s">
        <v>8</v>
      </c>
      <c r="AS164" s="31"/>
    </row>
    <row r="165" spans="1:48" x14ac:dyDescent="0.25">
      <c r="A165" s="30">
        <v>38.832685923755633</v>
      </c>
      <c r="E165" t="s">
        <v>8</v>
      </c>
      <c r="AJ165" s="27" t="s">
        <v>7</v>
      </c>
      <c r="AK165" s="27" t="s">
        <v>8</v>
      </c>
      <c r="AL165" s="27" t="s">
        <v>7</v>
      </c>
      <c r="AM165" s="27" t="s">
        <v>8</v>
      </c>
      <c r="AN165" s="27" t="s">
        <v>7</v>
      </c>
      <c r="AR165" s="31"/>
    </row>
    <row r="166" spans="1:48" x14ac:dyDescent="0.25">
      <c r="A166" s="30">
        <v>36.983510403576794</v>
      </c>
      <c r="E166" t="s">
        <v>8</v>
      </c>
      <c r="AJ166" s="27" t="s">
        <v>7</v>
      </c>
      <c r="AK166" s="27" t="s">
        <v>8</v>
      </c>
      <c r="AL166" s="27" t="s">
        <v>7</v>
      </c>
      <c r="AM166" s="27" t="s">
        <v>8</v>
      </c>
      <c r="AQ166" s="31"/>
    </row>
    <row r="167" spans="1:48" x14ac:dyDescent="0.25">
      <c r="A167" s="30">
        <v>35.222390860549325</v>
      </c>
      <c r="E167" t="s">
        <v>8</v>
      </c>
      <c r="AJ167" s="27" t="s">
        <v>7</v>
      </c>
      <c r="AK167" s="27" t="s">
        <v>8</v>
      </c>
      <c r="AL167" s="27" t="s">
        <v>7</v>
      </c>
      <c r="AM167" s="27" t="s">
        <v>8</v>
      </c>
      <c r="AP167" s="31"/>
    </row>
    <row r="168" spans="1:48" x14ac:dyDescent="0.25">
      <c r="A168" s="30">
        <v>33.545134152904119</v>
      </c>
      <c r="E168" t="s">
        <v>8</v>
      </c>
      <c r="AJ168" s="27" t="s">
        <v>7</v>
      </c>
      <c r="AK168" s="27" t="s">
        <v>8</v>
      </c>
      <c r="AL168" s="27" t="s">
        <v>7</v>
      </c>
      <c r="AM168" s="27" t="s">
        <v>8</v>
      </c>
      <c r="AO168" s="31"/>
    </row>
    <row r="169" spans="1:48" x14ac:dyDescent="0.25">
      <c r="A169" s="30">
        <v>31.947746812289637</v>
      </c>
      <c r="E169" t="s">
        <v>8</v>
      </c>
      <c r="AJ169" s="27" t="s">
        <v>7</v>
      </c>
      <c r="AK169" s="27" t="s">
        <v>8</v>
      </c>
      <c r="AL169" s="27" t="s">
        <v>7</v>
      </c>
      <c r="AM169" s="27" t="s">
        <v>8</v>
      </c>
      <c r="AN169" s="31"/>
    </row>
    <row r="170" spans="1:48" x14ac:dyDescent="0.25">
      <c r="A170" s="30">
        <v>30.426425535513939</v>
      </c>
      <c r="E170" t="s">
        <v>8</v>
      </c>
      <c r="AJ170" s="27" t="s">
        <v>7</v>
      </c>
      <c r="AK170" s="27" t="s">
        <v>8</v>
      </c>
      <c r="AL170" s="27" t="s">
        <v>7</v>
      </c>
      <c r="AM170" s="31"/>
    </row>
    <row r="171" spans="1:48" x14ac:dyDescent="0.25">
      <c r="A171" s="30">
        <v>28.977548129060892</v>
      </c>
      <c r="E171" t="s">
        <v>8</v>
      </c>
      <c r="AJ171" s="27" t="s">
        <v>7</v>
      </c>
      <c r="AK171" s="27" t="s">
        <v>8</v>
      </c>
      <c r="AL171" s="31"/>
    </row>
    <row r="172" spans="1:48" x14ac:dyDescent="0.25">
      <c r="A172" s="30">
        <v>27.597664884819896</v>
      </c>
      <c r="E172" t="s">
        <v>8</v>
      </c>
      <c r="AJ172" s="27" t="s">
        <v>7</v>
      </c>
      <c r="AK172" s="31" t="s">
        <v>8</v>
      </c>
    </row>
    <row r="173" spans="1:48" x14ac:dyDescent="0.25">
      <c r="A173" s="30">
        <v>26.283490366495137</v>
      </c>
      <c r="E173" t="s">
        <v>8</v>
      </c>
      <c r="AJ173" s="31" t="s">
        <v>7</v>
      </c>
    </row>
    <row r="174" spans="1:48" x14ac:dyDescent="0.25">
      <c r="A174" s="30">
        <v>25.031895587138223</v>
      </c>
      <c r="E174" t="s">
        <v>8</v>
      </c>
    </row>
    <row r="175" spans="1:48" x14ac:dyDescent="0.25">
      <c r="A175" s="30">
        <v>23.839900559179259</v>
      </c>
      <c r="E175" t="s">
        <v>8</v>
      </c>
    </row>
    <row r="176" spans="1:48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470" operator="equal">
      <formula>$U$1</formula>
    </cfRule>
    <cfRule type="cellIs" dxfId="67" priority="1471" operator="equal">
      <formula>$S$1</formula>
    </cfRule>
  </conditionalFormatting>
  <conditionalFormatting sqref="D136">
    <cfRule type="cellIs" dxfId="66" priority="1468" operator="equal">
      <formula>$S$1</formula>
    </cfRule>
    <cfRule type="cellIs" dxfId="65" priority="1469" operator="equal">
      <formula>$U$1</formula>
    </cfRule>
  </conditionalFormatting>
  <conditionalFormatting sqref="C162">
    <cfRule type="cellIs" dxfId="64" priority="1466" operator="equal">
      <formula>$U$1</formula>
    </cfRule>
    <cfRule type="cellIs" dxfId="63" priority="1467" operator="equal">
      <formula>$S$1</formula>
    </cfRule>
  </conditionalFormatting>
  <conditionalFormatting sqref="D162">
    <cfRule type="cellIs" dxfId="62" priority="1464" operator="equal">
      <formula>$S$1</formula>
    </cfRule>
    <cfRule type="cellIs" dxfId="61" priority="1465" operator="equal">
      <formula>$U$1</formula>
    </cfRule>
  </conditionalFormatting>
  <conditionalFormatting sqref="C187">
    <cfRule type="cellIs" dxfId="60" priority="1462" operator="equal">
      <formula>$U$1</formula>
    </cfRule>
    <cfRule type="cellIs" dxfId="59" priority="1463" operator="equal">
      <formula>$S$1</formula>
    </cfRule>
  </conditionalFormatting>
  <conditionalFormatting sqref="D187">
    <cfRule type="cellIs" dxfId="58" priority="1460" operator="equal">
      <formula>$S$1</formula>
    </cfRule>
    <cfRule type="cellIs" dxfId="57" priority="1461" operator="equal">
      <formula>$U$1</formula>
    </cfRule>
  </conditionalFormatting>
  <conditionalFormatting sqref="C212">
    <cfRule type="cellIs" dxfId="56" priority="1458" operator="equal">
      <formula>$U$1</formula>
    </cfRule>
    <cfRule type="cellIs" dxfId="55" priority="1459" operator="equal">
      <formula>$S$1</formula>
    </cfRule>
  </conditionalFormatting>
  <conditionalFormatting sqref="D212">
    <cfRule type="cellIs" dxfId="54" priority="1456" operator="equal">
      <formula>$S$1</formula>
    </cfRule>
    <cfRule type="cellIs" dxfId="53" priority="1457" operator="equal">
      <formula>$U$1</formula>
    </cfRule>
  </conditionalFormatting>
  <conditionalFormatting sqref="C237">
    <cfRule type="cellIs" dxfId="52" priority="1454" operator="equal">
      <formula>$U$1</formula>
    </cfRule>
    <cfRule type="cellIs" dxfId="51" priority="1455" operator="equal">
      <formula>$S$1</formula>
    </cfRule>
  </conditionalFormatting>
  <conditionalFormatting sqref="D237">
    <cfRule type="cellIs" dxfId="50" priority="1452" operator="equal">
      <formula>$S$1</formula>
    </cfRule>
    <cfRule type="cellIs" dxfId="49" priority="1453" operator="equal">
      <formula>$U$1</formula>
    </cfRule>
  </conditionalFormatting>
  <conditionalFormatting sqref="C106">
    <cfRule type="cellIs" dxfId="48" priority="1450" operator="equal">
      <formula>$U$1</formula>
    </cfRule>
    <cfRule type="cellIs" dxfId="47" priority="1451" operator="equal">
      <formula>$S$1</formula>
    </cfRule>
  </conditionalFormatting>
  <conditionalFormatting sqref="D106">
    <cfRule type="cellIs" dxfId="46" priority="1448" operator="equal">
      <formula>$S$1</formula>
    </cfRule>
    <cfRule type="cellIs" dxfId="45" priority="1449" operator="equal">
      <formula>$U$1</formula>
    </cfRule>
  </conditionalFormatting>
  <conditionalFormatting sqref="C81">
    <cfRule type="cellIs" dxfId="44" priority="1446" operator="equal">
      <formula>$U$1</formula>
    </cfRule>
    <cfRule type="cellIs" dxfId="43" priority="1447" operator="equal">
      <formula>$S$1</formula>
    </cfRule>
  </conditionalFormatting>
  <conditionalFormatting sqref="D81">
    <cfRule type="cellIs" dxfId="42" priority="1444" operator="equal">
      <formula>$S$1</formula>
    </cfRule>
    <cfRule type="cellIs" dxfId="41" priority="1445" operator="equal">
      <formula>$U$1</formula>
    </cfRule>
  </conditionalFormatting>
  <conditionalFormatting sqref="C56">
    <cfRule type="cellIs" dxfId="40" priority="1442" operator="equal">
      <formula>$U$1</formula>
    </cfRule>
    <cfRule type="cellIs" dxfId="39" priority="1443" operator="equal">
      <formula>$S$1</formula>
    </cfRule>
  </conditionalFormatting>
  <conditionalFormatting sqref="D56">
    <cfRule type="cellIs" dxfId="38" priority="1440" operator="equal">
      <formula>$S$1</formula>
    </cfRule>
    <cfRule type="cellIs" dxfId="37" priority="1441" operator="equal">
      <formula>$U$1</formula>
    </cfRule>
  </conditionalFormatting>
  <conditionalFormatting sqref="C31">
    <cfRule type="cellIs" dxfId="36" priority="1438" operator="equal">
      <formula>$U$1</formula>
    </cfRule>
    <cfRule type="cellIs" dxfId="35" priority="1439" operator="equal">
      <formula>$S$1</formula>
    </cfRule>
  </conditionalFormatting>
  <conditionalFormatting sqref="D31">
    <cfRule type="cellIs" dxfId="34" priority="1436" operator="equal">
      <formula>$S$1</formula>
    </cfRule>
    <cfRule type="cellIs" dxfId="33" priority="143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46" zoomScale="90" zoomScaleNormal="90" workbookViewId="0">
      <pane xSplit="4" topLeftCell="G1" activePane="topRight" state="frozen"/>
      <selection activeCell="A109" sqref="A109"/>
      <selection pane="topRight" activeCell="AB69" sqref="AB6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28" x14ac:dyDescent="0.25">
      <c r="A49" s="30">
        <v>955.59381772732638</v>
      </c>
      <c r="C49" s="1">
        <f>C38</f>
        <v>0</v>
      </c>
      <c r="E49"/>
    </row>
    <row r="50" spans="1:28" x14ac:dyDescent="0.25">
      <c r="A50" s="30">
        <v>868.72165247938756</v>
      </c>
      <c r="C50"/>
      <c r="D50"/>
      <c r="E50"/>
    </row>
    <row r="51" spans="1:28" x14ac:dyDescent="0.25">
      <c r="A51" s="30">
        <v>789.74695679944318</v>
      </c>
      <c r="C51" s="1" t="s">
        <v>14</v>
      </c>
      <c r="E51"/>
    </row>
    <row r="52" spans="1:28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28" x14ac:dyDescent="0.25">
      <c r="A53" s="30">
        <v>652.68343537144051</v>
      </c>
      <c r="E53"/>
    </row>
    <row r="54" spans="1:28" x14ac:dyDescent="0.25">
      <c r="A54" s="30">
        <v>593.34857761040041</v>
      </c>
      <c r="E54"/>
    </row>
    <row r="55" spans="1:28" x14ac:dyDescent="0.25">
      <c r="A55" s="30">
        <v>539.40779782763673</v>
      </c>
      <c r="E55"/>
    </row>
    <row r="56" spans="1:28" x14ac:dyDescent="0.25">
      <c r="A56" s="30">
        <v>490.37072529785149</v>
      </c>
      <c r="E56"/>
      <c r="S56" s="31" t="s">
        <v>8</v>
      </c>
    </row>
    <row r="57" spans="1:28" x14ac:dyDescent="0.25">
      <c r="A57" s="30">
        <v>445.79156845259223</v>
      </c>
      <c r="E57"/>
      <c r="S57" s="27" t="s">
        <v>8</v>
      </c>
      <c r="T57" s="31" t="s">
        <v>7</v>
      </c>
    </row>
    <row r="58" spans="1:28" x14ac:dyDescent="0.25">
      <c r="A58" s="30">
        <v>405.26506222962928</v>
      </c>
      <c r="E58"/>
      <c r="Q58" s="27" t="s">
        <v>8</v>
      </c>
      <c r="S58" s="27" t="s">
        <v>8</v>
      </c>
      <c r="T58" s="27" t="s">
        <v>7</v>
      </c>
      <c r="U58" s="31"/>
    </row>
    <row r="59" spans="1:28" x14ac:dyDescent="0.25">
      <c r="A59" s="30">
        <v>368.42278384511752</v>
      </c>
      <c r="E59"/>
      <c r="Q59" s="27" t="s">
        <v>8</v>
      </c>
      <c r="R59" s="27" t="s">
        <v>7</v>
      </c>
      <c r="S59" s="27" t="s">
        <v>8</v>
      </c>
      <c r="T59" s="27" t="s">
        <v>7</v>
      </c>
      <c r="V59" s="31"/>
    </row>
    <row r="60" spans="1:28" x14ac:dyDescent="0.25">
      <c r="A60" s="30">
        <v>334.92980349556137</v>
      </c>
      <c r="E60"/>
      <c r="Q60" s="27" t="s">
        <v>8</v>
      </c>
      <c r="R60" s="27" t="s">
        <v>7</v>
      </c>
      <c r="S60" s="27" t="s">
        <v>8</v>
      </c>
      <c r="T60" s="27" t="s">
        <v>7</v>
      </c>
      <c r="W60" s="31"/>
      <c r="Y60" s="27" t="s">
        <v>8</v>
      </c>
    </row>
    <row r="61" spans="1:28" x14ac:dyDescent="0.25">
      <c r="A61" s="30">
        <v>304.48163954141938</v>
      </c>
      <c r="E61"/>
      <c r="Q61" s="27" t="s">
        <v>8</v>
      </c>
      <c r="R61" s="27" t="s">
        <v>7</v>
      </c>
      <c r="T61" s="27" t="s">
        <v>7</v>
      </c>
      <c r="U61" s="36" t="s">
        <v>8</v>
      </c>
      <c r="W61" s="36" t="s">
        <v>8</v>
      </c>
      <c r="X61" s="31"/>
      <c r="Y61" s="27" t="s">
        <v>8</v>
      </c>
      <c r="Z61" s="27" t="s">
        <v>7</v>
      </c>
    </row>
    <row r="62" spans="1:28" x14ac:dyDescent="0.25">
      <c r="A62" s="30">
        <v>276.80149049219943</v>
      </c>
      <c r="E62"/>
      <c r="O62" s="27" t="s">
        <v>8</v>
      </c>
      <c r="Q62" s="27" t="s">
        <v>8</v>
      </c>
      <c r="T62" s="34" t="s">
        <v>7</v>
      </c>
      <c r="U62" s="27" t="s">
        <v>8</v>
      </c>
      <c r="V62" s="27" t="s">
        <v>7</v>
      </c>
      <c r="W62" s="27" t="s">
        <v>8</v>
      </c>
      <c r="X62" s="27" t="s">
        <v>7</v>
      </c>
      <c r="Y62" s="31" t="s">
        <v>8</v>
      </c>
      <c r="Z62" s="27" t="s">
        <v>7</v>
      </c>
    </row>
    <row r="63" spans="1:28" x14ac:dyDescent="0.25">
      <c r="A63" s="30">
        <v>251.63771862927217</v>
      </c>
      <c r="E63"/>
      <c r="O63" s="27" t="s">
        <v>8</v>
      </c>
      <c r="P63" s="27" t="s">
        <v>7</v>
      </c>
      <c r="Q63" s="27" t="s">
        <v>8</v>
      </c>
      <c r="T63" s="27" t="s">
        <v>7</v>
      </c>
      <c r="U63" s="27" t="s">
        <v>8</v>
      </c>
      <c r="V63" s="27" t="s">
        <v>7</v>
      </c>
      <c r="W63" s="27" t="s">
        <v>8</v>
      </c>
      <c r="X63" s="27" t="s">
        <v>7</v>
      </c>
      <c r="Y63" s="27" t="s">
        <v>8</v>
      </c>
      <c r="Z63" s="31" t="s">
        <v>7</v>
      </c>
      <c r="AA63" s="27" t="s">
        <v>8</v>
      </c>
    </row>
    <row r="64" spans="1:28" x14ac:dyDescent="0.25">
      <c r="A64" s="30">
        <v>228.76156239024741</v>
      </c>
      <c r="E64"/>
      <c r="O64" s="27" t="s">
        <v>8</v>
      </c>
      <c r="P64" s="27" t="s">
        <v>7</v>
      </c>
      <c r="Q64" s="27" t="s">
        <v>8</v>
      </c>
      <c r="T64" s="27" t="s">
        <v>7</v>
      </c>
      <c r="U64" s="27" t="s">
        <v>8</v>
      </c>
      <c r="V64" s="27" t="s">
        <v>7</v>
      </c>
      <c r="W64" s="27" t="s">
        <v>8</v>
      </c>
      <c r="X64" s="27" t="s">
        <v>7</v>
      </c>
      <c r="Y64" s="27" t="s">
        <v>8</v>
      </c>
      <c r="Z64" s="27" t="s">
        <v>7</v>
      </c>
      <c r="AA64" s="31" t="s">
        <v>8</v>
      </c>
      <c r="AB64" s="27" t="s">
        <v>7</v>
      </c>
    </row>
    <row r="65" spans="1:28" x14ac:dyDescent="0.25">
      <c r="A65" s="30">
        <v>207.96505671840671</v>
      </c>
      <c r="E65"/>
      <c r="O65" s="27" t="s">
        <v>8</v>
      </c>
      <c r="P65" s="27" t="s">
        <v>7</v>
      </c>
      <c r="Q65" s="27" t="s">
        <v>8</v>
      </c>
      <c r="T65" s="27" t="s">
        <v>7</v>
      </c>
      <c r="U65" s="27" t="s">
        <v>8</v>
      </c>
      <c r="V65" s="27" t="s">
        <v>7</v>
      </c>
      <c r="W65" s="27" t="s">
        <v>8</v>
      </c>
      <c r="X65" s="27" t="s">
        <v>7</v>
      </c>
      <c r="Y65" s="27" t="s">
        <v>8</v>
      </c>
      <c r="Z65" s="27" t="s">
        <v>7</v>
      </c>
      <c r="AA65" s="27" t="s">
        <v>8</v>
      </c>
      <c r="AB65" s="27" t="s">
        <v>7</v>
      </c>
    </row>
    <row r="66" spans="1:28" x14ac:dyDescent="0.25">
      <c r="A66" s="30">
        <v>189.05914247127882</v>
      </c>
      <c r="E66"/>
      <c r="M66" s="27" t="s">
        <v>8</v>
      </c>
      <c r="O66" s="27" t="s">
        <v>8</v>
      </c>
      <c r="P66" s="27" t="s">
        <v>7</v>
      </c>
      <c r="Q66" s="27" t="s">
        <v>8</v>
      </c>
      <c r="T66" s="27" t="s">
        <v>7</v>
      </c>
      <c r="U66" s="27" t="s">
        <v>8</v>
      </c>
      <c r="V66" s="27" t="s">
        <v>7</v>
      </c>
      <c r="X66" s="18" t="s">
        <v>7</v>
      </c>
      <c r="Z66" s="27" t="s">
        <v>7</v>
      </c>
      <c r="AB66" s="27" t="s">
        <v>7</v>
      </c>
    </row>
    <row r="67" spans="1:28" x14ac:dyDescent="0.25">
      <c r="A67" s="30">
        <v>171.87194770116255</v>
      </c>
      <c r="C67" s="1" t="s">
        <v>15</v>
      </c>
      <c r="E67"/>
      <c r="M67" s="27" t="s">
        <v>8</v>
      </c>
      <c r="N67" s="27" t="s">
        <v>7</v>
      </c>
      <c r="O67" s="27" t="s">
        <v>8</v>
      </c>
      <c r="P67" s="27" t="s">
        <v>7</v>
      </c>
      <c r="T67" s="27" t="s">
        <v>7</v>
      </c>
      <c r="U67" s="27" t="s">
        <v>8</v>
      </c>
      <c r="AB67" s="27" t="s">
        <v>7</v>
      </c>
    </row>
    <row r="68" spans="1:28" x14ac:dyDescent="0.25">
      <c r="A68" s="30">
        <v>156.24722518287504</v>
      </c>
      <c r="C68" s="7">
        <v>0.11167815779424731</v>
      </c>
      <c r="D68"/>
      <c r="E68"/>
      <c r="M68" s="27" t="s">
        <v>8</v>
      </c>
      <c r="N68" s="27" t="s">
        <v>7</v>
      </c>
      <c r="O68" s="27" t="s">
        <v>8</v>
      </c>
      <c r="T68" s="27" t="s">
        <v>7</v>
      </c>
      <c r="U68" s="27" t="s">
        <v>8</v>
      </c>
      <c r="AB68" s="27" t="s">
        <v>7</v>
      </c>
    </row>
    <row r="69" spans="1:28" x14ac:dyDescent="0.25">
      <c r="A69" s="30">
        <v>142.04293198443185</v>
      </c>
      <c r="E69"/>
      <c r="M69" s="27" t="s">
        <v>8</v>
      </c>
      <c r="N69" s="27" t="s">
        <v>7</v>
      </c>
      <c r="O69" s="27" t="s">
        <v>8</v>
      </c>
      <c r="T69" s="27" t="s">
        <v>7</v>
      </c>
      <c r="U69" s="27" t="s">
        <v>8</v>
      </c>
      <c r="AB69" s="27" t="s">
        <v>7</v>
      </c>
    </row>
    <row r="70" spans="1:28" x14ac:dyDescent="0.25">
      <c r="A70" s="30">
        <v>129.1299381676653</v>
      </c>
      <c r="C70" s="1" t="s">
        <v>11</v>
      </c>
      <c r="D70" s="1" t="s">
        <v>12</v>
      </c>
      <c r="E70"/>
      <c r="M70" s="27" t="s">
        <v>8</v>
      </c>
      <c r="N70" s="27" t="s">
        <v>7</v>
      </c>
      <c r="T70" s="27" t="s">
        <v>7</v>
      </c>
      <c r="AA70" s="31"/>
    </row>
    <row r="71" spans="1:28" x14ac:dyDescent="0.25">
      <c r="A71" s="30">
        <v>117.39085287969573</v>
      </c>
      <c r="C71"/>
      <c r="D71"/>
      <c r="E71" t="s">
        <v>8</v>
      </c>
      <c r="M71" s="27" t="s">
        <v>8</v>
      </c>
      <c r="Z71" s="31"/>
    </row>
    <row r="72" spans="1:28" x14ac:dyDescent="0.25">
      <c r="A72" s="30">
        <v>106.71895716335975</v>
      </c>
      <c r="E72" t="s">
        <v>8</v>
      </c>
      <c r="F72" s="27" t="s">
        <v>7</v>
      </c>
      <c r="M72" s="27" t="s">
        <v>8</v>
      </c>
      <c r="Y72" s="31"/>
    </row>
    <row r="73" spans="1:28" x14ac:dyDescent="0.25">
      <c r="A73" s="30">
        <v>97.017233784872488</v>
      </c>
      <c r="C73" s="1" t="s">
        <v>13</v>
      </c>
      <c r="E73" t="s">
        <v>8</v>
      </c>
      <c r="F73" s="27" t="s">
        <v>7</v>
      </c>
      <c r="G73" s="27" t="s">
        <v>8</v>
      </c>
      <c r="M73" s="27" t="s">
        <v>8</v>
      </c>
      <c r="X73" s="31"/>
    </row>
    <row r="74" spans="1:28" x14ac:dyDescent="0.25">
      <c r="A74" s="30">
        <v>88.197485258974979</v>
      </c>
      <c r="C74" s="1">
        <f>C63</f>
        <v>0</v>
      </c>
      <c r="E74" t="s">
        <v>8</v>
      </c>
      <c r="F74" s="27" t="s">
        <v>7</v>
      </c>
      <c r="G74" s="27" t="s">
        <v>8</v>
      </c>
      <c r="H74" s="27" t="s">
        <v>7</v>
      </c>
      <c r="I74" s="27" t="s">
        <v>8</v>
      </c>
      <c r="M74" s="27" t="s">
        <v>8</v>
      </c>
      <c r="W74" s="31"/>
    </row>
    <row r="75" spans="1:28" x14ac:dyDescent="0.25">
      <c r="A75" s="30">
        <v>80.179532053613613</v>
      </c>
      <c r="C75"/>
      <c r="D75"/>
      <c r="E75" t="s">
        <v>8</v>
      </c>
      <c r="F75" s="27" t="s">
        <v>7</v>
      </c>
      <c r="G75" s="27" t="s">
        <v>8</v>
      </c>
      <c r="H75" s="27" t="s">
        <v>7</v>
      </c>
      <c r="I75" s="27" t="s">
        <v>8</v>
      </c>
      <c r="J75" s="27" t="s">
        <v>7</v>
      </c>
      <c r="M75" s="27" t="s">
        <v>8</v>
      </c>
      <c r="V75" s="31"/>
    </row>
    <row r="76" spans="1:28" x14ac:dyDescent="0.25">
      <c r="A76" s="30">
        <v>72.890483685103277</v>
      </c>
      <c r="C76" s="1" t="s">
        <v>14</v>
      </c>
      <c r="E76" t="s">
        <v>8</v>
      </c>
      <c r="F76" s="27" t="s">
        <v>7</v>
      </c>
      <c r="H76" s="27" t="s">
        <v>7</v>
      </c>
      <c r="I76" s="27" t="s">
        <v>8</v>
      </c>
      <c r="J76" s="27" t="s">
        <v>7</v>
      </c>
      <c r="M76" s="27" t="s">
        <v>8</v>
      </c>
      <c r="U76" s="31"/>
    </row>
    <row r="77" spans="1:28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  <c r="H77" s="27" t="s">
        <v>7</v>
      </c>
      <c r="I77" s="27" t="s">
        <v>8</v>
      </c>
      <c r="J77" s="27" t="s">
        <v>7</v>
      </c>
      <c r="M77" s="27" t="s">
        <v>8</v>
      </c>
      <c r="T77" s="31"/>
    </row>
    <row r="78" spans="1:28" x14ac:dyDescent="0.25">
      <c r="A78" s="30">
        <v>60.240069161242367</v>
      </c>
      <c r="E78" t="s">
        <v>8</v>
      </c>
      <c r="H78" s="27" t="s">
        <v>7</v>
      </c>
      <c r="I78" s="27" t="s">
        <v>8</v>
      </c>
      <c r="J78" s="27" t="s">
        <v>7</v>
      </c>
      <c r="M78" s="27" t="s">
        <v>8</v>
      </c>
      <c r="S78" s="31"/>
    </row>
    <row r="79" spans="1:28" x14ac:dyDescent="0.25">
      <c r="A79" s="30">
        <v>54.763699237493057</v>
      </c>
      <c r="E79" t="s">
        <v>8</v>
      </c>
      <c r="H79" s="27" t="s">
        <v>7</v>
      </c>
      <c r="I79" s="27" t="s">
        <v>8</v>
      </c>
      <c r="J79" s="27" t="s">
        <v>7</v>
      </c>
      <c r="M79" s="27" t="s">
        <v>8</v>
      </c>
      <c r="R79" s="31"/>
    </row>
    <row r="80" spans="1:28" x14ac:dyDescent="0.25">
      <c r="A80" s="30">
        <v>49.785181124993684</v>
      </c>
      <c r="E80" t="s">
        <v>8</v>
      </c>
      <c r="H80" s="27" t="s">
        <v>7</v>
      </c>
      <c r="I80" s="27" t="s">
        <v>8</v>
      </c>
      <c r="J80" s="27" t="s">
        <v>7</v>
      </c>
      <c r="M80" s="27" t="s">
        <v>8</v>
      </c>
      <c r="Q80" s="31"/>
    </row>
    <row r="81" spans="1:16" x14ac:dyDescent="0.25">
      <c r="A81" s="30">
        <v>45.259255568176073</v>
      </c>
      <c r="E81" t="s">
        <v>8</v>
      </c>
      <c r="H81" s="27" t="s">
        <v>7</v>
      </c>
      <c r="J81" s="27" t="s">
        <v>7</v>
      </c>
      <c r="M81" s="33" t="s">
        <v>8</v>
      </c>
      <c r="P81" s="31"/>
    </row>
    <row r="82" spans="1:16" x14ac:dyDescent="0.25">
      <c r="A82" s="30">
        <v>41.144777789250973</v>
      </c>
      <c r="E82" t="s">
        <v>8</v>
      </c>
      <c r="J82" s="27" t="s">
        <v>7</v>
      </c>
      <c r="K82" s="27" t="s">
        <v>8</v>
      </c>
      <c r="M82" s="27" t="s">
        <v>8</v>
      </c>
      <c r="O82" s="31"/>
    </row>
    <row r="83" spans="1:16" x14ac:dyDescent="0.25">
      <c r="A83" s="30">
        <v>37.404343444773609</v>
      </c>
      <c r="E83" t="s">
        <v>8</v>
      </c>
      <c r="J83" s="27" t="s">
        <v>7</v>
      </c>
      <c r="K83" s="27" t="s">
        <v>8</v>
      </c>
      <c r="L83" s="27" t="s">
        <v>7</v>
      </c>
      <c r="M83" s="27" t="s">
        <v>8</v>
      </c>
      <c r="N83" s="31"/>
    </row>
    <row r="84" spans="1:16" x14ac:dyDescent="0.25">
      <c r="A84" s="30">
        <v>34.003948586157826</v>
      </c>
      <c r="E84" t="s">
        <v>8</v>
      </c>
      <c r="J84" s="27" t="s">
        <v>7</v>
      </c>
      <c r="K84" s="27" t="s">
        <v>8</v>
      </c>
      <c r="L84" s="27" t="s">
        <v>7</v>
      </c>
      <c r="M84" s="31" t="s">
        <v>8</v>
      </c>
    </row>
    <row r="85" spans="1:16" x14ac:dyDescent="0.25">
      <c r="A85" s="30">
        <v>30.912680532870748</v>
      </c>
      <c r="E85" t="s">
        <v>8</v>
      </c>
      <c r="J85" s="27" t="s">
        <v>7</v>
      </c>
      <c r="K85" s="27" t="s">
        <v>8</v>
      </c>
      <c r="L85" s="31" t="s">
        <v>7</v>
      </c>
    </row>
    <row r="86" spans="1:16" x14ac:dyDescent="0.25">
      <c r="A86" s="30">
        <v>28.102436848064315</v>
      </c>
      <c r="E86" t="s">
        <v>8</v>
      </c>
      <c r="J86" s="27" t="s">
        <v>7</v>
      </c>
      <c r="K86" s="31" t="s">
        <v>8</v>
      </c>
    </row>
    <row r="87" spans="1:16" x14ac:dyDescent="0.25">
      <c r="A87" s="30">
        <v>25.547669861876649</v>
      </c>
      <c r="E87" t="s">
        <v>8</v>
      </c>
      <c r="J87" s="31" t="s">
        <v>7</v>
      </c>
    </row>
    <row r="88" spans="1:16" x14ac:dyDescent="0.25">
      <c r="A88" s="30">
        <v>23.225154419887861</v>
      </c>
      <c r="E88" t="s">
        <v>8</v>
      </c>
    </row>
    <row r="89" spans="1:16" x14ac:dyDescent="0.25">
      <c r="A89" s="30">
        <v>21.113776745352599</v>
      </c>
      <c r="E89" t="s">
        <v>8</v>
      </c>
    </row>
    <row r="90" spans="1:16" x14ac:dyDescent="0.25">
      <c r="A90" s="30">
        <v>19.194342495775089</v>
      </c>
      <c r="E90" t="s">
        <v>8</v>
      </c>
    </row>
    <row r="91" spans="1:16" x14ac:dyDescent="0.25">
      <c r="A91" s="30">
        <v>17.449402268886445</v>
      </c>
      <c r="E91" t="s">
        <v>8</v>
      </c>
    </row>
    <row r="92" spans="1:16" x14ac:dyDescent="0.25">
      <c r="A92" s="30">
        <v>15.863092971714948</v>
      </c>
      <c r="C92" s="1" t="s">
        <v>15</v>
      </c>
      <c r="E92" t="s">
        <v>8</v>
      </c>
    </row>
    <row r="93" spans="1:16" x14ac:dyDescent="0.25">
      <c r="A93" s="30">
        <v>14.420993610649951</v>
      </c>
      <c r="C93" s="7">
        <v>0.11167815779424731</v>
      </c>
      <c r="D93"/>
      <c r="E93" t="s">
        <v>8</v>
      </c>
    </row>
    <row r="94" spans="1:16" x14ac:dyDescent="0.25">
      <c r="A94" s="30">
        <v>13.109994191499954</v>
      </c>
      <c r="E94" t="s">
        <v>8</v>
      </c>
    </row>
    <row r="95" spans="1:16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16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$A$68</v>
      </c>
      <c r="D111" s="1" t="str">
        <f>ADDRESS(C121-1,D121,1,1)</f>
        <v>$AB$68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$A$69</v>
      </c>
      <c r="D112" s="1" t="str">
        <f>ADDRESS(C121,D121-1,1,1)</f>
        <v>$AA$69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$A$70</v>
      </c>
      <c r="D113" s="1" t="str">
        <f>ADDRESS(C121-1,D121+1,1,1)</f>
        <v>$AC$68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$AB$69</v>
      </c>
      <c r="D114" s="1" t="str">
        <f>ADDRESS(C121+1,D121+1,1,1)</f>
        <v>$AC$70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$AB$70</v>
      </c>
      <c r="E115" s="1" t="s">
        <v>8</v>
      </c>
    </row>
    <row r="116" spans="1:5" x14ac:dyDescent="0.25">
      <c r="A116" s="30">
        <v>1.6105100000000008</v>
      </c>
      <c r="C116" s="1">
        <f>C117-1</f>
        <v>68</v>
      </c>
      <c r="E116" s="1" t="s">
        <v>8</v>
      </c>
    </row>
    <row r="117" spans="1:5" x14ac:dyDescent="0.25">
      <c r="A117" s="30">
        <v>1.4641000000000006</v>
      </c>
      <c r="C117" s="1">
        <f>C121</f>
        <v>69</v>
      </c>
      <c r="D117" s="1">
        <f>D121</f>
        <v>28</v>
      </c>
      <c r="E117" s="1" t="s">
        <v>8</v>
      </c>
    </row>
    <row r="118" spans="1:5" x14ac:dyDescent="0.25">
      <c r="A118" s="30">
        <v>1.3310000000000004</v>
      </c>
      <c r="C118" s="1">
        <f>C117+1</f>
        <v>70</v>
      </c>
      <c r="D118" s="1">
        <f>D117+1</f>
        <v>29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69</v>
      </c>
      <c r="D121" s="19">
        <v>28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R69</v>
      </c>
      <c r="D123" s="1" t="str">
        <f>"C"&amp;D121</f>
        <v>C28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142.04293198443185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454" operator="equal">
      <formula>$U$1</formula>
    </cfRule>
    <cfRule type="cellIs" dxfId="30" priority="1455" operator="equal">
      <formula>$S$1</formula>
    </cfRule>
  </conditionalFormatting>
  <conditionalFormatting sqref="D136">
    <cfRule type="cellIs" dxfId="29" priority="1452" operator="equal">
      <formula>$S$1</formula>
    </cfRule>
    <cfRule type="cellIs" dxfId="28" priority="1453" operator="equal">
      <formula>$U$1</formula>
    </cfRule>
  </conditionalFormatting>
  <conditionalFormatting sqref="C102">
    <cfRule type="cellIs" dxfId="27" priority="1450" operator="equal">
      <formula>$U$1</formula>
    </cfRule>
    <cfRule type="cellIs" dxfId="26" priority="1451" operator="equal">
      <formula>$S$1</formula>
    </cfRule>
  </conditionalFormatting>
  <conditionalFormatting sqref="D102">
    <cfRule type="cellIs" dxfId="25" priority="1448" operator="equal">
      <formula>$S$1</formula>
    </cfRule>
    <cfRule type="cellIs" dxfId="24" priority="1449" operator="equal">
      <formula>$U$1</formula>
    </cfRule>
  </conditionalFormatting>
  <conditionalFormatting sqref="C77">
    <cfRule type="cellIs" dxfId="23" priority="1446" operator="equal">
      <formula>$U$1</formula>
    </cfRule>
    <cfRule type="cellIs" dxfId="22" priority="1447" operator="equal">
      <formula>$S$1</formula>
    </cfRule>
  </conditionalFormatting>
  <conditionalFormatting sqref="D77">
    <cfRule type="cellIs" dxfId="21" priority="1444" operator="equal">
      <formula>$S$1</formula>
    </cfRule>
    <cfRule type="cellIs" dxfId="20" priority="1445" operator="equal">
      <formula>$U$1</formula>
    </cfRule>
  </conditionalFormatting>
  <conditionalFormatting sqref="C52">
    <cfRule type="cellIs" dxfId="19" priority="1442" operator="equal">
      <formula>$U$1</formula>
    </cfRule>
    <cfRule type="cellIs" dxfId="18" priority="1443" operator="equal">
      <formula>$S$1</formula>
    </cfRule>
  </conditionalFormatting>
  <conditionalFormatting sqref="D52">
    <cfRule type="cellIs" dxfId="17" priority="1440" operator="equal">
      <formula>$S$1</formula>
    </cfRule>
    <cfRule type="cellIs" dxfId="16" priority="1441" operator="equal">
      <formula>$U$1</formula>
    </cfRule>
  </conditionalFormatting>
  <conditionalFormatting sqref="C26">
    <cfRule type="cellIs" dxfId="15" priority="1438" operator="equal">
      <formula>$U$1</formula>
    </cfRule>
    <cfRule type="cellIs" dxfId="14" priority="1439" operator="equal">
      <formula>$S$1</formula>
    </cfRule>
  </conditionalFormatting>
  <conditionalFormatting sqref="D26">
    <cfRule type="cellIs" dxfId="13" priority="1436" operator="equal">
      <formula>$S$1</formula>
    </cfRule>
    <cfRule type="cellIs" dxfId="12" priority="143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7" t="s">
        <v>17</v>
      </c>
      <c r="C1" s="37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185.03547549536299</v>
      </c>
      <c r="F3" s="30">
        <v>194.28724927013116</v>
      </c>
      <c r="G3" s="30">
        <v>332.29712920686046</v>
      </c>
      <c r="H3" s="25">
        <f>IF(G3="","",(3*(G3-F3))+E3)</f>
        <v>599.06511530555088</v>
      </c>
      <c r="I3" s="7"/>
      <c r="J3" s="7">
        <f>(E3+G3)/2</f>
        <v>258.66630235111171</v>
      </c>
      <c r="K3" s="7">
        <f>H3/2</f>
        <v>299.53255765277544</v>
      </c>
      <c r="M3" s="26">
        <f>IF(OR(J3="",H3=""),"",H3/J3)</f>
        <v>2.3159766458190769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2022-01-28T01:23:18Z</dcterms:modified>
</cp:coreProperties>
</file>