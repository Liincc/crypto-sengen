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944F357-4BE5-43F2-96E7-9A816CDC309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D13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6" i="5"/>
  <c r="C118" i="5"/>
  <c r="C2" i="1" l="1"/>
  <c r="D2" i="1"/>
  <c r="C118" i="4"/>
  <c r="C116" i="4"/>
  <c r="R765" i="1"/>
  <c r="S765" i="1" s="1"/>
  <c r="T765" i="1" s="1"/>
  <c r="C136" i="5"/>
  <c r="C138" i="5" s="1"/>
  <c r="D136" i="4"/>
  <c r="C136" i="4"/>
  <c r="C122" i="3"/>
  <c r="C133" i="3" s="1"/>
  <c r="D136" i="3" s="1"/>
  <c r="C116" i="3"/>
  <c r="R764" i="1" l="1"/>
  <c r="R763" i="1" s="1"/>
  <c r="C138" i="4"/>
  <c r="C136" i="3"/>
  <c r="C138" i="3" s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S288" i="1" l="1"/>
  <c r="T288" i="1" s="1"/>
  <c r="R287" i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<sst xmlns="http://schemas.openxmlformats.org/spreadsheetml/2006/main" count="6326" uniqueCount="34">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</sst>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7.74</c:v>
                </c:pt>
                <c:pt idx="1">
                  <c:v>7.92</c:v>
                </c:pt>
                <c:pt idx="2">
                  <c:v>8.1300000000000008</c:v>
                </c:pt>
                <c:pt idx="3">
                  <c:v>7.93</c:v>
                </c:pt>
                <c:pt idx="4">
                  <c:v>8.17</c:v>
                </c:pt>
                <c:pt idx="5">
                  <c:v>7.59</c:v>
                </c:pt>
                <c:pt idx="6">
                  <c:v>9.94</c:v>
                </c:pt>
                <c:pt idx="7">
                  <c:v>11.36</c:v>
                </c:pt>
                <c:pt idx="8">
                  <c:v>12.52</c:v>
                </c:pt>
                <c:pt idx="9">
                  <c:v>13.04</c:v>
                </c:pt>
                <c:pt idx="10">
                  <c:v>13.59</c:v>
                </c:pt>
                <c:pt idx="11">
                  <c:v>14.05</c:v>
                </c:pt>
                <c:pt idx="12">
                  <c:v>14.16</c:v>
                </c:pt>
                <c:pt idx="13">
                  <c:v>14</c:v>
                </c:pt>
                <c:pt idx="14">
                  <c:v>13.85</c:v>
                </c:pt>
                <c:pt idx="15">
                  <c:v>14.23</c:v>
                </c:pt>
                <c:pt idx="16">
                  <c:v>13.71</c:v>
                </c:pt>
                <c:pt idx="17">
                  <c:v>13.18</c:v>
                </c:pt>
                <c:pt idx="18">
                  <c:v>14.09</c:v>
                </c:pt>
                <c:pt idx="19">
                  <c:v>13.92</c:v>
                </c:pt>
                <c:pt idx="20">
                  <c:v>13.92</c:v>
                </c:pt>
                <c:pt idx="21">
                  <c:v>14.53</c:v>
                </c:pt>
                <c:pt idx="22">
                  <c:v>15.17</c:v>
                </c:pt>
                <c:pt idx="23">
                  <c:v>15.92</c:v>
                </c:pt>
                <c:pt idx="24">
                  <c:v>15.52</c:v>
                </c:pt>
                <c:pt idx="25">
                  <c:v>16.04</c:v>
                </c:pt>
                <c:pt idx="26">
                  <c:v>16.079999999999998</c:v>
                </c:pt>
                <c:pt idx="27">
                  <c:v>15.14</c:v>
                </c:pt>
                <c:pt idx="28">
                  <c:v>15.37</c:v>
                </c:pt>
                <c:pt idx="29">
                  <c:v>15.01</c:v>
                </c:pt>
                <c:pt idx="30">
                  <c:v>15.54</c:v>
                </c:pt>
                <c:pt idx="31">
                  <c:v>16.84</c:v>
                </c:pt>
                <c:pt idx="32">
                  <c:v>17.11</c:v>
                </c:pt>
                <c:pt idx="33">
                  <c:v>16.46</c:v>
                </c:pt>
                <c:pt idx="34">
                  <c:v>15.83</c:v>
                </c:pt>
                <c:pt idx="35">
                  <c:v>16.16</c:v>
                </c:pt>
                <c:pt idx="36">
                  <c:v>15.56</c:v>
                </c:pt>
                <c:pt idx="37">
                  <c:v>15.28</c:v>
                </c:pt>
                <c:pt idx="38">
                  <c:v>14.84</c:v>
                </c:pt>
                <c:pt idx="39">
                  <c:v>15.48</c:v>
                </c:pt>
                <c:pt idx="40">
                  <c:v>15.31</c:v>
                </c:pt>
                <c:pt idx="41">
                  <c:v>15.37</c:v>
                </c:pt>
                <c:pt idx="42">
                  <c:v>15.53</c:v>
                </c:pt>
                <c:pt idx="43">
                  <c:v>16.03</c:v>
                </c:pt>
                <c:pt idx="44">
                  <c:v>15.96</c:v>
                </c:pt>
                <c:pt idx="45">
                  <c:v>15.64</c:v>
                </c:pt>
                <c:pt idx="46">
                  <c:v>17.8</c:v>
                </c:pt>
                <c:pt idx="47">
                  <c:v>15.33</c:v>
                </c:pt>
                <c:pt idx="48">
                  <c:v>15.12</c:v>
                </c:pt>
                <c:pt idx="49">
                  <c:v>15.27</c:v>
                </c:pt>
                <c:pt idx="50">
                  <c:v>16.89</c:v>
                </c:pt>
                <c:pt idx="51">
                  <c:v>16.47</c:v>
                </c:pt>
                <c:pt idx="52">
                  <c:v>17.12</c:v>
                </c:pt>
                <c:pt idx="53">
                  <c:v>17.72</c:v>
                </c:pt>
                <c:pt idx="54">
                  <c:v>18.68</c:v>
                </c:pt>
                <c:pt idx="55">
                  <c:v>21.88</c:v>
                </c:pt>
                <c:pt idx="56">
                  <c:v>22.44</c:v>
                </c:pt>
                <c:pt idx="57">
                  <c:v>21.62</c:v>
                </c:pt>
                <c:pt idx="58">
                  <c:v>22.1</c:v>
                </c:pt>
                <c:pt idx="59">
                  <c:v>22.96</c:v>
                </c:pt>
                <c:pt idx="60">
                  <c:v>22.53</c:v>
                </c:pt>
                <c:pt idx="61">
                  <c:v>21.77</c:v>
                </c:pt>
                <c:pt idx="62">
                  <c:v>21</c:v>
                </c:pt>
                <c:pt idx="63">
                  <c:v>24.11</c:v>
                </c:pt>
                <c:pt idx="64">
                  <c:v>25.31</c:v>
                </c:pt>
                <c:pt idx="65">
                  <c:v>25.27</c:v>
                </c:pt>
                <c:pt idx="66">
                  <c:v>24.68</c:v>
                </c:pt>
                <c:pt idx="67">
                  <c:v>22.96</c:v>
                </c:pt>
                <c:pt idx="68">
                  <c:v>23.2</c:v>
                </c:pt>
                <c:pt idx="69">
                  <c:v>23.05</c:v>
                </c:pt>
                <c:pt idx="70">
                  <c:v>21.14</c:v>
                </c:pt>
                <c:pt idx="71">
                  <c:v>23.36</c:v>
                </c:pt>
                <c:pt idx="72">
                  <c:v>23.12</c:v>
                </c:pt>
                <c:pt idx="73">
                  <c:v>24.67</c:v>
                </c:pt>
                <c:pt idx="74">
                  <c:v>24.3</c:v>
                </c:pt>
                <c:pt idx="75">
                  <c:v>24.97</c:v>
                </c:pt>
                <c:pt idx="76">
                  <c:v>24.31</c:v>
                </c:pt>
                <c:pt idx="77">
                  <c:v>25.64</c:v>
                </c:pt>
                <c:pt idx="78">
                  <c:v>25.34</c:v>
                </c:pt>
                <c:pt idx="79">
                  <c:v>27.67</c:v>
                </c:pt>
                <c:pt idx="80">
                  <c:v>28.19</c:v>
                </c:pt>
                <c:pt idx="81">
                  <c:v>27.09</c:v>
                </c:pt>
                <c:pt idx="82">
                  <c:v>26.42</c:v>
                </c:pt>
                <c:pt idx="83">
                  <c:v>26.27</c:v>
                </c:pt>
                <c:pt idx="84">
                  <c:v>25.84</c:v>
                </c:pt>
                <c:pt idx="85">
                  <c:v>26.66</c:v>
                </c:pt>
                <c:pt idx="86">
                  <c:v>26.43</c:v>
                </c:pt>
                <c:pt idx="87">
                  <c:v>25.83</c:v>
                </c:pt>
                <c:pt idx="88">
                  <c:v>26.07</c:v>
                </c:pt>
                <c:pt idx="89">
                  <c:v>25.83</c:v>
                </c:pt>
                <c:pt idx="90">
                  <c:v>26.57</c:v>
                </c:pt>
                <c:pt idx="91">
                  <c:v>25.78</c:v>
                </c:pt>
                <c:pt idx="92">
                  <c:v>26.64</c:v>
                </c:pt>
                <c:pt idx="93">
                  <c:v>28.39</c:v>
                </c:pt>
                <c:pt idx="94">
                  <c:v>29.98</c:v>
                </c:pt>
                <c:pt idx="95">
                  <c:v>30.45</c:v>
                </c:pt>
                <c:pt idx="96">
                  <c:v>31.65</c:v>
                </c:pt>
                <c:pt idx="97">
                  <c:v>31.26</c:v>
                </c:pt>
                <c:pt idx="98">
                  <c:v>31.38</c:v>
                </c:pt>
                <c:pt idx="99">
                  <c:v>33.229999999999997</c:v>
                </c:pt>
                <c:pt idx="100">
                  <c:v>30.41</c:v>
                </c:pt>
                <c:pt idx="101">
                  <c:v>27.47</c:v>
                </c:pt>
                <c:pt idx="102">
                  <c:v>27.76</c:v>
                </c:pt>
                <c:pt idx="103">
                  <c:v>28.57</c:v>
                </c:pt>
                <c:pt idx="104">
                  <c:v>28.45</c:v>
                </c:pt>
                <c:pt idx="105">
                  <c:v>29.6</c:v>
                </c:pt>
                <c:pt idx="106">
                  <c:v>28.67</c:v>
                </c:pt>
                <c:pt idx="107">
                  <c:v>27.86</c:v>
                </c:pt>
                <c:pt idx="108">
                  <c:v>27.99</c:v>
                </c:pt>
                <c:pt idx="109">
                  <c:v>26.69</c:v>
                </c:pt>
                <c:pt idx="110">
                  <c:v>27.89</c:v>
                </c:pt>
                <c:pt idx="111">
                  <c:v>27.97</c:v>
                </c:pt>
                <c:pt idx="112">
                  <c:v>28.52</c:v>
                </c:pt>
                <c:pt idx="113">
                  <c:v>28.21</c:v>
                </c:pt>
                <c:pt idx="114">
                  <c:v>29</c:v>
                </c:pt>
                <c:pt idx="115">
                  <c:v>25.72</c:v>
                </c:pt>
                <c:pt idx="116">
                  <c:v>27.23</c:v>
                </c:pt>
                <c:pt idx="117">
                  <c:v>26.26</c:v>
                </c:pt>
                <c:pt idx="118">
                  <c:v>25.38</c:v>
                </c:pt>
                <c:pt idx="119">
                  <c:v>22.51</c:v>
                </c:pt>
                <c:pt idx="120">
                  <c:v>21.23</c:v>
                </c:pt>
                <c:pt idx="121">
                  <c:v>20.29</c:v>
                </c:pt>
                <c:pt idx="122">
                  <c:v>21.36</c:v>
                </c:pt>
                <c:pt idx="123">
                  <c:v>21.53</c:v>
                </c:pt>
                <c:pt idx="124">
                  <c:v>22.43</c:v>
                </c:pt>
                <c:pt idx="125">
                  <c:v>23.32</c:v>
                </c:pt>
                <c:pt idx="126">
                  <c:v>26.14</c:v>
                </c:pt>
                <c:pt idx="127">
                  <c:v>25.14</c:v>
                </c:pt>
                <c:pt idx="128">
                  <c:v>22.34</c:v>
                </c:pt>
                <c:pt idx="129">
                  <c:v>28.62</c:v>
                </c:pt>
                <c:pt idx="130">
                  <c:v>30.77</c:v>
                </c:pt>
                <c:pt idx="131">
                  <c:v>32.32</c:v>
                </c:pt>
                <c:pt idx="132">
                  <c:v>30.71</c:v>
                </c:pt>
                <c:pt idx="133">
                  <c:v>33.909999999999997</c:v>
                </c:pt>
                <c:pt idx="134">
                  <c:v>34.75</c:v>
                </c:pt>
                <c:pt idx="135">
                  <c:v>33.35</c:v>
                </c:pt>
                <c:pt idx="136">
                  <c:v>32.11</c:v>
                </c:pt>
                <c:pt idx="137">
                  <c:v>34.56</c:v>
                </c:pt>
                <c:pt idx="138">
                  <c:v>36.299999999999997</c:v>
                </c:pt>
                <c:pt idx="139">
                  <c:v>36.590000000000003</c:v>
                </c:pt>
                <c:pt idx="140">
                  <c:v>33.35</c:v>
                </c:pt>
                <c:pt idx="141">
                  <c:v>31.79</c:v>
                </c:pt>
                <c:pt idx="142">
                  <c:v>30.87</c:v>
                </c:pt>
                <c:pt idx="143">
                  <c:v>41.07</c:v>
                </c:pt>
                <c:pt idx="144">
                  <c:v>37.950000000000003</c:v>
                </c:pt>
                <c:pt idx="145">
                  <c:v>37.78</c:v>
                </c:pt>
                <c:pt idx="146">
                  <c:v>37.700000000000003</c:v>
                </c:pt>
                <c:pt idx="147">
                  <c:v>31.8</c:v>
                </c:pt>
                <c:pt idx="148">
                  <c:v>33.07</c:v>
                </c:pt>
                <c:pt idx="149">
                  <c:v>31</c:v>
                </c:pt>
                <c:pt idx="150">
                  <c:v>30.57</c:v>
                </c:pt>
                <c:pt idx="151">
                  <c:v>31.34</c:v>
                </c:pt>
                <c:pt idx="152">
                  <c:v>32.04</c:v>
                </c:pt>
                <c:pt idx="153">
                  <c:v>33.26</c:v>
                </c:pt>
                <c:pt idx="154">
                  <c:v>32.15</c:v>
                </c:pt>
                <c:pt idx="155">
                  <c:v>34.753</c:v>
                </c:pt>
                <c:pt idx="156">
                  <c:v>33.225999999999999</c:v>
                </c:pt>
                <c:pt idx="157">
                  <c:v>36.280999999999999</c:v>
                </c:pt>
                <c:pt idx="158">
                  <c:v>35.020000000000003</c:v>
                </c:pt>
                <c:pt idx="159">
                  <c:v>35.024000000000001</c:v>
                </c:pt>
                <c:pt idx="160">
                  <c:v>36.341000000000001</c:v>
                </c:pt>
                <c:pt idx="161">
                  <c:v>36.628999999999998</c:v>
                </c:pt>
                <c:pt idx="162">
                  <c:v>33.447000000000003</c:v>
                </c:pt>
                <c:pt idx="163">
                  <c:v>33.869</c:v>
                </c:pt>
                <c:pt idx="164">
                  <c:v>36.692999999999998</c:v>
                </c:pt>
                <c:pt idx="165">
                  <c:v>37.984000000000002</c:v>
                </c:pt>
                <c:pt idx="166">
                  <c:v>37.85</c:v>
                </c:pt>
                <c:pt idx="167">
                  <c:v>36.453000000000003</c:v>
                </c:pt>
                <c:pt idx="168">
                  <c:v>31.155999999999999</c:v>
                </c:pt>
                <c:pt idx="169">
                  <c:v>32.506</c:v>
                </c:pt>
                <c:pt idx="170">
                  <c:v>31.190999999999999</c:v>
                </c:pt>
                <c:pt idx="171">
                  <c:v>31.2</c:v>
                </c:pt>
                <c:pt idx="172">
                  <c:v>30.19</c:v>
                </c:pt>
                <c:pt idx="173">
                  <c:v>33.981000000000002</c:v>
                </c:pt>
                <c:pt idx="174">
                  <c:v>29.367999999999999</c:v>
                </c:pt>
                <c:pt idx="175">
                  <c:v>28.318999999999999</c:v>
                </c:pt>
                <c:pt idx="176">
                  <c:v>27.713000000000001</c:v>
                </c:pt>
                <c:pt idx="177">
                  <c:v>27.233000000000001</c:v>
                </c:pt>
                <c:pt idx="178">
                  <c:v>27.798999999999999</c:v>
                </c:pt>
                <c:pt idx="179">
                  <c:v>27.568999999999999</c:v>
                </c:pt>
                <c:pt idx="180">
                  <c:v>29.780999999999999</c:v>
                </c:pt>
                <c:pt idx="181">
                  <c:v>27.567</c:v>
                </c:pt>
                <c:pt idx="182">
                  <c:v>26.587</c:v>
                </c:pt>
                <c:pt idx="183">
                  <c:v>26.632999999999999</c:v>
                </c:pt>
                <c:pt idx="184">
                  <c:v>27.414999999999999</c:v>
                </c:pt>
                <c:pt idx="185">
                  <c:v>25.321999999999999</c:v>
                </c:pt>
                <c:pt idx="186">
                  <c:v>18.349</c:v>
                </c:pt>
                <c:pt idx="187">
                  <c:v>17.501999999999999</c:v>
                </c:pt>
                <c:pt idx="188">
                  <c:v>17.111999999999998</c:v>
                </c:pt>
                <c:pt idx="189">
                  <c:v>16.811</c:v>
                </c:pt>
                <c:pt idx="190">
                  <c:v>16.234000000000002</c:v>
                </c:pt>
                <c:pt idx="191">
                  <c:v>14.525</c:v>
                </c:pt>
                <c:pt idx="192">
                  <c:v>15.025</c:v>
                </c:pt>
                <c:pt idx="193">
                  <c:v>16.577999999999999</c:v>
                </c:pt>
                <c:pt idx="194">
                  <c:v>15.957000000000001</c:v>
                </c:pt>
                <c:pt idx="195">
                  <c:v>15.93</c:v>
                </c:pt>
                <c:pt idx="196">
                  <c:v>17.100000000000001</c:v>
                </c:pt>
                <c:pt idx="197">
                  <c:v>18.181000000000001</c:v>
                </c:pt>
                <c:pt idx="198">
                  <c:v>18.155999999999999</c:v>
                </c:pt>
                <c:pt idx="199">
                  <c:v>18.606000000000002</c:v>
                </c:pt>
                <c:pt idx="200">
                  <c:v>19.571999999999999</c:v>
                </c:pt>
                <c:pt idx="201">
                  <c:v>18.88</c:v>
                </c:pt>
                <c:pt idx="202">
                  <c:v>19.376000000000001</c:v>
                </c:pt>
                <c:pt idx="203">
                  <c:v>18.942</c:v>
                </c:pt>
                <c:pt idx="204">
                  <c:v>21.056999999999999</c:v>
                </c:pt>
                <c:pt idx="205">
                  <c:v>21.600999999999999</c:v>
                </c:pt>
                <c:pt idx="206">
                  <c:v>20.428999999999998</c:v>
                </c:pt>
                <c:pt idx="207">
                  <c:v>20.75</c:v>
                </c:pt>
                <c:pt idx="208">
                  <c:v>19.233000000000001</c:v>
                </c:pt>
                <c:pt idx="209">
                  <c:v>17.841000000000001</c:v>
                </c:pt>
                <c:pt idx="210">
                  <c:v>18.135000000000002</c:v>
                </c:pt>
                <c:pt idx="211">
                  <c:v>19.486999999999998</c:v>
                </c:pt>
                <c:pt idx="212">
                  <c:v>19.831</c:v>
                </c:pt>
                <c:pt idx="213">
                  <c:v>18.952999999999999</c:v>
                </c:pt>
                <c:pt idx="214">
                  <c:v>18.643999999999998</c:v>
                </c:pt>
                <c:pt idx="215">
                  <c:v>17.539000000000001</c:v>
                </c:pt>
                <c:pt idx="216">
                  <c:v>17.872</c:v>
                </c:pt>
                <c:pt idx="217">
                  <c:v>19.928000000000001</c:v>
                </c:pt>
                <c:pt idx="218">
                  <c:v>20.151</c:v>
                </c:pt>
                <c:pt idx="219">
                  <c:v>17.585000000000001</c:v>
                </c:pt>
                <c:pt idx="220">
                  <c:v>19.132000000000001</c:v>
                </c:pt>
                <c:pt idx="221">
                  <c:v>26.315000000000001</c:v>
                </c:pt>
                <c:pt idx="222">
                  <c:v>25.722999999999999</c:v>
                </c:pt>
                <c:pt idx="223">
                  <c:v>26.574999999999999</c:v>
                </c:pt>
                <c:pt idx="224">
                  <c:v>30.027000000000001</c:v>
                </c:pt>
                <c:pt idx="225">
                  <c:v>28.273</c:v>
                </c:pt>
                <c:pt idx="226">
                  <c:v>27.3</c:v>
                </c:pt>
                <c:pt idx="227">
                  <c:v>25.745000000000001</c:v>
                </c:pt>
                <c:pt idx="228">
                  <c:v>25.23</c:v>
                </c:pt>
                <c:pt idx="229">
                  <c:v>22.686</c:v>
                </c:pt>
                <c:pt idx="230">
                  <c:v>22.756</c:v>
                </c:pt>
                <c:pt idx="231">
                  <c:v>25.506</c:v>
                </c:pt>
                <c:pt idx="232">
                  <c:v>27.024000000000001</c:v>
                </c:pt>
                <c:pt idx="233">
                  <c:v>24.911999999999999</c:v>
                </c:pt>
                <c:pt idx="234">
                  <c:v>25.338999999999999</c:v>
                </c:pt>
                <c:pt idx="235">
                  <c:v>29.02</c:v>
                </c:pt>
                <c:pt idx="236">
                  <c:v>28.902000000000001</c:v>
                </c:pt>
                <c:pt idx="237">
                  <c:v>30.344999999999999</c:v>
                </c:pt>
                <c:pt idx="238">
                  <c:v>35.183</c:v>
                </c:pt>
                <c:pt idx="239">
                  <c:v>33.145000000000003</c:v>
                </c:pt>
                <c:pt idx="240">
                  <c:v>31.834</c:v>
                </c:pt>
                <c:pt idx="241">
                  <c:v>33.177999999999997</c:v>
                </c:pt>
                <c:pt idx="242">
                  <c:v>29.949000000000002</c:v>
                </c:pt>
                <c:pt idx="243">
                  <c:v>29.207000000000001</c:v>
                </c:pt>
                <c:pt idx="244">
                  <c:v>31.655999999999999</c:v>
                </c:pt>
                <c:pt idx="245">
                  <c:v>39.087000000000003</c:v>
                </c:pt>
                <c:pt idx="246">
                  <c:v>38.286999999999999</c:v>
                </c:pt>
                <c:pt idx="247">
                  <c:v>36.113</c:v>
                </c:pt>
                <c:pt idx="248">
                  <c:v>38.863999999999997</c:v>
                </c:pt>
                <c:pt idx="249">
                  <c:v>25.233000000000001</c:v>
                </c:pt>
                <c:pt idx="250">
                  <c:v>34.497999999999998</c:v>
                </c:pt>
                <c:pt idx="251">
                  <c:v>40.090000000000003</c:v>
                </c:pt>
                <c:pt idx="252">
                  <c:v>49.499000000000002</c:v>
                </c:pt>
                <c:pt idx="253">
                  <c:v>45.8</c:v>
                </c:pt>
                <c:pt idx="254">
                  <c:v>79.656999999999996</c:v>
                </c:pt>
                <c:pt idx="255">
                  <c:v>84.091999999999999</c:v>
                </c:pt>
                <c:pt idx="256">
                  <c:v>116</c:v>
                </c:pt>
                <c:pt idx="257">
                  <c:v>112.539</c:v>
                </c:pt>
                <c:pt idx="258">
                  <c:v>124.764</c:v>
                </c:pt>
                <c:pt idx="259">
                  <c:v>109.33</c:v>
                </c:pt>
                <c:pt idx="260">
                  <c:v>99.149000000000001</c:v>
                </c:pt>
                <c:pt idx="261">
                  <c:v>134.166</c:v>
                </c:pt>
                <c:pt idx="262">
                  <c:v>124.64700000000001</c:v>
                </c:pt>
                <c:pt idx="263">
                  <c:v>139.08600000000001</c:v>
                </c:pt>
                <c:pt idx="264">
                  <c:v>133.202</c:v>
                </c:pt>
                <c:pt idx="265">
                  <c:v>110.78400000000001</c:v>
                </c:pt>
                <c:pt idx="266">
                  <c:v>110.267</c:v>
                </c:pt>
                <c:pt idx="267">
                  <c:v>118.72</c:v>
                </c:pt>
                <c:pt idx="268">
                  <c:v>109.297</c:v>
                </c:pt>
                <c:pt idx="269">
                  <c:v>125.026</c:v>
                </c:pt>
                <c:pt idx="270">
                  <c:v>123.855</c:v>
                </c:pt>
                <c:pt idx="271">
                  <c:v>106.611</c:v>
                </c:pt>
                <c:pt idx="272">
                  <c:v>112.212</c:v>
                </c:pt>
                <c:pt idx="273">
                  <c:v>116</c:v>
                </c:pt>
                <c:pt idx="274">
                  <c:v>75.385999999999996</c:v>
                </c:pt>
                <c:pt idx="275">
                  <c:v>74.186999999999998</c:v>
                </c:pt>
                <c:pt idx="276">
                  <c:v>73.400000000000006</c:v>
                </c:pt>
                <c:pt idx="277">
                  <c:v>63.188000000000002</c:v>
                </c:pt>
                <c:pt idx="278">
                  <c:v>60.854999999999997</c:v>
                </c:pt>
                <c:pt idx="279">
                  <c:v>67.540999999999997</c:v>
                </c:pt>
                <c:pt idx="280">
                  <c:v>72.674999999999997</c:v>
                </c:pt>
                <c:pt idx="281">
                  <c:v>77.221000000000004</c:v>
                </c:pt>
                <c:pt idx="282">
                  <c:v>77.462999999999994</c:v>
                </c:pt>
                <c:pt idx="283">
                  <c:v>73.296999999999997</c:v>
                </c:pt>
                <c:pt idx="284">
                  <c:v>73.2</c:v>
                </c:pt>
                <c:pt idx="285">
                  <c:v>82.167000000000002</c:v>
                </c:pt>
                <c:pt idx="286">
                  <c:v>83.4</c:v>
                </c:pt>
                <c:pt idx="287">
                  <c:v>92.6</c:v>
                </c:pt>
                <c:pt idx="288">
                  <c:v>76.793000000000006</c:v>
                </c:pt>
                <c:pt idx="289">
                  <c:v>79.004999999999995</c:v>
                </c:pt>
                <c:pt idx="290">
                  <c:v>82.53</c:v>
                </c:pt>
                <c:pt idx="291">
                  <c:v>66.003</c:v>
                </c:pt>
                <c:pt idx="292">
                  <c:v>59.997</c:v>
                </c:pt>
                <c:pt idx="293">
                  <c:v>63.213000000000001</c:v>
                </c:pt>
                <c:pt idx="294">
                  <c:v>60.66</c:v>
                </c:pt>
                <c:pt idx="295">
                  <c:v>52.401000000000003</c:v>
                </c:pt>
                <c:pt idx="296">
                  <c:v>57.432000000000002</c:v>
                </c:pt>
                <c:pt idx="297">
                  <c:v>55.223999999999997</c:v>
                </c:pt>
                <c:pt idx="298">
                  <c:v>57.811999999999998</c:v>
                </c:pt>
                <c:pt idx="299">
                  <c:v>52.189</c:v>
                </c:pt>
                <c:pt idx="300">
                  <c:v>57.936999999999998</c:v>
                </c:pt>
                <c:pt idx="301">
                  <c:v>63.302999999999997</c:v>
                </c:pt>
                <c:pt idx="302">
                  <c:v>66.8</c:v>
                </c:pt>
                <c:pt idx="303">
                  <c:v>59.987000000000002</c:v>
                </c:pt>
                <c:pt idx="304">
                  <c:v>57</c:v>
                </c:pt>
                <c:pt idx="305">
                  <c:v>48.878</c:v>
                </c:pt>
                <c:pt idx="306">
                  <c:v>47.75</c:v>
                </c:pt>
                <c:pt idx="307">
                  <c:v>41.78</c:v>
                </c:pt>
                <c:pt idx="308">
                  <c:v>37.17</c:v>
                </c:pt>
                <c:pt idx="309">
                  <c:v>41.121000000000002</c:v>
                </c:pt>
                <c:pt idx="310">
                  <c:v>42.134</c:v>
                </c:pt>
                <c:pt idx="311">
                  <c:v>41.423999999999999</c:v>
                </c:pt>
                <c:pt idx="312">
                  <c:v>43.322000000000003</c:v>
                </c:pt>
                <c:pt idx="313">
                  <c:v>42.279000000000003</c:v>
                </c:pt>
                <c:pt idx="314">
                  <c:v>45.518000000000001</c:v>
                </c:pt>
                <c:pt idx="315">
                  <c:v>44.933</c:v>
                </c:pt>
                <c:pt idx="316">
                  <c:v>49.15</c:v>
                </c:pt>
                <c:pt idx="317">
                  <c:v>42.86</c:v>
                </c:pt>
                <c:pt idx="318">
                  <c:v>42.262</c:v>
                </c:pt>
                <c:pt idx="319">
                  <c:v>45.890999999999998</c:v>
                </c:pt>
                <c:pt idx="320">
                  <c:v>49.137</c:v>
                </c:pt>
                <c:pt idx="321">
                  <c:v>51.543999999999997</c:v>
                </c:pt>
                <c:pt idx="322">
                  <c:v>60.478999999999999</c:v>
                </c:pt>
                <c:pt idx="323">
                  <c:v>47.960999999999999</c:v>
                </c:pt>
                <c:pt idx="324">
                  <c:v>50.472000000000001</c:v>
                </c:pt>
                <c:pt idx="325">
                  <c:v>40.590000000000003</c:v>
                </c:pt>
                <c:pt idx="326">
                  <c:v>39.662999999999997</c:v>
                </c:pt>
                <c:pt idx="327">
                  <c:v>39.765000000000001</c:v>
                </c:pt>
                <c:pt idx="328">
                  <c:v>43.719000000000001</c:v>
                </c:pt>
                <c:pt idx="329">
                  <c:v>42.04</c:v>
                </c:pt>
                <c:pt idx="330">
                  <c:v>48.459000000000003</c:v>
                </c:pt>
                <c:pt idx="331">
                  <c:v>49.183</c:v>
                </c:pt>
                <c:pt idx="332">
                  <c:v>53.673000000000002</c:v>
                </c:pt>
                <c:pt idx="333">
                  <c:v>46.02</c:v>
                </c:pt>
                <c:pt idx="334">
                  <c:v>47.643999999999998</c:v>
                </c:pt>
                <c:pt idx="335">
                  <c:v>53.116999999999997</c:v>
                </c:pt>
                <c:pt idx="336">
                  <c:v>56.963000000000001</c:v>
                </c:pt>
                <c:pt idx="337">
                  <c:v>69.8</c:v>
                </c:pt>
                <c:pt idx="338">
                  <c:v>63.615000000000002</c:v>
                </c:pt>
                <c:pt idx="339">
                  <c:v>74.899000000000001</c:v>
                </c:pt>
                <c:pt idx="340">
                  <c:v>83.228999999999999</c:v>
                </c:pt>
                <c:pt idx="341">
                  <c:v>72.100999999999999</c:v>
                </c:pt>
                <c:pt idx="342">
                  <c:v>91.974999999999994</c:v>
                </c:pt>
                <c:pt idx="343">
                  <c:v>80.33</c:v>
                </c:pt>
                <c:pt idx="344">
                  <c:v>59.9</c:v>
                </c:pt>
                <c:pt idx="345">
                  <c:v>47.341000000000001</c:v>
                </c:pt>
                <c:pt idx="346">
                  <c:v>45.234000000000002</c:v>
                </c:pt>
                <c:pt idx="347">
                  <c:v>49.843000000000004</c:v>
                </c:pt>
                <c:pt idx="348">
                  <c:v>38.098999999999997</c:v>
                </c:pt>
                <c:pt idx="349">
                  <c:v>38.238999999999997</c:v>
                </c:pt>
                <c:pt idx="350">
                  <c:v>36.344000000000001</c:v>
                </c:pt>
                <c:pt idx="351">
                  <c:v>38.015000000000001</c:v>
                </c:pt>
                <c:pt idx="352">
                  <c:v>43.292000000000002</c:v>
                </c:pt>
                <c:pt idx="353">
                  <c:v>36</c:v>
                </c:pt>
                <c:pt idx="354">
                  <c:v>26.611999999999998</c:v>
                </c:pt>
                <c:pt idx="355">
                  <c:v>25.245000000000001</c:v>
                </c:pt>
                <c:pt idx="356">
                  <c:v>19.178000000000001</c:v>
                </c:pt>
                <c:pt idx="357">
                  <c:v>16.28</c:v>
                </c:pt>
                <c:pt idx="358">
                  <c:v>11.036</c:v>
                </c:pt>
                <c:pt idx="359">
                  <c:v>10.678000000000001</c:v>
                </c:pt>
                <c:pt idx="360">
                  <c:v>11.51</c:v>
                </c:pt>
                <c:pt idx="361">
                  <c:v>10.276</c:v>
                </c:pt>
                <c:pt idx="362">
                  <c:v>7.9829999999999997</c:v>
                </c:pt>
                <c:pt idx="363">
                  <c:v>7.8890000000000002</c:v>
                </c:pt>
                <c:pt idx="364">
                  <c:v>8.2379999999999995</c:v>
                </c:pt>
                <c:pt idx="365">
                  <c:v>8.23</c:v>
                </c:pt>
                <c:pt idx="366">
                  <c:v>8.157</c:v>
                </c:pt>
                <c:pt idx="367">
                  <c:v>7.9169999999999998</c:v>
                </c:pt>
                <c:pt idx="368">
                  <c:v>9.2870000000000008</c:v>
                </c:pt>
                <c:pt idx="369">
                  <c:v>6.0979999999999999</c:v>
                </c:pt>
                <c:pt idx="370">
                  <c:v>5.0350000000000001</c:v>
                </c:pt>
                <c:pt idx="371">
                  <c:v>4.5060000000000002</c:v>
                </c:pt>
                <c:pt idx="372">
                  <c:v>4.4989999999999997</c:v>
                </c:pt>
                <c:pt idx="373">
                  <c:v>4.5010000000000003</c:v>
                </c:pt>
                <c:pt idx="374">
                  <c:v>4.7759999999999998</c:v>
                </c:pt>
                <c:pt idx="375">
                  <c:v>4.109</c:v>
                </c:pt>
                <c:pt idx="376">
                  <c:v>4.1459999999999999</c:v>
                </c:pt>
                <c:pt idx="377">
                  <c:v>4.1790000000000003</c:v>
                </c:pt>
                <c:pt idx="378">
                  <c:v>4.3099999999999996</c:v>
                </c:pt>
                <c:pt idx="379">
                  <c:v>4.944</c:v>
                </c:pt>
                <c:pt idx="380">
                  <c:v>4.54</c:v>
                </c:pt>
                <c:pt idx="381">
                  <c:v>5.0780000000000003</c:v>
                </c:pt>
                <c:pt idx="382">
                  <c:v>4.9850000000000003</c:v>
                </c:pt>
                <c:pt idx="383">
                  <c:v>4.1210000000000004</c:v>
                </c:pt>
                <c:pt idx="384">
                  <c:v>3.839</c:v>
                </c:pt>
                <c:pt idx="385">
                  <c:v>4.0620000000000003</c:v>
                </c:pt>
                <c:pt idx="386">
                  <c:v>3.8780000000000001</c:v>
                </c:pt>
                <c:pt idx="387">
                  <c:v>3.6</c:v>
                </c:pt>
                <c:pt idx="388">
                  <c:v>3.6040000000000001</c:v>
                </c:pt>
                <c:pt idx="389">
                  <c:v>3.5270000000000001</c:v>
                </c:pt>
                <c:pt idx="390">
                  <c:v>3.6659999999999999</c:v>
                </c:pt>
                <c:pt idx="391">
                  <c:v>3.637</c:v>
                </c:pt>
                <c:pt idx="392">
                  <c:v>3.5070000000000001</c:v>
                </c:pt>
                <c:pt idx="393">
                  <c:v>3.637</c:v>
                </c:pt>
                <c:pt idx="394">
                  <c:v>3.2909999999999999</c:v>
                </c:pt>
                <c:pt idx="395">
                  <c:v>3.55</c:v>
                </c:pt>
                <c:pt idx="396">
                  <c:v>3.468</c:v>
                </c:pt>
                <c:pt idx="397">
                  <c:v>3.7810000000000001</c:v>
                </c:pt>
                <c:pt idx="398">
                  <c:v>3.891</c:v>
                </c:pt>
                <c:pt idx="399">
                  <c:v>4.032</c:v>
                </c:pt>
                <c:pt idx="400">
                  <c:v>3.9359999999999999</c:v>
                </c:pt>
                <c:pt idx="401">
                  <c:v>4.3600000000000003</c:v>
                </c:pt>
                <c:pt idx="402">
                  <c:v>4.1550000000000002</c:v>
                </c:pt>
                <c:pt idx="403">
                  <c:v>4.1980000000000004</c:v>
                </c:pt>
                <c:pt idx="404">
                  <c:v>4.3179999999999996</c:v>
                </c:pt>
                <c:pt idx="405">
                  <c:v>4.1150000000000002</c:v>
                </c:pt>
                <c:pt idx="406">
                  <c:v>3.8370000000000002</c:v>
                </c:pt>
                <c:pt idx="407">
                  <c:v>3.605</c:v>
                </c:pt>
                <c:pt idx="408">
                  <c:v>3.5350000000000001</c:v>
                </c:pt>
                <c:pt idx="409">
                  <c:v>3.4670000000000001</c:v>
                </c:pt>
                <c:pt idx="410">
                  <c:v>3.5049999999999999</c:v>
                </c:pt>
                <c:pt idx="411">
                  <c:v>3.6070000000000002</c:v>
                </c:pt>
                <c:pt idx="412">
                  <c:v>3.343</c:v>
                </c:pt>
                <c:pt idx="413">
                  <c:v>3.952</c:v>
                </c:pt>
                <c:pt idx="414">
                  <c:v>3.79</c:v>
                </c:pt>
                <c:pt idx="415">
                  <c:v>3.8029999999999999</c:v>
                </c:pt>
                <c:pt idx="416">
                  <c:v>3.464</c:v>
                </c:pt>
                <c:pt idx="417">
                  <c:v>2.996</c:v>
                </c:pt>
                <c:pt idx="418">
                  <c:v>3.1560000000000001</c:v>
                </c:pt>
                <c:pt idx="419">
                  <c:v>3.069</c:v>
                </c:pt>
                <c:pt idx="420">
                  <c:v>3.2229999999999999</c:v>
                </c:pt>
                <c:pt idx="421">
                  <c:v>3.3660000000000001</c:v>
                </c:pt>
                <c:pt idx="422">
                  <c:v>3.1179999999999999</c:v>
                </c:pt>
                <c:pt idx="423">
                  <c:v>3.0019999999999998</c:v>
                </c:pt>
                <c:pt idx="424">
                  <c:v>3.0449999999999999</c:v>
                </c:pt>
                <c:pt idx="425">
                  <c:v>3.3769999999999998</c:v>
                </c:pt>
                <c:pt idx="426">
                  <c:v>2.9740000000000002</c:v>
                </c:pt>
                <c:pt idx="427">
                  <c:v>3.0150000000000001</c:v>
                </c:pt>
                <c:pt idx="428">
                  <c:v>3.2909999999999999</c:v>
                </c:pt>
                <c:pt idx="429">
                  <c:v>3.246</c:v>
                </c:pt>
                <c:pt idx="430">
                  <c:v>3.9390000000000001</c:v>
                </c:pt>
                <c:pt idx="431">
                  <c:v>3.762</c:v>
                </c:pt>
                <c:pt idx="432">
                  <c:v>4.1180000000000003</c:v>
                </c:pt>
                <c:pt idx="433">
                  <c:v>3.8980000000000001</c:v>
                </c:pt>
                <c:pt idx="434">
                  <c:v>3.9790000000000001</c:v>
                </c:pt>
                <c:pt idx="435">
                  <c:v>4.1449999999999996</c:v>
                </c:pt>
                <c:pt idx="436">
                  <c:v>4.4119999999999999</c:v>
                </c:pt>
                <c:pt idx="437">
                  <c:v>5.093</c:v>
                </c:pt>
                <c:pt idx="438">
                  <c:v>4.2119999999999997</c:v>
                </c:pt>
                <c:pt idx="439">
                  <c:v>3.8740000000000001</c:v>
                </c:pt>
                <c:pt idx="440">
                  <c:v>3.66</c:v>
                </c:pt>
                <c:pt idx="441">
                  <c:v>3.1840000000000002</c:v>
                </c:pt>
                <c:pt idx="442">
                  <c:v>3.173</c:v>
                </c:pt>
                <c:pt idx="443">
                  <c:v>3.0840000000000001</c:v>
                </c:pt>
                <c:pt idx="444">
                  <c:v>2.97</c:v>
                </c:pt>
                <c:pt idx="445">
                  <c:v>2.9359999999999999</c:v>
                </c:pt>
                <c:pt idx="446">
                  <c:v>2.76</c:v>
                </c:pt>
                <c:pt idx="447">
                  <c:v>2.6150000000000002</c:v>
                </c:pt>
                <c:pt idx="448">
                  <c:v>2.4239999999999999</c:v>
                </c:pt>
                <c:pt idx="449">
                  <c:v>2.169</c:v>
                </c:pt>
                <c:pt idx="450">
                  <c:v>2.2450000000000001</c:v>
                </c:pt>
                <c:pt idx="451">
                  <c:v>2.4460000000000002</c:v>
                </c:pt>
                <c:pt idx="452">
                  <c:v>2.6549999999999998</c:v>
                </c:pt>
                <c:pt idx="453">
                  <c:v>2.67</c:v>
                </c:pt>
                <c:pt idx="454">
                  <c:v>2.8260000000000001</c:v>
                </c:pt>
                <c:pt idx="455">
                  <c:v>2.95</c:v>
                </c:pt>
                <c:pt idx="456">
                  <c:v>2.8879999999999999</c:v>
                </c:pt>
                <c:pt idx="457">
                  <c:v>3.06</c:v>
                </c:pt>
                <c:pt idx="458">
                  <c:v>3.2269999999999999</c:v>
                </c:pt>
                <c:pt idx="459">
                  <c:v>3.6070000000000002</c:v>
                </c:pt>
                <c:pt idx="460">
                  <c:v>3.5139999999999998</c:v>
                </c:pt>
                <c:pt idx="461">
                  <c:v>3.1709999999999998</c:v>
                </c:pt>
                <c:pt idx="462">
                  <c:v>3.3650000000000002</c:v>
                </c:pt>
                <c:pt idx="463">
                  <c:v>3.8559999999999999</c:v>
                </c:pt>
                <c:pt idx="464">
                  <c:v>2.944</c:v>
                </c:pt>
                <c:pt idx="465">
                  <c:v>3.2389999999999999</c:v>
                </c:pt>
                <c:pt idx="466">
                  <c:v>3.5339999999999998</c:v>
                </c:pt>
                <c:pt idx="467">
                  <c:v>4.26</c:v>
                </c:pt>
                <c:pt idx="468">
                  <c:v>3.1509999999999998</c:v>
                </c:pt>
                <c:pt idx="469">
                  <c:v>2.7410000000000001</c:v>
                </c:pt>
                <c:pt idx="470">
                  <c:v>2.6059999999999999</c:v>
                </c:pt>
                <c:pt idx="471">
                  <c:v>2.7250000000000001</c:v>
                </c:pt>
                <c:pt idx="472">
                  <c:v>2.3889999999999998</c:v>
                </c:pt>
                <c:pt idx="473">
                  <c:v>2.4649999999999999</c:v>
                </c:pt>
                <c:pt idx="474">
                  <c:v>2.516</c:v>
                </c:pt>
                <c:pt idx="475">
                  <c:v>2.7650000000000001</c:v>
                </c:pt>
                <c:pt idx="476">
                  <c:v>2.7029999999999998</c:v>
                </c:pt>
                <c:pt idx="477">
                  <c:v>2.7320000000000002</c:v>
                </c:pt>
                <c:pt idx="478">
                  <c:v>3.46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E9-419F-89A2-0B0A8EA6C3F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-0.42763124723563084</c:v>
                </c:pt>
                <c:pt idx="1">
                  <c:v>-0.42747631843563078</c:v>
                </c:pt>
                <c:pt idx="2">
                  <c:v>-0.42539220865414934</c:v>
                </c:pt>
                <c:pt idx="3">
                  <c:v>-0.42612369695849717</c:v>
                </c:pt>
                <c:pt idx="4">
                  <c:v>-0.43239728448831077</c:v>
                </c:pt>
                <c:pt idx="5">
                  <c:v>-0.43290975736222387</c:v>
                </c:pt>
                <c:pt idx="6">
                  <c:v>-0.42742110832146629</c:v>
                </c:pt>
                <c:pt idx="7">
                  <c:v>-0.42158775032831414</c:v>
                </c:pt>
                <c:pt idx="8">
                  <c:v>-0.4186293458753198</c:v>
                </c:pt>
                <c:pt idx="9">
                  <c:v>-0.41821483441350166</c:v>
                </c:pt>
                <c:pt idx="10">
                  <c:v>-0.41800829139150164</c:v>
                </c:pt>
                <c:pt idx="11">
                  <c:v>-0.41761388041765546</c:v>
                </c:pt>
                <c:pt idx="12">
                  <c:v>-0.41737541096020869</c:v>
                </c:pt>
                <c:pt idx="13">
                  <c:v>-0.41724764871735159</c:v>
                </c:pt>
                <c:pt idx="14">
                  <c:v>-0.41759957138401821</c:v>
                </c:pt>
                <c:pt idx="15">
                  <c:v>-0.41633683009454447</c:v>
                </c:pt>
                <c:pt idx="16">
                  <c:v>-0.41726934747549688</c:v>
                </c:pt>
                <c:pt idx="17">
                  <c:v>-0.41792331558366014</c:v>
                </c:pt>
                <c:pt idx="18">
                  <c:v>-0.41714150837830066</c:v>
                </c:pt>
                <c:pt idx="19">
                  <c:v>-0.41716772695391047</c:v>
                </c:pt>
                <c:pt idx="20">
                  <c:v>-0.41745220918275661</c:v>
                </c:pt>
                <c:pt idx="21">
                  <c:v>-0.41688977507644592</c:v>
                </c:pt>
                <c:pt idx="22">
                  <c:v>-0.4165773273202476</c:v>
                </c:pt>
                <c:pt idx="23">
                  <c:v>-0.41408181429024754</c:v>
                </c:pt>
                <c:pt idx="24">
                  <c:v>-0.41317830559605401</c:v>
                </c:pt>
                <c:pt idx="25">
                  <c:v>-0.41273531182332679</c:v>
                </c:pt>
                <c:pt idx="26">
                  <c:v>-0.41365096161910148</c:v>
                </c:pt>
                <c:pt idx="27">
                  <c:v>-0.4146034410733071</c:v>
                </c:pt>
                <c:pt idx="28">
                  <c:v>-0.41381191941176859</c:v>
                </c:pt>
                <c:pt idx="29">
                  <c:v>-0.41353583113932768</c:v>
                </c:pt>
                <c:pt idx="30">
                  <c:v>-0.41151067927462176</c:v>
                </c:pt>
                <c:pt idx="31">
                  <c:v>-0.40886942101575652</c:v>
                </c:pt>
                <c:pt idx="32">
                  <c:v>-0.40719479033470385</c:v>
                </c:pt>
                <c:pt idx="33">
                  <c:v>-0.40782145550959176</c:v>
                </c:pt>
                <c:pt idx="34">
                  <c:v>-0.40896595909595546</c:v>
                </c:pt>
                <c:pt idx="35">
                  <c:v>-0.40757653702027979</c:v>
                </c:pt>
                <c:pt idx="36">
                  <c:v>-0.40879060473147971</c:v>
                </c:pt>
                <c:pt idx="37">
                  <c:v>-0.40893732558081308</c:v>
                </c:pt>
                <c:pt idx="38">
                  <c:v>-0.40982238050938452</c:v>
                </c:pt>
                <c:pt idx="39">
                  <c:v>-0.40936852136850854</c:v>
                </c:pt>
                <c:pt idx="40">
                  <c:v>-0.40918023150184196</c:v>
                </c:pt>
                <c:pt idx="41">
                  <c:v>-0.40916194312708465</c:v>
                </c:pt>
                <c:pt idx="42">
                  <c:v>-0.4090884826886847</c:v>
                </c:pt>
                <c:pt idx="43">
                  <c:v>-0.40711748054552682</c:v>
                </c:pt>
                <c:pt idx="44">
                  <c:v>-0.40776770294026371</c:v>
                </c:pt>
                <c:pt idx="45">
                  <c:v>-0.40941566200276369</c:v>
                </c:pt>
                <c:pt idx="46">
                  <c:v>-0.40644188901220574</c:v>
                </c:pt>
                <c:pt idx="47">
                  <c:v>-0.40349211022912879</c:v>
                </c:pt>
                <c:pt idx="48">
                  <c:v>-0.40364255382855735</c:v>
                </c:pt>
                <c:pt idx="49">
                  <c:v>-0.40184922178480736</c:v>
                </c:pt>
                <c:pt idx="50">
                  <c:v>-0.39871605598480736</c:v>
                </c:pt>
                <c:pt idx="51">
                  <c:v>-0.40102815440306833</c:v>
                </c:pt>
                <c:pt idx="52">
                  <c:v>-0.39916168607023245</c:v>
                </c:pt>
                <c:pt idx="53">
                  <c:v>-0.40263564137354046</c:v>
                </c:pt>
                <c:pt idx="54">
                  <c:v>-0.40033977372202534</c:v>
                </c:pt>
                <c:pt idx="55">
                  <c:v>-0.39869947461206218</c:v>
                </c:pt>
                <c:pt idx="56">
                  <c:v>-0.39817953397124584</c:v>
                </c:pt>
                <c:pt idx="57">
                  <c:v>-0.40089025762984459</c:v>
                </c:pt>
                <c:pt idx="58">
                  <c:v>-0.39929505154311895</c:v>
                </c:pt>
                <c:pt idx="59">
                  <c:v>-0.39710624612295087</c:v>
                </c:pt>
                <c:pt idx="60">
                  <c:v>-0.39449290354730987</c:v>
                </c:pt>
                <c:pt idx="61">
                  <c:v>-0.39468349502528449</c:v>
                </c:pt>
                <c:pt idx="62">
                  <c:v>-0.3954003323098999</c:v>
                </c:pt>
                <c:pt idx="63">
                  <c:v>-0.39134031623965604</c:v>
                </c:pt>
                <c:pt idx="64">
                  <c:v>-0.3901232007458289</c:v>
                </c:pt>
                <c:pt idx="65">
                  <c:v>-0.39020926214582891</c:v>
                </c:pt>
                <c:pt idx="66">
                  <c:v>-0.38530671095424007</c:v>
                </c:pt>
                <c:pt idx="67">
                  <c:v>-0.38300230251758238</c:v>
                </c:pt>
                <c:pt idx="68">
                  <c:v>-0.3829226593285413</c:v>
                </c:pt>
                <c:pt idx="69">
                  <c:v>-0.3847673374736541</c:v>
                </c:pt>
                <c:pt idx="70">
                  <c:v>-0.38623409472572506</c:v>
                </c:pt>
                <c:pt idx="71">
                  <c:v>-0.38413369946027048</c:v>
                </c:pt>
                <c:pt idx="72">
                  <c:v>-0.38421200409391104</c:v>
                </c:pt>
                <c:pt idx="73">
                  <c:v>-0.38410201967936558</c:v>
                </c:pt>
                <c:pt idx="74">
                  <c:v>-0.38337671390336553</c:v>
                </c:pt>
                <c:pt idx="75">
                  <c:v>-0.38280201687479415</c:v>
                </c:pt>
                <c:pt idx="76">
                  <c:v>-0.38362650067479415</c:v>
                </c:pt>
                <c:pt idx="77">
                  <c:v>-0.38193965169718225</c:v>
                </c:pt>
                <c:pt idx="78">
                  <c:v>-0.38173923230829337</c:v>
                </c:pt>
                <c:pt idx="79">
                  <c:v>-0.37886635242137745</c:v>
                </c:pt>
                <c:pt idx="80">
                  <c:v>-0.37556056284606881</c:v>
                </c:pt>
                <c:pt idx="81">
                  <c:v>-0.3781930663194279</c:v>
                </c:pt>
                <c:pt idx="82">
                  <c:v>-0.37951376583883084</c:v>
                </c:pt>
                <c:pt idx="83">
                  <c:v>-0.37939216910036933</c:v>
                </c:pt>
                <c:pt idx="84">
                  <c:v>-0.37800455607410671</c:v>
                </c:pt>
                <c:pt idx="85">
                  <c:v>-0.37734985392316328</c:v>
                </c:pt>
                <c:pt idx="86">
                  <c:v>-0.37883613952816325</c:v>
                </c:pt>
                <c:pt idx="87">
                  <c:v>-0.37838930179141111</c:v>
                </c:pt>
                <c:pt idx="88">
                  <c:v>-0.37877629743237495</c:v>
                </c:pt>
                <c:pt idx="89">
                  <c:v>-0.38057273817316445</c:v>
                </c:pt>
                <c:pt idx="90">
                  <c:v>-0.37777578361829267</c:v>
                </c:pt>
                <c:pt idx="91">
                  <c:v>-0.37810446113227114</c:v>
                </c:pt>
                <c:pt idx="92">
                  <c:v>-0.37615756849227117</c:v>
                </c:pt>
                <c:pt idx="93">
                  <c:v>-0.37842735758203117</c:v>
                </c:pt>
                <c:pt idx="94">
                  <c:v>-0.37393045200543545</c:v>
                </c:pt>
                <c:pt idx="95">
                  <c:v>-0.37173816113415609</c:v>
                </c:pt>
                <c:pt idx="96">
                  <c:v>-0.37049594378511147</c:v>
                </c:pt>
                <c:pt idx="97">
                  <c:v>-0.37021747095200802</c:v>
                </c:pt>
                <c:pt idx="98">
                  <c:v>-0.36958092987433805</c:v>
                </c:pt>
                <c:pt idx="99">
                  <c:v>-0.36602805642106706</c:v>
                </c:pt>
                <c:pt idx="100">
                  <c:v>-0.371780410433595</c:v>
                </c:pt>
                <c:pt idx="101">
                  <c:v>-0.37196187041512369</c:v>
                </c:pt>
                <c:pt idx="102">
                  <c:v>-0.371413492384156</c:v>
                </c:pt>
                <c:pt idx="103">
                  <c:v>-0.37120358105658846</c:v>
                </c:pt>
                <c:pt idx="104">
                  <c:v>-0.36953408170033847</c:v>
                </c:pt>
                <c:pt idx="105">
                  <c:v>-0.36861113323926969</c:v>
                </c:pt>
                <c:pt idx="106">
                  <c:v>-0.36850110859398671</c:v>
                </c:pt>
                <c:pt idx="107">
                  <c:v>-0.36329580045426069</c:v>
                </c:pt>
                <c:pt idx="108">
                  <c:v>-0.36527414496340355</c:v>
                </c:pt>
                <c:pt idx="109">
                  <c:v>-0.36578288383547902</c:v>
                </c:pt>
                <c:pt idx="110">
                  <c:v>-0.36408154221947897</c:v>
                </c:pt>
                <c:pt idx="111">
                  <c:v>-0.36334211429947899</c:v>
                </c:pt>
                <c:pt idx="112">
                  <c:v>-0.3609005673742689</c:v>
                </c:pt>
                <c:pt idx="113">
                  <c:v>-0.3575973522150096</c:v>
                </c:pt>
                <c:pt idx="114">
                  <c:v>-0.35857312984814571</c:v>
                </c:pt>
                <c:pt idx="115">
                  <c:v>-0.36289379375180697</c:v>
                </c:pt>
                <c:pt idx="116">
                  <c:v>-0.36181548848894984</c:v>
                </c:pt>
                <c:pt idx="117">
                  <c:v>-0.3645097741756968</c:v>
                </c:pt>
                <c:pt idx="118">
                  <c:v>-0.36429171931550874</c:v>
                </c:pt>
                <c:pt idx="119">
                  <c:v>-0.36985214327893734</c:v>
                </c:pt>
                <c:pt idx="120">
                  <c:v>-0.3708400679604188</c:v>
                </c:pt>
                <c:pt idx="121">
                  <c:v>-0.37034687314731024</c:v>
                </c:pt>
                <c:pt idx="122">
                  <c:v>-0.36700576271246171</c:v>
                </c:pt>
                <c:pt idx="123">
                  <c:v>-0.363226710735226</c:v>
                </c:pt>
                <c:pt idx="124">
                  <c:v>-0.36504549313410239</c:v>
                </c:pt>
                <c:pt idx="125">
                  <c:v>-0.36359976670553096</c:v>
                </c:pt>
                <c:pt idx="126">
                  <c:v>-0.36224568814999775</c:v>
                </c:pt>
                <c:pt idx="127">
                  <c:v>-0.36424568492487924</c:v>
                </c:pt>
                <c:pt idx="128">
                  <c:v>-0.36801869342669186</c:v>
                </c:pt>
                <c:pt idx="129">
                  <c:v>-0.3628715547464772</c:v>
                </c:pt>
                <c:pt idx="130">
                  <c:v>-0.36167480324893875</c:v>
                </c:pt>
                <c:pt idx="131">
                  <c:v>-0.35963779676102664</c:v>
                </c:pt>
                <c:pt idx="132">
                  <c:v>-0.35977779822860773</c:v>
                </c:pt>
                <c:pt idx="133">
                  <c:v>-0.35609884889964044</c:v>
                </c:pt>
                <c:pt idx="134">
                  <c:v>-0.35353970776961502</c:v>
                </c:pt>
                <c:pt idx="135">
                  <c:v>-0.35429369236636588</c:v>
                </c:pt>
                <c:pt idx="136">
                  <c:v>-0.35616852380704384</c:v>
                </c:pt>
                <c:pt idx="137">
                  <c:v>-0.35399869885014729</c:v>
                </c:pt>
                <c:pt idx="138">
                  <c:v>-0.35260778083209171</c:v>
                </c:pt>
                <c:pt idx="139">
                  <c:v>-0.3490933307826255</c:v>
                </c:pt>
                <c:pt idx="140">
                  <c:v>-0.35350496644262552</c:v>
                </c:pt>
                <c:pt idx="141">
                  <c:v>-0.355731972517982</c:v>
                </c:pt>
                <c:pt idx="142">
                  <c:v>-0.35998502033934121</c:v>
                </c:pt>
                <c:pt idx="143">
                  <c:v>-0.348536290117064</c:v>
                </c:pt>
                <c:pt idx="144">
                  <c:v>-0.35200866896218636</c:v>
                </c:pt>
                <c:pt idx="145">
                  <c:v>-0.3529730922867147</c:v>
                </c:pt>
                <c:pt idx="146">
                  <c:v>-0.35320501358391088</c:v>
                </c:pt>
                <c:pt idx="147">
                  <c:v>-0.36108573254218673</c:v>
                </c:pt>
                <c:pt idx="148">
                  <c:v>-0.35581703033225209</c:v>
                </c:pt>
                <c:pt idx="149">
                  <c:v>-0.36021001268145847</c:v>
                </c:pt>
                <c:pt idx="150">
                  <c:v>-0.35881939743908553</c:v>
                </c:pt>
                <c:pt idx="151">
                  <c:v>-0.35777237553332575</c:v>
                </c:pt>
                <c:pt idx="152">
                  <c:v>-0.35672734728437222</c:v>
                </c:pt>
                <c:pt idx="153">
                  <c:v>-0.35513750790659443</c:v>
                </c:pt>
                <c:pt idx="154">
                  <c:v>-0.3582618058865944</c:v>
                </c:pt>
                <c:pt idx="155">
                  <c:v>-0.3557372668553444</c:v>
                </c:pt>
                <c:pt idx="156">
                  <c:v>-0.36028826287125992</c:v>
                </c:pt>
                <c:pt idx="157">
                  <c:v>-0.35576490904222929</c:v>
                </c:pt>
                <c:pt idx="158">
                  <c:v>-0.35561160052842161</c:v>
                </c:pt>
                <c:pt idx="159">
                  <c:v>-0.35588006510004855</c:v>
                </c:pt>
                <c:pt idx="160">
                  <c:v>-0.35404193222965563</c:v>
                </c:pt>
                <c:pt idx="161">
                  <c:v>-0.35487712148420686</c:v>
                </c:pt>
                <c:pt idx="162">
                  <c:v>-0.36172365121801431</c:v>
                </c:pt>
                <c:pt idx="163">
                  <c:v>-0.35885985539504894</c:v>
                </c:pt>
                <c:pt idx="164">
                  <c:v>-0.35175845791771643</c:v>
                </c:pt>
                <c:pt idx="165">
                  <c:v>-0.34454390528748385</c:v>
                </c:pt>
                <c:pt idx="166">
                  <c:v>-0.35012396498280718</c:v>
                </c:pt>
                <c:pt idx="167">
                  <c:v>-0.3517181345193951</c:v>
                </c:pt>
                <c:pt idx="168">
                  <c:v>-0.35988499449975514</c:v>
                </c:pt>
                <c:pt idx="169">
                  <c:v>-0.35334760907684243</c:v>
                </c:pt>
                <c:pt idx="170">
                  <c:v>-0.35011525918809117</c:v>
                </c:pt>
                <c:pt idx="171">
                  <c:v>-0.34880663400666029</c:v>
                </c:pt>
                <c:pt idx="172">
                  <c:v>-0.34963371192666032</c:v>
                </c:pt>
                <c:pt idx="173">
                  <c:v>-0.34338887333572043</c:v>
                </c:pt>
                <c:pt idx="174">
                  <c:v>-0.35325501544985111</c:v>
                </c:pt>
                <c:pt idx="175">
                  <c:v>-0.35316070925983201</c:v>
                </c:pt>
                <c:pt idx="176">
                  <c:v>-0.35795019860532673</c:v>
                </c:pt>
                <c:pt idx="177">
                  <c:v>-0.35857891537426084</c:v>
                </c:pt>
                <c:pt idx="178">
                  <c:v>-0.3585838937690945</c:v>
                </c:pt>
                <c:pt idx="179">
                  <c:v>-0.35743337243578277</c:v>
                </c:pt>
                <c:pt idx="180">
                  <c:v>-0.34652038985230638</c:v>
                </c:pt>
                <c:pt idx="181">
                  <c:v>-0.35292442516539213</c:v>
                </c:pt>
                <c:pt idx="182">
                  <c:v>-0.35966173738610813</c:v>
                </c:pt>
                <c:pt idx="183">
                  <c:v>-0.35894100576057747</c:v>
                </c:pt>
                <c:pt idx="184">
                  <c:v>-0.35273940615354266</c:v>
                </c:pt>
                <c:pt idx="185">
                  <c:v>-0.36146721157782324</c:v>
                </c:pt>
                <c:pt idx="186">
                  <c:v>-0.3623732332869859</c:v>
                </c:pt>
                <c:pt idx="187">
                  <c:v>-0.36701641967316184</c:v>
                </c:pt>
                <c:pt idx="188">
                  <c:v>-0.3669836082123995</c:v>
                </c:pt>
                <c:pt idx="189">
                  <c:v>-0.36937115625448541</c:v>
                </c:pt>
                <c:pt idx="190">
                  <c:v>-0.37031012263018181</c:v>
                </c:pt>
                <c:pt idx="191">
                  <c:v>-0.37254650111931448</c:v>
                </c:pt>
                <c:pt idx="192">
                  <c:v>-0.3736163524847449</c:v>
                </c:pt>
                <c:pt idx="193">
                  <c:v>-0.37099513413428015</c:v>
                </c:pt>
                <c:pt idx="194">
                  <c:v>-0.37138617262704476</c:v>
                </c:pt>
                <c:pt idx="195">
                  <c:v>-0.37221447011031011</c:v>
                </c:pt>
                <c:pt idx="196">
                  <c:v>-0.36919637191156096</c:v>
                </c:pt>
                <c:pt idx="197">
                  <c:v>-0.36667334865679369</c:v>
                </c:pt>
                <c:pt idx="198">
                  <c:v>-0.36872476348910754</c:v>
                </c:pt>
                <c:pt idx="199">
                  <c:v>-0.36640887700844416</c:v>
                </c:pt>
                <c:pt idx="200">
                  <c:v>-0.36466604020613047</c:v>
                </c:pt>
                <c:pt idx="201">
                  <c:v>-0.36572331235453914</c:v>
                </c:pt>
                <c:pt idx="202">
                  <c:v>-0.36442370769180943</c:v>
                </c:pt>
                <c:pt idx="203">
                  <c:v>-0.3660359368427123</c:v>
                </c:pt>
                <c:pt idx="204">
                  <c:v>-0.36151742082736349</c:v>
                </c:pt>
                <c:pt idx="205">
                  <c:v>-0.3551413039894753</c:v>
                </c:pt>
                <c:pt idx="206">
                  <c:v>-0.35465360855450362</c:v>
                </c:pt>
                <c:pt idx="207">
                  <c:v>-0.35659734019031747</c:v>
                </c:pt>
                <c:pt idx="208">
                  <c:v>-0.35882988680247341</c:v>
                </c:pt>
                <c:pt idx="209">
                  <c:v>-0.36107263932309747</c:v>
                </c:pt>
                <c:pt idx="210">
                  <c:v>-0.36169003704069336</c:v>
                </c:pt>
                <c:pt idx="211">
                  <c:v>-0.35978652546653411</c:v>
                </c:pt>
                <c:pt idx="212">
                  <c:v>-0.36207665441345721</c:v>
                </c:pt>
                <c:pt idx="213">
                  <c:v>-0.36233556731135264</c:v>
                </c:pt>
                <c:pt idx="214">
                  <c:v>-0.36376660426869473</c:v>
                </c:pt>
                <c:pt idx="215">
                  <c:v>-0.36813697562930003</c:v>
                </c:pt>
                <c:pt idx="216">
                  <c:v>-0.3684522921511576</c:v>
                </c:pt>
                <c:pt idx="217">
                  <c:v>-0.3632897703470549</c:v>
                </c:pt>
                <c:pt idx="218">
                  <c:v>-0.36483685800865223</c:v>
                </c:pt>
                <c:pt idx="219">
                  <c:v>-0.36991818494433742</c:v>
                </c:pt>
                <c:pt idx="220">
                  <c:v>-0.36509737335013492</c:v>
                </c:pt>
                <c:pt idx="221">
                  <c:v>-0.35393828562989221</c:v>
                </c:pt>
                <c:pt idx="222">
                  <c:v>-0.35813427013874172</c:v>
                </c:pt>
                <c:pt idx="223">
                  <c:v>-0.35343567343801119</c:v>
                </c:pt>
                <c:pt idx="224">
                  <c:v>-0.34880818057528995</c:v>
                </c:pt>
                <c:pt idx="225">
                  <c:v>-0.34045551144203667</c:v>
                </c:pt>
                <c:pt idx="226">
                  <c:v>-0.34444098003834522</c:v>
                </c:pt>
                <c:pt idx="227">
                  <c:v>-0.34722271948099226</c:v>
                </c:pt>
                <c:pt idx="228">
                  <c:v>-0.34798048088249234</c:v>
                </c:pt>
                <c:pt idx="229">
                  <c:v>-0.3515765347573227</c:v>
                </c:pt>
                <c:pt idx="230">
                  <c:v>-0.35333813150580146</c:v>
                </c:pt>
                <c:pt idx="231">
                  <c:v>-0.34797622161314973</c:v>
                </c:pt>
                <c:pt idx="232">
                  <c:v>-0.3360544315349267</c:v>
                </c:pt>
                <c:pt idx="233">
                  <c:v>-0.34632848329990396</c:v>
                </c:pt>
                <c:pt idx="234">
                  <c:v>-0.35131932428634777</c:v>
                </c:pt>
                <c:pt idx="235">
                  <c:v>-0.3444921749442868</c:v>
                </c:pt>
                <c:pt idx="236">
                  <c:v>-0.34448290589810765</c:v>
                </c:pt>
                <c:pt idx="237">
                  <c:v>-0.33937330787824549</c:v>
                </c:pt>
                <c:pt idx="238">
                  <c:v>-0.33262185025997265</c:v>
                </c:pt>
                <c:pt idx="239">
                  <c:v>-0.34100059173148678</c:v>
                </c:pt>
                <c:pt idx="240">
                  <c:v>-0.34293482453061663</c:v>
                </c:pt>
                <c:pt idx="241">
                  <c:v>-0.33711324739605686</c:v>
                </c:pt>
                <c:pt idx="242">
                  <c:v>-0.34995333939517853</c:v>
                </c:pt>
                <c:pt idx="243">
                  <c:v>-0.35164341694745765</c:v>
                </c:pt>
                <c:pt idx="244">
                  <c:v>-0.34658587989834977</c:v>
                </c:pt>
                <c:pt idx="245">
                  <c:v>-0.33246307533754649</c:v>
                </c:pt>
                <c:pt idx="246">
                  <c:v>-0.33876603788977727</c:v>
                </c:pt>
                <c:pt idx="247">
                  <c:v>-0.33891306353523126</c:v>
                </c:pt>
                <c:pt idx="248">
                  <c:v>-0.33000906566496424</c:v>
                </c:pt>
                <c:pt idx="249">
                  <c:v>-0.3547488955170095</c:v>
                </c:pt>
                <c:pt idx="250">
                  <c:v>-0.33933146151031318</c:v>
                </c:pt>
                <c:pt idx="251">
                  <c:v>-0.32488926011974717</c:v>
                </c:pt>
                <c:pt idx="252">
                  <c:v>-0.31264045557759335</c:v>
                </c:pt>
                <c:pt idx="253">
                  <c:v>-0.31659919110793616</c:v>
                </c:pt>
                <c:pt idx="254">
                  <c:v>-0.25511074518270815</c:v>
                </c:pt>
                <c:pt idx="255">
                  <c:v>-0.19923621475867406</c:v>
                </c:pt>
                <c:pt idx="256">
                  <c:v>-0.17879582554702844</c:v>
                </c:pt>
                <c:pt idx="257">
                  <c:v>-0.17880537641787131</c:v>
                </c:pt>
                <c:pt idx="258">
                  <c:v>-0.1750614954777219</c:v>
                </c:pt>
                <c:pt idx="259">
                  <c:v>-0.17973071688034598</c:v>
                </c:pt>
                <c:pt idx="260">
                  <c:v>-0.18576314363128674</c:v>
                </c:pt>
                <c:pt idx="261">
                  <c:v>-0.17817822820259488</c:v>
                </c:pt>
                <c:pt idx="262">
                  <c:v>-0.18463083059830485</c:v>
                </c:pt>
                <c:pt idx="263">
                  <c:v>-0.17935107080591145</c:v>
                </c:pt>
                <c:pt idx="264">
                  <c:v>-0.18441258988587692</c:v>
                </c:pt>
                <c:pt idx="265">
                  <c:v>-0.19072355480635922</c:v>
                </c:pt>
                <c:pt idx="266">
                  <c:v>-0.19123353650564928</c:v>
                </c:pt>
                <c:pt idx="267">
                  <c:v>-0.18281698925911022</c:v>
                </c:pt>
                <c:pt idx="268">
                  <c:v>-0.18474686814560307</c:v>
                </c:pt>
                <c:pt idx="269">
                  <c:v>-0.1764932451400584</c:v>
                </c:pt>
                <c:pt idx="270">
                  <c:v>-0.17084604235804238</c:v>
                </c:pt>
                <c:pt idx="271">
                  <c:v>-0.17937542552480668</c:v>
                </c:pt>
                <c:pt idx="272">
                  <c:v>-0.1777877619230574</c:v>
                </c:pt>
                <c:pt idx="273">
                  <c:v>-0.17501820144623881</c:v>
                </c:pt>
                <c:pt idx="274">
                  <c:v>-0.19422351938612703</c:v>
                </c:pt>
                <c:pt idx="275">
                  <c:v>-0.19727786385429352</c:v>
                </c:pt>
                <c:pt idx="276">
                  <c:v>-0.20049996220552907</c:v>
                </c:pt>
                <c:pt idx="277">
                  <c:v>-0.20136643875381566</c:v>
                </c:pt>
                <c:pt idx="278">
                  <c:v>-0.20020729241827681</c:v>
                </c:pt>
                <c:pt idx="279">
                  <c:v>-0.19666649511046697</c:v>
                </c:pt>
                <c:pt idx="280">
                  <c:v>-0.19954876793783163</c:v>
                </c:pt>
                <c:pt idx="281">
                  <c:v>-0.1956232870222194</c:v>
                </c:pt>
                <c:pt idx="282">
                  <c:v>-0.18743746012261109</c:v>
                </c:pt>
                <c:pt idx="283">
                  <c:v>-0.19420101183015653</c:v>
                </c:pt>
                <c:pt idx="284">
                  <c:v>-0.19338125431839456</c:v>
                </c:pt>
                <c:pt idx="285">
                  <c:v>-0.19172965236049089</c:v>
                </c:pt>
                <c:pt idx="286">
                  <c:v>-0.19078383525154441</c:v>
                </c:pt>
                <c:pt idx="287">
                  <c:v>-0.18468184091223705</c:v>
                </c:pt>
                <c:pt idx="288">
                  <c:v>-0.19174913533096122</c:v>
                </c:pt>
                <c:pt idx="289">
                  <c:v>-0.18876714941496706</c:v>
                </c:pt>
                <c:pt idx="290">
                  <c:v>-0.18136829598615845</c:v>
                </c:pt>
                <c:pt idx="291">
                  <c:v>-0.18834198912087641</c:v>
                </c:pt>
                <c:pt idx="292">
                  <c:v>-0.19015809741489423</c:v>
                </c:pt>
                <c:pt idx="293">
                  <c:v>-0.18710488489564106</c:v>
                </c:pt>
                <c:pt idx="294">
                  <c:v>-0.18948806590055323</c:v>
                </c:pt>
                <c:pt idx="295">
                  <c:v>-0.19384456734309427</c:v>
                </c:pt>
                <c:pt idx="296">
                  <c:v>-0.19220900341069777</c:v>
                </c:pt>
                <c:pt idx="297">
                  <c:v>-0.19340356333403974</c:v>
                </c:pt>
                <c:pt idx="298">
                  <c:v>-0.19095146912971778</c:v>
                </c:pt>
                <c:pt idx="299">
                  <c:v>-0.19427007471147809</c:v>
                </c:pt>
                <c:pt idx="300">
                  <c:v>-0.18962533628210376</c:v>
                </c:pt>
                <c:pt idx="301">
                  <c:v>-0.18485415884800049</c:v>
                </c:pt>
                <c:pt idx="302">
                  <c:v>-0.18457144026998629</c:v>
                </c:pt>
                <c:pt idx="303">
                  <c:v>-0.18846991849869627</c:v>
                </c:pt>
                <c:pt idx="304">
                  <c:v>-0.18307175961965005</c:v>
                </c:pt>
                <c:pt idx="305">
                  <c:v>-0.19064687743965006</c:v>
                </c:pt>
                <c:pt idx="306">
                  <c:v>-0.18304099822281372</c:v>
                </c:pt>
                <c:pt idx="307">
                  <c:v>-0.18843327069420304</c:v>
                </c:pt>
                <c:pt idx="308">
                  <c:v>-0.19262319109367337</c:v>
                </c:pt>
                <c:pt idx="309">
                  <c:v>-0.19017595124440284</c:v>
                </c:pt>
                <c:pt idx="310">
                  <c:v>-0.18490950836859243</c:v>
                </c:pt>
                <c:pt idx="311">
                  <c:v>-0.18376754551370822</c:v>
                </c:pt>
                <c:pt idx="312">
                  <c:v>-0.17696666610283202</c:v>
                </c:pt>
                <c:pt idx="313">
                  <c:v>-0.17905062723007961</c:v>
                </c:pt>
                <c:pt idx="314">
                  <c:v>-0.17568582159237436</c:v>
                </c:pt>
                <c:pt idx="315">
                  <c:v>-0.17733548046400616</c:v>
                </c:pt>
                <c:pt idx="316">
                  <c:v>-0.17221043547196196</c:v>
                </c:pt>
                <c:pt idx="317">
                  <c:v>-0.17799855089987215</c:v>
                </c:pt>
                <c:pt idx="318">
                  <c:v>-0.17842107041439903</c:v>
                </c:pt>
                <c:pt idx="319">
                  <c:v>-0.17376713815949171</c:v>
                </c:pt>
                <c:pt idx="320">
                  <c:v>-0.16897634663374264</c:v>
                </c:pt>
                <c:pt idx="321">
                  <c:v>-0.16597982583014609</c:v>
                </c:pt>
                <c:pt idx="322">
                  <c:v>-0.15922267211968363</c:v>
                </c:pt>
                <c:pt idx="323">
                  <c:v>-0.16744539615329979</c:v>
                </c:pt>
                <c:pt idx="324">
                  <c:v>-0.16535931050279717</c:v>
                </c:pt>
                <c:pt idx="325">
                  <c:v>-0.17432516944163456</c:v>
                </c:pt>
                <c:pt idx="326">
                  <c:v>-0.18048641869453794</c:v>
                </c:pt>
                <c:pt idx="327">
                  <c:v>-0.17954812172979168</c:v>
                </c:pt>
                <c:pt idx="328">
                  <c:v>-0.17873428738989802</c:v>
                </c:pt>
                <c:pt idx="329">
                  <c:v>-0.18349893775912487</c:v>
                </c:pt>
                <c:pt idx="330">
                  <c:v>-0.17805007896646946</c:v>
                </c:pt>
                <c:pt idx="331">
                  <c:v>-0.17552572411240758</c:v>
                </c:pt>
                <c:pt idx="332">
                  <c:v>-0.17285194350931454</c:v>
                </c:pt>
                <c:pt idx="333">
                  <c:v>-0.17916461070866233</c:v>
                </c:pt>
                <c:pt idx="334">
                  <c:v>-0.18615477985794932</c:v>
                </c:pt>
                <c:pt idx="335">
                  <c:v>-0.18061143985304304</c:v>
                </c:pt>
                <c:pt idx="336">
                  <c:v>-0.17920855989991258</c:v>
                </c:pt>
                <c:pt idx="337">
                  <c:v>-0.17358907715560234</c:v>
                </c:pt>
                <c:pt idx="338">
                  <c:v>-0.1759059214884949</c:v>
                </c:pt>
                <c:pt idx="339">
                  <c:v>-0.18109809151626899</c:v>
                </c:pt>
                <c:pt idx="340">
                  <c:v>-0.18192182034510598</c:v>
                </c:pt>
                <c:pt idx="341">
                  <c:v>-0.18312926154281053</c:v>
                </c:pt>
                <c:pt idx="342">
                  <c:v>-0.17908109598738994</c:v>
                </c:pt>
                <c:pt idx="343">
                  <c:v>-0.17985177772531688</c:v>
                </c:pt>
                <c:pt idx="344">
                  <c:v>-0.18704335964826199</c:v>
                </c:pt>
                <c:pt idx="345">
                  <c:v>-0.19546636391956293</c:v>
                </c:pt>
                <c:pt idx="346">
                  <c:v>-0.19601749401168128</c:v>
                </c:pt>
                <c:pt idx="347">
                  <c:v>-0.1949402604730511</c:v>
                </c:pt>
                <c:pt idx="348">
                  <c:v>-0.20164809711338977</c:v>
                </c:pt>
                <c:pt idx="349">
                  <c:v>-0.19848262043795897</c:v>
                </c:pt>
                <c:pt idx="350">
                  <c:v>-0.20293699265906195</c:v>
                </c:pt>
                <c:pt idx="351">
                  <c:v>-0.19878116958241684</c:v>
                </c:pt>
                <c:pt idx="352">
                  <c:v>-0.19071295425467444</c:v>
                </c:pt>
                <c:pt idx="353">
                  <c:v>-0.19922292750207218</c:v>
                </c:pt>
                <c:pt idx="354">
                  <c:v>-0.21364648167260802</c:v>
                </c:pt>
                <c:pt idx="355">
                  <c:v>-0.22137901880853272</c:v>
                </c:pt>
                <c:pt idx="356">
                  <c:v>-0.22880561050097206</c:v>
                </c:pt>
                <c:pt idx="357">
                  <c:v>-0.22706059903296594</c:v>
                </c:pt>
                <c:pt idx="358">
                  <c:v>-0.240324484403001</c:v>
                </c:pt>
                <c:pt idx="359">
                  <c:v>-0.24152034771936462</c:v>
                </c:pt>
                <c:pt idx="360">
                  <c:v>-0.23646243273737949</c:v>
                </c:pt>
                <c:pt idx="361">
                  <c:v>-0.24139630875091181</c:v>
                </c:pt>
                <c:pt idx="362">
                  <c:v>-0.24689204390862785</c:v>
                </c:pt>
                <c:pt idx="363">
                  <c:v>-0.24422791799488938</c:v>
                </c:pt>
                <c:pt idx="364">
                  <c:v>-0.24720132200783235</c:v>
                </c:pt>
                <c:pt idx="365">
                  <c:v>-0.24187104120829389</c:v>
                </c:pt>
                <c:pt idx="366">
                  <c:v>-0.234166223144191</c:v>
                </c:pt>
                <c:pt idx="367">
                  <c:v>-0.20462317650552564</c:v>
                </c:pt>
                <c:pt idx="368">
                  <c:v>-0.20125617583557684</c:v>
                </c:pt>
                <c:pt idx="369">
                  <c:v>-0.21415851301776706</c:v>
                </c:pt>
                <c:pt idx="370">
                  <c:v>-0.21899996280562248</c:v>
                </c:pt>
                <c:pt idx="371">
                  <c:v>-0.22292057450285452</c:v>
                </c:pt>
                <c:pt idx="372">
                  <c:v>-0.22022315632895623</c:v>
                </c:pt>
                <c:pt idx="373">
                  <c:v>-0.22205693833278395</c:v>
                </c:pt>
                <c:pt idx="374">
                  <c:v>-0.21839151780078395</c:v>
                </c:pt>
                <c:pt idx="375">
                  <c:v>-0.22625101318221766</c:v>
                </c:pt>
                <c:pt idx="376">
                  <c:v>-0.22941081853148435</c:v>
                </c:pt>
                <c:pt idx="377">
                  <c:v>-0.22740057361213792</c:v>
                </c:pt>
                <c:pt idx="378">
                  <c:v>-0.22055789417629379</c:v>
                </c:pt>
                <c:pt idx="379">
                  <c:v>-0.20320119801725323</c:v>
                </c:pt>
                <c:pt idx="380">
                  <c:v>-0.20591515411306741</c:v>
                </c:pt>
                <c:pt idx="381">
                  <c:v>-0.20334680263583341</c:v>
                </c:pt>
                <c:pt idx="382">
                  <c:v>-0.20567593441044099</c:v>
                </c:pt>
                <c:pt idx="383">
                  <c:v>-0.20975702446838002</c:v>
                </c:pt>
                <c:pt idx="384">
                  <c:v>-0.21029694342470789</c:v>
                </c:pt>
                <c:pt idx="385">
                  <c:v>-0.20898331674470791</c:v>
                </c:pt>
                <c:pt idx="386">
                  <c:v>-0.20806866728549608</c:v>
                </c:pt>
                <c:pt idx="387">
                  <c:v>-0.21226519762740784</c:v>
                </c:pt>
                <c:pt idx="388">
                  <c:v>-0.21404357731715468</c:v>
                </c:pt>
                <c:pt idx="389">
                  <c:v>-0.21246862853727061</c:v>
                </c:pt>
                <c:pt idx="390">
                  <c:v>-0.20987509403460161</c:v>
                </c:pt>
                <c:pt idx="391">
                  <c:v>-0.21037496413511439</c:v>
                </c:pt>
                <c:pt idx="392">
                  <c:v>-0.21073737602209852</c:v>
                </c:pt>
                <c:pt idx="393">
                  <c:v>-0.20851389035559559</c:v>
                </c:pt>
                <c:pt idx="394">
                  <c:v>-0.21132864647574373</c:v>
                </c:pt>
                <c:pt idx="395">
                  <c:v>-0.20896822213153857</c:v>
                </c:pt>
                <c:pt idx="396">
                  <c:v>-0.20643281975467503</c:v>
                </c:pt>
                <c:pt idx="397">
                  <c:v>-0.20419601330446319</c:v>
                </c:pt>
                <c:pt idx="398">
                  <c:v>-0.20552498666746319</c:v>
                </c:pt>
                <c:pt idx="399">
                  <c:v>-0.20455739016880123</c:v>
                </c:pt>
                <c:pt idx="400">
                  <c:v>-0.20614792249840122</c:v>
                </c:pt>
                <c:pt idx="401">
                  <c:v>-0.20322602593286987</c:v>
                </c:pt>
                <c:pt idx="402">
                  <c:v>-0.20592845388149639</c:v>
                </c:pt>
                <c:pt idx="403">
                  <c:v>-0.20320629777524638</c:v>
                </c:pt>
                <c:pt idx="404">
                  <c:v>-0.20527339705657124</c:v>
                </c:pt>
                <c:pt idx="405">
                  <c:v>-0.20512725346446942</c:v>
                </c:pt>
                <c:pt idx="406">
                  <c:v>-0.2113295476908825</c:v>
                </c:pt>
                <c:pt idx="407">
                  <c:v>-0.20448198006794885</c:v>
                </c:pt>
                <c:pt idx="408">
                  <c:v>-0.20880558042839328</c:v>
                </c:pt>
                <c:pt idx="409">
                  <c:v>-0.20781743757101956</c:v>
                </c:pt>
                <c:pt idx="410">
                  <c:v>-0.20981250171006721</c:v>
                </c:pt>
                <c:pt idx="411">
                  <c:v>-0.20615598666179136</c:v>
                </c:pt>
                <c:pt idx="412">
                  <c:v>-0.20697703686110372</c:v>
                </c:pt>
                <c:pt idx="413">
                  <c:v>-0.20023459561476045</c:v>
                </c:pt>
                <c:pt idx="414">
                  <c:v>-0.20347966852337585</c:v>
                </c:pt>
                <c:pt idx="415">
                  <c:v>-0.20056757833113703</c:v>
                </c:pt>
                <c:pt idx="416">
                  <c:v>-0.18828577892051701</c:v>
                </c:pt>
                <c:pt idx="417">
                  <c:v>-0.19437908175848134</c:v>
                </c:pt>
                <c:pt idx="418">
                  <c:v>-0.19260544849427963</c:v>
                </c:pt>
                <c:pt idx="419">
                  <c:v>-0.19475075091888641</c:v>
                </c:pt>
                <c:pt idx="420">
                  <c:v>-0.19232705496778921</c:v>
                </c:pt>
                <c:pt idx="421">
                  <c:v>-0.18851712545184715</c:v>
                </c:pt>
                <c:pt idx="422">
                  <c:v>-0.19191795500100997</c:v>
                </c:pt>
                <c:pt idx="423">
                  <c:v>-0.18825195970367778</c:v>
                </c:pt>
                <c:pt idx="424">
                  <c:v>-0.18670936887013931</c:v>
                </c:pt>
                <c:pt idx="425">
                  <c:v>-0.18581708049184278</c:v>
                </c:pt>
                <c:pt idx="426">
                  <c:v>-0.19181775417724473</c:v>
                </c:pt>
                <c:pt idx="427">
                  <c:v>-0.19100752734379645</c:v>
                </c:pt>
                <c:pt idx="428">
                  <c:v>-0.19255247687039606</c:v>
                </c:pt>
                <c:pt idx="429">
                  <c:v>-0.19238922387012247</c:v>
                </c:pt>
                <c:pt idx="430">
                  <c:v>-0.18293620094620583</c:v>
                </c:pt>
                <c:pt idx="431">
                  <c:v>-0.18262619201712213</c:v>
                </c:pt>
                <c:pt idx="432">
                  <c:v>-0.1793544964164509</c:v>
                </c:pt>
                <c:pt idx="433">
                  <c:v>-0.18645284341828156</c:v>
                </c:pt>
                <c:pt idx="434">
                  <c:v>-0.18079179452988378</c:v>
                </c:pt>
                <c:pt idx="435">
                  <c:v>-0.17354804892879433</c:v>
                </c:pt>
                <c:pt idx="436">
                  <c:v>-0.1756983415122558</c:v>
                </c:pt>
                <c:pt idx="437">
                  <c:v>-0.17145924465452136</c:v>
                </c:pt>
                <c:pt idx="438">
                  <c:v>-0.18102792170365747</c:v>
                </c:pt>
                <c:pt idx="439">
                  <c:v>-0.18497658617717139</c:v>
                </c:pt>
                <c:pt idx="440">
                  <c:v>-0.19017383083723743</c:v>
                </c:pt>
                <c:pt idx="441">
                  <c:v>-0.19337012315517862</c:v>
                </c:pt>
                <c:pt idx="442">
                  <c:v>-0.18927988720017863</c:v>
                </c:pt>
                <c:pt idx="443">
                  <c:v>-0.18130808080106098</c:v>
                </c:pt>
                <c:pt idx="444">
                  <c:v>-0.18407824366263165</c:v>
                </c:pt>
                <c:pt idx="445">
                  <c:v>-0.18725769519903754</c:v>
                </c:pt>
                <c:pt idx="446">
                  <c:v>-0.18799993784718566</c:v>
                </c:pt>
                <c:pt idx="447">
                  <c:v>-0.18438487222451486</c:v>
                </c:pt>
                <c:pt idx="448">
                  <c:v>-0.18540256110776487</c:v>
                </c:pt>
                <c:pt idx="449">
                  <c:v>-0.18710623397046761</c:v>
                </c:pt>
                <c:pt idx="450">
                  <c:v>-0.18742261805253654</c:v>
                </c:pt>
                <c:pt idx="451">
                  <c:v>-0.18341744309194105</c:v>
                </c:pt>
                <c:pt idx="452">
                  <c:v>-0.16898533210929928</c:v>
                </c:pt>
                <c:pt idx="453">
                  <c:v>-0.16925863493479379</c:v>
                </c:pt>
                <c:pt idx="454">
                  <c:v>-0.16536538094589204</c:v>
                </c:pt>
                <c:pt idx="455">
                  <c:v>-0.16214613793211427</c:v>
                </c:pt>
                <c:pt idx="456">
                  <c:v>-0.15942978336520561</c:v>
                </c:pt>
                <c:pt idx="457">
                  <c:v>-0.15402618001538645</c:v>
                </c:pt>
                <c:pt idx="458">
                  <c:v>-0.15050335098300882</c:v>
                </c:pt>
                <c:pt idx="459">
                  <c:v>-0.13374854504351905</c:v>
                </c:pt>
                <c:pt idx="460">
                  <c:v>-0.13689069419659095</c:v>
                </c:pt>
                <c:pt idx="461">
                  <c:v>-0.14181194991341201</c:v>
                </c:pt>
                <c:pt idx="462">
                  <c:v>-0.1346267487944732</c:v>
                </c:pt>
                <c:pt idx="463">
                  <c:v>-0.12440363732742071</c:v>
                </c:pt>
                <c:pt idx="464">
                  <c:v>-0.14427596358354974</c:v>
                </c:pt>
                <c:pt idx="465">
                  <c:v>-0.13812387423782194</c:v>
                </c:pt>
                <c:pt idx="466">
                  <c:v>-0.12478445885934192</c:v>
                </c:pt>
                <c:pt idx="467">
                  <c:v>-0.1034174860464524</c:v>
                </c:pt>
                <c:pt idx="468">
                  <c:v>-0.12020514619131964</c:v>
                </c:pt>
                <c:pt idx="469">
                  <c:v>-0.12816565089551962</c:v>
                </c:pt>
                <c:pt idx="470">
                  <c:v>-0.12717802807705808</c:v>
                </c:pt>
                <c:pt idx="471">
                  <c:v>-0.1002814788961057</c:v>
                </c:pt>
                <c:pt idx="472">
                  <c:v>-9.8318470160213001E-2</c:v>
                </c:pt>
                <c:pt idx="473">
                  <c:v>-9.0331352350316071E-2</c:v>
                </c:pt>
                <c:pt idx="474">
                  <c:v>-9.3151309999640372E-2</c:v>
                </c:pt>
                <c:pt idx="475">
                  <c:v>-8.5535798791543854E-2</c:v>
                </c:pt>
                <c:pt idx="476">
                  <c:v>-8.5419109153470452E-2</c:v>
                </c:pt>
                <c:pt idx="477">
                  <c:v>-7.8214770920500526E-2</c:v>
                </c:pt>
                <c:pt idx="478">
                  <c:v>-6.2536792916796841E-2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E9-419F-89A2-0B0A8EA6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820239"/>
        <c:axId val="315821071"/>
      </c:lineChart>
      <c:dateAx>
        <c:axId val="3158202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21071"/>
        <c:crosses val="autoZero"/>
        <c:auto val="1"/>
        <c:lblOffset val="100"/>
        <c:baseTimeUnit val="days"/>
      </c:dateAx>
      <c:valAx>
        <c:axId val="31582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2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7D9678-9F0A-4FA6-A8D7-B6F35F2F2203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A643F4-6CB8-4DBD-AA22-9A5659F51E6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147.63399999999999</v>
      </c>
      <c r="D2" s="4">
        <f>MIN(D3:D1912)</f>
        <v>1.159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7.92</v>
      </c>
      <c r="C5">
        <v>8</v>
      </c>
      <c r="D5">
        <v>7.74</v>
      </c>
      <c r="E5">
        <v>7.74</v>
      </c>
      <c r="F5">
        <v>15492.88</v>
      </c>
      <c r="G5">
        <v>7.74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-15492.88</v>
      </c>
      <c r="R5">
        <f t="shared" ref="R5" si="2">R6+Q5</f>
        <v>-42763124.723563083</v>
      </c>
      <c r="S5">
        <f t="shared" ref="S5" si="3">R5/100000</f>
        <v>-427.63124723563084</v>
      </c>
      <c r="T5">
        <f t="shared" ref="T5" si="4">S5/1000</f>
        <v>-0.42763124723563084</v>
      </c>
    </row>
    <row r="6" spans="1:20" x14ac:dyDescent="0.25">
      <c r="A6" s="5">
        <v>44587</v>
      </c>
      <c r="B6">
        <v>8.1199999999999992</v>
      </c>
      <c r="C6">
        <v>8.7200000000000006</v>
      </c>
      <c r="D6">
        <v>7.64</v>
      </c>
      <c r="E6">
        <v>7.92</v>
      </c>
      <c r="F6">
        <v>432853.57</v>
      </c>
      <c r="G6">
        <v>7.92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-0.48148148148148145</v>
      </c>
      <c r="Q6">
        <f t="shared" ref="Q6" si="6">F6*P6</f>
        <v>-208410.97814814813</v>
      </c>
      <c r="R6">
        <f t="shared" ref="R6" si="7">R7+Q6</f>
        <v>-42747631.84356308</v>
      </c>
      <c r="S6">
        <f t="shared" ref="S6" si="8">R6/100000</f>
        <v>-427.47631843563079</v>
      </c>
      <c r="T6">
        <f t="shared" ref="T6" si="9">S6/1000</f>
        <v>-0.42747631843563078</v>
      </c>
    </row>
    <row r="7" spans="1:20" x14ac:dyDescent="0.25">
      <c r="A7" s="5">
        <v>44586</v>
      </c>
      <c r="B7">
        <v>7.94</v>
      </c>
      <c r="C7">
        <v>8.49</v>
      </c>
      <c r="D7">
        <v>7.57</v>
      </c>
      <c r="E7">
        <v>8.1300000000000008</v>
      </c>
      <c r="F7">
        <v>336484.62</v>
      </c>
      <c r="G7">
        <v>8.1300000000000008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0.21739130434782727</v>
      </c>
      <c r="Q7">
        <f t="shared" ref="Q7" si="11">F7*P7</f>
        <v>73148.830434783013</v>
      </c>
      <c r="R7">
        <f t="shared" ref="R7" si="12">R8+Q7</f>
        <v>-42539220.865414932</v>
      </c>
      <c r="S7">
        <f t="shared" ref="S7" si="13">R7/100000</f>
        <v>-425.39220865414933</v>
      </c>
      <c r="T7">
        <f t="shared" ref="T7" si="14">S7/1000</f>
        <v>-0.42539220865414934</v>
      </c>
    </row>
    <row r="8" spans="1:20" x14ac:dyDescent="0.25">
      <c r="A8" s="5">
        <v>44585</v>
      </c>
      <c r="B8">
        <v>8.17</v>
      </c>
      <c r="C8">
        <v>8.32</v>
      </c>
      <c r="D8">
        <v>6.71</v>
      </c>
      <c r="E8">
        <v>7.93</v>
      </c>
      <c r="F8">
        <v>1216924.81</v>
      </c>
      <c r="G8">
        <v>7.93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0.51552795031055842</v>
      </c>
      <c r="Q8">
        <f t="shared" ref="Q8" si="16">F8*P8</f>
        <v>627358.75298136577</v>
      </c>
      <c r="R8">
        <f t="shared" ref="R8" si="17">R9+Q8</f>
        <v>-42612369.695849717</v>
      </c>
      <c r="S8">
        <f t="shared" ref="S8" si="18">R8/100000</f>
        <v>-426.12369695849719</v>
      </c>
      <c r="T8">
        <f t="shared" ref="T8" si="19">S8/1000</f>
        <v>-0.42612369695849717</v>
      </c>
    </row>
    <row r="9" spans="1:20" x14ac:dyDescent="0.25">
      <c r="A9" s="5">
        <v>44584</v>
      </c>
      <c r="B9">
        <v>7.59</v>
      </c>
      <c r="C9">
        <v>8.6999999999999993</v>
      </c>
      <c r="D9">
        <v>7.55</v>
      </c>
      <c r="E9">
        <v>8.17</v>
      </c>
      <c r="F9">
        <v>654826.44999999995</v>
      </c>
      <c r="G9">
        <v>8.17</v>
      </c>
      <c r="L9" t="s">
        <v>8</v>
      </c>
      <c r="M9" t="s">
        <v>8</v>
      </c>
      <c r="N9" t="s">
        <v>7</v>
      </c>
      <c r="P9">
        <f t="shared" ref="P9" si="20">IF(C9=D9,0,((E9-D9)-(C9-E9))/(C9-D9))</f>
        <v>7.8260869565218077E-2</v>
      </c>
      <c r="Q9">
        <f t="shared" ref="Q9" si="21">F9*P9</f>
        <v>51247.287391304795</v>
      </c>
      <c r="R9">
        <f t="shared" ref="R9" si="22">R10+Q9</f>
        <v>-43239728.448831081</v>
      </c>
      <c r="S9">
        <f t="shared" ref="S9" si="23">R9/100000</f>
        <v>-432.39728448831079</v>
      </c>
      <c r="T9">
        <f t="shared" ref="T9" si="24">S9/1000</f>
        <v>-0.43239728448831077</v>
      </c>
    </row>
    <row r="10" spans="1:20" x14ac:dyDescent="0.25">
      <c r="A10" s="5">
        <v>44583</v>
      </c>
      <c r="B10">
        <v>9.93</v>
      </c>
      <c r="C10">
        <v>10.14</v>
      </c>
      <c r="D10">
        <v>6.18</v>
      </c>
      <c r="E10">
        <v>7.59</v>
      </c>
      <c r="F10">
        <v>1906583.351</v>
      </c>
      <c r="G10">
        <v>7.59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-0.28787878787878796</v>
      </c>
      <c r="Q10">
        <f t="shared" ref="Q10" si="26">F10*P10</f>
        <v>-548864.90407575772</v>
      </c>
      <c r="R10">
        <f t="shared" ref="R10" si="27">R11+Q10</f>
        <v>-43290975.736222386</v>
      </c>
      <c r="S10">
        <f t="shared" ref="S10" si="28">R10/100000</f>
        <v>-432.90975736222384</v>
      </c>
      <c r="T10">
        <f t="shared" ref="T10" si="29">S10/1000</f>
        <v>-0.43290975736222387</v>
      </c>
    </row>
    <row r="11" spans="1:20" x14ac:dyDescent="0.25">
      <c r="A11" s="5">
        <v>44582</v>
      </c>
      <c r="B11">
        <v>11.36</v>
      </c>
      <c r="C11">
        <v>11.53</v>
      </c>
      <c r="D11">
        <v>9.69</v>
      </c>
      <c r="E11">
        <v>9.94</v>
      </c>
      <c r="F11">
        <v>800998.41099999996</v>
      </c>
      <c r="G11">
        <v>9.94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-0.72826086956521741</v>
      </c>
      <c r="Q11">
        <f t="shared" ref="Q11" si="31">F11*P11</f>
        <v>-583335.79931521742</v>
      </c>
      <c r="R11">
        <f t="shared" ref="R11" si="32">R12+Q11</f>
        <v>-42742110.83214663</v>
      </c>
      <c r="S11">
        <f t="shared" ref="S11" si="33">R11/100000</f>
        <v>-427.42110832146631</v>
      </c>
      <c r="T11">
        <f t="shared" ref="T11" si="34">S11/1000</f>
        <v>-0.42742110832146629</v>
      </c>
    </row>
    <row r="12" spans="1:20" x14ac:dyDescent="0.25">
      <c r="A12" s="5">
        <v>44581</v>
      </c>
      <c r="B12">
        <v>12.51</v>
      </c>
      <c r="C12">
        <v>13.05</v>
      </c>
      <c r="D12">
        <v>11.28</v>
      </c>
      <c r="E12">
        <v>11.36</v>
      </c>
      <c r="F12">
        <v>325240.73800000001</v>
      </c>
      <c r="G12">
        <v>11.36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-0.90960451977401124</v>
      </c>
      <c r="Q12">
        <f t="shared" ref="Q12" si="36">F12*P12</f>
        <v>-295840.445299435</v>
      </c>
      <c r="R12">
        <f t="shared" ref="R12" si="37">R13+Q12</f>
        <v>-42158775.032831416</v>
      </c>
      <c r="S12">
        <f t="shared" ref="S12" si="38">R12/100000</f>
        <v>-421.58775032831414</v>
      </c>
      <c r="T12">
        <f t="shared" ref="T12" si="39">S12/1000</f>
        <v>-0.42158775032831414</v>
      </c>
    </row>
    <row r="13" spans="1:20" x14ac:dyDescent="0.25">
      <c r="A13" s="5">
        <v>44580</v>
      </c>
      <c r="B13">
        <v>13.04</v>
      </c>
      <c r="C13">
        <v>13.15</v>
      </c>
      <c r="D13">
        <v>12.05</v>
      </c>
      <c r="E13">
        <v>12.52</v>
      </c>
      <c r="F13">
        <v>284976.63</v>
      </c>
      <c r="G13">
        <v>12.52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-0.14545454545454725</v>
      </c>
      <c r="Q13">
        <f t="shared" ref="Q13" si="41">F13*P13</f>
        <v>-41451.146181818694</v>
      </c>
      <c r="R13">
        <f t="shared" ref="R13" si="42">R14+Q13</f>
        <v>-41862934.587531984</v>
      </c>
      <c r="S13">
        <f t="shared" ref="S13" si="43">R13/100000</f>
        <v>-418.62934587531981</v>
      </c>
      <c r="T13">
        <f t="shared" ref="T13" si="44">S13/1000</f>
        <v>-0.4186293458753198</v>
      </c>
    </row>
    <row r="14" spans="1:20" x14ac:dyDescent="0.25">
      <c r="A14" s="5">
        <v>44579</v>
      </c>
      <c r="B14">
        <v>13.6</v>
      </c>
      <c r="C14">
        <v>13.61</v>
      </c>
      <c r="D14">
        <v>12.61</v>
      </c>
      <c r="E14">
        <v>13.04</v>
      </c>
      <c r="F14">
        <v>147530.73000000001</v>
      </c>
      <c r="G14">
        <v>13.04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-0.14000000000000057</v>
      </c>
      <c r="Q14">
        <f t="shared" ref="Q14" si="46">F14*P14</f>
        <v>-20654.302200000086</v>
      </c>
      <c r="R14">
        <f t="shared" ref="R14" si="47">R15+Q14</f>
        <v>-41821483.441350162</v>
      </c>
      <c r="S14">
        <f t="shared" ref="S14" si="48">R14/100000</f>
        <v>-418.21483441350165</v>
      </c>
      <c r="T14">
        <f t="shared" ref="T14" si="49">S14/1000</f>
        <v>-0.41821483441350166</v>
      </c>
    </row>
    <row r="15" spans="1:20" x14ac:dyDescent="0.25">
      <c r="A15" s="5">
        <v>44578</v>
      </c>
      <c r="B15">
        <v>14.04</v>
      </c>
      <c r="C15">
        <v>14.05</v>
      </c>
      <c r="D15">
        <v>13.4</v>
      </c>
      <c r="E15">
        <v>13.59</v>
      </c>
      <c r="F15">
        <v>94950.79</v>
      </c>
      <c r="G15">
        <v>13.59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-0.41538461538461724</v>
      </c>
      <c r="Q15">
        <f t="shared" ref="Q15" si="51">F15*P15</f>
        <v>-39441.097384615561</v>
      </c>
      <c r="R15">
        <f t="shared" ref="R15" si="52">R16+Q15</f>
        <v>-41800829.139150165</v>
      </c>
      <c r="S15">
        <f t="shared" ref="S15" si="53">R15/100000</f>
        <v>-418.00829139150164</v>
      </c>
      <c r="T15">
        <f t="shared" ref="T15" si="54">S15/1000</f>
        <v>-0.41800829139150164</v>
      </c>
    </row>
    <row r="16" spans="1:20" x14ac:dyDescent="0.25">
      <c r="A16" s="5">
        <v>44577</v>
      </c>
      <c r="B16">
        <v>14.16</v>
      </c>
      <c r="C16">
        <v>14.36</v>
      </c>
      <c r="D16">
        <v>13.89</v>
      </c>
      <c r="E16">
        <v>14.05</v>
      </c>
      <c r="F16">
        <v>74720.429999999993</v>
      </c>
      <c r="G16">
        <v>14.05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-0.31914893617021051</v>
      </c>
      <c r="Q16">
        <f t="shared" ref="Q16" si="56">F16*P16</f>
        <v>-23846.945744680681</v>
      </c>
      <c r="R16">
        <f t="shared" ref="R16" si="57">R17+Q16</f>
        <v>-41761388.041765548</v>
      </c>
      <c r="S16">
        <f t="shared" ref="S16" si="58">R16/100000</f>
        <v>-417.61388041765548</v>
      </c>
      <c r="T16">
        <f t="shared" ref="T16" si="59">S16/1000</f>
        <v>-0.41761388041765546</v>
      </c>
    </row>
    <row r="17" spans="1:20" x14ac:dyDescent="0.25">
      <c r="A17" s="5">
        <v>44576</v>
      </c>
      <c r="B17">
        <v>14.01</v>
      </c>
      <c r="C17">
        <v>14.44</v>
      </c>
      <c r="D17">
        <v>13.95</v>
      </c>
      <c r="E17">
        <v>14.16</v>
      </c>
      <c r="F17">
        <v>89433.57</v>
      </c>
      <c r="G17">
        <v>14.16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-0.14285714285713974</v>
      </c>
      <c r="Q17">
        <f t="shared" ref="Q17" si="61">F17*P17</f>
        <v>-12776.224285714008</v>
      </c>
      <c r="R17">
        <f t="shared" ref="R17" si="62">R18+Q17</f>
        <v>-41737541.09602087</v>
      </c>
      <c r="S17">
        <f t="shared" ref="S17" si="63">R17/100000</f>
        <v>-417.37541096020868</v>
      </c>
      <c r="T17">
        <f t="shared" ref="T17" si="64">S17/1000</f>
        <v>-0.41737541096020869</v>
      </c>
    </row>
    <row r="18" spans="1:20" x14ac:dyDescent="0.25">
      <c r="A18" s="5">
        <v>44575</v>
      </c>
      <c r="B18">
        <v>13.83</v>
      </c>
      <c r="C18">
        <v>14.2</v>
      </c>
      <c r="D18">
        <v>13.6</v>
      </c>
      <c r="E18">
        <v>14</v>
      </c>
      <c r="F18">
        <v>105576.8</v>
      </c>
      <c r="G18">
        <v>14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0.33333333333333531</v>
      </c>
      <c r="Q18">
        <f t="shared" ref="Q18" si="66">F18*P18</f>
        <v>35192.266666666874</v>
      </c>
      <c r="R18">
        <f t="shared" ref="R18" si="67">R19+Q18</f>
        <v>-41724764.871735156</v>
      </c>
      <c r="S18">
        <f t="shared" ref="S18" si="68">R18/100000</f>
        <v>-417.24764871735158</v>
      </c>
      <c r="T18">
        <f t="shared" ref="T18" si="69">S18/1000</f>
        <v>-0.41724764871735159</v>
      </c>
    </row>
    <row r="19" spans="1:20" x14ac:dyDescent="0.25">
      <c r="A19" s="5">
        <v>44574</v>
      </c>
      <c r="B19">
        <v>14.22</v>
      </c>
      <c r="C19">
        <v>14.7</v>
      </c>
      <c r="D19">
        <v>13.75</v>
      </c>
      <c r="E19">
        <v>13.85</v>
      </c>
      <c r="F19">
        <v>159947.23000000001</v>
      </c>
      <c r="G19">
        <v>13.85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-0.78947368421052688</v>
      </c>
      <c r="Q19">
        <f t="shared" ref="Q19" si="71">F19*P19</f>
        <v>-126274.12894736852</v>
      </c>
      <c r="R19">
        <f t="shared" ref="R19" si="72">R20+Q19</f>
        <v>-41759957.138401821</v>
      </c>
      <c r="S19">
        <f t="shared" ref="S19" si="73">R19/100000</f>
        <v>-417.59957138401819</v>
      </c>
      <c r="T19">
        <f t="shared" ref="T19" si="74">S19/1000</f>
        <v>-0.41759957138401821</v>
      </c>
    </row>
    <row r="20" spans="1:20" x14ac:dyDescent="0.25">
      <c r="A20" s="5">
        <v>44573</v>
      </c>
      <c r="B20">
        <v>13.71</v>
      </c>
      <c r="C20">
        <v>14.4</v>
      </c>
      <c r="D20">
        <v>13.56</v>
      </c>
      <c r="E20">
        <v>14.23</v>
      </c>
      <c r="F20">
        <v>156662.92000000001</v>
      </c>
      <c r="G20">
        <v>14.23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0.59523809523809534</v>
      </c>
      <c r="Q20">
        <f t="shared" ref="Q20" si="76">F20*P20</f>
        <v>93251.738095238121</v>
      </c>
      <c r="R20">
        <f t="shared" ref="R20" si="77">R21+Q20</f>
        <v>-41633683.009454452</v>
      </c>
      <c r="S20">
        <f t="shared" ref="S20" si="78">R20/100000</f>
        <v>-416.3368300945445</v>
      </c>
      <c r="T20">
        <f t="shared" ref="T20" si="79">S20/1000</f>
        <v>-0.41633683009454447</v>
      </c>
    </row>
    <row r="21" spans="1:20" x14ac:dyDescent="0.25">
      <c r="A21" s="5">
        <v>44572</v>
      </c>
      <c r="B21">
        <v>13.16</v>
      </c>
      <c r="C21">
        <v>14.03</v>
      </c>
      <c r="D21">
        <v>13.05</v>
      </c>
      <c r="E21">
        <v>13.71</v>
      </c>
      <c r="F21">
        <v>188496.69</v>
      </c>
      <c r="G21">
        <v>13.71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0.34693877551020624</v>
      </c>
      <c r="Q21">
        <f t="shared" ref="Q21" si="81">F21*P21</f>
        <v>65396.810816326935</v>
      </c>
      <c r="R21">
        <f t="shared" ref="R21" si="82">R22+Q21</f>
        <v>-41726934.74754969</v>
      </c>
      <c r="S21">
        <f t="shared" ref="S21" si="83">R21/100000</f>
        <v>-417.26934747549689</v>
      </c>
      <c r="T21">
        <f t="shared" ref="T21" si="84">S21/1000</f>
        <v>-0.41726934747549688</v>
      </c>
    </row>
    <row r="22" spans="1:20" x14ac:dyDescent="0.25">
      <c r="A22" s="5">
        <v>44571</v>
      </c>
      <c r="B22">
        <v>14.09</v>
      </c>
      <c r="C22">
        <v>14.21</v>
      </c>
      <c r="D22">
        <v>12.68</v>
      </c>
      <c r="E22">
        <v>13.18</v>
      </c>
      <c r="F22">
        <v>225691.514</v>
      </c>
      <c r="G22">
        <v>13.18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-0.34640522875817042</v>
      </c>
      <c r="Q22">
        <f t="shared" ref="Q22" si="86">F22*P22</f>
        <v>-78180.720535947825</v>
      </c>
      <c r="R22">
        <f t="shared" ref="R22" si="87">R23+Q22</f>
        <v>-41792331.558366016</v>
      </c>
      <c r="S22">
        <f t="shared" ref="S22" si="88">R22/100000</f>
        <v>-417.92331558366016</v>
      </c>
      <c r="T22">
        <f t="shared" ref="T22" si="89">S22/1000</f>
        <v>-0.41792331558366014</v>
      </c>
    </row>
    <row r="23" spans="1:20" x14ac:dyDescent="0.25">
      <c r="A23" s="5">
        <v>44570</v>
      </c>
      <c r="B23">
        <v>13.93</v>
      </c>
      <c r="C23">
        <v>14.49</v>
      </c>
      <c r="D23">
        <v>13.67</v>
      </c>
      <c r="E23">
        <v>14.09</v>
      </c>
      <c r="F23">
        <v>107496.16</v>
      </c>
      <c r="G23">
        <v>14.09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2.4390243902438494E-2</v>
      </c>
      <c r="Q23">
        <f t="shared" ref="Q23" si="91">F23*P23</f>
        <v>2621.857560975553</v>
      </c>
      <c r="R23">
        <f t="shared" ref="R23" si="92">R24+Q23</f>
        <v>-41714150.837830067</v>
      </c>
      <c r="S23">
        <f t="shared" ref="S23" si="93">R23/100000</f>
        <v>-417.14150837830067</v>
      </c>
      <c r="T23">
        <f t="shared" ref="T23" si="94">S23/1000</f>
        <v>-0.41714150837830066</v>
      </c>
    </row>
    <row r="24" spans="1:20" x14ac:dyDescent="0.25">
      <c r="A24" s="5">
        <v>44569</v>
      </c>
      <c r="B24">
        <v>13.93</v>
      </c>
      <c r="C24">
        <v>14.35</v>
      </c>
      <c r="D24">
        <v>13.31</v>
      </c>
      <c r="E24">
        <v>13.92</v>
      </c>
      <c r="F24">
        <v>164367.51</v>
      </c>
      <c r="G24">
        <v>13.92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0.17307692307692293</v>
      </c>
      <c r="Q24">
        <f t="shared" ref="Q24" si="96">F24*P24</f>
        <v>28448.222884615363</v>
      </c>
      <c r="R24">
        <f t="shared" ref="R24" si="97">R25+Q24</f>
        <v>-41716772.695391044</v>
      </c>
      <c r="S24">
        <f t="shared" ref="S24" si="98">R24/100000</f>
        <v>-417.16772695391046</v>
      </c>
      <c r="T24">
        <f t="shared" ref="T24" si="99">S24/1000</f>
        <v>-0.41716772695391047</v>
      </c>
    </row>
    <row r="25" spans="1:20" x14ac:dyDescent="0.25">
      <c r="A25" s="5">
        <v>44568</v>
      </c>
      <c r="B25">
        <v>14.54</v>
      </c>
      <c r="C25">
        <v>14.55</v>
      </c>
      <c r="D25">
        <v>13.52</v>
      </c>
      <c r="E25">
        <v>13.92</v>
      </c>
      <c r="F25">
        <v>251872.66500000001</v>
      </c>
      <c r="G25">
        <v>13.92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-0.22330097087378659</v>
      </c>
      <c r="Q25">
        <f t="shared" ref="Q25" si="101">F25*P25</f>
        <v>-56243.410631068007</v>
      </c>
      <c r="R25">
        <f t="shared" ref="R25" si="102">R26+Q25</f>
        <v>-41745220.918275662</v>
      </c>
      <c r="S25">
        <f t="shared" ref="S25" si="103">R25/100000</f>
        <v>-417.45220918275663</v>
      </c>
      <c r="T25">
        <f t="shared" ref="T25" si="104">S25/1000</f>
        <v>-0.41745220918275661</v>
      </c>
    </row>
    <row r="26" spans="1:20" x14ac:dyDescent="0.25">
      <c r="A26" s="5">
        <v>44567</v>
      </c>
      <c r="B26">
        <v>15.15</v>
      </c>
      <c r="C26">
        <v>15.21</v>
      </c>
      <c r="D26">
        <v>14</v>
      </c>
      <c r="E26">
        <v>14.53</v>
      </c>
      <c r="F26">
        <v>252041.19</v>
      </c>
      <c r="G26">
        <v>14.53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-0.123966942148762</v>
      </c>
      <c r="Q26">
        <f t="shared" ref="Q26" si="106">F26*P26</f>
        <v>-31244.775619835131</v>
      </c>
      <c r="R26">
        <f t="shared" ref="R26" si="107">R27+Q26</f>
        <v>-41688977.507644594</v>
      </c>
      <c r="S26">
        <f t="shared" ref="S26" si="108">R26/100000</f>
        <v>-416.88977507644591</v>
      </c>
      <c r="T26">
        <f t="shared" ref="T26" si="109">S26/1000</f>
        <v>-0.41688977507644592</v>
      </c>
    </row>
    <row r="27" spans="1:20" x14ac:dyDescent="0.25">
      <c r="A27" s="5">
        <v>44566</v>
      </c>
      <c r="B27">
        <v>15.92</v>
      </c>
      <c r="C27">
        <v>16.899999999999999</v>
      </c>
      <c r="D27">
        <v>14.9</v>
      </c>
      <c r="E27">
        <v>15.17</v>
      </c>
      <c r="F27">
        <v>341851.1</v>
      </c>
      <c r="G27">
        <v>15.17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-0.7300000000000002</v>
      </c>
      <c r="Q27">
        <f t="shared" ref="Q27" si="111">F27*P27</f>
        <v>-249551.30300000004</v>
      </c>
      <c r="R27">
        <f t="shared" ref="R27" si="112">R28+Q27</f>
        <v>-41657732.732024759</v>
      </c>
      <c r="S27">
        <f t="shared" ref="S27" si="113">R27/100000</f>
        <v>-416.5773273202476</v>
      </c>
      <c r="T27">
        <f t="shared" ref="T27" si="114">S27/1000</f>
        <v>-0.4165773273202476</v>
      </c>
    </row>
    <row r="28" spans="1:20" x14ac:dyDescent="0.25">
      <c r="A28" s="5">
        <v>44565</v>
      </c>
      <c r="B28">
        <v>15.52</v>
      </c>
      <c r="C28">
        <v>16.899999999999999</v>
      </c>
      <c r="D28">
        <v>15.35</v>
      </c>
      <c r="E28">
        <v>15.92</v>
      </c>
      <c r="F28">
        <v>341570.36</v>
      </c>
      <c r="G28">
        <v>15.92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-0.26451612903225719</v>
      </c>
      <c r="Q28">
        <f t="shared" ref="Q28" si="116">F28*P28</f>
        <v>-90350.869419354538</v>
      </c>
      <c r="R28">
        <f t="shared" ref="R28" si="117">R29+Q28</f>
        <v>-41408181.429024756</v>
      </c>
      <c r="S28">
        <f t="shared" ref="S28" si="118">R28/100000</f>
        <v>-414.08181429024756</v>
      </c>
      <c r="T28">
        <f t="shared" ref="T28" si="119">S28/1000</f>
        <v>-0.41408181429024754</v>
      </c>
    </row>
    <row r="29" spans="1:20" x14ac:dyDescent="0.25">
      <c r="A29" s="5">
        <v>44564</v>
      </c>
      <c r="B29">
        <v>16.04</v>
      </c>
      <c r="C29">
        <v>16.059999999999999</v>
      </c>
      <c r="D29">
        <v>15.18</v>
      </c>
      <c r="E29">
        <v>15.52</v>
      </c>
      <c r="F29">
        <v>194917.26</v>
      </c>
      <c r="G29">
        <v>15.52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-0.22727272727272671</v>
      </c>
      <c r="Q29">
        <f t="shared" ref="Q29" si="121">F29*P29</f>
        <v>-44299.377272727164</v>
      </c>
      <c r="R29">
        <f t="shared" ref="R29" si="122">R30+Q29</f>
        <v>-41317830.559605405</v>
      </c>
      <c r="S29">
        <f t="shared" ref="S29" si="123">R29/100000</f>
        <v>-413.17830559605403</v>
      </c>
      <c r="T29">
        <f t="shared" ref="T29" si="124">S29/1000</f>
        <v>-0.41317830559605401</v>
      </c>
    </row>
    <row r="30" spans="1:20" x14ac:dyDescent="0.25">
      <c r="A30" s="5">
        <v>44563</v>
      </c>
      <c r="B30">
        <v>16.079999999999998</v>
      </c>
      <c r="C30">
        <v>16.170000000000002</v>
      </c>
      <c r="D30">
        <v>15.46</v>
      </c>
      <c r="E30">
        <v>16.04</v>
      </c>
      <c r="F30">
        <v>144469.19</v>
      </c>
      <c r="G30">
        <v>16.04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0.63380281690140172</v>
      </c>
      <c r="Q30">
        <f t="shared" ref="Q30" si="126">F30*P30</f>
        <v>91564.979577463819</v>
      </c>
      <c r="R30">
        <f t="shared" ref="R30" si="127">R31+Q30</f>
        <v>-41273531.18233268</v>
      </c>
      <c r="S30">
        <f t="shared" ref="S30" si="128">R30/100000</f>
        <v>-412.73531182332681</v>
      </c>
      <c r="T30">
        <f t="shared" ref="T30" si="129">S30/1000</f>
        <v>-0.41273531182332679</v>
      </c>
    </row>
    <row r="31" spans="1:20" x14ac:dyDescent="0.25">
      <c r="A31" s="5">
        <v>44562</v>
      </c>
      <c r="B31">
        <v>15.14</v>
      </c>
      <c r="C31">
        <v>16.21</v>
      </c>
      <c r="D31">
        <v>15.14</v>
      </c>
      <c r="E31">
        <v>16.079999999999998</v>
      </c>
      <c r="F31">
        <v>125821.36</v>
      </c>
      <c r="G31">
        <v>16.079999999999998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0.75700934579438783</v>
      </c>
      <c r="Q31">
        <f t="shared" ref="Q31" si="131">F31*P31</f>
        <v>95247.945420560165</v>
      </c>
      <c r="R31">
        <f t="shared" ref="R31" si="132">R32+Q31</f>
        <v>-41365096.161910146</v>
      </c>
      <c r="S31">
        <f t="shared" ref="S31" si="133">R31/100000</f>
        <v>-413.65096161910145</v>
      </c>
      <c r="T31">
        <f t="shared" ref="T31" si="134">S31/1000</f>
        <v>-0.41365096161910148</v>
      </c>
    </row>
    <row r="32" spans="1:20" x14ac:dyDescent="0.25">
      <c r="A32" s="5">
        <v>44561</v>
      </c>
      <c r="B32">
        <v>15.37</v>
      </c>
      <c r="C32">
        <v>15.84</v>
      </c>
      <c r="D32">
        <v>14.93</v>
      </c>
      <c r="E32">
        <v>15.14</v>
      </c>
      <c r="F32">
        <v>146996.88</v>
      </c>
      <c r="G32">
        <v>15.14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-0.53846153846153666</v>
      </c>
      <c r="Q32">
        <f t="shared" ref="Q32" si="136">F32*P32</f>
        <v>-79152.166153845887</v>
      </c>
      <c r="R32">
        <f t="shared" ref="R32" si="137">R33+Q32</f>
        <v>-41460344.10733071</v>
      </c>
      <c r="S32">
        <f t="shared" ref="S32" si="138">R32/100000</f>
        <v>-414.60344107330712</v>
      </c>
      <c r="T32">
        <f t="shared" ref="T32" si="139">S32/1000</f>
        <v>-0.4146034410733071</v>
      </c>
    </row>
    <row r="33" spans="1:20" x14ac:dyDescent="0.25">
      <c r="A33" s="5">
        <v>44560</v>
      </c>
      <c r="B33">
        <v>15.02</v>
      </c>
      <c r="C33">
        <v>16.09</v>
      </c>
      <c r="D33">
        <v>14.82</v>
      </c>
      <c r="E33">
        <v>15.37</v>
      </c>
      <c r="F33">
        <v>206254.18</v>
      </c>
      <c r="G33">
        <v>15.37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-0.13385826771653683</v>
      </c>
      <c r="Q33">
        <f t="shared" ref="Q33" si="141">F33*P33</f>
        <v>-27608.827244094777</v>
      </c>
      <c r="R33">
        <f t="shared" ref="R33" si="142">R34+Q33</f>
        <v>-41381191.941176862</v>
      </c>
      <c r="S33">
        <f t="shared" ref="S33" si="143">R33/100000</f>
        <v>-413.8119194117686</v>
      </c>
      <c r="T33">
        <f t="shared" ref="T33" si="144">S33/1000</f>
        <v>-0.41381191941176859</v>
      </c>
    </row>
    <row r="34" spans="1:20" x14ac:dyDescent="0.25">
      <c r="A34" s="5">
        <v>44559</v>
      </c>
      <c r="B34">
        <v>15.54</v>
      </c>
      <c r="C34">
        <v>16.14</v>
      </c>
      <c r="D34">
        <v>14.95</v>
      </c>
      <c r="E34">
        <v>15.01</v>
      </c>
      <c r="F34">
        <v>225227.17</v>
      </c>
      <c r="G34">
        <v>15.01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-0.89915966386554547</v>
      </c>
      <c r="Q34">
        <f t="shared" ref="Q34" si="146">F34*P34</f>
        <v>-202515.18647058809</v>
      </c>
      <c r="R34">
        <f t="shared" ref="R34" si="147">R35+Q34</f>
        <v>-41353583.113932766</v>
      </c>
      <c r="S34">
        <f t="shared" ref="S34" si="148">R34/100000</f>
        <v>-413.53583113932768</v>
      </c>
      <c r="T34">
        <f t="shared" ref="T34" si="149">S34/1000</f>
        <v>-0.41353583113932768</v>
      </c>
    </row>
    <row r="35" spans="1:20" x14ac:dyDescent="0.25">
      <c r="A35" s="5">
        <v>44558</v>
      </c>
      <c r="B35">
        <v>16.82</v>
      </c>
      <c r="C35">
        <v>16.82</v>
      </c>
      <c r="D35">
        <v>15.41</v>
      </c>
      <c r="E35">
        <v>15.54</v>
      </c>
      <c r="F35">
        <v>323841.23</v>
      </c>
      <c r="G35">
        <v>15.54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-0.81560283687943402</v>
      </c>
      <c r="Q35">
        <f t="shared" ref="Q35" si="151">F35*P35</f>
        <v>-264125.82588652527</v>
      </c>
      <c r="R35">
        <f t="shared" ref="R35" si="152">R36+Q35</f>
        <v>-41151067.927462175</v>
      </c>
      <c r="S35">
        <f t="shared" ref="S35" si="153">R35/100000</f>
        <v>-411.51067927462174</v>
      </c>
      <c r="T35">
        <f t="shared" ref="T35" si="154">S35/1000</f>
        <v>-0.41151067927462176</v>
      </c>
    </row>
    <row r="36" spans="1:20" x14ac:dyDescent="0.25">
      <c r="A36" s="5">
        <v>44557</v>
      </c>
      <c r="B36">
        <v>17.12</v>
      </c>
      <c r="C36">
        <v>17.68</v>
      </c>
      <c r="D36">
        <v>16.73</v>
      </c>
      <c r="E36">
        <v>16.84</v>
      </c>
      <c r="F36">
        <v>217931.39</v>
      </c>
      <c r="G36">
        <v>16.84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-0.76842105263158</v>
      </c>
      <c r="Q36">
        <f t="shared" ref="Q36" si="156">F36*P36</f>
        <v>-167463.0681052634</v>
      </c>
      <c r="R36">
        <f t="shared" ref="R36" si="157">R37+Q36</f>
        <v>-40886942.10157565</v>
      </c>
      <c r="S36">
        <f t="shared" ref="S36" si="158">R36/100000</f>
        <v>-408.86942101575653</v>
      </c>
      <c r="T36">
        <f t="shared" ref="T36" si="159">S36/1000</f>
        <v>-0.40886942101575652</v>
      </c>
    </row>
    <row r="37" spans="1:20" x14ac:dyDescent="0.25">
      <c r="A37" s="5">
        <v>44556</v>
      </c>
      <c r="B37">
        <v>16.48</v>
      </c>
      <c r="C37">
        <v>17.98</v>
      </c>
      <c r="D37">
        <v>15.75</v>
      </c>
      <c r="E37">
        <v>17.11</v>
      </c>
      <c r="F37">
        <v>285196.59999999998</v>
      </c>
      <c r="G37">
        <v>17.11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0.21973094170403512</v>
      </c>
      <c r="Q37">
        <f t="shared" ref="Q37" si="161">F37*P37</f>
        <v>62666.517488789017</v>
      </c>
      <c r="R37">
        <f t="shared" ref="R37" si="162">R38+Q37</f>
        <v>-40719479.033470385</v>
      </c>
      <c r="S37">
        <f t="shared" ref="S37" si="163">R37/100000</f>
        <v>-407.19479033470384</v>
      </c>
      <c r="T37">
        <f t="shared" ref="T37" si="164">S37/1000</f>
        <v>-0.40719479033470385</v>
      </c>
    </row>
    <row r="38" spans="1:20" x14ac:dyDescent="0.25">
      <c r="A38" s="5">
        <v>44555</v>
      </c>
      <c r="B38">
        <v>15.84</v>
      </c>
      <c r="C38">
        <v>16.61</v>
      </c>
      <c r="D38">
        <v>15.73</v>
      </c>
      <c r="E38">
        <v>16.46</v>
      </c>
      <c r="F38">
        <v>173648.82</v>
      </c>
      <c r="G38">
        <v>16.46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0.65909090909091195</v>
      </c>
      <c r="Q38">
        <f t="shared" ref="Q38" si="166">F38*P38</f>
        <v>114450.35863636414</v>
      </c>
      <c r="R38">
        <f t="shared" ref="R38" si="167">R39+Q38</f>
        <v>-40782145.550959177</v>
      </c>
      <c r="S38">
        <f t="shared" ref="S38" si="168">R38/100000</f>
        <v>-407.82145550959177</v>
      </c>
      <c r="T38">
        <f t="shared" ref="T38" si="169">S38/1000</f>
        <v>-0.40782145550959176</v>
      </c>
    </row>
    <row r="39" spans="1:20" x14ac:dyDescent="0.25">
      <c r="A39" s="5">
        <v>44554</v>
      </c>
      <c r="B39">
        <v>16.170000000000002</v>
      </c>
      <c r="C39">
        <v>16.440000000000001</v>
      </c>
      <c r="D39">
        <v>15.7</v>
      </c>
      <c r="E39">
        <v>15.83</v>
      </c>
      <c r="F39">
        <v>214202.57</v>
      </c>
      <c r="G39">
        <v>15.83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-0.64864864864864746</v>
      </c>
      <c r="Q39">
        <f t="shared" ref="Q39" si="171">F39*P39</f>
        <v>-138942.20756756733</v>
      </c>
      <c r="R39">
        <f t="shared" ref="R39" si="172">R40+Q39</f>
        <v>-40896595.909595542</v>
      </c>
      <c r="S39">
        <f t="shared" ref="S39" si="173">R39/100000</f>
        <v>-408.96595909595544</v>
      </c>
      <c r="T39">
        <f t="shared" ref="T39" si="174">S39/1000</f>
        <v>-0.40896595909595546</v>
      </c>
    </row>
    <row r="40" spans="1:20" x14ac:dyDescent="0.25">
      <c r="A40" s="5">
        <v>44553</v>
      </c>
      <c r="B40">
        <v>15.56</v>
      </c>
      <c r="C40">
        <v>16.45</v>
      </c>
      <c r="D40">
        <v>15.2</v>
      </c>
      <c r="E40">
        <v>16.16</v>
      </c>
      <c r="F40">
        <v>226505.17</v>
      </c>
      <c r="G40">
        <v>16.16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0.53600000000000136</v>
      </c>
      <c r="Q40">
        <f t="shared" ref="Q40" si="176">F40*P40</f>
        <v>121406.77112000031</v>
      </c>
      <c r="R40">
        <f t="shared" ref="R40" si="177">R41+Q40</f>
        <v>-40757653.702027977</v>
      </c>
      <c r="S40">
        <f t="shared" ref="S40" si="178">R40/100000</f>
        <v>-407.57653702027977</v>
      </c>
      <c r="T40">
        <f t="shared" ref="T40" si="179">S40/1000</f>
        <v>-0.40757653702027979</v>
      </c>
    </row>
    <row r="41" spans="1:20" x14ac:dyDescent="0.25">
      <c r="A41" s="5">
        <v>44552</v>
      </c>
      <c r="B41">
        <v>15.29</v>
      </c>
      <c r="C41">
        <v>15.9</v>
      </c>
      <c r="D41">
        <v>15.15</v>
      </c>
      <c r="E41">
        <v>15.56</v>
      </c>
      <c r="F41">
        <v>157200.91</v>
      </c>
      <c r="G41">
        <v>15.56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9.3333333333333712E-2</v>
      </c>
      <c r="Q41">
        <f t="shared" ref="Q41" si="181">F41*P41</f>
        <v>14672.084933333394</v>
      </c>
      <c r="R41">
        <f t="shared" ref="R41" si="182">R42+Q41</f>
        <v>-40879060.473147973</v>
      </c>
      <c r="S41">
        <f t="shared" ref="S41" si="183">R41/100000</f>
        <v>-408.79060473147973</v>
      </c>
      <c r="T41">
        <f t="shared" ref="T41" si="184">S41/1000</f>
        <v>-0.40879060473147971</v>
      </c>
    </row>
    <row r="42" spans="1:20" x14ac:dyDescent="0.25">
      <c r="A42" s="5">
        <v>44551</v>
      </c>
      <c r="B42">
        <v>14.85</v>
      </c>
      <c r="C42">
        <v>15.39</v>
      </c>
      <c r="D42">
        <v>14.62</v>
      </c>
      <c r="E42">
        <v>15.28</v>
      </c>
      <c r="F42">
        <v>123907.69</v>
      </c>
      <c r="G42">
        <v>15.28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0.71428571428571164</v>
      </c>
      <c r="Q42">
        <f t="shared" ref="Q42" si="186">F42*P42</f>
        <v>88505.492857142526</v>
      </c>
      <c r="R42">
        <f t="shared" ref="R42" si="187">R43+Q42</f>
        <v>-40893732.558081307</v>
      </c>
      <c r="S42">
        <f t="shared" ref="S42" si="188">R42/100000</f>
        <v>-408.93732558081308</v>
      </c>
      <c r="T42">
        <f t="shared" ref="T42" si="189">S42/1000</f>
        <v>-0.40893732558081308</v>
      </c>
    </row>
    <row r="43" spans="1:20" x14ac:dyDescent="0.25">
      <c r="A43" s="5">
        <v>44550</v>
      </c>
      <c r="B43">
        <v>15.51</v>
      </c>
      <c r="C43">
        <v>15.66</v>
      </c>
      <c r="D43">
        <v>14.29</v>
      </c>
      <c r="E43">
        <v>14.84</v>
      </c>
      <c r="F43">
        <v>230291.49</v>
      </c>
      <c r="G43">
        <v>14.84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-0.19708029197080246</v>
      </c>
      <c r="Q43">
        <f t="shared" ref="Q43" si="191">F43*P43</f>
        <v>-45385.914087591133</v>
      </c>
      <c r="R43">
        <f t="shared" ref="R43" si="192">R44+Q43</f>
        <v>-40982238.05093845</v>
      </c>
      <c r="S43">
        <f t="shared" ref="S43" si="193">R43/100000</f>
        <v>-409.82238050938452</v>
      </c>
      <c r="T43">
        <f t="shared" ref="T43" si="194">S43/1000</f>
        <v>-0.40982238050938452</v>
      </c>
    </row>
    <row r="44" spans="1:20" x14ac:dyDescent="0.25">
      <c r="A44" s="5">
        <v>44549</v>
      </c>
      <c r="B44">
        <v>15.31</v>
      </c>
      <c r="C44">
        <v>15.97</v>
      </c>
      <c r="D44">
        <v>15.07</v>
      </c>
      <c r="E44">
        <v>15.48</v>
      </c>
      <c r="F44">
        <v>211826.1</v>
      </c>
      <c r="G44">
        <v>15.48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-8.8888888888888934E-2</v>
      </c>
      <c r="Q44">
        <f t="shared" ref="Q44" si="196">F44*P44</f>
        <v>-18828.986666666679</v>
      </c>
      <c r="R44">
        <f t="shared" ref="R44" si="197">R45+Q44</f>
        <v>-40936852.136850856</v>
      </c>
      <c r="S44">
        <f t="shared" ref="S44" si="198">R44/100000</f>
        <v>-409.36852136850854</v>
      </c>
      <c r="T44">
        <f t="shared" ref="T44" si="199">S44/1000</f>
        <v>-0.40936852136850854</v>
      </c>
    </row>
    <row r="45" spans="1:20" x14ac:dyDescent="0.25">
      <c r="A45" s="5">
        <v>44548</v>
      </c>
      <c r="B45">
        <v>15.39</v>
      </c>
      <c r="C45">
        <v>15.83</v>
      </c>
      <c r="D45">
        <v>14.8</v>
      </c>
      <c r="E45">
        <v>15.31</v>
      </c>
      <c r="F45">
        <v>188370.26</v>
      </c>
      <c r="G45">
        <v>15.31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-9.7087378640774696E-3</v>
      </c>
      <c r="Q45">
        <f t="shared" ref="Q45" si="201">F45*P45</f>
        <v>-1828.8374757281176</v>
      </c>
      <c r="R45">
        <f t="shared" ref="R45" si="202">R46+Q45</f>
        <v>-40918023.150184192</v>
      </c>
      <c r="S45">
        <f t="shared" ref="S45" si="203">R45/100000</f>
        <v>-409.18023150184194</v>
      </c>
      <c r="T45">
        <f t="shared" ref="T45" si="204">S45/1000</f>
        <v>-0.40918023150184196</v>
      </c>
    </row>
    <row r="46" spans="1:20" x14ac:dyDescent="0.25">
      <c r="A46" s="5">
        <v>44547</v>
      </c>
      <c r="B46">
        <v>15.55</v>
      </c>
      <c r="C46">
        <v>16.010000000000002</v>
      </c>
      <c r="D46">
        <v>14.76</v>
      </c>
      <c r="E46">
        <v>15.37</v>
      </c>
      <c r="F46">
        <v>306085.15999999997</v>
      </c>
      <c r="G46">
        <v>15.37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-2.4000000000002297E-2</v>
      </c>
      <c r="Q46">
        <f t="shared" ref="Q46" si="206">F46*P46</f>
        <v>-7346.0438400007024</v>
      </c>
      <c r="R46">
        <f t="shared" ref="R46" si="207">R47+Q46</f>
        <v>-40916194.312708467</v>
      </c>
      <c r="S46">
        <f t="shared" ref="S46" si="208">R46/100000</f>
        <v>-409.16194312708467</v>
      </c>
      <c r="T46">
        <f t="shared" ref="T46" si="209">S46/1000</f>
        <v>-0.40916194312708465</v>
      </c>
    </row>
    <row r="47" spans="1:20" x14ac:dyDescent="0.25">
      <c r="A47" s="5">
        <v>44546</v>
      </c>
      <c r="B47">
        <v>16.03</v>
      </c>
      <c r="C47">
        <v>16.46</v>
      </c>
      <c r="D47">
        <v>15.51</v>
      </c>
      <c r="E47">
        <v>15.53</v>
      </c>
      <c r="F47">
        <v>205763.96</v>
      </c>
      <c r="G47">
        <v>15.53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-0.95789473684210624</v>
      </c>
      <c r="Q47">
        <f t="shared" ref="Q47" si="211">F47*P47</f>
        <v>-197100.21431578966</v>
      </c>
      <c r="R47">
        <f t="shared" ref="R47" si="212">R48+Q47</f>
        <v>-40908848.268868469</v>
      </c>
      <c r="S47">
        <f t="shared" ref="S47" si="213">R47/100000</f>
        <v>-409.08848268868468</v>
      </c>
      <c r="T47">
        <f t="shared" ref="T47" si="214">S47/1000</f>
        <v>-0.4090884826886847</v>
      </c>
    </row>
    <row r="48" spans="1:20" x14ac:dyDescent="0.25">
      <c r="A48" s="5">
        <v>44545</v>
      </c>
      <c r="B48">
        <v>15.97</v>
      </c>
      <c r="C48">
        <v>16.66</v>
      </c>
      <c r="D48">
        <v>14.95</v>
      </c>
      <c r="E48">
        <v>16.03</v>
      </c>
      <c r="F48">
        <v>247084.51</v>
      </c>
      <c r="G48">
        <v>16.03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0.26315789473684364</v>
      </c>
      <c r="Q48">
        <f t="shared" ref="Q48" si="216">F48*P48</f>
        <v>65022.239473684596</v>
      </c>
      <c r="R48">
        <f t="shared" ref="R48" si="217">R49+Q48</f>
        <v>-40711748.054552682</v>
      </c>
      <c r="S48">
        <f t="shared" ref="S48" si="218">R48/100000</f>
        <v>-407.1174805455268</v>
      </c>
      <c r="T48">
        <f t="shared" ref="T48" si="219">S48/1000</f>
        <v>-0.40711748054552682</v>
      </c>
    </row>
    <row r="49" spans="1:20" x14ac:dyDescent="0.25">
      <c r="A49" s="5">
        <v>44544</v>
      </c>
      <c r="B49">
        <v>15.64</v>
      </c>
      <c r="C49">
        <v>16.27</v>
      </c>
      <c r="D49">
        <v>15.15</v>
      </c>
      <c r="E49">
        <v>15.96</v>
      </c>
      <c r="F49">
        <v>369142.83</v>
      </c>
      <c r="G49">
        <v>15.96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0.44642857142857334</v>
      </c>
      <c r="Q49">
        <f t="shared" ref="Q49" si="221">F49*P49</f>
        <v>164795.9062500007</v>
      </c>
      <c r="R49">
        <f t="shared" ref="R49" si="222">R50+Q49</f>
        <v>-40776770.294026367</v>
      </c>
      <c r="S49">
        <f t="shared" ref="S49" si="223">R49/100000</f>
        <v>-407.76770294026369</v>
      </c>
      <c r="T49">
        <f t="shared" ref="T49" si="224">S49/1000</f>
        <v>-0.40776770294026371</v>
      </c>
    </row>
    <row r="50" spans="1:20" x14ac:dyDescent="0.25">
      <c r="A50" s="5">
        <v>44543</v>
      </c>
      <c r="B50">
        <v>17.8</v>
      </c>
      <c r="C50">
        <v>17.899999999999999</v>
      </c>
      <c r="D50">
        <v>15.57</v>
      </c>
      <c r="E50">
        <v>15.64</v>
      </c>
      <c r="F50">
        <v>316387.71999999997</v>
      </c>
      <c r="G50">
        <v>15.64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-0.93991416309012843</v>
      </c>
      <c r="Q50">
        <f t="shared" ref="Q50" si="226">F50*P50</f>
        <v>-297377.29905579385</v>
      </c>
      <c r="R50">
        <f t="shared" ref="R50" si="227">R51+Q50</f>
        <v>-40941566.200276367</v>
      </c>
      <c r="S50">
        <f t="shared" ref="S50" si="228">R50/100000</f>
        <v>-409.41566200276367</v>
      </c>
      <c r="T50">
        <f t="shared" ref="T50" si="229">S50/1000</f>
        <v>-0.40941566200276369</v>
      </c>
    </row>
    <row r="51" spans="1:20" x14ac:dyDescent="0.25">
      <c r="A51" s="5">
        <v>44542</v>
      </c>
      <c r="B51">
        <v>18.39</v>
      </c>
      <c r="C51">
        <v>19.059999999999999</v>
      </c>
      <c r="D51">
        <v>17.760000000000002</v>
      </c>
      <c r="E51">
        <v>17.8</v>
      </c>
      <c r="F51">
        <v>314320.69</v>
      </c>
      <c r="G51">
        <v>17.8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-0.93846153846153968</v>
      </c>
      <c r="Q51">
        <f t="shared" ref="Q51" si="231">F51*P51</f>
        <v>-294977.87830769271</v>
      </c>
      <c r="R51">
        <f t="shared" ref="R51" si="232">R52+Q51</f>
        <v>-40644188.901220575</v>
      </c>
      <c r="S51">
        <f t="shared" ref="S51" si="233">R51/100000</f>
        <v>-406.44188901220576</v>
      </c>
      <c r="T51">
        <f t="shared" ref="T51" si="234">S51/1000</f>
        <v>-0.40644188901220574</v>
      </c>
    </row>
    <row r="52" spans="1:20" x14ac:dyDescent="0.25">
      <c r="A52" s="5">
        <v>44541</v>
      </c>
      <c r="B52">
        <v>15.09</v>
      </c>
      <c r="C52">
        <v>15.42</v>
      </c>
      <c r="D52">
        <v>14.72</v>
      </c>
      <c r="E52">
        <v>15.33</v>
      </c>
      <c r="F52">
        <v>20252.023000000001</v>
      </c>
      <c r="G52">
        <v>15.33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0.74285714285714299</v>
      </c>
      <c r="Q52">
        <f t="shared" ref="Q52" si="236">F52*P52</f>
        <v>15044.359942857147</v>
      </c>
      <c r="R52">
        <f t="shared" ref="R52" si="237">R53+Q52</f>
        <v>-40349211.022912882</v>
      </c>
      <c r="S52">
        <f t="shared" ref="S52" si="238">R52/100000</f>
        <v>-403.4921102291288</v>
      </c>
      <c r="T52">
        <f t="shared" ref="T52" si="239">S52/1000</f>
        <v>-0.40349211022912879</v>
      </c>
    </row>
    <row r="53" spans="1:20" x14ac:dyDescent="0.25">
      <c r="A53" s="5">
        <v>44540</v>
      </c>
      <c r="B53">
        <v>15.28</v>
      </c>
      <c r="C53">
        <v>16.28</v>
      </c>
      <c r="D53">
        <v>15</v>
      </c>
      <c r="E53">
        <v>15.12</v>
      </c>
      <c r="F53">
        <v>220717.79</v>
      </c>
      <c r="G53">
        <v>15.12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-0.81250000000000133</v>
      </c>
      <c r="Q53">
        <f t="shared" ref="Q53" si="241">F53*P53</f>
        <v>-179333.20437500029</v>
      </c>
      <c r="R53">
        <f t="shared" ref="R53" si="242">R54+Q53</f>
        <v>-40364255.382855736</v>
      </c>
      <c r="S53">
        <f t="shared" ref="S53" si="243">R53/100000</f>
        <v>-403.64255382855737</v>
      </c>
      <c r="T53">
        <f t="shared" ref="T53" si="244">S53/1000</f>
        <v>-0.40364255382855735</v>
      </c>
    </row>
    <row r="54" spans="1:20" x14ac:dyDescent="0.25">
      <c r="A54" s="5">
        <v>44539</v>
      </c>
      <c r="B54">
        <v>16.899999999999999</v>
      </c>
      <c r="C54">
        <v>17.14</v>
      </c>
      <c r="D54">
        <v>15.27</v>
      </c>
      <c r="E54">
        <v>15.27</v>
      </c>
      <c r="F54">
        <v>313316.58</v>
      </c>
      <c r="G54">
        <v>15.27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-1</v>
      </c>
      <c r="Q54">
        <f t="shared" ref="Q54" si="246">F54*P54</f>
        <v>-313316.58</v>
      </c>
      <c r="R54">
        <f t="shared" ref="R54" si="247">R55+Q54</f>
        <v>-40184922.178480737</v>
      </c>
      <c r="S54">
        <f t="shared" ref="S54" si="248">R54/100000</f>
        <v>-401.84922178480736</v>
      </c>
      <c r="T54">
        <f t="shared" ref="T54" si="249">S54/1000</f>
        <v>-0.40184922178480736</v>
      </c>
    </row>
    <row r="55" spans="1:20" x14ac:dyDescent="0.25">
      <c r="A55" s="5">
        <v>44538</v>
      </c>
      <c r="B55">
        <v>16.47</v>
      </c>
      <c r="C55">
        <v>17.02</v>
      </c>
      <c r="D55">
        <v>15.87</v>
      </c>
      <c r="E55">
        <v>16.89</v>
      </c>
      <c r="F55">
        <v>298754.28999999998</v>
      </c>
      <c r="G55">
        <v>16.89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0.77391304347826262</v>
      </c>
      <c r="Q55">
        <f t="shared" ref="Q55" si="251">F55*P55</f>
        <v>231209.84182608748</v>
      </c>
      <c r="R55">
        <f t="shared" ref="R55" si="252">R56+Q55</f>
        <v>-39871605.598480739</v>
      </c>
      <c r="S55">
        <f t="shared" ref="S55" si="253">R55/100000</f>
        <v>-398.71605598480738</v>
      </c>
      <c r="T55">
        <f t="shared" ref="T55" si="254">S55/1000</f>
        <v>-0.39871605598480736</v>
      </c>
    </row>
    <row r="56" spans="1:20" x14ac:dyDescent="0.25">
      <c r="A56" s="5">
        <v>44537</v>
      </c>
      <c r="B56">
        <v>17.11</v>
      </c>
      <c r="C56">
        <v>17.57</v>
      </c>
      <c r="D56">
        <v>16.23</v>
      </c>
      <c r="E56">
        <v>16.47</v>
      </c>
      <c r="F56">
        <v>290821.81</v>
      </c>
      <c r="G56">
        <v>16.47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-0.6417910447761217</v>
      </c>
      <c r="Q56">
        <f t="shared" ref="Q56" si="256">F56*P56</f>
        <v>-186646.83328358276</v>
      </c>
      <c r="R56">
        <f t="shared" ref="R56" si="257">R57+Q56</f>
        <v>-40102815.440306827</v>
      </c>
      <c r="S56">
        <f t="shared" ref="S56" si="258">R56/100000</f>
        <v>-401.0281544030683</v>
      </c>
      <c r="T56">
        <f t="shared" ref="T56" si="259">S56/1000</f>
        <v>-0.40102815440306833</v>
      </c>
    </row>
    <row r="57" spans="1:20" x14ac:dyDescent="0.25">
      <c r="A57" s="5">
        <v>44536</v>
      </c>
      <c r="B57">
        <v>17.71</v>
      </c>
      <c r="C57">
        <v>17.73</v>
      </c>
      <c r="D57">
        <v>15.1</v>
      </c>
      <c r="E57">
        <v>17.12</v>
      </c>
      <c r="F57">
        <v>647978.897</v>
      </c>
      <c r="G57">
        <v>17.12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0.53612167300380287</v>
      </c>
      <c r="Q57">
        <f t="shared" ref="Q57" si="261">F57*P57</f>
        <v>347395.53033079888</v>
      </c>
      <c r="R57">
        <f t="shared" ref="R57" si="262">R58+Q57</f>
        <v>-39916168.607023247</v>
      </c>
      <c r="S57">
        <f t="shared" ref="S57" si="263">R57/100000</f>
        <v>-399.16168607023246</v>
      </c>
      <c r="T57">
        <f t="shared" ref="T57" si="264">S57/1000</f>
        <v>-0.39916168607023245</v>
      </c>
    </row>
    <row r="58" spans="1:20" x14ac:dyDescent="0.25">
      <c r="A58" s="5">
        <v>44535</v>
      </c>
      <c r="B58">
        <v>18.66</v>
      </c>
      <c r="C58">
        <v>19.239999999999998</v>
      </c>
      <c r="D58">
        <v>17.260000000000002</v>
      </c>
      <c r="E58">
        <v>17.72</v>
      </c>
      <c r="F58">
        <v>428850.75</v>
      </c>
      <c r="G58">
        <v>17.72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-0.53535353535353736</v>
      </c>
      <c r="Q58">
        <f t="shared" ref="Q58" si="266">F58*P58</f>
        <v>-229586.76515151601</v>
      </c>
      <c r="R58">
        <f t="shared" ref="R58" si="267">R59+Q58</f>
        <v>-40263564.137354046</v>
      </c>
      <c r="S58">
        <f t="shared" ref="S58" si="268">R58/100000</f>
        <v>-402.63564137354047</v>
      </c>
      <c r="T58">
        <f t="shared" ref="T58" si="269">S58/1000</f>
        <v>-0.40263564137354046</v>
      </c>
    </row>
    <row r="59" spans="1:20" x14ac:dyDescent="0.25">
      <c r="A59" s="5">
        <v>44534</v>
      </c>
      <c r="B59">
        <v>21.88</v>
      </c>
      <c r="C59">
        <v>21.95</v>
      </c>
      <c r="D59">
        <v>16.53</v>
      </c>
      <c r="E59">
        <v>18.68</v>
      </c>
      <c r="F59">
        <v>793787.60499999998</v>
      </c>
      <c r="G59">
        <v>18.68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-0.20664206642066446</v>
      </c>
      <c r="Q59">
        <f t="shared" ref="Q59" si="271">F59*P59</f>
        <v>-164029.91099631015</v>
      </c>
      <c r="R59">
        <f t="shared" ref="R59" si="272">R60+Q59</f>
        <v>-40033977.372202531</v>
      </c>
      <c r="S59">
        <f t="shared" ref="S59" si="273">R59/100000</f>
        <v>-400.33977372202531</v>
      </c>
      <c r="T59">
        <f t="shared" ref="T59" si="274">S59/1000</f>
        <v>-0.40033977372202534</v>
      </c>
    </row>
    <row r="60" spans="1:20" x14ac:dyDescent="0.25">
      <c r="A60" s="5">
        <v>44533</v>
      </c>
      <c r="B60">
        <v>22.44</v>
      </c>
      <c r="C60">
        <v>22.98</v>
      </c>
      <c r="D60">
        <v>21.02</v>
      </c>
      <c r="E60">
        <v>21.88</v>
      </c>
      <c r="F60">
        <v>424618.19</v>
      </c>
      <c r="G60">
        <v>21.88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-0.1224489795918377</v>
      </c>
      <c r="Q60">
        <f t="shared" ref="Q60" si="276">F60*P60</f>
        <v>-51994.064081633063</v>
      </c>
      <c r="R60">
        <f t="shared" ref="R60" si="277">R61+Q60</f>
        <v>-39869947.46120622</v>
      </c>
      <c r="S60">
        <f t="shared" ref="S60" si="278">R60/100000</f>
        <v>-398.6994746120622</v>
      </c>
      <c r="T60">
        <f t="shared" ref="T60" si="279">S60/1000</f>
        <v>-0.39869947461206218</v>
      </c>
    </row>
    <row r="61" spans="1:20" x14ac:dyDescent="0.25">
      <c r="A61" s="5">
        <v>44532</v>
      </c>
      <c r="B61">
        <v>21.62</v>
      </c>
      <c r="C61">
        <v>22.56</v>
      </c>
      <c r="D61">
        <v>20.99</v>
      </c>
      <c r="E61">
        <v>22.44</v>
      </c>
      <c r="F61">
        <v>319987.68</v>
      </c>
      <c r="G61">
        <v>22.44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0.84713375796178669</v>
      </c>
      <c r="Q61">
        <f t="shared" ref="Q61" si="281">F61*P61</f>
        <v>271072.36585987365</v>
      </c>
      <c r="R61">
        <f t="shared" ref="R61" si="282">R62+Q61</f>
        <v>-39817953.397124588</v>
      </c>
      <c r="S61">
        <f t="shared" ref="S61" si="283">R61/100000</f>
        <v>-398.17953397124586</v>
      </c>
      <c r="T61">
        <f t="shared" ref="T61" si="284">S61/1000</f>
        <v>-0.39817953397124584</v>
      </c>
    </row>
    <row r="62" spans="1:20" x14ac:dyDescent="0.25">
      <c r="A62" s="5">
        <v>44531</v>
      </c>
      <c r="B62">
        <v>22.12</v>
      </c>
      <c r="C62">
        <v>22.6</v>
      </c>
      <c r="D62">
        <v>21.47</v>
      </c>
      <c r="E62">
        <v>21.62</v>
      </c>
      <c r="F62">
        <v>217178.66</v>
      </c>
      <c r="G62">
        <v>21.62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-0.73451327433628</v>
      </c>
      <c r="Q62">
        <f t="shared" ref="Q62" si="286">F62*P62</f>
        <v>-159520.60867256569</v>
      </c>
      <c r="R62">
        <f t="shared" ref="R62" si="287">R63+Q62</f>
        <v>-40089025.762984462</v>
      </c>
      <c r="S62">
        <f t="shared" ref="S62" si="288">R62/100000</f>
        <v>-400.8902576298446</v>
      </c>
      <c r="T62">
        <f t="shared" ref="T62" si="289">S62/1000</f>
        <v>-0.40089025762984459</v>
      </c>
    </row>
    <row r="63" spans="1:20" x14ac:dyDescent="0.25">
      <c r="A63" s="5">
        <v>44530</v>
      </c>
      <c r="B63">
        <v>22.96</v>
      </c>
      <c r="C63">
        <v>23.14</v>
      </c>
      <c r="D63">
        <v>21.95</v>
      </c>
      <c r="E63">
        <v>22.1</v>
      </c>
      <c r="F63">
        <v>292660.5</v>
      </c>
      <c r="G63">
        <v>22.1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-0.74789915966386222</v>
      </c>
      <c r="Q63">
        <f t="shared" ref="Q63" si="291">F63*P63</f>
        <v>-218880.54201680576</v>
      </c>
      <c r="R63">
        <f t="shared" ref="R63" si="292">R64+Q63</f>
        <v>-39929505.154311895</v>
      </c>
      <c r="S63">
        <f t="shared" ref="S63" si="293">R63/100000</f>
        <v>-399.29505154311897</v>
      </c>
      <c r="T63">
        <f t="shared" ref="T63" si="294">S63/1000</f>
        <v>-0.39929505154311895</v>
      </c>
    </row>
    <row r="64" spans="1:20" x14ac:dyDescent="0.25">
      <c r="A64" s="5">
        <v>44529</v>
      </c>
      <c r="B64">
        <v>22.56</v>
      </c>
      <c r="C64">
        <v>25.34</v>
      </c>
      <c r="D64">
        <v>22.22</v>
      </c>
      <c r="E64">
        <v>22.96</v>
      </c>
      <c r="F64">
        <v>497172.49</v>
      </c>
      <c r="G64">
        <v>22.96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-0.52564102564102455</v>
      </c>
      <c r="Q64">
        <f t="shared" ref="Q64" si="296">F64*P64</f>
        <v>-261334.25756410201</v>
      </c>
      <c r="R64">
        <f t="shared" ref="R64" si="297">R65+Q64</f>
        <v>-39710624.612295091</v>
      </c>
      <c r="S64">
        <f t="shared" ref="S64" si="298">R64/100000</f>
        <v>-397.10624612295089</v>
      </c>
      <c r="T64">
        <f t="shared" ref="T64" si="299">S64/1000</f>
        <v>-0.39710624612295087</v>
      </c>
    </row>
    <row r="65" spans="1:20" x14ac:dyDescent="0.25">
      <c r="A65" s="5">
        <v>44528</v>
      </c>
      <c r="B65">
        <v>21.76</v>
      </c>
      <c r="C65">
        <v>24.46</v>
      </c>
      <c r="D65">
        <v>20.51</v>
      </c>
      <c r="E65">
        <v>22.53</v>
      </c>
      <c r="F65">
        <v>836484.82</v>
      </c>
      <c r="G65">
        <v>22.53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2.2784810126582247E-2</v>
      </c>
      <c r="Q65">
        <f t="shared" ref="Q65" si="301">F65*P65</f>
        <v>19059.147797468326</v>
      </c>
      <c r="R65">
        <f t="shared" ref="R65" si="302">R66+Q65</f>
        <v>-39449290.354730986</v>
      </c>
      <c r="S65">
        <f t="shared" ref="S65" si="303">R65/100000</f>
        <v>-394.49290354730988</v>
      </c>
      <c r="T65">
        <f t="shared" ref="T65" si="304">S65/1000</f>
        <v>-0.39449290354730987</v>
      </c>
    </row>
    <row r="66" spans="1:20" x14ac:dyDescent="0.25">
      <c r="A66" s="5">
        <v>44527</v>
      </c>
      <c r="B66">
        <v>21.01</v>
      </c>
      <c r="C66">
        <v>22.32</v>
      </c>
      <c r="D66">
        <v>20.89</v>
      </c>
      <c r="E66">
        <v>21.77</v>
      </c>
      <c r="F66">
        <v>310629.49</v>
      </c>
      <c r="G66">
        <v>21.77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0.23076923076922962</v>
      </c>
      <c r="Q66">
        <f t="shared" ref="Q66" si="306">F66*P66</f>
        <v>71683.728461538107</v>
      </c>
      <c r="R66">
        <f t="shared" ref="R66" si="307">R67+Q66</f>
        <v>-39468349.502528451</v>
      </c>
      <c r="S66">
        <f t="shared" ref="S66" si="308">R66/100000</f>
        <v>-394.68349502528451</v>
      </c>
      <c r="T66">
        <f t="shared" ref="T66" si="309">S66/1000</f>
        <v>-0.39468349502528449</v>
      </c>
    </row>
    <row r="67" spans="1:20" x14ac:dyDescent="0.25">
      <c r="A67" s="5">
        <v>44526</v>
      </c>
      <c r="B67">
        <v>24.14</v>
      </c>
      <c r="C67">
        <v>24.21</v>
      </c>
      <c r="D67">
        <v>20.11</v>
      </c>
      <c r="E67">
        <v>21</v>
      </c>
      <c r="F67">
        <v>717502.84</v>
      </c>
      <c r="G67">
        <v>21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-0.5658536585365852</v>
      </c>
      <c r="Q67">
        <f t="shared" ref="Q67" si="311">F67*P67</f>
        <v>-406001.60702439013</v>
      </c>
      <c r="R67">
        <f t="shared" ref="R67" si="312">R68+Q67</f>
        <v>-39540033.230989993</v>
      </c>
      <c r="S67">
        <f t="shared" ref="S67" si="313">R67/100000</f>
        <v>-395.40033230989991</v>
      </c>
      <c r="T67">
        <f t="shared" ref="T67" si="314">S67/1000</f>
        <v>-0.3954003323098999</v>
      </c>
    </row>
    <row r="68" spans="1:20" x14ac:dyDescent="0.25">
      <c r="A68" s="5">
        <v>44525</v>
      </c>
      <c r="B68">
        <v>23.79</v>
      </c>
      <c r="C68">
        <v>25.23</v>
      </c>
      <c r="D68">
        <v>23.61</v>
      </c>
      <c r="E68">
        <v>24.11</v>
      </c>
      <c r="F68">
        <v>318020.5</v>
      </c>
      <c r="G68">
        <v>24.11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-0.38271604938271642</v>
      </c>
      <c r="Q68">
        <f t="shared" ref="Q68" si="316">F68*P68</f>
        <v>-121711.54938271617</v>
      </c>
      <c r="R68">
        <f t="shared" ref="R68" si="317">R69+Q68</f>
        <v>-39134031.623965606</v>
      </c>
      <c r="S68">
        <f t="shared" ref="S68" si="318">R68/100000</f>
        <v>-391.34031623965603</v>
      </c>
      <c r="T68">
        <f t="shared" ref="T68" si="319">S68/1000</f>
        <v>-0.39134031623965604</v>
      </c>
    </row>
    <row r="69" spans="1:20" x14ac:dyDescent="0.25">
      <c r="A69" s="5">
        <v>44524</v>
      </c>
      <c r="B69">
        <v>25.29</v>
      </c>
      <c r="C69">
        <v>25.56</v>
      </c>
      <c r="D69">
        <v>25.01</v>
      </c>
      <c r="E69">
        <v>25.31</v>
      </c>
      <c r="F69">
        <v>94667.54</v>
      </c>
      <c r="G69">
        <v>25.31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9.0909090909086207E-2</v>
      </c>
      <c r="Q69">
        <f t="shared" ref="Q69" si="321">F69*P69</f>
        <v>8606.1399999995538</v>
      </c>
      <c r="R69">
        <f t="shared" ref="R69" si="322">R70+Q69</f>
        <v>-39012320.07458289</v>
      </c>
      <c r="S69">
        <f t="shared" ref="S69" si="323">R69/100000</f>
        <v>-390.12320074582891</v>
      </c>
      <c r="T69">
        <f t="shared" ref="T69" si="324">S69/1000</f>
        <v>-0.3901232007458289</v>
      </c>
    </row>
    <row r="70" spans="1:20" x14ac:dyDescent="0.25">
      <c r="A70" s="5">
        <v>44523</v>
      </c>
      <c r="B70">
        <v>24.67</v>
      </c>
      <c r="C70">
        <v>27.59</v>
      </c>
      <c r="D70">
        <v>24.38</v>
      </c>
      <c r="E70">
        <v>25.27</v>
      </c>
      <c r="F70">
        <v>1100502.75</v>
      </c>
      <c r="G70">
        <v>25.27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-0.44548286604361348</v>
      </c>
      <c r="Q70">
        <f t="shared" ref="Q70" si="326">F70*P70</f>
        <v>-490255.11915887828</v>
      </c>
      <c r="R70">
        <f t="shared" ref="R70" si="327">R71+Q70</f>
        <v>-39020926.21458289</v>
      </c>
      <c r="S70">
        <f t="shared" ref="S70" si="328">R70/100000</f>
        <v>-390.20926214582892</v>
      </c>
      <c r="T70">
        <f t="shared" ref="T70" si="329">S70/1000</f>
        <v>-0.39020926214582891</v>
      </c>
    </row>
    <row r="71" spans="1:20" x14ac:dyDescent="0.25">
      <c r="A71" s="5">
        <v>44522</v>
      </c>
      <c r="B71">
        <v>22.98</v>
      </c>
      <c r="C71">
        <v>28.99</v>
      </c>
      <c r="D71">
        <v>21.57</v>
      </c>
      <c r="E71">
        <v>24.68</v>
      </c>
      <c r="F71">
        <v>1424892.55</v>
      </c>
      <c r="G71">
        <v>24.68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-0.16172506738544468</v>
      </c>
      <c r="Q71">
        <f t="shared" ref="Q71" si="331">F71*P71</f>
        <v>-230440.8436657681</v>
      </c>
      <c r="R71">
        <f t="shared" ref="R71" si="332">R72+Q71</f>
        <v>-38530671.095424011</v>
      </c>
      <c r="S71">
        <f t="shared" ref="S71" si="333">R71/100000</f>
        <v>-385.30671095424009</v>
      </c>
      <c r="T71">
        <f t="shared" ref="T71" si="334">S71/1000</f>
        <v>-0.38530671095424007</v>
      </c>
    </row>
    <row r="72" spans="1:20" x14ac:dyDescent="0.25">
      <c r="A72" s="5">
        <v>44521</v>
      </c>
      <c r="B72">
        <v>23.23</v>
      </c>
      <c r="C72">
        <v>23.71</v>
      </c>
      <c r="D72">
        <v>22.25</v>
      </c>
      <c r="E72">
        <v>22.96</v>
      </c>
      <c r="F72">
        <v>290697.64</v>
      </c>
      <c r="G72">
        <v>22.96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-2.7397260273972001E-2</v>
      </c>
      <c r="Q72">
        <f t="shared" ref="Q72" si="336">F72*P72</f>
        <v>-7964.3189041094147</v>
      </c>
      <c r="R72">
        <f t="shared" ref="R72" si="337">R73+Q72</f>
        <v>-38300230.25175824</v>
      </c>
      <c r="S72">
        <f t="shared" ref="S72" si="338">R72/100000</f>
        <v>-383.00230251758239</v>
      </c>
      <c r="T72">
        <f t="shared" ref="T72" si="339">S72/1000</f>
        <v>-0.38300230251758238</v>
      </c>
    </row>
    <row r="73" spans="1:20" x14ac:dyDescent="0.25">
      <c r="A73" s="5">
        <v>44520</v>
      </c>
      <c r="B73">
        <v>23.06</v>
      </c>
      <c r="C73">
        <v>23.4</v>
      </c>
      <c r="D73">
        <v>22.07</v>
      </c>
      <c r="E73">
        <v>23.2</v>
      </c>
      <c r="F73">
        <v>263808.81</v>
      </c>
      <c r="G73">
        <v>23.2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0.69924812030075256</v>
      </c>
      <c r="Q73">
        <f t="shared" ref="Q73" si="341">F73*P73</f>
        <v>184467.81451127838</v>
      </c>
      <c r="R73">
        <f t="shared" ref="R73" si="342">R74+Q73</f>
        <v>-38292265.932854131</v>
      </c>
      <c r="S73">
        <f t="shared" ref="S73" si="343">R73/100000</f>
        <v>-382.92265932854133</v>
      </c>
      <c r="T73">
        <f t="shared" ref="T73" si="344">S73/1000</f>
        <v>-0.3829226593285413</v>
      </c>
    </row>
    <row r="74" spans="1:20" x14ac:dyDescent="0.25">
      <c r="A74" s="5">
        <v>44519</v>
      </c>
      <c r="B74">
        <v>21.12</v>
      </c>
      <c r="C74">
        <v>23.9</v>
      </c>
      <c r="D74">
        <v>20.52</v>
      </c>
      <c r="E74">
        <v>23.05</v>
      </c>
      <c r="F74">
        <v>295097.59000000003</v>
      </c>
      <c r="G74">
        <v>23.05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0.49704142011834429</v>
      </c>
      <c r="Q74">
        <f t="shared" ref="Q74" si="346">F74*P74</f>
        <v>146675.72520710091</v>
      </c>
      <c r="R74">
        <f t="shared" ref="R74" si="347">R75+Q74</f>
        <v>-38476733.747365408</v>
      </c>
      <c r="S74">
        <f t="shared" ref="S74" si="348">R74/100000</f>
        <v>-384.76733747365409</v>
      </c>
      <c r="T74">
        <f t="shared" ref="T74" si="349">S74/1000</f>
        <v>-0.3847673374736541</v>
      </c>
    </row>
    <row r="75" spans="1:20" x14ac:dyDescent="0.25">
      <c r="A75" s="5">
        <v>44518</v>
      </c>
      <c r="B75">
        <v>23.36</v>
      </c>
      <c r="C75">
        <v>23.8</v>
      </c>
      <c r="D75">
        <v>20.5</v>
      </c>
      <c r="E75">
        <v>21.14</v>
      </c>
      <c r="F75">
        <v>343133.88</v>
      </c>
      <c r="G75">
        <v>21.14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-0.61212121212121184</v>
      </c>
      <c r="Q75">
        <f t="shared" ref="Q75" si="351">F75*P75</f>
        <v>-210039.52654545446</v>
      </c>
      <c r="R75">
        <f t="shared" ref="R75" si="352">R76+Q75</f>
        <v>-38623409.472572505</v>
      </c>
      <c r="S75">
        <f t="shared" ref="S75" si="353">R75/100000</f>
        <v>-386.23409472572507</v>
      </c>
      <c r="T75">
        <f t="shared" ref="T75" si="354">S75/1000</f>
        <v>-0.38623409472572506</v>
      </c>
    </row>
    <row r="76" spans="1:20" x14ac:dyDescent="0.25">
      <c r="A76" s="5">
        <v>44517</v>
      </c>
      <c r="B76">
        <v>23.09</v>
      </c>
      <c r="C76">
        <v>24.42</v>
      </c>
      <c r="D76">
        <v>22.25</v>
      </c>
      <c r="E76">
        <v>23.36</v>
      </c>
      <c r="F76">
        <v>339842.11</v>
      </c>
      <c r="G76">
        <v>23.36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2.3041474654376552E-2</v>
      </c>
      <c r="Q76">
        <f t="shared" ref="Q76" si="356">F76*P76</f>
        <v>7830.4633640548482</v>
      </c>
      <c r="R76">
        <f t="shared" ref="R76" si="357">R77+Q76</f>
        <v>-38413369.946027048</v>
      </c>
      <c r="S76">
        <f t="shared" ref="S76" si="358">R76/100000</f>
        <v>-384.13369946027046</v>
      </c>
      <c r="T76">
        <f t="shared" ref="T76" si="359">S76/1000</f>
        <v>-0.38413369946027048</v>
      </c>
    </row>
    <row r="77" spans="1:20" x14ac:dyDescent="0.25">
      <c r="A77" s="5">
        <v>44516</v>
      </c>
      <c r="B77">
        <v>24.67</v>
      </c>
      <c r="C77">
        <v>24.8</v>
      </c>
      <c r="D77">
        <v>21.5</v>
      </c>
      <c r="E77">
        <v>23.12</v>
      </c>
      <c r="F77">
        <v>604914.28</v>
      </c>
      <c r="G77">
        <v>23.12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-1.8181818181817789E-2</v>
      </c>
      <c r="Q77">
        <f t="shared" ref="Q77" si="361">F77*P77</f>
        <v>-10998.441454545218</v>
      </c>
      <c r="R77">
        <f t="shared" ref="R77" si="362">R78+Q77</f>
        <v>-38421200.409391105</v>
      </c>
      <c r="S77">
        <f t="shared" ref="S77" si="363">R77/100000</f>
        <v>-384.21200409391105</v>
      </c>
      <c r="T77">
        <f t="shared" ref="T77" si="364">S77/1000</f>
        <v>-0.38421200409391104</v>
      </c>
    </row>
    <row r="78" spans="1:20" x14ac:dyDescent="0.25">
      <c r="A78" s="5">
        <v>44515</v>
      </c>
      <c r="B78">
        <v>24.29</v>
      </c>
      <c r="C78">
        <v>25.6</v>
      </c>
      <c r="D78">
        <v>24.1</v>
      </c>
      <c r="E78">
        <v>24.67</v>
      </c>
      <c r="F78">
        <v>302210.74</v>
      </c>
      <c r="G78">
        <v>24.67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-0.23999999999999963</v>
      </c>
      <c r="Q78">
        <f t="shared" ref="Q78" si="366">F78*P78</f>
        <v>-72530.577599999888</v>
      </c>
      <c r="R78">
        <f t="shared" ref="R78" si="367">R79+Q78</f>
        <v>-38410201.967936561</v>
      </c>
      <c r="S78">
        <f t="shared" ref="S78" si="368">R78/100000</f>
        <v>-384.10201967936558</v>
      </c>
      <c r="T78">
        <f t="shared" ref="T78" si="369">S78/1000</f>
        <v>-0.38410201967936558</v>
      </c>
    </row>
    <row r="79" spans="1:20" x14ac:dyDescent="0.25">
      <c r="A79" s="5">
        <v>44514</v>
      </c>
      <c r="B79">
        <v>24.96</v>
      </c>
      <c r="C79">
        <v>25.2</v>
      </c>
      <c r="D79">
        <v>23.8</v>
      </c>
      <c r="E79">
        <v>24.3</v>
      </c>
      <c r="F79">
        <v>201143.96</v>
      </c>
      <c r="G79">
        <v>24.3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-0.28571428571428498</v>
      </c>
      <c r="Q79">
        <f t="shared" ref="Q79" si="371">F79*P79</f>
        <v>-57469.702857142707</v>
      </c>
      <c r="R79">
        <f t="shared" ref="R79" si="372">R80+Q79</f>
        <v>-38337671.390336558</v>
      </c>
      <c r="S79">
        <f t="shared" ref="S79" si="373">R79/100000</f>
        <v>-383.37671390336556</v>
      </c>
      <c r="T79">
        <f t="shared" ref="T79" si="374">S79/1000</f>
        <v>-0.38337671390336553</v>
      </c>
    </row>
    <row r="80" spans="1:20" x14ac:dyDescent="0.25">
      <c r="A80" s="5">
        <v>44513</v>
      </c>
      <c r="B80">
        <v>24.33</v>
      </c>
      <c r="C80">
        <v>25.27</v>
      </c>
      <c r="D80">
        <v>24.25</v>
      </c>
      <c r="E80">
        <v>24.97</v>
      </c>
      <c r="F80">
        <v>200231.78</v>
      </c>
      <c r="G80">
        <v>24.97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0.41176470588235131</v>
      </c>
      <c r="Q80">
        <f t="shared" ref="Q80" si="376">F80*P80</f>
        <v>82448.37999999967</v>
      </c>
      <c r="R80">
        <f t="shared" ref="R80" si="377">R81+Q80</f>
        <v>-38280201.687479414</v>
      </c>
      <c r="S80">
        <f t="shared" ref="S80" si="378">R80/100000</f>
        <v>-382.80201687479416</v>
      </c>
      <c r="T80">
        <f t="shared" ref="T80" si="379">S80/1000</f>
        <v>-0.38280201687479415</v>
      </c>
    </row>
    <row r="81" spans="1:20" x14ac:dyDescent="0.25">
      <c r="A81" s="5">
        <v>44512</v>
      </c>
      <c r="B81">
        <v>25.6</v>
      </c>
      <c r="C81">
        <v>25.72</v>
      </c>
      <c r="D81">
        <v>23.71</v>
      </c>
      <c r="E81">
        <v>24.31</v>
      </c>
      <c r="F81">
        <v>418588.45</v>
      </c>
      <c r="G81">
        <v>24.31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-0.40298507462686722</v>
      </c>
      <c r="Q81">
        <f t="shared" ref="Q81" si="381">F81*P81</f>
        <v>-168684.89776119468</v>
      </c>
      <c r="R81">
        <f t="shared" ref="R81" si="382">R82+Q81</f>
        <v>-38362650.067479417</v>
      </c>
      <c r="S81">
        <f t="shared" ref="S81" si="383">R81/100000</f>
        <v>-383.62650067479416</v>
      </c>
      <c r="T81">
        <f t="shared" ref="T81" si="384">S81/1000</f>
        <v>-0.38362650067479415</v>
      </c>
    </row>
    <row r="82" spans="1:20" x14ac:dyDescent="0.25">
      <c r="A82" s="5">
        <v>44511</v>
      </c>
      <c r="B82">
        <v>25.36</v>
      </c>
      <c r="C82">
        <v>26.5</v>
      </c>
      <c r="D82">
        <v>24.88</v>
      </c>
      <c r="E82">
        <v>25.64</v>
      </c>
      <c r="F82">
        <v>324679.40999999997</v>
      </c>
      <c r="G82">
        <v>25.64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-6.1728395061727039E-2</v>
      </c>
      <c r="Q82">
        <f t="shared" ref="Q82" si="386">F82*P82</f>
        <v>-20041.938888888446</v>
      </c>
      <c r="R82">
        <f t="shared" ref="R82" si="387">R83+Q82</f>
        <v>-38193965.169718221</v>
      </c>
      <c r="S82">
        <f t="shared" ref="S82" si="388">R82/100000</f>
        <v>-381.93965169718223</v>
      </c>
      <c r="T82">
        <f t="shared" ref="T82" si="389">S82/1000</f>
        <v>-0.38193965169718225</v>
      </c>
    </row>
    <row r="83" spans="1:20" x14ac:dyDescent="0.25">
      <c r="A83" s="5">
        <v>44510</v>
      </c>
      <c r="B83">
        <v>27.67</v>
      </c>
      <c r="C83">
        <v>27.83</v>
      </c>
      <c r="D83">
        <v>24.62</v>
      </c>
      <c r="E83">
        <v>25.34</v>
      </c>
      <c r="F83">
        <v>521013.81</v>
      </c>
      <c r="G83">
        <v>25.34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-0.55140186915887879</v>
      </c>
      <c r="Q83">
        <f t="shared" ref="Q83" si="391">F83*P83</f>
        <v>-287287.98869158892</v>
      </c>
      <c r="R83">
        <f t="shared" ref="R83" si="392">R84+Q83</f>
        <v>-38173923.230829336</v>
      </c>
      <c r="S83">
        <f t="shared" ref="S83" si="393">R83/100000</f>
        <v>-381.73923230829337</v>
      </c>
      <c r="T83">
        <f t="shared" ref="T83" si="394">S83/1000</f>
        <v>-0.38173923230829337</v>
      </c>
    </row>
    <row r="84" spans="1:20" x14ac:dyDescent="0.25">
      <c r="A84" s="5">
        <v>44509</v>
      </c>
      <c r="B84">
        <v>28.18</v>
      </c>
      <c r="C84">
        <v>29.22</v>
      </c>
      <c r="D84">
        <v>27.6</v>
      </c>
      <c r="E84">
        <v>27.67</v>
      </c>
      <c r="F84">
        <v>361849.94</v>
      </c>
      <c r="G84">
        <v>27.67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-0.91358024691357975</v>
      </c>
      <c r="Q84">
        <f t="shared" ref="Q84" si="396">F84*P84</f>
        <v>-330578.95753086405</v>
      </c>
      <c r="R84">
        <f t="shared" ref="R84" si="397">R85+Q84</f>
        <v>-37886635.242137745</v>
      </c>
      <c r="S84">
        <f t="shared" ref="S84" si="398">R84/100000</f>
        <v>-378.86635242137743</v>
      </c>
      <c r="T84">
        <f t="shared" ref="T84" si="399">S84/1000</f>
        <v>-0.37886635242137745</v>
      </c>
    </row>
    <row r="85" spans="1:20" x14ac:dyDescent="0.25">
      <c r="A85" s="5">
        <v>44508</v>
      </c>
      <c r="B85">
        <v>27.11</v>
      </c>
      <c r="C85">
        <v>28.64</v>
      </c>
      <c r="D85">
        <v>26.05</v>
      </c>
      <c r="E85">
        <v>28.19</v>
      </c>
      <c r="F85">
        <v>403442.84</v>
      </c>
      <c r="G85">
        <v>28.19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0.65250965250965309</v>
      </c>
      <c r="Q85">
        <f t="shared" ref="Q85" si="401">F85*P85</f>
        <v>263250.34733590757</v>
      </c>
      <c r="R85">
        <f t="shared" ref="R85" si="402">R86+Q85</f>
        <v>-37556056.284606881</v>
      </c>
      <c r="S85">
        <f t="shared" ref="S85" si="403">R85/100000</f>
        <v>-375.56056284606882</v>
      </c>
      <c r="T85">
        <f t="shared" ref="T85" si="404">S85/1000</f>
        <v>-0.37556056284606881</v>
      </c>
    </row>
    <row r="86" spans="1:20" x14ac:dyDescent="0.25">
      <c r="A86" s="5">
        <v>44507</v>
      </c>
      <c r="B86">
        <v>26.41</v>
      </c>
      <c r="C86">
        <v>27.49</v>
      </c>
      <c r="D86">
        <v>26.15</v>
      </c>
      <c r="E86">
        <v>27.09</v>
      </c>
      <c r="F86">
        <v>327729.14</v>
      </c>
      <c r="G86">
        <v>27.09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0.40298507462686772</v>
      </c>
      <c r="Q86">
        <f t="shared" ref="Q86" si="406">F86*P86</f>
        <v>132069.95194029919</v>
      </c>
      <c r="R86">
        <f t="shared" ref="R86" si="407">R87+Q86</f>
        <v>-37819306.631942786</v>
      </c>
      <c r="S86">
        <f t="shared" ref="S86" si="408">R86/100000</f>
        <v>-378.19306631942788</v>
      </c>
      <c r="T86">
        <f t="shared" ref="T86" si="409">S86/1000</f>
        <v>-0.3781930663194279</v>
      </c>
    </row>
    <row r="87" spans="1:20" x14ac:dyDescent="0.25">
      <c r="A87" s="5">
        <v>44506</v>
      </c>
      <c r="B87">
        <v>26.29</v>
      </c>
      <c r="C87">
        <v>27.37</v>
      </c>
      <c r="D87">
        <v>25.55</v>
      </c>
      <c r="E87">
        <v>26.42</v>
      </c>
      <c r="F87">
        <v>276632.58</v>
      </c>
      <c r="G87">
        <v>26.42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-4.3956043956043009E-2</v>
      </c>
      <c r="Q87">
        <f t="shared" ref="Q87" si="411">F87*P87</f>
        <v>-12159.673846153584</v>
      </c>
      <c r="R87">
        <f t="shared" ref="R87" si="412">R88+Q87</f>
        <v>-37951376.583883084</v>
      </c>
      <c r="S87">
        <f t="shared" ref="S87" si="413">R87/100000</f>
        <v>-379.51376583883086</v>
      </c>
      <c r="T87">
        <f t="shared" ref="T87" si="414">S87/1000</f>
        <v>-0.37951376583883084</v>
      </c>
    </row>
    <row r="88" spans="1:20" x14ac:dyDescent="0.25">
      <c r="A88" s="5">
        <v>44505</v>
      </c>
      <c r="B88">
        <v>25.84</v>
      </c>
      <c r="C88">
        <v>27.58</v>
      </c>
      <c r="D88">
        <v>25.6</v>
      </c>
      <c r="E88">
        <v>26.27</v>
      </c>
      <c r="F88">
        <v>429292.78</v>
      </c>
      <c r="G88">
        <v>26.27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-0.32323232323232404</v>
      </c>
      <c r="Q88">
        <f t="shared" ref="Q88" si="416">F88*P88</f>
        <v>-138761.30262626297</v>
      </c>
      <c r="R88">
        <f t="shared" ref="R88" si="417">R89+Q88</f>
        <v>-37939216.910036929</v>
      </c>
      <c r="S88">
        <f t="shared" ref="S88" si="418">R88/100000</f>
        <v>-379.3921691003693</v>
      </c>
      <c r="T88">
        <f t="shared" ref="T88" si="419">S88/1000</f>
        <v>-0.37939216910036933</v>
      </c>
    </row>
    <row r="89" spans="1:20" x14ac:dyDescent="0.25">
      <c r="A89" s="5">
        <v>44504</v>
      </c>
      <c r="B89">
        <v>26.66</v>
      </c>
      <c r="C89">
        <v>26.8</v>
      </c>
      <c r="D89">
        <v>25.21</v>
      </c>
      <c r="E89">
        <v>25.84</v>
      </c>
      <c r="F89">
        <v>315447.40000000002</v>
      </c>
      <c r="G89">
        <v>25.84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-0.20754716981132193</v>
      </c>
      <c r="Q89">
        <f t="shared" ref="Q89" si="421">F89*P89</f>
        <v>-65470.215094339997</v>
      </c>
      <c r="R89">
        <f t="shared" ref="R89" si="422">R90+Q89</f>
        <v>-37800455.607410669</v>
      </c>
      <c r="S89">
        <f t="shared" ref="S89" si="423">R89/100000</f>
        <v>-378.00455607410669</v>
      </c>
      <c r="T89">
        <f t="shared" ref="T89" si="424">S89/1000</f>
        <v>-0.37800455607410671</v>
      </c>
    </row>
    <row r="90" spans="1:20" x14ac:dyDescent="0.25">
      <c r="A90" s="5">
        <v>44503</v>
      </c>
      <c r="B90">
        <v>26.41</v>
      </c>
      <c r="C90">
        <v>27.1</v>
      </c>
      <c r="D90">
        <v>25.5</v>
      </c>
      <c r="E90">
        <v>26.66</v>
      </c>
      <c r="F90">
        <v>330285.69</v>
      </c>
      <c r="G90">
        <v>26.66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0.4499999999999989</v>
      </c>
      <c r="Q90">
        <f t="shared" ref="Q90" si="426">F90*P90</f>
        <v>148628.56049999964</v>
      </c>
      <c r="R90">
        <f t="shared" ref="R90" si="427">R91+Q90</f>
        <v>-37734985.392316326</v>
      </c>
      <c r="S90">
        <f t="shared" ref="S90" si="428">R90/100000</f>
        <v>-377.34985392316327</v>
      </c>
      <c r="T90">
        <f t="shared" ref="T90" si="429">S90/1000</f>
        <v>-0.37734985392316328</v>
      </c>
    </row>
    <row r="91" spans="1:20" x14ac:dyDescent="0.25">
      <c r="A91" s="5">
        <v>44502</v>
      </c>
      <c r="B91">
        <v>25.82</v>
      </c>
      <c r="C91">
        <v>27.74</v>
      </c>
      <c r="D91">
        <v>25.4</v>
      </c>
      <c r="E91">
        <v>26.43</v>
      </c>
      <c r="F91">
        <v>373428.68</v>
      </c>
      <c r="G91">
        <v>26.43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-0.11965811965811864</v>
      </c>
      <c r="Q91">
        <f t="shared" ref="Q91" si="431">F91*P91</f>
        <v>-44683.773675213291</v>
      </c>
      <c r="R91">
        <f t="shared" ref="R91" si="432">R92+Q91</f>
        <v>-37883613.952816322</v>
      </c>
      <c r="S91">
        <f t="shared" ref="S91" si="433">R91/100000</f>
        <v>-378.83613952816324</v>
      </c>
      <c r="T91">
        <f t="shared" ref="T91" si="434">S91/1000</f>
        <v>-0.37883613952816325</v>
      </c>
    </row>
    <row r="92" spans="1:20" x14ac:dyDescent="0.25">
      <c r="A92" s="5">
        <v>44501</v>
      </c>
      <c r="B92">
        <v>26.07</v>
      </c>
      <c r="C92">
        <v>26.57</v>
      </c>
      <c r="D92">
        <v>24.91</v>
      </c>
      <c r="E92">
        <v>25.83</v>
      </c>
      <c r="F92">
        <v>356895.98</v>
      </c>
      <c r="G92">
        <v>25.83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0.10843373493975672</v>
      </c>
      <c r="Q92">
        <f t="shared" ref="Q92" si="436">F92*P92</f>
        <v>38699.564096384711</v>
      </c>
      <c r="R92">
        <f t="shared" ref="R92" si="437">R93+Q92</f>
        <v>-37838930.179141112</v>
      </c>
      <c r="S92">
        <f t="shared" ref="S92" si="438">R92/100000</f>
        <v>-378.38930179141113</v>
      </c>
      <c r="T92">
        <f t="shared" ref="T92" si="439">S92/1000</f>
        <v>-0.37838930179141111</v>
      </c>
    </row>
    <row r="93" spans="1:20" x14ac:dyDescent="0.25">
      <c r="A93" s="5">
        <v>44500</v>
      </c>
      <c r="B93">
        <v>25.81</v>
      </c>
      <c r="C93">
        <v>26.52</v>
      </c>
      <c r="D93">
        <v>25</v>
      </c>
      <c r="E93">
        <v>26.07</v>
      </c>
      <c r="F93">
        <v>440417.73</v>
      </c>
      <c r="G93">
        <v>26.07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0.40789473684210603</v>
      </c>
      <c r="Q93">
        <f t="shared" ref="Q93" si="441">F93*P93</f>
        <v>179644.07407894771</v>
      </c>
      <c r="R93">
        <f t="shared" ref="R93" si="442">R94+Q93</f>
        <v>-37877629.743237495</v>
      </c>
      <c r="S93">
        <f t="shared" ref="S93" si="443">R93/100000</f>
        <v>-378.77629743237497</v>
      </c>
      <c r="T93">
        <f t="shared" ref="T93" si="444">S93/1000</f>
        <v>-0.37877629743237495</v>
      </c>
    </row>
    <row r="94" spans="1:20" x14ac:dyDescent="0.25">
      <c r="A94" s="5">
        <v>44499</v>
      </c>
      <c r="B94">
        <v>26.56</v>
      </c>
      <c r="C94">
        <v>27.19</v>
      </c>
      <c r="D94">
        <v>25.24</v>
      </c>
      <c r="E94">
        <v>25.83</v>
      </c>
      <c r="F94">
        <v>708319.66</v>
      </c>
      <c r="G94">
        <v>25.83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-0.39487179487179591</v>
      </c>
      <c r="Q94">
        <f t="shared" ref="Q94" si="446">F94*P94</f>
        <v>-279695.45548718021</v>
      </c>
      <c r="R94">
        <f t="shared" ref="R94" si="447">R95+Q94</f>
        <v>-38057273.817316443</v>
      </c>
      <c r="S94">
        <f t="shared" ref="S94" si="448">R94/100000</f>
        <v>-380.57273817316445</v>
      </c>
      <c r="T94">
        <f t="shared" ref="T94" si="449">S94/1000</f>
        <v>-0.38057273817316445</v>
      </c>
    </row>
    <row r="95" spans="1:20" x14ac:dyDescent="0.25">
      <c r="A95" s="5">
        <v>44498</v>
      </c>
      <c r="B95">
        <v>25.78</v>
      </c>
      <c r="C95">
        <v>27.42</v>
      </c>
      <c r="D95">
        <v>25.56</v>
      </c>
      <c r="E95">
        <v>26.57</v>
      </c>
      <c r="F95">
        <v>382087.61</v>
      </c>
      <c r="G95">
        <v>26.57</v>
      </c>
      <c r="L95" t="s">
        <v>7</v>
      </c>
      <c r="M95" t="s">
        <v>8</v>
      </c>
      <c r="N95" t="s">
        <v>7</v>
      </c>
      <c r="P95">
        <f t="shared" ref="P95" si="450">IF(C95=D95,0,((E95-D95)-(C95-E95))/(C95-D95))</f>
        <v>8.6021505376344023E-2</v>
      </c>
      <c r="Q95">
        <f t="shared" ref="Q95" si="451">F95*P95</f>
        <v>32867.751397849439</v>
      </c>
      <c r="R95">
        <f t="shared" ref="R95" si="452">R96+Q95</f>
        <v>-37777578.361829266</v>
      </c>
      <c r="S95">
        <f t="shared" ref="S95" si="453">R95/100000</f>
        <v>-377.77578361829268</v>
      </c>
      <c r="T95">
        <f t="shared" ref="T95" si="454">S95/1000</f>
        <v>-0.37777578361829267</v>
      </c>
    </row>
    <row r="96" spans="1:20" x14ac:dyDescent="0.25">
      <c r="A96" s="5">
        <v>44497</v>
      </c>
      <c r="B96">
        <v>26.67</v>
      </c>
      <c r="C96">
        <v>27.6</v>
      </c>
      <c r="D96">
        <v>25</v>
      </c>
      <c r="E96">
        <v>25.78</v>
      </c>
      <c r="F96">
        <v>486723.16</v>
      </c>
      <c r="G96">
        <v>25.78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-0.39999999999999947</v>
      </c>
      <c r="Q96">
        <f t="shared" ref="Q96" si="456">F96*P96</f>
        <v>-194689.26399999973</v>
      </c>
      <c r="R96">
        <f t="shared" ref="R96" si="457">R97+Q96</f>
        <v>-37810446.113227114</v>
      </c>
      <c r="S96">
        <f t="shared" ref="S96" si="458">R96/100000</f>
        <v>-378.10446113227113</v>
      </c>
      <c r="T96">
        <f t="shared" ref="T96" si="459">S96/1000</f>
        <v>-0.37810446113227114</v>
      </c>
    </row>
    <row r="97" spans="1:20" x14ac:dyDescent="0.25">
      <c r="A97" s="5">
        <v>44496</v>
      </c>
      <c r="B97">
        <v>28.39</v>
      </c>
      <c r="C97">
        <v>28.63</v>
      </c>
      <c r="D97">
        <v>22.38</v>
      </c>
      <c r="E97">
        <v>26.64</v>
      </c>
      <c r="F97">
        <v>624941.93000000005</v>
      </c>
      <c r="G97">
        <v>26.64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0.36320000000000052</v>
      </c>
      <c r="Q97">
        <f t="shared" ref="Q97" si="461">F97*P97</f>
        <v>226978.90897600036</v>
      </c>
      <c r="R97">
        <f t="shared" ref="R97" si="462">R98+Q97</f>
        <v>-37615756.849227116</v>
      </c>
      <c r="S97">
        <f t="shared" ref="S97" si="463">R97/100000</f>
        <v>-376.15756849227114</v>
      </c>
      <c r="T97">
        <f t="shared" ref="T97" si="464">S97/1000</f>
        <v>-0.37615756849227117</v>
      </c>
    </row>
    <row r="98" spans="1:20" x14ac:dyDescent="0.25">
      <c r="A98" s="5">
        <v>44495</v>
      </c>
      <c r="B98">
        <v>29.98</v>
      </c>
      <c r="C98">
        <v>30.5</v>
      </c>
      <c r="D98">
        <v>28.15</v>
      </c>
      <c r="E98">
        <v>28.39</v>
      </c>
      <c r="F98">
        <v>565119.15</v>
      </c>
      <c r="G98">
        <v>28.39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-0.79574468085106231</v>
      </c>
      <c r="Q98">
        <f t="shared" ref="Q98" si="466">F98*P98</f>
        <v>-449690.55765957362</v>
      </c>
      <c r="R98">
        <f t="shared" ref="R98" si="467">R99+Q98</f>
        <v>-37842735.758203119</v>
      </c>
      <c r="S98">
        <f t="shared" ref="S98" si="468">R98/100000</f>
        <v>-378.42735758203116</v>
      </c>
      <c r="T98">
        <f t="shared" ref="T98" si="469">S98/1000</f>
        <v>-0.37842735758203117</v>
      </c>
    </row>
    <row r="99" spans="1:20" x14ac:dyDescent="0.25">
      <c r="A99" s="5">
        <v>44494</v>
      </c>
      <c r="B99">
        <v>30.49</v>
      </c>
      <c r="C99">
        <v>32.630000000000003</v>
      </c>
      <c r="D99">
        <v>28.8</v>
      </c>
      <c r="E99">
        <v>29.98</v>
      </c>
      <c r="F99">
        <v>571188.71</v>
      </c>
      <c r="G99">
        <v>29.98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-0.38381201044386465</v>
      </c>
      <c r="Q99">
        <f t="shared" ref="Q99" si="471">F99*P99</f>
        <v>-219229.08712793756</v>
      </c>
      <c r="R99">
        <f t="shared" ref="R99" si="472">R100+Q99</f>
        <v>-37393045.200543545</v>
      </c>
      <c r="S99">
        <f t="shared" ref="S99" si="473">R99/100000</f>
        <v>-373.93045200543543</v>
      </c>
      <c r="T99">
        <f t="shared" ref="T99" si="474">S99/1000</f>
        <v>-0.37393045200543545</v>
      </c>
    </row>
    <row r="100" spans="1:20" x14ac:dyDescent="0.25">
      <c r="A100" s="5">
        <v>44493</v>
      </c>
      <c r="B100">
        <v>31.67</v>
      </c>
      <c r="C100">
        <v>31.7</v>
      </c>
      <c r="D100">
        <v>30.13</v>
      </c>
      <c r="E100">
        <v>30.45</v>
      </c>
      <c r="F100">
        <v>209707.66</v>
      </c>
      <c r="G100">
        <v>30.45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-0.59235668789808893</v>
      </c>
      <c r="Q100">
        <f t="shared" ref="Q100" si="476">F100*P100</f>
        <v>-124221.73490445856</v>
      </c>
      <c r="R100">
        <f t="shared" ref="R100" si="477">R101+Q100</f>
        <v>-37173816.113415606</v>
      </c>
      <c r="S100">
        <f t="shared" ref="S100" si="478">R100/100000</f>
        <v>-371.73816113415609</v>
      </c>
      <c r="T100">
        <f t="shared" ref="T100" si="479">S100/1000</f>
        <v>-0.37173816113415609</v>
      </c>
    </row>
    <row r="101" spans="1:20" x14ac:dyDescent="0.25">
      <c r="A101" s="5">
        <v>44492</v>
      </c>
      <c r="B101">
        <v>31.26</v>
      </c>
      <c r="C101">
        <v>32.49</v>
      </c>
      <c r="D101">
        <v>31.04</v>
      </c>
      <c r="E101">
        <v>31.65</v>
      </c>
      <c r="F101">
        <v>175558.96</v>
      </c>
      <c r="G101">
        <v>31.65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-0.15862068965517484</v>
      </c>
      <c r="Q101">
        <f t="shared" ref="Q101" si="481">F101*P101</f>
        <v>-27847.283310345254</v>
      </c>
      <c r="R101">
        <f t="shared" ref="R101" si="482">R102+Q101</f>
        <v>-37049594.378511146</v>
      </c>
      <c r="S101">
        <f t="shared" ref="S101" si="483">R101/100000</f>
        <v>-370.49594378511148</v>
      </c>
      <c r="T101">
        <f t="shared" ref="T101" si="484">S101/1000</f>
        <v>-0.37049594378511147</v>
      </c>
    </row>
    <row r="102" spans="1:20" x14ac:dyDescent="0.25">
      <c r="A102" s="5">
        <v>44491</v>
      </c>
      <c r="B102">
        <v>31.38</v>
      </c>
      <c r="C102">
        <v>32.520000000000003</v>
      </c>
      <c r="D102">
        <v>30.46</v>
      </c>
      <c r="E102">
        <v>31.26</v>
      </c>
      <c r="F102">
        <v>285059.7</v>
      </c>
      <c r="G102">
        <v>31.26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-0.22330097087378659</v>
      </c>
      <c r="Q102">
        <f t="shared" ref="Q102" si="486">F102*P102</f>
        <v>-63654.107766990346</v>
      </c>
      <c r="R102">
        <f t="shared" ref="R102" si="487">R103+Q102</f>
        <v>-37021747.095200799</v>
      </c>
      <c r="S102">
        <f t="shared" ref="S102" si="488">R102/100000</f>
        <v>-370.217470952008</v>
      </c>
      <c r="T102">
        <f t="shared" ref="T102" si="489">S102/1000</f>
        <v>-0.37021747095200802</v>
      </c>
    </row>
    <row r="103" spans="1:20" x14ac:dyDescent="0.25">
      <c r="A103" s="5">
        <v>44490</v>
      </c>
      <c r="B103">
        <v>33.21</v>
      </c>
      <c r="C103">
        <v>34.21</v>
      </c>
      <c r="D103">
        <v>31</v>
      </c>
      <c r="E103">
        <v>31.38</v>
      </c>
      <c r="F103">
        <v>465498.93</v>
      </c>
      <c r="G103">
        <v>31.38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-0.76323987538940874</v>
      </c>
      <c r="Q103">
        <f t="shared" ref="Q103" si="491">F103*P103</f>
        <v>-355287.3453271031</v>
      </c>
      <c r="R103">
        <f t="shared" ref="R103" si="492">R104+Q103</f>
        <v>-36958092.987433806</v>
      </c>
      <c r="S103">
        <f t="shared" ref="S103" si="493">R103/100000</f>
        <v>-369.58092987433804</v>
      </c>
      <c r="T103">
        <f t="shared" ref="T103" si="494">S103/1000</f>
        <v>-0.36958092987433805</v>
      </c>
    </row>
    <row r="104" spans="1:20" x14ac:dyDescent="0.25">
      <c r="A104" s="5">
        <v>44489</v>
      </c>
      <c r="B104">
        <v>30.46</v>
      </c>
      <c r="C104">
        <v>34.119999999999997</v>
      </c>
      <c r="D104">
        <v>29.65</v>
      </c>
      <c r="E104">
        <v>33.229999999999997</v>
      </c>
      <c r="F104">
        <v>955874.44</v>
      </c>
      <c r="G104">
        <v>33.229999999999997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0.60178970917225916</v>
      </c>
      <c r="Q104">
        <f t="shared" ref="Q104" si="496">F104*P104</f>
        <v>575235.40125279606</v>
      </c>
      <c r="R104">
        <f t="shared" ref="R104" si="497">R105+Q104</f>
        <v>-36602805.642106704</v>
      </c>
      <c r="S104">
        <f t="shared" ref="S104" si="498">R104/100000</f>
        <v>-366.02805642106705</v>
      </c>
      <c r="T104">
        <f t="shared" ref="T104" si="499">S104/1000</f>
        <v>-0.36602805642106706</v>
      </c>
    </row>
    <row r="105" spans="1:20" x14ac:dyDescent="0.25">
      <c r="A105" s="5">
        <v>44488</v>
      </c>
      <c r="B105">
        <v>27.44</v>
      </c>
      <c r="C105">
        <v>33.49</v>
      </c>
      <c r="D105">
        <v>27.21</v>
      </c>
      <c r="E105">
        <v>30.41</v>
      </c>
      <c r="F105">
        <v>949640.57</v>
      </c>
      <c r="G105">
        <v>30.41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1.910828025477666E-2</v>
      </c>
      <c r="Q105">
        <f t="shared" ref="Q105" si="501">F105*P105</f>
        <v>18145.99815286585</v>
      </c>
      <c r="R105">
        <f t="shared" ref="R105" si="502">R106+Q105</f>
        <v>-37178041.043359503</v>
      </c>
      <c r="S105">
        <f t="shared" ref="S105" si="503">R105/100000</f>
        <v>-371.78041043359502</v>
      </c>
      <c r="T105">
        <f t="shared" ref="T105" si="504">S105/1000</f>
        <v>-0.371780410433595</v>
      </c>
    </row>
    <row r="106" spans="1:20" x14ac:dyDescent="0.25">
      <c r="A106" s="5">
        <v>44487</v>
      </c>
      <c r="B106">
        <v>27.8</v>
      </c>
      <c r="C106">
        <v>28.49</v>
      </c>
      <c r="D106">
        <v>26.94</v>
      </c>
      <c r="E106">
        <v>27.47</v>
      </c>
      <c r="F106">
        <v>173466.52</v>
      </c>
      <c r="G106">
        <v>27.47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-0.31612903225806638</v>
      </c>
      <c r="Q106">
        <f t="shared" ref="Q106" si="506">F106*P106</f>
        <v>-54837.803096774514</v>
      </c>
      <c r="R106">
        <f t="shared" ref="R106" si="507">R107+Q106</f>
        <v>-37196187.04151237</v>
      </c>
      <c r="S106">
        <f t="shared" ref="S106" si="508">R106/100000</f>
        <v>-371.96187041512371</v>
      </c>
      <c r="T106">
        <f t="shared" ref="T106" si="509">S106/1000</f>
        <v>-0.37196187041512369</v>
      </c>
    </row>
    <row r="107" spans="1:20" x14ac:dyDescent="0.25">
      <c r="A107" s="5">
        <v>44486</v>
      </c>
      <c r="B107">
        <v>28.56</v>
      </c>
      <c r="C107">
        <v>28.8</v>
      </c>
      <c r="D107">
        <v>26.95</v>
      </c>
      <c r="E107">
        <v>27.76</v>
      </c>
      <c r="F107">
        <v>168841.72</v>
      </c>
      <c r="G107">
        <v>27.76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-0.12432432432432254</v>
      </c>
      <c r="Q107">
        <f t="shared" ref="Q107" si="511">F107*P107</f>
        <v>-20991.132756756455</v>
      </c>
      <c r="R107">
        <f t="shared" ref="R107" si="512">R108+Q107</f>
        <v>-37141349.238415599</v>
      </c>
      <c r="S107">
        <f t="shared" ref="S107" si="513">R107/100000</f>
        <v>-371.41349238415597</v>
      </c>
      <c r="T107">
        <f t="shared" ref="T107" si="514">S107/1000</f>
        <v>-0.371413492384156</v>
      </c>
    </row>
    <row r="108" spans="1:20" x14ac:dyDescent="0.25">
      <c r="A108" s="5">
        <v>44485</v>
      </c>
      <c r="B108">
        <v>28.45</v>
      </c>
      <c r="C108">
        <v>29.65</v>
      </c>
      <c r="D108">
        <v>28.37</v>
      </c>
      <c r="E108">
        <v>28.57</v>
      </c>
      <c r="F108">
        <v>242836.27</v>
      </c>
      <c r="G108">
        <v>28.57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-0.68750000000000056</v>
      </c>
      <c r="Q108">
        <f t="shared" ref="Q108" si="516">F108*P108</f>
        <v>-166949.93562500013</v>
      </c>
      <c r="R108">
        <f t="shared" ref="R108" si="517">R109+Q108</f>
        <v>-37120358.105658844</v>
      </c>
      <c r="S108">
        <f t="shared" ref="S108" si="518">R108/100000</f>
        <v>-371.20358105658846</v>
      </c>
      <c r="T108">
        <f t="shared" ref="T108" si="519">S108/1000</f>
        <v>-0.37120358105658846</v>
      </c>
    </row>
    <row r="109" spans="1:20" x14ac:dyDescent="0.25">
      <c r="A109" s="5">
        <v>44484</v>
      </c>
      <c r="B109">
        <v>29.6</v>
      </c>
      <c r="C109">
        <v>30.03</v>
      </c>
      <c r="D109">
        <v>27.41</v>
      </c>
      <c r="E109">
        <v>28.45</v>
      </c>
      <c r="F109">
        <v>447800.92</v>
      </c>
      <c r="G109">
        <v>28.45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-0.20610687022900859</v>
      </c>
      <c r="Q109">
        <f t="shared" ref="Q109" si="521">F109*P109</f>
        <v>-92294.846106870653</v>
      </c>
      <c r="R109">
        <f t="shared" ref="R109" si="522">R110+Q109</f>
        <v>-36953408.170033842</v>
      </c>
      <c r="S109">
        <f t="shared" ref="S109" si="523">R109/100000</f>
        <v>-369.53408170033845</v>
      </c>
      <c r="T109">
        <f t="shared" ref="T109" si="524">S109/1000</f>
        <v>-0.36953408170033847</v>
      </c>
    </row>
    <row r="110" spans="1:20" x14ac:dyDescent="0.25">
      <c r="A110" s="5">
        <v>44483</v>
      </c>
      <c r="B110">
        <v>28.68</v>
      </c>
      <c r="C110">
        <v>30.95</v>
      </c>
      <c r="D110">
        <v>28.3</v>
      </c>
      <c r="E110">
        <v>29.6</v>
      </c>
      <c r="F110">
        <v>583130.62</v>
      </c>
      <c r="G110">
        <v>29.6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-1.8867924528300824E-2</v>
      </c>
      <c r="Q110">
        <f t="shared" ref="Q110" si="526">F110*P110</f>
        <v>-11002.464528301267</v>
      </c>
      <c r="R110">
        <f t="shared" ref="R110" si="527">R111+Q110</f>
        <v>-36861113.32392697</v>
      </c>
      <c r="S110">
        <f t="shared" ref="S110" si="528">R110/100000</f>
        <v>-368.61113323926969</v>
      </c>
      <c r="T110">
        <f t="shared" ref="T110" si="529">S110/1000</f>
        <v>-0.36861113323926969</v>
      </c>
    </row>
    <row r="111" spans="1:20" x14ac:dyDescent="0.25">
      <c r="A111" s="5">
        <v>44482</v>
      </c>
      <c r="B111">
        <v>27.89</v>
      </c>
      <c r="C111">
        <v>32</v>
      </c>
      <c r="D111">
        <v>27.62</v>
      </c>
      <c r="E111">
        <v>28.67</v>
      </c>
      <c r="F111">
        <v>999967.09</v>
      </c>
      <c r="G111">
        <v>28.67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-0.52054794520547898</v>
      </c>
      <c r="Q111">
        <f t="shared" ref="Q111" si="531">F111*P111</f>
        <v>-520530.81397260225</v>
      </c>
      <c r="R111">
        <f t="shared" ref="R111" si="532">R112+Q111</f>
        <v>-36850110.85939867</v>
      </c>
      <c r="S111">
        <f t="shared" ref="S111" si="533">R111/100000</f>
        <v>-368.50110859398671</v>
      </c>
      <c r="T111">
        <f t="shared" ref="T111" si="534">S111/1000</f>
        <v>-0.36850110859398671</v>
      </c>
    </row>
    <row r="112" spans="1:20" x14ac:dyDescent="0.25">
      <c r="A112" s="5">
        <v>44481</v>
      </c>
      <c r="B112">
        <v>27.97</v>
      </c>
      <c r="C112">
        <v>28.8</v>
      </c>
      <c r="D112">
        <v>25.3</v>
      </c>
      <c r="E112">
        <v>27.86</v>
      </c>
      <c r="F112">
        <v>427420.11</v>
      </c>
      <c r="G112">
        <v>27.86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0.46285714285714213</v>
      </c>
      <c r="Q112">
        <f t="shared" ref="Q112" si="536">F112*P112</f>
        <v>197834.45091428541</v>
      </c>
      <c r="R112">
        <f t="shared" ref="R112" si="537">R113+Q112</f>
        <v>-36329580.045426071</v>
      </c>
      <c r="S112">
        <f t="shared" ref="S112" si="538">R112/100000</f>
        <v>-363.2958004542607</v>
      </c>
      <c r="T112">
        <f t="shared" ref="T112" si="539">S112/1000</f>
        <v>-0.36329580045426069</v>
      </c>
    </row>
    <row r="113" spans="1:20" x14ac:dyDescent="0.25">
      <c r="A113" s="5">
        <v>44480</v>
      </c>
      <c r="B113">
        <v>26.67</v>
      </c>
      <c r="C113">
        <v>29.08</v>
      </c>
      <c r="D113">
        <v>26.43</v>
      </c>
      <c r="E113">
        <v>27.99</v>
      </c>
      <c r="F113">
        <v>286842.13</v>
      </c>
      <c r="G113">
        <v>27.99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0.17735849056603739</v>
      </c>
      <c r="Q113">
        <f t="shared" ref="Q113" si="541">F113*P113</f>
        <v>50873.887207547072</v>
      </c>
      <c r="R113">
        <f t="shared" ref="R113" si="542">R114+Q113</f>
        <v>-36527414.496340357</v>
      </c>
      <c r="S113">
        <f t="shared" ref="S113" si="543">R113/100000</f>
        <v>-365.27414496340356</v>
      </c>
      <c r="T113">
        <f t="shared" ref="T113" si="544">S113/1000</f>
        <v>-0.36527414496340355</v>
      </c>
    </row>
    <row r="114" spans="1:20" x14ac:dyDescent="0.25">
      <c r="A114" s="5">
        <v>44479</v>
      </c>
      <c r="B114">
        <v>27.9</v>
      </c>
      <c r="C114">
        <v>28.47</v>
      </c>
      <c r="D114">
        <v>26.47</v>
      </c>
      <c r="E114">
        <v>26.69</v>
      </c>
      <c r="F114">
        <v>218120.72</v>
      </c>
      <c r="G114">
        <v>26.69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-0.77999999999999758</v>
      </c>
      <c r="Q114">
        <f t="shared" ref="Q114" si="546">F114*P114</f>
        <v>-170134.16159999947</v>
      </c>
      <c r="R114">
        <f t="shared" ref="R114" si="547">R115+Q114</f>
        <v>-36578288.383547902</v>
      </c>
      <c r="S114">
        <f t="shared" ref="S114" si="548">R114/100000</f>
        <v>-365.78288383547903</v>
      </c>
      <c r="T114">
        <f t="shared" ref="T114" si="549">S114/1000</f>
        <v>-0.36578288383547902</v>
      </c>
    </row>
    <row r="115" spans="1:20" x14ac:dyDescent="0.25">
      <c r="A115" s="5">
        <v>44478</v>
      </c>
      <c r="B115">
        <v>27.97</v>
      </c>
      <c r="C115">
        <v>28.67</v>
      </c>
      <c r="D115">
        <v>27.57</v>
      </c>
      <c r="E115">
        <v>27.89</v>
      </c>
      <c r="F115">
        <v>176819.72</v>
      </c>
      <c r="G115">
        <v>27.89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-0.41818181818181843</v>
      </c>
      <c r="Q115">
        <f t="shared" ref="Q115" si="551">F115*P115</f>
        <v>-73942.792000000045</v>
      </c>
      <c r="R115">
        <f t="shared" ref="R115" si="552">R116+Q115</f>
        <v>-36408154.221947901</v>
      </c>
      <c r="S115">
        <f t="shared" ref="S115" si="553">R115/100000</f>
        <v>-364.08154221947899</v>
      </c>
      <c r="T115">
        <f t="shared" ref="T115" si="554">S115/1000</f>
        <v>-0.36408154221947897</v>
      </c>
    </row>
    <row r="116" spans="1:20" x14ac:dyDescent="0.25">
      <c r="A116" s="5">
        <v>44477</v>
      </c>
      <c r="B116">
        <v>28.5</v>
      </c>
      <c r="C116">
        <v>30.17</v>
      </c>
      <c r="D116">
        <v>27.79</v>
      </c>
      <c r="E116">
        <v>27.97</v>
      </c>
      <c r="F116">
        <v>287667.40999999997</v>
      </c>
      <c r="G116">
        <v>27.97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-0.84873949579831975</v>
      </c>
      <c r="Q116">
        <f t="shared" ref="Q116" si="556">F116*P116</f>
        <v>-244154.69252100852</v>
      </c>
      <c r="R116">
        <f t="shared" ref="R116" si="557">R117+Q116</f>
        <v>-36334211.429947898</v>
      </c>
      <c r="S116">
        <f t="shared" ref="S116" si="558">R116/100000</f>
        <v>-363.34211429947896</v>
      </c>
      <c r="T116">
        <f t="shared" ref="T116" si="559">S116/1000</f>
        <v>-0.36334211429947899</v>
      </c>
    </row>
    <row r="117" spans="1:20" x14ac:dyDescent="0.25">
      <c r="A117" s="5">
        <v>44476</v>
      </c>
      <c r="B117">
        <v>28.2</v>
      </c>
      <c r="C117">
        <v>31.6</v>
      </c>
      <c r="D117">
        <v>27.55</v>
      </c>
      <c r="E117">
        <v>28.52</v>
      </c>
      <c r="F117">
        <v>634029.44999999995</v>
      </c>
      <c r="G117">
        <v>28.52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-0.52098765432098826</v>
      </c>
      <c r="Q117">
        <f t="shared" ref="Q117" si="561">F117*P117</f>
        <v>-330321.51592592627</v>
      </c>
      <c r="R117">
        <f t="shared" ref="R117" si="562">R118+Q117</f>
        <v>-36090056.737426892</v>
      </c>
      <c r="S117">
        <f t="shared" ref="S117" si="563">R117/100000</f>
        <v>-360.90056737426892</v>
      </c>
      <c r="T117">
        <f t="shared" ref="T117" si="564">S117/1000</f>
        <v>-0.3609005673742689</v>
      </c>
    </row>
    <row r="118" spans="1:20" x14ac:dyDescent="0.25">
      <c r="A118" s="5">
        <v>44475</v>
      </c>
      <c r="B118">
        <v>29.03</v>
      </c>
      <c r="C118">
        <v>29.5</v>
      </c>
      <c r="D118">
        <v>26.12</v>
      </c>
      <c r="E118">
        <v>28.21</v>
      </c>
      <c r="F118">
        <v>412266.05</v>
      </c>
      <c r="G118">
        <v>28.21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0.23668639053254467</v>
      </c>
      <c r="Q118">
        <f t="shared" ref="Q118" si="566">F118*P118</f>
        <v>97577.763313609583</v>
      </c>
      <c r="R118">
        <f t="shared" ref="R118" si="567">R119+Q118</f>
        <v>-35759735.221500963</v>
      </c>
      <c r="S118">
        <f t="shared" ref="S118" si="568">R118/100000</f>
        <v>-357.59735221500961</v>
      </c>
      <c r="T118">
        <f t="shared" ref="T118" si="569">S118/1000</f>
        <v>-0.3575973522150096</v>
      </c>
    </row>
    <row r="119" spans="1:20" x14ac:dyDescent="0.25">
      <c r="A119" s="5">
        <v>44474</v>
      </c>
      <c r="B119">
        <v>25.69</v>
      </c>
      <c r="C119">
        <v>29.84</v>
      </c>
      <c r="D119">
        <v>25.47</v>
      </c>
      <c r="E119">
        <v>29</v>
      </c>
      <c r="F119">
        <v>701907.11</v>
      </c>
      <c r="G119">
        <v>29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0.61556064073226557</v>
      </c>
      <c r="Q119">
        <f t="shared" ref="Q119" si="571">F119*P119</f>
        <v>432066.39036613278</v>
      </c>
      <c r="R119">
        <f t="shared" ref="R119" si="572">R120+Q119</f>
        <v>-35857312.984814569</v>
      </c>
      <c r="S119">
        <f t="shared" ref="S119" si="573">R119/100000</f>
        <v>-358.5731298481457</v>
      </c>
      <c r="T119">
        <f t="shared" ref="T119" si="574">S119/1000</f>
        <v>-0.35857312984814571</v>
      </c>
    </row>
    <row r="120" spans="1:20" x14ac:dyDescent="0.25">
      <c r="A120" s="5">
        <v>44473</v>
      </c>
      <c r="B120">
        <v>27.31</v>
      </c>
      <c r="C120">
        <v>27.5</v>
      </c>
      <c r="D120">
        <v>24.7</v>
      </c>
      <c r="E120">
        <v>25.72</v>
      </c>
      <c r="F120">
        <v>397270.36</v>
      </c>
      <c r="G120">
        <v>25.72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-0.27142857142857191</v>
      </c>
      <c r="Q120">
        <f t="shared" ref="Q120" si="576">F120*P120</f>
        <v>-107830.52628571447</v>
      </c>
      <c r="R120">
        <f t="shared" ref="R120" si="577">R121+Q120</f>
        <v>-36289379.375180699</v>
      </c>
      <c r="S120">
        <f t="shared" ref="S120" si="578">R120/100000</f>
        <v>-362.89379375180698</v>
      </c>
      <c r="T120">
        <f t="shared" ref="T120" si="579">S120/1000</f>
        <v>-0.36289379375180697</v>
      </c>
    </row>
    <row r="121" spans="1:20" x14ac:dyDescent="0.25">
      <c r="A121" s="5">
        <v>44472</v>
      </c>
      <c r="B121">
        <v>26.26</v>
      </c>
      <c r="C121">
        <v>27.26</v>
      </c>
      <c r="D121">
        <v>25.6</v>
      </c>
      <c r="E121">
        <v>27.23</v>
      </c>
      <c r="F121">
        <v>279532.14</v>
      </c>
      <c r="G121">
        <v>27.23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0.96385542168674565</v>
      </c>
      <c r="Q121">
        <f t="shared" ref="Q121" si="581">F121*P121</f>
        <v>269428.56867469841</v>
      </c>
      <c r="R121">
        <f t="shared" ref="R121" si="582">R122+Q121</f>
        <v>-36181548.848894984</v>
      </c>
      <c r="S121">
        <f t="shared" ref="S121" si="583">R121/100000</f>
        <v>-361.81548848894982</v>
      </c>
      <c r="T121">
        <f t="shared" ref="T121" si="584">S121/1000</f>
        <v>-0.36181548848894984</v>
      </c>
    </row>
    <row r="122" spans="1:20" x14ac:dyDescent="0.25">
      <c r="A122" s="5">
        <v>44471</v>
      </c>
      <c r="B122">
        <v>25.4</v>
      </c>
      <c r="C122">
        <v>27.92</v>
      </c>
      <c r="D122">
        <v>24.73</v>
      </c>
      <c r="E122">
        <v>26.26</v>
      </c>
      <c r="F122">
        <v>535073.07999999996</v>
      </c>
      <c r="G122">
        <v>26.26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-4.0752351097178355E-2</v>
      </c>
      <c r="Q122">
        <f t="shared" ref="Q122" si="586">F122*P122</f>
        <v>-21805.486018808599</v>
      </c>
      <c r="R122">
        <f t="shared" ref="R122" si="587">R123+Q122</f>
        <v>-36450977.417569682</v>
      </c>
      <c r="S122">
        <f t="shared" ref="S122" si="588">R122/100000</f>
        <v>-364.5097741756968</v>
      </c>
      <c r="T122">
        <f t="shared" ref="T122" si="589">S122/1000</f>
        <v>-0.3645097741756968</v>
      </c>
    </row>
    <row r="123" spans="1:20" x14ac:dyDescent="0.25">
      <c r="A123" s="5">
        <v>44470</v>
      </c>
      <c r="B123">
        <v>22.49</v>
      </c>
      <c r="C123">
        <v>25.56</v>
      </c>
      <c r="D123">
        <v>22.06</v>
      </c>
      <c r="E123">
        <v>25.38</v>
      </c>
      <c r="F123">
        <v>619792.48</v>
      </c>
      <c r="G123">
        <v>25.38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0.89714285714285735</v>
      </c>
      <c r="Q123">
        <f t="shared" ref="Q123" si="591">F123*P123</f>
        <v>556042.39634285728</v>
      </c>
      <c r="R123">
        <f t="shared" ref="R123" si="592">R124+Q123</f>
        <v>-36429171.931550875</v>
      </c>
      <c r="S123">
        <f t="shared" ref="S123" si="593">R123/100000</f>
        <v>-364.29171931550877</v>
      </c>
      <c r="T123">
        <f t="shared" ref="T123" si="594">S123/1000</f>
        <v>-0.36429171931550874</v>
      </c>
    </row>
    <row r="124" spans="1:20" x14ac:dyDescent="0.25">
      <c r="A124" s="5">
        <v>44469</v>
      </c>
      <c r="B124">
        <v>21.2</v>
      </c>
      <c r="C124">
        <v>23.27</v>
      </c>
      <c r="D124">
        <v>21.11</v>
      </c>
      <c r="E124">
        <v>22.51</v>
      </c>
      <c r="F124">
        <v>333424.58</v>
      </c>
      <c r="G124">
        <v>22.51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0.29629629629629817</v>
      </c>
      <c r="Q124">
        <f t="shared" ref="Q124" si="596">F124*P124</f>
        <v>98792.468148148779</v>
      </c>
      <c r="R124">
        <f t="shared" ref="R124" si="597">R125+Q124</f>
        <v>-36985214.327893734</v>
      </c>
      <c r="S124">
        <f t="shared" ref="S124" si="598">R124/100000</f>
        <v>-369.85214327893732</v>
      </c>
      <c r="T124">
        <f t="shared" ref="T124" si="599">S124/1000</f>
        <v>-0.36985214327893734</v>
      </c>
    </row>
    <row r="125" spans="1:20" x14ac:dyDescent="0.25">
      <c r="A125" s="5">
        <v>44468</v>
      </c>
      <c r="B125">
        <v>20.28</v>
      </c>
      <c r="C125">
        <v>22.78</v>
      </c>
      <c r="D125">
        <v>20.11</v>
      </c>
      <c r="E125">
        <v>21.23</v>
      </c>
      <c r="F125">
        <v>306239.57</v>
      </c>
      <c r="G125">
        <v>21.23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-0.16104868913857656</v>
      </c>
      <c r="Q125">
        <f t="shared" ref="Q125" si="601">F125*P125</f>
        <v>-49319.48131086136</v>
      </c>
      <c r="R125">
        <f t="shared" ref="R125" si="602">R126+Q125</f>
        <v>-37084006.796041884</v>
      </c>
      <c r="S125">
        <f t="shared" ref="S125" si="603">R125/100000</f>
        <v>-370.84006796041882</v>
      </c>
      <c r="T125">
        <f t="shared" ref="T125" si="604">S125/1000</f>
        <v>-0.3708400679604188</v>
      </c>
    </row>
    <row r="126" spans="1:20" x14ac:dyDescent="0.25">
      <c r="A126" s="5">
        <v>44467</v>
      </c>
      <c r="B126">
        <v>21.34</v>
      </c>
      <c r="C126">
        <v>21.42</v>
      </c>
      <c r="D126">
        <v>20.100000000000001</v>
      </c>
      <c r="E126">
        <v>20.29</v>
      </c>
      <c r="F126">
        <v>469177.21</v>
      </c>
      <c r="G126">
        <v>20.29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-0.7121212121212156</v>
      </c>
      <c r="Q126">
        <f t="shared" ref="Q126" si="606">F126*P126</f>
        <v>-334111.04348485015</v>
      </c>
      <c r="R126">
        <f t="shared" ref="R126" si="607">R127+Q126</f>
        <v>-37034687.314731024</v>
      </c>
      <c r="S126">
        <f t="shared" ref="S126" si="608">R126/100000</f>
        <v>-370.34687314731025</v>
      </c>
      <c r="T126">
        <f t="shared" ref="T126" si="609">S126/1000</f>
        <v>-0.37034687314731024</v>
      </c>
    </row>
    <row r="127" spans="1:20" x14ac:dyDescent="0.25">
      <c r="A127" s="5">
        <v>44466</v>
      </c>
      <c r="B127">
        <v>21.55</v>
      </c>
      <c r="C127">
        <v>23.68</v>
      </c>
      <c r="D127">
        <v>21.22</v>
      </c>
      <c r="E127">
        <v>21.36</v>
      </c>
      <c r="F127">
        <v>426443.48</v>
      </c>
      <c r="G127">
        <v>21.36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-0.88617886178861749</v>
      </c>
      <c r="Q127">
        <f t="shared" ref="Q127" si="611">F127*P127</f>
        <v>-377905.19772357703</v>
      </c>
      <c r="R127">
        <f t="shared" ref="R127" si="612">R128+Q127</f>
        <v>-36700576.271246172</v>
      </c>
      <c r="S127">
        <f t="shared" ref="S127" si="613">R127/100000</f>
        <v>-367.00576271246172</v>
      </c>
      <c r="T127">
        <f t="shared" ref="T127" si="614">S127/1000</f>
        <v>-0.36700576271246171</v>
      </c>
    </row>
    <row r="128" spans="1:20" x14ac:dyDescent="0.25">
      <c r="A128" s="5">
        <v>44465</v>
      </c>
      <c r="B128">
        <v>22.43</v>
      </c>
      <c r="C128">
        <v>22.49</v>
      </c>
      <c r="D128">
        <v>19.82</v>
      </c>
      <c r="E128">
        <v>21.53</v>
      </c>
      <c r="F128">
        <v>647486.53399999999</v>
      </c>
      <c r="G128">
        <v>21.53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0.2808988764044959</v>
      </c>
      <c r="Q128">
        <f t="shared" ref="Q128" si="616">F128*P128</f>
        <v>181878.23988764142</v>
      </c>
      <c r="R128">
        <f t="shared" ref="R128" si="617">R129+Q128</f>
        <v>-36322671.073522598</v>
      </c>
      <c r="S128">
        <f t="shared" ref="S128" si="618">R128/100000</f>
        <v>-363.22671073522599</v>
      </c>
      <c r="T128">
        <f t="shared" ref="T128" si="619">S128/1000</f>
        <v>-0.363226710735226</v>
      </c>
    </row>
    <row r="129" spans="1:20" x14ac:dyDescent="0.25">
      <c r="A129" s="5">
        <v>44464</v>
      </c>
      <c r="B129">
        <v>23.32</v>
      </c>
      <c r="C129">
        <v>23.5</v>
      </c>
      <c r="D129">
        <v>21.89</v>
      </c>
      <c r="E129">
        <v>22.43</v>
      </c>
      <c r="F129">
        <v>439173.5</v>
      </c>
      <c r="G129">
        <v>22.43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-0.32919254658385178</v>
      </c>
      <c r="Q129">
        <f t="shared" ref="Q129" si="621">F129*P129</f>
        <v>-144572.64285714322</v>
      </c>
      <c r="R129">
        <f t="shared" ref="R129" si="622">R130+Q129</f>
        <v>-36504549.313410237</v>
      </c>
      <c r="S129">
        <f t="shared" ref="S129" si="623">R129/100000</f>
        <v>-365.0454931341024</v>
      </c>
      <c r="T129">
        <f t="shared" ref="T129" si="624">S129/1000</f>
        <v>-0.36504549313410239</v>
      </c>
    </row>
    <row r="130" spans="1:20" x14ac:dyDescent="0.25">
      <c r="A130" s="5">
        <v>44463</v>
      </c>
      <c r="B130">
        <v>26.15</v>
      </c>
      <c r="C130">
        <v>26.24</v>
      </c>
      <c r="D130">
        <v>21.27</v>
      </c>
      <c r="E130">
        <v>23.32</v>
      </c>
      <c r="F130">
        <v>773536.83</v>
      </c>
      <c r="G130">
        <v>23.32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-0.17505030181086473</v>
      </c>
      <c r="Q130">
        <f t="shared" ref="Q130" si="626">F130*P130</f>
        <v>-135407.85555331956</v>
      </c>
      <c r="R130">
        <f t="shared" ref="R130" si="627">R131+Q130</f>
        <v>-36359976.670553096</v>
      </c>
      <c r="S130">
        <f t="shared" ref="S130" si="628">R130/100000</f>
        <v>-363.59976670553095</v>
      </c>
      <c r="T130">
        <f t="shared" ref="T130" si="629">S130/1000</f>
        <v>-0.36359976670553096</v>
      </c>
    </row>
    <row r="131" spans="1:20" x14ac:dyDescent="0.25">
      <c r="A131" s="5">
        <v>44462</v>
      </c>
      <c r="B131">
        <v>25.14</v>
      </c>
      <c r="C131">
        <v>26.62</v>
      </c>
      <c r="D131">
        <v>24.51</v>
      </c>
      <c r="E131">
        <v>26.14</v>
      </c>
      <c r="F131">
        <v>366955.93</v>
      </c>
      <c r="G131">
        <v>26.14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0.54502369668246398</v>
      </c>
      <c r="Q131">
        <f t="shared" ref="Q131" si="631">F131*P131</f>
        <v>199999.67748815147</v>
      </c>
      <c r="R131">
        <f t="shared" ref="R131" si="632">R132+Q131</f>
        <v>-36224568.814999774</v>
      </c>
      <c r="S131">
        <f t="shared" ref="S131" si="633">R131/100000</f>
        <v>-362.24568814999776</v>
      </c>
      <c r="T131">
        <f t="shared" ref="T131" si="634">S131/1000</f>
        <v>-0.36224568814999775</v>
      </c>
    </row>
    <row r="132" spans="1:20" x14ac:dyDescent="0.25">
      <c r="A132" s="5">
        <v>44461</v>
      </c>
      <c r="B132">
        <v>22.35</v>
      </c>
      <c r="C132">
        <v>25.34</v>
      </c>
      <c r="D132">
        <v>22.03</v>
      </c>
      <c r="E132">
        <v>25.14</v>
      </c>
      <c r="F132">
        <v>429163.51</v>
      </c>
      <c r="G132">
        <v>25.14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0.87915407854984928</v>
      </c>
      <c r="Q132">
        <f t="shared" ref="Q132" si="636">F132*P132</f>
        <v>377300.85018126905</v>
      </c>
      <c r="R132">
        <f t="shared" ref="R132" si="637">R133+Q132</f>
        <v>-36424568.492487922</v>
      </c>
      <c r="S132">
        <f t="shared" ref="S132" si="638">R132/100000</f>
        <v>-364.24568492487924</v>
      </c>
      <c r="T132">
        <f t="shared" ref="T132" si="639">S132/1000</f>
        <v>-0.36424568492487924</v>
      </c>
    </row>
    <row r="133" spans="1:20" x14ac:dyDescent="0.25">
      <c r="A133" s="5">
        <v>44460</v>
      </c>
      <c r="B133">
        <v>25.22</v>
      </c>
      <c r="C133">
        <v>26.58</v>
      </c>
      <c r="D133">
        <v>20.99</v>
      </c>
      <c r="E133">
        <v>22.34</v>
      </c>
      <c r="F133">
        <v>995588.41599999997</v>
      </c>
      <c r="G133">
        <v>22.34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-0.51699463327370254</v>
      </c>
      <c r="Q133">
        <f t="shared" ref="Q133" si="641">F133*P133</f>
        <v>-514713.86802146642</v>
      </c>
      <c r="R133">
        <f t="shared" ref="R133" si="642">R134+Q133</f>
        <v>-36801869.342669189</v>
      </c>
      <c r="S133">
        <f t="shared" ref="S133" si="643">R133/100000</f>
        <v>-368.01869342669187</v>
      </c>
      <c r="T133">
        <f t="shared" ref="T133" si="644">S133/1000</f>
        <v>-0.36801869342669186</v>
      </c>
    </row>
    <row r="134" spans="1:20" x14ac:dyDescent="0.25">
      <c r="A134" s="5">
        <v>44459</v>
      </c>
      <c r="B134">
        <v>30.82</v>
      </c>
      <c r="C134">
        <v>31.1</v>
      </c>
      <c r="D134">
        <v>27.85</v>
      </c>
      <c r="E134">
        <v>28.62</v>
      </c>
      <c r="F134">
        <v>227452.77</v>
      </c>
      <c r="G134">
        <v>28.62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-0.52615384615384642</v>
      </c>
      <c r="Q134">
        <f t="shared" ref="Q134" si="646">F134*P134</f>
        <v>-119675.14975384621</v>
      </c>
      <c r="R134">
        <f t="shared" ref="R134" si="647">R135+Q134</f>
        <v>-36287155.474647723</v>
      </c>
      <c r="S134">
        <f t="shared" ref="S134" si="648">R134/100000</f>
        <v>-362.87155474647722</v>
      </c>
      <c r="T134">
        <f t="shared" ref="T134" si="649">S134/1000</f>
        <v>-0.3628715547464772</v>
      </c>
    </row>
    <row r="135" spans="1:20" x14ac:dyDescent="0.25">
      <c r="A135" s="5">
        <v>44458</v>
      </c>
      <c r="B135">
        <v>32.29</v>
      </c>
      <c r="C135">
        <v>32.32</v>
      </c>
      <c r="D135">
        <v>30.5</v>
      </c>
      <c r="E135">
        <v>30.77</v>
      </c>
      <c r="F135">
        <v>289636.86</v>
      </c>
      <c r="G135">
        <v>30.77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-0.7032967032967038</v>
      </c>
      <c r="Q135">
        <f t="shared" ref="Q135" si="651">F135*P135</f>
        <v>-203700.64879120892</v>
      </c>
      <c r="R135">
        <f t="shared" ref="R135" si="652">R136+Q135</f>
        <v>-36167480.324893877</v>
      </c>
      <c r="S135">
        <f t="shared" ref="S135" si="653">R135/100000</f>
        <v>-361.67480324893876</v>
      </c>
      <c r="T135">
        <f t="shared" ref="T135" si="654">S135/1000</f>
        <v>-0.36167480324893875</v>
      </c>
    </row>
    <row r="136" spans="1:20" x14ac:dyDescent="0.25">
      <c r="A136" s="5">
        <v>44457</v>
      </c>
      <c r="B136">
        <v>30.71</v>
      </c>
      <c r="C136">
        <v>34.25</v>
      </c>
      <c r="D136">
        <v>30.24</v>
      </c>
      <c r="E136">
        <v>32.32</v>
      </c>
      <c r="F136">
        <v>374270.59</v>
      </c>
      <c r="G136">
        <v>32.32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3.7406483790524206E-2</v>
      </c>
      <c r="Q136">
        <f t="shared" ref="Q136" si="656">F136*P136</f>
        <v>14000.146758104933</v>
      </c>
      <c r="R136">
        <f t="shared" ref="R136" si="657">R137+Q136</f>
        <v>-35963779.676102668</v>
      </c>
      <c r="S136">
        <f t="shared" ref="S136" si="658">R136/100000</f>
        <v>-359.63779676102666</v>
      </c>
      <c r="T136">
        <f t="shared" ref="T136" si="659">S136/1000</f>
        <v>-0.35963779676102664</v>
      </c>
    </row>
    <row r="137" spans="1:20" x14ac:dyDescent="0.25">
      <c r="A137" s="5">
        <v>44456</v>
      </c>
      <c r="B137">
        <v>33.869999999999997</v>
      </c>
      <c r="C137">
        <v>34.28</v>
      </c>
      <c r="D137">
        <v>30.31</v>
      </c>
      <c r="E137">
        <v>30.71</v>
      </c>
      <c r="F137">
        <v>460739.08</v>
      </c>
      <c r="G137">
        <v>30.71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-0.79848866498740456</v>
      </c>
      <c r="Q137">
        <f t="shared" ref="Q137" si="661">F137*P137</f>
        <v>-367894.93289672502</v>
      </c>
      <c r="R137">
        <f t="shared" ref="R137" si="662">R138+Q137</f>
        <v>-35977779.82286077</v>
      </c>
      <c r="S137">
        <f t="shared" ref="S137" si="663">R137/100000</f>
        <v>-359.77779822860771</v>
      </c>
      <c r="T137">
        <f t="shared" ref="T137" si="664">S137/1000</f>
        <v>-0.35977779822860773</v>
      </c>
    </row>
    <row r="138" spans="1:20" x14ac:dyDescent="0.25">
      <c r="A138" s="5">
        <v>44455</v>
      </c>
      <c r="B138">
        <v>34.75</v>
      </c>
      <c r="C138">
        <v>36.92</v>
      </c>
      <c r="D138">
        <v>32.99</v>
      </c>
      <c r="E138">
        <v>33.909999999999997</v>
      </c>
      <c r="F138">
        <v>481216.49</v>
      </c>
      <c r="G138">
        <v>33.909999999999997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-0.53180661577608412</v>
      </c>
      <c r="Q138">
        <f t="shared" ref="Q138" si="666">F138*P138</f>
        <v>-255914.11300254581</v>
      </c>
      <c r="R138">
        <f t="shared" ref="R138" si="667">R139+Q138</f>
        <v>-35609884.889964044</v>
      </c>
      <c r="S138">
        <f t="shared" ref="S138" si="668">R138/100000</f>
        <v>-356.09884889964042</v>
      </c>
      <c r="T138">
        <f t="shared" ref="T138" si="669">S138/1000</f>
        <v>-0.35609884889964044</v>
      </c>
    </row>
    <row r="139" spans="1:20" x14ac:dyDescent="0.25">
      <c r="A139" s="5">
        <v>44454</v>
      </c>
      <c r="B139">
        <v>33.35</v>
      </c>
      <c r="C139">
        <v>35.799999999999997</v>
      </c>
      <c r="D139">
        <v>33.03</v>
      </c>
      <c r="E139">
        <v>34.75</v>
      </c>
      <c r="F139">
        <v>311721.99</v>
      </c>
      <c r="G139">
        <v>34.75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0.2418772563176905</v>
      </c>
      <c r="Q139">
        <f t="shared" ref="Q139" si="671">F139*P139</f>
        <v>75398.459675090548</v>
      </c>
      <c r="R139">
        <f t="shared" ref="R139" si="672">R140+Q139</f>
        <v>-35353970.776961498</v>
      </c>
      <c r="S139">
        <f t="shared" ref="S139" si="673">R139/100000</f>
        <v>-353.53970776961501</v>
      </c>
      <c r="T139">
        <f t="shared" ref="T139" si="674">S139/1000</f>
        <v>-0.35353970776961502</v>
      </c>
    </row>
    <row r="140" spans="1:20" x14ac:dyDescent="0.25">
      <c r="A140" s="5">
        <v>44453</v>
      </c>
      <c r="B140">
        <v>32.11</v>
      </c>
      <c r="C140">
        <v>33.96</v>
      </c>
      <c r="D140">
        <v>31.6</v>
      </c>
      <c r="E140">
        <v>33.35</v>
      </c>
      <c r="F140">
        <v>388123</v>
      </c>
      <c r="G140">
        <v>33.35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0.4830508474576275</v>
      </c>
      <c r="Q140">
        <f t="shared" ref="Q140" si="676">F140*P140</f>
        <v>187483.14406779676</v>
      </c>
      <c r="R140">
        <f t="shared" ref="R140" si="677">R141+Q140</f>
        <v>-35429369.236636586</v>
      </c>
      <c r="S140">
        <f t="shared" ref="S140" si="678">R140/100000</f>
        <v>-354.29369236636586</v>
      </c>
      <c r="T140">
        <f t="shared" ref="T140" si="679">S140/1000</f>
        <v>-0.35429369236636588</v>
      </c>
    </row>
    <row r="141" spans="1:20" x14ac:dyDescent="0.25">
      <c r="A141" s="5">
        <v>44452</v>
      </c>
      <c r="B141">
        <v>34.56</v>
      </c>
      <c r="C141">
        <v>34.78</v>
      </c>
      <c r="D141">
        <v>31.3</v>
      </c>
      <c r="E141">
        <v>32.11</v>
      </c>
      <c r="F141">
        <v>405967.25</v>
      </c>
      <c r="G141">
        <v>32.11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-0.5344827586206905</v>
      </c>
      <c r="Q141">
        <f t="shared" ref="Q141" si="681">F141*P141</f>
        <v>-216982.49568965551</v>
      </c>
      <c r="R141">
        <f t="shared" ref="R141" si="682">R142+Q141</f>
        <v>-35616852.380704381</v>
      </c>
      <c r="S141">
        <f t="shared" ref="S141" si="683">R141/100000</f>
        <v>-356.16852380704381</v>
      </c>
      <c r="T141">
        <f t="shared" ref="T141" si="684">S141/1000</f>
        <v>-0.35616852380704384</v>
      </c>
    </row>
    <row r="142" spans="1:20" x14ac:dyDescent="0.25">
      <c r="A142" s="5">
        <v>44451</v>
      </c>
      <c r="B142">
        <v>36.299999999999997</v>
      </c>
      <c r="C142">
        <v>36.58</v>
      </c>
      <c r="D142">
        <v>33.700000000000003</v>
      </c>
      <c r="E142">
        <v>34.56</v>
      </c>
      <c r="F142">
        <v>345331.37</v>
      </c>
      <c r="G142">
        <v>34.56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-0.40277777777777724</v>
      </c>
      <c r="Q142">
        <f t="shared" ref="Q142" si="686">F142*P142</f>
        <v>-139091.80180555535</v>
      </c>
      <c r="R142">
        <f t="shared" ref="R142" si="687">R143+Q142</f>
        <v>-35399869.885014728</v>
      </c>
      <c r="S142">
        <f t="shared" ref="S142" si="688">R142/100000</f>
        <v>-353.99869885014726</v>
      </c>
      <c r="T142">
        <f t="shared" ref="T142" si="689">S142/1000</f>
        <v>-0.35399869885014729</v>
      </c>
    </row>
    <row r="143" spans="1:20" x14ac:dyDescent="0.25">
      <c r="A143" s="5">
        <v>44450</v>
      </c>
      <c r="B143">
        <v>36.64</v>
      </c>
      <c r="C143">
        <v>38.5</v>
      </c>
      <c r="D143">
        <v>35.69</v>
      </c>
      <c r="E143">
        <v>36.299999999999997</v>
      </c>
      <c r="F143">
        <v>621107.21</v>
      </c>
      <c r="G143">
        <v>36.299999999999997</v>
      </c>
      <c r="L143" t="s">
        <v>7</v>
      </c>
      <c r="M143" t="s">
        <v>8</v>
      </c>
      <c r="N143" t="s">
        <v>8</v>
      </c>
      <c r="P143">
        <f t="shared" ref="P143" si="690">IF(C143=D143,0,((E143-D143)-(C143-E143))/(C143-D143))</f>
        <v>-0.56583629893238507</v>
      </c>
      <c r="Q143">
        <f t="shared" ref="Q143" si="691">F143*P143</f>
        <v>-351445.00494661962</v>
      </c>
      <c r="R143">
        <f t="shared" ref="R143" si="692">R144+Q143</f>
        <v>-35260778.083209172</v>
      </c>
      <c r="S143">
        <f t="shared" ref="S143" si="693">R143/100000</f>
        <v>-352.60778083209169</v>
      </c>
      <c r="T143">
        <f t="shared" ref="T143" si="694">S143/1000</f>
        <v>-0.35260778083209171</v>
      </c>
    </row>
    <row r="144" spans="1:20" x14ac:dyDescent="0.25">
      <c r="A144" s="5">
        <v>44449</v>
      </c>
      <c r="B144">
        <v>33.380000000000003</v>
      </c>
      <c r="C144">
        <v>38.68</v>
      </c>
      <c r="D144">
        <v>32.520000000000003</v>
      </c>
      <c r="E144">
        <v>36.590000000000003</v>
      </c>
      <c r="F144">
        <v>1372508.872</v>
      </c>
      <c r="G144">
        <v>36.590000000000003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0.32142857142857223</v>
      </c>
      <c r="Q144">
        <f t="shared" ref="Q144" si="696">F144*P144</f>
        <v>441163.5660000011</v>
      </c>
      <c r="R144">
        <f t="shared" ref="R144" si="697">R145+Q144</f>
        <v>-34909333.078262553</v>
      </c>
      <c r="S144">
        <f t="shared" ref="S144" si="698">R144/100000</f>
        <v>-349.09333078262551</v>
      </c>
      <c r="T144">
        <f t="shared" ref="T144" si="699">S144/1000</f>
        <v>-0.3490933307826255</v>
      </c>
    </row>
    <row r="145" spans="1:20" x14ac:dyDescent="0.25">
      <c r="A145" s="5">
        <v>44448</v>
      </c>
      <c r="B145">
        <v>31.79</v>
      </c>
      <c r="C145">
        <v>34.979999999999997</v>
      </c>
      <c r="D145">
        <v>30.07</v>
      </c>
      <c r="E145">
        <v>33.35</v>
      </c>
      <c r="F145">
        <v>662703.02</v>
      </c>
      <c r="G145">
        <v>33.35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0.3360488798370686</v>
      </c>
      <c r="Q145">
        <f t="shared" ref="Q145" si="701">F145*P145</f>
        <v>222700.60753564248</v>
      </c>
      <c r="R145">
        <f t="shared" ref="R145" si="702">R146+Q145</f>
        <v>-35350496.644262552</v>
      </c>
      <c r="S145">
        <f t="shared" ref="S145" si="703">R145/100000</f>
        <v>-353.50496644262552</v>
      </c>
      <c r="T145">
        <f t="shared" ref="T145" si="704">S145/1000</f>
        <v>-0.35350496644262552</v>
      </c>
    </row>
    <row r="146" spans="1:20" x14ac:dyDescent="0.25">
      <c r="A146" s="5">
        <v>44447</v>
      </c>
      <c r="B146">
        <v>30.83</v>
      </c>
      <c r="C146">
        <v>33.200000000000003</v>
      </c>
      <c r="D146">
        <v>27.02</v>
      </c>
      <c r="E146">
        <v>31.79</v>
      </c>
      <c r="F146">
        <v>782257.01</v>
      </c>
      <c r="G146">
        <v>31.79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0.54368932038834861</v>
      </c>
      <c r="Q146">
        <f t="shared" ref="Q146" si="706">F146*P146</f>
        <v>425304.78213592165</v>
      </c>
      <c r="R146">
        <f t="shared" ref="R146" si="707">R147+Q146</f>
        <v>-35573197.251798198</v>
      </c>
      <c r="S146">
        <f t="shared" ref="S146" si="708">R146/100000</f>
        <v>-355.731972517982</v>
      </c>
      <c r="T146">
        <f t="shared" ref="T146" si="709">S146/1000</f>
        <v>-0.355731972517982</v>
      </c>
    </row>
    <row r="147" spans="1:20" x14ac:dyDescent="0.25">
      <c r="A147" s="5">
        <v>44446</v>
      </c>
      <c r="B147">
        <v>41.07</v>
      </c>
      <c r="C147">
        <v>41.94</v>
      </c>
      <c r="D147">
        <v>29.82</v>
      </c>
      <c r="E147">
        <v>30.87</v>
      </c>
      <c r="F147">
        <v>1384816.47</v>
      </c>
      <c r="G147">
        <v>30.87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-0.82673267326732658</v>
      </c>
      <c r="Q147">
        <f t="shared" ref="Q147" si="711">F147*P147</f>
        <v>-1144873.0222277225</v>
      </c>
      <c r="R147">
        <f t="shared" ref="R147" si="712">R148+Q147</f>
        <v>-35998502.033934116</v>
      </c>
      <c r="S147">
        <f t="shared" ref="S147" si="713">R147/100000</f>
        <v>-359.98502033934119</v>
      </c>
      <c r="T147">
        <f t="shared" ref="T147" si="714">S147/1000</f>
        <v>-0.35998502033934121</v>
      </c>
    </row>
    <row r="148" spans="1:20" x14ac:dyDescent="0.25">
      <c r="A148" s="5">
        <v>44445</v>
      </c>
      <c r="B148">
        <v>37.979999999999997</v>
      </c>
      <c r="C148">
        <v>42.98</v>
      </c>
      <c r="D148">
        <v>37.67</v>
      </c>
      <c r="E148">
        <v>41.07</v>
      </c>
      <c r="F148">
        <v>1237471.9240000001</v>
      </c>
      <c r="G148">
        <v>41.07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0.28060263653484058</v>
      </c>
      <c r="Q148">
        <f t="shared" ref="Q148" si="716">F148*P148</f>
        <v>347237.88451224187</v>
      </c>
      <c r="R148">
        <f t="shared" ref="R148" si="717">R149+Q148</f>
        <v>-34853629.011706397</v>
      </c>
      <c r="S148">
        <f t="shared" ref="S148" si="718">R148/100000</f>
        <v>-348.53629011706397</v>
      </c>
      <c r="T148">
        <f t="shared" ref="T148" si="719">S148/1000</f>
        <v>-0.348536290117064</v>
      </c>
    </row>
    <row r="149" spans="1:20" x14ac:dyDescent="0.25">
      <c r="A149" s="5">
        <v>44444</v>
      </c>
      <c r="B149">
        <v>37.79</v>
      </c>
      <c r="C149">
        <v>38.83</v>
      </c>
      <c r="D149">
        <v>36.71</v>
      </c>
      <c r="E149">
        <v>37.950000000000003</v>
      </c>
      <c r="F149">
        <v>567938.18000000005</v>
      </c>
      <c r="G149">
        <v>37.950000000000003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0.16981132075472027</v>
      </c>
      <c r="Q149">
        <f t="shared" ref="Q149" si="721">F149*P149</f>
        <v>96442.332452832066</v>
      </c>
      <c r="R149">
        <f t="shared" ref="R149" si="722">R150+Q149</f>
        <v>-35200866.896218635</v>
      </c>
      <c r="S149">
        <f t="shared" ref="S149" si="723">R149/100000</f>
        <v>-352.00866896218633</v>
      </c>
      <c r="T149">
        <f t="shared" ref="T149" si="724">S149/1000</f>
        <v>-0.35200866896218636</v>
      </c>
    </row>
    <row r="150" spans="1:20" x14ac:dyDescent="0.25">
      <c r="A150" s="5">
        <v>44443</v>
      </c>
      <c r="B150">
        <v>37.68</v>
      </c>
      <c r="C150">
        <v>39.880000000000003</v>
      </c>
      <c r="D150">
        <v>35.6</v>
      </c>
      <c r="E150">
        <v>37.78</v>
      </c>
      <c r="F150">
        <v>1240778.94</v>
      </c>
      <c r="G150">
        <v>37.78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1.8691588785046325E-2</v>
      </c>
      <c r="Q150">
        <f t="shared" ref="Q150" si="726">F150*P150</f>
        <v>23192.129719625667</v>
      </c>
      <c r="R150">
        <f t="shared" ref="R150" si="727">R151+Q150</f>
        <v>-35297309.228671469</v>
      </c>
      <c r="S150">
        <f t="shared" ref="S150" si="728">R150/100000</f>
        <v>-352.97309228671469</v>
      </c>
      <c r="T150">
        <f t="shared" ref="T150" si="729">S150/1000</f>
        <v>-0.3529730922867147</v>
      </c>
    </row>
    <row r="151" spans="1:20" x14ac:dyDescent="0.25">
      <c r="A151" s="5">
        <v>44442</v>
      </c>
      <c r="B151">
        <v>31.81</v>
      </c>
      <c r="C151">
        <v>40.67</v>
      </c>
      <c r="D151">
        <v>31.1</v>
      </c>
      <c r="E151">
        <v>37.700000000000003</v>
      </c>
      <c r="F151">
        <v>2077644.0889999999</v>
      </c>
      <c r="G151">
        <v>37.700000000000003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0.37931034482758647</v>
      </c>
      <c r="Q151">
        <f t="shared" ref="Q151" si="731">F151*P151</f>
        <v>788071.89582758676</v>
      </c>
      <c r="R151">
        <f t="shared" ref="R151" si="732">R152+Q151</f>
        <v>-35320501.358391091</v>
      </c>
      <c r="S151">
        <f t="shared" ref="S151" si="733">R151/100000</f>
        <v>-353.2050135839109</v>
      </c>
      <c r="T151">
        <f t="shared" ref="T151" si="734">S151/1000</f>
        <v>-0.35320501358391088</v>
      </c>
    </row>
    <row r="152" spans="1:20" x14ac:dyDescent="0.25">
      <c r="A152" s="5">
        <v>44441</v>
      </c>
      <c r="B152">
        <v>33.1</v>
      </c>
      <c r="C152">
        <v>34.82</v>
      </c>
      <c r="D152">
        <v>31.76</v>
      </c>
      <c r="E152">
        <v>31.8</v>
      </c>
      <c r="F152">
        <v>541014.38800000004</v>
      </c>
      <c r="G152">
        <v>31.8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-0.97385620915032733</v>
      </c>
      <c r="Q152">
        <f t="shared" ref="Q152" si="736">F152*P152</f>
        <v>-526870.22099346435</v>
      </c>
      <c r="R152">
        <f t="shared" ref="R152" si="737">R153+Q152</f>
        <v>-36108573.254218675</v>
      </c>
      <c r="S152">
        <f t="shared" ref="S152" si="738">R152/100000</f>
        <v>-361.08573254218675</v>
      </c>
      <c r="T152">
        <f t="shared" ref="T152" si="739">S152/1000</f>
        <v>-0.36108573254218673</v>
      </c>
    </row>
    <row r="153" spans="1:20" x14ac:dyDescent="0.25">
      <c r="A153" s="5">
        <v>44440</v>
      </c>
      <c r="B153">
        <v>31</v>
      </c>
      <c r="C153">
        <v>33.270000000000003</v>
      </c>
      <c r="D153">
        <v>30.12</v>
      </c>
      <c r="E153">
        <v>33.07</v>
      </c>
      <c r="F153">
        <v>503196.15999999997</v>
      </c>
      <c r="G153">
        <v>33.07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0.87301587301587125</v>
      </c>
      <c r="Q153">
        <f t="shared" ref="Q153" si="741">F153*P153</f>
        <v>439298.23492063401</v>
      </c>
      <c r="R153">
        <f t="shared" ref="R153" si="742">R154+Q153</f>
        <v>-35581703.033225209</v>
      </c>
      <c r="S153">
        <f t="shared" ref="S153" si="743">R153/100000</f>
        <v>-355.8170303322521</v>
      </c>
      <c r="T153">
        <f t="shared" ref="T153" si="744">S153/1000</f>
        <v>-0.35581703033225209</v>
      </c>
    </row>
    <row r="154" spans="1:20" x14ac:dyDescent="0.25">
      <c r="A154" s="5">
        <v>44439</v>
      </c>
      <c r="B154">
        <v>30.54</v>
      </c>
      <c r="C154">
        <v>32.9</v>
      </c>
      <c r="D154">
        <v>29.95</v>
      </c>
      <c r="E154">
        <v>31</v>
      </c>
      <c r="F154">
        <v>482625.29</v>
      </c>
      <c r="G154">
        <v>31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-0.28813559322033833</v>
      </c>
      <c r="Q154">
        <f t="shared" ref="Q154" si="746">F154*P154</f>
        <v>-139061.52423728781</v>
      </c>
      <c r="R154">
        <f t="shared" ref="R154" si="747">R155+Q154</f>
        <v>-36021001.268145844</v>
      </c>
      <c r="S154">
        <f t="shared" ref="S154" si="748">R154/100000</f>
        <v>-360.21001268145847</v>
      </c>
      <c r="T154">
        <f t="shared" ref="T154" si="749">S154/1000</f>
        <v>-0.36021001268145847</v>
      </c>
    </row>
    <row r="155" spans="1:20" x14ac:dyDescent="0.25">
      <c r="A155" s="5">
        <v>44438</v>
      </c>
      <c r="B155">
        <v>31.39</v>
      </c>
      <c r="C155">
        <v>32.28</v>
      </c>
      <c r="D155">
        <v>29.515999999999998</v>
      </c>
      <c r="E155">
        <v>30.57</v>
      </c>
      <c r="F155">
        <v>441153.74200000003</v>
      </c>
      <c r="G155">
        <v>30.57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-0.23733719247467369</v>
      </c>
      <c r="Q155">
        <f t="shared" ref="Q155" si="751">F155*P155</f>
        <v>-104702.19057597655</v>
      </c>
      <c r="R155">
        <f t="shared" ref="R155" si="752">R156+Q155</f>
        <v>-35881939.743908554</v>
      </c>
      <c r="S155">
        <f t="shared" ref="S155" si="753">R155/100000</f>
        <v>-358.81939743908555</v>
      </c>
      <c r="T155">
        <f t="shared" ref="T155" si="754">S155/1000</f>
        <v>-0.35881939743908553</v>
      </c>
    </row>
    <row r="156" spans="1:20" x14ac:dyDescent="0.25">
      <c r="A156" s="5">
        <v>44437</v>
      </c>
      <c r="B156">
        <v>32.04</v>
      </c>
      <c r="C156">
        <v>32.49</v>
      </c>
      <c r="D156">
        <v>30.77</v>
      </c>
      <c r="E156">
        <v>31.34</v>
      </c>
      <c r="F156">
        <v>309904.929</v>
      </c>
      <c r="G156">
        <v>31.34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-0.33720930232558199</v>
      </c>
      <c r="Q156">
        <f t="shared" ref="Q156" si="756">F156*P156</f>
        <v>-104502.82489534903</v>
      </c>
      <c r="R156">
        <f t="shared" ref="R156" si="757">R157+Q156</f>
        <v>-35777237.553332575</v>
      </c>
      <c r="S156">
        <f t="shared" ref="S156" si="758">R156/100000</f>
        <v>-357.77237553332577</v>
      </c>
      <c r="T156">
        <f t="shared" ref="T156" si="759">S156/1000</f>
        <v>-0.35777237553332575</v>
      </c>
    </row>
    <row r="157" spans="1:20" x14ac:dyDescent="0.25">
      <c r="A157" s="5">
        <v>44436</v>
      </c>
      <c r="B157">
        <v>33.26</v>
      </c>
      <c r="C157">
        <v>33.770000000000003</v>
      </c>
      <c r="D157">
        <v>31.43</v>
      </c>
      <c r="E157">
        <v>32.04</v>
      </c>
      <c r="F157">
        <v>332162.87</v>
      </c>
      <c r="G157">
        <v>32.04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-0.47863247863247987</v>
      </c>
      <c r="Q157">
        <f t="shared" ref="Q157" si="761">F157*P157</f>
        <v>-158983.93777777819</v>
      </c>
      <c r="R157">
        <f t="shared" ref="R157" si="762">R158+Q157</f>
        <v>-35672734.728437223</v>
      </c>
      <c r="S157">
        <f t="shared" ref="S157" si="763">R157/100000</f>
        <v>-356.72734728437223</v>
      </c>
      <c r="T157">
        <f t="shared" ref="T157" si="764">S157/1000</f>
        <v>-0.35672734728437222</v>
      </c>
    </row>
    <row r="158" spans="1:20" x14ac:dyDescent="0.25">
      <c r="A158" s="5">
        <v>44435</v>
      </c>
      <c r="B158">
        <v>32.159999999999997</v>
      </c>
      <c r="C158">
        <v>33.49</v>
      </c>
      <c r="D158">
        <v>30.96</v>
      </c>
      <c r="E158">
        <v>33.26</v>
      </c>
      <c r="F158">
        <v>381858.64199999999</v>
      </c>
      <c r="G158">
        <v>33.26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0.81818181818181512</v>
      </c>
      <c r="Q158">
        <f t="shared" ref="Q158" si="766">F158*P158</f>
        <v>312429.79799999885</v>
      </c>
      <c r="R158">
        <f t="shared" ref="R158" si="767">R159+Q158</f>
        <v>-35513750.790659443</v>
      </c>
      <c r="S158">
        <f t="shared" ref="S158" si="768">R158/100000</f>
        <v>-355.13750790659441</v>
      </c>
      <c r="T158">
        <f t="shared" ref="T158" si="769">S158/1000</f>
        <v>-0.35513750790659443</v>
      </c>
    </row>
    <row r="159" spans="1:20" x14ac:dyDescent="0.25">
      <c r="A159" s="5">
        <v>44434</v>
      </c>
      <c r="B159">
        <v>34.786999999999999</v>
      </c>
      <c r="C159">
        <v>35.799999999999997</v>
      </c>
      <c r="D159">
        <v>31</v>
      </c>
      <c r="E159">
        <v>32.15</v>
      </c>
      <c r="F159">
        <v>484711.49400000001</v>
      </c>
      <c r="G159">
        <v>32.15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-0.52083333333333359</v>
      </c>
      <c r="Q159">
        <f t="shared" ref="Q159" si="771">F159*P159</f>
        <v>-252453.90312500013</v>
      </c>
      <c r="R159">
        <f t="shared" ref="R159" si="772">R160+Q159</f>
        <v>-35826180.588659443</v>
      </c>
      <c r="S159">
        <f t="shared" ref="S159" si="773">R159/100000</f>
        <v>-358.2618058865944</v>
      </c>
      <c r="T159">
        <f t="shared" ref="T159" si="774">S159/1000</f>
        <v>-0.3582618058865944</v>
      </c>
    </row>
    <row r="160" spans="1:20" x14ac:dyDescent="0.25">
      <c r="A160" s="5">
        <v>44433</v>
      </c>
      <c r="B160">
        <v>33.225000000000001</v>
      </c>
      <c r="C160">
        <v>35.134999999999998</v>
      </c>
      <c r="D160">
        <v>32.295000000000002</v>
      </c>
      <c r="E160">
        <v>34.753</v>
      </c>
      <c r="F160">
        <v>622583.27</v>
      </c>
      <c r="G160">
        <v>34.753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0.73098591549295888</v>
      </c>
      <c r="Q160">
        <f t="shared" ref="Q160" si="776">F160*P160</f>
        <v>455099.60159154999</v>
      </c>
      <c r="R160">
        <f t="shared" ref="R160" si="777">R161+Q160</f>
        <v>-35573726.68553444</v>
      </c>
      <c r="S160">
        <f t="shared" ref="S160" si="778">R160/100000</f>
        <v>-355.73726685534439</v>
      </c>
      <c r="T160">
        <f t="shared" ref="T160" si="779">S160/1000</f>
        <v>-0.3557372668553444</v>
      </c>
    </row>
    <row r="161" spans="1:20" x14ac:dyDescent="0.25">
      <c r="A161" s="5">
        <v>44432</v>
      </c>
      <c r="B161">
        <v>36.311</v>
      </c>
      <c r="C161">
        <v>36.716999999999999</v>
      </c>
      <c r="D161">
        <v>33.158000000000001</v>
      </c>
      <c r="E161">
        <v>33.225999999999999</v>
      </c>
      <c r="F161">
        <v>470307.22399999999</v>
      </c>
      <c r="G161">
        <v>33.225999999999999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-0.96178701882551398</v>
      </c>
      <c r="Q161">
        <f t="shared" ref="Q161" si="781">F161*P161</f>
        <v>-452335.3829030632</v>
      </c>
      <c r="R161">
        <f t="shared" ref="R161" si="782">R162+Q161</f>
        <v>-36028826.28712599</v>
      </c>
      <c r="S161">
        <f t="shared" ref="S161" si="783">R161/100000</f>
        <v>-360.28826287125992</v>
      </c>
      <c r="T161">
        <f t="shared" ref="T161" si="784">S161/1000</f>
        <v>-0.36028826287125992</v>
      </c>
    </row>
    <row r="162" spans="1:20" x14ac:dyDescent="0.25">
      <c r="A162" s="5">
        <v>44431</v>
      </c>
      <c r="B162">
        <v>34.698</v>
      </c>
      <c r="C162">
        <v>38.24</v>
      </c>
      <c r="D162">
        <v>34.402999999999999</v>
      </c>
      <c r="E162">
        <v>36.280999999999999</v>
      </c>
      <c r="F162">
        <v>726228.10800000001</v>
      </c>
      <c r="G162">
        <v>36.280999999999999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-2.1110242376857703E-2</v>
      </c>
      <c r="Q162">
        <f t="shared" ref="Q162" si="786">F162*P162</f>
        <v>-15330.851380766793</v>
      </c>
      <c r="R162">
        <f t="shared" ref="R162" si="787">R163+Q162</f>
        <v>-35576490.904222928</v>
      </c>
      <c r="S162">
        <f t="shared" ref="S162" si="788">R162/100000</f>
        <v>-355.76490904222931</v>
      </c>
      <c r="T162">
        <f t="shared" ref="T162" si="789">S162/1000</f>
        <v>-0.35576490904222929</v>
      </c>
    </row>
    <row r="163" spans="1:20" x14ac:dyDescent="0.25">
      <c r="A163" s="5">
        <v>44430</v>
      </c>
      <c r="B163">
        <v>35.052</v>
      </c>
      <c r="C163">
        <v>35.338999999999999</v>
      </c>
      <c r="D163">
        <v>34.417000000000002</v>
      </c>
      <c r="E163">
        <v>35.020000000000003</v>
      </c>
      <c r="F163">
        <v>87156.456000000006</v>
      </c>
      <c r="G163">
        <v>35.020000000000003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0.30802603036877108</v>
      </c>
      <c r="Q163">
        <f t="shared" ref="Q163" si="791">F163*P163</f>
        <v>26846.457162690462</v>
      </c>
      <c r="R163">
        <f t="shared" ref="R163" si="792">R164+Q163</f>
        <v>-35561160.052842163</v>
      </c>
      <c r="S163">
        <f t="shared" ref="S163" si="793">R163/100000</f>
        <v>-355.6116005284216</v>
      </c>
      <c r="T163">
        <f t="shared" ref="T163" si="794">S163/1000</f>
        <v>-0.35561160052842161</v>
      </c>
    </row>
    <row r="164" spans="1:20" x14ac:dyDescent="0.25">
      <c r="A164" s="5">
        <v>44429</v>
      </c>
      <c r="B164">
        <v>36.344999999999999</v>
      </c>
      <c r="C164">
        <v>36.456000000000003</v>
      </c>
      <c r="D164">
        <v>34.42</v>
      </c>
      <c r="E164">
        <v>35.024000000000001</v>
      </c>
      <c r="F164">
        <v>451985.32900000003</v>
      </c>
      <c r="G164">
        <v>35.024000000000001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-0.40667976424361613</v>
      </c>
      <c r="Q164">
        <f t="shared" ref="Q164" si="796">F164*P164</f>
        <v>-183813.2870392933</v>
      </c>
      <c r="R164">
        <f t="shared" ref="R164" si="797">R165+Q164</f>
        <v>-35588006.510004856</v>
      </c>
      <c r="S164">
        <f t="shared" ref="S164" si="798">R164/100000</f>
        <v>-355.88006510004857</v>
      </c>
      <c r="T164">
        <f t="shared" ref="T164" si="799">S164/1000</f>
        <v>-0.35588006510004855</v>
      </c>
    </row>
    <row r="165" spans="1:20" x14ac:dyDescent="0.25">
      <c r="A165" s="5">
        <v>44428</v>
      </c>
      <c r="B165">
        <v>36.591000000000001</v>
      </c>
      <c r="C165">
        <v>37.094000000000001</v>
      </c>
      <c r="D165">
        <v>35.200000000000003</v>
      </c>
      <c r="E165">
        <v>36.341000000000001</v>
      </c>
      <c r="F165">
        <v>407692.89899999998</v>
      </c>
      <c r="G165">
        <v>36.341000000000001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0.20485744456177321</v>
      </c>
      <c r="Q165">
        <f t="shared" ref="Q165" si="801">F165*P165</f>
        <v>83518.925455121105</v>
      </c>
      <c r="R165">
        <f t="shared" ref="R165" si="802">R166+Q165</f>
        <v>-35404193.222965561</v>
      </c>
      <c r="S165">
        <f t="shared" ref="S165" si="803">R165/100000</f>
        <v>-354.04193222965563</v>
      </c>
      <c r="T165">
        <f t="shared" ref="T165" si="804">S165/1000</f>
        <v>-0.35404193222965563</v>
      </c>
    </row>
    <row r="166" spans="1:20" x14ac:dyDescent="0.25">
      <c r="A166" s="5">
        <v>44427</v>
      </c>
      <c r="B166">
        <v>33.436</v>
      </c>
      <c r="C166">
        <v>36.637999999999998</v>
      </c>
      <c r="D166">
        <v>32.524999999999999</v>
      </c>
      <c r="E166">
        <v>36.628999999999998</v>
      </c>
      <c r="F166">
        <v>687662.43700000003</v>
      </c>
      <c r="G166">
        <v>36.628999999999998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0.99562363238512019</v>
      </c>
      <c r="Q166">
        <f t="shared" ref="Q166" si="806">F166*P166</f>
        <v>684652.97338074388</v>
      </c>
      <c r="R166">
        <f t="shared" ref="R166" si="807">R167+Q166</f>
        <v>-35487712.148420684</v>
      </c>
      <c r="S166">
        <f t="shared" ref="S166" si="808">R166/100000</f>
        <v>-354.87712148420684</v>
      </c>
      <c r="T166">
        <f t="shared" ref="T166" si="809">S166/1000</f>
        <v>-0.35487712148420686</v>
      </c>
    </row>
    <row r="167" spans="1:20" x14ac:dyDescent="0.25">
      <c r="A167" s="5">
        <v>44426</v>
      </c>
      <c r="B167">
        <v>33.869999999999997</v>
      </c>
      <c r="C167">
        <v>35.57</v>
      </c>
      <c r="D167">
        <v>32.534999999999997</v>
      </c>
      <c r="E167">
        <v>33.447000000000003</v>
      </c>
      <c r="F167">
        <v>717722.57</v>
      </c>
      <c r="G167">
        <v>33.447000000000003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-0.39901153212520263</v>
      </c>
      <c r="Q167">
        <f t="shared" ref="Q167" si="811">F167*P167</f>
        <v>-286379.58229653799</v>
      </c>
      <c r="R167">
        <f t="shared" ref="R167" si="812">R168+Q167</f>
        <v>-36172365.121801428</v>
      </c>
      <c r="S167">
        <f t="shared" ref="S167" si="813">R167/100000</f>
        <v>-361.72365121801431</v>
      </c>
      <c r="T167">
        <f t="shared" ref="T167" si="814">S167/1000</f>
        <v>-0.36172365121801431</v>
      </c>
    </row>
    <row r="168" spans="1:20" x14ac:dyDescent="0.25">
      <c r="A168" s="5">
        <v>44425</v>
      </c>
      <c r="B168">
        <v>36.645000000000003</v>
      </c>
      <c r="C168">
        <v>38.473999999999997</v>
      </c>
      <c r="D168">
        <v>33.773000000000003</v>
      </c>
      <c r="E168">
        <v>33.869</v>
      </c>
      <c r="F168">
        <v>740378.56599999999</v>
      </c>
      <c r="G168">
        <v>33.869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-0.95915762603701482</v>
      </c>
      <c r="Q168">
        <f t="shared" ref="Q168" si="816">F168*P168</f>
        <v>-710139.74773324933</v>
      </c>
      <c r="R168">
        <f t="shared" ref="R168" si="817">R169+Q168</f>
        <v>-35885985.539504893</v>
      </c>
      <c r="S168">
        <f t="shared" ref="S168" si="818">R168/100000</f>
        <v>-358.85985539504895</v>
      </c>
      <c r="T168">
        <f t="shared" ref="T168" si="819">S168/1000</f>
        <v>-0.35885985539504894</v>
      </c>
    </row>
    <row r="169" spans="1:20" x14ac:dyDescent="0.25">
      <c r="A169" s="5">
        <v>44424</v>
      </c>
      <c r="B169">
        <v>37.984999999999999</v>
      </c>
      <c r="C169">
        <v>39.896999999999998</v>
      </c>
      <c r="D169">
        <v>36.328000000000003</v>
      </c>
      <c r="E169">
        <v>36.692999999999998</v>
      </c>
      <c r="F169">
        <v>906965.07</v>
      </c>
      <c r="G169">
        <v>36.692999999999998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-0.79546091342112901</v>
      </c>
      <c r="Q169">
        <f t="shared" ref="Q169" si="821">F169*P169</f>
        <v>-721455.26302325819</v>
      </c>
      <c r="R169">
        <f t="shared" ref="R169" si="822">R170+Q169</f>
        <v>-35175845.791771643</v>
      </c>
      <c r="S169">
        <f t="shared" ref="S169" si="823">R169/100000</f>
        <v>-351.75845791771644</v>
      </c>
      <c r="T169">
        <f t="shared" ref="T169" si="824">S169/1000</f>
        <v>-0.35175845791771643</v>
      </c>
    </row>
    <row r="170" spans="1:20" x14ac:dyDescent="0.25">
      <c r="A170" s="5">
        <v>44423</v>
      </c>
      <c r="B170">
        <v>37.848999999999997</v>
      </c>
      <c r="C170">
        <v>38.439</v>
      </c>
      <c r="D170">
        <v>34.898000000000003</v>
      </c>
      <c r="E170">
        <v>37.984000000000002</v>
      </c>
      <c r="F170">
        <v>751006.89399999997</v>
      </c>
      <c r="G170">
        <v>37.984000000000002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0.74301044902569968</v>
      </c>
      <c r="Q170">
        <f t="shared" ref="Q170" si="826">F170*P170</f>
        <v>558005.96953233599</v>
      </c>
      <c r="R170">
        <f t="shared" ref="R170" si="827">R171+Q170</f>
        <v>-34454390.528748386</v>
      </c>
      <c r="S170">
        <f t="shared" ref="S170" si="828">R170/100000</f>
        <v>-344.54390528748388</v>
      </c>
      <c r="T170">
        <f t="shared" ref="T170" si="829">S170/1000</f>
        <v>-0.34454390528748385</v>
      </c>
    </row>
    <row r="171" spans="1:20" x14ac:dyDescent="0.25">
      <c r="A171" s="5">
        <v>44422</v>
      </c>
      <c r="B171">
        <v>36.485999999999997</v>
      </c>
      <c r="C171">
        <v>39.768999999999998</v>
      </c>
      <c r="D171">
        <v>35.451999999999998</v>
      </c>
      <c r="E171">
        <v>37.85</v>
      </c>
      <c r="F171">
        <v>1436749.4550000001</v>
      </c>
      <c r="G171">
        <v>37.85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0.11095668288163221</v>
      </c>
      <c r="Q171">
        <f t="shared" ref="Q171" si="831">F171*P171</f>
        <v>159416.95365879292</v>
      </c>
      <c r="R171">
        <f t="shared" ref="R171" si="832">R172+Q171</f>
        <v>-35012396.498280719</v>
      </c>
      <c r="S171">
        <f t="shared" ref="S171" si="833">R171/100000</f>
        <v>-350.12396498280719</v>
      </c>
      <c r="T171">
        <f t="shared" ref="T171" si="834">S171/1000</f>
        <v>-0.35012396498280718</v>
      </c>
    </row>
    <row r="172" spans="1:20" x14ac:dyDescent="0.25">
      <c r="A172" s="5">
        <v>44421</v>
      </c>
      <c r="B172">
        <v>31.134</v>
      </c>
      <c r="C172">
        <v>36.746000000000002</v>
      </c>
      <c r="D172">
        <v>30.969000000000001</v>
      </c>
      <c r="E172">
        <v>36.453000000000003</v>
      </c>
      <c r="F172">
        <v>908879.79399999999</v>
      </c>
      <c r="G172">
        <v>36.453000000000003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0.89856326813224885</v>
      </c>
      <c r="Q172">
        <f t="shared" ref="Q172" si="836">F172*P172</f>
        <v>816685.99803600507</v>
      </c>
      <c r="R172">
        <f t="shared" ref="R172" si="837">R173+Q172</f>
        <v>-35171813.451939508</v>
      </c>
      <c r="S172">
        <f t="shared" ref="S172" si="838">R172/100000</f>
        <v>-351.71813451939511</v>
      </c>
      <c r="T172">
        <f t="shared" ref="T172" si="839">S172/1000</f>
        <v>-0.3517181345193951</v>
      </c>
    </row>
    <row r="173" spans="1:20" x14ac:dyDescent="0.25">
      <c r="A173" s="5">
        <v>44420</v>
      </c>
      <c r="B173">
        <v>32.536000000000001</v>
      </c>
      <c r="C173">
        <v>34.549999999999997</v>
      </c>
      <c r="D173">
        <v>30.334</v>
      </c>
      <c r="E173">
        <v>31.155999999999999</v>
      </c>
      <c r="F173">
        <v>1071602.5249999999</v>
      </c>
      <c r="G173">
        <v>31.155999999999999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-0.61005692599620509</v>
      </c>
      <c r="Q173">
        <f t="shared" ref="Q173" si="841">F173*P173</f>
        <v>-653738.5422912715</v>
      </c>
      <c r="R173">
        <f t="shared" ref="R173" si="842">R174+Q173</f>
        <v>-35988499.449975513</v>
      </c>
      <c r="S173">
        <f t="shared" ref="S173" si="843">R173/100000</f>
        <v>-359.88499449975512</v>
      </c>
      <c r="T173">
        <f t="shared" ref="T173" si="844">S173/1000</f>
        <v>-0.35988499449975514</v>
      </c>
    </row>
    <row r="174" spans="1:20" x14ac:dyDescent="0.25">
      <c r="A174" s="5">
        <v>44419</v>
      </c>
      <c r="B174">
        <v>31.234000000000002</v>
      </c>
      <c r="C174">
        <v>35</v>
      </c>
      <c r="D174">
        <v>31.187999999999999</v>
      </c>
      <c r="E174">
        <v>32.506</v>
      </c>
      <c r="F174">
        <v>1047765.117</v>
      </c>
      <c r="G174">
        <v>32.506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-0.30849947534102778</v>
      </c>
      <c r="Q174">
        <f t="shared" ref="Q174" si="846">F174*P174</f>
        <v>-323234.9888751306</v>
      </c>
      <c r="R174">
        <f t="shared" ref="R174" si="847">R175+Q174</f>
        <v>-35334760.907684244</v>
      </c>
      <c r="S174">
        <f t="shared" ref="S174" si="848">R174/100000</f>
        <v>-353.34760907684245</v>
      </c>
      <c r="T174">
        <f t="shared" ref="T174" si="849">S174/1000</f>
        <v>-0.35334760907684243</v>
      </c>
    </row>
    <row r="175" spans="1:20" x14ac:dyDescent="0.25">
      <c r="A175" s="5">
        <v>44418</v>
      </c>
      <c r="B175">
        <v>31.199000000000002</v>
      </c>
      <c r="C175">
        <v>32.69</v>
      </c>
      <c r="D175">
        <v>30.236999999999998</v>
      </c>
      <c r="E175">
        <v>31.190999999999999</v>
      </c>
      <c r="F175">
        <v>589001.38899999997</v>
      </c>
      <c r="G175">
        <v>31.190999999999999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-0.22217692621279994</v>
      </c>
      <c r="Q175">
        <f t="shared" ref="Q175" si="851">F175*P175</f>
        <v>-130862.51814308966</v>
      </c>
      <c r="R175">
        <f t="shared" ref="R175" si="852">R176+Q175</f>
        <v>-35011525.918809116</v>
      </c>
      <c r="S175">
        <f t="shared" ref="S175" si="853">R175/100000</f>
        <v>-350.11525918809116</v>
      </c>
      <c r="T175">
        <f t="shared" ref="T175" si="854">S175/1000</f>
        <v>-0.35011525918809117</v>
      </c>
    </row>
    <row r="176" spans="1:20" x14ac:dyDescent="0.25">
      <c r="A176" s="5">
        <v>44417</v>
      </c>
      <c r="B176">
        <v>30.204999999999998</v>
      </c>
      <c r="C176">
        <v>33</v>
      </c>
      <c r="D176">
        <v>29</v>
      </c>
      <c r="E176">
        <v>31.2</v>
      </c>
      <c r="F176">
        <v>827077.92</v>
      </c>
      <c r="G176">
        <v>31.2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9.9999999999999645E-2</v>
      </c>
      <c r="Q176">
        <f t="shared" ref="Q176" si="856">F176*P176</f>
        <v>82707.79199999971</v>
      </c>
      <c r="R176">
        <f t="shared" ref="R176" si="857">R177+Q176</f>
        <v>-34880663.400666028</v>
      </c>
      <c r="S176">
        <f t="shared" ref="S176" si="858">R176/100000</f>
        <v>-348.80663400666026</v>
      </c>
      <c r="T176">
        <f t="shared" ref="T176" si="859">S176/1000</f>
        <v>-0.34880663400666029</v>
      </c>
    </row>
    <row r="177" spans="1:20" x14ac:dyDescent="0.25">
      <c r="A177" s="5">
        <v>44416</v>
      </c>
      <c r="B177">
        <v>33.988999999999997</v>
      </c>
      <c r="C177">
        <v>34.409999999999997</v>
      </c>
      <c r="D177">
        <v>29.218</v>
      </c>
      <c r="E177">
        <v>30.19</v>
      </c>
      <c r="F177">
        <v>998251.29200000002</v>
      </c>
      <c r="G177">
        <v>30.19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-0.62557781201848928</v>
      </c>
      <c r="Q177">
        <f t="shared" ref="Q177" si="861">F177*P177</f>
        <v>-624483.85909399006</v>
      </c>
      <c r="R177">
        <f t="shared" ref="R177" si="862">R178+Q177</f>
        <v>-34963371.192666031</v>
      </c>
      <c r="S177">
        <f t="shared" ref="S177" si="863">R177/100000</f>
        <v>-349.63371192666034</v>
      </c>
      <c r="T177">
        <f t="shared" ref="T177" si="864">S177/1000</f>
        <v>-0.34963371192666032</v>
      </c>
    </row>
    <row r="178" spans="1:20" x14ac:dyDescent="0.25">
      <c r="A178" s="5">
        <v>44415</v>
      </c>
      <c r="B178">
        <v>29.367999999999999</v>
      </c>
      <c r="C178">
        <v>35</v>
      </c>
      <c r="D178">
        <v>29.03</v>
      </c>
      <c r="E178">
        <v>33.981000000000002</v>
      </c>
      <c r="F178">
        <v>1497987.4979999999</v>
      </c>
      <c r="G178">
        <v>33.981000000000002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0.65862646566164207</v>
      </c>
      <c r="Q178">
        <f t="shared" ref="Q178" si="866">F178*P178</f>
        <v>986614.21141306602</v>
      </c>
      <c r="R178">
        <f t="shared" ref="R178" si="867">R179+Q178</f>
        <v>-34338887.333572045</v>
      </c>
      <c r="S178">
        <f t="shared" ref="S178" si="868">R178/100000</f>
        <v>-343.38887333572046</v>
      </c>
      <c r="T178">
        <f t="shared" ref="T178" si="869">S178/1000</f>
        <v>-0.34338887333572043</v>
      </c>
    </row>
    <row r="179" spans="1:20" x14ac:dyDescent="0.25">
      <c r="A179" s="5">
        <v>44414</v>
      </c>
      <c r="B179">
        <v>28.324999999999999</v>
      </c>
      <c r="C179">
        <v>31.484000000000002</v>
      </c>
      <c r="D179">
        <v>27.3</v>
      </c>
      <c r="E179">
        <v>29.367999999999999</v>
      </c>
      <c r="F179">
        <v>822035.62300000002</v>
      </c>
      <c r="G179">
        <v>29.367999999999999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-1.1472275334609311E-2</v>
      </c>
      <c r="Q179">
        <f t="shared" ref="Q179" si="871">F179*P179</f>
        <v>-9430.6190019130991</v>
      </c>
      <c r="R179">
        <f t="shared" ref="R179" si="872">R180+Q179</f>
        <v>-35325501.544985108</v>
      </c>
      <c r="S179">
        <f t="shared" ref="S179" si="873">R179/100000</f>
        <v>-353.2550154498511</v>
      </c>
      <c r="T179">
        <f t="shared" ref="T179" si="874">S179/1000</f>
        <v>-0.35325501544985111</v>
      </c>
    </row>
    <row r="180" spans="1:20" x14ac:dyDescent="0.25">
      <c r="A180" s="5">
        <v>44413</v>
      </c>
      <c r="B180">
        <v>27.706</v>
      </c>
      <c r="C180">
        <v>28.5</v>
      </c>
      <c r="D180">
        <v>26.6</v>
      </c>
      <c r="E180">
        <v>28.318999999999999</v>
      </c>
      <c r="F180">
        <v>591679.43799999997</v>
      </c>
      <c r="G180">
        <v>28.318999999999999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0.80947368421052524</v>
      </c>
      <c r="Q180">
        <f t="shared" ref="Q180" si="876">F180*P180</f>
        <v>478948.93454947299</v>
      </c>
      <c r="R180">
        <f t="shared" ref="R180" si="877">R181+Q180</f>
        <v>-35316070.925983198</v>
      </c>
      <c r="S180">
        <f t="shared" ref="S180" si="878">R180/100000</f>
        <v>-353.160709259832</v>
      </c>
      <c r="T180">
        <f t="shared" ref="T180" si="879">S180/1000</f>
        <v>-0.35316070925983201</v>
      </c>
    </row>
    <row r="181" spans="1:20" x14ac:dyDescent="0.25">
      <c r="A181" s="5">
        <v>44412</v>
      </c>
      <c r="B181">
        <v>27.22</v>
      </c>
      <c r="C181">
        <v>28.704000000000001</v>
      </c>
      <c r="D181">
        <v>26.443000000000001</v>
      </c>
      <c r="E181">
        <v>27.713000000000001</v>
      </c>
      <c r="F181">
        <v>509508.46399999998</v>
      </c>
      <c r="G181">
        <v>27.713000000000001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0.12339672711189739</v>
      </c>
      <c r="Q181">
        <f t="shared" ref="Q181" si="881">F181*P181</f>
        <v>62871.676893409996</v>
      </c>
      <c r="R181">
        <f t="shared" ref="R181" si="882">R182+Q181</f>
        <v>-35795019.860532671</v>
      </c>
      <c r="S181">
        <f t="shared" ref="S181" si="883">R181/100000</f>
        <v>-357.9501986053267</v>
      </c>
      <c r="T181">
        <f t="shared" ref="T181" si="884">S181/1000</f>
        <v>-0.35795019860532673</v>
      </c>
    </row>
    <row r="182" spans="1:20" x14ac:dyDescent="0.25">
      <c r="A182" s="5">
        <v>44411</v>
      </c>
      <c r="B182">
        <v>27.800999999999998</v>
      </c>
      <c r="C182">
        <v>28.254000000000001</v>
      </c>
      <c r="D182">
        <v>26.21</v>
      </c>
      <c r="E182">
        <v>27.233000000000001</v>
      </c>
      <c r="F182">
        <v>508791.95199999999</v>
      </c>
      <c r="G182">
        <v>27.233000000000001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9.7847358121276465E-4</v>
      </c>
      <c r="Q182">
        <f t="shared" ref="Q182" si="886">F182*P182</f>
        <v>497.83948336567306</v>
      </c>
      <c r="R182">
        <f t="shared" ref="R182" si="887">R183+Q182</f>
        <v>-35857891.537426084</v>
      </c>
      <c r="S182">
        <f t="shared" ref="S182" si="888">R182/100000</f>
        <v>-358.57891537426082</v>
      </c>
      <c r="T182">
        <f t="shared" ref="T182" si="889">S182/1000</f>
        <v>-0.35857891537426084</v>
      </c>
    </row>
    <row r="183" spans="1:20" x14ac:dyDescent="0.25">
      <c r="A183" s="5">
        <v>44410</v>
      </c>
      <c r="B183">
        <v>27.556000000000001</v>
      </c>
      <c r="C183">
        <v>29.609000000000002</v>
      </c>
      <c r="D183">
        <v>26.529</v>
      </c>
      <c r="E183">
        <v>27.798999999999999</v>
      </c>
      <c r="F183">
        <v>656223.27899999998</v>
      </c>
      <c r="G183">
        <v>27.798999999999999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-0.1753246753246761</v>
      </c>
      <c r="Q183">
        <f t="shared" ref="Q183" si="891">F183*P183</f>
        <v>-115052.13333116935</v>
      </c>
      <c r="R183">
        <f t="shared" ref="R183" si="892">R184+Q183</f>
        <v>-35858389.37690945</v>
      </c>
      <c r="S183">
        <f t="shared" ref="S183" si="893">R183/100000</f>
        <v>-358.58389376909452</v>
      </c>
      <c r="T183">
        <f t="shared" ref="T183" si="894">S183/1000</f>
        <v>-0.3585838937690945</v>
      </c>
    </row>
    <row r="184" spans="1:20" x14ac:dyDescent="0.25">
      <c r="A184" s="5">
        <v>44409</v>
      </c>
      <c r="B184">
        <v>29.780999999999999</v>
      </c>
      <c r="C184">
        <v>32.363999999999997</v>
      </c>
      <c r="D184">
        <v>27.376000000000001</v>
      </c>
      <c r="E184">
        <v>27.568999999999999</v>
      </c>
      <c r="F184">
        <v>1182832.6189999999</v>
      </c>
      <c r="G184">
        <v>27.568999999999999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-0.92261427425822051</v>
      </c>
      <c r="Q184">
        <f t="shared" ref="Q184" si="896">F184*P184</f>
        <v>-1091298.2583476352</v>
      </c>
      <c r="R184">
        <f t="shared" ref="R184" si="897">R185+Q184</f>
        <v>-35743337.243578278</v>
      </c>
      <c r="S184">
        <f t="shared" ref="S184" si="898">R184/100000</f>
        <v>-357.43337243578276</v>
      </c>
      <c r="T184">
        <f t="shared" ref="T184" si="899">S184/1000</f>
        <v>-0.35743337243578277</v>
      </c>
    </row>
    <row r="185" spans="1:20" x14ac:dyDescent="0.25">
      <c r="A185" s="5">
        <v>44408</v>
      </c>
      <c r="B185">
        <v>27.588999999999999</v>
      </c>
      <c r="C185">
        <v>30.85</v>
      </c>
      <c r="D185">
        <v>26.488</v>
      </c>
      <c r="E185">
        <v>29.780999999999999</v>
      </c>
      <c r="F185">
        <v>1256043.257</v>
      </c>
      <c r="G185">
        <v>29.780999999999999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0.50985786336542771</v>
      </c>
      <c r="Q185">
        <f t="shared" ref="Q185" si="901">F185*P185</f>
        <v>640403.53130857274</v>
      </c>
      <c r="R185">
        <f t="shared" ref="R185" si="902">R186+Q185</f>
        <v>-34652038.98523064</v>
      </c>
      <c r="S185">
        <f t="shared" ref="S185" si="903">R185/100000</f>
        <v>-346.52038985230638</v>
      </c>
      <c r="T185">
        <f t="shared" ref="T185" si="904">S185/1000</f>
        <v>-0.34652038985230638</v>
      </c>
    </row>
    <row r="186" spans="1:20" x14ac:dyDescent="0.25">
      <c r="A186" s="5">
        <v>44407</v>
      </c>
      <c r="B186">
        <v>26.62</v>
      </c>
      <c r="C186">
        <v>27.61</v>
      </c>
      <c r="D186">
        <v>24.286000000000001</v>
      </c>
      <c r="E186">
        <v>27.567</v>
      </c>
      <c r="F186">
        <v>691625.25699999998</v>
      </c>
      <c r="G186">
        <v>27.567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0.97412755716004862</v>
      </c>
      <c r="Q186">
        <f t="shared" ref="Q186" si="906">F186*P186</f>
        <v>673731.22207160085</v>
      </c>
      <c r="R186">
        <f t="shared" ref="R186" si="907">R187+Q186</f>
        <v>-35292442.516539209</v>
      </c>
      <c r="S186">
        <f t="shared" ref="S186" si="908">R186/100000</f>
        <v>-352.92442516539211</v>
      </c>
      <c r="T186">
        <f t="shared" ref="T186" si="909">S186/1000</f>
        <v>-0.35292442516539213</v>
      </c>
    </row>
    <row r="187" spans="1:20" x14ac:dyDescent="0.25">
      <c r="A187" s="5">
        <v>44406</v>
      </c>
      <c r="B187">
        <v>26.634</v>
      </c>
      <c r="C187">
        <v>28.439</v>
      </c>
      <c r="D187">
        <v>25</v>
      </c>
      <c r="E187">
        <v>26.587</v>
      </c>
      <c r="F187">
        <v>935319.26800000004</v>
      </c>
      <c r="G187">
        <v>26.587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-7.7057284094213599E-2</v>
      </c>
      <c r="Q187">
        <f t="shared" ref="Q187" si="911">F187*P187</f>
        <v>-72073.162553067916</v>
      </c>
      <c r="R187">
        <f t="shared" ref="R187" si="912">R188+Q187</f>
        <v>-35966173.738610812</v>
      </c>
      <c r="S187">
        <f t="shared" ref="S187" si="913">R187/100000</f>
        <v>-359.66173738610814</v>
      </c>
      <c r="T187">
        <f t="shared" ref="T187" si="914">S187/1000</f>
        <v>-0.35966173738610813</v>
      </c>
    </row>
    <row r="188" spans="1:20" x14ac:dyDescent="0.25">
      <c r="A188" s="5">
        <v>44405</v>
      </c>
      <c r="B188">
        <v>27.452999999999999</v>
      </c>
      <c r="C188">
        <v>29.109000000000002</v>
      </c>
      <c r="D188">
        <v>25.75</v>
      </c>
      <c r="E188">
        <v>26.632999999999999</v>
      </c>
      <c r="F188">
        <v>1307669.371</v>
      </c>
      <c r="G188">
        <v>26.632999999999999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-0.47424828818100706</v>
      </c>
      <c r="Q188">
        <f t="shared" ref="Q188" si="916">F188*P188</f>
        <v>-620159.96070348425</v>
      </c>
      <c r="R188">
        <f t="shared" ref="R188" si="917">R189+Q188</f>
        <v>-35894100.576057747</v>
      </c>
      <c r="S188">
        <f t="shared" ref="S188" si="918">R188/100000</f>
        <v>-358.94100576057747</v>
      </c>
      <c r="T188">
        <f t="shared" ref="T188" si="919">S188/1000</f>
        <v>-0.35894100576057747</v>
      </c>
    </row>
    <row r="189" spans="1:20" x14ac:dyDescent="0.25">
      <c r="A189" s="5">
        <v>44404</v>
      </c>
      <c r="B189">
        <v>25.346</v>
      </c>
      <c r="C189">
        <v>29.8</v>
      </c>
      <c r="D189">
        <v>23.585999999999999</v>
      </c>
      <c r="E189">
        <v>27.414999999999999</v>
      </c>
      <c r="F189">
        <v>3755857.5419999999</v>
      </c>
      <c r="G189">
        <v>27.414999999999999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0.2323785001609267</v>
      </c>
      <c r="Q189">
        <f t="shared" ref="Q189" si="921">F189*P189</f>
        <v>872780.54242806474</v>
      </c>
      <c r="R189">
        <f t="shared" ref="R189" si="922">R190+Q189</f>
        <v>-35273940.615354262</v>
      </c>
      <c r="S189">
        <f t="shared" ref="S189" si="923">R189/100000</f>
        <v>-352.73940615354263</v>
      </c>
      <c r="T189">
        <f t="shared" ref="T189" si="924">S189/1000</f>
        <v>-0.35273940615354266</v>
      </c>
    </row>
    <row r="190" spans="1:20" x14ac:dyDescent="0.25">
      <c r="A190" s="5">
        <v>44403</v>
      </c>
      <c r="B190">
        <v>18.349</v>
      </c>
      <c r="C190">
        <v>32.18</v>
      </c>
      <c r="D190">
        <v>18.254999999999999</v>
      </c>
      <c r="E190">
        <v>25.321999999999999</v>
      </c>
      <c r="F190">
        <v>6036532.2010000004</v>
      </c>
      <c r="G190">
        <v>25.321999999999999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1.5008976660682198E-2</v>
      </c>
      <c r="Q190">
        <f t="shared" ref="Q190" si="926">F190*P190</f>
        <v>90602.170916265546</v>
      </c>
      <c r="R190">
        <f t="shared" ref="R190" si="927">R191+Q190</f>
        <v>-36146721.157782324</v>
      </c>
      <c r="S190">
        <f t="shared" ref="S190" si="928">R190/100000</f>
        <v>-361.46721157782326</v>
      </c>
      <c r="T190">
        <f t="shared" ref="T190" si="929">S190/1000</f>
        <v>-0.36146721157782324</v>
      </c>
    </row>
    <row r="191" spans="1:20" x14ac:dyDescent="0.25">
      <c r="A191" s="5">
        <v>44402</v>
      </c>
      <c r="B191">
        <v>17.501999999999999</v>
      </c>
      <c r="C191">
        <v>18.350000000000001</v>
      </c>
      <c r="D191">
        <v>17.100000000000001</v>
      </c>
      <c r="E191">
        <v>18.349</v>
      </c>
      <c r="F191">
        <v>465062.739</v>
      </c>
      <c r="G191">
        <v>18.349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0.99839999999999807</v>
      </c>
      <c r="Q191">
        <f t="shared" ref="Q191" si="931">F191*P191</f>
        <v>464318.63861759909</v>
      </c>
      <c r="R191">
        <f t="shared" ref="R191" si="932">R192+Q191</f>
        <v>-36237323.32869859</v>
      </c>
      <c r="S191">
        <f t="shared" ref="S191" si="933">R191/100000</f>
        <v>-362.37323328698591</v>
      </c>
      <c r="T191">
        <f t="shared" ref="T191:T197" si="934">S191/1000</f>
        <v>-0.3623732332869859</v>
      </c>
    </row>
    <row r="192" spans="1:20" x14ac:dyDescent="0.25">
      <c r="A192" s="5">
        <v>44401</v>
      </c>
      <c r="B192">
        <v>17.146999999999998</v>
      </c>
      <c r="C192">
        <v>18.399999999999999</v>
      </c>
      <c r="D192">
        <v>16.616</v>
      </c>
      <c r="E192">
        <v>17.501999999999999</v>
      </c>
      <c r="F192">
        <v>487797.05</v>
      </c>
      <c r="G192">
        <v>17.501999999999999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-6.7264573991033978E-3</v>
      </c>
      <c r="Q192">
        <f t="shared" ref="Q192" si="936">F192*P192</f>
        <v>-3281.1460762333099</v>
      </c>
      <c r="R192">
        <f t="shared" ref="R192" si="937">R193+Q192</f>
        <v>-36701641.967316188</v>
      </c>
      <c r="S192">
        <f t="shared" ref="S192" si="938">R192/100000</f>
        <v>-367.01641967316186</v>
      </c>
      <c r="T192">
        <f t="shared" si="934"/>
        <v>-0.36701641967316184</v>
      </c>
    </row>
    <row r="193" spans="1:20" x14ac:dyDescent="0.25">
      <c r="A193" s="5">
        <v>44400</v>
      </c>
      <c r="B193">
        <v>16.841000000000001</v>
      </c>
      <c r="C193">
        <v>17.32</v>
      </c>
      <c r="D193">
        <v>15.829000000000001</v>
      </c>
      <c r="E193">
        <v>17.111999999999998</v>
      </c>
      <c r="F193">
        <v>331147.36099999998</v>
      </c>
      <c r="G193">
        <v>17.111999999999998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0.72099262240107043</v>
      </c>
      <c r="Q193">
        <f t="shared" ref="Q193" si="940">F193*P193</f>
        <v>238754.80420858393</v>
      </c>
      <c r="R193">
        <f t="shared" ref="R193" si="941">R194+Q193</f>
        <v>-36698360.821239956</v>
      </c>
      <c r="S193">
        <f t="shared" ref="S193" si="942">R193/100000</f>
        <v>-366.98360821239953</v>
      </c>
      <c r="T193">
        <f t="shared" si="934"/>
        <v>-0.3669836082123995</v>
      </c>
    </row>
    <row r="194" spans="1:20" x14ac:dyDescent="0.25">
      <c r="A194" s="5">
        <v>44399</v>
      </c>
      <c r="B194">
        <v>16.268000000000001</v>
      </c>
      <c r="C194">
        <v>17.45</v>
      </c>
      <c r="D194">
        <v>15.691000000000001</v>
      </c>
      <c r="E194">
        <v>16.811</v>
      </c>
      <c r="F194">
        <v>343376.685</v>
      </c>
      <c r="G194">
        <v>16.811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0.27345082433200696</v>
      </c>
      <c r="Q194">
        <f t="shared" ref="Q194" si="944">F194*P194</f>
        <v>93896.637569641884</v>
      </c>
      <c r="R194">
        <f t="shared" ref="R194" si="945">R195+Q194</f>
        <v>-36937115.62544854</v>
      </c>
      <c r="S194">
        <f t="shared" ref="S194" si="946">R194/100000</f>
        <v>-369.37115625448541</v>
      </c>
      <c r="T194">
        <f t="shared" si="934"/>
        <v>-0.36937115625448541</v>
      </c>
    </row>
    <row r="195" spans="1:20" x14ac:dyDescent="0.25">
      <c r="A195" s="5">
        <v>44398</v>
      </c>
      <c r="B195">
        <v>14.513999999999999</v>
      </c>
      <c r="C195">
        <v>16.849</v>
      </c>
      <c r="D195">
        <v>14.105</v>
      </c>
      <c r="E195">
        <v>16.234000000000002</v>
      </c>
      <c r="F195">
        <v>405325.13699999999</v>
      </c>
      <c r="G195">
        <v>16.234000000000002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0.55174927113702732</v>
      </c>
      <c r="Q195">
        <f t="shared" ref="Q195" si="948">F195*P195</f>
        <v>223637.84891326574</v>
      </c>
      <c r="R195">
        <f t="shared" ref="R195" si="949">R196+Q195</f>
        <v>-37031012.263018183</v>
      </c>
      <c r="S195">
        <f t="shared" ref="S195" si="950">R195/100000</f>
        <v>-370.31012263018181</v>
      </c>
      <c r="T195">
        <f t="shared" si="934"/>
        <v>-0.37031012263018181</v>
      </c>
    </row>
    <row r="196" spans="1:20" x14ac:dyDescent="0.25">
      <c r="A196" s="5">
        <v>44397</v>
      </c>
      <c r="B196">
        <v>15.055</v>
      </c>
      <c r="C196">
        <v>15.28</v>
      </c>
      <c r="D196">
        <v>13.363</v>
      </c>
      <c r="E196">
        <v>14.525</v>
      </c>
      <c r="F196">
        <v>503907.87900000002</v>
      </c>
      <c r="G196">
        <v>14.525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0.2123109024517485</v>
      </c>
      <c r="Q196">
        <f t="shared" ref="Q196" si="952">F196*P196</f>
        <v>106985.13654303648</v>
      </c>
      <c r="R196">
        <f t="shared" ref="R196" si="953">R197+Q196</f>
        <v>-37254650.111931451</v>
      </c>
      <c r="S196">
        <f t="shared" ref="S196" si="954">R196/100000</f>
        <v>-372.54650111931448</v>
      </c>
      <c r="T196">
        <f t="shared" si="934"/>
        <v>-0.37254650111931448</v>
      </c>
    </row>
    <row r="197" spans="1:20" x14ac:dyDescent="0.25">
      <c r="A197" s="5">
        <v>44396</v>
      </c>
      <c r="B197">
        <v>16.550999999999998</v>
      </c>
      <c r="C197">
        <v>16.587</v>
      </c>
      <c r="D197">
        <v>14.757999999999999</v>
      </c>
      <c r="E197">
        <v>15.025</v>
      </c>
      <c r="F197">
        <v>370209.14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-0.70803717878622074</v>
      </c>
      <c r="Q197">
        <f t="shared" ref="Q197" si="956">F197*P197</f>
        <v>-262121.83504647305</v>
      </c>
      <c r="R197">
        <f t="shared" ref="R197" si="957">R198+Q197</f>
        <v>-37361635.248474486</v>
      </c>
      <c r="S197">
        <f t="shared" ref="S197" si="958">R197/100000</f>
        <v>-373.61635248474488</v>
      </c>
      <c r="T197">
        <f t="shared" si="934"/>
        <v>-0.3736163524847449</v>
      </c>
    </row>
    <row r="198" spans="1:20" x14ac:dyDescent="0.25">
      <c r="A198" s="5">
        <v>44395</v>
      </c>
      <c r="B198">
        <v>15.968999999999999</v>
      </c>
      <c r="C198">
        <v>17.190000000000001</v>
      </c>
      <c r="D198">
        <v>15.801</v>
      </c>
      <c r="E198">
        <v>16.577999999999999</v>
      </c>
      <c r="F198">
        <v>329183.31300000002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0.11879049676025719</v>
      </c>
      <c r="Q198">
        <f t="shared" ref="Q198:Q261" si="960">F198*P198</f>
        <v>39103.849276457229</v>
      </c>
      <c r="R198">
        <f t="shared" ref="R198:R261" si="961">R199+Q198</f>
        <v>-37099513.413428016</v>
      </c>
      <c r="S198">
        <f t="shared" ref="S198:S261" si="962">R198/100000</f>
        <v>-370.99513413428014</v>
      </c>
      <c r="T198">
        <f t="shared" ref="T198:T261" si="963">S198/1000</f>
        <v>-0.37099513413428015</v>
      </c>
    </row>
    <row r="199" spans="1:20" x14ac:dyDescent="0.25">
      <c r="A199" s="5">
        <v>44394</v>
      </c>
      <c r="B199">
        <v>15.95</v>
      </c>
      <c r="C199">
        <v>16.245000000000001</v>
      </c>
      <c r="D199">
        <v>15.461</v>
      </c>
      <c r="E199">
        <v>15.957000000000001</v>
      </c>
      <c r="F199">
        <v>312204.43599999999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0.26530612244897961</v>
      </c>
      <c r="Q199">
        <f t="shared" si="960"/>
        <v>82829.748326530607</v>
      </c>
      <c r="R199">
        <f t="shared" si="961"/>
        <v>-37138617.262704477</v>
      </c>
      <c r="S199">
        <f t="shared" si="962"/>
        <v>-371.38617262704474</v>
      </c>
      <c r="T199">
        <f t="shared" si="963"/>
        <v>-0.37138617262704476</v>
      </c>
    </row>
    <row r="200" spans="1:20" x14ac:dyDescent="0.25">
      <c r="A200" s="5">
        <v>44393</v>
      </c>
      <c r="B200">
        <v>17.116</v>
      </c>
      <c r="C200">
        <v>17.341999999999999</v>
      </c>
      <c r="D200">
        <v>15.895</v>
      </c>
      <c r="E200">
        <v>15.93</v>
      </c>
      <c r="F200">
        <v>317152.36700000003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-0.95162404975811998</v>
      </c>
      <c r="Q200">
        <f t="shared" si="960"/>
        <v>-301809.81987491355</v>
      </c>
      <c r="R200">
        <f t="shared" si="961"/>
        <v>-37221447.011031009</v>
      </c>
      <c r="S200">
        <f t="shared" si="962"/>
        <v>-372.21447011031012</v>
      </c>
      <c r="T200">
        <f t="shared" si="963"/>
        <v>-0.37221447011031011</v>
      </c>
    </row>
    <row r="201" spans="1:20" x14ac:dyDescent="0.25">
      <c r="A201" s="5">
        <v>44392</v>
      </c>
      <c r="B201">
        <v>18.207000000000001</v>
      </c>
      <c r="C201">
        <v>18.539000000000001</v>
      </c>
      <c r="D201">
        <v>16.670000000000002</v>
      </c>
      <c r="E201">
        <v>17.100000000000001</v>
      </c>
      <c r="F201">
        <v>467346.924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-0.53986088817549516</v>
      </c>
      <c r="Q201">
        <f t="shared" si="960"/>
        <v>-252302.32547672564</v>
      </c>
      <c r="R201">
        <f t="shared" si="961"/>
        <v>-36919637.191156097</v>
      </c>
      <c r="S201">
        <f t="shared" si="962"/>
        <v>-369.19637191156096</v>
      </c>
      <c r="T201">
        <f t="shared" si="963"/>
        <v>-0.36919637191156096</v>
      </c>
    </row>
    <row r="202" spans="1:20" x14ac:dyDescent="0.25">
      <c r="A202" s="5">
        <v>44391</v>
      </c>
      <c r="B202">
        <v>18.157</v>
      </c>
      <c r="C202">
        <v>18.716000000000001</v>
      </c>
      <c r="D202">
        <v>16.728000000000002</v>
      </c>
      <c r="E202">
        <v>18.181000000000001</v>
      </c>
      <c r="F202">
        <v>444249.74800000002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0.46177062374245448</v>
      </c>
      <c r="Q202">
        <f t="shared" si="960"/>
        <v>205141.48323138824</v>
      </c>
      <c r="R202">
        <f t="shared" si="961"/>
        <v>-36667334.865679368</v>
      </c>
      <c r="S202">
        <f t="shared" si="962"/>
        <v>-366.67334865679368</v>
      </c>
      <c r="T202">
        <f t="shared" si="963"/>
        <v>-0.36667334865679369</v>
      </c>
    </row>
    <row r="203" spans="1:20" x14ac:dyDescent="0.25">
      <c r="A203" s="5">
        <v>44390</v>
      </c>
      <c r="B203">
        <v>18.632999999999999</v>
      </c>
      <c r="C203">
        <v>19.221</v>
      </c>
      <c r="D203">
        <v>18</v>
      </c>
      <c r="E203">
        <v>18.155999999999999</v>
      </c>
      <c r="F203">
        <v>311077.821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-0.74447174447174647</v>
      </c>
      <c r="Q203">
        <f t="shared" si="960"/>
        <v>-231588.64806633969</v>
      </c>
      <c r="R203">
        <f t="shared" si="961"/>
        <v>-36872476.348910756</v>
      </c>
      <c r="S203">
        <f t="shared" si="962"/>
        <v>-368.72476348910754</v>
      </c>
      <c r="T203">
        <f t="shared" si="963"/>
        <v>-0.36872476348910754</v>
      </c>
    </row>
    <row r="204" spans="1:20" x14ac:dyDescent="0.25">
      <c r="A204" s="5">
        <v>44389</v>
      </c>
      <c r="B204">
        <v>19.574000000000002</v>
      </c>
      <c r="C204">
        <v>20.14</v>
      </c>
      <c r="D204">
        <v>18.100000000000001</v>
      </c>
      <c r="E204">
        <v>18.606000000000002</v>
      </c>
      <c r="F204">
        <v>345854.77399999998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-0.50392156862745052</v>
      </c>
      <c r="Q204">
        <f t="shared" si="960"/>
        <v>-174283.68023137239</v>
      </c>
      <c r="R204">
        <f t="shared" si="961"/>
        <v>-36640887.700844415</v>
      </c>
      <c r="S204">
        <f t="shared" si="962"/>
        <v>-366.40887700844416</v>
      </c>
      <c r="T204">
        <f t="shared" si="963"/>
        <v>-0.36640887700844416</v>
      </c>
    </row>
    <row r="205" spans="1:20" x14ac:dyDescent="0.25">
      <c r="A205" s="5">
        <v>44388</v>
      </c>
      <c r="B205">
        <v>18.879000000000001</v>
      </c>
      <c r="C205">
        <v>20.114999999999998</v>
      </c>
      <c r="D205">
        <v>18.5</v>
      </c>
      <c r="E205">
        <v>19.571999999999999</v>
      </c>
      <c r="F205">
        <v>322777.79200000002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0.32755417956656374</v>
      </c>
      <c r="Q205">
        <f t="shared" si="960"/>
        <v>105727.21484086696</v>
      </c>
      <c r="R205">
        <f t="shared" si="961"/>
        <v>-36466604.020613045</v>
      </c>
      <c r="S205">
        <f t="shared" si="962"/>
        <v>-364.66604020613045</v>
      </c>
      <c r="T205">
        <f t="shared" si="963"/>
        <v>-0.36466604020613047</v>
      </c>
    </row>
    <row r="206" spans="1:20" x14ac:dyDescent="0.25">
      <c r="A206" s="5">
        <v>44387</v>
      </c>
      <c r="B206">
        <v>19.393999999999998</v>
      </c>
      <c r="C206">
        <v>19.739999999999998</v>
      </c>
      <c r="D206">
        <v>18.597000000000001</v>
      </c>
      <c r="E206">
        <v>18.88</v>
      </c>
      <c r="F206">
        <v>257443.35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-0.50481189851268871</v>
      </c>
      <c r="Q206">
        <f t="shared" si="960"/>
        <v>-129960.4662729666</v>
      </c>
      <c r="R206">
        <f t="shared" si="961"/>
        <v>-36572331.235453911</v>
      </c>
      <c r="S206">
        <f t="shared" si="962"/>
        <v>-365.72331235453913</v>
      </c>
      <c r="T206">
        <f t="shared" si="963"/>
        <v>-0.36572331235453914</v>
      </c>
    </row>
    <row r="207" spans="1:20" x14ac:dyDescent="0.25">
      <c r="A207" s="5">
        <v>44386</v>
      </c>
      <c r="B207">
        <v>18.923999999999999</v>
      </c>
      <c r="C207">
        <v>19.701000000000001</v>
      </c>
      <c r="D207">
        <v>18.25</v>
      </c>
      <c r="E207">
        <v>19.376000000000001</v>
      </c>
      <c r="F207">
        <v>292052.99599999998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0.55203308063404666</v>
      </c>
      <c r="Q207">
        <f t="shared" si="960"/>
        <v>161222.91509028288</v>
      </c>
      <c r="R207">
        <f t="shared" si="961"/>
        <v>-36442370.769180946</v>
      </c>
      <c r="S207">
        <f t="shared" si="962"/>
        <v>-364.42370769180945</v>
      </c>
      <c r="T207">
        <f t="shared" si="963"/>
        <v>-0.36442370769180943</v>
      </c>
    </row>
    <row r="208" spans="1:20" x14ac:dyDescent="0.25">
      <c r="A208" s="5">
        <v>44385</v>
      </c>
      <c r="B208">
        <v>21.058</v>
      </c>
      <c r="C208">
        <v>21.295000000000002</v>
      </c>
      <c r="D208">
        <v>18.5</v>
      </c>
      <c r="E208">
        <v>18.942</v>
      </c>
      <c r="F208">
        <v>660871.39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-0.6837209302325582</v>
      </c>
      <c r="Q208">
        <f t="shared" si="960"/>
        <v>-451851.60153488378</v>
      </c>
      <c r="R208">
        <f t="shared" si="961"/>
        <v>-36603593.684271231</v>
      </c>
      <c r="S208">
        <f t="shared" si="962"/>
        <v>-366.03593684271232</v>
      </c>
      <c r="T208">
        <f t="shared" si="963"/>
        <v>-0.3660359368427123</v>
      </c>
    </row>
    <row r="209" spans="1:20" x14ac:dyDescent="0.25">
      <c r="A209" s="5">
        <v>44384</v>
      </c>
      <c r="B209">
        <v>21.631</v>
      </c>
      <c r="C209">
        <v>22.939</v>
      </c>
      <c r="D209">
        <v>21.007000000000001</v>
      </c>
      <c r="E209">
        <v>21.056999999999999</v>
      </c>
      <c r="F209">
        <v>672415.81499999994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-0.94824016563147284</v>
      </c>
      <c r="Q209">
        <f t="shared" si="960"/>
        <v>-637611.6837888218</v>
      </c>
      <c r="R209">
        <f t="shared" si="961"/>
        <v>-36151742.082736351</v>
      </c>
      <c r="S209">
        <f t="shared" si="962"/>
        <v>-361.51742082736348</v>
      </c>
      <c r="T209">
        <f t="shared" si="963"/>
        <v>-0.36151742082736349</v>
      </c>
    </row>
    <row r="210" spans="1:20" x14ac:dyDescent="0.25">
      <c r="A210" s="5">
        <v>44383</v>
      </c>
      <c r="B210">
        <v>20.428999999999998</v>
      </c>
      <c r="C210">
        <v>22.981999999999999</v>
      </c>
      <c r="D210">
        <v>20.337</v>
      </c>
      <c r="E210">
        <v>21.600999999999999</v>
      </c>
      <c r="F210">
        <v>1102525.1499999999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-4.4234404536862344E-2</v>
      </c>
      <c r="Q210">
        <f t="shared" si="960"/>
        <v>-48769.543497164836</v>
      </c>
      <c r="R210">
        <f t="shared" si="961"/>
        <v>-35514130.398947529</v>
      </c>
      <c r="S210">
        <f t="shared" si="962"/>
        <v>-355.14130398947532</v>
      </c>
      <c r="T210">
        <f t="shared" si="963"/>
        <v>-0.3551413039894753</v>
      </c>
    </row>
    <row r="211" spans="1:20" x14ac:dyDescent="0.25">
      <c r="A211" s="5">
        <v>44382</v>
      </c>
      <c r="B211">
        <v>20.748999999999999</v>
      </c>
      <c r="C211">
        <v>21.199000000000002</v>
      </c>
      <c r="D211">
        <v>19.018000000000001</v>
      </c>
      <c r="E211">
        <v>20.428999999999998</v>
      </c>
      <c r="F211">
        <v>661353.93099999998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0.29390187987161598</v>
      </c>
      <c r="Q211">
        <f t="shared" si="960"/>
        <v>194373.16358138301</v>
      </c>
      <c r="R211">
        <f t="shared" si="961"/>
        <v>-35465360.855450362</v>
      </c>
      <c r="S211">
        <f t="shared" si="962"/>
        <v>-354.65360855450359</v>
      </c>
      <c r="T211">
        <f t="shared" si="963"/>
        <v>-0.35465360855450362</v>
      </c>
    </row>
    <row r="212" spans="1:20" x14ac:dyDescent="0.25">
      <c r="A212" s="5">
        <v>44381</v>
      </c>
      <c r="B212">
        <v>19.233000000000001</v>
      </c>
      <c r="C212">
        <v>21.692</v>
      </c>
      <c r="D212">
        <v>18.690999999999999</v>
      </c>
      <c r="E212">
        <v>20.75</v>
      </c>
      <c r="F212">
        <v>599809.52399999998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0.37220926357880718</v>
      </c>
      <c r="Q212">
        <f t="shared" si="960"/>
        <v>223254.66121559485</v>
      </c>
      <c r="R212">
        <f t="shared" si="961"/>
        <v>-35659734.019031748</v>
      </c>
      <c r="S212">
        <f t="shared" si="962"/>
        <v>-356.59734019031748</v>
      </c>
      <c r="T212">
        <f t="shared" si="963"/>
        <v>-0.35659734019031747</v>
      </c>
    </row>
    <row r="213" spans="1:20" x14ac:dyDescent="0.25">
      <c r="A213" s="5">
        <v>44380</v>
      </c>
      <c r="B213">
        <v>17.818000000000001</v>
      </c>
      <c r="C213">
        <v>19.536999999999999</v>
      </c>
      <c r="D213">
        <v>17.661999999999999</v>
      </c>
      <c r="E213">
        <v>19.233000000000001</v>
      </c>
      <c r="F213">
        <v>331899.05099999998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0.67573333333333496</v>
      </c>
      <c r="Q213">
        <f t="shared" si="960"/>
        <v>224275.25206240051</v>
      </c>
      <c r="R213">
        <f t="shared" si="961"/>
        <v>-35882988.680247344</v>
      </c>
      <c r="S213">
        <f t="shared" si="962"/>
        <v>-358.82988680247342</v>
      </c>
      <c r="T213">
        <f t="shared" si="963"/>
        <v>-0.35882988680247341</v>
      </c>
    </row>
    <row r="214" spans="1:20" x14ac:dyDescent="0.25">
      <c r="A214" s="5">
        <v>44379</v>
      </c>
      <c r="B214">
        <v>18.123000000000001</v>
      </c>
      <c r="C214">
        <v>18.338000000000001</v>
      </c>
      <c r="D214">
        <v>17.061</v>
      </c>
      <c r="E214">
        <v>17.841000000000001</v>
      </c>
      <c r="F214">
        <v>278592.53899999999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0.22161315583398672</v>
      </c>
      <c r="Q214">
        <f t="shared" si="960"/>
        <v>61739.771759593023</v>
      </c>
      <c r="R214">
        <f t="shared" si="961"/>
        <v>-36107263.932309747</v>
      </c>
      <c r="S214">
        <f t="shared" si="962"/>
        <v>-361.07263932309746</v>
      </c>
      <c r="T214">
        <f t="shared" si="963"/>
        <v>-0.36107263932309747</v>
      </c>
    </row>
    <row r="215" spans="1:20" x14ac:dyDescent="0.25">
      <c r="A215" s="5">
        <v>44378</v>
      </c>
      <c r="B215">
        <v>19.489000000000001</v>
      </c>
      <c r="C215">
        <v>19.82</v>
      </c>
      <c r="D215">
        <v>17.559999999999999</v>
      </c>
      <c r="E215">
        <v>18.135000000000002</v>
      </c>
      <c r="F215">
        <v>387561.81599999999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-0.49115044247787393</v>
      </c>
      <c r="Q215">
        <f t="shared" si="960"/>
        <v>-190351.15741592835</v>
      </c>
      <c r="R215">
        <f t="shared" si="961"/>
        <v>-36169003.704069339</v>
      </c>
      <c r="S215">
        <f t="shared" si="962"/>
        <v>-361.69003704069337</v>
      </c>
      <c r="T215">
        <f t="shared" si="963"/>
        <v>-0.36169003704069336</v>
      </c>
    </row>
    <row r="216" spans="1:20" x14ac:dyDescent="0.25">
      <c r="A216" s="5">
        <v>44377</v>
      </c>
      <c r="B216">
        <v>19.797000000000001</v>
      </c>
      <c r="C216">
        <v>19.971</v>
      </c>
      <c r="D216">
        <v>18.32</v>
      </c>
      <c r="E216">
        <v>19.486999999999998</v>
      </c>
      <c r="F216">
        <v>553587.53899999999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0.41368867353119099</v>
      </c>
      <c r="Q216">
        <f t="shared" si="960"/>
        <v>229012.89469230647</v>
      </c>
      <c r="R216">
        <f t="shared" si="961"/>
        <v>-35978652.546653412</v>
      </c>
      <c r="S216">
        <f t="shared" si="962"/>
        <v>-359.7865254665341</v>
      </c>
      <c r="T216">
        <f t="shared" si="963"/>
        <v>-0.35978652546653411</v>
      </c>
    </row>
    <row r="217" spans="1:20" x14ac:dyDescent="0.25">
      <c r="A217" s="5">
        <v>44376</v>
      </c>
      <c r="B217">
        <v>18.969000000000001</v>
      </c>
      <c r="C217">
        <v>20.881</v>
      </c>
      <c r="D217">
        <v>18.7</v>
      </c>
      <c r="E217">
        <v>19.831</v>
      </c>
      <c r="F217">
        <v>697146.951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3.7138927097661388E-2</v>
      </c>
      <c r="Q217">
        <f t="shared" si="960"/>
        <v>25891.289789545917</v>
      </c>
      <c r="R217">
        <f t="shared" si="961"/>
        <v>-36207665.441345721</v>
      </c>
      <c r="S217">
        <f t="shared" si="962"/>
        <v>-362.07665441345722</v>
      </c>
      <c r="T217">
        <f t="shared" si="963"/>
        <v>-0.36207665441345721</v>
      </c>
    </row>
    <row r="218" spans="1:20" x14ac:dyDescent="0.25">
      <c r="A218" s="5">
        <v>44375</v>
      </c>
      <c r="B218">
        <v>18.651</v>
      </c>
      <c r="C218">
        <v>19.649999999999999</v>
      </c>
      <c r="D218">
        <v>17.829000000000001</v>
      </c>
      <c r="E218">
        <v>18.952999999999999</v>
      </c>
      <c r="F218">
        <v>610285.31599999999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0.23448654585392645</v>
      </c>
      <c r="Q218">
        <f t="shared" si="960"/>
        <v>143103.695734212</v>
      </c>
      <c r="R218">
        <f t="shared" si="961"/>
        <v>-36233556.731135264</v>
      </c>
      <c r="S218">
        <f t="shared" si="962"/>
        <v>-362.33556731135263</v>
      </c>
      <c r="T218">
        <f t="shared" si="963"/>
        <v>-0.36233556731135264</v>
      </c>
    </row>
    <row r="219" spans="1:20" x14ac:dyDescent="0.25">
      <c r="A219" s="5">
        <v>44374</v>
      </c>
      <c r="B219">
        <v>17.542000000000002</v>
      </c>
      <c r="C219">
        <v>18.652999999999999</v>
      </c>
      <c r="D219">
        <v>17.067</v>
      </c>
      <c r="E219">
        <v>18.643999999999998</v>
      </c>
      <c r="F219">
        <v>442054.14399999997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0.98865069356872592</v>
      </c>
      <c r="Q219">
        <f t="shared" si="960"/>
        <v>437037.13606052939</v>
      </c>
      <c r="R219">
        <f t="shared" si="961"/>
        <v>-36376660.426869474</v>
      </c>
      <c r="S219">
        <f t="shared" si="962"/>
        <v>-363.76660426869472</v>
      </c>
      <c r="T219">
        <f t="shared" si="963"/>
        <v>-0.36376660426869473</v>
      </c>
    </row>
    <row r="220" spans="1:20" x14ac:dyDescent="0.25">
      <c r="A220" s="5">
        <v>44373</v>
      </c>
      <c r="B220">
        <v>17.866</v>
      </c>
      <c r="C220">
        <v>18.462</v>
      </c>
      <c r="D220">
        <v>16.524000000000001</v>
      </c>
      <c r="E220">
        <v>17.539000000000001</v>
      </c>
      <c r="F220">
        <v>664221.10800000001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4.74716202270394E-2</v>
      </c>
      <c r="Q220">
        <f t="shared" si="960"/>
        <v>31531.652185759322</v>
      </c>
      <c r="R220">
        <f t="shared" si="961"/>
        <v>-36813697.562930003</v>
      </c>
      <c r="S220">
        <f t="shared" si="962"/>
        <v>-368.13697562930003</v>
      </c>
      <c r="T220">
        <f t="shared" si="963"/>
        <v>-0.36813697562930003</v>
      </c>
    </row>
    <row r="221" spans="1:20" x14ac:dyDescent="0.25">
      <c r="A221" s="5">
        <v>44372</v>
      </c>
      <c r="B221">
        <v>19.968</v>
      </c>
      <c r="C221">
        <v>20.405000000000001</v>
      </c>
      <c r="D221">
        <v>17.68</v>
      </c>
      <c r="E221">
        <v>17.872</v>
      </c>
      <c r="F221">
        <v>600934.29799999995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-0.85908256880733935</v>
      </c>
      <c r="Q221">
        <f t="shared" si="960"/>
        <v>-516252.18041027512</v>
      </c>
      <c r="R221">
        <f t="shared" si="961"/>
        <v>-36845229.215115763</v>
      </c>
      <c r="S221">
        <f t="shared" si="962"/>
        <v>-368.45229215115762</v>
      </c>
      <c r="T221">
        <f t="shared" si="963"/>
        <v>-0.3684522921511576</v>
      </c>
    </row>
    <row r="222" spans="1:20" x14ac:dyDescent="0.25">
      <c r="A222" s="5">
        <v>44371</v>
      </c>
      <c r="B222">
        <v>20.189</v>
      </c>
      <c r="C222">
        <v>20.596</v>
      </c>
      <c r="D222">
        <v>18.768000000000001</v>
      </c>
      <c r="E222">
        <v>19.928000000000001</v>
      </c>
      <c r="F222">
        <v>574812.245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0.26914660831509901</v>
      </c>
      <c r="Q222">
        <f t="shared" si="960"/>
        <v>154708.76615973772</v>
      </c>
      <c r="R222">
        <f t="shared" si="961"/>
        <v>-36328977.03470549</v>
      </c>
      <c r="S222">
        <f t="shared" si="962"/>
        <v>-363.28977034705491</v>
      </c>
      <c r="T222">
        <f t="shared" si="963"/>
        <v>-0.3632897703470549</v>
      </c>
    </row>
    <row r="223" spans="1:20" x14ac:dyDescent="0.25">
      <c r="A223" s="5">
        <v>44370</v>
      </c>
      <c r="B223">
        <v>17.61</v>
      </c>
      <c r="C223">
        <v>21.382999999999999</v>
      </c>
      <c r="D223">
        <v>16.968</v>
      </c>
      <c r="E223">
        <v>20.151</v>
      </c>
      <c r="F223">
        <v>1149874.855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0.44190260475651211</v>
      </c>
      <c r="Q223">
        <f t="shared" si="960"/>
        <v>508132.69356851664</v>
      </c>
      <c r="R223">
        <f t="shared" si="961"/>
        <v>-36483685.800865225</v>
      </c>
      <c r="S223">
        <f t="shared" si="962"/>
        <v>-364.83685800865226</v>
      </c>
      <c r="T223">
        <f t="shared" si="963"/>
        <v>-0.36483685800865223</v>
      </c>
    </row>
    <row r="224" spans="1:20" x14ac:dyDescent="0.25">
      <c r="A224" s="5">
        <v>44369</v>
      </c>
      <c r="B224">
        <v>19.068000000000001</v>
      </c>
      <c r="C224">
        <v>20.92</v>
      </c>
      <c r="D224">
        <v>15.528</v>
      </c>
      <c r="E224">
        <v>17.585000000000001</v>
      </c>
      <c r="F224">
        <v>2033944.923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-0.23701780415430271</v>
      </c>
      <c r="Q224">
        <f t="shared" si="960"/>
        <v>-482081.15942025231</v>
      </c>
      <c r="R224">
        <f t="shared" si="961"/>
        <v>-36991818.494433746</v>
      </c>
      <c r="S224">
        <f t="shared" si="962"/>
        <v>-369.91818494433744</v>
      </c>
      <c r="T224">
        <f t="shared" si="963"/>
        <v>-0.36991818494433742</v>
      </c>
    </row>
    <row r="225" spans="1:20" x14ac:dyDescent="0.25">
      <c r="A225" s="5">
        <v>44368</v>
      </c>
      <c r="B225">
        <v>26.347000000000001</v>
      </c>
      <c r="C225">
        <v>26.619</v>
      </c>
      <c r="D225">
        <v>18.709</v>
      </c>
      <c r="E225">
        <v>19.132000000000001</v>
      </c>
      <c r="F225">
        <v>1249552.433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-0.89304677623261652</v>
      </c>
      <c r="Q225">
        <f t="shared" si="960"/>
        <v>-1115908.7720242725</v>
      </c>
      <c r="R225">
        <f t="shared" si="961"/>
        <v>-36509737.335013494</v>
      </c>
      <c r="S225">
        <f t="shared" si="962"/>
        <v>-365.09737335013494</v>
      </c>
      <c r="T225">
        <f t="shared" si="963"/>
        <v>-0.36509737335013492</v>
      </c>
    </row>
    <row r="226" spans="1:20" x14ac:dyDescent="0.25">
      <c r="A226" s="5">
        <v>44367</v>
      </c>
      <c r="B226">
        <v>25.702000000000002</v>
      </c>
      <c r="C226">
        <v>26.9</v>
      </c>
      <c r="D226">
        <v>23.51</v>
      </c>
      <c r="E226">
        <v>26.315000000000001</v>
      </c>
      <c r="F226">
        <v>640738.17500000005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0.65486725663716938</v>
      </c>
      <c r="Q226">
        <f t="shared" si="960"/>
        <v>419598.45088495658</v>
      </c>
      <c r="R226">
        <f t="shared" si="961"/>
        <v>-35393828.56298922</v>
      </c>
      <c r="S226">
        <f t="shared" si="962"/>
        <v>-353.93828562989222</v>
      </c>
      <c r="T226">
        <f t="shared" si="963"/>
        <v>-0.35393828562989221</v>
      </c>
    </row>
    <row r="227" spans="1:20" x14ac:dyDescent="0.25">
      <c r="A227" s="5">
        <v>44366</v>
      </c>
      <c r="B227">
        <v>26.597000000000001</v>
      </c>
      <c r="C227">
        <v>28.3</v>
      </c>
      <c r="D227">
        <v>25.617000000000001</v>
      </c>
      <c r="E227">
        <v>25.722999999999999</v>
      </c>
      <c r="F227">
        <v>510171.386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-0.92098397316436964</v>
      </c>
      <c r="Q227">
        <f t="shared" si="960"/>
        <v>-469859.67007305328</v>
      </c>
      <c r="R227">
        <f t="shared" si="961"/>
        <v>-35813427.013874173</v>
      </c>
      <c r="S227">
        <f t="shared" si="962"/>
        <v>-358.13427013874173</v>
      </c>
      <c r="T227">
        <f t="shared" si="963"/>
        <v>-0.35813427013874172</v>
      </c>
    </row>
    <row r="228" spans="1:20" x14ac:dyDescent="0.25">
      <c r="A228" s="5">
        <v>44365</v>
      </c>
      <c r="B228">
        <v>30</v>
      </c>
      <c r="C228">
        <v>30.13</v>
      </c>
      <c r="D228">
        <v>25.61</v>
      </c>
      <c r="E228">
        <v>26.574999999999999</v>
      </c>
      <c r="F228">
        <v>807577.90500000003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-0.57300884955752218</v>
      </c>
      <c r="Q228">
        <f t="shared" si="960"/>
        <v>-462749.28627212398</v>
      </c>
      <c r="R228">
        <f t="shared" si="961"/>
        <v>-35343567.343801118</v>
      </c>
      <c r="S228">
        <f t="shared" si="962"/>
        <v>-353.43567343801118</v>
      </c>
      <c r="T228">
        <f t="shared" si="963"/>
        <v>-0.35343567343801119</v>
      </c>
    </row>
    <row r="229" spans="1:20" x14ac:dyDescent="0.25">
      <c r="A229" s="5">
        <v>44364</v>
      </c>
      <c r="B229">
        <v>28.277999999999999</v>
      </c>
      <c r="C229">
        <v>34.798999999999999</v>
      </c>
      <c r="D229">
        <v>28.135000000000002</v>
      </c>
      <c r="E229">
        <v>30.027000000000001</v>
      </c>
      <c r="F229">
        <v>1932714.83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-0.43217286914765907</v>
      </c>
      <c r="Q229">
        <f t="shared" si="960"/>
        <v>-835266.91332533013</v>
      </c>
      <c r="R229">
        <f t="shared" si="961"/>
        <v>-34880818.057528995</v>
      </c>
      <c r="S229">
        <f t="shared" si="962"/>
        <v>-348.80818057528995</v>
      </c>
      <c r="T229">
        <f t="shared" si="963"/>
        <v>-0.34880818057528995</v>
      </c>
    </row>
    <row r="230" spans="1:20" x14ac:dyDescent="0.25">
      <c r="A230" s="5">
        <v>44363</v>
      </c>
      <c r="B230">
        <v>27.334</v>
      </c>
      <c r="C230">
        <v>29.5</v>
      </c>
      <c r="D230">
        <v>26</v>
      </c>
      <c r="E230">
        <v>28.273</v>
      </c>
      <c r="F230">
        <v>1333569.798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0.29885714285714265</v>
      </c>
      <c r="Q230">
        <f t="shared" si="960"/>
        <v>398546.85963085684</v>
      </c>
      <c r="R230">
        <f t="shared" si="961"/>
        <v>-34045551.144203663</v>
      </c>
      <c r="S230">
        <f t="shared" si="962"/>
        <v>-340.45551144203665</v>
      </c>
      <c r="T230">
        <f t="shared" si="963"/>
        <v>-0.34045551144203667</v>
      </c>
    </row>
    <row r="231" spans="1:20" x14ac:dyDescent="0.25">
      <c r="A231" s="5">
        <v>44362</v>
      </c>
      <c r="B231">
        <v>25.751999999999999</v>
      </c>
      <c r="C231">
        <v>28.295000000000002</v>
      </c>
      <c r="D231">
        <v>24.895</v>
      </c>
      <c r="E231">
        <v>27.3</v>
      </c>
      <c r="F231">
        <v>670774.05000000005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0.41470588235294098</v>
      </c>
      <c r="Q231">
        <f t="shared" si="960"/>
        <v>278173.94426470576</v>
      </c>
      <c r="R231">
        <f t="shared" si="961"/>
        <v>-34444098.003834523</v>
      </c>
      <c r="S231">
        <f t="shared" si="962"/>
        <v>-344.44098003834523</v>
      </c>
      <c r="T231">
        <f t="shared" si="963"/>
        <v>-0.34444098003834522</v>
      </c>
    </row>
    <row r="232" spans="1:20" x14ac:dyDescent="0.25">
      <c r="A232" s="5">
        <v>44361</v>
      </c>
      <c r="B232">
        <v>25.241</v>
      </c>
      <c r="C232">
        <v>26.7</v>
      </c>
      <c r="D232">
        <v>24.5</v>
      </c>
      <c r="E232">
        <v>25.745000000000001</v>
      </c>
      <c r="F232">
        <v>574853.47699999996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0.13181818181818308</v>
      </c>
      <c r="Q232">
        <f t="shared" si="960"/>
        <v>75776.14015000072</v>
      </c>
      <c r="R232">
        <f t="shared" si="961"/>
        <v>-34722271.948099226</v>
      </c>
      <c r="S232">
        <f t="shared" si="962"/>
        <v>-347.22271948099228</v>
      </c>
      <c r="T232">
        <f t="shared" si="963"/>
        <v>-0.34722271948099226</v>
      </c>
    </row>
    <row r="233" spans="1:20" x14ac:dyDescent="0.25">
      <c r="A233" s="5">
        <v>44360</v>
      </c>
      <c r="B233">
        <v>22.690999999999999</v>
      </c>
      <c r="C233">
        <v>26.114999999999998</v>
      </c>
      <c r="D233">
        <v>22.401</v>
      </c>
      <c r="E233">
        <v>25.23</v>
      </c>
      <c r="F233">
        <v>687023.87300000002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0.52342487883683453</v>
      </c>
      <c r="Q233">
        <f t="shared" si="960"/>
        <v>359605.38748303778</v>
      </c>
      <c r="R233">
        <f t="shared" si="961"/>
        <v>-34798048.088249229</v>
      </c>
      <c r="S233">
        <f t="shared" si="962"/>
        <v>-347.98048088249232</v>
      </c>
      <c r="T233">
        <f t="shared" si="963"/>
        <v>-0.34798048088249234</v>
      </c>
    </row>
    <row r="234" spans="1:20" x14ac:dyDescent="0.25">
      <c r="A234" s="5">
        <v>44359</v>
      </c>
      <c r="B234">
        <v>22.706</v>
      </c>
      <c r="C234">
        <v>23.427</v>
      </c>
      <c r="D234">
        <v>21.376000000000001</v>
      </c>
      <c r="E234">
        <v>22.686</v>
      </c>
      <c r="F234">
        <v>634979.777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0.27742564602632841</v>
      </c>
      <c r="Q234">
        <f t="shared" si="960"/>
        <v>176159.67484787895</v>
      </c>
      <c r="R234">
        <f t="shared" si="961"/>
        <v>-35157653.475732267</v>
      </c>
      <c r="S234">
        <f t="shared" si="962"/>
        <v>-351.57653475732269</v>
      </c>
      <c r="T234">
        <f t="shared" si="963"/>
        <v>-0.3515765347573227</v>
      </c>
    </row>
    <row r="235" spans="1:20" x14ac:dyDescent="0.25">
      <c r="A235" s="5">
        <v>44358</v>
      </c>
      <c r="B235">
        <v>25.510999999999999</v>
      </c>
      <c r="C235">
        <v>25.75</v>
      </c>
      <c r="D235">
        <v>22.175000000000001</v>
      </c>
      <c r="E235">
        <v>22.756</v>
      </c>
      <c r="F235">
        <v>794398.17099999997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-0.67496503496503513</v>
      </c>
      <c r="Q235">
        <f t="shared" si="960"/>
        <v>-536190.98926517495</v>
      </c>
      <c r="R235">
        <f t="shared" si="961"/>
        <v>-35333813.150580145</v>
      </c>
      <c r="S235">
        <f t="shared" si="962"/>
        <v>-353.33813150580147</v>
      </c>
      <c r="T235">
        <f t="shared" si="963"/>
        <v>-0.35333813150580146</v>
      </c>
    </row>
    <row r="236" spans="1:20" x14ac:dyDescent="0.25">
      <c r="A236" s="5">
        <v>44357</v>
      </c>
      <c r="B236">
        <v>27.047000000000001</v>
      </c>
      <c r="C236">
        <v>28.751000000000001</v>
      </c>
      <c r="D236">
        <v>25.306999999999999</v>
      </c>
      <c r="E236">
        <v>25.506</v>
      </c>
      <c r="F236">
        <v>1347952.89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-0.88443670150987141</v>
      </c>
      <c r="Q236">
        <f t="shared" si="960"/>
        <v>-1192179.0078222984</v>
      </c>
      <c r="R236">
        <f t="shared" si="961"/>
        <v>-34797622.161314972</v>
      </c>
      <c r="S236">
        <f t="shared" si="962"/>
        <v>-347.97622161314973</v>
      </c>
      <c r="T236">
        <f t="shared" si="963"/>
        <v>-0.34797622161314973</v>
      </c>
    </row>
    <row r="237" spans="1:20" x14ac:dyDescent="0.25">
      <c r="A237" s="5">
        <v>44356</v>
      </c>
      <c r="B237">
        <v>24.904</v>
      </c>
      <c r="C237">
        <v>27.143999999999998</v>
      </c>
      <c r="D237">
        <v>23.413</v>
      </c>
      <c r="E237">
        <v>27.024000000000001</v>
      </c>
      <c r="F237">
        <v>1098037.443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0.9356740820155468</v>
      </c>
      <c r="Q237">
        <f t="shared" si="960"/>
        <v>1027405.1764977233</v>
      </c>
      <c r="R237">
        <f t="shared" si="961"/>
        <v>-33605443.153492674</v>
      </c>
      <c r="S237">
        <f t="shared" si="962"/>
        <v>-336.05443153492672</v>
      </c>
      <c r="T237">
        <f t="shared" si="963"/>
        <v>-0.3360544315349267</v>
      </c>
    </row>
    <row r="238" spans="1:20" x14ac:dyDescent="0.25">
      <c r="A238" s="5">
        <v>44355</v>
      </c>
      <c r="B238">
        <v>25.298999999999999</v>
      </c>
      <c r="C238">
        <v>26.238</v>
      </c>
      <c r="D238">
        <v>22.02</v>
      </c>
      <c r="E238">
        <v>24.911999999999999</v>
      </c>
      <c r="F238">
        <v>1344276.327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0.37126600284494998</v>
      </c>
      <c r="Q238">
        <f t="shared" si="960"/>
        <v>499084.09864438092</v>
      </c>
      <c r="R238">
        <f t="shared" si="961"/>
        <v>-34632848.329990394</v>
      </c>
      <c r="S238">
        <f t="shared" si="962"/>
        <v>-346.32848329990395</v>
      </c>
      <c r="T238">
        <f t="shared" si="963"/>
        <v>-0.34632848329990396</v>
      </c>
    </row>
    <row r="239" spans="1:20" x14ac:dyDescent="0.25">
      <c r="A239" s="5">
        <v>44354</v>
      </c>
      <c r="B239">
        <v>29.042000000000002</v>
      </c>
      <c r="C239">
        <v>30.027999999999999</v>
      </c>
      <c r="D239">
        <v>25.010999999999999</v>
      </c>
      <c r="E239">
        <v>25.338999999999999</v>
      </c>
      <c r="F239">
        <v>785411.79200000002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-0.86924456846721165</v>
      </c>
      <c r="Q239">
        <f t="shared" si="960"/>
        <v>-682714.93420609937</v>
      </c>
      <c r="R239">
        <f t="shared" si="961"/>
        <v>-35131932.428634778</v>
      </c>
      <c r="S239">
        <f t="shared" si="962"/>
        <v>-351.31932428634775</v>
      </c>
      <c r="T239">
        <f t="shared" si="963"/>
        <v>-0.35131932428634777</v>
      </c>
    </row>
    <row r="240" spans="1:20" x14ac:dyDescent="0.25">
      <c r="A240" s="5">
        <v>44353</v>
      </c>
      <c r="B240">
        <v>28.901</v>
      </c>
      <c r="C240">
        <v>29.841999999999999</v>
      </c>
      <c r="D240">
        <v>28.201000000000001</v>
      </c>
      <c r="E240">
        <v>29.02</v>
      </c>
      <c r="F240">
        <v>507016.826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-1.8281535648995229E-3</v>
      </c>
      <c r="Q240">
        <f t="shared" si="960"/>
        <v>-926.90461791594112</v>
      </c>
      <c r="R240">
        <f t="shared" si="961"/>
        <v>-34449217.494428679</v>
      </c>
      <c r="S240">
        <f t="shared" si="962"/>
        <v>-344.49217494428677</v>
      </c>
      <c r="T240">
        <f t="shared" si="963"/>
        <v>-0.3444921749442868</v>
      </c>
    </row>
    <row r="241" spans="1:20" x14ac:dyDescent="0.25">
      <c r="A241" s="5">
        <v>44352</v>
      </c>
      <c r="B241">
        <v>30.344999999999999</v>
      </c>
      <c r="C241">
        <v>32.71</v>
      </c>
      <c r="D241">
        <v>27.849</v>
      </c>
      <c r="E241">
        <v>28.902000000000001</v>
      </c>
      <c r="F241">
        <v>901551.94099999999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-0.56675581156140686</v>
      </c>
      <c r="Q241">
        <f t="shared" si="960"/>
        <v>-510959.80198621657</v>
      </c>
      <c r="R241">
        <f t="shared" si="961"/>
        <v>-34448290.589810766</v>
      </c>
      <c r="S241">
        <f t="shared" si="962"/>
        <v>-344.48290589810767</v>
      </c>
      <c r="T241">
        <f t="shared" si="963"/>
        <v>-0.34448290589810765</v>
      </c>
    </row>
    <row r="242" spans="1:20" x14ac:dyDescent="0.25">
      <c r="A242" s="5">
        <v>44351</v>
      </c>
      <c r="B242">
        <v>35.223999999999997</v>
      </c>
      <c r="C242">
        <v>35.481999999999999</v>
      </c>
      <c r="D242">
        <v>28.65</v>
      </c>
      <c r="E242">
        <v>30.344999999999999</v>
      </c>
      <c r="F242">
        <v>1340091.7620000001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-0.50380562060889922</v>
      </c>
      <c r="Q242">
        <f t="shared" si="960"/>
        <v>-675145.76182728331</v>
      </c>
      <c r="R242">
        <f t="shared" si="961"/>
        <v>-33937330.787824549</v>
      </c>
      <c r="S242">
        <f t="shared" si="962"/>
        <v>-339.3733078782455</v>
      </c>
      <c r="T242">
        <f t="shared" si="963"/>
        <v>-0.33937330787824549</v>
      </c>
    </row>
    <row r="243" spans="1:20" x14ac:dyDescent="0.25">
      <c r="A243" s="5">
        <v>44350</v>
      </c>
      <c r="B243">
        <v>33.116999999999997</v>
      </c>
      <c r="C243">
        <v>35.799999999999997</v>
      </c>
      <c r="D243">
        <v>32.26</v>
      </c>
      <c r="E243">
        <v>35.183</v>
      </c>
      <c r="F243">
        <v>1286242.186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0.6514124293785325</v>
      </c>
      <c r="Q243">
        <f t="shared" si="960"/>
        <v>837874.1471514143</v>
      </c>
      <c r="R243">
        <f t="shared" si="961"/>
        <v>-33262185.025997262</v>
      </c>
      <c r="S243">
        <f t="shared" si="962"/>
        <v>-332.62185025997263</v>
      </c>
      <c r="T243">
        <f t="shared" si="963"/>
        <v>-0.33262185025997265</v>
      </c>
    </row>
    <row r="244" spans="1:20" x14ac:dyDescent="0.25">
      <c r="A244" s="5">
        <v>44349</v>
      </c>
      <c r="B244">
        <v>31.792999999999999</v>
      </c>
      <c r="C244">
        <v>35.311999999999998</v>
      </c>
      <c r="D244">
        <v>30.266999999999999</v>
      </c>
      <c r="E244">
        <v>33.145000000000003</v>
      </c>
      <c r="F244">
        <v>1372461.9509999999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0.1409316154608542</v>
      </c>
      <c r="Q244">
        <f t="shared" si="960"/>
        <v>193423.27991298569</v>
      </c>
      <c r="R244">
        <f t="shared" si="961"/>
        <v>-34100059.173148677</v>
      </c>
      <c r="S244">
        <f t="shared" si="962"/>
        <v>-341.00059173148679</v>
      </c>
      <c r="T244">
        <f t="shared" si="963"/>
        <v>-0.34100059173148678</v>
      </c>
    </row>
    <row r="245" spans="1:20" x14ac:dyDescent="0.25">
      <c r="A245" s="5">
        <v>44348</v>
      </c>
      <c r="B245">
        <v>33.201999999999998</v>
      </c>
      <c r="C245">
        <v>34.494</v>
      </c>
      <c r="D245">
        <v>30.928000000000001</v>
      </c>
      <c r="E245">
        <v>31.834</v>
      </c>
      <c r="F245">
        <v>1183565.7960000001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-0.49186763881099321</v>
      </c>
      <c r="Q245">
        <f t="shared" si="960"/>
        <v>-582157.71345597378</v>
      </c>
      <c r="R245">
        <f t="shared" si="961"/>
        <v>-34293482.453061663</v>
      </c>
      <c r="S245">
        <f t="shared" si="962"/>
        <v>-342.93482453061665</v>
      </c>
      <c r="T245">
        <f t="shared" si="963"/>
        <v>-0.34293482453061663</v>
      </c>
    </row>
    <row r="246" spans="1:20" x14ac:dyDescent="0.25">
      <c r="A246" s="5">
        <v>44347</v>
      </c>
      <c r="B246">
        <v>29.92</v>
      </c>
      <c r="C246">
        <v>33.555999999999997</v>
      </c>
      <c r="D246">
        <v>29.184000000000001</v>
      </c>
      <c r="E246">
        <v>33.177999999999997</v>
      </c>
      <c r="F246">
        <v>1552458.0260000001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0.8270814272644097</v>
      </c>
      <c r="Q246">
        <f t="shared" si="960"/>
        <v>1284009.1999121681</v>
      </c>
      <c r="R246">
        <f t="shared" si="961"/>
        <v>-33711324.739605688</v>
      </c>
      <c r="S246">
        <f t="shared" si="962"/>
        <v>-337.11324739605686</v>
      </c>
      <c r="T246">
        <f t="shared" si="963"/>
        <v>-0.33711324739605686</v>
      </c>
    </row>
    <row r="247" spans="1:20" x14ac:dyDescent="0.25">
      <c r="A247" s="5">
        <v>44346</v>
      </c>
      <c r="B247">
        <v>29.256</v>
      </c>
      <c r="C247">
        <v>31.94</v>
      </c>
      <c r="D247">
        <v>27.21</v>
      </c>
      <c r="E247">
        <v>29.949000000000002</v>
      </c>
      <c r="F247">
        <v>1068725.5109999999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0.15813953488372115</v>
      </c>
      <c r="Q247">
        <f t="shared" si="960"/>
        <v>169007.75522790721</v>
      </c>
      <c r="R247">
        <f t="shared" si="961"/>
        <v>-34995333.939517856</v>
      </c>
      <c r="S247">
        <f t="shared" si="962"/>
        <v>-349.95333939517855</v>
      </c>
      <c r="T247">
        <f t="shared" si="963"/>
        <v>-0.34995333939517853</v>
      </c>
    </row>
    <row r="248" spans="1:20" x14ac:dyDescent="0.25">
      <c r="A248" s="5">
        <v>44345</v>
      </c>
      <c r="B248">
        <v>31.611000000000001</v>
      </c>
      <c r="C248">
        <v>33.298000000000002</v>
      </c>
      <c r="D248">
        <v>27.513999999999999</v>
      </c>
      <c r="E248">
        <v>29.207000000000001</v>
      </c>
      <c r="F248">
        <v>1219882.9979999999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-0.41459197786998592</v>
      </c>
      <c r="Q248">
        <f t="shared" si="960"/>
        <v>-505753.70491078804</v>
      </c>
      <c r="R248">
        <f t="shared" si="961"/>
        <v>-35164341.694745764</v>
      </c>
      <c r="S248">
        <f t="shared" si="962"/>
        <v>-351.64341694745764</v>
      </c>
      <c r="T248">
        <f t="shared" si="963"/>
        <v>-0.35164341694745765</v>
      </c>
    </row>
    <row r="249" spans="1:20" x14ac:dyDescent="0.25">
      <c r="A249" s="5">
        <v>44344</v>
      </c>
      <c r="B249">
        <v>39.164000000000001</v>
      </c>
      <c r="C249">
        <v>40</v>
      </c>
      <c r="D249">
        <v>30.513999999999999</v>
      </c>
      <c r="E249">
        <v>31.655999999999999</v>
      </c>
      <c r="F249">
        <v>1860162.7890000001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-0.75922411975542914</v>
      </c>
      <c r="Q249">
        <f t="shared" si="960"/>
        <v>-1412280.4560803291</v>
      </c>
      <c r="R249">
        <f t="shared" si="961"/>
        <v>-34658587.989834979</v>
      </c>
      <c r="S249">
        <f t="shared" si="962"/>
        <v>-346.58587989834979</v>
      </c>
      <c r="T249">
        <f t="shared" si="963"/>
        <v>-0.34658587989834977</v>
      </c>
    </row>
    <row r="250" spans="1:20" x14ac:dyDescent="0.25">
      <c r="A250" s="5">
        <v>44343</v>
      </c>
      <c r="B250">
        <v>38.283999999999999</v>
      </c>
      <c r="C250">
        <v>42.2</v>
      </c>
      <c r="D250">
        <v>33.619999999999997</v>
      </c>
      <c r="E250">
        <v>39.087000000000003</v>
      </c>
      <c r="F250">
        <v>2297341.4909999999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0.27435897435897494</v>
      </c>
      <c r="Q250">
        <f t="shared" si="960"/>
        <v>630296.25522307819</v>
      </c>
      <c r="R250">
        <f t="shared" si="961"/>
        <v>-33246307.533754651</v>
      </c>
      <c r="S250">
        <f t="shared" si="962"/>
        <v>-332.46307533754651</v>
      </c>
      <c r="T250">
        <f t="shared" si="963"/>
        <v>-0.33246307533754649</v>
      </c>
    </row>
    <row r="251" spans="1:20" x14ac:dyDescent="0.25">
      <c r="A251" s="5">
        <v>44342</v>
      </c>
      <c r="B251">
        <v>36.051000000000002</v>
      </c>
      <c r="C251">
        <v>41.877000000000002</v>
      </c>
      <c r="D251">
        <v>34.652999999999999</v>
      </c>
      <c r="E251">
        <v>38.286999999999999</v>
      </c>
      <c r="F251">
        <v>2413893.7790000001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6.0908084163893835E-3</v>
      </c>
      <c r="Q251">
        <f t="shared" si="960"/>
        <v>14702.564545403175</v>
      </c>
      <c r="R251">
        <f t="shared" si="961"/>
        <v>-33876603.788977727</v>
      </c>
      <c r="S251">
        <f t="shared" si="962"/>
        <v>-338.76603788977729</v>
      </c>
      <c r="T251">
        <f t="shared" si="963"/>
        <v>-0.33876603788977727</v>
      </c>
    </row>
    <row r="252" spans="1:20" x14ac:dyDescent="0.25">
      <c r="A252" s="5">
        <v>44341</v>
      </c>
      <c r="B252">
        <v>38.863999999999997</v>
      </c>
      <c r="C252">
        <v>44.65</v>
      </c>
      <c r="D252">
        <v>31.132999999999999</v>
      </c>
      <c r="E252">
        <v>36.113</v>
      </c>
      <c r="F252">
        <v>3383619.32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-0.26315010727232363</v>
      </c>
      <c r="Q252">
        <f t="shared" si="960"/>
        <v>-890399.78702670673</v>
      </c>
      <c r="R252">
        <f t="shared" si="961"/>
        <v>-33891306.353523128</v>
      </c>
      <c r="S252">
        <f t="shared" si="962"/>
        <v>-338.91306353523129</v>
      </c>
      <c r="T252">
        <f t="shared" si="963"/>
        <v>-0.33891306353523126</v>
      </c>
    </row>
    <row r="253" spans="1:20" x14ac:dyDescent="0.25">
      <c r="A253" s="5">
        <v>44340</v>
      </c>
      <c r="B253">
        <v>25.234000000000002</v>
      </c>
      <c r="C253">
        <v>42.503</v>
      </c>
      <c r="D253">
        <v>25.195</v>
      </c>
      <c r="E253">
        <v>38.863999999999997</v>
      </c>
      <c r="F253">
        <v>4269162.2640000004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0.57950080887450861</v>
      </c>
      <c r="Q253">
        <f t="shared" si="960"/>
        <v>2473982.9852045286</v>
      </c>
      <c r="R253">
        <f t="shared" si="961"/>
        <v>-33000906.566496421</v>
      </c>
      <c r="S253">
        <f t="shared" si="962"/>
        <v>-330.00906566496423</v>
      </c>
      <c r="T253">
        <f t="shared" si="963"/>
        <v>-0.33000906566496424</v>
      </c>
    </row>
    <row r="254" spans="1:20" x14ac:dyDescent="0.25">
      <c r="A254" s="5">
        <v>44339</v>
      </c>
      <c r="B254">
        <v>34.459000000000003</v>
      </c>
      <c r="C254">
        <v>36</v>
      </c>
      <c r="D254">
        <v>19.8</v>
      </c>
      <c r="E254">
        <v>25.233000000000001</v>
      </c>
      <c r="F254">
        <v>4682460.2719999999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-0.32925925925925925</v>
      </c>
      <c r="Q254">
        <f t="shared" si="960"/>
        <v>-1541743.4006696295</v>
      </c>
      <c r="R254">
        <f t="shared" si="961"/>
        <v>-35474889.55170095</v>
      </c>
      <c r="S254">
        <f t="shared" si="962"/>
        <v>-354.74889551700949</v>
      </c>
      <c r="T254">
        <f t="shared" si="963"/>
        <v>-0.3547488955170095</v>
      </c>
    </row>
    <row r="255" spans="1:20" x14ac:dyDescent="0.25">
      <c r="A255" s="5">
        <v>44338</v>
      </c>
      <c r="B255">
        <v>40.088999999999999</v>
      </c>
      <c r="C255">
        <v>40.747999999999998</v>
      </c>
      <c r="D255">
        <v>33.222000000000001</v>
      </c>
      <c r="E255">
        <v>34.497999999999998</v>
      </c>
      <c r="F255">
        <v>2185203.21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-0.66090884932235006</v>
      </c>
      <c r="Q255">
        <f t="shared" si="960"/>
        <v>-1444220.1390566058</v>
      </c>
      <c r="R255">
        <f t="shared" si="961"/>
        <v>-33933146.151031323</v>
      </c>
      <c r="S255">
        <f t="shared" si="962"/>
        <v>-339.3314615103132</v>
      </c>
      <c r="T255">
        <f t="shared" si="963"/>
        <v>-0.33933146151031318</v>
      </c>
    </row>
    <row r="256" spans="1:20" x14ac:dyDescent="0.25">
      <c r="A256" s="5">
        <v>44337</v>
      </c>
      <c r="B256">
        <v>49.404000000000003</v>
      </c>
      <c r="C256">
        <v>53.5</v>
      </c>
      <c r="D256">
        <v>34</v>
      </c>
      <c r="E256">
        <v>40.090000000000003</v>
      </c>
      <c r="F256">
        <v>3263001.21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-0.37538461538461504</v>
      </c>
      <c r="Q256">
        <f t="shared" si="960"/>
        <v>-1224880.4542153834</v>
      </c>
      <c r="R256">
        <f t="shared" si="961"/>
        <v>-32488926.011974718</v>
      </c>
      <c r="S256">
        <f t="shared" si="962"/>
        <v>-324.88926011974718</v>
      </c>
      <c r="T256">
        <f t="shared" si="963"/>
        <v>-0.32488926011974717</v>
      </c>
    </row>
    <row r="257" spans="1:20" x14ac:dyDescent="0.25">
      <c r="A257" s="5">
        <v>44336</v>
      </c>
      <c r="B257">
        <v>45.783999999999999</v>
      </c>
      <c r="C257">
        <v>59</v>
      </c>
      <c r="D257">
        <v>38</v>
      </c>
      <c r="E257">
        <v>49.499000000000002</v>
      </c>
      <c r="F257">
        <v>4160833.14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9.5142857142857362E-2</v>
      </c>
      <c r="Q257">
        <f t="shared" si="960"/>
        <v>395873.55303428666</v>
      </c>
      <c r="R257">
        <f t="shared" si="961"/>
        <v>-31264045.557759333</v>
      </c>
      <c r="S257">
        <f t="shared" si="962"/>
        <v>-312.64045557759334</v>
      </c>
      <c r="T257">
        <f t="shared" si="963"/>
        <v>-0.31264045557759335</v>
      </c>
    </row>
    <row r="258" spans="1:20" x14ac:dyDescent="0.25">
      <c r="A258" s="5">
        <v>44335</v>
      </c>
      <c r="B258">
        <v>79.698999999999998</v>
      </c>
      <c r="C258">
        <v>83.936000000000007</v>
      </c>
      <c r="D258">
        <v>31.797999999999998</v>
      </c>
      <c r="E258">
        <v>45.8</v>
      </c>
      <c r="F258">
        <v>13283685.231000001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-0.46288695385323581</v>
      </c>
      <c r="Q258">
        <f t="shared" si="960"/>
        <v>-6148844.5925228074</v>
      </c>
      <c r="R258">
        <f t="shared" si="961"/>
        <v>-31659919.11079362</v>
      </c>
      <c r="S258">
        <f t="shared" si="962"/>
        <v>-316.59919110793618</v>
      </c>
      <c r="T258">
        <f t="shared" si="963"/>
        <v>-0.31659919110793616</v>
      </c>
    </row>
    <row r="259" spans="1:20" x14ac:dyDescent="0.25">
      <c r="A259" s="5">
        <v>44334</v>
      </c>
      <c r="B259">
        <v>84.045000000000002</v>
      </c>
      <c r="C259">
        <v>144.54</v>
      </c>
      <c r="D259">
        <v>70</v>
      </c>
      <c r="E259">
        <v>79.656999999999996</v>
      </c>
      <c r="F259">
        <v>7541533.875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-0.7408907968875772</v>
      </c>
      <c r="Q259">
        <f t="shared" si="960"/>
        <v>-5587453.0424034083</v>
      </c>
      <c r="R259">
        <f t="shared" si="961"/>
        <v>-25511074.518270813</v>
      </c>
      <c r="S259">
        <f t="shared" si="962"/>
        <v>-255.11074518270814</v>
      </c>
      <c r="T259">
        <f t="shared" si="963"/>
        <v>-0.25511074518270815</v>
      </c>
    </row>
    <row r="260" spans="1:20" x14ac:dyDescent="0.25">
      <c r="A260" s="5">
        <v>44333</v>
      </c>
      <c r="B260">
        <v>115.846</v>
      </c>
      <c r="C260">
        <v>120</v>
      </c>
      <c r="D260">
        <v>78.349999999999994</v>
      </c>
      <c r="E260">
        <v>84.091999999999999</v>
      </c>
      <c r="F260">
        <v>2822191.2439999999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-0.72427370948379333</v>
      </c>
      <c r="Q260">
        <f t="shared" si="960"/>
        <v>-2044038.9211645613</v>
      </c>
      <c r="R260">
        <f t="shared" si="961"/>
        <v>-19923621.475867406</v>
      </c>
      <c r="S260">
        <f t="shared" si="962"/>
        <v>-199.23621475867407</v>
      </c>
      <c r="T260">
        <f t="shared" si="963"/>
        <v>-0.19923621475867406</v>
      </c>
    </row>
    <row r="261" spans="1:20" x14ac:dyDescent="0.25">
      <c r="A261" s="5">
        <v>44332</v>
      </c>
      <c r="B261">
        <v>112.559</v>
      </c>
      <c r="C261">
        <v>127.38</v>
      </c>
      <c r="D261">
        <v>104.6</v>
      </c>
      <c r="E261">
        <v>116</v>
      </c>
      <c r="F261">
        <v>1087844.189</v>
      </c>
      <c r="G261">
        <v>0</v>
      </c>
      <c r="L261" t="s">
        <v>7</v>
      </c>
      <c r="M261" t="s">
        <v>8</v>
      </c>
      <c r="N261" t="s">
        <v>8</v>
      </c>
      <c r="P261">
        <f t="shared" si="959"/>
        <v>8.7796312554917603E-4</v>
      </c>
      <c r="Q261">
        <f t="shared" si="960"/>
        <v>955.08708428494856</v>
      </c>
      <c r="R261">
        <f t="shared" si="961"/>
        <v>-17879582.554702844</v>
      </c>
      <c r="S261">
        <f t="shared" si="962"/>
        <v>-178.79582554702844</v>
      </c>
      <c r="T261">
        <f t="shared" si="963"/>
        <v>-0.17879582554702844</v>
      </c>
    </row>
    <row r="262" spans="1:20" x14ac:dyDescent="0.25">
      <c r="A262" s="5">
        <v>44331</v>
      </c>
      <c r="B262">
        <v>124.827</v>
      </c>
      <c r="C262">
        <v>127.288</v>
      </c>
      <c r="D262">
        <v>106</v>
      </c>
      <c r="E262">
        <v>112.539</v>
      </c>
      <c r="F262">
        <v>970764.15899999999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-0.38566328447951875</v>
      </c>
      <c r="Q262">
        <f t="shared" ref="Q262:Q325" si="965">F262*P262</f>
        <v>-374388.09401493776</v>
      </c>
      <c r="R262">
        <f t="shared" ref="R262:R325" si="966">R263+Q262</f>
        <v>-17880537.64178713</v>
      </c>
      <c r="S262">
        <f t="shared" ref="S262:S325" si="967">R262/100000</f>
        <v>-178.80537641787132</v>
      </c>
      <c r="T262">
        <f t="shared" ref="T262:T325" si="968">S262/1000</f>
        <v>-0.17880537641787131</v>
      </c>
    </row>
    <row r="263" spans="1:20" x14ac:dyDescent="0.25">
      <c r="A263" s="5">
        <v>44330</v>
      </c>
      <c r="B263">
        <v>109.33</v>
      </c>
      <c r="C263">
        <v>134.80000000000001</v>
      </c>
      <c r="D263">
        <v>102.88</v>
      </c>
      <c r="E263">
        <v>124.764</v>
      </c>
      <c r="F263">
        <v>1257946.8870000001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0.37117794486215472</v>
      </c>
      <c r="Q263">
        <f t="shared" si="965"/>
        <v>466922.14026240521</v>
      </c>
      <c r="R263">
        <f t="shared" si="966"/>
        <v>-17506149.547772191</v>
      </c>
      <c r="S263">
        <f t="shared" si="967"/>
        <v>-175.06149547772191</v>
      </c>
      <c r="T263">
        <f t="shared" si="968"/>
        <v>-0.1750614954777219</v>
      </c>
    </row>
    <row r="264" spans="1:20" x14ac:dyDescent="0.25">
      <c r="A264" s="5">
        <v>44329</v>
      </c>
      <c r="B264">
        <v>99.203999999999994</v>
      </c>
      <c r="C264">
        <v>117</v>
      </c>
      <c r="D264">
        <v>90</v>
      </c>
      <c r="E264">
        <v>109.33</v>
      </c>
      <c r="F264">
        <v>1396874.1189999999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0.43185185185185171</v>
      </c>
      <c r="Q264">
        <f t="shared" si="965"/>
        <v>603242.67509407387</v>
      </c>
      <c r="R264">
        <f t="shared" si="966"/>
        <v>-17973071.688034598</v>
      </c>
      <c r="S264">
        <f t="shared" si="967"/>
        <v>-179.73071688034597</v>
      </c>
      <c r="T264">
        <f t="shared" si="968"/>
        <v>-0.17973071688034598</v>
      </c>
    </row>
    <row r="265" spans="1:20" x14ac:dyDescent="0.25">
      <c r="A265" s="5">
        <v>44328</v>
      </c>
      <c r="B265">
        <v>134.166</v>
      </c>
      <c r="C265">
        <v>136.35499999999999</v>
      </c>
      <c r="D265">
        <v>96</v>
      </c>
      <c r="E265">
        <v>99.149000000000001</v>
      </c>
      <c r="F265">
        <v>898755.79799999995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-0.84393507619873609</v>
      </c>
      <c r="Q265">
        <f t="shared" si="965"/>
        <v>-758491.5428691858</v>
      </c>
      <c r="R265">
        <f t="shared" si="966"/>
        <v>-18576314.363128673</v>
      </c>
      <c r="S265">
        <f t="shared" si="967"/>
        <v>-185.76314363128674</v>
      </c>
      <c r="T265">
        <f t="shared" si="968"/>
        <v>-0.18576314363128674</v>
      </c>
    </row>
    <row r="266" spans="1:20" x14ac:dyDescent="0.25">
      <c r="A266" s="5">
        <v>44327</v>
      </c>
      <c r="B266">
        <v>124.64700000000001</v>
      </c>
      <c r="C266">
        <v>136.27000000000001</v>
      </c>
      <c r="D266">
        <v>115.205</v>
      </c>
      <c r="E266">
        <v>134.166</v>
      </c>
      <c r="F266">
        <v>806336.05900000001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0.80023736055067529</v>
      </c>
      <c r="Q266">
        <f t="shared" si="965"/>
        <v>645260.23957099358</v>
      </c>
      <c r="R266">
        <f t="shared" si="966"/>
        <v>-17817822.820259489</v>
      </c>
      <c r="S266">
        <f t="shared" si="967"/>
        <v>-178.17822820259488</v>
      </c>
      <c r="T266">
        <f t="shared" si="968"/>
        <v>-0.17817822820259488</v>
      </c>
    </row>
    <row r="267" spans="1:20" x14ac:dyDescent="0.25">
      <c r="A267" s="5">
        <v>44326</v>
      </c>
      <c r="B267">
        <v>139.084</v>
      </c>
      <c r="C267">
        <v>147.63399999999999</v>
      </c>
      <c r="D267">
        <v>118.18600000000001</v>
      </c>
      <c r="E267">
        <v>124.64700000000001</v>
      </c>
      <c r="F267">
        <v>940810.64</v>
      </c>
      <c r="G267">
        <v>0</v>
      </c>
      <c r="L267" t="s">
        <v>8</v>
      </c>
      <c r="M267" t="s">
        <v>7</v>
      </c>
      <c r="N267" t="s">
        <v>8</v>
      </c>
      <c r="P267">
        <f t="shared" si="964"/>
        <v>-0.56119261070361293</v>
      </c>
      <c r="Q267">
        <f t="shared" si="965"/>
        <v>-527975.97923933691</v>
      </c>
      <c r="R267">
        <f t="shared" si="966"/>
        <v>-18463083.059830483</v>
      </c>
      <c r="S267">
        <f t="shared" si="967"/>
        <v>-184.63083059830484</v>
      </c>
      <c r="T267">
        <f t="shared" si="968"/>
        <v>-0.18463083059830485</v>
      </c>
    </row>
    <row r="268" spans="1:20" x14ac:dyDescent="0.25">
      <c r="A268" s="5">
        <v>44325</v>
      </c>
      <c r="B268">
        <v>133.21899999999999</v>
      </c>
      <c r="C268">
        <v>145</v>
      </c>
      <c r="D268">
        <v>123</v>
      </c>
      <c r="E268">
        <v>139.08600000000001</v>
      </c>
      <c r="F268">
        <v>1094705.267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0.46236363636363753</v>
      </c>
      <c r="Q268">
        <f t="shared" si="965"/>
        <v>506151.90799654671</v>
      </c>
      <c r="R268">
        <f t="shared" si="966"/>
        <v>-17935107.080591146</v>
      </c>
      <c r="S268">
        <f t="shared" si="967"/>
        <v>-179.35107080591146</v>
      </c>
      <c r="T268">
        <f t="shared" si="968"/>
        <v>-0.17935107080591145</v>
      </c>
    </row>
    <row r="269" spans="1:20" x14ac:dyDescent="0.25">
      <c r="A269" s="5">
        <v>44324</v>
      </c>
      <c r="B269">
        <v>110.77500000000001</v>
      </c>
      <c r="C269">
        <v>136.398</v>
      </c>
      <c r="D269">
        <v>108.801</v>
      </c>
      <c r="E269">
        <v>133.202</v>
      </c>
      <c r="F269">
        <v>821333.17099999997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0.76838062108200178</v>
      </c>
      <c r="Q269">
        <f t="shared" si="965"/>
        <v>631096.49204822991</v>
      </c>
      <c r="R269">
        <f t="shared" si="966"/>
        <v>-18441258.988587692</v>
      </c>
      <c r="S269">
        <f t="shared" si="967"/>
        <v>-184.41258988587691</v>
      </c>
      <c r="T269">
        <f t="shared" si="968"/>
        <v>-0.18441258988587692</v>
      </c>
    </row>
    <row r="270" spans="1:20" x14ac:dyDescent="0.25">
      <c r="A270" s="5">
        <v>44323</v>
      </c>
      <c r="B270">
        <v>110.217</v>
      </c>
      <c r="C270">
        <v>116.014</v>
      </c>
      <c r="D270">
        <v>104.464</v>
      </c>
      <c r="E270">
        <v>110.78400000000001</v>
      </c>
      <c r="F270">
        <v>540393.45200000005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9.4372294372295926E-2</v>
      </c>
      <c r="Q270">
        <f t="shared" si="965"/>
        <v>50998.169929005177</v>
      </c>
      <c r="R270">
        <f t="shared" si="966"/>
        <v>-19072355.480635922</v>
      </c>
      <c r="S270">
        <f t="shared" si="967"/>
        <v>-190.72355480635923</v>
      </c>
      <c r="T270">
        <f t="shared" si="968"/>
        <v>-0.19072355480635922</v>
      </c>
    </row>
    <row r="271" spans="1:20" x14ac:dyDescent="0.25">
      <c r="A271" s="5">
        <v>44322</v>
      </c>
      <c r="B271">
        <v>118.696</v>
      </c>
      <c r="C271">
        <v>129.958</v>
      </c>
      <c r="D271">
        <v>108.952</v>
      </c>
      <c r="E271">
        <v>110.267</v>
      </c>
      <c r="F271">
        <v>962113.58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-0.87479767685423238</v>
      </c>
      <c r="Q271">
        <f t="shared" si="965"/>
        <v>-841654.72465390863</v>
      </c>
      <c r="R271">
        <f t="shared" si="966"/>
        <v>-19123353.650564928</v>
      </c>
      <c r="S271">
        <f t="shared" si="967"/>
        <v>-191.23353650564928</v>
      </c>
      <c r="T271">
        <f t="shared" si="968"/>
        <v>-0.19123353650564928</v>
      </c>
    </row>
    <row r="272" spans="1:20" x14ac:dyDescent="0.25">
      <c r="A272" s="5">
        <v>44321</v>
      </c>
      <c r="B272">
        <v>109.288</v>
      </c>
      <c r="C272">
        <v>124.375</v>
      </c>
      <c r="D272">
        <v>108.248</v>
      </c>
      <c r="E272">
        <v>118.72</v>
      </c>
      <c r="F272">
        <v>646110.79099999997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0.29869163514602803</v>
      </c>
      <c r="Q272">
        <f t="shared" si="965"/>
        <v>192987.88864928356</v>
      </c>
      <c r="R272">
        <f t="shared" si="966"/>
        <v>-18281698.92591102</v>
      </c>
      <c r="S272">
        <f t="shared" si="967"/>
        <v>-182.81698925911022</v>
      </c>
      <c r="T272">
        <f t="shared" si="968"/>
        <v>-0.18281698925911022</v>
      </c>
    </row>
    <row r="273" spans="1:20" x14ac:dyDescent="0.25">
      <c r="A273" s="5">
        <v>44320</v>
      </c>
      <c r="B273">
        <v>125.221</v>
      </c>
      <c r="C273">
        <v>129.88</v>
      </c>
      <c r="D273">
        <v>108.70099999999999</v>
      </c>
      <c r="E273">
        <v>109.297</v>
      </c>
      <c r="F273">
        <v>874585.88899999997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-0.94371783370319617</v>
      </c>
      <c r="Q273">
        <f t="shared" si="965"/>
        <v>-825362.30055446399</v>
      </c>
      <c r="R273">
        <f t="shared" si="966"/>
        <v>-18474686.814560305</v>
      </c>
      <c r="S273">
        <f t="shared" si="967"/>
        <v>-184.74686814560306</v>
      </c>
      <c r="T273">
        <f t="shared" si="968"/>
        <v>-0.18474686814560307</v>
      </c>
    </row>
    <row r="274" spans="1:20" x14ac:dyDescent="0.25">
      <c r="A274" s="5">
        <v>44319</v>
      </c>
      <c r="B274">
        <v>123.72199999999999</v>
      </c>
      <c r="C274">
        <v>138</v>
      </c>
      <c r="D274">
        <v>121.001</v>
      </c>
      <c r="E274">
        <v>125.026</v>
      </c>
      <c r="F274">
        <v>1072709.801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-0.52644273192540825</v>
      </c>
      <c r="Q274">
        <f t="shared" si="965"/>
        <v>-564720.278201601</v>
      </c>
      <c r="R274">
        <f t="shared" si="966"/>
        <v>-17649324.51400584</v>
      </c>
      <c r="S274">
        <f t="shared" si="967"/>
        <v>-176.49324514005841</v>
      </c>
      <c r="T274">
        <f t="shared" si="968"/>
        <v>-0.1764932451400584</v>
      </c>
    </row>
    <row r="275" spans="1:20" x14ac:dyDescent="0.25">
      <c r="A275" s="5">
        <v>44318</v>
      </c>
      <c r="B275">
        <v>106.611</v>
      </c>
      <c r="C275">
        <v>135</v>
      </c>
      <c r="D275">
        <v>94.742999999999995</v>
      </c>
      <c r="E275">
        <v>123.855</v>
      </c>
      <c r="F275">
        <v>1911100.2290000001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0.44630747447648883</v>
      </c>
      <c r="Q275">
        <f t="shared" si="965"/>
        <v>852938.31667642947</v>
      </c>
      <c r="R275">
        <f t="shared" si="966"/>
        <v>-17084604.235804237</v>
      </c>
      <c r="S275">
        <f t="shared" si="967"/>
        <v>-170.84604235804238</v>
      </c>
      <c r="T275">
        <f t="shared" si="968"/>
        <v>-0.17084604235804238</v>
      </c>
    </row>
    <row r="276" spans="1:20" x14ac:dyDescent="0.25">
      <c r="A276" s="5">
        <v>44317</v>
      </c>
      <c r="B276">
        <v>112.401</v>
      </c>
      <c r="C276">
        <v>114.73</v>
      </c>
      <c r="D276">
        <v>101.01</v>
      </c>
      <c r="E276">
        <v>106.611</v>
      </c>
      <c r="F276">
        <v>865081.2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-0.18352769679300299</v>
      </c>
      <c r="Q276">
        <f t="shared" si="965"/>
        <v>-158766.36017492716</v>
      </c>
      <c r="R276">
        <f t="shared" si="966"/>
        <v>-17937542.552480668</v>
      </c>
      <c r="S276">
        <f t="shared" si="967"/>
        <v>-179.37542552480667</v>
      </c>
      <c r="T276">
        <f t="shared" si="968"/>
        <v>-0.17937542552480668</v>
      </c>
    </row>
    <row r="277" spans="1:20" x14ac:dyDescent="0.25">
      <c r="A277" s="5">
        <v>44316</v>
      </c>
      <c r="B277">
        <v>116</v>
      </c>
      <c r="C277">
        <v>123.879</v>
      </c>
      <c r="D277">
        <v>103.303</v>
      </c>
      <c r="E277">
        <v>112.212</v>
      </c>
      <c r="F277">
        <v>2066224.669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-0.13403965785381</v>
      </c>
      <c r="Q277">
        <f t="shared" si="965"/>
        <v>-276956.04768186185</v>
      </c>
      <c r="R277">
        <f t="shared" si="966"/>
        <v>-17778776.19230574</v>
      </c>
      <c r="S277">
        <f t="shared" si="967"/>
        <v>-177.78776192305739</v>
      </c>
      <c r="T277">
        <f t="shared" si="968"/>
        <v>-0.1777877619230574</v>
      </c>
    </row>
    <row r="278" spans="1:20" x14ac:dyDescent="0.25">
      <c r="A278" s="5">
        <v>44315</v>
      </c>
      <c r="B278">
        <v>75.679000000000002</v>
      </c>
      <c r="C278">
        <v>119.88</v>
      </c>
      <c r="D278">
        <v>72.281999999999996</v>
      </c>
      <c r="E278">
        <v>116</v>
      </c>
      <c r="F278">
        <v>2294630.06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0.83696793982940476</v>
      </c>
      <c r="Q278">
        <f t="shared" si="965"/>
        <v>1920531.7939888234</v>
      </c>
      <c r="R278">
        <f t="shared" si="966"/>
        <v>-17501820.144623879</v>
      </c>
      <c r="S278">
        <f t="shared" si="967"/>
        <v>-175.01820144623881</v>
      </c>
      <c r="T278">
        <f t="shared" si="968"/>
        <v>-0.17501820144623881</v>
      </c>
    </row>
    <row r="279" spans="1:20" x14ac:dyDescent="0.25">
      <c r="A279" s="5">
        <v>44314</v>
      </c>
      <c r="B279">
        <v>74.174999999999997</v>
      </c>
      <c r="C279">
        <v>78.3</v>
      </c>
      <c r="D279">
        <v>67.801000000000002</v>
      </c>
      <c r="E279">
        <v>75.385999999999996</v>
      </c>
      <c r="F279">
        <v>686524.56799999997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0.44489951423945084</v>
      </c>
      <c r="Q279">
        <f t="shared" si="965"/>
        <v>305434.44681664882</v>
      </c>
      <c r="R279">
        <f t="shared" si="966"/>
        <v>-19422351.938612703</v>
      </c>
      <c r="S279">
        <f t="shared" si="967"/>
        <v>-194.22351938612704</v>
      </c>
      <c r="T279">
        <f t="shared" si="968"/>
        <v>-0.19422351938612703</v>
      </c>
    </row>
    <row r="280" spans="1:20" x14ac:dyDescent="0.25">
      <c r="A280" s="5">
        <v>44313</v>
      </c>
      <c r="B280">
        <v>73.396000000000001</v>
      </c>
      <c r="C280">
        <v>77</v>
      </c>
      <c r="D280">
        <v>68</v>
      </c>
      <c r="E280">
        <v>74.186999999999998</v>
      </c>
      <c r="F280">
        <v>859480.88800000004</v>
      </c>
      <c r="G280">
        <v>0</v>
      </c>
      <c r="L280" t="s">
        <v>7</v>
      </c>
      <c r="M280" t="s">
        <v>7</v>
      </c>
      <c r="N280" t="s">
        <v>8</v>
      </c>
      <c r="P280">
        <f t="shared" si="964"/>
        <v>0.37488888888888838</v>
      </c>
      <c r="Q280">
        <f t="shared" si="965"/>
        <v>322209.83512355515</v>
      </c>
      <c r="R280">
        <f t="shared" si="966"/>
        <v>-19727786.385429353</v>
      </c>
      <c r="S280">
        <f t="shared" si="967"/>
        <v>-197.27786385429351</v>
      </c>
      <c r="T280">
        <f t="shared" si="968"/>
        <v>-0.19727786385429352</v>
      </c>
    </row>
    <row r="281" spans="1:20" x14ac:dyDescent="0.25">
      <c r="A281" s="5">
        <v>44312</v>
      </c>
      <c r="B281">
        <v>63.194000000000003</v>
      </c>
      <c r="C281">
        <v>82.120999999999995</v>
      </c>
      <c r="D281">
        <v>62.47</v>
      </c>
      <c r="E281">
        <v>73.400000000000006</v>
      </c>
      <c r="F281">
        <v>770807.18200000003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0.11241158210778168</v>
      </c>
      <c r="Q281">
        <f t="shared" si="965"/>
        <v>86647.654828660816</v>
      </c>
      <c r="R281">
        <f t="shared" si="966"/>
        <v>-20049996.220552906</v>
      </c>
      <c r="S281">
        <f t="shared" si="967"/>
        <v>-200.49996220552907</v>
      </c>
      <c r="T281">
        <f t="shared" si="968"/>
        <v>-0.20049996220552907</v>
      </c>
    </row>
    <row r="282" spans="1:20" x14ac:dyDescent="0.25">
      <c r="A282" s="5">
        <v>44311</v>
      </c>
      <c r="B282">
        <v>60.87</v>
      </c>
      <c r="C282">
        <v>70.897999999999996</v>
      </c>
      <c r="D282">
        <v>58</v>
      </c>
      <c r="E282">
        <v>63.188000000000002</v>
      </c>
      <c r="F282">
        <v>592810.049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-0.19553419134749511</v>
      </c>
      <c r="Q282">
        <f t="shared" si="965"/>
        <v>-115914.63355388395</v>
      </c>
      <c r="R282">
        <f t="shared" si="966"/>
        <v>-20136643.875381567</v>
      </c>
      <c r="S282">
        <f t="shared" si="967"/>
        <v>-201.36643875381566</v>
      </c>
      <c r="T282">
        <f t="shared" si="968"/>
        <v>-0.20136643875381566</v>
      </c>
    </row>
    <row r="283" spans="1:20" x14ac:dyDescent="0.25">
      <c r="A283" s="5">
        <v>44310</v>
      </c>
      <c r="B283">
        <v>67.573999999999998</v>
      </c>
      <c r="C283">
        <v>68.299000000000007</v>
      </c>
      <c r="D283">
        <v>59.149000000000001</v>
      </c>
      <c r="E283">
        <v>60.854999999999997</v>
      </c>
      <c r="F283">
        <v>564626.96699999995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-0.62710382513661311</v>
      </c>
      <c r="Q283">
        <f t="shared" si="965"/>
        <v>-354079.73078098422</v>
      </c>
      <c r="R283">
        <f t="shared" si="966"/>
        <v>-20020729.241827682</v>
      </c>
      <c r="S283">
        <f t="shared" si="967"/>
        <v>-200.20729241827681</v>
      </c>
      <c r="T283">
        <f t="shared" si="968"/>
        <v>-0.20020729241827681</v>
      </c>
    </row>
    <row r="284" spans="1:20" x14ac:dyDescent="0.25">
      <c r="A284" s="5">
        <v>44309</v>
      </c>
      <c r="B284">
        <v>72.551000000000002</v>
      </c>
      <c r="C284">
        <v>73.75</v>
      </c>
      <c r="D284">
        <v>55.960999999999999</v>
      </c>
      <c r="E284">
        <v>67.540999999999997</v>
      </c>
      <c r="F284">
        <v>954622.06900000002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0.30192815785035665</v>
      </c>
      <c r="Q284">
        <f t="shared" si="965"/>
        <v>288227.28273646603</v>
      </c>
      <c r="R284">
        <f t="shared" si="966"/>
        <v>-19666649.511046696</v>
      </c>
      <c r="S284">
        <f t="shared" si="967"/>
        <v>-196.66649511046697</v>
      </c>
      <c r="T284">
        <f t="shared" si="968"/>
        <v>-0.19666649511046697</v>
      </c>
    </row>
    <row r="285" spans="1:20" x14ac:dyDescent="0.25">
      <c r="A285" s="5">
        <v>44308</v>
      </c>
      <c r="B285">
        <v>77.221999999999994</v>
      </c>
      <c r="C285">
        <v>84</v>
      </c>
      <c r="D285">
        <v>69.3</v>
      </c>
      <c r="E285">
        <v>72.674999999999997</v>
      </c>
      <c r="F285">
        <v>725843.64099999995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-0.54081632653061229</v>
      </c>
      <c r="Q285">
        <f t="shared" si="965"/>
        <v>-392548.09156122449</v>
      </c>
      <c r="R285">
        <f t="shared" si="966"/>
        <v>-19954876.793783162</v>
      </c>
      <c r="S285">
        <f t="shared" si="967"/>
        <v>-199.54876793783163</v>
      </c>
      <c r="T285">
        <f t="shared" si="968"/>
        <v>-0.19954876793783163</v>
      </c>
    </row>
    <row r="286" spans="1:20" x14ac:dyDescent="0.25">
      <c r="A286" s="5">
        <v>44307</v>
      </c>
      <c r="B286">
        <v>77.373000000000005</v>
      </c>
      <c r="C286">
        <v>91</v>
      </c>
      <c r="D286">
        <v>75.248999999999995</v>
      </c>
      <c r="E286">
        <v>77.221000000000004</v>
      </c>
      <c r="F286">
        <v>1092021.3389999999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-0.74960319979683732</v>
      </c>
      <c r="Q286">
        <f t="shared" si="965"/>
        <v>-818582.68996082677</v>
      </c>
      <c r="R286">
        <f t="shared" si="966"/>
        <v>-19562328.702221937</v>
      </c>
      <c r="S286">
        <f t="shared" si="967"/>
        <v>-195.62328702221939</v>
      </c>
      <c r="T286">
        <f t="shared" si="968"/>
        <v>-0.1956232870222194</v>
      </c>
    </row>
    <row r="287" spans="1:20" x14ac:dyDescent="0.25">
      <c r="A287" s="5">
        <v>44306</v>
      </c>
      <c r="B287">
        <v>73.295000000000002</v>
      </c>
      <c r="C287">
        <v>78.599999999999994</v>
      </c>
      <c r="D287">
        <v>64.08</v>
      </c>
      <c r="E287">
        <v>77.462999999999994</v>
      </c>
      <c r="F287">
        <v>801949.78599999996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0.84338842975206596</v>
      </c>
      <c r="Q287">
        <f t="shared" si="965"/>
        <v>676355.17075454525</v>
      </c>
      <c r="R287">
        <f t="shared" si="966"/>
        <v>-18743746.012261111</v>
      </c>
      <c r="S287">
        <f t="shared" si="967"/>
        <v>-187.4374601226111</v>
      </c>
      <c r="T287">
        <f t="shared" si="968"/>
        <v>-0.18743746012261109</v>
      </c>
    </row>
    <row r="288" spans="1:20" x14ac:dyDescent="0.25">
      <c r="A288" s="5">
        <v>44305</v>
      </c>
      <c r="B288">
        <v>73.325999999999993</v>
      </c>
      <c r="C288">
        <v>79</v>
      </c>
      <c r="D288">
        <v>69</v>
      </c>
      <c r="E288">
        <v>73.296999999999997</v>
      </c>
      <c r="F288">
        <v>583042.32700000005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-0.14060000000000059</v>
      </c>
      <c r="Q288">
        <f t="shared" si="965"/>
        <v>-81975.751176200341</v>
      </c>
      <c r="R288">
        <f t="shared" si="966"/>
        <v>-19420101.183015656</v>
      </c>
      <c r="S288">
        <f t="shared" si="967"/>
        <v>-194.20101183015655</v>
      </c>
      <c r="T288">
        <f t="shared" si="968"/>
        <v>-0.19420101183015653</v>
      </c>
    </row>
    <row r="289" spans="1:20" x14ac:dyDescent="0.25">
      <c r="A289" s="5">
        <v>44304</v>
      </c>
      <c r="B289">
        <v>82.158000000000001</v>
      </c>
      <c r="C289">
        <v>83.784999999999997</v>
      </c>
      <c r="D289">
        <v>66.66</v>
      </c>
      <c r="E289">
        <v>73.2</v>
      </c>
      <c r="F289">
        <v>699225.79799999995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-0.23620437956204307</v>
      </c>
      <c r="Q289">
        <f t="shared" si="965"/>
        <v>-165160.19579036444</v>
      </c>
      <c r="R289">
        <f t="shared" si="966"/>
        <v>-19338125.431839455</v>
      </c>
      <c r="S289">
        <f t="shared" si="967"/>
        <v>-193.38125431839455</v>
      </c>
      <c r="T289">
        <f t="shared" si="968"/>
        <v>-0.19338125431839456</v>
      </c>
    </row>
    <row r="290" spans="1:20" x14ac:dyDescent="0.25">
      <c r="A290" s="5">
        <v>44303</v>
      </c>
      <c r="B290">
        <v>83.472999999999999</v>
      </c>
      <c r="C290">
        <v>88.763999999999996</v>
      </c>
      <c r="D290">
        <v>78</v>
      </c>
      <c r="E290">
        <v>82.167000000000002</v>
      </c>
      <c r="F290">
        <v>418961.94900000002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-0.22575250836120342</v>
      </c>
      <c r="Q290">
        <f t="shared" si="965"/>
        <v>-94581.710894648582</v>
      </c>
      <c r="R290">
        <f t="shared" si="966"/>
        <v>-19172965.23604909</v>
      </c>
      <c r="S290">
        <f t="shared" si="967"/>
        <v>-191.72965236049089</v>
      </c>
      <c r="T290">
        <f t="shared" si="968"/>
        <v>-0.19172965236049089</v>
      </c>
    </row>
    <row r="291" spans="1:20" x14ac:dyDescent="0.25">
      <c r="A291" s="5">
        <v>44302</v>
      </c>
      <c r="B291">
        <v>92.596999999999994</v>
      </c>
      <c r="C291">
        <v>98.305999999999997</v>
      </c>
      <c r="D291">
        <v>82.8</v>
      </c>
      <c r="E291">
        <v>83.4</v>
      </c>
      <c r="F291">
        <v>661383.505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-0.92261060234747727</v>
      </c>
      <c r="Q291">
        <f t="shared" si="965"/>
        <v>-610199.4339307358</v>
      </c>
      <c r="R291">
        <f t="shared" si="966"/>
        <v>-19078383.525154442</v>
      </c>
      <c r="S291">
        <f t="shared" si="967"/>
        <v>-190.78383525154442</v>
      </c>
      <c r="T291">
        <f t="shared" si="968"/>
        <v>-0.19078383525154441</v>
      </c>
    </row>
    <row r="292" spans="1:20" x14ac:dyDescent="0.25">
      <c r="A292" s="5">
        <v>44301</v>
      </c>
      <c r="B292">
        <v>76.884</v>
      </c>
      <c r="C292">
        <v>96</v>
      </c>
      <c r="D292">
        <v>72.320999999999998</v>
      </c>
      <c r="E292">
        <v>92.6</v>
      </c>
      <c r="F292">
        <v>991447.74300000002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0.71282571054520838</v>
      </c>
      <c r="Q292">
        <f t="shared" si="965"/>
        <v>706729.44187241816</v>
      </c>
      <c r="R292">
        <f t="shared" si="966"/>
        <v>-18468184.091223706</v>
      </c>
      <c r="S292">
        <f t="shared" si="967"/>
        <v>-184.68184091223705</v>
      </c>
      <c r="T292">
        <f t="shared" si="968"/>
        <v>-0.18468184091223705</v>
      </c>
    </row>
    <row r="293" spans="1:20" x14ac:dyDescent="0.25">
      <c r="A293" s="5">
        <v>44300</v>
      </c>
      <c r="B293">
        <v>79.150000000000006</v>
      </c>
      <c r="C293">
        <v>83.207999999999998</v>
      </c>
      <c r="D293">
        <v>74.984999999999999</v>
      </c>
      <c r="E293">
        <v>76.793000000000006</v>
      </c>
      <c r="F293">
        <v>532252.446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-0.5602578134500773</v>
      </c>
      <c r="Q293">
        <f t="shared" si="965"/>
        <v>-298198.59159941535</v>
      </c>
      <c r="R293">
        <f t="shared" si="966"/>
        <v>-19174913.533096123</v>
      </c>
      <c r="S293">
        <f t="shared" si="967"/>
        <v>-191.74913533096122</v>
      </c>
      <c r="T293">
        <f t="shared" si="968"/>
        <v>-0.19174913533096122</v>
      </c>
    </row>
    <row r="294" spans="1:20" x14ac:dyDescent="0.25">
      <c r="A294" s="5">
        <v>44299</v>
      </c>
      <c r="B294">
        <v>82.42</v>
      </c>
      <c r="C294">
        <v>90.997</v>
      </c>
      <c r="D294">
        <v>75.150000000000006</v>
      </c>
      <c r="E294">
        <v>79.004999999999995</v>
      </c>
      <c r="F294">
        <v>1440944.209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-0.51347258156117992</v>
      </c>
      <c r="Q294">
        <f t="shared" si="965"/>
        <v>-739885.34288086242</v>
      </c>
      <c r="R294">
        <f t="shared" si="966"/>
        <v>-18876714.941496707</v>
      </c>
      <c r="S294">
        <f t="shared" si="967"/>
        <v>-188.76714941496707</v>
      </c>
      <c r="T294">
        <f t="shared" si="968"/>
        <v>-0.18876714941496706</v>
      </c>
    </row>
    <row r="295" spans="1:20" x14ac:dyDescent="0.25">
      <c r="A295" s="5">
        <v>44298</v>
      </c>
      <c r="B295">
        <v>65.933999999999997</v>
      </c>
      <c r="C295">
        <v>92.292000000000002</v>
      </c>
      <c r="D295">
        <v>60.38</v>
      </c>
      <c r="E295">
        <v>82.53</v>
      </c>
      <c r="F295">
        <v>1796452.1740000001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0.38819252945600397</v>
      </c>
      <c r="Q295">
        <f t="shared" si="965"/>
        <v>697369.31347179739</v>
      </c>
      <c r="R295">
        <f t="shared" si="966"/>
        <v>-18136829.598615844</v>
      </c>
      <c r="S295">
        <f t="shared" si="967"/>
        <v>-181.36829598615844</v>
      </c>
      <c r="T295">
        <f t="shared" si="968"/>
        <v>-0.18136829598615845</v>
      </c>
    </row>
    <row r="296" spans="1:20" x14ac:dyDescent="0.25">
      <c r="A296" s="5">
        <v>44297</v>
      </c>
      <c r="B296">
        <v>59.966999999999999</v>
      </c>
      <c r="C296">
        <v>67.98</v>
      </c>
      <c r="D296">
        <v>59.213999999999999</v>
      </c>
      <c r="E296">
        <v>66.003</v>
      </c>
      <c r="F296">
        <v>330839.67800000001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0.54893908281998571</v>
      </c>
      <c r="Q296">
        <f t="shared" si="965"/>
        <v>181610.82940177943</v>
      </c>
      <c r="R296">
        <f t="shared" si="966"/>
        <v>-18834198.912087642</v>
      </c>
      <c r="S296">
        <f t="shared" si="967"/>
        <v>-188.34198912087641</v>
      </c>
      <c r="T296">
        <f t="shared" si="968"/>
        <v>-0.18834198912087641</v>
      </c>
    </row>
    <row r="297" spans="1:20" x14ac:dyDescent="0.25">
      <c r="A297" s="5">
        <v>44296</v>
      </c>
      <c r="B297">
        <v>63.311999999999998</v>
      </c>
      <c r="C297">
        <v>68</v>
      </c>
      <c r="D297">
        <v>58.52</v>
      </c>
      <c r="E297">
        <v>59.997</v>
      </c>
      <c r="F297">
        <v>443525.20199999999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-0.68839662447257444</v>
      </c>
      <c r="Q297">
        <f t="shared" si="965"/>
        <v>-305321.2519253167</v>
      </c>
      <c r="R297">
        <f t="shared" si="966"/>
        <v>-19015809.741489422</v>
      </c>
      <c r="S297">
        <f t="shared" si="967"/>
        <v>-190.15809741489423</v>
      </c>
      <c r="T297">
        <f t="shared" si="968"/>
        <v>-0.19015809741489423</v>
      </c>
    </row>
    <row r="298" spans="1:20" x14ac:dyDescent="0.25">
      <c r="A298" s="5">
        <v>44295</v>
      </c>
      <c r="B298">
        <v>60.58</v>
      </c>
      <c r="C298">
        <v>64.5</v>
      </c>
      <c r="D298">
        <v>57.212000000000003</v>
      </c>
      <c r="E298">
        <v>63.213000000000001</v>
      </c>
      <c r="F298">
        <v>368447.67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0.64681668496158073</v>
      </c>
      <c r="Q298">
        <f t="shared" si="965"/>
        <v>238318.10049121844</v>
      </c>
      <c r="R298">
        <f t="shared" si="966"/>
        <v>-18710488.489564106</v>
      </c>
      <c r="S298">
        <f t="shared" si="967"/>
        <v>-187.10488489564105</v>
      </c>
      <c r="T298">
        <f t="shared" si="968"/>
        <v>-0.18710488489564106</v>
      </c>
    </row>
    <row r="299" spans="1:20" x14ac:dyDescent="0.25">
      <c r="A299" s="5">
        <v>44294</v>
      </c>
      <c r="B299">
        <v>52.401000000000003</v>
      </c>
      <c r="C299">
        <v>61.256999999999998</v>
      </c>
      <c r="D299">
        <v>51.387</v>
      </c>
      <c r="E299">
        <v>60.66</v>
      </c>
      <c r="F299">
        <v>495604.76299999998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0.87902735562309997</v>
      </c>
      <c r="Q299">
        <f t="shared" si="965"/>
        <v>435650.14425410319</v>
      </c>
      <c r="R299">
        <f t="shared" si="966"/>
        <v>-18948806.590055324</v>
      </c>
      <c r="S299">
        <f t="shared" si="967"/>
        <v>-189.48806590055324</v>
      </c>
      <c r="T299">
        <f t="shared" si="968"/>
        <v>-0.18948806590055323</v>
      </c>
    </row>
    <row r="300" spans="1:20" x14ac:dyDescent="0.25">
      <c r="A300" s="5">
        <v>44293</v>
      </c>
      <c r="B300">
        <v>57.432000000000002</v>
      </c>
      <c r="C300">
        <v>59.5</v>
      </c>
      <c r="D300">
        <v>48.942999999999998</v>
      </c>
      <c r="E300">
        <v>52.401000000000003</v>
      </c>
      <c r="F300">
        <v>474228.19099999999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-0.34488964667992711</v>
      </c>
      <c r="Q300">
        <f t="shared" si="965"/>
        <v>-163556.39323965099</v>
      </c>
      <c r="R300">
        <f t="shared" si="966"/>
        <v>-19384456.734309427</v>
      </c>
      <c r="S300">
        <f t="shared" si="967"/>
        <v>-193.84456734309427</v>
      </c>
      <c r="T300">
        <f t="shared" si="968"/>
        <v>-0.19384456734309427</v>
      </c>
    </row>
    <row r="301" spans="1:20" x14ac:dyDescent="0.25">
      <c r="A301" s="5">
        <v>44292</v>
      </c>
      <c r="B301">
        <v>55.215000000000003</v>
      </c>
      <c r="C301">
        <v>59.06</v>
      </c>
      <c r="D301">
        <v>54.039000000000001</v>
      </c>
      <c r="E301">
        <v>57.432000000000002</v>
      </c>
      <c r="F301">
        <v>339823.53399999999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0.35152360087631951</v>
      </c>
      <c r="Q301">
        <f t="shared" si="965"/>
        <v>119455.99233419639</v>
      </c>
      <c r="R301">
        <f t="shared" si="966"/>
        <v>-19220900.341069777</v>
      </c>
      <c r="S301">
        <f t="shared" si="967"/>
        <v>-192.20900341069776</v>
      </c>
      <c r="T301">
        <f t="shared" si="968"/>
        <v>-0.19220900341069777</v>
      </c>
    </row>
    <row r="302" spans="1:20" x14ac:dyDescent="0.25">
      <c r="A302" s="5">
        <v>44291</v>
      </c>
      <c r="B302">
        <v>57.841000000000001</v>
      </c>
      <c r="C302">
        <v>60.34</v>
      </c>
      <c r="D302">
        <v>53.88</v>
      </c>
      <c r="E302">
        <v>55.223999999999997</v>
      </c>
      <c r="F302">
        <v>419950.386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-0.58390092879257149</v>
      </c>
      <c r="Q302">
        <f t="shared" si="965"/>
        <v>-245209.42043219891</v>
      </c>
      <c r="R302">
        <f t="shared" si="966"/>
        <v>-19340356.333403975</v>
      </c>
      <c r="S302">
        <f t="shared" si="967"/>
        <v>-193.40356333403975</v>
      </c>
      <c r="T302">
        <f t="shared" si="968"/>
        <v>-0.19340356333403974</v>
      </c>
    </row>
    <row r="303" spans="1:20" x14ac:dyDescent="0.25">
      <c r="A303" s="5">
        <v>44290</v>
      </c>
      <c r="B303">
        <v>52.18</v>
      </c>
      <c r="C303">
        <v>58.417000000000002</v>
      </c>
      <c r="D303">
        <v>51.122999999999998</v>
      </c>
      <c r="E303">
        <v>57.811999999999998</v>
      </c>
      <c r="F303">
        <v>397861.75400000002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0.83411022758431486</v>
      </c>
      <c r="Q303">
        <f t="shared" si="965"/>
        <v>331860.55817603471</v>
      </c>
      <c r="R303">
        <f t="shared" si="966"/>
        <v>-19095146.912971776</v>
      </c>
      <c r="S303">
        <f t="shared" si="967"/>
        <v>-190.95146912971776</v>
      </c>
      <c r="T303">
        <f t="shared" si="968"/>
        <v>-0.19095146912971778</v>
      </c>
    </row>
    <row r="304" spans="1:20" x14ac:dyDescent="0.25">
      <c r="A304" s="5">
        <v>44289</v>
      </c>
      <c r="B304">
        <v>57.939</v>
      </c>
      <c r="C304">
        <v>60.34</v>
      </c>
      <c r="D304">
        <v>51.820999999999998</v>
      </c>
      <c r="E304">
        <v>52.189</v>
      </c>
      <c r="F304">
        <v>508396.848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-0.9136048832022533</v>
      </c>
      <c r="Q304">
        <f t="shared" si="965"/>
        <v>-464473.84293743374</v>
      </c>
      <c r="R304">
        <f t="shared" si="966"/>
        <v>-19427007.471147809</v>
      </c>
      <c r="S304">
        <f t="shared" si="967"/>
        <v>-194.27007471147809</v>
      </c>
      <c r="T304">
        <f t="shared" si="968"/>
        <v>-0.19427007471147809</v>
      </c>
    </row>
    <row r="305" spans="1:20" x14ac:dyDescent="0.25">
      <c r="A305" s="5">
        <v>44288</v>
      </c>
      <c r="B305">
        <v>63.235999999999997</v>
      </c>
      <c r="C305">
        <v>69</v>
      </c>
      <c r="D305">
        <v>56.860999999999997</v>
      </c>
      <c r="E305">
        <v>57.936999999999998</v>
      </c>
      <c r="F305">
        <v>579927.13399999996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-0.82272015816788857</v>
      </c>
      <c r="Q305">
        <f t="shared" si="965"/>
        <v>-477117.74341033027</v>
      </c>
      <c r="R305">
        <f t="shared" si="966"/>
        <v>-18962533.628210377</v>
      </c>
      <c r="S305">
        <f t="shared" si="967"/>
        <v>-189.62533628210377</v>
      </c>
      <c r="T305">
        <f t="shared" si="968"/>
        <v>-0.18962533628210376</v>
      </c>
    </row>
    <row r="306" spans="1:20" x14ac:dyDescent="0.25">
      <c r="A306" s="5">
        <v>44287</v>
      </c>
      <c r="B306">
        <v>66.706999999999994</v>
      </c>
      <c r="C306">
        <v>67.228999999999999</v>
      </c>
      <c r="D306">
        <v>59.896999999999998</v>
      </c>
      <c r="E306">
        <v>63.302999999999997</v>
      </c>
      <c r="F306">
        <v>398633.19500000001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-7.0921985815603258E-2</v>
      </c>
      <c r="Q306">
        <f t="shared" si="965"/>
        <v>-28271.85780141861</v>
      </c>
      <c r="R306">
        <f t="shared" si="966"/>
        <v>-18485415.884800047</v>
      </c>
      <c r="S306">
        <f t="shared" si="967"/>
        <v>-184.85415884800048</v>
      </c>
      <c r="T306">
        <f t="shared" si="968"/>
        <v>-0.18485415884800049</v>
      </c>
    </row>
    <row r="307" spans="1:20" x14ac:dyDescent="0.25">
      <c r="A307" s="5">
        <v>44286</v>
      </c>
      <c r="B307">
        <v>59.845999999999997</v>
      </c>
      <c r="C307">
        <v>70</v>
      </c>
      <c r="D307">
        <v>58.411000000000001</v>
      </c>
      <c r="E307">
        <v>66.8</v>
      </c>
      <c r="F307">
        <v>870677.66799999995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0.44775217879023155</v>
      </c>
      <c r="Q307">
        <f t="shared" si="965"/>
        <v>389847.82287099783</v>
      </c>
      <c r="R307">
        <f t="shared" si="966"/>
        <v>-18457144.026998628</v>
      </c>
      <c r="S307">
        <f t="shared" si="967"/>
        <v>-184.57144026998628</v>
      </c>
      <c r="T307">
        <f t="shared" si="968"/>
        <v>-0.18457144026998629</v>
      </c>
    </row>
    <row r="308" spans="1:20" x14ac:dyDescent="0.25">
      <c r="A308" s="5">
        <v>44285</v>
      </c>
      <c r="B308">
        <v>56.99</v>
      </c>
      <c r="C308">
        <v>70.918999999999997</v>
      </c>
      <c r="D308">
        <v>54.07</v>
      </c>
      <c r="E308">
        <v>59.987000000000002</v>
      </c>
      <c r="F308">
        <v>1813630.6869999999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-0.29764377707875805</v>
      </c>
      <c r="Q308">
        <f t="shared" si="965"/>
        <v>-539815.88790462282</v>
      </c>
      <c r="R308">
        <f t="shared" si="966"/>
        <v>-18846991.849869628</v>
      </c>
      <c r="S308">
        <f t="shared" si="967"/>
        <v>-188.46991849869627</v>
      </c>
      <c r="T308">
        <f t="shared" si="968"/>
        <v>-0.18846991849869627</v>
      </c>
    </row>
    <row r="309" spans="1:20" x14ac:dyDescent="0.25">
      <c r="A309" s="5">
        <v>44284</v>
      </c>
      <c r="B309">
        <v>48.871000000000002</v>
      </c>
      <c r="C309">
        <v>57</v>
      </c>
      <c r="D309">
        <v>47</v>
      </c>
      <c r="E309">
        <v>57</v>
      </c>
      <c r="F309">
        <v>757511.78200000001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1</v>
      </c>
      <c r="Q309">
        <f t="shared" si="965"/>
        <v>757511.78200000001</v>
      </c>
      <c r="R309">
        <f t="shared" si="966"/>
        <v>-18307175.961965006</v>
      </c>
      <c r="S309">
        <f t="shared" si="967"/>
        <v>-183.07175961965007</v>
      </c>
      <c r="T309">
        <f t="shared" si="968"/>
        <v>-0.18307175961965005</v>
      </c>
    </row>
    <row r="310" spans="1:20" x14ac:dyDescent="0.25">
      <c r="A310" s="5">
        <v>44283</v>
      </c>
      <c r="B310">
        <v>47.743000000000002</v>
      </c>
      <c r="C310">
        <v>57.929000000000002</v>
      </c>
      <c r="D310">
        <v>46.142000000000003</v>
      </c>
      <c r="E310">
        <v>48.878</v>
      </c>
      <c r="F310">
        <v>1419643.679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-0.53575973530160392</v>
      </c>
      <c r="Q310">
        <f t="shared" si="965"/>
        <v>-760587.92168363521</v>
      </c>
      <c r="R310">
        <f t="shared" si="966"/>
        <v>-19064687.743965007</v>
      </c>
      <c r="S310">
        <f t="shared" si="967"/>
        <v>-190.64687743965007</v>
      </c>
      <c r="T310">
        <f t="shared" si="968"/>
        <v>-0.19064687743965006</v>
      </c>
    </row>
    <row r="311" spans="1:20" x14ac:dyDescent="0.25">
      <c r="A311" s="5">
        <v>44282</v>
      </c>
      <c r="B311">
        <v>41.701000000000001</v>
      </c>
      <c r="C311">
        <v>49.5</v>
      </c>
      <c r="D311">
        <v>39.854999999999997</v>
      </c>
      <c r="E311">
        <v>47.75</v>
      </c>
      <c r="F311">
        <v>846354.23899999994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0.63711767755313642</v>
      </c>
      <c r="Q311">
        <f t="shared" si="965"/>
        <v>539227.24713893211</v>
      </c>
      <c r="R311">
        <f t="shared" si="966"/>
        <v>-18304099.822281372</v>
      </c>
      <c r="S311">
        <f t="shared" si="967"/>
        <v>-183.04099822281373</v>
      </c>
      <c r="T311">
        <f t="shared" si="968"/>
        <v>-0.18304099822281372</v>
      </c>
    </row>
    <row r="312" spans="1:20" x14ac:dyDescent="0.25">
      <c r="A312" s="5">
        <v>44281</v>
      </c>
      <c r="B312">
        <v>37.177</v>
      </c>
      <c r="C312">
        <v>41.814999999999998</v>
      </c>
      <c r="D312">
        <v>37.094999999999999</v>
      </c>
      <c r="E312">
        <v>41.78</v>
      </c>
      <c r="F312">
        <v>425299.44699999999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0.98516949152542521</v>
      </c>
      <c r="Q312">
        <f t="shared" si="965"/>
        <v>418992.0399470345</v>
      </c>
      <c r="R312">
        <f t="shared" si="966"/>
        <v>-18843327.069420304</v>
      </c>
      <c r="S312">
        <f t="shared" si="967"/>
        <v>-188.43327069420303</v>
      </c>
      <c r="T312">
        <f t="shared" si="968"/>
        <v>-0.18843327069420304</v>
      </c>
    </row>
    <row r="313" spans="1:20" x14ac:dyDescent="0.25">
      <c r="A313" s="5">
        <v>44280</v>
      </c>
      <c r="B313">
        <v>41.04</v>
      </c>
      <c r="C313">
        <v>41.396000000000001</v>
      </c>
      <c r="D313">
        <v>35.200000000000003</v>
      </c>
      <c r="E313">
        <v>37.17</v>
      </c>
      <c r="F313">
        <v>672123.14300000004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-0.36410587475790851</v>
      </c>
      <c r="Q313">
        <f t="shared" si="965"/>
        <v>-244723.98492704984</v>
      </c>
      <c r="R313">
        <f t="shared" si="966"/>
        <v>-19262319.109367337</v>
      </c>
      <c r="S313">
        <f t="shared" si="967"/>
        <v>-192.62319109367337</v>
      </c>
      <c r="T313">
        <f t="shared" si="968"/>
        <v>-0.19262319109367337</v>
      </c>
    </row>
    <row r="314" spans="1:20" x14ac:dyDescent="0.25">
      <c r="A314" s="5">
        <v>44279</v>
      </c>
      <c r="B314">
        <v>42.134</v>
      </c>
      <c r="C314">
        <v>47.033999999999999</v>
      </c>
      <c r="D314">
        <v>41</v>
      </c>
      <c r="E314">
        <v>41.121000000000002</v>
      </c>
      <c r="F314">
        <v>548648.41700000002</v>
      </c>
      <c r="G314">
        <v>0</v>
      </c>
      <c r="L314" t="s">
        <v>8</v>
      </c>
      <c r="M314" t="s">
        <v>7</v>
      </c>
      <c r="N314" t="s">
        <v>7</v>
      </c>
      <c r="P314">
        <f t="shared" si="964"/>
        <v>-0.95989393437189185</v>
      </c>
      <c r="Q314">
        <f t="shared" si="965"/>
        <v>-526644.28758104041</v>
      </c>
      <c r="R314">
        <f t="shared" si="966"/>
        <v>-19017595.124440286</v>
      </c>
      <c r="S314">
        <f t="shared" si="967"/>
        <v>-190.17595124440285</v>
      </c>
      <c r="T314">
        <f t="shared" si="968"/>
        <v>-0.19017595124440284</v>
      </c>
    </row>
    <row r="315" spans="1:20" x14ac:dyDescent="0.25">
      <c r="A315" s="5">
        <v>44278</v>
      </c>
      <c r="B315">
        <v>41.426000000000002</v>
      </c>
      <c r="C315">
        <v>45</v>
      </c>
      <c r="D315">
        <v>40.421999999999997</v>
      </c>
      <c r="E315">
        <v>42.134</v>
      </c>
      <c r="F315">
        <v>453024.77899999998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-0.25207514198339792</v>
      </c>
      <c r="Q315">
        <f t="shared" si="965"/>
        <v>-114196.28548842247</v>
      </c>
      <c r="R315">
        <f t="shared" si="966"/>
        <v>-18490950.836859245</v>
      </c>
      <c r="S315">
        <f t="shared" si="967"/>
        <v>-184.90950836859244</v>
      </c>
      <c r="T315">
        <f t="shared" si="968"/>
        <v>-0.18490950836859243</v>
      </c>
    </row>
    <row r="316" spans="1:20" x14ac:dyDescent="0.25">
      <c r="A316" s="5">
        <v>44277</v>
      </c>
      <c r="B316">
        <v>43.35</v>
      </c>
      <c r="C316">
        <v>48.622999999999998</v>
      </c>
      <c r="D316">
        <v>41.41</v>
      </c>
      <c r="E316">
        <v>41.423999999999999</v>
      </c>
      <c r="F316">
        <v>682738.24899999995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-0.9961181200610002</v>
      </c>
      <c r="Q316">
        <f t="shared" si="965"/>
        <v>-680087.94108761905</v>
      </c>
      <c r="R316">
        <f t="shared" si="966"/>
        <v>-18376754.551370822</v>
      </c>
      <c r="S316">
        <f t="shared" si="967"/>
        <v>-183.76754551370823</v>
      </c>
      <c r="T316">
        <f t="shared" si="968"/>
        <v>-0.18376754551370822</v>
      </c>
    </row>
    <row r="317" spans="1:20" x14ac:dyDescent="0.25">
      <c r="A317" s="5">
        <v>44276</v>
      </c>
      <c r="B317">
        <v>42.241999999999997</v>
      </c>
      <c r="C317">
        <v>43.783000000000001</v>
      </c>
      <c r="D317">
        <v>41</v>
      </c>
      <c r="E317">
        <v>43.322000000000003</v>
      </c>
      <c r="F317">
        <v>311642.33299999998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0.66870283866331415</v>
      </c>
      <c r="Q317">
        <f t="shared" si="965"/>
        <v>208396.11272475781</v>
      </c>
      <c r="R317">
        <f t="shared" si="966"/>
        <v>-17696666.610283203</v>
      </c>
      <c r="S317">
        <f t="shared" si="967"/>
        <v>-176.96666610283202</v>
      </c>
      <c r="T317">
        <f t="shared" si="968"/>
        <v>-0.17696666610283202</v>
      </c>
    </row>
    <row r="318" spans="1:20" x14ac:dyDescent="0.25">
      <c r="A318" s="5">
        <v>44275</v>
      </c>
      <c r="B318">
        <v>45.517000000000003</v>
      </c>
      <c r="C318">
        <v>46.688000000000002</v>
      </c>
      <c r="D318">
        <v>42.06</v>
      </c>
      <c r="E318">
        <v>42.279000000000003</v>
      </c>
      <c r="F318">
        <v>371654.42700000003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-0.90535868625756211</v>
      </c>
      <c r="Q318">
        <f t="shared" si="965"/>
        <v>-336480.56377052702</v>
      </c>
      <c r="R318">
        <f t="shared" si="966"/>
        <v>-17905062.723007962</v>
      </c>
      <c r="S318">
        <f t="shared" si="967"/>
        <v>-179.05062723007961</v>
      </c>
      <c r="T318">
        <f t="shared" si="968"/>
        <v>-0.17905062723007961</v>
      </c>
    </row>
    <row r="319" spans="1:20" x14ac:dyDescent="0.25">
      <c r="A319" s="5">
        <v>44274</v>
      </c>
      <c r="B319">
        <v>44.863999999999997</v>
      </c>
      <c r="C319">
        <v>46.34</v>
      </c>
      <c r="D319">
        <v>43.472000000000001</v>
      </c>
      <c r="E319">
        <v>45.518000000000001</v>
      </c>
      <c r="F319">
        <v>386537.71600000001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0.42677824267782277</v>
      </c>
      <c r="Q319">
        <f t="shared" si="965"/>
        <v>164965.88716317934</v>
      </c>
      <c r="R319">
        <f t="shared" si="966"/>
        <v>-17568582.159237437</v>
      </c>
      <c r="S319">
        <f t="shared" si="967"/>
        <v>-175.68582159237437</v>
      </c>
      <c r="T319">
        <f t="shared" si="968"/>
        <v>-0.17568582159237436</v>
      </c>
    </row>
    <row r="320" spans="1:20" x14ac:dyDescent="0.25">
      <c r="A320" s="5">
        <v>44273</v>
      </c>
      <c r="B320">
        <v>49.234000000000002</v>
      </c>
      <c r="C320">
        <v>51.853000000000002</v>
      </c>
      <c r="D320">
        <v>44.338999999999999</v>
      </c>
      <c r="E320">
        <v>44.933</v>
      </c>
      <c r="F320">
        <v>608750.99699999997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-0.84189512909236064</v>
      </c>
      <c r="Q320">
        <f t="shared" si="965"/>
        <v>-512504.49920441821</v>
      </c>
      <c r="R320">
        <f t="shared" si="966"/>
        <v>-17733548.046400618</v>
      </c>
      <c r="S320">
        <f t="shared" si="967"/>
        <v>-177.33548046400617</v>
      </c>
      <c r="T320">
        <f t="shared" si="968"/>
        <v>-0.17733548046400616</v>
      </c>
    </row>
    <row r="321" spans="1:20" x14ac:dyDescent="0.25">
      <c r="A321" s="5">
        <v>44272</v>
      </c>
      <c r="B321">
        <v>42.908000000000001</v>
      </c>
      <c r="C321">
        <v>50.304000000000002</v>
      </c>
      <c r="D321">
        <v>41.576000000000001</v>
      </c>
      <c r="E321">
        <v>49.15</v>
      </c>
      <c r="F321">
        <v>786895.19400000002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0.73556370302474716</v>
      </c>
      <c r="Q321">
        <f t="shared" si="965"/>
        <v>578811.54279101687</v>
      </c>
      <c r="R321">
        <f t="shared" si="966"/>
        <v>-17221043.547196198</v>
      </c>
      <c r="S321">
        <f t="shared" si="967"/>
        <v>-172.21043547196197</v>
      </c>
      <c r="T321">
        <f t="shared" si="968"/>
        <v>-0.17221043547196196</v>
      </c>
    </row>
    <row r="322" spans="1:20" x14ac:dyDescent="0.25">
      <c r="A322" s="5">
        <v>44271</v>
      </c>
      <c r="B322">
        <v>42.286999999999999</v>
      </c>
      <c r="C322">
        <v>45.283999999999999</v>
      </c>
      <c r="D322">
        <v>40</v>
      </c>
      <c r="E322">
        <v>42.86</v>
      </c>
      <c r="F322">
        <v>512062.641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8.2513247539742623E-2</v>
      </c>
      <c r="Q322">
        <f t="shared" si="965"/>
        <v>42251.951452687361</v>
      </c>
      <c r="R322">
        <f t="shared" si="966"/>
        <v>-17799855.089987215</v>
      </c>
      <c r="S322">
        <f t="shared" si="967"/>
        <v>-177.99855089987216</v>
      </c>
      <c r="T322">
        <f t="shared" si="968"/>
        <v>-0.17799855089987215</v>
      </c>
    </row>
    <row r="323" spans="1:20" x14ac:dyDescent="0.25">
      <c r="A323" s="5">
        <v>44270</v>
      </c>
      <c r="B323">
        <v>45.991</v>
      </c>
      <c r="C323">
        <v>47.418999999999997</v>
      </c>
      <c r="D323">
        <v>41</v>
      </c>
      <c r="E323">
        <v>42.262</v>
      </c>
      <c r="F323">
        <v>766972.81499999994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-0.60679233525471221</v>
      </c>
      <c r="Q323">
        <f t="shared" si="965"/>
        <v>-465393.22549073031</v>
      </c>
      <c r="R323">
        <f t="shared" si="966"/>
        <v>-17842107.041439902</v>
      </c>
      <c r="S323">
        <f t="shared" si="967"/>
        <v>-178.42107041439903</v>
      </c>
      <c r="T323">
        <f t="shared" si="968"/>
        <v>-0.17842107041439903</v>
      </c>
    </row>
    <row r="324" spans="1:20" x14ac:dyDescent="0.25">
      <c r="A324" s="5">
        <v>44269</v>
      </c>
      <c r="B324">
        <v>49.137</v>
      </c>
      <c r="C324">
        <v>51</v>
      </c>
      <c r="D324">
        <v>45.5</v>
      </c>
      <c r="E324">
        <v>45.890999999999998</v>
      </c>
      <c r="F324">
        <v>558485.65899999999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-0.85781818181818248</v>
      </c>
      <c r="Q324">
        <f t="shared" si="965"/>
        <v>-479079.15257490944</v>
      </c>
      <c r="R324">
        <f t="shared" si="966"/>
        <v>-17376713.815949172</v>
      </c>
      <c r="S324">
        <f t="shared" si="967"/>
        <v>-173.76713815949171</v>
      </c>
      <c r="T324">
        <f t="shared" si="968"/>
        <v>-0.17376713815949171</v>
      </c>
    </row>
    <row r="325" spans="1:20" x14ac:dyDescent="0.25">
      <c r="A325" s="5">
        <v>44268</v>
      </c>
      <c r="B325">
        <v>51.637</v>
      </c>
      <c r="C325">
        <v>54.768999999999998</v>
      </c>
      <c r="D325">
        <v>46.271999999999998</v>
      </c>
      <c r="E325">
        <v>49.137</v>
      </c>
      <c r="F325">
        <v>920182.04799999995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-0.32564434506296291</v>
      </c>
      <c r="Q325">
        <f t="shared" si="965"/>
        <v>-299652.0803596559</v>
      </c>
      <c r="R325">
        <f t="shared" si="966"/>
        <v>-16897634.663374264</v>
      </c>
      <c r="S325">
        <f t="shared" si="967"/>
        <v>-168.97634663374265</v>
      </c>
      <c r="T325">
        <f t="shared" si="968"/>
        <v>-0.16897634663374264</v>
      </c>
    </row>
    <row r="326" spans="1:20" x14ac:dyDescent="0.25">
      <c r="A326" s="5">
        <v>44267</v>
      </c>
      <c r="B326">
        <v>60.585000000000001</v>
      </c>
      <c r="C326">
        <v>61</v>
      </c>
      <c r="D326">
        <v>49.41</v>
      </c>
      <c r="E326">
        <v>51.543999999999997</v>
      </c>
      <c r="F326">
        <v>1069590.433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-0.63175150992234685</v>
      </c>
      <c r="Q326">
        <f t="shared" ref="Q326:Q389" si="970">F326*P326</f>
        <v>-675715.37104624673</v>
      </c>
      <c r="R326">
        <f t="shared" ref="R326:R389" si="971">R327+Q326</f>
        <v>-16597982.583014609</v>
      </c>
      <c r="S326">
        <f t="shared" ref="S326:S389" si="972">R326/100000</f>
        <v>-165.9798258301461</v>
      </c>
      <c r="T326">
        <f t="shared" ref="T326:T389" si="973">S326/1000</f>
        <v>-0.16597982583014609</v>
      </c>
    </row>
    <row r="327" spans="1:20" x14ac:dyDescent="0.25">
      <c r="A327" s="5">
        <v>44266</v>
      </c>
      <c r="B327">
        <v>47.960999999999999</v>
      </c>
      <c r="C327">
        <v>65.400000000000006</v>
      </c>
      <c r="D327">
        <v>46.59</v>
      </c>
      <c r="E327">
        <v>60.478999999999999</v>
      </c>
      <c r="F327">
        <v>1724681.524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0.47676767676767612</v>
      </c>
      <c r="Q327">
        <f t="shared" si="970"/>
        <v>822272.40336161503</v>
      </c>
      <c r="R327">
        <f t="shared" si="971"/>
        <v>-15922267.211968362</v>
      </c>
      <c r="S327">
        <f t="shared" si="972"/>
        <v>-159.22267211968364</v>
      </c>
      <c r="T327">
        <f t="shared" si="973"/>
        <v>-0.15922267211968363</v>
      </c>
    </row>
    <row r="328" spans="1:20" x14ac:dyDescent="0.25">
      <c r="A328" s="5">
        <v>44265</v>
      </c>
      <c r="B328">
        <v>50.459000000000003</v>
      </c>
      <c r="C328">
        <v>54</v>
      </c>
      <c r="D328">
        <v>43.613999999999997</v>
      </c>
      <c r="E328">
        <v>47.960999999999999</v>
      </c>
      <c r="F328">
        <v>1280501.5109999999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-0.16291161178509531</v>
      </c>
      <c r="Q328">
        <f t="shared" si="970"/>
        <v>-208608.56505025993</v>
      </c>
      <c r="R328">
        <f t="shared" si="971"/>
        <v>-16744539.615329977</v>
      </c>
      <c r="S328">
        <f t="shared" si="972"/>
        <v>-167.44539615329978</v>
      </c>
      <c r="T328">
        <f t="shared" si="973"/>
        <v>-0.16744539615329979</v>
      </c>
    </row>
    <row r="329" spans="1:20" x14ac:dyDescent="0.25">
      <c r="A329" s="5">
        <v>44264</v>
      </c>
      <c r="B329">
        <v>40.590000000000003</v>
      </c>
      <c r="C329">
        <v>54.5</v>
      </c>
      <c r="D329">
        <v>38.622</v>
      </c>
      <c r="E329">
        <v>50.472000000000001</v>
      </c>
      <c r="F329">
        <v>1819993.713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0.49263131376747721</v>
      </c>
      <c r="Q329">
        <f t="shared" si="970"/>
        <v>896585.8938837389</v>
      </c>
      <c r="R329">
        <f t="shared" si="971"/>
        <v>-16535931.050279718</v>
      </c>
      <c r="S329">
        <f t="shared" si="972"/>
        <v>-165.35931050279717</v>
      </c>
      <c r="T329">
        <f t="shared" si="973"/>
        <v>-0.16535931050279717</v>
      </c>
    </row>
    <row r="330" spans="1:20" x14ac:dyDescent="0.25">
      <c r="A330" s="5">
        <v>44263</v>
      </c>
      <c r="B330">
        <v>39.737000000000002</v>
      </c>
      <c r="C330">
        <v>40.936</v>
      </c>
      <c r="D330">
        <v>36.889000000000003</v>
      </c>
      <c r="E330">
        <v>40.590000000000003</v>
      </c>
      <c r="F330">
        <v>743206.43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0.82900914257474834</v>
      </c>
      <c r="Q330">
        <f t="shared" si="970"/>
        <v>616124.92529033974</v>
      </c>
      <c r="R330">
        <f t="shared" si="971"/>
        <v>-17432516.944163457</v>
      </c>
      <c r="S330">
        <f t="shared" si="972"/>
        <v>-174.32516944163456</v>
      </c>
      <c r="T330">
        <f t="shared" si="973"/>
        <v>-0.17432516944163456</v>
      </c>
    </row>
    <row r="331" spans="1:20" x14ac:dyDescent="0.25">
      <c r="A331" s="5">
        <v>44262</v>
      </c>
      <c r="B331">
        <v>39.765000000000001</v>
      </c>
      <c r="C331">
        <v>42</v>
      </c>
      <c r="D331">
        <v>37.920999999999999</v>
      </c>
      <c r="E331">
        <v>39.662999999999997</v>
      </c>
      <c r="F331">
        <v>643245.93599999999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-0.14586908556018777</v>
      </c>
      <c r="Q331">
        <f t="shared" si="970"/>
        <v>-93829.696474627068</v>
      </c>
      <c r="R331">
        <f t="shared" si="971"/>
        <v>-18048641.869453795</v>
      </c>
      <c r="S331">
        <f t="shared" si="972"/>
        <v>-180.48641869453795</v>
      </c>
      <c r="T331">
        <f t="shared" si="973"/>
        <v>-0.18048641869453794</v>
      </c>
    </row>
    <row r="332" spans="1:20" x14ac:dyDescent="0.25">
      <c r="A332" s="5">
        <v>44261</v>
      </c>
      <c r="B332">
        <v>43.734000000000002</v>
      </c>
      <c r="C332">
        <v>44.277999999999999</v>
      </c>
      <c r="D332">
        <v>36</v>
      </c>
      <c r="E332">
        <v>39.765000000000001</v>
      </c>
      <c r="F332">
        <v>900657.84299999999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-9.0359990335829629E-2</v>
      </c>
      <c r="Q332">
        <f t="shared" si="970"/>
        <v>-81383.433989369165</v>
      </c>
      <c r="R332">
        <f t="shared" si="971"/>
        <v>-17954812.172979169</v>
      </c>
      <c r="S332">
        <f t="shared" si="972"/>
        <v>-179.54812172979169</v>
      </c>
      <c r="T332">
        <f t="shared" si="973"/>
        <v>-0.17954812172979168</v>
      </c>
    </row>
    <row r="333" spans="1:20" x14ac:dyDescent="0.25">
      <c r="A333" s="5">
        <v>44260</v>
      </c>
      <c r="B333">
        <v>42.091000000000001</v>
      </c>
      <c r="C333">
        <v>45.3</v>
      </c>
      <c r="D333">
        <v>38.393000000000001</v>
      </c>
      <c r="E333">
        <v>43.719000000000001</v>
      </c>
      <c r="F333">
        <v>878756.745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0.5422035616041706</v>
      </c>
      <c r="Q333">
        <f t="shared" si="970"/>
        <v>476465.03692268796</v>
      </c>
      <c r="R333">
        <f t="shared" si="971"/>
        <v>-17873428.7389898</v>
      </c>
      <c r="S333">
        <f t="shared" si="972"/>
        <v>-178.73428738989801</v>
      </c>
      <c r="T333">
        <f t="shared" si="973"/>
        <v>-0.17873428738989802</v>
      </c>
    </row>
    <row r="334" spans="1:20" x14ac:dyDescent="0.25">
      <c r="A334" s="5">
        <v>44259</v>
      </c>
      <c r="B334">
        <v>48.459000000000003</v>
      </c>
      <c r="C334">
        <v>50.326000000000001</v>
      </c>
      <c r="D334">
        <v>40</v>
      </c>
      <c r="E334">
        <v>42.04</v>
      </c>
      <c r="F334">
        <v>900815.17599999998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-0.60488088320743771</v>
      </c>
      <c r="Q334">
        <f t="shared" si="970"/>
        <v>-544885.87926554342</v>
      </c>
      <c r="R334">
        <f t="shared" si="971"/>
        <v>-18349893.77591249</v>
      </c>
      <c r="S334">
        <f t="shared" si="972"/>
        <v>-183.49893775912489</v>
      </c>
      <c r="T334">
        <f t="shared" si="973"/>
        <v>-0.18349893775912487</v>
      </c>
    </row>
    <row r="335" spans="1:20" x14ac:dyDescent="0.25">
      <c r="A335" s="5">
        <v>44258</v>
      </c>
      <c r="B335">
        <v>49.142000000000003</v>
      </c>
      <c r="C335">
        <v>53.2</v>
      </c>
      <c r="D335">
        <v>46.026000000000003</v>
      </c>
      <c r="E335">
        <v>48.459000000000003</v>
      </c>
      <c r="F335">
        <v>784649.98800000001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-0.32171731251742403</v>
      </c>
      <c r="Q335">
        <f t="shared" si="970"/>
        <v>-252435.48540618902</v>
      </c>
      <c r="R335">
        <f t="shared" si="971"/>
        <v>-17805007.896646947</v>
      </c>
      <c r="S335">
        <f t="shared" si="972"/>
        <v>-178.05007896646947</v>
      </c>
      <c r="T335">
        <f t="shared" si="973"/>
        <v>-0.17805007896646946</v>
      </c>
    </row>
    <row r="336" spans="1:20" x14ac:dyDescent="0.25">
      <c r="A336" s="5">
        <v>44257</v>
      </c>
      <c r="B336">
        <v>53.673000000000002</v>
      </c>
      <c r="C336">
        <v>56.887999999999998</v>
      </c>
      <c r="D336">
        <v>45.43</v>
      </c>
      <c r="E336">
        <v>49.183</v>
      </c>
      <c r="F336">
        <v>775206.93700000003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-0.34491185198114843</v>
      </c>
      <c r="Q336">
        <f t="shared" si="970"/>
        <v>-267378.06030930346</v>
      </c>
      <c r="R336">
        <f t="shared" si="971"/>
        <v>-17552572.411240757</v>
      </c>
      <c r="S336">
        <f t="shared" si="972"/>
        <v>-175.52572411240757</v>
      </c>
      <c r="T336">
        <f t="shared" si="973"/>
        <v>-0.17552572411240758</v>
      </c>
    </row>
    <row r="337" spans="1:20" x14ac:dyDescent="0.25">
      <c r="A337" s="5">
        <v>44256</v>
      </c>
      <c r="B337">
        <v>46</v>
      </c>
      <c r="C337">
        <v>56.999000000000002</v>
      </c>
      <c r="D337">
        <v>45.3</v>
      </c>
      <c r="E337">
        <v>53.673000000000002</v>
      </c>
      <c r="F337">
        <v>1463283.0109999999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0.43140439353790938</v>
      </c>
      <c r="Q337">
        <f t="shared" si="970"/>
        <v>631266.71993478097</v>
      </c>
      <c r="R337">
        <f t="shared" si="971"/>
        <v>-17285194.350931454</v>
      </c>
      <c r="S337">
        <f t="shared" si="972"/>
        <v>-172.85194350931454</v>
      </c>
      <c r="T337">
        <f t="shared" si="973"/>
        <v>-0.17285194350931454</v>
      </c>
    </row>
    <row r="338" spans="1:20" x14ac:dyDescent="0.25">
      <c r="A338" s="5">
        <v>44255</v>
      </c>
      <c r="B338">
        <v>47.767000000000003</v>
      </c>
      <c r="C338">
        <v>49</v>
      </c>
      <c r="D338">
        <v>37.5</v>
      </c>
      <c r="E338">
        <v>46.02</v>
      </c>
      <c r="F338">
        <v>1451027.892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0.48173913043478317</v>
      </c>
      <c r="Q338">
        <f t="shared" si="970"/>
        <v>699016.91492869647</v>
      </c>
      <c r="R338">
        <f t="shared" si="971"/>
        <v>-17916461.070866235</v>
      </c>
      <c r="S338">
        <f t="shared" si="972"/>
        <v>-179.16461070866234</v>
      </c>
      <c r="T338">
        <f t="shared" si="973"/>
        <v>-0.17916461070866233</v>
      </c>
    </row>
    <row r="339" spans="1:20" x14ac:dyDescent="0.25">
      <c r="A339" s="5">
        <v>44254</v>
      </c>
      <c r="B339">
        <v>53.084000000000003</v>
      </c>
      <c r="C339">
        <v>57.3</v>
      </c>
      <c r="D339">
        <v>45.67</v>
      </c>
      <c r="E339">
        <v>47.643999999999998</v>
      </c>
      <c r="F339">
        <v>839222.13300000003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-0.66053310404127297</v>
      </c>
      <c r="Q339">
        <f t="shared" si="970"/>
        <v>-554334.00049062807</v>
      </c>
      <c r="R339">
        <f t="shared" si="971"/>
        <v>-18615477.985794932</v>
      </c>
      <c r="S339">
        <f t="shared" si="972"/>
        <v>-186.15477985794931</v>
      </c>
      <c r="T339">
        <f t="shared" si="973"/>
        <v>-0.18615477985794932</v>
      </c>
    </row>
    <row r="340" spans="1:20" x14ac:dyDescent="0.25">
      <c r="A340" s="5">
        <v>44253</v>
      </c>
      <c r="B340">
        <v>57.392000000000003</v>
      </c>
      <c r="C340">
        <v>60.57</v>
      </c>
      <c r="D340">
        <v>47.23</v>
      </c>
      <c r="E340">
        <v>53.116999999999997</v>
      </c>
      <c r="F340">
        <v>1195045.8859999999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-0.11739130434782624</v>
      </c>
      <c r="Q340">
        <f t="shared" si="970"/>
        <v>-140287.99531304365</v>
      </c>
      <c r="R340">
        <f t="shared" si="971"/>
        <v>-18061143.985304303</v>
      </c>
      <c r="S340">
        <f t="shared" si="972"/>
        <v>-180.61143985304304</v>
      </c>
      <c r="T340">
        <f t="shared" si="973"/>
        <v>-0.18061143985304304</v>
      </c>
    </row>
    <row r="341" spans="1:20" x14ac:dyDescent="0.25">
      <c r="A341" s="5">
        <v>44252</v>
      </c>
      <c r="B341">
        <v>69.801000000000002</v>
      </c>
      <c r="C341">
        <v>72.97</v>
      </c>
      <c r="D341">
        <v>53.978000000000002</v>
      </c>
      <c r="E341">
        <v>56.963000000000001</v>
      </c>
      <c r="F341">
        <v>819576.22699999996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-0.68565711878685764</v>
      </c>
      <c r="Q341">
        <f t="shared" si="970"/>
        <v>-561948.27443102363</v>
      </c>
      <c r="R341">
        <f t="shared" si="971"/>
        <v>-17920855.989991259</v>
      </c>
      <c r="S341">
        <f t="shared" si="972"/>
        <v>-179.20855989991259</v>
      </c>
      <c r="T341">
        <f t="shared" si="973"/>
        <v>-0.17920855989991258</v>
      </c>
    </row>
    <row r="342" spans="1:20" x14ac:dyDescent="0.25">
      <c r="A342" s="5">
        <v>44251</v>
      </c>
      <c r="B342">
        <v>63.511000000000003</v>
      </c>
      <c r="C342">
        <v>78.78</v>
      </c>
      <c r="D342">
        <v>57</v>
      </c>
      <c r="E342">
        <v>69.8</v>
      </c>
      <c r="F342">
        <v>1320965.172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0.17539026629935689</v>
      </c>
      <c r="Q342">
        <f t="shared" si="970"/>
        <v>231684.43328925577</v>
      </c>
      <c r="R342">
        <f t="shared" si="971"/>
        <v>-17358907.715560235</v>
      </c>
      <c r="S342">
        <f t="shared" si="972"/>
        <v>-173.58907715560235</v>
      </c>
      <c r="T342">
        <f t="shared" si="973"/>
        <v>-0.17358907715560234</v>
      </c>
    </row>
    <row r="343" spans="1:20" x14ac:dyDescent="0.25">
      <c r="A343" s="5">
        <v>44250</v>
      </c>
      <c r="B343">
        <v>74.730999999999995</v>
      </c>
      <c r="C343">
        <v>75.277000000000001</v>
      </c>
      <c r="D343">
        <v>44</v>
      </c>
      <c r="E343">
        <v>63.615000000000002</v>
      </c>
      <c r="F343">
        <v>2041940.173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0.25427630527224487</v>
      </c>
      <c r="Q343">
        <f t="shared" si="970"/>
        <v>519217.00277740852</v>
      </c>
      <c r="R343">
        <f t="shared" si="971"/>
        <v>-17590592.148849491</v>
      </c>
      <c r="S343">
        <f t="shared" si="972"/>
        <v>-175.9059214884949</v>
      </c>
      <c r="T343">
        <f t="shared" si="973"/>
        <v>-0.1759059214884949</v>
      </c>
    </row>
    <row r="344" spans="1:20" x14ac:dyDescent="0.25">
      <c r="A344" s="5">
        <v>44249</v>
      </c>
      <c r="B344">
        <v>83.201999999999998</v>
      </c>
      <c r="C344">
        <v>83.5</v>
      </c>
      <c r="D344">
        <v>65.099999999999994</v>
      </c>
      <c r="E344">
        <v>74.899000000000001</v>
      </c>
      <c r="F344">
        <v>1265159.47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6.5108695652174295E-2</v>
      </c>
      <c r="Q344">
        <f t="shared" si="970"/>
        <v>82372.882883696133</v>
      </c>
      <c r="R344">
        <f t="shared" si="971"/>
        <v>-18109809.1516269</v>
      </c>
      <c r="S344">
        <f t="shared" si="972"/>
        <v>-181.09809151626899</v>
      </c>
      <c r="T344">
        <f t="shared" si="973"/>
        <v>-0.18109809151626899</v>
      </c>
    </row>
    <row r="345" spans="1:20" x14ac:dyDescent="0.25">
      <c r="A345" s="5">
        <v>44248</v>
      </c>
      <c r="B345">
        <v>72.010999999999996</v>
      </c>
      <c r="C345">
        <v>95.236999999999995</v>
      </c>
      <c r="D345">
        <v>68.706000000000003</v>
      </c>
      <c r="E345">
        <v>83.228999999999999</v>
      </c>
      <c r="F345">
        <v>1273742.442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9.4794768384154432E-2</v>
      </c>
      <c r="Q345">
        <f t="shared" si="970"/>
        <v>120744.11977045727</v>
      </c>
      <c r="R345">
        <f t="shared" si="971"/>
        <v>-18192182.034510598</v>
      </c>
      <c r="S345">
        <f t="shared" si="972"/>
        <v>-181.92182034510597</v>
      </c>
      <c r="T345">
        <f t="shared" si="973"/>
        <v>-0.18192182034510598</v>
      </c>
    </row>
    <row r="346" spans="1:20" x14ac:dyDescent="0.25">
      <c r="A346" s="5">
        <v>44247</v>
      </c>
      <c r="B346">
        <v>91.995000000000005</v>
      </c>
      <c r="C346">
        <v>94</v>
      </c>
      <c r="D346">
        <v>60</v>
      </c>
      <c r="E346">
        <v>72.100999999999999</v>
      </c>
      <c r="F346">
        <v>1404752.2849999999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-0.28817647058823537</v>
      </c>
      <c r="Q346">
        <f t="shared" si="970"/>
        <v>-404816.55554205889</v>
      </c>
      <c r="R346">
        <f t="shared" si="971"/>
        <v>-18312926.154281054</v>
      </c>
      <c r="S346">
        <f t="shared" si="972"/>
        <v>-183.12926154281053</v>
      </c>
      <c r="T346">
        <f t="shared" si="973"/>
        <v>-0.18312926154281053</v>
      </c>
    </row>
    <row r="347" spans="1:20" x14ac:dyDescent="0.25">
      <c r="A347" s="5">
        <v>44246</v>
      </c>
      <c r="B347">
        <v>80.34</v>
      </c>
      <c r="C347">
        <v>102.94199999999999</v>
      </c>
      <c r="D347">
        <v>80</v>
      </c>
      <c r="E347">
        <v>91.974999999999994</v>
      </c>
      <c r="F347">
        <v>1754065.5190000001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4.3936884316973054E-2</v>
      </c>
      <c r="Q347">
        <f t="shared" si="970"/>
        <v>77068.173792694302</v>
      </c>
      <c r="R347">
        <f t="shared" si="971"/>
        <v>-17908109.598738994</v>
      </c>
      <c r="S347">
        <f t="shared" si="972"/>
        <v>-179.08109598738994</v>
      </c>
      <c r="T347">
        <f t="shared" si="973"/>
        <v>-0.17908109598738994</v>
      </c>
    </row>
    <row r="348" spans="1:20" x14ac:dyDescent="0.25">
      <c r="A348" s="5">
        <v>44245</v>
      </c>
      <c r="B348">
        <v>59.792000000000002</v>
      </c>
      <c r="C348">
        <v>87.88</v>
      </c>
      <c r="D348">
        <v>58</v>
      </c>
      <c r="E348">
        <v>80.33</v>
      </c>
      <c r="F348">
        <v>1453886.7919999999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0.49464524765729595</v>
      </c>
      <c r="Q348">
        <f t="shared" si="970"/>
        <v>719158.19229451148</v>
      </c>
      <c r="R348">
        <f t="shared" si="971"/>
        <v>-17985177.772531688</v>
      </c>
      <c r="S348">
        <f t="shared" si="972"/>
        <v>-179.85177772531688</v>
      </c>
      <c r="T348">
        <f t="shared" si="973"/>
        <v>-0.17985177772531688</v>
      </c>
    </row>
    <row r="349" spans="1:20" x14ac:dyDescent="0.25">
      <c r="A349" s="5">
        <v>44244</v>
      </c>
      <c r="B349">
        <v>47.22</v>
      </c>
      <c r="C349">
        <v>61.6</v>
      </c>
      <c r="D349">
        <v>46.38</v>
      </c>
      <c r="E349">
        <v>59.9</v>
      </c>
      <c r="F349">
        <v>1084586.5060000001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0.77660972404730577</v>
      </c>
      <c r="Q349">
        <f t="shared" si="970"/>
        <v>842300.42713009159</v>
      </c>
      <c r="R349">
        <f t="shared" si="971"/>
        <v>-18704335.9648262</v>
      </c>
      <c r="S349">
        <f t="shared" si="972"/>
        <v>-187.043359648262</v>
      </c>
      <c r="T349">
        <f t="shared" si="973"/>
        <v>-0.18704335964826199</v>
      </c>
    </row>
    <row r="350" spans="1:20" x14ac:dyDescent="0.25">
      <c r="A350" s="5">
        <v>44243</v>
      </c>
      <c r="B350">
        <v>45.158000000000001</v>
      </c>
      <c r="C350">
        <v>51.3</v>
      </c>
      <c r="D350">
        <v>42.548000000000002</v>
      </c>
      <c r="E350">
        <v>47.341000000000001</v>
      </c>
      <c r="F350">
        <v>578356.18299999996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9.5292504570384323E-2</v>
      </c>
      <c r="Q350">
        <f t="shared" si="970"/>
        <v>55113.009211837525</v>
      </c>
      <c r="R350">
        <f t="shared" si="971"/>
        <v>-19546636.391956292</v>
      </c>
      <c r="S350">
        <f t="shared" si="972"/>
        <v>-195.46636391956292</v>
      </c>
      <c r="T350">
        <f t="shared" si="973"/>
        <v>-0.19546636391956293</v>
      </c>
    </row>
    <row r="351" spans="1:20" x14ac:dyDescent="0.25">
      <c r="A351" s="5">
        <v>44242</v>
      </c>
      <c r="B351">
        <v>49.737000000000002</v>
      </c>
      <c r="C351">
        <v>53</v>
      </c>
      <c r="D351">
        <v>38.661999999999999</v>
      </c>
      <c r="E351">
        <v>45.234000000000002</v>
      </c>
      <c r="F351">
        <v>1293582.452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-8.3275212721439215E-2</v>
      </c>
      <c r="Q351">
        <f t="shared" si="970"/>
        <v>-107723.35386302094</v>
      </c>
      <c r="R351">
        <f t="shared" si="971"/>
        <v>-19601749.40116813</v>
      </c>
      <c r="S351">
        <f t="shared" si="972"/>
        <v>-196.01749401168129</v>
      </c>
      <c r="T351">
        <f t="shared" si="973"/>
        <v>-0.19601749401168128</v>
      </c>
    </row>
    <row r="352" spans="1:20" x14ac:dyDescent="0.25">
      <c r="A352" s="5">
        <v>44241</v>
      </c>
      <c r="B352">
        <v>38.084000000000003</v>
      </c>
      <c r="C352">
        <v>56.6</v>
      </c>
      <c r="D352">
        <v>35.604999999999997</v>
      </c>
      <c r="E352">
        <v>49.843000000000004</v>
      </c>
      <c r="F352">
        <v>1882516.111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0.35632293403191267</v>
      </c>
      <c r="Q352">
        <f t="shared" si="970"/>
        <v>670783.66403386579</v>
      </c>
      <c r="R352">
        <f t="shared" si="971"/>
        <v>-19494026.047305111</v>
      </c>
      <c r="S352">
        <f t="shared" si="972"/>
        <v>-194.9402604730511</v>
      </c>
      <c r="T352">
        <f t="shared" si="973"/>
        <v>-0.1949402604730511</v>
      </c>
    </row>
    <row r="353" spans="1:20" x14ac:dyDescent="0.25">
      <c r="A353" s="5">
        <v>44240</v>
      </c>
      <c r="B353">
        <v>38.238999999999997</v>
      </c>
      <c r="C353">
        <v>43.53</v>
      </c>
      <c r="D353">
        <v>35.869999999999997</v>
      </c>
      <c r="E353">
        <v>38.098999999999997</v>
      </c>
      <c r="F353">
        <v>757262.69</v>
      </c>
      <c r="G353">
        <v>0</v>
      </c>
      <c r="L353" t="s">
        <v>8</v>
      </c>
      <c r="M353" t="s">
        <v>8</v>
      </c>
      <c r="N353" t="s">
        <v>7</v>
      </c>
      <c r="P353">
        <f t="shared" si="969"/>
        <v>-0.41801566579634514</v>
      </c>
      <c r="Q353">
        <f t="shared" si="970"/>
        <v>-316547.66754308128</v>
      </c>
      <c r="R353">
        <f t="shared" si="971"/>
        <v>-20164809.711338978</v>
      </c>
      <c r="S353">
        <f t="shared" si="972"/>
        <v>-201.64809711338978</v>
      </c>
      <c r="T353">
        <f t="shared" si="973"/>
        <v>-0.20164809711338977</v>
      </c>
    </row>
    <row r="354" spans="1:20" x14ac:dyDescent="0.25">
      <c r="A354" s="5">
        <v>44239</v>
      </c>
      <c r="B354">
        <v>36.350999999999999</v>
      </c>
      <c r="C354">
        <v>39.9</v>
      </c>
      <c r="D354">
        <v>33.880000000000003</v>
      </c>
      <c r="E354">
        <v>38.238999999999997</v>
      </c>
      <c r="F354">
        <v>993896.24800000002</v>
      </c>
      <c r="G354">
        <v>0</v>
      </c>
      <c r="L354" t="s">
        <v>7</v>
      </c>
      <c r="M354" t="s">
        <v>7</v>
      </c>
      <c r="N354" t="s">
        <v>7</v>
      </c>
      <c r="P354">
        <f t="shared" si="969"/>
        <v>0.44817275747508223</v>
      </c>
      <c r="Q354">
        <f t="shared" si="970"/>
        <v>445437.22211029817</v>
      </c>
      <c r="R354">
        <f t="shared" si="971"/>
        <v>-19848262.043795899</v>
      </c>
      <c r="S354">
        <f t="shared" si="972"/>
        <v>-198.48262043795899</v>
      </c>
      <c r="T354">
        <f t="shared" si="973"/>
        <v>-0.19848262043795897</v>
      </c>
    </row>
    <row r="355" spans="1:20" x14ac:dyDescent="0.25">
      <c r="A355" s="5">
        <v>44238</v>
      </c>
      <c r="B355">
        <v>38.002000000000002</v>
      </c>
      <c r="C355">
        <v>44</v>
      </c>
      <c r="D355">
        <v>34.103999999999999</v>
      </c>
      <c r="E355">
        <v>36.344000000000001</v>
      </c>
      <c r="F355">
        <v>759343.15300000005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-0.54729183508488244</v>
      </c>
      <c r="Q355">
        <f t="shared" si="970"/>
        <v>-415582.30766451068</v>
      </c>
      <c r="R355">
        <f t="shared" si="971"/>
        <v>-20293699.265906196</v>
      </c>
      <c r="S355">
        <f t="shared" si="972"/>
        <v>-202.93699265906196</v>
      </c>
      <c r="T355">
        <f t="shared" si="973"/>
        <v>-0.20293699265906195</v>
      </c>
    </row>
    <row r="356" spans="1:20" x14ac:dyDescent="0.25">
      <c r="A356" s="5">
        <v>44237</v>
      </c>
      <c r="B356">
        <v>43.180999999999997</v>
      </c>
      <c r="C356">
        <v>47.99</v>
      </c>
      <c r="D356">
        <v>35.1</v>
      </c>
      <c r="E356">
        <v>38.015000000000001</v>
      </c>
      <c r="F356">
        <v>1473077.841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-0.5477114041892942</v>
      </c>
      <c r="Q356">
        <f t="shared" si="970"/>
        <v>-806821.53277424385</v>
      </c>
      <c r="R356">
        <f t="shared" si="971"/>
        <v>-19878116.958241686</v>
      </c>
      <c r="S356">
        <f t="shared" si="972"/>
        <v>-198.78116958241685</v>
      </c>
      <c r="T356">
        <f t="shared" si="973"/>
        <v>-0.19878116958241684</v>
      </c>
    </row>
    <row r="357" spans="1:20" x14ac:dyDescent="0.25">
      <c r="A357" s="5">
        <v>44236</v>
      </c>
      <c r="B357">
        <v>35.991</v>
      </c>
      <c r="C357">
        <v>45.587000000000003</v>
      </c>
      <c r="D357">
        <v>32.502000000000002</v>
      </c>
      <c r="E357">
        <v>43.292000000000002</v>
      </c>
      <c r="F357">
        <v>1310806.3559999999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0.64921666029805092</v>
      </c>
      <c r="Q357">
        <f t="shared" si="970"/>
        <v>850997.32473977795</v>
      </c>
      <c r="R357">
        <f t="shared" si="971"/>
        <v>-19071295.425467443</v>
      </c>
      <c r="S357">
        <f t="shared" si="972"/>
        <v>-190.71295425467443</v>
      </c>
      <c r="T357">
        <f t="shared" si="973"/>
        <v>-0.19071295425467444</v>
      </c>
    </row>
    <row r="358" spans="1:20" x14ac:dyDescent="0.25">
      <c r="A358" s="5">
        <v>44235</v>
      </c>
      <c r="B358">
        <v>26.603000000000002</v>
      </c>
      <c r="C358">
        <v>36.799999999999997</v>
      </c>
      <c r="D358">
        <v>24.837</v>
      </c>
      <c r="E358">
        <v>36</v>
      </c>
      <c r="F358">
        <v>1665048.524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0.86625428404246474</v>
      </c>
      <c r="Q358">
        <f t="shared" si="970"/>
        <v>1442355.4170535826</v>
      </c>
      <c r="R358">
        <f t="shared" si="971"/>
        <v>-19922292.750207219</v>
      </c>
      <c r="S358">
        <f t="shared" si="972"/>
        <v>-199.2229275020722</v>
      </c>
      <c r="T358">
        <f t="shared" si="973"/>
        <v>-0.19922292750207218</v>
      </c>
    </row>
    <row r="359" spans="1:20" x14ac:dyDescent="0.25">
      <c r="A359" s="5">
        <v>44234</v>
      </c>
      <c r="B359">
        <v>25.187000000000001</v>
      </c>
      <c r="C359">
        <v>27.931000000000001</v>
      </c>
      <c r="D359">
        <v>21.61</v>
      </c>
      <c r="E359">
        <v>26.611999999999998</v>
      </c>
      <c r="F359">
        <v>1327107.446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0.5826609713652896</v>
      </c>
      <c r="Q359">
        <f t="shared" si="970"/>
        <v>773253.71359246864</v>
      </c>
      <c r="R359">
        <f t="shared" si="971"/>
        <v>-21364648.167260803</v>
      </c>
      <c r="S359">
        <f t="shared" si="972"/>
        <v>-213.64648167260802</v>
      </c>
      <c r="T359">
        <f t="shared" si="973"/>
        <v>-0.21364648167260802</v>
      </c>
    </row>
    <row r="360" spans="1:20" x14ac:dyDescent="0.25">
      <c r="A360" s="5">
        <v>44233</v>
      </c>
      <c r="B360">
        <v>19.169</v>
      </c>
      <c r="C360">
        <v>29.55</v>
      </c>
      <c r="D360">
        <v>17.395</v>
      </c>
      <c r="E360">
        <v>25.245000000000001</v>
      </c>
      <c r="F360">
        <v>2546409.648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0.29164952694364471</v>
      </c>
      <c r="Q360">
        <f t="shared" si="970"/>
        <v>742659.16924393282</v>
      </c>
      <c r="R360">
        <f t="shared" si="971"/>
        <v>-22137901.880853273</v>
      </c>
      <c r="S360">
        <f t="shared" si="972"/>
        <v>-221.37901880853272</v>
      </c>
      <c r="T360">
        <f t="shared" si="973"/>
        <v>-0.22137901880853272</v>
      </c>
    </row>
    <row r="361" spans="1:20" x14ac:dyDescent="0.25">
      <c r="A361" s="5">
        <v>44232</v>
      </c>
      <c r="B361">
        <v>16.239000000000001</v>
      </c>
      <c r="C361">
        <v>23.666</v>
      </c>
      <c r="D361">
        <v>15.510999999999999</v>
      </c>
      <c r="E361">
        <v>19.178000000000001</v>
      </c>
      <c r="F361">
        <v>1733321.379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-0.10067443286327379</v>
      </c>
      <c r="Q361">
        <f t="shared" si="970"/>
        <v>-174501.14680061265</v>
      </c>
      <c r="R361">
        <f t="shared" si="971"/>
        <v>-22880561.050097205</v>
      </c>
      <c r="S361">
        <f t="shared" si="972"/>
        <v>-228.80561050097205</v>
      </c>
      <c r="T361">
        <f t="shared" si="973"/>
        <v>-0.22880561050097206</v>
      </c>
    </row>
    <row r="362" spans="1:20" x14ac:dyDescent="0.25">
      <c r="A362" s="5">
        <v>44231</v>
      </c>
      <c r="B362">
        <v>11.037000000000001</v>
      </c>
      <c r="C362">
        <v>16.350000000000001</v>
      </c>
      <c r="D362">
        <v>10.933</v>
      </c>
      <c r="E362">
        <v>16.28</v>
      </c>
      <c r="F362">
        <v>1361577.9240000001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0.97415543658851755</v>
      </c>
      <c r="Q362">
        <f t="shared" si="970"/>
        <v>1326388.5370035074</v>
      </c>
      <c r="R362">
        <f t="shared" si="971"/>
        <v>-22706059.903296594</v>
      </c>
      <c r="S362">
        <f t="shared" si="972"/>
        <v>-227.06059903296594</v>
      </c>
      <c r="T362">
        <f t="shared" si="973"/>
        <v>-0.22706059903296594</v>
      </c>
    </row>
    <row r="363" spans="1:20" x14ac:dyDescent="0.25">
      <c r="A363" s="5">
        <v>44230</v>
      </c>
      <c r="B363">
        <v>10.689</v>
      </c>
      <c r="C363">
        <v>11.4</v>
      </c>
      <c r="D363">
        <v>10.398999999999999</v>
      </c>
      <c r="E363">
        <v>11.036</v>
      </c>
      <c r="F363">
        <v>438483.21600000001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0.2727272727272721</v>
      </c>
      <c r="Q363">
        <f t="shared" si="970"/>
        <v>119586.33163636336</v>
      </c>
      <c r="R363">
        <f t="shared" si="971"/>
        <v>-24032448.4403001</v>
      </c>
      <c r="S363">
        <f t="shared" si="972"/>
        <v>-240.32448440300101</v>
      </c>
      <c r="T363">
        <f t="shared" si="973"/>
        <v>-0.240324484403001</v>
      </c>
    </row>
    <row r="364" spans="1:20" x14ac:dyDescent="0.25">
      <c r="A364" s="5">
        <v>44229</v>
      </c>
      <c r="B364">
        <v>11.513</v>
      </c>
      <c r="C364">
        <v>12.95</v>
      </c>
      <c r="D364">
        <v>10.26</v>
      </c>
      <c r="E364">
        <v>10.678000000000001</v>
      </c>
      <c r="F364">
        <v>733861.451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-0.68921933085501774</v>
      </c>
      <c r="Q364">
        <f t="shared" si="970"/>
        <v>-505791.49819851242</v>
      </c>
      <c r="R364">
        <f t="shared" si="971"/>
        <v>-24152034.771936461</v>
      </c>
      <c r="S364">
        <f t="shared" si="972"/>
        <v>-241.52034771936462</v>
      </c>
      <c r="T364">
        <f t="shared" si="973"/>
        <v>-0.24152034771936462</v>
      </c>
    </row>
    <row r="365" spans="1:20" x14ac:dyDescent="0.25">
      <c r="A365" s="5">
        <v>44228</v>
      </c>
      <c r="B365">
        <v>10.287000000000001</v>
      </c>
      <c r="C365">
        <v>11.9</v>
      </c>
      <c r="D365">
        <v>9.4879999999999995</v>
      </c>
      <c r="E365">
        <v>11.51</v>
      </c>
      <c r="F365">
        <v>729197.85199999996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0.67661691542288516</v>
      </c>
      <c r="Q365">
        <f t="shared" si="970"/>
        <v>493387.60135323351</v>
      </c>
      <c r="R365">
        <f t="shared" si="971"/>
        <v>-23646243.273737948</v>
      </c>
      <c r="S365">
        <f t="shared" si="972"/>
        <v>-236.46243273737949</v>
      </c>
      <c r="T365">
        <f t="shared" si="973"/>
        <v>-0.23646243273737949</v>
      </c>
    </row>
    <row r="366" spans="1:20" x14ac:dyDescent="0.25">
      <c r="A366" s="5">
        <v>44227</v>
      </c>
      <c r="B366">
        <v>7.992</v>
      </c>
      <c r="C366">
        <v>11.031000000000001</v>
      </c>
      <c r="D366">
        <v>7.7910000000000004</v>
      </c>
      <c r="E366">
        <v>10.276</v>
      </c>
      <c r="F366">
        <v>1029259.07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0.53395061728395021</v>
      </c>
      <c r="Q366">
        <f t="shared" si="970"/>
        <v>549573.51577160449</v>
      </c>
      <c r="R366">
        <f t="shared" si="971"/>
        <v>-24139630.87509118</v>
      </c>
      <c r="S366">
        <f t="shared" si="972"/>
        <v>-241.3963087509118</v>
      </c>
      <c r="T366">
        <f t="shared" si="973"/>
        <v>-0.24139630875091181</v>
      </c>
    </row>
    <row r="367" spans="1:20" x14ac:dyDescent="0.25">
      <c r="A367" s="5">
        <v>44226</v>
      </c>
      <c r="B367">
        <v>7.8970000000000002</v>
      </c>
      <c r="C367">
        <v>8.9</v>
      </c>
      <c r="D367">
        <v>7.6</v>
      </c>
      <c r="E367">
        <v>7.9829999999999997</v>
      </c>
      <c r="F367">
        <v>648569.97900000005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-0.41076923076923105</v>
      </c>
      <c r="Q367">
        <f t="shared" si="970"/>
        <v>-266412.59137384634</v>
      </c>
      <c r="R367">
        <f t="shared" si="971"/>
        <v>-24689204.390862785</v>
      </c>
      <c r="S367">
        <f t="shared" si="972"/>
        <v>-246.89204390862784</v>
      </c>
      <c r="T367">
        <f t="shared" si="973"/>
        <v>-0.24689204390862785</v>
      </c>
    </row>
    <row r="368" spans="1:20" x14ac:dyDescent="0.25">
      <c r="A368" s="5">
        <v>44225</v>
      </c>
      <c r="B368">
        <v>8.2469999999999999</v>
      </c>
      <c r="C368">
        <v>8.6750000000000007</v>
      </c>
      <c r="D368">
        <v>6.6769999999999996</v>
      </c>
      <c r="E368">
        <v>7.8890000000000002</v>
      </c>
      <c r="F368">
        <v>1394568.361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0.21321321321321318</v>
      </c>
      <c r="Q368">
        <f t="shared" si="970"/>
        <v>297340.40129429428</v>
      </c>
      <c r="R368">
        <f t="shared" si="971"/>
        <v>-24422791.799488939</v>
      </c>
      <c r="S368">
        <f t="shared" si="972"/>
        <v>-244.2279179948894</v>
      </c>
      <c r="T368">
        <f t="shared" si="973"/>
        <v>-0.24422791799488938</v>
      </c>
    </row>
    <row r="369" spans="1:20" x14ac:dyDescent="0.25">
      <c r="A369" s="5">
        <v>44224</v>
      </c>
      <c r="B369">
        <v>8.23</v>
      </c>
      <c r="C369">
        <v>9.36</v>
      </c>
      <c r="D369">
        <v>7.93</v>
      </c>
      <c r="E369">
        <v>8.2379999999999995</v>
      </c>
      <c r="F369">
        <v>936400.68099999998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-0.56923076923076943</v>
      </c>
      <c r="Q369">
        <f t="shared" si="970"/>
        <v>-533028.07995384629</v>
      </c>
      <c r="R369">
        <f t="shared" si="971"/>
        <v>-24720132.200783234</v>
      </c>
      <c r="S369">
        <f t="shared" si="972"/>
        <v>-247.20132200783235</v>
      </c>
      <c r="T369">
        <f t="shared" si="973"/>
        <v>-0.24720132200783235</v>
      </c>
    </row>
    <row r="370" spans="1:20" x14ac:dyDescent="0.25">
      <c r="A370" s="5">
        <v>44223</v>
      </c>
      <c r="B370">
        <v>8.1590000000000007</v>
      </c>
      <c r="C370">
        <v>9.3330000000000002</v>
      </c>
      <c r="D370">
        <v>7.7</v>
      </c>
      <c r="E370">
        <v>8.23</v>
      </c>
      <c r="F370">
        <v>2195805.9160000002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-0.3508879363135331</v>
      </c>
      <c r="Q370">
        <f t="shared" si="970"/>
        <v>-770481.80641028727</v>
      </c>
      <c r="R370">
        <f t="shared" si="971"/>
        <v>-24187104.120829388</v>
      </c>
      <c r="S370">
        <f t="shared" si="972"/>
        <v>-241.87104120829389</v>
      </c>
      <c r="T370">
        <f t="shared" si="973"/>
        <v>-0.24187104120829389</v>
      </c>
    </row>
    <row r="371" spans="1:20" x14ac:dyDescent="0.25">
      <c r="A371" s="5">
        <v>44222</v>
      </c>
      <c r="B371">
        <v>7.9169999999999998</v>
      </c>
      <c r="C371">
        <v>12.9</v>
      </c>
      <c r="D371">
        <v>7.7</v>
      </c>
      <c r="E371">
        <v>8.157</v>
      </c>
      <c r="F371">
        <v>3584317.3709999998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-0.82423076923076932</v>
      </c>
      <c r="Q371">
        <f t="shared" si="970"/>
        <v>-2954304.6638665386</v>
      </c>
      <c r="R371">
        <f t="shared" si="971"/>
        <v>-23416622.314419102</v>
      </c>
      <c r="S371">
        <f t="shared" si="972"/>
        <v>-234.16622314419101</v>
      </c>
      <c r="T371">
        <f t="shared" si="973"/>
        <v>-0.234166223144191</v>
      </c>
    </row>
    <row r="372" spans="1:20" x14ac:dyDescent="0.25">
      <c r="A372" s="5">
        <v>44221</v>
      </c>
      <c r="B372">
        <v>9.2850000000000001</v>
      </c>
      <c r="C372">
        <v>9.3989999999999991</v>
      </c>
      <c r="D372">
        <v>6.86</v>
      </c>
      <c r="E372">
        <v>7.9169999999999998</v>
      </c>
      <c r="F372">
        <v>2011485.8119999999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-0.1673887357227255</v>
      </c>
      <c r="Q372">
        <f t="shared" si="970"/>
        <v>-336700.06699487992</v>
      </c>
      <c r="R372">
        <f t="shared" si="971"/>
        <v>-20462317.650552563</v>
      </c>
      <c r="S372">
        <f t="shared" si="972"/>
        <v>-204.62317650552563</v>
      </c>
      <c r="T372">
        <f t="shared" si="973"/>
        <v>-0.20462317650552564</v>
      </c>
    </row>
    <row r="373" spans="1:20" x14ac:dyDescent="0.25">
      <c r="A373" s="5">
        <v>44220</v>
      </c>
      <c r="B373">
        <v>6.0979999999999999</v>
      </c>
      <c r="C373">
        <v>9.89</v>
      </c>
      <c r="D373">
        <v>6</v>
      </c>
      <c r="E373">
        <v>9.2870000000000008</v>
      </c>
      <c r="F373">
        <v>1869973.608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0.68997429305912616</v>
      </c>
      <c r="Q373">
        <f t="shared" si="970"/>
        <v>1290233.7182190234</v>
      </c>
      <c r="R373">
        <f t="shared" si="971"/>
        <v>-20125617.583557684</v>
      </c>
      <c r="S373">
        <f t="shared" si="972"/>
        <v>-201.25617583557684</v>
      </c>
      <c r="T373">
        <f t="shared" si="973"/>
        <v>-0.20125617583557684</v>
      </c>
    </row>
    <row r="374" spans="1:20" x14ac:dyDescent="0.25">
      <c r="A374" s="5">
        <v>44219</v>
      </c>
      <c r="B374">
        <v>5.0350000000000001</v>
      </c>
      <c r="C374">
        <v>6.61</v>
      </c>
      <c r="D374">
        <v>4.95</v>
      </c>
      <c r="E374">
        <v>6.0979999999999999</v>
      </c>
      <c r="F374">
        <v>1263648.844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0.38313253012048143</v>
      </c>
      <c r="Q374">
        <f t="shared" si="970"/>
        <v>484144.97878554155</v>
      </c>
      <c r="R374">
        <f t="shared" si="971"/>
        <v>-21415851.301776707</v>
      </c>
      <c r="S374">
        <f t="shared" si="972"/>
        <v>-214.15851301776706</v>
      </c>
      <c r="T374">
        <f t="shared" si="973"/>
        <v>-0.21415851301776706</v>
      </c>
    </row>
    <row r="375" spans="1:20" x14ac:dyDescent="0.25">
      <c r="A375" s="5">
        <v>44218</v>
      </c>
      <c r="B375">
        <v>4.5060000000000002</v>
      </c>
      <c r="C375">
        <v>5.3010000000000002</v>
      </c>
      <c r="D375">
        <v>4.34</v>
      </c>
      <c r="E375">
        <v>5.0350000000000001</v>
      </c>
      <c r="F375">
        <v>878253.576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0.44640998959417288</v>
      </c>
      <c r="Q375">
        <f t="shared" si="970"/>
        <v>392061.16972320515</v>
      </c>
      <c r="R375">
        <f t="shared" si="971"/>
        <v>-21899996.280562248</v>
      </c>
      <c r="S375">
        <f t="shared" si="972"/>
        <v>-218.99996280562249</v>
      </c>
      <c r="T375">
        <f t="shared" si="973"/>
        <v>-0.21899996280562248</v>
      </c>
    </row>
    <row r="376" spans="1:20" x14ac:dyDescent="0.25">
      <c r="A376" s="5">
        <v>44217</v>
      </c>
      <c r="B376">
        <v>4.4980000000000002</v>
      </c>
      <c r="C376">
        <v>5</v>
      </c>
      <c r="D376">
        <v>4.2329999999999997</v>
      </c>
      <c r="E376">
        <v>4.5060000000000002</v>
      </c>
      <c r="F376">
        <v>936162.77800000005</v>
      </c>
      <c r="G376">
        <v>0</v>
      </c>
      <c r="L376" t="s">
        <v>8</v>
      </c>
      <c r="M376" t="s">
        <v>7</v>
      </c>
      <c r="N376" t="s">
        <v>7</v>
      </c>
      <c r="P376">
        <f t="shared" si="969"/>
        <v>-0.28813559322033783</v>
      </c>
      <c r="Q376">
        <f t="shared" si="970"/>
        <v>-269741.81738982943</v>
      </c>
      <c r="R376">
        <f t="shared" si="971"/>
        <v>-22292057.450285453</v>
      </c>
      <c r="S376">
        <f t="shared" si="972"/>
        <v>-222.92057450285452</v>
      </c>
      <c r="T376">
        <f t="shared" si="973"/>
        <v>-0.22292057450285452</v>
      </c>
    </row>
    <row r="377" spans="1:20" x14ac:dyDescent="0.25">
      <c r="A377" s="5">
        <v>44216</v>
      </c>
      <c r="B377">
        <v>4.5010000000000003</v>
      </c>
      <c r="C377">
        <v>4.6180000000000003</v>
      </c>
      <c r="D377">
        <v>4.2</v>
      </c>
      <c r="E377">
        <v>4.4989999999999997</v>
      </c>
      <c r="F377">
        <v>425844.93199999997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0.43062200956937502</v>
      </c>
      <c r="Q377">
        <f t="shared" si="970"/>
        <v>183378.20038277385</v>
      </c>
      <c r="R377">
        <f t="shared" si="971"/>
        <v>-22022315.632895622</v>
      </c>
      <c r="S377">
        <f t="shared" si="972"/>
        <v>-220.22315632895624</v>
      </c>
      <c r="T377">
        <f t="shared" si="973"/>
        <v>-0.22022315632895623</v>
      </c>
    </row>
    <row r="378" spans="1:20" x14ac:dyDescent="0.25">
      <c r="A378" s="5">
        <v>44215</v>
      </c>
      <c r="B378">
        <v>4.766</v>
      </c>
      <c r="C378">
        <v>4.9349999999999996</v>
      </c>
      <c r="D378">
        <v>4.4450000000000003</v>
      </c>
      <c r="E378">
        <v>4.5010000000000003</v>
      </c>
      <c r="F378">
        <v>475147.10600000003</v>
      </c>
      <c r="G378">
        <v>0</v>
      </c>
      <c r="L378" t="s">
        <v>7</v>
      </c>
      <c r="M378" t="s">
        <v>8</v>
      </c>
      <c r="N378" t="s">
        <v>7</v>
      </c>
      <c r="P378">
        <f t="shared" si="969"/>
        <v>-0.77142857142857091</v>
      </c>
      <c r="Q378">
        <f t="shared" si="970"/>
        <v>-366542.05319999979</v>
      </c>
      <c r="R378">
        <f t="shared" si="971"/>
        <v>-22205693.833278395</v>
      </c>
      <c r="S378">
        <f t="shared" si="972"/>
        <v>-222.05693833278394</v>
      </c>
      <c r="T378">
        <f t="shared" si="973"/>
        <v>-0.22205693833278395</v>
      </c>
    </row>
    <row r="379" spans="1:20" x14ac:dyDescent="0.25">
      <c r="A379" s="5">
        <v>44214</v>
      </c>
      <c r="B379">
        <v>4.1079999999999997</v>
      </c>
      <c r="C379">
        <v>5.0540000000000003</v>
      </c>
      <c r="D379">
        <v>3.9449999999999998</v>
      </c>
      <c r="E379">
        <v>4.7759999999999998</v>
      </c>
      <c r="F379">
        <v>1576162.817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0.49864743011722207</v>
      </c>
      <c r="Q379">
        <f t="shared" si="970"/>
        <v>785949.53814337135</v>
      </c>
      <c r="R379">
        <f t="shared" si="971"/>
        <v>-21839151.780078396</v>
      </c>
      <c r="S379">
        <f t="shared" si="972"/>
        <v>-218.39151780078396</v>
      </c>
      <c r="T379">
        <f t="shared" si="973"/>
        <v>-0.21839151780078395</v>
      </c>
    </row>
    <row r="380" spans="1:20" x14ac:dyDescent="0.25">
      <c r="A380" s="5">
        <v>44213</v>
      </c>
      <c r="B380">
        <v>4.1390000000000002</v>
      </c>
      <c r="C380">
        <v>4.18</v>
      </c>
      <c r="D380">
        <v>3.88</v>
      </c>
      <c r="E380">
        <v>4.109</v>
      </c>
      <c r="F380">
        <v>599963.04099999997</v>
      </c>
      <c r="G380">
        <v>0</v>
      </c>
      <c r="L380" t="s">
        <v>7</v>
      </c>
      <c r="M380" t="s">
        <v>7</v>
      </c>
      <c r="N380" t="s">
        <v>7</v>
      </c>
      <c r="P380">
        <f t="shared" si="969"/>
        <v>0.52666666666666817</v>
      </c>
      <c r="Q380">
        <f t="shared" si="970"/>
        <v>315980.53492666758</v>
      </c>
      <c r="R380">
        <f t="shared" si="971"/>
        <v>-22625101.318221767</v>
      </c>
      <c r="S380">
        <f t="shared" si="972"/>
        <v>-226.25101318221766</v>
      </c>
      <c r="T380">
        <f t="shared" si="973"/>
        <v>-0.22625101318221766</v>
      </c>
    </row>
    <row r="381" spans="1:20" x14ac:dyDescent="0.25">
      <c r="A381" s="5">
        <v>44212</v>
      </c>
      <c r="B381">
        <v>4.1660000000000004</v>
      </c>
      <c r="C381">
        <v>4.3460000000000001</v>
      </c>
      <c r="D381">
        <v>4.04</v>
      </c>
      <c r="E381">
        <v>4.1459999999999999</v>
      </c>
      <c r="F381">
        <v>654398.87800000003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-0.30718954248366109</v>
      </c>
      <c r="Q381">
        <f t="shared" si="970"/>
        <v>-201024.49193464115</v>
      </c>
      <c r="R381">
        <f t="shared" si="971"/>
        <v>-22941081.853148434</v>
      </c>
      <c r="S381">
        <f t="shared" si="972"/>
        <v>-229.41081853148435</v>
      </c>
      <c r="T381">
        <f t="shared" si="973"/>
        <v>-0.22941081853148435</v>
      </c>
    </row>
    <row r="382" spans="1:20" x14ac:dyDescent="0.25">
      <c r="A382" s="5">
        <v>44211</v>
      </c>
      <c r="B382">
        <v>4.298</v>
      </c>
      <c r="C382">
        <v>4.6260000000000003</v>
      </c>
      <c r="D382">
        <v>4.01</v>
      </c>
      <c r="E382">
        <v>4.1790000000000003</v>
      </c>
      <c r="F382">
        <v>1516219.6159999999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-0.4512987012987002</v>
      </c>
      <c r="Q382">
        <f t="shared" si="970"/>
        <v>-684267.94358441385</v>
      </c>
      <c r="R382">
        <f t="shared" si="971"/>
        <v>-22740057.361213792</v>
      </c>
      <c r="S382">
        <f t="shared" si="972"/>
        <v>-227.40057361213792</v>
      </c>
      <c r="T382">
        <f t="shared" si="973"/>
        <v>-0.22740057361213792</v>
      </c>
    </row>
    <row r="383" spans="1:20" x14ac:dyDescent="0.25">
      <c r="A383" s="5">
        <v>44210</v>
      </c>
      <c r="B383">
        <v>4.944</v>
      </c>
      <c r="C383">
        <v>5.55</v>
      </c>
      <c r="D383">
        <v>3.601</v>
      </c>
      <c r="E383">
        <v>4.3099999999999996</v>
      </c>
      <c r="F383">
        <v>6370659.2869999995</v>
      </c>
      <c r="G383">
        <v>0</v>
      </c>
      <c r="L383" t="s">
        <v>7</v>
      </c>
      <c r="M383" t="s">
        <v>7</v>
      </c>
      <c r="N383" t="s">
        <v>7</v>
      </c>
      <c r="P383">
        <f t="shared" si="969"/>
        <v>-0.27244740892765551</v>
      </c>
      <c r="Q383">
        <f t="shared" si="970"/>
        <v>-1735669.6159040551</v>
      </c>
      <c r="R383">
        <f t="shared" si="971"/>
        <v>-22055789.41762938</v>
      </c>
      <c r="S383">
        <f t="shared" si="972"/>
        <v>-220.55789417629379</v>
      </c>
      <c r="T383">
        <f t="shared" si="973"/>
        <v>-0.22055789417629379</v>
      </c>
    </row>
    <row r="384" spans="1:20" x14ac:dyDescent="0.25">
      <c r="A384" s="5">
        <v>44209</v>
      </c>
      <c r="B384">
        <v>4.5419999999999998</v>
      </c>
      <c r="C384">
        <v>5.2009999999999996</v>
      </c>
      <c r="D384">
        <v>4.2</v>
      </c>
      <c r="E384">
        <v>4.944</v>
      </c>
      <c r="F384">
        <v>557837.79299999995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0.48651348651348686</v>
      </c>
      <c r="Q384">
        <f t="shared" si="970"/>
        <v>271395.60958141874</v>
      </c>
      <c r="R384">
        <f t="shared" si="971"/>
        <v>-20320119.801725324</v>
      </c>
      <c r="S384">
        <f t="shared" si="972"/>
        <v>-203.20119801725323</v>
      </c>
      <c r="T384">
        <f t="shared" si="973"/>
        <v>-0.20320119801725323</v>
      </c>
    </row>
    <row r="385" spans="1:20" x14ac:dyDescent="0.25">
      <c r="A385" s="5">
        <v>44208</v>
      </c>
      <c r="B385">
        <v>5.0789999999999997</v>
      </c>
      <c r="C385">
        <v>5.1349999999999998</v>
      </c>
      <c r="D385">
        <v>4.3360000000000003</v>
      </c>
      <c r="E385">
        <v>4.54</v>
      </c>
      <c r="F385">
        <v>524837.04099999997</v>
      </c>
      <c r="G385">
        <v>0</v>
      </c>
      <c r="L385" t="s">
        <v>7</v>
      </c>
      <c r="M385" t="s">
        <v>7</v>
      </c>
      <c r="N385" t="s">
        <v>8</v>
      </c>
      <c r="P385">
        <f t="shared" si="969"/>
        <v>-0.48936170212765989</v>
      </c>
      <c r="Q385">
        <f t="shared" si="970"/>
        <v>-256835.1477234044</v>
      </c>
      <c r="R385">
        <f t="shared" si="971"/>
        <v>-20591515.411306743</v>
      </c>
      <c r="S385">
        <f t="shared" si="972"/>
        <v>-205.91515411306742</v>
      </c>
      <c r="T385">
        <f t="shared" si="973"/>
        <v>-0.20591515411306741</v>
      </c>
    </row>
    <row r="386" spans="1:20" x14ac:dyDescent="0.25">
      <c r="A386" s="5">
        <v>44207</v>
      </c>
      <c r="B386">
        <v>4.984</v>
      </c>
      <c r="C386">
        <v>5.8730000000000002</v>
      </c>
      <c r="D386">
        <v>4</v>
      </c>
      <c r="E386">
        <v>5.0780000000000003</v>
      </c>
      <c r="F386">
        <v>1541506.648</v>
      </c>
      <c r="G386">
        <v>0</v>
      </c>
      <c r="L386" t="s">
        <v>8</v>
      </c>
      <c r="M386" t="s">
        <v>8</v>
      </c>
      <c r="N386" t="s">
        <v>8</v>
      </c>
      <c r="P386">
        <f t="shared" si="969"/>
        <v>0.15109450080085443</v>
      </c>
      <c r="Q386">
        <f t="shared" si="970"/>
        <v>232913.17746075842</v>
      </c>
      <c r="R386">
        <f t="shared" si="971"/>
        <v>-20334680.26358334</v>
      </c>
      <c r="S386">
        <f t="shared" si="972"/>
        <v>-203.3468026358334</v>
      </c>
      <c r="T386">
        <f t="shared" si="973"/>
        <v>-0.20334680263583341</v>
      </c>
    </row>
    <row r="387" spans="1:20" x14ac:dyDescent="0.25">
      <c r="A387" s="5">
        <v>44206</v>
      </c>
      <c r="B387">
        <v>4.1130000000000004</v>
      </c>
      <c r="C387">
        <v>5.49</v>
      </c>
      <c r="D387">
        <v>4.1120000000000001</v>
      </c>
      <c r="E387">
        <v>4.9850000000000003</v>
      </c>
      <c r="F387">
        <v>1528190.7879999999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0.26705370101596537</v>
      </c>
      <c r="Q387">
        <f t="shared" si="970"/>
        <v>408109.00579390454</v>
      </c>
      <c r="R387">
        <f t="shared" si="971"/>
        <v>-20567593.4410441</v>
      </c>
      <c r="S387">
        <f t="shared" si="972"/>
        <v>-205.67593441044099</v>
      </c>
      <c r="T387">
        <f t="shared" si="973"/>
        <v>-0.20567593441044099</v>
      </c>
    </row>
    <row r="388" spans="1:20" x14ac:dyDescent="0.25">
      <c r="A388" s="5">
        <v>44205</v>
      </c>
      <c r="B388">
        <v>3.8460000000000001</v>
      </c>
      <c r="C388">
        <v>4.4000000000000004</v>
      </c>
      <c r="D388">
        <v>3.79</v>
      </c>
      <c r="E388">
        <v>4.1210000000000004</v>
      </c>
      <c r="F388">
        <v>633366.46799999999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8.524590163934502E-2</v>
      </c>
      <c r="Q388">
        <f t="shared" si="970"/>
        <v>53991.895632787368</v>
      </c>
      <c r="R388">
        <f t="shared" si="971"/>
        <v>-20975702.446838003</v>
      </c>
      <c r="S388">
        <f t="shared" si="972"/>
        <v>-209.75702446838002</v>
      </c>
      <c r="T388">
        <f t="shared" si="973"/>
        <v>-0.20975702446838002</v>
      </c>
    </row>
    <row r="389" spans="1:20" x14ac:dyDescent="0.25">
      <c r="A389" s="5">
        <v>44204</v>
      </c>
      <c r="B389">
        <v>4.069</v>
      </c>
      <c r="C389">
        <v>4.1539999999999999</v>
      </c>
      <c r="D389">
        <v>3.6440000000000001</v>
      </c>
      <c r="E389">
        <v>3.839</v>
      </c>
      <c r="F389">
        <v>558291.33900000004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-0.23529411764705913</v>
      </c>
      <c r="Q389">
        <f t="shared" si="970"/>
        <v>-131362.66800000018</v>
      </c>
      <c r="R389">
        <f t="shared" si="971"/>
        <v>-21029694.342470791</v>
      </c>
      <c r="S389">
        <f t="shared" si="972"/>
        <v>-210.29694342470791</v>
      </c>
      <c r="T389">
        <f t="shared" si="973"/>
        <v>-0.21029694342470789</v>
      </c>
    </row>
    <row r="390" spans="1:20" x14ac:dyDescent="0.25">
      <c r="A390" s="5">
        <v>44203</v>
      </c>
      <c r="B390">
        <v>3.8780000000000001</v>
      </c>
      <c r="C390">
        <v>4.5119999999999996</v>
      </c>
      <c r="D390">
        <v>3.7</v>
      </c>
      <c r="E390">
        <v>4.0620000000000003</v>
      </c>
      <c r="F390">
        <v>843972.00100000005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-0.10837438423645229</v>
      </c>
      <c r="Q390">
        <f t="shared" ref="Q390:Q453" si="975">F390*P390</f>
        <v>-91464.945921181497</v>
      </c>
      <c r="R390">
        <f t="shared" ref="R390:R453" si="976">R391+Q390</f>
        <v>-20898331.67447079</v>
      </c>
      <c r="S390">
        <f t="shared" ref="S390:S453" si="977">R390/100000</f>
        <v>-208.98331674470791</v>
      </c>
      <c r="T390">
        <f t="shared" ref="T390:T453" si="978">S390/1000</f>
        <v>-0.20898331674470791</v>
      </c>
    </row>
    <row r="391" spans="1:20" x14ac:dyDescent="0.25">
      <c r="A391" s="5">
        <v>44202</v>
      </c>
      <c r="B391">
        <v>3.609</v>
      </c>
      <c r="C391">
        <v>4.01</v>
      </c>
      <c r="D391">
        <v>3.4660000000000002</v>
      </c>
      <c r="E391">
        <v>3.8780000000000001</v>
      </c>
      <c r="F391">
        <v>815325.89500000002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0.51470588235294201</v>
      </c>
      <c r="Q391">
        <f t="shared" si="975"/>
        <v>419653.03419117717</v>
      </c>
      <c r="R391">
        <f t="shared" si="976"/>
        <v>-20806866.728549607</v>
      </c>
      <c r="S391">
        <f t="shared" si="977"/>
        <v>-208.06866728549608</v>
      </c>
      <c r="T391">
        <f t="shared" si="978"/>
        <v>-0.20806866728549608</v>
      </c>
    </row>
    <row r="392" spans="1:20" x14ac:dyDescent="0.25">
      <c r="A392" s="5">
        <v>44201</v>
      </c>
      <c r="B392">
        <v>3.6</v>
      </c>
      <c r="C392">
        <v>3.681</v>
      </c>
      <c r="D392">
        <v>3.3650000000000002</v>
      </c>
      <c r="E392">
        <v>3.6</v>
      </c>
      <c r="F392">
        <v>364914.27399999998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0.48734177215189872</v>
      </c>
      <c r="Q392">
        <f t="shared" si="975"/>
        <v>177837.96897468352</v>
      </c>
      <c r="R392">
        <f t="shared" si="976"/>
        <v>-21226519.762740783</v>
      </c>
      <c r="S392">
        <f t="shared" si="977"/>
        <v>-212.26519762740784</v>
      </c>
      <c r="T392">
        <f t="shared" si="978"/>
        <v>-0.21226519762740784</v>
      </c>
    </row>
    <row r="393" spans="1:20" x14ac:dyDescent="0.25">
      <c r="A393" s="5">
        <v>44200</v>
      </c>
      <c r="B393">
        <v>3.528</v>
      </c>
      <c r="C393">
        <v>4.04</v>
      </c>
      <c r="D393">
        <v>3.35</v>
      </c>
      <c r="E393">
        <v>3.6040000000000001</v>
      </c>
      <c r="F393">
        <v>597095.96600000001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-0.26376811594202892</v>
      </c>
      <c r="Q393">
        <f t="shared" si="975"/>
        <v>-157494.87798840576</v>
      </c>
      <c r="R393">
        <f t="shared" si="976"/>
        <v>-21404357.731715467</v>
      </c>
      <c r="S393">
        <f t="shared" si="977"/>
        <v>-214.04357731715467</v>
      </c>
      <c r="T393">
        <f t="shared" si="978"/>
        <v>-0.21404357731715468</v>
      </c>
    </row>
    <row r="394" spans="1:20" x14ac:dyDescent="0.25">
      <c r="A394" s="5">
        <v>44199</v>
      </c>
      <c r="B394">
        <v>3.6669999999999998</v>
      </c>
      <c r="C394">
        <v>3.75</v>
      </c>
      <c r="D394">
        <v>3.4689999999999999</v>
      </c>
      <c r="E394">
        <v>3.5270000000000001</v>
      </c>
      <c r="F394">
        <v>441686.78499999997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-0.58718861209964235</v>
      </c>
      <c r="Q394">
        <f t="shared" si="975"/>
        <v>-259353.45026690312</v>
      </c>
      <c r="R394">
        <f t="shared" si="976"/>
        <v>-21246862.853727061</v>
      </c>
      <c r="S394">
        <f t="shared" si="977"/>
        <v>-212.4686285372706</v>
      </c>
      <c r="T394">
        <f t="shared" si="978"/>
        <v>-0.21246862853727061</v>
      </c>
    </row>
    <row r="395" spans="1:20" x14ac:dyDescent="0.25">
      <c r="A395" s="5">
        <v>44198</v>
      </c>
      <c r="B395">
        <v>3.63</v>
      </c>
      <c r="C395">
        <v>3.8</v>
      </c>
      <c r="D395">
        <v>3.488</v>
      </c>
      <c r="E395">
        <v>3.6659999999999999</v>
      </c>
      <c r="F395">
        <v>354453.34399999998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0.14102564102564122</v>
      </c>
      <c r="Q395">
        <f t="shared" si="975"/>
        <v>49987.010051282115</v>
      </c>
      <c r="R395">
        <f t="shared" si="976"/>
        <v>-20987509.40346016</v>
      </c>
      <c r="S395">
        <f t="shared" si="977"/>
        <v>-209.8750940346016</v>
      </c>
      <c r="T395">
        <f t="shared" si="978"/>
        <v>-0.20987509403460161</v>
      </c>
    </row>
    <row r="396" spans="1:20" x14ac:dyDescent="0.25">
      <c r="A396" s="5">
        <v>44197</v>
      </c>
      <c r="B396">
        <v>3.5030000000000001</v>
      </c>
      <c r="C396">
        <v>3.8</v>
      </c>
      <c r="D396">
        <v>3.4220000000000002</v>
      </c>
      <c r="E396">
        <v>3.637</v>
      </c>
      <c r="F396">
        <v>263445.56400000001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0.13756613756613781</v>
      </c>
      <c r="Q396">
        <f t="shared" si="975"/>
        <v>36241.188698412763</v>
      </c>
      <c r="R396">
        <f t="shared" si="976"/>
        <v>-21037496.41351144</v>
      </c>
      <c r="S396">
        <f t="shared" si="977"/>
        <v>-210.3749641351144</v>
      </c>
      <c r="T396">
        <f t="shared" si="978"/>
        <v>-0.21037496413511439</v>
      </c>
    </row>
    <row r="397" spans="1:20" x14ac:dyDescent="0.25">
      <c r="A397" s="5">
        <v>44196</v>
      </c>
      <c r="B397">
        <v>3.637</v>
      </c>
      <c r="C397">
        <v>3.9</v>
      </c>
      <c r="D397">
        <v>3.391</v>
      </c>
      <c r="E397">
        <v>3.5070000000000001</v>
      </c>
      <c r="F397">
        <v>408575.52500000002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-0.54420432220039239</v>
      </c>
      <c r="Q397">
        <f t="shared" si="975"/>
        <v>-222348.5666502945</v>
      </c>
      <c r="R397">
        <f t="shared" si="976"/>
        <v>-21073737.602209851</v>
      </c>
      <c r="S397">
        <f t="shared" si="977"/>
        <v>-210.73737602209852</v>
      </c>
      <c r="T397">
        <f t="shared" si="978"/>
        <v>-0.21073737602209852</v>
      </c>
    </row>
    <row r="398" spans="1:20" x14ac:dyDescent="0.25">
      <c r="A398" s="5">
        <v>44195</v>
      </c>
      <c r="B398">
        <v>3.3</v>
      </c>
      <c r="C398">
        <v>3.7429999999999999</v>
      </c>
      <c r="D398">
        <v>3.2029999999999998</v>
      </c>
      <c r="E398">
        <v>3.637</v>
      </c>
      <c r="F398">
        <v>463404.97100000002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0.60740740740740795</v>
      </c>
      <c r="Q398">
        <f t="shared" si="975"/>
        <v>281475.61201481509</v>
      </c>
      <c r="R398">
        <f t="shared" si="976"/>
        <v>-20851389.035559557</v>
      </c>
      <c r="S398">
        <f t="shared" si="977"/>
        <v>-208.51389035559558</v>
      </c>
      <c r="T398">
        <f t="shared" si="978"/>
        <v>-0.20851389035559559</v>
      </c>
    </row>
    <row r="399" spans="1:20" x14ac:dyDescent="0.25">
      <c r="A399" s="5">
        <v>44194</v>
      </c>
      <c r="B399">
        <v>3.5529999999999999</v>
      </c>
      <c r="C399">
        <v>3.5830000000000002</v>
      </c>
      <c r="D399">
        <v>3.1930000000000001</v>
      </c>
      <c r="E399">
        <v>3.2909999999999999</v>
      </c>
      <c r="F399">
        <v>474518.29599999997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-0.49743589743589828</v>
      </c>
      <c r="Q399">
        <f t="shared" si="975"/>
        <v>-236042.43442051319</v>
      </c>
      <c r="R399">
        <f t="shared" si="976"/>
        <v>-21132864.647574373</v>
      </c>
      <c r="S399">
        <f t="shared" si="977"/>
        <v>-211.32864647574374</v>
      </c>
      <c r="T399">
        <f t="shared" si="978"/>
        <v>-0.21132864647574373</v>
      </c>
    </row>
    <row r="400" spans="1:20" x14ac:dyDescent="0.25">
      <c r="A400" s="5">
        <v>44193</v>
      </c>
      <c r="B400">
        <v>3.47</v>
      </c>
      <c r="C400">
        <v>3.9390000000000001</v>
      </c>
      <c r="D400">
        <v>3.448</v>
      </c>
      <c r="E400">
        <v>3.55</v>
      </c>
      <c r="F400">
        <v>433756.99200000003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-0.58452138492871752</v>
      </c>
      <c r="Q400">
        <f t="shared" si="975"/>
        <v>-253540.23768635467</v>
      </c>
      <c r="R400">
        <f t="shared" si="976"/>
        <v>-20896822.213153858</v>
      </c>
      <c r="S400">
        <f t="shared" si="977"/>
        <v>-208.96822213153857</v>
      </c>
      <c r="T400">
        <f t="shared" si="978"/>
        <v>-0.20896822213153857</v>
      </c>
    </row>
    <row r="401" spans="1:20" x14ac:dyDescent="0.25">
      <c r="A401" s="5">
        <v>44192</v>
      </c>
      <c r="B401">
        <v>3.7690000000000001</v>
      </c>
      <c r="C401">
        <v>3.8050000000000002</v>
      </c>
      <c r="D401">
        <v>3.3330000000000002</v>
      </c>
      <c r="E401">
        <v>3.468</v>
      </c>
      <c r="F401">
        <v>522659.72499999998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-0.42796610169491611</v>
      </c>
      <c r="Q401">
        <f t="shared" si="975"/>
        <v>-223680.64502118688</v>
      </c>
      <c r="R401">
        <f t="shared" si="976"/>
        <v>-20643281.975467503</v>
      </c>
      <c r="S401">
        <f t="shared" si="977"/>
        <v>-206.43281975467502</v>
      </c>
      <c r="T401">
        <f t="shared" si="978"/>
        <v>-0.20643281975467503</v>
      </c>
    </row>
    <row r="402" spans="1:20" x14ac:dyDescent="0.25">
      <c r="A402" s="5">
        <v>44191</v>
      </c>
      <c r="B402">
        <v>3.891</v>
      </c>
      <c r="C402">
        <v>3.9</v>
      </c>
      <c r="D402">
        <v>3.56</v>
      </c>
      <c r="E402">
        <v>3.7810000000000001</v>
      </c>
      <c r="F402">
        <v>442991.12099999998</v>
      </c>
      <c r="G402">
        <v>0</v>
      </c>
      <c r="L402" t="s">
        <v>7</v>
      </c>
      <c r="M402" t="s">
        <v>7</v>
      </c>
      <c r="N402" t="s">
        <v>8</v>
      </c>
      <c r="P402">
        <f t="shared" si="974"/>
        <v>0.30000000000000104</v>
      </c>
      <c r="Q402">
        <f t="shared" si="975"/>
        <v>132897.33630000046</v>
      </c>
      <c r="R402">
        <f t="shared" si="976"/>
        <v>-20419601.330446318</v>
      </c>
      <c r="S402">
        <f t="shared" si="977"/>
        <v>-204.19601330446318</v>
      </c>
      <c r="T402">
        <f t="shared" si="978"/>
        <v>-0.20419601330446319</v>
      </c>
    </row>
    <row r="403" spans="1:20" x14ac:dyDescent="0.25">
      <c r="A403" s="5">
        <v>44190</v>
      </c>
      <c r="B403">
        <v>4.0309999999999997</v>
      </c>
      <c r="C403">
        <v>4.0759999999999996</v>
      </c>
      <c r="D403">
        <v>3.7919999999999998</v>
      </c>
      <c r="E403">
        <v>3.891</v>
      </c>
      <c r="F403">
        <v>319531.86700000003</v>
      </c>
      <c r="G403">
        <v>0</v>
      </c>
      <c r="L403" t="s">
        <v>7</v>
      </c>
      <c r="M403" t="s">
        <v>7</v>
      </c>
      <c r="N403" t="s">
        <v>8</v>
      </c>
      <c r="P403">
        <f t="shared" si="974"/>
        <v>-0.30281690140844886</v>
      </c>
      <c r="Q403">
        <f t="shared" si="975"/>
        <v>-96759.649866196603</v>
      </c>
      <c r="R403">
        <f t="shared" si="976"/>
        <v>-20552498.666746318</v>
      </c>
      <c r="S403">
        <f t="shared" si="977"/>
        <v>-205.5249866674632</v>
      </c>
      <c r="T403">
        <f t="shared" si="978"/>
        <v>-0.20552498666746319</v>
      </c>
    </row>
    <row r="404" spans="1:20" x14ac:dyDescent="0.25">
      <c r="A404" s="5">
        <v>44189</v>
      </c>
      <c r="B404">
        <v>3.9359999999999999</v>
      </c>
      <c r="C404">
        <v>4.1509999999999998</v>
      </c>
      <c r="D404">
        <v>3.7509999999999999</v>
      </c>
      <c r="E404">
        <v>4.032</v>
      </c>
      <c r="F404">
        <v>392724.03200000001</v>
      </c>
      <c r="G404">
        <v>0</v>
      </c>
      <c r="L404" t="s">
        <v>8</v>
      </c>
      <c r="M404" t="s">
        <v>7</v>
      </c>
      <c r="N404" t="s">
        <v>8</v>
      </c>
      <c r="P404">
        <f t="shared" si="974"/>
        <v>0.40500000000000103</v>
      </c>
      <c r="Q404">
        <f t="shared" si="975"/>
        <v>159053.2329600004</v>
      </c>
      <c r="R404">
        <f t="shared" si="976"/>
        <v>-20455739.016880121</v>
      </c>
      <c r="S404">
        <f t="shared" si="977"/>
        <v>-204.55739016880122</v>
      </c>
      <c r="T404">
        <f t="shared" si="978"/>
        <v>-0.20455739016880123</v>
      </c>
    </row>
    <row r="405" spans="1:20" x14ac:dyDescent="0.25">
      <c r="A405" s="5">
        <v>44188</v>
      </c>
      <c r="B405">
        <v>4.3600000000000003</v>
      </c>
      <c r="C405">
        <v>4.5</v>
      </c>
      <c r="D405">
        <v>3.766</v>
      </c>
      <c r="E405">
        <v>3.9359999999999999</v>
      </c>
      <c r="F405">
        <v>544333.01500000001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-0.53678474114441432</v>
      </c>
      <c r="Q405">
        <f t="shared" si="975"/>
        <v>-292189.65655313362</v>
      </c>
      <c r="R405">
        <f t="shared" si="976"/>
        <v>-20614792.249840122</v>
      </c>
      <c r="S405">
        <f t="shared" si="977"/>
        <v>-206.14792249840121</v>
      </c>
      <c r="T405">
        <f t="shared" si="978"/>
        <v>-0.20614792249840122</v>
      </c>
    </row>
    <row r="406" spans="1:20" x14ac:dyDescent="0.25">
      <c r="A406" s="5">
        <v>44187</v>
      </c>
      <c r="B406">
        <v>4.1580000000000004</v>
      </c>
      <c r="C406">
        <v>4.6420000000000003</v>
      </c>
      <c r="D406">
        <v>3.8119999999999998</v>
      </c>
      <c r="E406">
        <v>4.3600000000000003</v>
      </c>
      <c r="F406">
        <v>843238.79599999997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0.32048192771084372</v>
      </c>
      <c r="Q406">
        <f t="shared" si="975"/>
        <v>270242.79486265086</v>
      </c>
      <c r="R406">
        <f t="shared" si="976"/>
        <v>-20322602.593286987</v>
      </c>
      <c r="S406">
        <f t="shared" si="977"/>
        <v>-203.22602593286987</v>
      </c>
      <c r="T406">
        <f t="shared" si="978"/>
        <v>-0.20322602593286987</v>
      </c>
    </row>
    <row r="407" spans="1:20" x14ac:dyDescent="0.25">
      <c r="A407" s="5">
        <v>44186</v>
      </c>
      <c r="B407">
        <v>4.1989999999999998</v>
      </c>
      <c r="C407">
        <v>4.62</v>
      </c>
      <c r="D407">
        <v>3.9</v>
      </c>
      <c r="E407">
        <v>4.1550000000000002</v>
      </c>
      <c r="F407">
        <v>933310.66500000004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-0.29166666666666591</v>
      </c>
      <c r="Q407">
        <f t="shared" si="975"/>
        <v>-272215.61062499933</v>
      </c>
      <c r="R407">
        <f t="shared" si="976"/>
        <v>-20592845.388149638</v>
      </c>
      <c r="S407">
        <f t="shared" si="977"/>
        <v>-205.92845388149638</v>
      </c>
      <c r="T407">
        <f t="shared" si="978"/>
        <v>-0.20592845388149639</v>
      </c>
    </row>
    <row r="408" spans="1:20" x14ac:dyDescent="0.25">
      <c r="A408" s="5">
        <v>44185</v>
      </c>
      <c r="B408">
        <v>4.319</v>
      </c>
      <c r="C408">
        <v>4.4000000000000004</v>
      </c>
      <c r="D408">
        <v>3.8490000000000002</v>
      </c>
      <c r="E408">
        <v>4.1980000000000004</v>
      </c>
      <c r="F408">
        <v>774810.68299999996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0.2667876588021782</v>
      </c>
      <c r="Q408">
        <f t="shared" si="975"/>
        <v>206709.92813248665</v>
      </c>
      <c r="R408">
        <f t="shared" si="976"/>
        <v>-20320629.777524639</v>
      </c>
      <c r="S408">
        <f t="shared" si="977"/>
        <v>-203.20629777524638</v>
      </c>
      <c r="T408">
        <f t="shared" si="978"/>
        <v>-0.20320629777524638</v>
      </c>
    </row>
    <row r="409" spans="1:20" x14ac:dyDescent="0.25">
      <c r="A409" s="5">
        <v>44184</v>
      </c>
      <c r="B409">
        <v>4.1150000000000002</v>
      </c>
      <c r="C409">
        <v>4.6280000000000001</v>
      </c>
      <c r="D409">
        <v>4.0190000000000001</v>
      </c>
      <c r="E409">
        <v>4.3179999999999996</v>
      </c>
      <c r="F409">
        <v>809104.06900000002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-1.8062397372743857E-2</v>
      </c>
      <c r="Q409">
        <f t="shared" si="975"/>
        <v>-14614.359210181965</v>
      </c>
      <c r="R409">
        <f t="shared" si="976"/>
        <v>-20527339.705657125</v>
      </c>
      <c r="S409">
        <f t="shared" si="977"/>
        <v>-205.27339705657124</v>
      </c>
      <c r="T409">
        <f t="shared" si="978"/>
        <v>-0.20527339705657124</v>
      </c>
    </row>
    <row r="410" spans="1:20" x14ac:dyDescent="0.25">
      <c r="A410" s="5">
        <v>44183</v>
      </c>
      <c r="B410">
        <v>3.835</v>
      </c>
      <c r="C410">
        <v>4.2039999999999997</v>
      </c>
      <c r="D410">
        <v>3.6520000000000001</v>
      </c>
      <c r="E410">
        <v>4.1150000000000002</v>
      </c>
      <c r="F410">
        <v>915418.82700000005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0.67753623188405943</v>
      </c>
      <c r="Q410">
        <f t="shared" si="975"/>
        <v>620229.42264130572</v>
      </c>
      <c r="R410">
        <f t="shared" si="976"/>
        <v>-20512725.346446943</v>
      </c>
      <c r="S410">
        <f t="shared" si="977"/>
        <v>-205.12725346446942</v>
      </c>
      <c r="T410">
        <f t="shared" si="978"/>
        <v>-0.20512725346446942</v>
      </c>
    </row>
    <row r="411" spans="1:20" x14ac:dyDescent="0.25">
      <c r="A411" s="5">
        <v>44182</v>
      </c>
      <c r="B411">
        <v>3.605</v>
      </c>
      <c r="C411">
        <v>4.4390000000000001</v>
      </c>
      <c r="D411">
        <v>3.58</v>
      </c>
      <c r="E411">
        <v>3.8370000000000002</v>
      </c>
      <c r="F411">
        <v>1704945.098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-0.40162980209545956</v>
      </c>
      <c r="Q411">
        <f t="shared" si="975"/>
        <v>-684756.76229336392</v>
      </c>
      <c r="R411">
        <f t="shared" si="976"/>
        <v>-21132954.76908825</v>
      </c>
      <c r="S411">
        <f t="shared" si="977"/>
        <v>-211.32954769088249</v>
      </c>
      <c r="T411">
        <f t="shared" si="978"/>
        <v>-0.2113295476908825</v>
      </c>
    </row>
    <row r="412" spans="1:20" x14ac:dyDescent="0.25">
      <c r="A412" s="5">
        <v>44181</v>
      </c>
      <c r="B412">
        <v>3.54</v>
      </c>
      <c r="C412">
        <v>3.72</v>
      </c>
      <c r="D412">
        <v>3.27</v>
      </c>
      <c r="E412">
        <v>3.605</v>
      </c>
      <c r="F412">
        <v>884372.80099999998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0.48888888888888815</v>
      </c>
      <c r="Q412">
        <f t="shared" si="975"/>
        <v>432360.03604444378</v>
      </c>
      <c r="R412">
        <f t="shared" si="976"/>
        <v>-20448198.006794885</v>
      </c>
      <c r="S412">
        <f t="shared" si="977"/>
        <v>-204.48198006794885</v>
      </c>
      <c r="T412">
        <f t="shared" si="978"/>
        <v>-0.20448198006794885</v>
      </c>
    </row>
    <row r="413" spans="1:20" x14ac:dyDescent="0.25">
      <c r="A413" s="5">
        <v>44180</v>
      </c>
      <c r="B413">
        <v>3.468</v>
      </c>
      <c r="C413">
        <v>3.7559999999999998</v>
      </c>
      <c r="D413">
        <v>3.36</v>
      </c>
      <c r="E413">
        <v>3.5350000000000001</v>
      </c>
      <c r="F413">
        <v>850662.11199999996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-0.11616161616161461</v>
      </c>
      <c r="Q413">
        <f t="shared" si="975"/>
        <v>-98814.285737372411</v>
      </c>
      <c r="R413">
        <f t="shared" si="976"/>
        <v>-20880558.04283933</v>
      </c>
      <c r="S413">
        <f t="shared" si="977"/>
        <v>-208.80558042839328</v>
      </c>
      <c r="T413">
        <f t="shared" si="978"/>
        <v>-0.20880558042839328</v>
      </c>
    </row>
    <row r="414" spans="1:20" x14ac:dyDescent="0.25">
      <c r="A414" s="5">
        <v>44179</v>
      </c>
      <c r="B414">
        <v>3.5049999999999999</v>
      </c>
      <c r="C414">
        <v>3.552</v>
      </c>
      <c r="D414">
        <v>3.3</v>
      </c>
      <c r="E414">
        <v>3.4670000000000001</v>
      </c>
      <c r="F414">
        <v>613117.272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0.32539682539682629</v>
      </c>
      <c r="Q414">
        <f t="shared" si="975"/>
        <v>199506.41390476245</v>
      </c>
      <c r="R414">
        <f t="shared" si="976"/>
        <v>-20781743.757101957</v>
      </c>
      <c r="S414">
        <f t="shared" si="977"/>
        <v>-207.81743757101955</v>
      </c>
      <c r="T414">
        <f t="shared" si="978"/>
        <v>-0.20781743757101956</v>
      </c>
    </row>
    <row r="415" spans="1:20" x14ac:dyDescent="0.25">
      <c r="A415" s="5">
        <v>44178</v>
      </c>
      <c r="B415">
        <v>3.6070000000000002</v>
      </c>
      <c r="C415">
        <v>3.75</v>
      </c>
      <c r="D415">
        <v>3.46</v>
      </c>
      <c r="E415">
        <v>3.5049999999999999</v>
      </c>
      <c r="F415">
        <v>530194.68200000003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-0.68965517241379359</v>
      </c>
      <c r="Q415">
        <f t="shared" si="975"/>
        <v>-365651.50482758647</v>
      </c>
      <c r="R415">
        <f t="shared" si="976"/>
        <v>-20981250.171006721</v>
      </c>
      <c r="S415">
        <f t="shared" si="977"/>
        <v>-209.81250171006721</v>
      </c>
      <c r="T415">
        <f t="shared" si="978"/>
        <v>-0.20981250171006721</v>
      </c>
    </row>
    <row r="416" spans="1:20" x14ac:dyDescent="0.25">
      <c r="A416" s="5">
        <v>44177</v>
      </c>
      <c r="B416">
        <v>3.331</v>
      </c>
      <c r="C416">
        <v>3.8340000000000001</v>
      </c>
      <c r="D416">
        <v>3.3250000000000002</v>
      </c>
      <c r="E416">
        <v>3.6070000000000002</v>
      </c>
      <c r="F416">
        <v>759844.63899999997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0.10805500982318304</v>
      </c>
      <c r="Q416">
        <f t="shared" si="975"/>
        <v>82105.01993123797</v>
      </c>
      <c r="R416">
        <f t="shared" si="976"/>
        <v>-20615598.666179135</v>
      </c>
      <c r="S416">
        <f t="shared" si="977"/>
        <v>-206.15598666179136</v>
      </c>
      <c r="T416">
        <f t="shared" si="978"/>
        <v>-0.20615598666179136</v>
      </c>
    </row>
    <row r="417" spans="1:20" x14ac:dyDescent="0.25">
      <c r="A417" s="5">
        <v>44176</v>
      </c>
      <c r="B417">
        <v>3.952</v>
      </c>
      <c r="C417">
        <v>4.008</v>
      </c>
      <c r="D417">
        <v>3.2040000000000002</v>
      </c>
      <c r="E417">
        <v>3.343</v>
      </c>
      <c r="F417">
        <v>1030593.681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-0.65422885572139344</v>
      </c>
      <c r="Q417">
        <f t="shared" si="975"/>
        <v>-674244.12463432876</v>
      </c>
      <c r="R417">
        <f t="shared" si="976"/>
        <v>-20697703.686110374</v>
      </c>
      <c r="S417">
        <f t="shared" si="977"/>
        <v>-206.97703686110373</v>
      </c>
      <c r="T417">
        <f t="shared" si="978"/>
        <v>-0.20697703686110372</v>
      </c>
    </row>
    <row r="418" spans="1:20" x14ac:dyDescent="0.25">
      <c r="A418" s="5">
        <v>44175</v>
      </c>
      <c r="B418">
        <v>3.7909999999999999</v>
      </c>
      <c r="C418">
        <v>4.12</v>
      </c>
      <c r="D418">
        <v>3.6</v>
      </c>
      <c r="E418">
        <v>3.952</v>
      </c>
      <c r="F418">
        <v>917085.82200000004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0.35384615384615331</v>
      </c>
      <c r="Q418">
        <f t="shared" si="975"/>
        <v>324507.29086153797</v>
      </c>
      <c r="R418">
        <f t="shared" si="976"/>
        <v>-20023459.561476044</v>
      </c>
      <c r="S418">
        <f t="shared" si="977"/>
        <v>-200.23459561476045</v>
      </c>
      <c r="T418">
        <f t="shared" si="978"/>
        <v>-0.20023459561476045</v>
      </c>
    </row>
    <row r="419" spans="1:20" x14ac:dyDescent="0.25">
      <c r="A419" s="5">
        <v>44174</v>
      </c>
      <c r="B419">
        <v>3.8159999999999998</v>
      </c>
      <c r="C419">
        <v>4.1849999999999996</v>
      </c>
      <c r="D419">
        <v>3.5150000000000001</v>
      </c>
      <c r="E419">
        <v>3.79</v>
      </c>
      <c r="F419">
        <v>1625917.024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-0.17910447761193993</v>
      </c>
      <c r="Q419">
        <f t="shared" si="975"/>
        <v>-291209.01922387996</v>
      </c>
      <c r="R419">
        <f t="shared" si="976"/>
        <v>-20347966.852337584</v>
      </c>
      <c r="S419">
        <f t="shared" si="977"/>
        <v>-203.47966852337584</v>
      </c>
      <c r="T419">
        <f t="shared" si="978"/>
        <v>-0.20347966852337585</v>
      </c>
    </row>
    <row r="420" spans="1:20" x14ac:dyDescent="0.25">
      <c r="A420" s="5">
        <v>44173</v>
      </c>
      <c r="B420">
        <v>3.464</v>
      </c>
      <c r="C420">
        <v>4.7859999999999996</v>
      </c>
      <c r="D420">
        <v>3.27</v>
      </c>
      <c r="E420">
        <v>3.8029999999999999</v>
      </c>
      <c r="F420">
        <v>4137601.7570000002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-0.29683377308707115</v>
      </c>
      <c r="Q420">
        <f t="shared" si="975"/>
        <v>-1228179.941062005</v>
      </c>
      <c r="R420">
        <f t="shared" si="976"/>
        <v>-20056757.833113704</v>
      </c>
      <c r="S420">
        <f t="shared" si="977"/>
        <v>-200.56757833113704</v>
      </c>
      <c r="T420">
        <f t="shared" si="978"/>
        <v>-0.20056757833113703</v>
      </c>
    </row>
    <row r="421" spans="1:20" x14ac:dyDescent="0.25">
      <c r="A421" s="5">
        <v>44172</v>
      </c>
      <c r="B421">
        <v>2.9990000000000001</v>
      </c>
      <c r="C421">
        <v>3.6070000000000002</v>
      </c>
      <c r="D421">
        <v>2.9340000000000002</v>
      </c>
      <c r="E421">
        <v>3.464</v>
      </c>
      <c r="F421">
        <v>1059636.385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0.57503714710252529</v>
      </c>
      <c r="Q421">
        <f t="shared" si="975"/>
        <v>609330.28379643313</v>
      </c>
      <c r="R421">
        <f t="shared" si="976"/>
        <v>-18828577.892051701</v>
      </c>
      <c r="S421">
        <f t="shared" si="977"/>
        <v>-188.285778920517</v>
      </c>
      <c r="T421">
        <f t="shared" si="978"/>
        <v>-0.18828577892051701</v>
      </c>
    </row>
    <row r="422" spans="1:20" x14ac:dyDescent="0.25">
      <c r="A422" s="5">
        <v>44171</v>
      </c>
      <c r="B422">
        <v>3.1560000000000001</v>
      </c>
      <c r="C422">
        <v>3.173</v>
      </c>
      <c r="D422">
        <v>2.9350000000000001</v>
      </c>
      <c r="E422">
        <v>2.996</v>
      </c>
      <c r="F422">
        <v>363900.61800000002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-0.48739495798319371</v>
      </c>
      <c r="Q422">
        <f t="shared" si="975"/>
        <v>-177363.32642016825</v>
      </c>
      <c r="R422">
        <f t="shared" si="976"/>
        <v>-19437908.175848134</v>
      </c>
      <c r="S422">
        <f t="shared" si="977"/>
        <v>-194.37908175848133</v>
      </c>
      <c r="T422">
        <f t="shared" si="978"/>
        <v>-0.19437908175848134</v>
      </c>
    </row>
    <row r="423" spans="1:20" x14ac:dyDescent="0.25">
      <c r="A423" s="5">
        <v>44170</v>
      </c>
      <c r="B423">
        <v>3.0680000000000001</v>
      </c>
      <c r="C423">
        <v>3.1680000000000001</v>
      </c>
      <c r="D423">
        <v>2.99</v>
      </c>
      <c r="E423">
        <v>3.1560000000000001</v>
      </c>
      <c r="F423">
        <v>247963.527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0.86516853932584248</v>
      </c>
      <c r="Q423">
        <f t="shared" si="975"/>
        <v>214530.24246067411</v>
      </c>
      <c r="R423">
        <f t="shared" si="976"/>
        <v>-19260544.849427965</v>
      </c>
      <c r="S423">
        <f t="shared" si="977"/>
        <v>-192.60544849427964</v>
      </c>
      <c r="T423">
        <f t="shared" si="978"/>
        <v>-0.19260544849427963</v>
      </c>
    </row>
    <row r="424" spans="1:20" x14ac:dyDescent="0.25">
      <c r="A424" s="5">
        <v>44169</v>
      </c>
      <c r="B424">
        <v>3.214</v>
      </c>
      <c r="C424">
        <v>3.31</v>
      </c>
      <c r="D424">
        <v>2.9910000000000001</v>
      </c>
      <c r="E424">
        <v>3.069</v>
      </c>
      <c r="F424">
        <v>474330.68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-0.51097178683385669</v>
      </c>
      <c r="Q424">
        <f t="shared" si="975"/>
        <v>-242369.5951097183</v>
      </c>
      <c r="R424">
        <f t="shared" si="976"/>
        <v>-19475075.09188864</v>
      </c>
      <c r="S424">
        <f t="shared" si="977"/>
        <v>-194.75075091888641</v>
      </c>
      <c r="T424">
        <f t="shared" si="978"/>
        <v>-0.19475075091888641</v>
      </c>
    </row>
    <row r="425" spans="1:20" x14ac:dyDescent="0.25">
      <c r="A425" s="5">
        <v>44168</v>
      </c>
      <c r="B425">
        <v>3.3580000000000001</v>
      </c>
      <c r="C425">
        <v>3.4430000000000001</v>
      </c>
      <c r="D425">
        <v>3.1669999999999998</v>
      </c>
      <c r="E425">
        <v>3.2229999999999999</v>
      </c>
      <c r="F425">
        <v>641183.26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-0.59420289855072461</v>
      </c>
      <c r="Q425">
        <f t="shared" si="975"/>
        <v>-380992.9515942029</v>
      </c>
      <c r="R425">
        <f t="shared" si="976"/>
        <v>-19232705.49677892</v>
      </c>
      <c r="S425">
        <f t="shared" si="977"/>
        <v>-192.32705496778919</v>
      </c>
      <c r="T425">
        <f t="shared" si="978"/>
        <v>-0.19232705496778921</v>
      </c>
    </row>
    <row r="426" spans="1:20" x14ac:dyDescent="0.25">
      <c r="A426" s="5">
        <v>44167</v>
      </c>
      <c r="B426">
        <v>3.1219999999999999</v>
      </c>
      <c r="C426">
        <v>3.47</v>
      </c>
      <c r="D426">
        <v>3.04</v>
      </c>
      <c r="E426">
        <v>3.3660000000000001</v>
      </c>
      <c r="F426">
        <v>658719.23699999996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0.51627906976744165</v>
      </c>
      <c r="Q426">
        <f t="shared" si="975"/>
        <v>340082.95491627889</v>
      </c>
      <c r="R426">
        <f t="shared" si="976"/>
        <v>-18851712.545184717</v>
      </c>
      <c r="S426">
        <f t="shared" si="977"/>
        <v>-188.51712545184716</v>
      </c>
      <c r="T426">
        <f t="shared" si="978"/>
        <v>-0.18851712545184715</v>
      </c>
    </row>
    <row r="427" spans="1:20" x14ac:dyDescent="0.25">
      <c r="A427" s="5">
        <v>44166</v>
      </c>
      <c r="B427">
        <v>3.0019999999999998</v>
      </c>
      <c r="C427">
        <v>3.5</v>
      </c>
      <c r="D427">
        <v>2.919</v>
      </c>
      <c r="E427">
        <v>3.1179999999999999</v>
      </c>
      <c r="F427">
        <v>1163903.425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-0.31497418244406244</v>
      </c>
      <c r="Q427">
        <f t="shared" si="975"/>
        <v>-366599.52973321918</v>
      </c>
      <c r="R427">
        <f t="shared" si="976"/>
        <v>-19191795.500100996</v>
      </c>
      <c r="S427">
        <f t="shared" si="977"/>
        <v>-191.91795500100997</v>
      </c>
      <c r="T427">
        <f t="shared" si="978"/>
        <v>-0.19191795500100997</v>
      </c>
    </row>
    <row r="428" spans="1:20" x14ac:dyDescent="0.25">
      <c r="A428" s="5">
        <v>44165</v>
      </c>
      <c r="B428">
        <v>3.0369999999999999</v>
      </c>
      <c r="C428">
        <v>3.16</v>
      </c>
      <c r="D428">
        <v>2.9</v>
      </c>
      <c r="E428">
        <v>3.0019999999999998</v>
      </c>
      <c r="F428">
        <v>716202.88699999999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-0.21538461538461709</v>
      </c>
      <c r="Q428">
        <f t="shared" si="975"/>
        <v>-154259.08335384738</v>
      </c>
      <c r="R428">
        <f t="shared" si="976"/>
        <v>-18825195.970367778</v>
      </c>
      <c r="S428">
        <f t="shared" si="977"/>
        <v>-188.25195970367778</v>
      </c>
      <c r="T428">
        <f t="shared" si="978"/>
        <v>-0.18825195970367778</v>
      </c>
    </row>
    <row r="429" spans="1:20" x14ac:dyDescent="0.25">
      <c r="A429" s="5">
        <v>44164</v>
      </c>
      <c r="B429">
        <v>3.38</v>
      </c>
      <c r="C429">
        <v>3.3839999999999999</v>
      </c>
      <c r="D429">
        <v>2.75</v>
      </c>
      <c r="E429">
        <v>3.0449999999999999</v>
      </c>
      <c r="F429">
        <v>1285706.436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-6.9400630914826567E-2</v>
      </c>
      <c r="Q429">
        <f t="shared" si="975"/>
        <v>-89228.837829653086</v>
      </c>
      <c r="R429">
        <f t="shared" si="976"/>
        <v>-18670936.887013931</v>
      </c>
      <c r="S429">
        <f t="shared" si="977"/>
        <v>-186.70936887013931</v>
      </c>
      <c r="T429">
        <f t="shared" si="978"/>
        <v>-0.18670936887013931</v>
      </c>
    </row>
    <row r="430" spans="1:20" x14ac:dyDescent="0.25">
      <c r="A430" s="5">
        <v>44163</v>
      </c>
      <c r="B430">
        <v>2.9750000000000001</v>
      </c>
      <c r="C430">
        <v>3.4689999999999999</v>
      </c>
      <c r="D430">
        <v>2.847</v>
      </c>
      <c r="E430">
        <v>3.3769999999999998</v>
      </c>
      <c r="F430">
        <v>852150.46400000004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0.70418006430868141</v>
      </c>
      <c r="Q430">
        <f t="shared" si="975"/>
        <v>600067.36854019272</v>
      </c>
      <c r="R430">
        <f t="shared" si="976"/>
        <v>-18581708.049184278</v>
      </c>
      <c r="S430">
        <f t="shared" si="977"/>
        <v>-185.81708049184277</v>
      </c>
      <c r="T430">
        <f t="shared" si="978"/>
        <v>-0.18581708049184278</v>
      </c>
    </row>
    <row r="431" spans="1:20" x14ac:dyDescent="0.25">
      <c r="A431" s="5">
        <v>44162</v>
      </c>
      <c r="B431">
        <v>3.0150000000000001</v>
      </c>
      <c r="C431">
        <v>3.2320000000000002</v>
      </c>
      <c r="D431">
        <v>2.7679999999999998</v>
      </c>
      <c r="E431">
        <v>2.9740000000000002</v>
      </c>
      <c r="F431">
        <v>722971.63600000006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-0.11206896551724042</v>
      </c>
      <c r="Q431">
        <f t="shared" si="975"/>
        <v>-81022.683344826903</v>
      </c>
      <c r="R431">
        <f t="shared" si="976"/>
        <v>-19181775.417724472</v>
      </c>
      <c r="S431">
        <f t="shared" si="977"/>
        <v>-191.81775417724472</v>
      </c>
      <c r="T431">
        <f t="shared" si="978"/>
        <v>-0.19181775417724473</v>
      </c>
    </row>
    <row r="432" spans="1:20" x14ac:dyDescent="0.25">
      <c r="A432" s="5">
        <v>44161</v>
      </c>
      <c r="B432">
        <v>3.2850000000000001</v>
      </c>
      <c r="C432">
        <v>3.464</v>
      </c>
      <c r="D432">
        <v>2.4700000000000002</v>
      </c>
      <c r="E432">
        <v>3.0150000000000001</v>
      </c>
      <c r="F432">
        <v>1599666.4890000001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9.6579476861167107E-2</v>
      </c>
      <c r="Q432">
        <f t="shared" si="975"/>
        <v>154494.95265995993</v>
      </c>
      <c r="R432">
        <f t="shared" si="976"/>
        <v>-19100752.734379645</v>
      </c>
      <c r="S432">
        <f t="shared" si="977"/>
        <v>-191.00752734379645</v>
      </c>
      <c r="T432">
        <f t="shared" si="978"/>
        <v>-0.19100752734379645</v>
      </c>
    </row>
    <row r="433" spans="1:20" x14ac:dyDescent="0.25">
      <c r="A433" s="5">
        <v>44160</v>
      </c>
      <c r="B433">
        <v>3.2650000000000001</v>
      </c>
      <c r="C433">
        <v>3.66</v>
      </c>
      <c r="D433">
        <v>2.9289999999999998</v>
      </c>
      <c r="E433">
        <v>3.2909999999999999</v>
      </c>
      <c r="F433">
        <v>1704827.76</v>
      </c>
      <c r="G433">
        <v>0</v>
      </c>
      <c r="L433" t="s">
        <v>7</v>
      </c>
      <c r="M433" t="s">
        <v>8</v>
      </c>
      <c r="N433" t="s">
        <v>7</v>
      </c>
      <c r="P433">
        <f t="shared" si="974"/>
        <v>-9.5759233926130151E-3</v>
      </c>
      <c r="Q433">
        <f t="shared" si="975"/>
        <v>-16325.300027360046</v>
      </c>
      <c r="R433">
        <f t="shared" si="976"/>
        <v>-19255247.687039606</v>
      </c>
      <c r="S433">
        <f t="shared" si="977"/>
        <v>-192.55247687039605</v>
      </c>
      <c r="T433">
        <f t="shared" si="978"/>
        <v>-0.19255247687039606</v>
      </c>
    </row>
    <row r="434" spans="1:20" x14ac:dyDescent="0.25">
      <c r="A434" s="5">
        <v>44159</v>
      </c>
      <c r="B434">
        <v>3.94</v>
      </c>
      <c r="C434">
        <v>3.97</v>
      </c>
      <c r="D434">
        <v>3.01</v>
      </c>
      <c r="E434">
        <v>3.246</v>
      </c>
      <c r="F434">
        <v>1859611.067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-0.50833333333333308</v>
      </c>
      <c r="Q434">
        <f t="shared" si="975"/>
        <v>-945302.29239166621</v>
      </c>
      <c r="R434">
        <f t="shared" si="976"/>
        <v>-19238922.387012247</v>
      </c>
      <c r="S434">
        <f t="shared" si="977"/>
        <v>-192.38922387012246</v>
      </c>
      <c r="T434">
        <f t="shared" si="978"/>
        <v>-0.19238922387012247</v>
      </c>
    </row>
    <row r="435" spans="1:20" x14ac:dyDescent="0.25">
      <c r="A435" s="5">
        <v>44158</v>
      </c>
      <c r="B435">
        <v>3.762</v>
      </c>
      <c r="C435">
        <v>4.2</v>
      </c>
      <c r="D435">
        <v>3.698</v>
      </c>
      <c r="E435">
        <v>3.9390000000000001</v>
      </c>
      <c r="F435">
        <v>778122.41200000001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-3.9840637450199223E-2</v>
      </c>
      <c r="Q435">
        <f t="shared" si="975"/>
        <v>-31000.89290836655</v>
      </c>
      <c r="R435">
        <f t="shared" si="976"/>
        <v>-18293620.094620582</v>
      </c>
      <c r="S435">
        <f t="shared" si="977"/>
        <v>-182.93620094620582</v>
      </c>
      <c r="T435">
        <f t="shared" si="978"/>
        <v>-0.18293620094620583</v>
      </c>
    </row>
    <row r="436" spans="1:20" x14ac:dyDescent="0.25">
      <c r="A436" s="5">
        <v>44157</v>
      </c>
      <c r="B436">
        <v>4.0979999999999999</v>
      </c>
      <c r="C436">
        <v>4.2009999999999996</v>
      </c>
      <c r="D436">
        <v>3.62</v>
      </c>
      <c r="E436">
        <v>3.762</v>
      </c>
      <c r="F436">
        <v>640018.56700000004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-0.51118760757314963</v>
      </c>
      <c r="Q436">
        <f t="shared" si="975"/>
        <v>-327169.5600671256</v>
      </c>
      <c r="R436">
        <f t="shared" si="976"/>
        <v>-18262619.201712213</v>
      </c>
      <c r="S436">
        <f t="shared" si="977"/>
        <v>-182.62619201712212</v>
      </c>
      <c r="T436">
        <f t="shared" si="978"/>
        <v>-0.18262619201712213</v>
      </c>
    </row>
    <row r="437" spans="1:20" x14ac:dyDescent="0.25">
      <c r="A437" s="5">
        <v>44156</v>
      </c>
      <c r="B437">
        <v>3.8980000000000001</v>
      </c>
      <c r="C437">
        <v>4.1189999999999998</v>
      </c>
      <c r="D437">
        <v>3.6819999999999999</v>
      </c>
      <c r="E437">
        <v>4.1180000000000003</v>
      </c>
      <c r="F437">
        <v>713098.30799999996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0.99542334096110097</v>
      </c>
      <c r="Q437">
        <f t="shared" si="975"/>
        <v>709834.70018306817</v>
      </c>
      <c r="R437">
        <f t="shared" si="976"/>
        <v>-17935449.641645089</v>
      </c>
      <c r="S437">
        <f t="shared" si="977"/>
        <v>-179.3544964164509</v>
      </c>
      <c r="T437">
        <f t="shared" si="978"/>
        <v>-0.1793544964164509</v>
      </c>
    </row>
    <row r="438" spans="1:20" x14ac:dyDescent="0.25">
      <c r="A438" s="5">
        <v>44155</v>
      </c>
      <c r="B438">
        <v>3.9790000000000001</v>
      </c>
      <c r="C438">
        <v>4.2140000000000004</v>
      </c>
      <c r="D438">
        <v>3.8519999999999999</v>
      </c>
      <c r="E438">
        <v>3.8980000000000001</v>
      </c>
      <c r="F438">
        <v>758999.88800000004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-0.7458563535911592</v>
      </c>
      <c r="Q438">
        <f t="shared" si="975"/>
        <v>-566104.88883977826</v>
      </c>
      <c r="R438">
        <f t="shared" si="976"/>
        <v>-18645284.341828156</v>
      </c>
      <c r="S438">
        <f t="shared" si="977"/>
        <v>-186.45284341828156</v>
      </c>
      <c r="T438">
        <f t="shared" si="978"/>
        <v>-0.18645284341828156</v>
      </c>
    </row>
    <row r="439" spans="1:20" x14ac:dyDescent="0.25">
      <c r="A439" s="5">
        <v>44154</v>
      </c>
      <c r="B439">
        <v>4.1509999999999998</v>
      </c>
      <c r="C439">
        <v>4.4320000000000004</v>
      </c>
      <c r="D439">
        <v>3.9180000000000001</v>
      </c>
      <c r="E439">
        <v>3.9790000000000001</v>
      </c>
      <c r="F439">
        <v>949817.66299999994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-0.76264591439688745</v>
      </c>
      <c r="Q439">
        <f t="shared" si="975"/>
        <v>-724374.56010894966</v>
      </c>
      <c r="R439">
        <f t="shared" si="976"/>
        <v>-18079179.452988379</v>
      </c>
      <c r="S439">
        <f t="shared" si="977"/>
        <v>-180.79179452988379</v>
      </c>
      <c r="T439">
        <f t="shared" si="978"/>
        <v>-0.18079179452988378</v>
      </c>
    </row>
    <row r="440" spans="1:20" x14ac:dyDescent="0.25">
      <c r="A440" s="5">
        <v>44153</v>
      </c>
      <c r="B440">
        <v>4.407</v>
      </c>
      <c r="C440">
        <v>4.4820000000000002</v>
      </c>
      <c r="D440">
        <v>3.65</v>
      </c>
      <c r="E440">
        <v>4.1449999999999996</v>
      </c>
      <c r="F440">
        <v>1132305.9680000001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0.18990384615384492</v>
      </c>
      <c r="Q440">
        <f t="shared" si="975"/>
        <v>215029.25834615246</v>
      </c>
      <c r="R440">
        <f t="shared" si="976"/>
        <v>-17354804.89287943</v>
      </c>
      <c r="S440">
        <f t="shared" si="977"/>
        <v>-173.54804892879432</v>
      </c>
      <c r="T440">
        <f t="shared" si="978"/>
        <v>-0.17354804892879433</v>
      </c>
    </row>
    <row r="441" spans="1:20" x14ac:dyDescent="0.25">
      <c r="A441" s="5">
        <v>44152</v>
      </c>
      <c r="B441">
        <v>5.0739999999999998</v>
      </c>
      <c r="C441">
        <v>5.39</v>
      </c>
      <c r="D441">
        <v>3.8010000000000002</v>
      </c>
      <c r="E441">
        <v>4.4119999999999999</v>
      </c>
      <c r="F441">
        <v>1835401.882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-0.23096286972938962</v>
      </c>
      <c r="Q441">
        <f t="shared" si="975"/>
        <v>-423909.68577344256</v>
      </c>
      <c r="R441">
        <f t="shared" si="976"/>
        <v>-17569834.151225582</v>
      </c>
      <c r="S441">
        <f t="shared" si="977"/>
        <v>-175.69834151225581</v>
      </c>
      <c r="T441">
        <f t="shared" si="978"/>
        <v>-0.1756983415122558</v>
      </c>
    </row>
    <row r="442" spans="1:20" x14ac:dyDescent="0.25">
      <c r="A442" s="5">
        <v>44151</v>
      </c>
      <c r="B442">
        <v>4.2149999999999999</v>
      </c>
      <c r="C442">
        <v>5.2770000000000001</v>
      </c>
      <c r="D442">
        <v>4.05</v>
      </c>
      <c r="E442">
        <v>5.093</v>
      </c>
      <c r="F442">
        <v>1366794.7309999999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0.70008149959250188</v>
      </c>
      <c r="Q442">
        <f t="shared" si="975"/>
        <v>956867.70491361013</v>
      </c>
      <c r="R442">
        <f t="shared" si="976"/>
        <v>-17145924.465452138</v>
      </c>
      <c r="S442">
        <f t="shared" si="977"/>
        <v>-171.45924465452137</v>
      </c>
      <c r="T442">
        <f t="shared" si="978"/>
        <v>-0.17145924465452136</v>
      </c>
    </row>
    <row r="443" spans="1:20" x14ac:dyDescent="0.25">
      <c r="A443" s="5">
        <v>44150</v>
      </c>
      <c r="B443">
        <v>3.8730000000000002</v>
      </c>
      <c r="C443">
        <v>4.4169999999999998</v>
      </c>
      <c r="D443">
        <v>3.734</v>
      </c>
      <c r="E443">
        <v>4.2119999999999997</v>
      </c>
      <c r="F443">
        <v>987889.31700000004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0.39970717423133201</v>
      </c>
      <c r="Q443">
        <f t="shared" si="975"/>
        <v>394866.44735139061</v>
      </c>
      <c r="R443">
        <f t="shared" si="976"/>
        <v>-18102792.170365747</v>
      </c>
      <c r="S443">
        <f t="shared" si="977"/>
        <v>-181.02792170365748</v>
      </c>
      <c r="T443">
        <f t="shared" si="978"/>
        <v>-0.18102792170365747</v>
      </c>
    </row>
    <row r="444" spans="1:20" x14ac:dyDescent="0.25">
      <c r="A444" s="5">
        <v>44149</v>
      </c>
      <c r="B444">
        <v>3.6680000000000001</v>
      </c>
      <c r="C444">
        <v>3.9769999999999999</v>
      </c>
      <c r="D444">
        <v>3.371</v>
      </c>
      <c r="E444">
        <v>3.8740000000000001</v>
      </c>
      <c r="F444">
        <v>787382.56599999999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0.66006600660066084</v>
      </c>
      <c r="Q444">
        <f t="shared" si="975"/>
        <v>519724.46600660129</v>
      </c>
      <c r="R444">
        <f t="shared" si="976"/>
        <v>-18497658.617717139</v>
      </c>
      <c r="S444">
        <f t="shared" si="977"/>
        <v>-184.97658617717138</v>
      </c>
      <c r="T444">
        <f t="shared" si="978"/>
        <v>-0.18497658617717139</v>
      </c>
    </row>
    <row r="445" spans="1:20" x14ac:dyDescent="0.25">
      <c r="A445" s="5">
        <v>44148</v>
      </c>
      <c r="B445">
        <v>3.1850000000000001</v>
      </c>
      <c r="C445">
        <v>3.7949999999999999</v>
      </c>
      <c r="D445">
        <v>3.1829999999999998</v>
      </c>
      <c r="E445">
        <v>3.66</v>
      </c>
      <c r="F445">
        <v>571968.09900000005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0.5588235294117655</v>
      </c>
      <c r="Q445">
        <f t="shared" si="975"/>
        <v>319629.23179411812</v>
      </c>
      <c r="R445">
        <f t="shared" si="976"/>
        <v>-19017383.083723743</v>
      </c>
      <c r="S445">
        <f t="shared" si="977"/>
        <v>-190.17383083723743</v>
      </c>
      <c r="T445">
        <f t="shared" si="978"/>
        <v>-0.19017383083723743</v>
      </c>
    </row>
    <row r="446" spans="1:20" x14ac:dyDescent="0.25">
      <c r="A446" s="5">
        <v>44147</v>
      </c>
      <c r="B446">
        <v>3.1749999999999998</v>
      </c>
      <c r="C446">
        <v>3.56</v>
      </c>
      <c r="D446">
        <v>3.08</v>
      </c>
      <c r="E446">
        <v>3.1840000000000002</v>
      </c>
      <c r="F446">
        <v>721806.34499999997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-0.56666666666666632</v>
      </c>
      <c r="Q446">
        <f t="shared" si="975"/>
        <v>-409023.5954999997</v>
      </c>
      <c r="R446">
        <f t="shared" si="976"/>
        <v>-19337012.315517861</v>
      </c>
      <c r="S446">
        <f t="shared" si="977"/>
        <v>-193.37012315517862</v>
      </c>
      <c r="T446">
        <f t="shared" si="978"/>
        <v>-0.19337012315517862</v>
      </c>
    </row>
    <row r="447" spans="1:20" x14ac:dyDescent="0.25">
      <c r="A447" s="5">
        <v>44146</v>
      </c>
      <c r="B447">
        <v>3.0830000000000002</v>
      </c>
      <c r="C447">
        <v>3.613</v>
      </c>
      <c r="D447">
        <v>3.069</v>
      </c>
      <c r="E447">
        <v>3.173</v>
      </c>
      <c r="F447">
        <v>1290673.4169999999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-0.6176470588235291</v>
      </c>
      <c r="Q447">
        <f t="shared" si="975"/>
        <v>-797180.6399117643</v>
      </c>
      <c r="R447">
        <f t="shared" si="976"/>
        <v>-18927988.720017862</v>
      </c>
      <c r="S447">
        <f t="shared" si="977"/>
        <v>-189.27988720017862</v>
      </c>
      <c r="T447">
        <f t="shared" si="978"/>
        <v>-0.18927988720017863</v>
      </c>
    </row>
    <row r="448" spans="1:20" x14ac:dyDescent="0.25">
      <c r="A448" s="5">
        <v>44145</v>
      </c>
      <c r="B448">
        <v>2.9670000000000001</v>
      </c>
      <c r="C448">
        <v>3.1789999999999998</v>
      </c>
      <c r="D448">
        <v>2.7970000000000002</v>
      </c>
      <c r="E448">
        <v>3.0840000000000001</v>
      </c>
      <c r="F448">
        <v>551146.98600000003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0.50261780104712128</v>
      </c>
      <c r="Q448">
        <f t="shared" si="975"/>
        <v>277016.28615706856</v>
      </c>
      <c r="R448">
        <f t="shared" si="976"/>
        <v>-18130808.080106098</v>
      </c>
      <c r="S448">
        <f t="shared" si="977"/>
        <v>-181.30808080106098</v>
      </c>
      <c r="T448">
        <f t="shared" si="978"/>
        <v>-0.18130808080106098</v>
      </c>
    </row>
    <row r="449" spans="1:20" x14ac:dyDescent="0.25">
      <c r="A449" s="5">
        <v>44144</v>
      </c>
      <c r="B449">
        <v>2.9350000000000001</v>
      </c>
      <c r="C449">
        <v>3.0649999999999999</v>
      </c>
      <c r="D449">
        <v>2.6560000000000001</v>
      </c>
      <c r="E449">
        <v>2.97</v>
      </c>
      <c r="F449">
        <v>593787.98100000003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0.53545232273838728</v>
      </c>
      <c r="Q449">
        <f t="shared" si="975"/>
        <v>317945.15364058741</v>
      </c>
      <c r="R449">
        <f t="shared" si="976"/>
        <v>-18407824.366263166</v>
      </c>
      <c r="S449">
        <f t="shared" si="977"/>
        <v>-184.07824366263165</v>
      </c>
      <c r="T449">
        <f t="shared" si="978"/>
        <v>-0.18407824366263165</v>
      </c>
    </row>
    <row r="450" spans="1:20" x14ac:dyDescent="0.25">
      <c r="A450" s="5">
        <v>44143</v>
      </c>
      <c r="B450">
        <v>2.7559999999999998</v>
      </c>
      <c r="C450">
        <v>3.1</v>
      </c>
      <c r="D450">
        <v>2.722</v>
      </c>
      <c r="E450">
        <v>2.9359999999999999</v>
      </c>
      <c r="F450">
        <v>561135.44200000004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0.13227513227513177</v>
      </c>
      <c r="Q450">
        <f t="shared" si="975"/>
        <v>74224.264814814538</v>
      </c>
      <c r="R450">
        <f t="shared" si="976"/>
        <v>-18725769.519903753</v>
      </c>
      <c r="S450">
        <f t="shared" si="977"/>
        <v>-187.25769519903753</v>
      </c>
      <c r="T450">
        <f t="shared" si="978"/>
        <v>-0.18725769519903754</v>
      </c>
    </row>
    <row r="451" spans="1:20" x14ac:dyDescent="0.25">
      <c r="A451" s="5">
        <v>44142</v>
      </c>
      <c r="B451">
        <v>2.6240000000000001</v>
      </c>
      <c r="C451">
        <v>3.2749999999999999</v>
      </c>
      <c r="D451">
        <v>2.4700000000000002</v>
      </c>
      <c r="E451">
        <v>2.76</v>
      </c>
      <c r="F451">
        <v>1293390.145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-0.27950310559006286</v>
      </c>
      <c r="Q451">
        <f t="shared" si="975"/>
        <v>-361506.5622670817</v>
      </c>
      <c r="R451">
        <f t="shared" si="976"/>
        <v>-18799993.784718566</v>
      </c>
      <c r="S451">
        <f t="shared" si="977"/>
        <v>-187.99993784718566</v>
      </c>
      <c r="T451">
        <f t="shared" si="978"/>
        <v>-0.18799993784718566</v>
      </c>
    </row>
    <row r="452" spans="1:20" x14ac:dyDescent="0.25">
      <c r="A452" s="5">
        <v>44141</v>
      </c>
      <c r="B452">
        <v>2.4249999999999998</v>
      </c>
      <c r="C452">
        <v>2.7919999999999998</v>
      </c>
      <c r="D452">
        <v>2.3919999999999999</v>
      </c>
      <c r="E452">
        <v>2.6150000000000002</v>
      </c>
      <c r="F452">
        <v>884946.85499999998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0.1150000000000018</v>
      </c>
      <c r="Q452">
        <f t="shared" si="975"/>
        <v>101768.88832500159</v>
      </c>
      <c r="R452">
        <f t="shared" si="976"/>
        <v>-18438487.222451486</v>
      </c>
      <c r="S452">
        <f t="shared" si="977"/>
        <v>-184.38487222451485</v>
      </c>
      <c r="T452">
        <f t="shared" si="978"/>
        <v>-0.18438487222451486</v>
      </c>
    </row>
    <row r="453" spans="1:20" x14ac:dyDescent="0.25">
      <c r="A453" s="5">
        <v>44140</v>
      </c>
      <c r="B453">
        <v>2.1619999999999999</v>
      </c>
      <c r="C453">
        <v>2.5979999999999999</v>
      </c>
      <c r="D453">
        <v>2.1539999999999999</v>
      </c>
      <c r="E453">
        <v>2.4239999999999999</v>
      </c>
      <c r="F453">
        <v>787948.69900000002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0.21621621621621642</v>
      </c>
      <c r="Q453">
        <f t="shared" si="975"/>
        <v>170367.28627027044</v>
      </c>
      <c r="R453">
        <f t="shared" si="976"/>
        <v>-18540256.110776488</v>
      </c>
      <c r="S453">
        <f t="shared" si="977"/>
        <v>-185.40256110776488</v>
      </c>
      <c r="T453">
        <f t="shared" si="978"/>
        <v>-0.18540256110776487</v>
      </c>
    </row>
    <row r="454" spans="1:20" x14ac:dyDescent="0.25">
      <c r="A454" s="5">
        <v>44139</v>
      </c>
      <c r="B454">
        <v>2.238</v>
      </c>
      <c r="C454">
        <v>2.2610000000000001</v>
      </c>
      <c r="D454">
        <v>2.0579999999999998</v>
      </c>
      <c r="E454">
        <v>2.169</v>
      </c>
      <c r="F454">
        <v>338031.41399999999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9.3596059113300989E-2</v>
      </c>
      <c r="Q454">
        <f t="shared" ref="Q454:Q517" si="980">F454*P454</f>
        <v>31638.408206896718</v>
      </c>
      <c r="R454">
        <f t="shared" ref="R454:R517" si="981">R455+Q454</f>
        <v>-18710623.39704676</v>
      </c>
      <c r="S454">
        <f t="shared" ref="S454:S517" si="982">R454/100000</f>
        <v>-187.1062339704676</v>
      </c>
      <c r="T454">
        <f t="shared" ref="T454:T517" si="983">S454/1000</f>
        <v>-0.18710623397046761</v>
      </c>
    </row>
    <row r="455" spans="1:20" x14ac:dyDescent="0.25">
      <c r="A455" s="5">
        <v>44138</v>
      </c>
      <c r="B455">
        <v>2.4390000000000001</v>
      </c>
      <c r="C455">
        <v>2.5529999999999999</v>
      </c>
      <c r="D455">
        <v>2.15</v>
      </c>
      <c r="E455">
        <v>2.2450000000000001</v>
      </c>
      <c r="F455">
        <v>757786.62399999995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-0.52853598014888248</v>
      </c>
      <c r="Q455">
        <f t="shared" si="980"/>
        <v>-400517.49605955265</v>
      </c>
      <c r="R455">
        <f t="shared" si="981"/>
        <v>-18742261.805253655</v>
      </c>
      <c r="S455">
        <f t="shared" si="982"/>
        <v>-187.42261805253654</v>
      </c>
      <c r="T455">
        <f t="shared" si="983"/>
        <v>-0.18742261805253654</v>
      </c>
    </row>
    <row r="456" spans="1:20" x14ac:dyDescent="0.25">
      <c r="A456" s="5">
        <v>44137</v>
      </c>
      <c r="B456">
        <v>2.6640000000000001</v>
      </c>
      <c r="C456">
        <v>3.18</v>
      </c>
      <c r="D456">
        <v>2.351</v>
      </c>
      <c r="E456">
        <v>2.4460000000000002</v>
      </c>
      <c r="F456">
        <v>1872334.899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-0.77080820265379935</v>
      </c>
      <c r="Q456">
        <f t="shared" si="980"/>
        <v>-1443211.0982641729</v>
      </c>
      <c r="R456">
        <f t="shared" si="981"/>
        <v>-18341744.309194103</v>
      </c>
      <c r="S456">
        <f t="shared" si="982"/>
        <v>-183.41744309194104</v>
      </c>
      <c r="T456">
        <f t="shared" si="983"/>
        <v>-0.18341744309194105</v>
      </c>
    </row>
    <row r="457" spans="1:20" x14ac:dyDescent="0.25">
      <c r="A457" s="5">
        <v>44136</v>
      </c>
      <c r="B457">
        <v>2.6589999999999998</v>
      </c>
      <c r="C457">
        <v>2.738</v>
      </c>
      <c r="D457">
        <v>2.556</v>
      </c>
      <c r="E457">
        <v>2.6549999999999998</v>
      </c>
      <c r="F457">
        <v>310881.96399999998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8.7912087912085574E-2</v>
      </c>
      <c r="Q457">
        <f t="shared" si="980"/>
        <v>27330.282549449821</v>
      </c>
      <c r="R457">
        <f t="shared" si="981"/>
        <v>-16898533.21092993</v>
      </c>
      <c r="S457">
        <f t="shared" si="982"/>
        <v>-168.98533210929929</v>
      </c>
      <c r="T457">
        <f t="shared" si="983"/>
        <v>-0.16898533210929928</v>
      </c>
    </row>
    <row r="458" spans="1:20" x14ac:dyDescent="0.25">
      <c r="A458" s="5">
        <v>44135</v>
      </c>
      <c r="B458">
        <v>2.8279999999999998</v>
      </c>
      <c r="C458">
        <v>2.9969999999999999</v>
      </c>
      <c r="D458">
        <v>2.6509999999999998</v>
      </c>
      <c r="E458">
        <v>2.67</v>
      </c>
      <c r="F458">
        <v>437359.05200000003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-0.89017341040462361</v>
      </c>
      <c r="Q458">
        <f t="shared" si="980"/>
        <v>-389325.39889017312</v>
      </c>
      <c r="R458">
        <f t="shared" si="981"/>
        <v>-16925863.493479379</v>
      </c>
      <c r="S458">
        <f t="shared" si="982"/>
        <v>-169.25863493479378</v>
      </c>
      <c r="T458">
        <f t="shared" si="983"/>
        <v>-0.16925863493479379</v>
      </c>
    </row>
    <row r="459" spans="1:20" x14ac:dyDescent="0.25">
      <c r="A459" s="5">
        <v>44134</v>
      </c>
      <c r="B459">
        <v>2.952</v>
      </c>
      <c r="C459">
        <v>3.0979999999999999</v>
      </c>
      <c r="D459">
        <v>2.738</v>
      </c>
      <c r="E459">
        <v>2.8260000000000001</v>
      </c>
      <c r="F459">
        <v>629851.89399999997</v>
      </c>
      <c r="G459">
        <v>0</v>
      </c>
      <c r="L459" t="s">
        <v>8</v>
      </c>
      <c r="M459" t="s">
        <v>8</v>
      </c>
      <c r="N459" t="s">
        <v>7</v>
      </c>
      <c r="P459">
        <f t="shared" si="979"/>
        <v>-0.51111111111111052</v>
      </c>
      <c r="Q459">
        <f t="shared" si="980"/>
        <v>-321924.30137777736</v>
      </c>
      <c r="R459">
        <f t="shared" si="981"/>
        <v>-16536538.094589204</v>
      </c>
      <c r="S459">
        <f t="shared" si="982"/>
        <v>-165.36538094589204</v>
      </c>
      <c r="T459">
        <f t="shared" si="983"/>
        <v>-0.16536538094589204</v>
      </c>
    </row>
    <row r="460" spans="1:20" x14ac:dyDescent="0.25">
      <c r="A460" s="5">
        <v>44133</v>
      </c>
      <c r="B460">
        <v>2.895</v>
      </c>
      <c r="C460">
        <v>3.47</v>
      </c>
      <c r="D460">
        <v>2.5609999999999999</v>
      </c>
      <c r="E460">
        <v>2.95</v>
      </c>
      <c r="F460">
        <v>1884859.7720000001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-0.14411441144114384</v>
      </c>
      <c r="Q460">
        <f t="shared" si="980"/>
        <v>-271635.4566908686</v>
      </c>
      <c r="R460">
        <f t="shared" si="981"/>
        <v>-16214613.793211427</v>
      </c>
      <c r="S460">
        <f t="shared" si="982"/>
        <v>-162.14613793211427</v>
      </c>
      <c r="T460">
        <f t="shared" si="983"/>
        <v>-0.16214613793211427</v>
      </c>
    </row>
    <row r="461" spans="1:20" x14ac:dyDescent="0.25">
      <c r="A461" s="5">
        <v>44132</v>
      </c>
      <c r="B461">
        <v>3.06</v>
      </c>
      <c r="C461">
        <v>3.2519999999999998</v>
      </c>
      <c r="D461">
        <v>2.8650000000000002</v>
      </c>
      <c r="E461">
        <v>2.8879999999999999</v>
      </c>
      <c r="F461">
        <v>613253.51800000004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-0.88113695090439426</v>
      </c>
      <c r="Q461">
        <f t="shared" si="980"/>
        <v>-540360.3349819131</v>
      </c>
      <c r="R461">
        <f t="shared" si="981"/>
        <v>-15942978.336520558</v>
      </c>
      <c r="S461">
        <f t="shared" si="982"/>
        <v>-159.42978336520559</v>
      </c>
      <c r="T461">
        <f t="shared" si="983"/>
        <v>-0.15942978336520561</v>
      </c>
    </row>
    <row r="462" spans="1:20" x14ac:dyDescent="0.25">
      <c r="A462" s="5">
        <v>44131</v>
      </c>
      <c r="B462">
        <v>3.2269999999999999</v>
      </c>
      <c r="C462">
        <v>3.36</v>
      </c>
      <c r="D462">
        <v>2.931</v>
      </c>
      <c r="E462">
        <v>3.06</v>
      </c>
      <c r="F462">
        <v>883797.45900000003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-0.39860139860139832</v>
      </c>
      <c r="Q462">
        <f t="shared" si="980"/>
        <v>-352282.90323776199</v>
      </c>
      <c r="R462">
        <f t="shared" si="981"/>
        <v>-15402618.001538645</v>
      </c>
      <c r="S462">
        <f t="shared" si="982"/>
        <v>-154.02618001538644</v>
      </c>
      <c r="T462">
        <f t="shared" si="983"/>
        <v>-0.15402618001538645</v>
      </c>
    </row>
    <row r="463" spans="1:20" x14ac:dyDescent="0.25">
      <c r="A463" s="5">
        <v>44130</v>
      </c>
      <c r="B463">
        <v>3.6080000000000001</v>
      </c>
      <c r="C463">
        <v>4.05</v>
      </c>
      <c r="D463">
        <v>3.07</v>
      </c>
      <c r="E463">
        <v>3.2269999999999999</v>
      </c>
      <c r="F463">
        <v>2465421.895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-0.67959183673469381</v>
      </c>
      <c r="Q463">
        <f t="shared" si="980"/>
        <v>-1675480.5939489794</v>
      </c>
      <c r="R463">
        <f t="shared" si="981"/>
        <v>-15050335.098300884</v>
      </c>
      <c r="S463">
        <f t="shared" si="982"/>
        <v>-150.50335098300883</v>
      </c>
      <c r="T463">
        <f t="shared" si="983"/>
        <v>-0.15050335098300882</v>
      </c>
    </row>
    <row r="464" spans="1:20" x14ac:dyDescent="0.25">
      <c r="A464" s="5">
        <v>44129</v>
      </c>
      <c r="B464">
        <v>3.516</v>
      </c>
      <c r="C464">
        <v>3.8</v>
      </c>
      <c r="D464">
        <v>3.1880000000000002</v>
      </c>
      <c r="E464">
        <v>3.6070000000000002</v>
      </c>
      <c r="F464">
        <v>850882.86800000002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0.3692810457516349</v>
      </c>
      <c r="Q464">
        <f t="shared" si="980"/>
        <v>314214.91530719033</v>
      </c>
      <c r="R464">
        <f t="shared" si="981"/>
        <v>-13374854.504351905</v>
      </c>
      <c r="S464">
        <f t="shared" si="982"/>
        <v>-133.74854504351904</v>
      </c>
      <c r="T464">
        <f t="shared" si="983"/>
        <v>-0.13374854504351905</v>
      </c>
    </row>
    <row r="465" spans="1:20" x14ac:dyDescent="0.25">
      <c r="A465" s="5">
        <v>44128</v>
      </c>
      <c r="B465">
        <v>3.1749999999999998</v>
      </c>
      <c r="C465">
        <v>3.5760000000000001</v>
      </c>
      <c r="D465">
        <v>3.101</v>
      </c>
      <c r="E465">
        <v>3.5139999999999998</v>
      </c>
      <c r="F465">
        <v>665981.89899999998</v>
      </c>
      <c r="G465">
        <v>0</v>
      </c>
      <c r="L465" t="s">
        <v>8</v>
      </c>
      <c r="M465" t="s">
        <v>7</v>
      </c>
      <c r="N465" t="s">
        <v>8</v>
      </c>
      <c r="P465">
        <f t="shared" si="979"/>
        <v>0.73894736842105146</v>
      </c>
      <c r="Q465">
        <f t="shared" si="980"/>
        <v>492125.57168210449</v>
      </c>
      <c r="R465">
        <f t="shared" si="981"/>
        <v>-13689069.419659095</v>
      </c>
      <c r="S465">
        <f t="shared" si="982"/>
        <v>-136.89069419659094</v>
      </c>
      <c r="T465">
        <f t="shared" si="983"/>
        <v>-0.13689069419659095</v>
      </c>
    </row>
    <row r="466" spans="1:20" x14ac:dyDescent="0.25">
      <c r="A466" s="5">
        <v>44127</v>
      </c>
      <c r="B466">
        <v>3.367</v>
      </c>
      <c r="C466">
        <v>3.63</v>
      </c>
      <c r="D466">
        <v>3.14</v>
      </c>
      <c r="E466">
        <v>3.1709999999999998</v>
      </c>
      <c r="F466">
        <v>822604.80099999998</v>
      </c>
      <c r="G466">
        <v>0</v>
      </c>
      <c r="L466" t="s">
        <v>7</v>
      </c>
      <c r="M466" t="s">
        <v>7</v>
      </c>
      <c r="N466" t="s">
        <v>8</v>
      </c>
      <c r="P466">
        <f t="shared" si="979"/>
        <v>-0.87346938775510319</v>
      </c>
      <c r="Q466">
        <f t="shared" si="980"/>
        <v>-718520.11189387843</v>
      </c>
      <c r="R466">
        <f t="shared" si="981"/>
        <v>-14181194.9913412</v>
      </c>
      <c r="S466">
        <f t="shared" si="982"/>
        <v>-141.81194991341201</v>
      </c>
      <c r="T466">
        <f t="shared" si="983"/>
        <v>-0.14181194991341201</v>
      </c>
    </row>
    <row r="467" spans="1:20" x14ac:dyDescent="0.25">
      <c r="A467" s="5">
        <v>44126</v>
      </c>
      <c r="B467">
        <v>3.8479999999999999</v>
      </c>
      <c r="C467">
        <v>4</v>
      </c>
      <c r="D467">
        <v>3.2570000000000001</v>
      </c>
      <c r="E467">
        <v>3.3650000000000002</v>
      </c>
      <c r="F467">
        <v>1441322.926</v>
      </c>
      <c r="G467">
        <v>0</v>
      </c>
      <c r="L467" t="s">
        <v>7</v>
      </c>
      <c r="M467" t="s">
        <v>7</v>
      </c>
      <c r="N467" t="s">
        <v>8</v>
      </c>
      <c r="P467">
        <f t="shared" si="979"/>
        <v>-0.70928667563929981</v>
      </c>
      <c r="Q467">
        <f t="shared" si="980"/>
        <v>-1022311.1467052485</v>
      </c>
      <c r="R467">
        <f t="shared" si="981"/>
        <v>-13462674.87944732</v>
      </c>
      <c r="S467">
        <f t="shared" si="982"/>
        <v>-134.6267487944732</v>
      </c>
      <c r="T467">
        <f t="shared" si="983"/>
        <v>-0.1346267487944732</v>
      </c>
    </row>
    <row r="468" spans="1:20" x14ac:dyDescent="0.25">
      <c r="A468" s="5">
        <v>44125</v>
      </c>
      <c r="B468">
        <v>2.9319999999999999</v>
      </c>
      <c r="C468">
        <v>4.0999999999999996</v>
      </c>
      <c r="D468">
        <v>2.86</v>
      </c>
      <c r="E468">
        <v>3.8559999999999999</v>
      </c>
      <c r="F468">
        <v>3276819.7549999999</v>
      </c>
      <c r="G468">
        <v>0</v>
      </c>
      <c r="L468" t="s">
        <v>8</v>
      </c>
      <c r="M468" t="s">
        <v>8</v>
      </c>
      <c r="N468" t="s">
        <v>8</v>
      </c>
      <c r="P468">
        <f t="shared" si="979"/>
        <v>0.60645161290322613</v>
      </c>
      <c r="Q468">
        <f t="shared" si="980"/>
        <v>1987232.6256129043</v>
      </c>
      <c r="R468">
        <f t="shared" si="981"/>
        <v>-12440363.732742071</v>
      </c>
      <c r="S468">
        <f t="shared" si="982"/>
        <v>-124.40363732742071</v>
      </c>
      <c r="T468">
        <f t="shared" si="983"/>
        <v>-0.12440363732742071</v>
      </c>
    </row>
    <row r="469" spans="1:20" x14ac:dyDescent="0.25">
      <c r="A469" s="5">
        <v>44124</v>
      </c>
      <c r="B469">
        <v>3.2559999999999998</v>
      </c>
      <c r="C469">
        <v>3.383</v>
      </c>
      <c r="D469">
        <v>2.7509999999999999</v>
      </c>
      <c r="E469">
        <v>2.944</v>
      </c>
      <c r="F469">
        <v>1580536.7749999999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-0.38924050632911383</v>
      </c>
      <c r="Q469">
        <f t="shared" si="980"/>
        <v>-615208.93457278458</v>
      </c>
      <c r="R469">
        <f t="shared" si="981"/>
        <v>-14427596.358354976</v>
      </c>
      <c r="S469">
        <f t="shared" si="982"/>
        <v>-144.27596358354975</v>
      </c>
      <c r="T469">
        <f t="shared" si="983"/>
        <v>-0.14427596358354974</v>
      </c>
    </row>
    <row r="470" spans="1:20" x14ac:dyDescent="0.25">
      <c r="A470" s="5">
        <v>44123</v>
      </c>
      <c r="B470">
        <v>3.5430000000000001</v>
      </c>
      <c r="C470">
        <v>3.73</v>
      </c>
      <c r="D470">
        <v>3.23</v>
      </c>
      <c r="E470">
        <v>3.2389999999999999</v>
      </c>
      <c r="F470">
        <v>1383756.7819999999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-0.96400000000000041</v>
      </c>
      <c r="Q470">
        <f t="shared" si="980"/>
        <v>-1333941.5378480004</v>
      </c>
      <c r="R470">
        <f t="shared" si="981"/>
        <v>-13812387.423782192</v>
      </c>
      <c r="S470">
        <f t="shared" si="982"/>
        <v>-138.12387423782192</v>
      </c>
      <c r="T470">
        <f t="shared" si="983"/>
        <v>-0.13812387423782194</v>
      </c>
    </row>
    <row r="471" spans="1:20" x14ac:dyDescent="0.25">
      <c r="A471" s="5">
        <v>44122</v>
      </c>
      <c r="B471">
        <v>4.2510000000000003</v>
      </c>
      <c r="C471">
        <v>4.7850000000000001</v>
      </c>
      <c r="D471">
        <v>3.3730000000000002</v>
      </c>
      <c r="E471">
        <v>3.5339999999999998</v>
      </c>
      <c r="F471">
        <v>2767905.102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-0.77195467422096375</v>
      </c>
      <c r="Q471">
        <f t="shared" si="980"/>
        <v>-2136697.2812889535</v>
      </c>
      <c r="R471">
        <f t="shared" si="981"/>
        <v>-12478445.885934193</v>
      </c>
      <c r="S471">
        <f t="shared" si="982"/>
        <v>-124.78445885934192</v>
      </c>
      <c r="T471">
        <f t="shared" si="983"/>
        <v>-0.12478445885934192</v>
      </c>
    </row>
    <row r="472" spans="1:20" x14ac:dyDescent="0.25">
      <c r="A472" s="5">
        <v>44121</v>
      </c>
      <c r="B472">
        <v>3.16</v>
      </c>
      <c r="C472">
        <v>4.8879999999999999</v>
      </c>
      <c r="D472">
        <v>3.08</v>
      </c>
      <c r="E472">
        <v>4.26</v>
      </c>
      <c r="F472">
        <v>5498566.9460000005</v>
      </c>
      <c r="G472">
        <v>0</v>
      </c>
      <c r="L472" t="s">
        <v>8</v>
      </c>
      <c r="M472" t="s">
        <v>8</v>
      </c>
      <c r="N472" t="s">
        <v>8</v>
      </c>
      <c r="P472">
        <f t="shared" si="979"/>
        <v>0.30530973451327414</v>
      </c>
      <c r="Q472">
        <f t="shared" si="980"/>
        <v>1678766.0144867247</v>
      </c>
      <c r="R472">
        <f t="shared" si="981"/>
        <v>-10341748.604645239</v>
      </c>
      <c r="S472">
        <f t="shared" si="982"/>
        <v>-103.4174860464524</v>
      </c>
      <c r="T472">
        <f t="shared" si="983"/>
        <v>-0.1034174860464524</v>
      </c>
    </row>
    <row r="473" spans="1:20" x14ac:dyDescent="0.25">
      <c r="A473" s="5">
        <v>44120</v>
      </c>
      <c r="B473">
        <v>2.738</v>
      </c>
      <c r="C473">
        <v>3.3</v>
      </c>
      <c r="D473">
        <v>2.7</v>
      </c>
      <c r="E473">
        <v>3.1509999999999998</v>
      </c>
      <c r="F473">
        <v>1581557.226</v>
      </c>
      <c r="G473">
        <v>0</v>
      </c>
      <c r="L473" t="s">
        <v>8</v>
      </c>
      <c r="M473" t="s">
        <v>8</v>
      </c>
      <c r="N473" t="s">
        <v>8</v>
      </c>
      <c r="P473">
        <f t="shared" si="979"/>
        <v>0.50333333333333297</v>
      </c>
      <c r="Q473">
        <f t="shared" si="980"/>
        <v>796050.47041999944</v>
      </c>
      <c r="R473">
        <f t="shared" si="981"/>
        <v>-12020514.619131964</v>
      </c>
      <c r="S473">
        <f t="shared" si="982"/>
        <v>-120.20514619131964</v>
      </c>
      <c r="T473">
        <f t="shared" si="983"/>
        <v>-0.12020514619131964</v>
      </c>
    </row>
    <row r="474" spans="1:20" x14ac:dyDescent="0.25">
      <c r="A474" s="5">
        <v>44119</v>
      </c>
      <c r="B474">
        <v>2.6059999999999999</v>
      </c>
      <c r="C474">
        <v>2.972</v>
      </c>
      <c r="D474">
        <v>2.5430000000000001</v>
      </c>
      <c r="E474">
        <v>2.7410000000000001</v>
      </c>
      <c r="F474">
        <v>1283909.6640000001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-7.6923076923076761E-2</v>
      </c>
      <c r="Q474">
        <f t="shared" si="980"/>
        <v>-98762.281846153652</v>
      </c>
      <c r="R474">
        <f t="shared" si="981"/>
        <v>-12816565.089551963</v>
      </c>
      <c r="S474">
        <f t="shared" si="982"/>
        <v>-128.16565089551963</v>
      </c>
      <c r="T474">
        <f t="shared" si="983"/>
        <v>-0.12816565089551962</v>
      </c>
    </row>
    <row r="475" spans="1:20" x14ac:dyDescent="0.25">
      <c r="A475" s="5">
        <v>44118</v>
      </c>
      <c r="B475">
        <v>2.726</v>
      </c>
      <c r="C475">
        <v>3.262</v>
      </c>
      <c r="D475">
        <v>2.59</v>
      </c>
      <c r="E475">
        <v>2.6059999999999999</v>
      </c>
      <c r="F475">
        <v>2824137.6639999999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-0.95238095238095233</v>
      </c>
      <c r="Q475">
        <f t="shared" si="980"/>
        <v>-2689654.918095238</v>
      </c>
      <c r="R475">
        <f t="shared" si="981"/>
        <v>-12717802.807705808</v>
      </c>
      <c r="S475">
        <f t="shared" si="982"/>
        <v>-127.17802807705809</v>
      </c>
      <c r="T475">
        <f t="shared" si="983"/>
        <v>-0.12717802807705808</v>
      </c>
    </row>
    <row r="476" spans="1:20" x14ac:dyDescent="0.25">
      <c r="A476" s="5">
        <v>44117</v>
      </c>
      <c r="B476">
        <v>2.3889999999999998</v>
      </c>
      <c r="C476">
        <v>3.35</v>
      </c>
      <c r="D476">
        <v>2.2130000000000001</v>
      </c>
      <c r="E476">
        <v>2.7250000000000001</v>
      </c>
      <c r="F476">
        <v>1975168.9669999999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-9.9384344766930505E-2</v>
      </c>
      <c r="Q476">
        <f t="shared" si="980"/>
        <v>-196300.87358926996</v>
      </c>
      <c r="R476">
        <f t="shared" si="981"/>
        <v>-10028147.88961057</v>
      </c>
      <c r="S476">
        <f t="shared" si="982"/>
        <v>-100.2814788961057</v>
      </c>
      <c r="T476">
        <f t="shared" si="983"/>
        <v>-0.1002814788961057</v>
      </c>
    </row>
    <row r="477" spans="1:20" x14ac:dyDescent="0.25">
      <c r="A477" s="5">
        <v>44116</v>
      </c>
      <c r="B477">
        <v>2.4649999999999999</v>
      </c>
      <c r="C477">
        <v>2.649</v>
      </c>
      <c r="D477">
        <v>2.3580000000000001</v>
      </c>
      <c r="E477">
        <v>2.3889999999999998</v>
      </c>
      <c r="F477">
        <v>1014956.892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-0.78694158075601583</v>
      </c>
      <c r="Q477">
        <f t="shared" si="980"/>
        <v>-798711.78098969278</v>
      </c>
      <c r="R477">
        <f t="shared" si="981"/>
        <v>-9831847.0160213001</v>
      </c>
      <c r="S477">
        <f t="shared" si="982"/>
        <v>-98.318470160212996</v>
      </c>
      <c r="T477">
        <f t="shared" si="983"/>
        <v>-9.8318470160213001E-2</v>
      </c>
    </row>
    <row r="478" spans="1:20" x14ac:dyDescent="0.25">
      <c r="A478" s="5">
        <v>44115</v>
      </c>
      <c r="B478">
        <v>2.524</v>
      </c>
      <c r="C478">
        <v>2.5680000000000001</v>
      </c>
      <c r="D478">
        <v>2.2719999999999998</v>
      </c>
      <c r="E478">
        <v>2.4649999999999999</v>
      </c>
      <c r="F478">
        <v>927452.73800000001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0.30405405405405328</v>
      </c>
      <c r="Q478">
        <f t="shared" si="980"/>
        <v>281995.76493243175</v>
      </c>
      <c r="R478">
        <f t="shared" si="981"/>
        <v>-9033135.2350316066</v>
      </c>
      <c r="S478">
        <f t="shared" si="982"/>
        <v>-90.331352350316067</v>
      </c>
      <c r="T478">
        <f t="shared" si="983"/>
        <v>-9.0331352350316071E-2</v>
      </c>
    </row>
    <row r="479" spans="1:20" x14ac:dyDescent="0.25">
      <c r="A479" s="5">
        <v>44114</v>
      </c>
      <c r="B479">
        <v>2.7650000000000001</v>
      </c>
      <c r="C479">
        <v>2.8479999999999999</v>
      </c>
      <c r="D479">
        <v>2.4750000000000001</v>
      </c>
      <c r="E479">
        <v>2.516</v>
      </c>
      <c r="F479">
        <v>976146.28200000001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-0.78016085790884748</v>
      </c>
      <c r="Q479">
        <f t="shared" si="980"/>
        <v>-761551.12080965179</v>
      </c>
      <c r="R479">
        <f t="shared" si="981"/>
        <v>-9315130.9999640379</v>
      </c>
      <c r="S479">
        <f t="shared" si="982"/>
        <v>-93.151309999640375</v>
      </c>
      <c r="T479">
        <f t="shared" si="983"/>
        <v>-9.3151309999640372E-2</v>
      </c>
    </row>
    <row r="480" spans="1:20" x14ac:dyDescent="0.25">
      <c r="A480" s="5">
        <v>44113</v>
      </c>
      <c r="B480">
        <v>2.7029999999999998</v>
      </c>
      <c r="C480">
        <v>2.93</v>
      </c>
      <c r="D480">
        <v>2.6030000000000002</v>
      </c>
      <c r="E480">
        <v>2.7650000000000001</v>
      </c>
      <c r="F480">
        <v>1271917.0549999999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-9.1743119266058538E-3</v>
      </c>
      <c r="Q480">
        <f t="shared" si="980"/>
        <v>-11668.963807339893</v>
      </c>
      <c r="R480">
        <f t="shared" si="981"/>
        <v>-8553579.879154386</v>
      </c>
      <c r="S480">
        <f t="shared" si="982"/>
        <v>-85.535798791543854</v>
      </c>
      <c r="T480">
        <f t="shared" si="983"/>
        <v>-8.5535798791543854E-2</v>
      </c>
    </row>
    <row r="481" spans="1:20" x14ac:dyDescent="0.25">
      <c r="A481" s="5">
        <v>44112</v>
      </c>
      <c r="B481">
        <v>2.72</v>
      </c>
      <c r="C481">
        <v>3.0819999999999999</v>
      </c>
      <c r="D481">
        <v>2.5499999999999998</v>
      </c>
      <c r="E481">
        <v>2.7029999999999998</v>
      </c>
      <c r="F481">
        <v>1695888.469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-0.42481203007518792</v>
      </c>
      <c r="Q481">
        <f t="shared" si="980"/>
        <v>-720433.82329699246</v>
      </c>
      <c r="R481">
        <f t="shared" si="981"/>
        <v>-8541910.9153470453</v>
      </c>
      <c r="S481">
        <f t="shared" si="982"/>
        <v>-85.419109153470458</v>
      </c>
      <c r="T481">
        <f t="shared" si="983"/>
        <v>-8.5419109153470452E-2</v>
      </c>
    </row>
    <row r="482" spans="1:20" x14ac:dyDescent="0.25">
      <c r="A482" s="5">
        <v>44111</v>
      </c>
      <c r="B482">
        <v>3.4609999999999999</v>
      </c>
      <c r="C482">
        <v>3.52</v>
      </c>
      <c r="D482">
        <v>2.44</v>
      </c>
      <c r="E482">
        <v>2.7320000000000002</v>
      </c>
      <c r="F482">
        <v>3413753.2749999999</v>
      </c>
      <c r="G482">
        <v>0</v>
      </c>
      <c r="L482" t="s">
        <v>8</v>
      </c>
      <c r="M482" t="s">
        <v>8</v>
      </c>
      <c r="N482" t="s">
        <v>8</v>
      </c>
      <c r="P482">
        <f t="shared" si="979"/>
        <v>-0.45925925925925881</v>
      </c>
      <c r="Q482">
        <f t="shared" si="980"/>
        <v>-1567797.8003703689</v>
      </c>
      <c r="R482">
        <f t="shared" si="981"/>
        <v>-7821477.0920500522</v>
      </c>
      <c r="S482">
        <f t="shared" si="982"/>
        <v>-78.214770920500527</v>
      </c>
      <c r="T482">
        <f t="shared" si="983"/>
        <v>-7.8214770920500526E-2</v>
      </c>
    </row>
    <row r="483" spans="1:20" x14ac:dyDescent="0.25">
      <c r="A483" s="5">
        <v>44110</v>
      </c>
      <c r="B483">
        <v>4</v>
      </c>
      <c r="C483">
        <v>9.4819999999999993</v>
      </c>
      <c r="D483">
        <v>1.159</v>
      </c>
      <c r="E483">
        <v>3.46</v>
      </c>
      <c r="F483">
        <v>13988006.65</v>
      </c>
      <c r="G483">
        <v>0</v>
      </c>
      <c r="P483">
        <f t="shared" si="979"/>
        <v>-0.44707437222155472</v>
      </c>
      <c r="Q483">
        <f t="shared" si="980"/>
        <v>-6253679.2916796831</v>
      </c>
      <c r="R483">
        <f t="shared" si="981"/>
        <v>-6253679.2916796831</v>
      </c>
      <c r="S483">
        <f t="shared" si="982"/>
        <v>-62.536792916796834</v>
      </c>
      <c r="T483">
        <f t="shared" si="983"/>
        <v>-6.2536792916796841E-2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D483" sqref="JD48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$A$482</v>
      </c>
      <c r="D111" s="1" t="str">
        <f>ADDRESS(C121-1,D121,1,1)</f>
        <v>$JD$482</v>
      </c>
      <c r="E111"/>
    </row>
    <row r="112" spans="1:5" x14ac:dyDescent="0.25">
      <c r="A112" s="7">
        <v>12164.144957890772</v>
      </c>
      <c r="C112" s="1" t="str">
        <f>ADDRESS(C121,1,1,1)</f>
        <v>$A$483</v>
      </c>
      <c r="D112" s="1" t="str">
        <f>ADDRESS(C121,D121-1,1,1)</f>
        <v>$JC$483</v>
      </c>
      <c r="E112"/>
    </row>
    <row r="113" spans="1:5" x14ac:dyDescent="0.25">
      <c r="A113" s="7">
        <v>11925.63231165762</v>
      </c>
      <c r="C113" s="1" t="str">
        <f>ADDRESS(C121+1,1,1,1)</f>
        <v>$A$484</v>
      </c>
      <c r="D113" s="1" t="str">
        <f>ADDRESS(C121-1,D121+1,1,1)</f>
        <v>$JE$482</v>
      </c>
    </row>
    <row r="114" spans="1:5" x14ac:dyDescent="0.25">
      <c r="A114" s="7">
        <v>11691.796383978059</v>
      </c>
      <c r="C114" s="1" t="str">
        <f>ADDRESS(C121,D121,1,1)</f>
        <v>$JD$483</v>
      </c>
      <c r="D114" s="1" t="str">
        <f>ADDRESS(C121+1,D121+1,1,1)</f>
        <v>$JE$484</v>
      </c>
    </row>
    <row r="115" spans="1:5" x14ac:dyDescent="0.25">
      <c r="A115" s="7">
        <v>11462.545474488292</v>
      </c>
      <c r="C115" s="1" t="str">
        <f>ADDRESS(C121+1,D121,1,1)</f>
        <v>$JD$484</v>
      </c>
    </row>
    <row r="116" spans="1:5" x14ac:dyDescent="0.25">
      <c r="A116" s="7">
        <v>11237.789680870874</v>
      </c>
      <c r="C116" s="1">
        <f>C117-1</f>
        <v>482</v>
      </c>
    </row>
    <row r="117" spans="1:5" x14ac:dyDescent="0.25">
      <c r="A117" s="7">
        <v>11017.440863598895</v>
      </c>
      <c r="C117" s="1">
        <f>C121</f>
        <v>483</v>
      </c>
      <c r="D117" s="1">
        <f>D121</f>
        <v>264</v>
      </c>
    </row>
    <row r="118" spans="1:5" x14ac:dyDescent="0.25">
      <c r="A118" s="7">
        <v>10801.412611371465</v>
      </c>
      <c r="C118" s="1">
        <f>C117+1</f>
        <v>484</v>
      </c>
      <c r="D118" s="1">
        <f>D117+1</f>
        <v>265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483</v>
      </c>
      <c r="D121" s="19">
        <v>264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R483</v>
      </c>
      <c r="D123" s="1" t="str">
        <f>"C"&amp;D121</f>
        <v>C264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7.8418379462155041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128" x14ac:dyDescent="0.25">
      <c r="A321" s="7">
        <v>193.93030865451311</v>
      </c>
      <c r="B321"/>
      <c r="C321"/>
      <c r="D321"/>
      <c r="E321"/>
    </row>
    <row r="322" spans="1:128" x14ac:dyDescent="0.25">
      <c r="A322" s="7">
        <v>190.127753582856</v>
      </c>
      <c r="B322"/>
      <c r="C322"/>
      <c r="D322"/>
      <c r="E322"/>
    </row>
    <row r="323" spans="1:128" x14ac:dyDescent="0.25">
      <c r="A323" s="7">
        <v>186.3997584145647</v>
      </c>
      <c r="B323"/>
      <c r="C323"/>
      <c r="D323"/>
      <c r="E323"/>
    </row>
    <row r="324" spans="1:128" x14ac:dyDescent="0.25">
      <c r="A324" s="7">
        <v>182.7448611907497</v>
      </c>
      <c r="B324"/>
      <c r="C324"/>
      <c r="D324"/>
      <c r="E324"/>
    </row>
    <row r="325" spans="1:128" x14ac:dyDescent="0.25">
      <c r="A325" s="7">
        <v>179.16162861838205</v>
      </c>
      <c r="B325"/>
      <c r="C325"/>
      <c r="D325"/>
      <c r="E325"/>
    </row>
    <row r="326" spans="1:128" x14ac:dyDescent="0.25">
      <c r="A326" s="7">
        <v>175.6486555082177</v>
      </c>
      <c r="B326"/>
      <c r="C326"/>
      <c r="D326"/>
      <c r="E326"/>
    </row>
    <row r="327" spans="1:128" x14ac:dyDescent="0.25">
      <c r="A327" s="7">
        <v>172.20456422374284</v>
      </c>
      <c r="B327"/>
      <c r="C327"/>
      <c r="D327"/>
      <c r="E327"/>
    </row>
    <row r="328" spans="1:128" x14ac:dyDescent="0.25">
      <c r="A328" s="7">
        <v>168.82800414092435</v>
      </c>
      <c r="B328"/>
      <c r="C328"/>
      <c r="D328"/>
      <c r="E328"/>
    </row>
    <row r="329" spans="1:128" x14ac:dyDescent="0.25">
      <c r="A329" s="7">
        <v>165.51765111855329</v>
      </c>
      <c r="B329"/>
      <c r="C329"/>
      <c r="D329"/>
      <c r="E329"/>
    </row>
    <row r="330" spans="1:128" x14ac:dyDescent="0.25">
      <c r="A330" s="7">
        <v>162.2722069789738</v>
      </c>
      <c r="B330"/>
      <c r="C330"/>
      <c r="D330"/>
      <c r="E330"/>
    </row>
    <row r="331" spans="1:128" x14ac:dyDescent="0.25">
      <c r="A331" s="7">
        <v>159.09039899899392</v>
      </c>
      <c r="B331"/>
      <c r="C331"/>
      <c r="D331"/>
      <c r="E331"/>
    </row>
    <row r="332" spans="1:128" x14ac:dyDescent="0.25">
      <c r="A332" s="7">
        <v>155.97097941077834</v>
      </c>
      <c r="B332"/>
      <c r="C332"/>
      <c r="D332"/>
      <c r="E332"/>
    </row>
    <row r="333" spans="1:128" x14ac:dyDescent="0.25">
      <c r="A333" s="7">
        <v>152.91272491252778</v>
      </c>
      <c r="B333"/>
      <c r="C333"/>
      <c r="D333"/>
      <c r="E333"/>
    </row>
    <row r="334" spans="1:128" x14ac:dyDescent="0.25">
      <c r="A334" s="7">
        <v>149.91443618875272</v>
      </c>
      <c r="B334"/>
      <c r="C334"/>
      <c r="D334"/>
      <c r="E334"/>
    </row>
    <row r="335" spans="1:128" x14ac:dyDescent="0.25">
      <c r="A335" s="7">
        <v>146.97493743995364</v>
      </c>
      <c r="B335"/>
      <c r="C335"/>
      <c r="D335"/>
      <c r="E335"/>
      <c r="DW335" s="27" t="s">
        <v>8</v>
      </c>
    </row>
    <row r="336" spans="1:128" x14ac:dyDescent="0.25">
      <c r="A336" s="7">
        <v>144.09307592152317</v>
      </c>
      <c r="B336"/>
      <c r="C336"/>
      <c r="D336"/>
      <c r="E336"/>
      <c r="DW336" s="27" t="s">
        <v>8</v>
      </c>
      <c r="DX336" s="27" t="s">
        <v>7</v>
      </c>
    </row>
    <row r="337" spans="1:130" x14ac:dyDescent="0.25">
      <c r="A337" s="7">
        <v>141.26772149168937</v>
      </c>
      <c r="B337"/>
      <c r="C337"/>
      <c r="D337"/>
      <c r="E337"/>
      <c r="DW337" s="27" t="s">
        <v>8</v>
      </c>
      <c r="DX337" s="27" t="s">
        <v>7</v>
      </c>
    </row>
    <row r="338" spans="1:130" x14ac:dyDescent="0.25">
      <c r="A338" s="7">
        <v>138.4977661683229</v>
      </c>
      <c r="B338"/>
      <c r="C338"/>
      <c r="D338"/>
      <c r="E338"/>
      <c r="DW338" s="27" t="s">
        <v>8</v>
      </c>
      <c r="DX338" s="27" t="s">
        <v>7</v>
      </c>
    </row>
    <row r="339" spans="1:130" x14ac:dyDescent="0.25">
      <c r="A339" s="7">
        <v>135.7821236944342</v>
      </c>
      <c r="B339"/>
      <c r="C339"/>
      <c r="D339"/>
      <c r="E339"/>
      <c r="DS339" s="27" t="s">
        <v>8</v>
      </c>
      <c r="DW339" s="27" t="s">
        <v>8</v>
      </c>
      <c r="DX339" s="27" t="s">
        <v>7</v>
      </c>
    </row>
    <row r="340" spans="1:130" x14ac:dyDescent="0.25">
      <c r="A340" s="7">
        <v>133.11972911219038</v>
      </c>
      <c r="B340"/>
      <c r="C340"/>
      <c r="D340"/>
      <c r="E340"/>
      <c r="DS340" s="27" t="s">
        <v>8</v>
      </c>
      <c r="DT340" s="27" t="s">
        <v>7</v>
      </c>
      <c r="DW340" s="27" t="s">
        <v>8</v>
      </c>
      <c r="DX340" s="27" t="s">
        <v>7</v>
      </c>
      <c r="DY340" s="27" t="s">
        <v>8</v>
      </c>
    </row>
    <row r="341" spans="1:130" x14ac:dyDescent="0.25">
      <c r="A341" s="7">
        <v>130.50953834528468</v>
      </c>
      <c r="B341"/>
      <c r="C341"/>
      <c r="D341"/>
      <c r="E341"/>
      <c r="DS341" s="27" t="s">
        <v>8</v>
      </c>
      <c r="DT341" s="27" t="s">
        <v>7</v>
      </c>
      <c r="DW341" s="27" t="s">
        <v>8</v>
      </c>
      <c r="DX341" s="27" t="s">
        <v>7</v>
      </c>
      <c r="DY341" s="27" t="s">
        <v>8</v>
      </c>
      <c r="DZ341" s="27" t="s">
        <v>7</v>
      </c>
    </row>
    <row r="342" spans="1:130" x14ac:dyDescent="0.25">
      <c r="A342" s="7">
        <v>127.95052778949477</v>
      </c>
      <c r="B342"/>
      <c r="C342"/>
      <c r="D342"/>
      <c r="E342"/>
      <c r="DS342" s="27" t="s">
        <v>8</v>
      </c>
      <c r="DT342" s="27" t="s">
        <v>7</v>
      </c>
      <c r="DU342" s="27" t="s">
        <v>8</v>
      </c>
      <c r="DW342" s="27" t="s">
        <v>8</v>
      </c>
      <c r="DX342" s="27" t="s">
        <v>7</v>
      </c>
      <c r="DY342" s="27" t="s">
        <v>8</v>
      </c>
      <c r="DZ342" s="27" t="s">
        <v>7</v>
      </c>
    </row>
    <row r="343" spans="1:130" x14ac:dyDescent="0.25">
      <c r="A343" s="7">
        <v>125.44169391126938</v>
      </c>
      <c r="B343"/>
      <c r="C343"/>
      <c r="D343"/>
      <c r="E343"/>
      <c r="DS343" s="27" t="s">
        <v>8</v>
      </c>
      <c r="DT343" s="27" t="s">
        <v>7</v>
      </c>
      <c r="DU343" s="27" t="s">
        <v>8</v>
      </c>
      <c r="DV343" s="27" t="s">
        <v>7</v>
      </c>
      <c r="DW343" s="27" t="s">
        <v>8</v>
      </c>
      <c r="DX343" s="27" t="s">
        <v>7</v>
      </c>
      <c r="DY343" s="27" t="s">
        <v>8</v>
      </c>
      <c r="DZ343" s="27" t="s">
        <v>7</v>
      </c>
    </row>
    <row r="344" spans="1:130" x14ac:dyDescent="0.25">
      <c r="A344" s="7">
        <v>122.98205285418567</v>
      </c>
      <c r="B344"/>
      <c r="C344"/>
      <c r="D344"/>
      <c r="E344"/>
      <c r="DQ344" s="27" t="s">
        <v>8</v>
      </c>
      <c r="DS344" s="27" t="s">
        <v>8</v>
      </c>
      <c r="DT344" s="27" t="s">
        <v>7</v>
      </c>
      <c r="DU344" s="27" t="s">
        <v>8</v>
      </c>
      <c r="DV344" s="27" t="s">
        <v>7</v>
      </c>
      <c r="DW344" s="27" t="s">
        <v>8</v>
      </c>
      <c r="DX344" s="27" t="s">
        <v>7</v>
      </c>
      <c r="DY344" s="27" t="s">
        <v>8</v>
      </c>
      <c r="DZ344" s="27" t="s">
        <v>7</v>
      </c>
    </row>
    <row r="345" spans="1:130" x14ac:dyDescent="0.25">
      <c r="A345" s="7">
        <v>120.5706400531232</v>
      </c>
      <c r="B345"/>
      <c r="C345"/>
      <c r="D345"/>
      <c r="E345"/>
      <c r="DQ345" s="27" t="s">
        <v>8</v>
      </c>
      <c r="DR345" s="27" t="s">
        <v>7</v>
      </c>
      <c r="DS345" s="27" t="s">
        <v>8</v>
      </c>
      <c r="DT345" s="27" t="s">
        <v>7</v>
      </c>
      <c r="DU345" s="27" t="s">
        <v>8</v>
      </c>
      <c r="DV345" s="27" t="s">
        <v>7</v>
      </c>
      <c r="DW345" s="27" t="s">
        <v>8</v>
      </c>
      <c r="DX345" s="27" t="s">
        <v>7</v>
      </c>
      <c r="DY345" s="27" t="s">
        <v>8</v>
      </c>
      <c r="DZ345" s="27" t="s">
        <v>7</v>
      </c>
    </row>
    <row r="346" spans="1:130" x14ac:dyDescent="0.25">
      <c r="A346" s="7">
        <v>118.20650985600314</v>
      </c>
      <c r="B346"/>
      <c r="C346"/>
      <c r="D346"/>
      <c r="E346"/>
      <c r="DQ346" s="27" t="s">
        <v>8</v>
      </c>
      <c r="DR346" s="27" t="s">
        <v>7</v>
      </c>
      <c r="DS346" s="27" t="s">
        <v>8</v>
      </c>
      <c r="DT346" s="27" t="s">
        <v>7</v>
      </c>
      <c r="DU346" s="27" t="s">
        <v>8</v>
      </c>
      <c r="DV346" s="27" t="s">
        <v>7</v>
      </c>
      <c r="DW346" s="27" t="s">
        <v>8</v>
      </c>
      <c r="DX346" s="27" t="s">
        <v>7</v>
      </c>
      <c r="DY346" s="27" t="s">
        <v>8</v>
      </c>
      <c r="DZ346" s="27" t="s">
        <v>7</v>
      </c>
    </row>
    <row r="347" spans="1:130" x14ac:dyDescent="0.25">
      <c r="A347" s="7">
        <v>115.88873515294425</v>
      </c>
      <c r="B347"/>
      <c r="C347"/>
      <c r="D347"/>
      <c r="E347"/>
      <c r="DQ347" s="27" t="s">
        <v>8</v>
      </c>
      <c r="DR347" s="27" t="s">
        <v>7</v>
      </c>
      <c r="DS347" s="27" t="s">
        <v>8</v>
      </c>
      <c r="DT347" s="27" t="s">
        <v>7</v>
      </c>
      <c r="DU347" s="27" t="s">
        <v>8</v>
      </c>
      <c r="DV347" s="27" t="s">
        <v>7</v>
      </c>
      <c r="DW347" s="27" t="s">
        <v>8</v>
      </c>
      <c r="DX347" s="27" t="s">
        <v>7</v>
      </c>
      <c r="DY347" s="27" t="s">
        <v>8</v>
      </c>
      <c r="DZ347" s="27" t="s">
        <v>7</v>
      </c>
    </row>
    <row r="348" spans="1:130" x14ac:dyDescent="0.25">
      <c r="A348" s="7">
        <v>113.61640701269044</v>
      </c>
      <c r="B348"/>
      <c r="C348"/>
      <c r="D348"/>
      <c r="E348"/>
      <c r="DQ348" s="27" t="s">
        <v>8</v>
      </c>
      <c r="DR348" s="27" t="s">
        <v>7</v>
      </c>
      <c r="DS348" s="27" t="s">
        <v>8</v>
      </c>
      <c r="DT348" s="27" t="s">
        <v>7</v>
      </c>
      <c r="DU348" s="27" t="s">
        <v>8</v>
      </c>
      <c r="DV348" s="27" t="s">
        <v>7</v>
      </c>
      <c r="DW348" s="27" t="s">
        <v>8</v>
      </c>
      <c r="DX348" s="27" t="s">
        <v>7</v>
      </c>
      <c r="DY348" s="27" t="s">
        <v>8</v>
      </c>
      <c r="DZ348" s="27" t="s">
        <v>7</v>
      </c>
    </row>
    <row r="349" spans="1:130" x14ac:dyDescent="0.25">
      <c r="A349" s="7">
        <v>111.38863432616711</v>
      </c>
      <c r="B349"/>
      <c r="C349"/>
      <c r="D349"/>
      <c r="E349"/>
      <c r="DQ349" s="27" t="s">
        <v>8</v>
      </c>
      <c r="DR349" s="27" t="s">
        <v>7</v>
      </c>
      <c r="DS349" s="27" t="s">
        <v>8</v>
      </c>
      <c r="DT349" s="27" t="s">
        <v>7</v>
      </c>
      <c r="DU349" s="27" t="s">
        <v>8</v>
      </c>
      <c r="DV349" s="27" t="s">
        <v>7</v>
      </c>
      <c r="DW349" s="27" t="s">
        <v>8</v>
      </c>
      <c r="DX349" s="27" t="s">
        <v>7</v>
      </c>
      <c r="DY349" s="27" t="s">
        <v>8</v>
      </c>
      <c r="DZ349" s="27" t="s">
        <v>7</v>
      </c>
    </row>
    <row r="350" spans="1:130" x14ac:dyDescent="0.25">
      <c r="A350" s="7">
        <v>109.20454345702657</v>
      </c>
      <c r="B350"/>
      <c r="C350"/>
      <c r="D350"/>
      <c r="E350"/>
      <c r="DQ350" s="27" t="s">
        <v>8</v>
      </c>
      <c r="DR350" s="27" t="s">
        <v>7</v>
      </c>
      <c r="DS350" s="27" t="s">
        <v>8</v>
      </c>
      <c r="DT350" s="27" t="s">
        <v>7</v>
      </c>
      <c r="DV350" s="27" t="s">
        <v>7</v>
      </c>
      <c r="DW350" s="27" t="s">
        <v>8</v>
      </c>
      <c r="DX350" s="27" t="s">
        <v>7</v>
      </c>
      <c r="DY350" s="27" t="s">
        <v>8</v>
      </c>
      <c r="DZ350" s="27" t="s">
        <v>7</v>
      </c>
    </row>
    <row r="351" spans="1:130" x14ac:dyDescent="0.25">
      <c r="A351" s="7">
        <v>107.06327789904566</v>
      </c>
      <c r="B351"/>
      <c r="C351"/>
      <c r="D351"/>
      <c r="E351"/>
      <c r="DQ351" s="27" t="s">
        <v>8</v>
      </c>
      <c r="DR351" s="27" t="s">
        <v>7</v>
      </c>
      <c r="DS351" s="27" t="s">
        <v>8</v>
      </c>
      <c r="DV351" s="27" t="s">
        <v>7</v>
      </c>
      <c r="DW351" s="27" t="s">
        <v>8</v>
      </c>
      <c r="DX351" s="27" t="s">
        <v>7</v>
      </c>
      <c r="DY351" s="27" t="s">
        <v>8</v>
      </c>
      <c r="DZ351" s="27" t="s">
        <v>7</v>
      </c>
    </row>
    <row r="352" spans="1:130" x14ac:dyDescent="0.25">
      <c r="A352" s="7">
        <v>104.96399794024084</v>
      </c>
      <c r="B352"/>
      <c r="C352"/>
      <c r="D352"/>
      <c r="E352"/>
      <c r="DQ352" s="27" t="s">
        <v>8</v>
      </c>
      <c r="DR352" s="27" t="s">
        <v>7</v>
      </c>
      <c r="DS352" s="27" t="s">
        <v>8</v>
      </c>
      <c r="DV352" s="27" t="s">
        <v>7</v>
      </c>
      <c r="DX352" s="27" t="s">
        <v>7</v>
      </c>
      <c r="DY352" s="27" t="s">
        <v>8</v>
      </c>
      <c r="DZ352" s="27" t="s">
        <v>7</v>
      </c>
    </row>
    <row r="353" spans="1:130" x14ac:dyDescent="0.25">
      <c r="A353" s="7">
        <v>102.90588033356946</v>
      </c>
      <c r="B353"/>
      <c r="C353"/>
      <c r="D353"/>
      <c r="E353"/>
      <c r="CA353" s="27" t="s">
        <v>8</v>
      </c>
      <c r="DQ353" s="27" t="s">
        <v>8</v>
      </c>
      <c r="DR353" s="27" t="s">
        <v>7</v>
      </c>
      <c r="DS353" s="27" t="s">
        <v>8</v>
      </c>
      <c r="DX353" s="27" t="s">
        <v>7</v>
      </c>
      <c r="DY353" s="27" t="s">
        <v>8</v>
      </c>
      <c r="DZ353" s="27" t="s">
        <v>7</v>
      </c>
    </row>
    <row r="354" spans="1:130" x14ac:dyDescent="0.25">
      <c r="A354" s="7">
        <v>100.88811797408771</v>
      </c>
      <c r="B354"/>
      <c r="C354"/>
      <c r="D354"/>
      <c r="E354"/>
      <c r="CA354" s="27" t="s">
        <v>8</v>
      </c>
      <c r="CB354" s="27" t="s">
        <v>7</v>
      </c>
      <c r="DQ354" s="27" t="s">
        <v>8</v>
      </c>
      <c r="DR354" s="27" t="s">
        <v>7</v>
      </c>
      <c r="DS354" s="27" t="s">
        <v>8</v>
      </c>
      <c r="DX354" s="27" t="s">
        <v>7</v>
      </c>
      <c r="DY354" s="27" t="s">
        <v>8</v>
      </c>
      <c r="DZ354" s="27" t="s">
        <v>7</v>
      </c>
    </row>
    <row r="355" spans="1:130" x14ac:dyDescent="0.25">
      <c r="A355" s="7">
        <v>98.909919582438931</v>
      </c>
      <c r="B355"/>
      <c r="C355"/>
      <c r="D355"/>
      <c r="E355"/>
      <c r="CA355" s="27" t="s">
        <v>8</v>
      </c>
      <c r="CB355" s="27" t="s">
        <v>7</v>
      </c>
      <c r="DQ355" s="27" t="s">
        <v>8</v>
      </c>
      <c r="DR355" s="27" t="s">
        <v>7</v>
      </c>
      <c r="DS355" s="27" t="s">
        <v>8</v>
      </c>
      <c r="DX355" s="27" t="s">
        <v>7</v>
      </c>
      <c r="DY355" s="27" t="s">
        <v>8</v>
      </c>
      <c r="DZ355" s="27" t="s">
        <v>7</v>
      </c>
    </row>
    <row r="356" spans="1:130" x14ac:dyDescent="0.25">
      <c r="A356" s="7">
        <v>96.970509394547975</v>
      </c>
      <c r="B356"/>
      <c r="C356"/>
      <c r="D356"/>
      <c r="E356"/>
      <c r="CA356" s="27" t="s">
        <v>8</v>
      </c>
      <c r="CB356" s="27" t="s">
        <v>7</v>
      </c>
      <c r="DI356" s="27" t="s">
        <v>8</v>
      </c>
      <c r="DQ356" s="27" t="s">
        <v>8</v>
      </c>
      <c r="DR356" s="27" t="s">
        <v>7</v>
      </c>
      <c r="DS356" s="27" t="s">
        <v>8</v>
      </c>
      <c r="DX356" s="27" t="s">
        <v>7</v>
      </c>
      <c r="DY356" s="27" t="s">
        <v>8</v>
      </c>
      <c r="DZ356" s="27" t="s">
        <v>7</v>
      </c>
    </row>
    <row r="357" spans="1:130" x14ac:dyDescent="0.25">
      <c r="A357" s="7">
        <v>95.069126857399979</v>
      </c>
      <c r="B357"/>
      <c r="C357"/>
      <c r="D357"/>
      <c r="E357"/>
      <c r="CA357" s="27" t="s">
        <v>8</v>
      </c>
      <c r="CB357" s="27" t="s">
        <v>7</v>
      </c>
      <c r="CC357" s="27" t="s">
        <v>8</v>
      </c>
      <c r="DI357" s="27" t="s">
        <v>8</v>
      </c>
      <c r="DJ357" s="27" t="s">
        <v>7</v>
      </c>
      <c r="DQ357" s="27" t="s">
        <v>8</v>
      </c>
      <c r="DR357" s="27" t="s">
        <v>7</v>
      </c>
      <c r="DX357" s="27" t="s">
        <v>7</v>
      </c>
      <c r="DY357" s="27" t="s">
        <v>8</v>
      </c>
      <c r="DZ357" s="27" t="s">
        <v>7</v>
      </c>
    </row>
    <row r="358" spans="1:130" x14ac:dyDescent="0.25">
      <c r="A358" s="7">
        <v>93.205026330784293</v>
      </c>
      <c r="B358"/>
      <c r="C358"/>
      <c r="D358"/>
      <c r="E358"/>
      <c r="CA358" s="27" t="s">
        <v>8</v>
      </c>
      <c r="CB358" s="27" t="s">
        <v>7</v>
      </c>
      <c r="CC358" s="27" t="s">
        <v>8</v>
      </c>
      <c r="CD358" s="27" t="s">
        <v>7</v>
      </c>
      <c r="DI358" s="27" t="s">
        <v>8</v>
      </c>
      <c r="DJ358" s="27" t="s">
        <v>7</v>
      </c>
      <c r="DQ358" s="27" t="s">
        <v>8</v>
      </c>
      <c r="DX358" s="27" t="s">
        <v>7</v>
      </c>
      <c r="DY358" s="27" t="s">
        <v>8</v>
      </c>
      <c r="DZ358" s="27" t="s">
        <v>7</v>
      </c>
    </row>
    <row r="359" spans="1:130" x14ac:dyDescent="0.25">
      <c r="A359" s="7">
        <v>91.377476794886562</v>
      </c>
      <c r="B359"/>
      <c r="C359"/>
      <c r="D359"/>
      <c r="E359"/>
      <c r="CA359" s="27" t="s">
        <v>8</v>
      </c>
      <c r="CB359" s="27" t="s">
        <v>7</v>
      </c>
      <c r="CC359" s="27" t="s">
        <v>8</v>
      </c>
      <c r="CD359" s="27" t="s">
        <v>7</v>
      </c>
      <c r="DG359" s="27" t="s">
        <v>8</v>
      </c>
      <c r="DI359" s="27" t="s">
        <v>8</v>
      </c>
      <c r="DJ359" s="27" t="s">
        <v>7</v>
      </c>
      <c r="DQ359" s="27" t="s">
        <v>8</v>
      </c>
      <c r="DX359" s="27" t="s">
        <v>7</v>
      </c>
      <c r="DZ359" s="27" t="s">
        <v>7</v>
      </c>
    </row>
    <row r="360" spans="1:130" x14ac:dyDescent="0.25">
      <c r="A360" s="7">
        <v>89.58576156361427</v>
      </c>
      <c r="B360"/>
      <c r="C360"/>
      <c r="D360"/>
      <c r="E360"/>
      <c r="CA360" s="27" t="s">
        <v>8</v>
      </c>
      <c r="CB360" s="27" t="s">
        <v>7</v>
      </c>
      <c r="CC360" s="27" t="s">
        <v>8</v>
      </c>
      <c r="CD360" s="27" t="s">
        <v>7</v>
      </c>
      <c r="DG360" s="27" t="s">
        <v>8</v>
      </c>
      <c r="DH360" s="27" t="s">
        <v>7</v>
      </c>
      <c r="DI360" s="27" t="s">
        <v>8</v>
      </c>
      <c r="DJ360" s="27" t="s">
        <v>7</v>
      </c>
      <c r="DM360" s="27" t="s">
        <v>8</v>
      </c>
      <c r="DQ360" s="27" t="s">
        <v>8</v>
      </c>
      <c r="DZ360" s="27" t="s">
        <v>7</v>
      </c>
    </row>
    <row r="361" spans="1:130" x14ac:dyDescent="0.25">
      <c r="A361" s="7">
        <v>87.829178003543404</v>
      </c>
      <c r="B361"/>
      <c r="C361"/>
      <c r="D361"/>
      <c r="E361"/>
      <c r="CA361" s="27" t="s">
        <v>8</v>
      </c>
      <c r="CB361" s="27" t="s">
        <v>7</v>
      </c>
      <c r="CC361" s="27" t="s">
        <v>8</v>
      </c>
      <c r="CD361" s="27" t="s">
        <v>7</v>
      </c>
      <c r="DG361" s="27" t="s">
        <v>8</v>
      </c>
      <c r="DH361" s="27" t="s">
        <v>7</v>
      </c>
      <c r="DI361" s="27" t="s">
        <v>8</v>
      </c>
      <c r="DJ361" s="27" t="s">
        <v>7</v>
      </c>
      <c r="DM361" s="27" t="s">
        <v>8</v>
      </c>
      <c r="DN361" s="27" t="s">
        <v>7</v>
      </c>
      <c r="DQ361" s="27" t="s">
        <v>8</v>
      </c>
      <c r="DZ361" s="27" t="s">
        <v>7</v>
      </c>
    </row>
    <row r="362" spans="1:130" x14ac:dyDescent="0.25">
      <c r="A362" s="7">
        <v>86.107037258375883</v>
      </c>
      <c r="B362"/>
      <c r="C362"/>
      <c r="D362"/>
      <c r="E362"/>
      <c r="CA362" s="27" t="s">
        <v>8</v>
      </c>
      <c r="CB362" s="27" t="s">
        <v>7</v>
      </c>
      <c r="CC362" s="27" t="s">
        <v>8</v>
      </c>
      <c r="CD362" s="27" t="s">
        <v>7</v>
      </c>
      <c r="DG362" s="27" t="s">
        <v>8</v>
      </c>
      <c r="DH362" s="27" t="s">
        <v>7</v>
      </c>
      <c r="DI362" s="27" t="s">
        <v>8</v>
      </c>
      <c r="DJ362" s="27" t="s">
        <v>7</v>
      </c>
      <c r="DM362" s="27" t="s">
        <v>8</v>
      </c>
      <c r="DN362" s="27" t="s">
        <v>7</v>
      </c>
      <c r="DQ362" s="27" t="s">
        <v>8</v>
      </c>
      <c r="DZ362" s="27" t="s">
        <v>7</v>
      </c>
    </row>
    <row r="363" spans="1:130" x14ac:dyDescent="0.25">
      <c r="A363" s="7">
        <v>84.418663978799884</v>
      </c>
      <c r="B363"/>
      <c r="C363"/>
      <c r="D363"/>
      <c r="E363"/>
      <c r="CA363" s="27" t="s">
        <v>8</v>
      </c>
      <c r="CB363" s="27" t="s">
        <v>7</v>
      </c>
      <c r="CC363" s="27" t="s">
        <v>8</v>
      </c>
      <c r="CD363" s="27" t="s">
        <v>7</v>
      </c>
      <c r="DG363" s="27" t="s">
        <v>8</v>
      </c>
      <c r="DH363" s="27" t="s">
        <v>7</v>
      </c>
      <c r="DI363" s="27" t="s">
        <v>8</v>
      </c>
      <c r="DJ363" s="27" t="s">
        <v>7</v>
      </c>
      <c r="DM363" s="27" t="s">
        <v>8</v>
      </c>
      <c r="DN363" s="27" t="s">
        <v>7</v>
      </c>
      <c r="DQ363" s="27" t="s">
        <v>8</v>
      </c>
      <c r="DZ363" s="27" t="s">
        <v>7</v>
      </c>
    </row>
    <row r="364" spans="1:130" x14ac:dyDescent="0.25">
      <c r="A364" s="7">
        <v>82.763396057646943</v>
      </c>
      <c r="B364"/>
      <c r="C364"/>
      <c r="D364"/>
      <c r="E364"/>
      <c r="CA364" s="27" t="s">
        <v>8</v>
      </c>
      <c r="CB364" s="27" t="s">
        <v>7</v>
      </c>
      <c r="CC364" s="27" t="s">
        <v>8</v>
      </c>
      <c r="CD364" s="27" t="s">
        <v>7</v>
      </c>
      <c r="DG364" s="27" t="s">
        <v>8</v>
      </c>
      <c r="DH364" s="27" t="s">
        <v>7</v>
      </c>
      <c r="DI364" s="27" t="s">
        <v>8</v>
      </c>
      <c r="DJ364" s="27" t="s">
        <v>7</v>
      </c>
      <c r="DM364" s="27" t="s">
        <v>8</v>
      </c>
      <c r="DN364" s="27" t="s">
        <v>7</v>
      </c>
      <c r="DQ364" s="27" t="s">
        <v>8</v>
      </c>
      <c r="DZ364" s="27" t="s">
        <v>7</v>
      </c>
    </row>
    <row r="365" spans="1:130" x14ac:dyDescent="0.25">
      <c r="A365" s="7">
        <v>81.140584370242095</v>
      </c>
      <c r="B365"/>
      <c r="C365"/>
      <c r="D365"/>
      <c r="E365"/>
      <c r="CA365" s="27" t="s">
        <v>8</v>
      </c>
      <c r="CB365" s="27" t="s">
        <v>7</v>
      </c>
      <c r="CC365" s="27" t="s">
        <v>8</v>
      </c>
      <c r="CD365" s="27" t="s">
        <v>7</v>
      </c>
      <c r="DG365" s="27" t="s">
        <v>8</v>
      </c>
      <c r="DH365" s="27" t="s">
        <v>7</v>
      </c>
      <c r="DI365" s="27" t="s">
        <v>8</v>
      </c>
      <c r="DJ365" s="27" t="s">
        <v>7</v>
      </c>
      <c r="DM365" s="27" t="s">
        <v>8</v>
      </c>
      <c r="DN365" s="27" t="s">
        <v>7</v>
      </c>
      <c r="DO365" s="27" t="s">
        <v>8</v>
      </c>
      <c r="DQ365" s="27" t="s">
        <v>8</v>
      </c>
      <c r="DZ365" s="27" t="s">
        <v>7</v>
      </c>
    </row>
    <row r="366" spans="1:130" x14ac:dyDescent="0.25">
      <c r="A366" s="7">
        <v>79.549592519845191</v>
      </c>
      <c r="B366"/>
      <c r="C366"/>
      <c r="D366"/>
      <c r="E366"/>
      <c r="CA366" s="27" t="s">
        <v>8</v>
      </c>
      <c r="CB366" s="27" t="s">
        <v>7</v>
      </c>
      <c r="CC366" s="27" t="s">
        <v>8</v>
      </c>
      <c r="CD366" s="27" t="s">
        <v>7</v>
      </c>
      <c r="DG366" s="27" t="s">
        <v>8</v>
      </c>
      <c r="DH366" s="27" t="s">
        <v>7</v>
      </c>
      <c r="DI366" s="27" t="s">
        <v>8</v>
      </c>
      <c r="DJ366" s="27" t="s">
        <v>7</v>
      </c>
      <c r="DM366" s="27" t="s">
        <v>8</v>
      </c>
      <c r="DN366" s="27" t="s">
        <v>7</v>
      </c>
      <c r="DO366" s="27" t="s">
        <v>8</v>
      </c>
      <c r="DP366" s="27" t="s">
        <v>7</v>
      </c>
      <c r="DQ366" s="27" t="s">
        <v>8</v>
      </c>
      <c r="DZ366" s="27" t="s">
        <v>7</v>
      </c>
    </row>
    <row r="367" spans="1:130" x14ac:dyDescent="0.25">
      <c r="A367" s="7">
        <v>77.989796588083522</v>
      </c>
      <c r="B367"/>
      <c r="C367"/>
      <c r="D367"/>
      <c r="E367"/>
      <c r="CA367" s="27" t="s">
        <v>8</v>
      </c>
      <c r="CB367" s="27" t="s">
        <v>7</v>
      </c>
      <c r="CC367" s="27" t="s">
        <v>8</v>
      </c>
      <c r="CD367" s="27" t="s">
        <v>7</v>
      </c>
      <c r="CE367" s="27" t="s">
        <v>8</v>
      </c>
      <c r="DG367" s="27" t="s">
        <v>8</v>
      </c>
      <c r="DH367" s="27" t="s">
        <v>7</v>
      </c>
      <c r="DI367" s="27" t="s">
        <v>8</v>
      </c>
      <c r="DJ367" s="27" t="s">
        <v>7</v>
      </c>
      <c r="DK367" s="27" t="s">
        <v>8</v>
      </c>
      <c r="DM367" s="27" t="s">
        <v>8</v>
      </c>
      <c r="DN367" s="27" t="s">
        <v>7</v>
      </c>
      <c r="DO367" s="27" t="s">
        <v>8</v>
      </c>
      <c r="DP367" s="27" t="s">
        <v>7</v>
      </c>
      <c r="DQ367" s="27" t="s">
        <v>8</v>
      </c>
      <c r="DZ367" s="27" t="s">
        <v>7</v>
      </c>
    </row>
    <row r="368" spans="1:130" x14ac:dyDescent="0.25">
      <c r="A368" s="7">
        <v>76.460584890277957</v>
      </c>
      <c r="B368"/>
      <c r="C368"/>
      <c r="D368"/>
      <c r="E368"/>
      <c r="CA368" s="27" t="s">
        <v>8</v>
      </c>
      <c r="CB368" s="27" t="s">
        <v>7</v>
      </c>
      <c r="CC368" s="27" t="s">
        <v>8</v>
      </c>
      <c r="CD368" s="27" t="s">
        <v>7</v>
      </c>
      <c r="CE368" s="27" t="s">
        <v>8</v>
      </c>
      <c r="CF368" s="27" t="s">
        <v>7</v>
      </c>
      <c r="DG368" s="27" t="s">
        <v>8</v>
      </c>
      <c r="DH368" s="27" t="s">
        <v>7</v>
      </c>
      <c r="DJ368" s="27" t="s">
        <v>7</v>
      </c>
      <c r="DK368" s="27" t="s">
        <v>8</v>
      </c>
      <c r="DL368" s="27" t="s">
        <v>7</v>
      </c>
      <c r="DM368" s="27" t="s">
        <v>8</v>
      </c>
      <c r="DN368" s="27" t="s">
        <v>7</v>
      </c>
      <c r="DO368" s="27" t="s">
        <v>8</v>
      </c>
      <c r="DP368" s="27" t="s">
        <v>7</v>
      </c>
      <c r="DQ368" s="27" t="s">
        <v>8</v>
      </c>
      <c r="DZ368" s="27" t="s">
        <v>7</v>
      </c>
    </row>
    <row r="369" spans="1:132" x14ac:dyDescent="0.25">
      <c r="A369" s="7">
        <v>74.961357735566622</v>
      </c>
      <c r="B369"/>
      <c r="C369"/>
      <c r="D369"/>
      <c r="E369"/>
      <c r="CA369" s="27" t="s">
        <v>8</v>
      </c>
      <c r="CB369" s="27" t="s">
        <v>7</v>
      </c>
      <c r="CC369" s="27" t="s">
        <v>8</v>
      </c>
      <c r="CD369" s="27" t="s">
        <v>7</v>
      </c>
      <c r="CE369" s="27" t="s">
        <v>8</v>
      </c>
      <c r="CF369" s="27" t="s">
        <v>7</v>
      </c>
      <c r="DG369" s="27" t="s">
        <v>8</v>
      </c>
      <c r="DJ369" s="27" t="s">
        <v>7</v>
      </c>
      <c r="DK369" s="27" t="s">
        <v>8</v>
      </c>
      <c r="DL369" s="27" t="s">
        <v>7</v>
      </c>
      <c r="DM369" s="27" t="s">
        <v>8</v>
      </c>
      <c r="DN369" s="27" t="s">
        <v>7</v>
      </c>
      <c r="DO369" s="27" t="s">
        <v>8</v>
      </c>
      <c r="DP369" s="27" t="s">
        <v>7</v>
      </c>
      <c r="DQ369" s="27" t="s">
        <v>8</v>
      </c>
      <c r="DZ369" s="27" t="s">
        <v>7</v>
      </c>
    </row>
    <row r="370" spans="1:132" x14ac:dyDescent="0.25">
      <c r="A370" s="7">
        <v>73.491527191731976</v>
      </c>
      <c r="B370"/>
      <c r="C370"/>
      <c r="D370"/>
      <c r="E370"/>
      <c r="CA370" s="27" t="s">
        <v>8</v>
      </c>
      <c r="CB370" s="27" t="s">
        <v>7</v>
      </c>
      <c r="CC370" s="27" t="s">
        <v>8</v>
      </c>
      <c r="CD370" s="27" t="s">
        <v>7</v>
      </c>
      <c r="CE370" s="27" t="s">
        <v>8</v>
      </c>
      <c r="CF370" s="27" t="s">
        <v>7</v>
      </c>
      <c r="DG370" s="27" t="s">
        <v>8</v>
      </c>
      <c r="DJ370" s="27" t="s">
        <v>7</v>
      </c>
      <c r="DK370" s="27" t="s">
        <v>8</v>
      </c>
      <c r="DL370" s="27" t="s">
        <v>7</v>
      </c>
      <c r="DM370" s="27" t="s">
        <v>8</v>
      </c>
      <c r="DN370" s="27" t="s">
        <v>7</v>
      </c>
      <c r="DO370" s="27" t="s">
        <v>8</v>
      </c>
      <c r="DP370" s="27" t="s">
        <v>7</v>
      </c>
      <c r="DQ370" s="27" t="s">
        <v>8</v>
      </c>
      <c r="DZ370" s="27" t="s">
        <v>7</v>
      </c>
    </row>
    <row r="371" spans="1:132" x14ac:dyDescent="0.25">
      <c r="A371" s="7">
        <v>72.050516854639184</v>
      </c>
      <c r="B371"/>
      <c r="C371"/>
      <c r="D371"/>
      <c r="E371"/>
      <c r="CA371" s="27" t="s">
        <v>8</v>
      </c>
      <c r="CB371" s="27" t="s">
        <v>7</v>
      </c>
      <c r="CC371" s="27" t="s">
        <v>8</v>
      </c>
      <c r="CD371" s="27" t="s">
        <v>7</v>
      </c>
      <c r="CE371" s="27" t="s">
        <v>8</v>
      </c>
      <c r="CF371" s="27" t="s">
        <v>7</v>
      </c>
      <c r="DG371" s="27" t="s">
        <v>8</v>
      </c>
      <c r="DJ371" s="27" t="s">
        <v>7</v>
      </c>
      <c r="DK371" s="27" t="s">
        <v>8</v>
      </c>
      <c r="DL371" s="27" t="s">
        <v>7</v>
      </c>
      <c r="DM371" s="27" t="s">
        <v>8</v>
      </c>
      <c r="DN371" s="27" t="s">
        <v>7</v>
      </c>
      <c r="DO371" s="27" t="s">
        <v>8</v>
      </c>
      <c r="DP371" s="27" t="s">
        <v>7</v>
      </c>
      <c r="DQ371" s="27" t="s">
        <v>8</v>
      </c>
      <c r="DZ371" s="27" t="s">
        <v>7</v>
      </c>
    </row>
    <row r="372" spans="1:132" x14ac:dyDescent="0.25">
      <c r="A372" s="7">
        <v>70.637761622195271</v>
      </c>
      <c r="B372"/>
      <c r="C372"/>
      <c r="D372"/>
      <c r="E372"/>
      <c r="CA372" s="27" t="s">
        <v>8</v>
      </c>
      <c r="CB372" s="27" t="s">
        <v>7</v>
      </c>
      <c r="CC372" s="27" t="s">
        <v>8</v>
      </c>
      <c r="CD372" s="27" t="s">
        <v>7</v>
      </c>
      <c r="CE372" s="27" t="s">
        <v>8</v>
      </c>
      <c r="CF372" s="27" t="s">
        <v>7</v>
      </c>
      <c r="CY372" s="27" t="s">
        <v>8</v>
      </c>
      <c r="DG372" s="27" t="s">
        <v>8</v>
      </c>
      <c r="DJ372" s="27" t="s">
        <v>7</v>
      </c>
      <c r="DK372" s="27" t="s">
        <v>8</v>
      </c>
      <c r="DL372" s="27" t="s">
        <v>7</v>
      </c>
      <c r="DM372" s="27" t="s">
        <v>8</v>
      </c>
      <c r="DN372" s="27" t="s">
        <v>7</v>
      </c>
      <c r="DO372" s="27" t="s">
        <v>8</v>
      </c>
      <c r="DP372" s="27" t="s">
        <v>7</v>
      </c>
      <c r="DQ372" s="27" t="s">
        <v>8</v>
      </c>
      <c r="DZ372" s="27" t="s">
        <v>7</v>
      </c>
    </row>
    <row r="373" spans="1:132" x14ac:dyDescent="0.25">
      <c r="A373" s="7">
        <v>69.252707472740454</v>
      </c>
      <c r="B373"/>
      <c r="C373"/>
      <c r="D373"/>
      <c r="E373"/>
      <c r="CA373" s="27" t="s">
        <v>8</v>
      </c>
      <c r="CB373" s="27" t="s">
        <v>7</v>
      </c>
      <c r="CC373" s="27" t="s">
        <v>8</v>
      </c>
      <c r="CD373" s="27" t="s">
        <v>7</v>
      </c>
      <c r="CE373" s="27" t="s">
        <v>8</v>
      </c>
      <c r="CF373" s="27" t="s">
        <v>7</v>
      </c>
      <c r="CY373" s="27" t="s">
        <v>8</v>
      </c>
      <c r="CZ373" s="27" t="s">
        <v>7</v>
      </c>
      <c r="DG373" s="27" t="s">
        <v>8</v>
      </c>
      <c r="DJ373" s="27" t="s">
        <v>7</v>
      </c>
      <c r="DK373" s="27" t="s">
        <v>8</v>
      </c>
      <c r="DL373" s="27" t="s">
        <v>7</v>
      </c>
      <c r="DM373" s="27" t="s">
        <v>8</v>
      </c>
      <c r="DN373" s="27" t="s">
        <v>7</v>
      </c>
      <c r="DO373" s="27" t="s">
        <v>8</v>
      </c>
      <c r="DP373" s="27" t="s">
        <v>7</v>
      </c>
      <c r="DQ373" s="27" t="s">
        <v>8</v>
      </c>
      <c r="DZ373" s="27" t="s">
        <v>7</v>
      </c>
    </row>
    <row r="374" spans="1:132" x14ac:dyDescent="0.25">
      <c r="A374" s="7">
        <v>67.894811247784759</v>
      </c>
      <c r="B374"/>
      <c r="C374"/>
      <c r="D374"/>
      <c r="E374"/>
      <c r="CA374" s="27" t="s">
        <v>8</v>
      </c>
      <c r="CB374" s="27" t="s">
        <v>7</v>
      </c>
      <c r="CC374" s="27" t="s">
        <v>8</v>
      </c>
      <c r="CD374" s="27" t="s">
        <v>7</v>
      </c>
      <c r="CE374" s="27" t="s">
        <v>8</v>
      </c>
      <c r="CF374" s="27" t="s">
        <v>7</v>
      </c>
      <c r="CY374" s="27" t="s">
        <v>8</v>
      </c>
      <c r="CZ374" s="27" t="s">
        <v>7</v>
      </c>
      <c r="DA374" s="27" t="s">
        <v>8</v>
      </c>
      <c r="DE374" s="27" t="s">
        <v>8</v>
      </c>
      <c r="DG374" s="27" t="s">
        <v>8</v>
      </c>
      <c r="DJ374" s="27" t="s">
        <v>7</v>
      </c>
      <c r="DL374" s="27" t="s">
        <v>7</v>
      </c>
      <c r="DM374" s="27" t="s">
        <v>8</v>
      </c>
      <c r="DN374" s="27" t="s">
        <v>7</v>
      </c>
      <c r="DO374" s="27" t="s">
        <v>8</v>
      </c>
      <c r="DP374" s="27" t="s">
        <v>7</v>
      </c>
      <c r="DZ374" s="27" t="s">
        <v>7</v>
      </c>
    </row>
    <row r="375" spans="1:132" x14ac:dyDescent="0.25">
      <c r="A375" s="7">
        <v>66.563540439004669</v>
      </c>
      <c r="B375"/>
      <c r="C375"/>
      <c r="D375"/>
      <c r="E375"/>
      <c r="CA375" s="27" t="s">
        <v>8</v>
      </c>
      <c r="CB375" s="27" t="s">
        <v>7</v>
      </c>
      <c r="CC375" s="27" t="s">
        <v>8</v>
      </c>
      <c r="CD375" s="27" t="s">
        <v>7</v>
      </c>
      <c r="CE375" s="27" t="s">
        <v>8</v>
      </c>
      <c r="CF375" s="27" t="s">
        <v>7</v>
      </c>
      <c r="CY375" s="27" t="s">
        <v>8</v>
      </c>
      <c r="CZ375" s="27" t="s">
        <v>7</v>
      </c>
      <c r="DA375" s="27" t="s">
        <v>8</v>
      </c>
      <c r="DB375" s="27" t="s">
        <v>7</v>
      </c>
      <c r="DE375" s="27" t="s">
        <v>8</v>
      </c>
      <c r="DF375" s="27" t="s">
        <v>7</v>
      </c>
      <c r="DG375" s="27" t="s">
        <v>8</v>
      </c>
      <c r="DL375" s="27" t="s">
        <v>7</v>
      </c>
      <c r="DM375" s="27" t="s">
        <v>8</v>
      </c>
      <c r="DN375" s="27" t="s">
        <v>7</v>
      </c>
      <c r="DO375" s="27" t="s">
        <v>8</v>
      </c>
      <c r="DZ375" s="27" t="s">
        <v>7</v>
      </c>
    </row>
    <row r="376" spans="1:132" x14ac:dyDescent="0.25">
      <c r="A376" s="7">
        <v>65.258372979416336</v>
      </c>
      <c r="B376"/>
      <c r="C376"/>
      <c r="D376"/>
      <c r="E376"/>
      <c r="CA376" s="27" t="s">
        <v>8</v>
      </c>
      <c r="CB376" s="27" t="s">
        <v>7</v>
      </c>
      <c r="CC376" s="27" t="s">
        <v>8</v>
      </c>
      <c r="CD376" s="27" t="s">
        <v>7</v>
      </c>
      <c r="CE376" s="27" t="s">
        <v>8</v>
      </c>
      <c r="CF376" s="27" t="s">
        <v>7</v>
      </c>
      <c r="CO376" s="27" t="s">
        <v>8</v>
      </c>
      <c r="CY376" s="27" t="s">
        <v>8</v>
      </c>
      <c r="CZ376" s="27" t="s">
        <v>7</v>
      </c>
      <c r="DA376" s="27" t="s">
        <v>8</v>
      </c>
      <c r="DB376" s="27" t="s">
        <v>7</v>
      </c>
      <c r="DE376" s="27" t="s">
        <v>8</v>
      </c>
      <c r="DF376" s="27" t="s">
        <v>7</v>
      </c>
      <c r="DG376" s="27" t="s">
        <v>8</v>
      </c>
      <c r="DL376" s="27" t="s">
        <v>7</v>
      </c>
      <c r="DN376" s="27" t="s">
        <v>7</v>
      </c>
      <c r="DO376" s="27" t="s">
        <v>8</v>
      </c>
      <c r="DZ376" s="27" t="s">
        <v>7</v>
      </c>
    </row>
    <row r="377" spans="1:132" x14ac:dyDescent="0.25">
      <c r="A377" s="7">
        <v>63.978797038643471</v>
      </c>
      <c r="B377"/>
      <c r="C377"/>
      <c r="D377"/>
      <c r="E377"/>
      <c r="CA377" s="27" t="s">
        <v>8</v>
      </c>
      <c r="CB377" s="27" t="s">
        <v>7</v>
      </c>
      <c r="CC377" s="27" t="s">
        <v>8</v>
      </c>
      <c r="CD377" s="27" t="s">
        <v>7</v>
      </c>
      <c r="CE377" s="27" t="s">
        <v>8</v>
      </c>
      <c r="CF377" s="27" t="s">
        <v>7</v>
      </c>
      <c r="CO377" s="27" t="s">
        <v>8</v>
      </c>
      <c r="CP377" s="27" t="s">
        <v>7</v>
      </c>
      <c r="CY377" s="27" t="s">
        <v>8</v>
      </c>
      <c r="CZ377" s="27" t="s">
        <v>7</v>
      </c>
      <c r="DA377" s="27" t="s">
        <v>8</v>
      </c>
      <c r="DB377" s="27" t="s">
        <v>7</v>
      </c>
      <c r="DE377" s="27" t="s">
        <v>8</v>
      </c>
      <c r="DF377" s="27" t="s">
        <v>7</v>
      </c>
      <c r="DG377" s="27" t="s">
        <v>8</v>
      </c>
      <c r="DN377" s="27" t="s">
        <v>7</v>
      </c>
      <c r="DO377" s="27" t="s">
        <v>8</v>
      </c>
      <c r="DZ377" s="27" t="s">
        <v>7</v>
      </c>
    </row>
    <row r="378" spans="1:132" x14ac:dyDescent="0.25">
      <c r="A378" s="7">
        <v>62.724310822199477</v>
      </c>
      <c r="B378"/>
      <c r="C378"/>
      <c r="D378"/>
      <c r="E378"/>
      <c r="CA378" s="27" t="s">
        <v>8</v>
      </c>
      <c r="CB378" s="27" t="s">
        <v>7</v>
      </c>
      <c r="CC378" s="27" t="s">
        <v>8</v>
      </c>
      <c r="CD378" s="27" t="s">
        <v>7</v>
      </c>
      <c r="CE378" s="27" t="s">
        <v>8</v>
      </c>
      <c r="CF378" s="27" t="s">
        <v>7</v>
      </c>
      <c r="CO378" s="27" t="s">
        <v>8</v>
      </c>
      <c r="CP378" s="27" t="s">
        <v>7</v>
      </c>
      <c r="CY378" s="27" t="s">
        <v>8</v>
      </c>
      <c r="CZ378" s="27" t="s">
        <v>7</v>
      </c>
      <c r="DA378" s="27" t="s">
        <v>8</v>
      </c>
      <c r="DB378" s="27" t="s">
        <v>7</v>
      </c>
      <c r="DE378" s="27" t="s">
        <v>8</v>
      </c>
      <c r="DF378" s="27" t="s">
        <v>7</v>
      </c>
      <c r="DG378" s="27" t="s">
        <v>8</v>
      </c>
      <c r="DN378" s="27" t="s">
        <v>7</v>
      </c>
      <c r="DO378" s="27" t="s">
        <v>8</v>
      </c>
      <c r="DZ378" s="27" t="s">
        <v>7</v>
      </c>
    </row>
    <row r="379" spans="1:132" x14ac:dyDescent="0.25">
      <c r="A379" s="7">
        <v>61.494422374705366</v>
      </c>
      <c r="B379"/>
      <c r="C379"/>
      <c r="D379"/>
      <c r="E379"/>
      <c r="CA379" s="27" t="s">
        <v>8</v>
      </c>
      <c r="CB379" s="27" t="s">
        <v>7</v>
      </c>
      <c r="CC379" s="27" t="s">
        <v>8</v>
      </c>
      <c r="CD379" s="27" t="s">
        <v>7</v>
      </c>
      <c r="CE379" s="27" t="s">
        <v>8</v>
      </c>
      <c r="CF379" s="27" t="s">
        <v>7</v>
      </c>
      <c r="CO379" s="27" t="s">
        <v>8</v>
      </c>
      <c r="CP379" s="27" t="s">
        <v>7</v>
      </c>
      <c r="CY379" s="27" t="s">
        <v>8</v>
      </c>
      <c r="CZ379" s="27" t="s">
        <v>7</v>
      </c>
      <c r="DA379" s="27" t="s">
        <v>8</v>
      </c>
      <c r="DB379" s="27" t="s">
        <v>7</v>
      </c>
      <c r="DE379" s="27" t="s">
        <v>8</v>
      </c>
      <c r="DF379" s="27" t="s">
        <v>7</v>
      </c>
      <c r="DG379" s="27" t="s">
        <v>8</v>
      </c>
      <c r="DN379" s="27" t="s">
        <v>7</v>
      </c>
      <c r="DO379" s="27" t="s">
        <v>8</v>
      </c>
      <c r="DZ379" s="27" t="s">
        <v>7</v>
      </c>
    </row>
    <row r="380" spans="1:132" x14ac:dyDescent="0.25">
      <c r="A380" s="7">
        <v>60.288649386966043</v>
      </c>
      <c r="B380"/>
      <c r="C380"/>
      <c r="D380"/>
      <c r="E380"/>
      <c r="CA380" s="27" t="s">
        <v>8</v>
      </c>
      <c r="CB380" s="27" t="s">
        <v>7</v>
      </c>
      <c r="CD380" s="27" t="s">
        <v>7</v>
      </c>
      <c r="CE380" s="27" t="s">
        <v>8</v>
      </c>
      <c r="CF380" s="27" t="s">
        <v>7</v>
      </c>
      <c r="CO380" s="27" t="s">
        <v>8</v>
      </c>
      <c r="CP380" s="27" t="s">
        <v>7</v>
      </c>
      <c r="CY380" s="27" t="s">
        <v>8</v>
      </c>
      <c r="CZ380" s="27" t="s">
        <v>7</v>
      </c>
      <c r="DA380" s="27" t="s">
        <v>8</v>
      </c>
      <c r="DB380" s="27" t="s">
        <v>7</v>
      </c>
      <c r="DC380" s="27" t="s">
        <v>8</v>
      </c>
      <c r="DE380" s="27" t="s">
        <v>8</v>
      </c>
      <c r="DF380" s="27" t="s">
        <v>7</v>
      </c>
      <c r="DN380" s="27" t="s">
        <v>7</v>
      </c>
      <c r="DO380" s="27" t="s">
        <v>8</v>
      </c>
      <c r="DZ380" s="27" t="s">
        <v>7</v>
      </c>
    </row>
    <row r="381" spans="1:132" x14ac:dyDescent="0.25">
      <c r="A381" s="7">
        <v>59.106519006829451</v>
      </c>
      <c r="B381"/>
      <c r="C381"/>
      <c r="D381"/>
      <c r="E381"/>
      <c r="CA381" s="27" t="s">
        <v>8</v>
      </c>
      <c r="CD381" s="27" t="s">
        <v>7</v>
      </c>
      <c r="CE381" s="27" t="s">
        <v>8</v>
      </c>
      <c r="CF381" s="27" t="s">
        <v>7</v>
      </c>
      <c r="CO381" s="27" t="s">
        <v>8</v>
      </c>
      <c r="CP381" s="27" t="s">
        <v>7</v>
      </c>
      <c r="CY381" s="27" t="s">
        <v>8</v>
      </c>
      <c r="CZ381" s="27" t="s">
        <v>7</v>
      </c>
      <c r="DB381" s="27" t="s">
        <v>7</v>
      </c>
      <c r="DC381" s="27" t="s">
        <v>8</v>
      </c>
      <c r="DD381" s="27" t="s">
        <v>7</v>
      </c>
      <c r="DE381" s="27" t="s">
        <v>8</v>
      </c>
      <c r="DN381" s="27" t="s">
        <v>7</v>
      </c>
      <c r="DO381" s="27" t="s">
        <v>8</v>
      </c>
      <c r="DZ381" s="27" t="s">
        <v>7</v>
      </c>
    </row>
    <row r="382" spans="1:132" x14ac:dyDescent="0.25">
      <c r="A382" s="7">
        <v>57.947567653754362</v>
      </c>
      <c r="B382"/>
      <c r="C382"/>
      <c r="D382"/>
      <c r="E382"/>
      <c r="CA382" s="27" t="s">
        <v>8</v>
      </c>
      <c r="CD382" s="27" t="s">
        <v>7</v>
      </c>
      <c r="CE382" s="27" t="s">
        <v>8</v>
      </c>
      <c r="CF382" s="27" t="s">
        <v>7</v>
      </c>
      <c r="CO382" s="27" t="s">
        <v>8</v>
      </c>
      <c r="CP382" s="27" t="s">
        <v>7</v>
      </c>
      <c r="CY382" s="27" t="s">
        <v>8</v>
      </c>
      <c r="DB382" s="27" t="s">
        <v>7</v>
      </c>
      <c r="DC382" s="27" t="s">
        <v>8</v>
      </c>
      <c r="DD382" s="27" t="s">
        <v>7</v>
      </c>
      <c r="DE382" s="27" t="s">
        <v>8</v>
      </c>
      <c r="DN382" s="27" t="s">
        <v>7</v>
      </c>
      <c r="DO382" s="27" t="s">
        <v>8</v>
      </c>
      <c r="DZ382" s="27" t="s">
        <v>7</v>
      </c>
      <c r="EA382" s="27" t="s">
        <v>8</v>
      </c>
    </row>
    <row r="383" spans="1:132" x14ac:dyDescent="0.25">
      <c r="A383" s="7">
        <v>56.811340837014079</v>
      </c>
      <c r="B383"/>
      <c r="C383"/>
      <c r="D383"/>
      <c r="E383"/>
      <c r="CA383" s="27" t="s">
        <v>8</v>
      </c>
      <c r="CD383" s="27" t="s">
        <v>7</v>
      </c>
      <c r="CE383" s="27" t="s">
        <v>8</v>
      </c>
      <c r="CF383" s="27" t="s">
        <v>7</v>
      </c>
      <c r="CG383" s="27" t="s">
        <v>8</v>
      </c>
      <c r="CO383" s="27" t="s">
        <v>8</v>
      </c>
      <c r="CP383" s="27" t="s">
        <v>7</v>
      </c>
      <c r="CW383" s="27" t="s">
        <v>8</v>
      </c>
      <c r="CY383" s="27" t="s">
        <v>8</v>
      </c>
      <c r="DB383" s="27" t="s">
        <v>7</v>
      </c>
      <c r="DC383" s="27" t="s">
        <v>8</v>
      </c>
      <c r="DD383" s="27" t="s">
        <v>7</v>
      </c>
      <c r="DE383" s="27" t="s">
        <v>8</v>
      </c>
      <c r="DN383" s="27" t="s">
        <v>7</v>
      </c>
      <c r="DZ383" s="27" t="s">
        <v>7</v>
      </c>
      <c r="EA383" s="27" t="s">
        <v>8</v>
      </c>
      <c r="EB383" s="27" t="s">
        <v>7</v>
      </c>
    </row>
    <row r="384" spans="1:132" x14ac:dyDescent="0.25">
      <c r="A384" s="7">
        <v>55.69739297746478</v>
      </c>
      <c r="B384"/>
      <c r="C384"/>
      <c r="D384"/>
      <c r="E384"/>
      <c r="BY384" s="27" t="s">
        <v>8</v>
      </c>
      <c r="CA384" s="27" t="s">
        <v>8</v>
      </c>
      <c r="CD384" s="27" t="s">
        <v>7</v>
      </c>
      <c r="CE384" s="27" t="s">
        <v>8</v>
      </c>
      <c r="CF384" s="27" t="s">
        <v>7</v>
      </c>
      <c r="CG384" s="27" t="s">
        <v>8</v>
      </c>
      <c r="CH384" s="27" t="s">
        <v>7</v>
      </c>
      <c r="CO384" s="27" t="s">
        <v>8</v>
      </c>
      <c r="CP384" s="27" t="s">
        <v>7</v>
      </c>
      <c r="CW384" s="27" t="s">
        <v>8</v>
      </c>
      <c r="CX384" s="27" t="s">
        <v>7</v>
      </c>
      <c r="CY384" s="27" t="s">
        <v>8</v>
      </c>
      <c r="DB384" s="27" t="s">
        <v>7</v>
      </c>
      <c r="DC384" s="27" t="s">
        <v>8</v>
      </c>
      <c r="DD384" s="27" t="s">
        <v>7</v>
      </c>
      <c r="DE384" s="27" t="s">
        <v>8</v>
      </c>
      <c r="DZ384" s="27" t="s">
        <v>7</v>
      </c>
      <c r="EA384" s="27" t="s">
        <v>8</v>
      </c>
      <c r="EB384" s="27" t="s">
        <v>7</v>
      </c>
    </row>
    <row r="385" spans="1:192" x14ac:dyDescent="0.25">
      <c r="A385" s="7">
        <v>54.605287232808607</v>
      </c>
      <c r="B385"/>
      <c r="C385"/>
      <c r="D385"/>
      <c r="E385"/>
      <c r="BY385" s="27" t="s">
        <v>8</v>
      </c>
      <c r="BZ385" s="27" t="s">
        <v>7</v>
      </c>
      <c r="CA385" s="27" t="s">
        <v>8</v>
      </c>
      <c r="CD385" s="27" t="s">
        <v>7</v>
      </c>
      <c r="CE385" s="27" t="s">
        <v>8</v>
      </c>
      <c r="CF385" s="27" t="s">
        <v>7</v>
      </c>
      <c r="CG385" s="27" t="s">
        <v>8</v>
      </c>
      <c r="CH385" s="27" t="s">
        <v>7</v>
      </c>
      <c r="CO385" s="27" t="s">
        <v>8</v>
      </c>
      <c r="CP385" s="27" t="s">
        <v>7</v>
      </c>
      <c r="CW385" s="27" t="s">
        <v>8</v>
      </c>
      <c r="CX385" s="27" t="s">
        <v>7</v>
      </c>
      <c r="CY385" s="27" t="s">
        <v>8</v>
      </c>
      <c r="DB385" s="27" t="s">
        <v>7</v>
      </c>
      <c r="DC385" s="27" t="s">
        <v>8</v>
      </c>
      <c r="DD385" s="27" t="s">
        <v>7</v>
      </c>
      <c r="DE385" s="27" t="s">
        <v>8</v>
      </c>
      <c r="DZ385" s="27" t="s">
        <v>7</v>
      </c>
      <c r="EA385" s="27" t="s">
        <v>8</v>
      </c>
      <c r="EB385" s="27" t="s">
        <v>7</v>
      </c>
    </row>
    <row r="386" spans="1:192" x14ac:dyDescent="0.25">
      <c r="A386" s="7">
        <v>53.534595326282947</v>
      </c>
      <c r="B386"/>
      <c r="C386"/>
      <c r="D386"/>
      <c r="E386"/>
      <c r="BY386" s="27" t="s">
        <v>8</v>
      </c>
      <c r="BZ386" s="27" t="s">
        <v>7</v>
      </c>
      <c r="CA386" s="27" t="s">
        <v>8</v>
      </c>
      <c r="CD386" s="27" t="s">
        <v>7</v>
      </c>
      <c r="CE386" s="27" t="s">
        <v>8</v>
      </c>
      <c r="CF386" s="27" t="s">
        <v>7</v>
      </c>
      <c r="CG386" s="27" t="s">
        <v>8</v>
      </c>
      <c r="CH386" s="27" t="s">
        <v>7</v>
      </c>
      <c r="CM386" s="27" t="s">
        <v>8</v>
      </c>
      <c r="CO386" s="27" t="s">
        <v>8</v>
      </c>
      <c r="CP386" s="27" t="s">
        <v>7</v>
      </c>
      <c r="CW386" s="27" t="s">
        <v>8</v>
      </c>
      <c r="CX386" s="27" t="s">
        <v>7</v>
      </c>
      <c r="CY386" s="27" t="s">
        <v>8</v>
      </c>
      <c r="DB386" s="27" t="s">
        <v>7</v>
      </c>
      <c r="DC386" s="27" t="s">
        <v>8</v>
      </c>
      <c r="DD386" s="27" t="s">
        <v>7</v>
      </c>
      <c r="DE386" s="27" t="s">
        <v>8</v>
      </c>
      <c r="DZ386" s="27" t="s">
        <v>7</v>
      </c>
      <c r="EA386" s="27" t="s">
        <v>8</v>
      </c>
      <c r="EB386" s="27" t="s">
        <v>7</v>
      </c>
    </row>
    <row r="387" spans="1:192" x14ac:dyDescent="0.25">
      <c r="A387" s="7">
        <v>52.484897378708773</v>
      </c>
      <c r="B387"/>
      <c r="C387"/>
      <c r="D387"/>
      <c r="E387"/>
      <c r="BY387" s="27" t="s">
        <v>8</v>
      </c>
      <c r="BZ387" s="27" t="s">
        <v>7</v>
      </c>
      <c r="CA387" s="27" t="s">
        <v>8</v>
      </c>
      <c r="CD387" s="27" t="s">
        <v>7</v>
      </c>
      <c r="CE387" s="27" t="s">
        <v>8</v>
      </c>
      <c r="CF387" s="27" t="s">
        <v>7</v>
      </c>
      <c r="CG387" s="27" t="s">
        <v>8</v>
      </c>
      <c r="CH387" s="27" t="s">
        <v>7</v>
      </c>
      <c r="CI387" s="27" t="s">
        <v>8</v>
      </c>
      <c r="CM387" s="27" t="s">
        <v>8</v>
      </c>
      <c r="CN387" s="27" t="s">
        <v>7</v>
      </c>
      <c r="CO387" s="27" t="s">
        <v>8</v>
      </c>
      <c r="CP387" s="27" t="s">
        <v>7</v>
      </c>
      <c r="CW387" s="27" t="s">
        <v>8</v>
      </c>
      <c r="CX387" s="27" t="s">
        <v>7</v>
      </c>
      <c r="CY387" s="27" t="s">
        <v>8</v>
      </c>
      <c r="DB387" s="27" t="s">
        <v>7</v>
      </c>
      <c r="DC387" s="27" t="s">
        <v>8</v>
      </c>
      <c r="DD387" s="27" t="s">
        <v>7</v>
      </c>
      <c r="DE387" s="27" t="s">
        <v>8</v>
      </c>
      <c r="DZ387" s="27" t="s">
        <v>7</v>
      </c>
      <c r="EA387" s="27" t="s">
        <v>8</v>
      </c>
      <c r="EB387" s="27" t="s">
        <v>7</v>
      </c>
    </row>
    <row r="388" spans="1:192" x14ac:dyDescent="0.25">
      <c r="A388" s="7">
        <v>51.455781743832127</v>
      </c>
      <c r="B388"/>
      <c r="C388"/>
      <c r="D388"/>
      <c r="E388"/>
      <c r="BY388" s="27" t="s">
        <v>8</v>
      </c>
      <c r="BZ388" s="27" t="s">
        <v>7</v>
      </c>
      <c r="CA388" s="27" t="s">
        <v>8</v>
      </c>
      <c r="CD388" s="27" t="s">
        <v>7</v>
      </c>
      <c r="CE388" s="27" t="s">
        <v>8</v>
      </c>
      <c r="CF388" s="27" t="s">
        <v>7</v>
      </c>
      <c r="CG388" s="27" t="s">
        <v>8</v>
      </c>
      <c r="CH388" s="27" t="s">
        <v>7</v>
      </c>
      <c r="CI388" s="27" t="s">
        <v>8</v>
      </c>
      <c r="CJ388" s="27" t="s">
        <v>7</v>
      </c>
      <c r="CM388" s="27" t="s">
        <v>8</v>
      </c>
      <c r="CN388" s="27" t="s">
        <v>7</v>
      </c>
      <c r="CO388" s="27" t="s">
        <v>8</v>
      </c>
      <c r="CP388" s="27" t="s">
        <v>7</v>
      </c>
      <c r="CQ388" s="27" t="s">
        <v>8</v>
      </c>
      <c r="CW388" s="27" t="s">
        <v>8</v>
      </c>
      <c r="CX388" s="27" t="s">
        <v>7</v>
      </c>
      <c r="CY388" s="27" t="s">
        <v>8</v>
      </c>
      <c r="DB388" s="27" t="s">
        <v>7</v>
      </c>
      <c r="DD388" s="27" t="s">
        <v>7</v>
      </c>
      <c r="DE388" s="27" t="s">
        <v>8</v>
      </c>
      <c r="DZ388" s="27" t="s">
        <v>7</v>
      </c>
      <c r="EA388" s="27" t="s">
        <v>8</v>
      </c>
      <c r="EB388" s="27" t="s">
        <v>7</v>
      </c>
    </row>
    <row r="389" spans="1:192" x14ac:dyDescent="0.25">
      <c r="A389" s="7">
        <v>50.446844846894244</v>
      </c>
      <c r="B389"/>
      <c r="C389"/>
      <c r="D389"/>
      <c r="E389"/>
      <c r="BY389" s="27" t="s">
        <v>8</v>
      </c>
      <c r="BZ389" s="27" t="s">
        <v>7</v>
      </c>
      <c r="CA389" s="27" t="s">
        <v>8</v>
      </c>
      <c r="CD389" s="27" t="s">
        <v>7</v>
      </c>
      <c r="CE389" s="27" t="s">
        <v>8</v>
      </c>
      <c r="CF389" s="27" t="s">
        <v>7</v>
      </c>
      <c r="CG389" s="27" t="s">
        <v>8</v>
      </c>
      <c r="CH389" s="27" t="s">
        <v>7</v>
      </c>
      <c r="CI389" s="27" t="s">
        <v>8</v>
      </c>
      <c r="CJ389" s="27" t="s">
        <v>7</v>
      </c>
      <c r="CM389" s="27" t="s">
        <v>8</v>
      </c>
      <c r="CN389" s="27" t="s">
        <v>7</v>
      </c>
      <c r="CO389" s="27" t="s">
        <v>8</v>
      </c>
      <c r="CP389" s="27" t="s">
        <v>7</v>
      </c>
      <c r="CQ389" s="27" t="s">
        <v>8</v>
      </c>
      <c r="CR389" s="27" t="s">
        <v>7</v>
      </c>
      <c r="CW389" s="27" t="s">
        <v>8</v>
      </c>
      <c r="CX389" s="27" t="s">
        <v>7</v>
      </c>
      <c r="CY389" s="27" t="s">
        <v>8</v>
      </c>
      <c r="DD389" s="27" t="s">
        <v>7</v>
      </c>
      <c r="DE389" s="27" t="s">
        <v>8</v>
      </c>
      <c r="DZ389" s="27" t="s">
        <v>7</v>
      </c>
      <c r="EA389" s="27" t="s">
        <v>8</v>
      </c>
      <c r="EB389" s="27" t="s">
        <v>7</v>
      </c>
    </row>
    <row r="390" spans="1:192" x14ac:dyDescent="0.25">
      <c r="A390" s="7">
        <v>49.457691026366902</v>
      </c>
      <c r="B390"/>
      <c r="C390"/>
      <c r="D390"/>
      <c r="E390"/>
      <c r="BY390" s="27" t="s">
        <v>8</v>
      </c>
      <c r="BZ390" s="27" t="s">
        <v>7</v>
      </c>
      <c r="CA390" s="27" t="s">
        <v>8</v>
      </c>
      <c r="CD390" s="27" t="s">
        <v>7</v>
      </c>
      <c r="CE390" s="27" t="s">
        <v>8</v>
      </c>
      <c r="CF390" s="27" t="s">
        <v>7</v>
      </c>
      <c r="CG390" s="27" t="s">
        <v>8</v>
      </c>
      <c r="CH390" s="27" t="s">
        <v>7</v>
      </c>
      <c r="CI390" s="27" t="s">
        <v>8</v>
      </c>
      <c r="CJ390" s="27" t="s">
        <v>7</v>
      </c>
      <c r="CM390" s="27" t="s">
        <v>8</v>
      </c>
      <c r="CN390" s="27" t="s">
        <v>7</v>
      </c>
      <c r="CO390" s="27" t="s">
        <v>8</v>
      </c>
      <c r="CP390" s="27" t="s">
        <v>7</v>
      </c>
      <c r="CQ390" s="27" t="s">
        <v>8</v>
      </c>
      <c r="CR390" s="27" t="s">
        <v>7</v>
      </c>
      <c r="CW390" s="27" t="s">
        <v>8</v>
      </c>
      <c r="CX390" s="27" t="s">
        <v>7</v>
      </c>
      <c r="CY390" s="27" t="s">
        <v>8</v>
      </c>
      <c r="DD390" s="27" t="s">
        <v>7</v>
      </c>
      <c r="DZ390" s="27" t="s">
        <v>7</v>
      </c>
      <c r="EA390" s="27" t="s">
        <v>8</v>
      </c>
      <c r="EB390" s="27" t="s">
        <v>7</v>
      </c>
    </row>
    <row r="391" spans="1:192" x14ac:dyDescent="0.25">
      <c r="A391" s="7">
        <v>48.487932378791079</v>
      </c>
      <c r="B391"/>
      <c r="C391"/>
      <c r="D391"/>
      <c r="E391"/>
      <c r="BY391" s="27" t="s">
        <v>8</v>
      </c>
      <c r="BZ391" s="27" t="s">
        <v>7</v>
      </c>
      <c r="CA391" s="27" t="s">
        <v>8</v>
      </c>
      <c r="CD391" s="27" t="s">
        <v>7</v>
      </c>
      <c r="CE391" s="27" t="s">
        <v>8</v>
      </c>
      <c r="CF391" s="27" t="s">
        <v>7</v>
      </c>
      <c r="CG391" s="27" t="s">
        <v>8</v>
      </c>
      <c r="CH391" s="27" t="s">
        <v>7</v>
      </c>
      <c r="CI391" s="27" t="s">
        <v>8</v>
      </c>
      <c r="CJ391" s="27" t="s">
        <v>7</v>
      </c>
      <c r="CM391" s="27" t="s">
        <v>8</v>
      </c>
      <c r="CN391" s="27" t="s">
        <v>7</v>
      </c>
      <c r="CO391" s="27" t="s">
        <v>8</v>
      </c>
      <c r="CP391" s="27" t="s">
        <v>7</v>
      </c>
      <c r="CQ391" s="27" t="s">
        <v>8</v>
      </c>
      <c r="CR391" s="27" t="s">
        <v>7</v>
      </c>
      <c r="CS391" s="27" t="s">
        <v>8</v>
      </c>
      <c r="CW391" s="27" t="s">
        <v>8</v>
      </c>
      <c r="CX391" s="27" t="s">
        <v>7</v>
      </c>
      <c r="CY391" s="27" t="s">
        <v>8</v>
      </c>
      <c r="DZ391" s="27" t="s">
        <v>7</v>
      </c>
      <c r="EA391" s="27" t="s">
        <v>8</v>
      </c>
      <c r="EB391" s="27" t="s">
        <v>7</v>
      </c>
    </row>
    <row r="392" spans="1:192" x14ac:dyDescent="0.25">
      <c r="A392" s="7">
        <v>47.537188606657921</v>
      </c>
      <c r="B392"/>
      <c r="C392"/>
      <c r="D392"/>
      <c r="E392"/>
      <c r="BW392" s="27" t="s">
        <v>8</v>
      </c>
      <c r="BY392" s="27" t="s">
        <v>8</v>
      </c>
      <c r="BZ392" s="27" t="s">
        <v>7</v>
      </c>
      <c r="CA392" s="27" t="s">
        <v>8</v>
      </c>
      <c r="CD392" s="27" t="s">
        <v>7</v>
      </c>
      <c r="CE392" s="27" t="s">
        <v>8</v>
      </c>
      <c r="CF392" s="27" t="s">
        <v>7</v>
      </c>
      <c r="CG392" s="27" t="s">
        <v>8</v>
      </c>
      <c r="CH392" s="27" t="s">
        <v>7</v>
      </c>
      <c r="CI392" s="27" t="s">
        <v>8</v>
      </c>
      <c r="CJ392" s="27" t="s">
        <v>7</v>
      </c>
      <c r="CM392" s="27" t="s">
        <v>8</v>
      </c>
      <c r="CN392" s="27" t="s">
        <v>7</v>
      </c>
      <c r="CO392" s="27" t="s">
        <v>8</v>
      </c>
      <c r="CP392" s="27" t="s">
        <v>7</v>
      </c>
      <c r="CQ392" s="27" t="s">
        <v>8</v>
      </c>
      <c r="CR392" s="27" t="s">
        <v>7</v>
      </c>
      <c r="CS392" s="27" t="s">
        <v>8</v>
      </c>
      <c r="CT392" s="27" t="s">
        <v>7</v>
      </c>
      <c r="CW392" s="27" t="s">
        <v>8</v>
      </c>
      <c r="CX392" s="27" t="s">
        <v>7</v>
      </c>
      <c r="DZ392" s="27" t="s">
        <v>7</v>
      </c>
      <c r="EA392" s="27" t="s">
        <v>8</v>
      </c>
      <c r="EB392" s="27" t="s">
        <v>7</v>
      </c>
    </row>
    <row r="393" spans="1:192" x14ac:dyDescent="0.25">
      <c r="A393" s="7">
        <v>46.605086869272469</v>
      </c>
      <c r="B393"/>
      <c r="C393"/>
      <c r="D393"/>
      <c r="E393"/>
      <c r="BW393" s="27" t="s">
        <v>8</v>
      </c>
      <c r="BX393" s="27" t="s">
        <v>7</v>
      </c>
      <c r="BY393" s="27" t="s">
        <v>8</v>
      </c>
      <c r="BZ393" s="27" t="s">
        <v>7</v>
      </c>
      <c r="CA393" s="27" t="s">
        <v>8</v>
      </c>
      <c r="CD393" s="27" t="s">
        <v>7</v>
      </c>
      <c r="CE393" s="27" t="s">
        <v>8</v>
      </c>
      <c r="CF393" s="27" t="s">
        <v>7</v>
      </c>
      <c r="CG393" s="27" t="s">
        <v>8</v>
      </c>
      <c r="CH393" s="27" t="s">
        <v>7</v>
      </c>
      <c r="CI393" s="27" t="s">
        <v>8</v>
      </c>
      <c r="CJ393" s="27" t="s">
        <v>7</v>
      </c>
      <c r="CM393" s="27" t="s">
        <v>8</v>
      </c>
      <c r="CN393" s="27" t="s">
        <v>7</v>
      </c>
      <c r="CO393" s="27" t="s">
        <v>8</v>
      </c>
      <c r="CP393" s="27" t="s">
        <v>7</v>
      </c>
      <c r="CQ393" s="27" t="s">
        <v>8</v>
      </c>
      <c r="CR393" s="27" t="s">
        <v>7</v>
      </c>
      <c r="CS393" s="27" t="s">
        <v>8</v>
      </c>
      <c r="CT393" s="27" t="s">
        <v>7</v>
      </c>
      <c r="CU393" s="27" t="s">
        <v>8</v>
      </c>
      <c r="CW393" s="27" t="s">
        <v>8</v>
      </c>
      <c r="DZ393" s="27" t="s">
        <v>7</v>
      </c>
      <c r="EA393" s="27" t="s">
        <v>8</v>
      </c>
      <c r="EB393" s="27" t="s">
        <v>7</v>
      </c>
    </row>
    <row r="394" spans="1:192" x14ac:dyDescent="0.25">
      <c r="A394" s="7">
        <v>45.691261636541633</v>
      </c>
      <c r="B394"/>
      <c r="C394"/>
      <c r="D394"/>
      <c r="E394"/>
      <c r="BW394" s="27" t="s">
        <v>8</v>
      </c>
      <c r="BX394" s="27" t="s">
        <v>7</v>
      </c>
      <c r="BY394" s="27" t="s">
        <v>8</v>
      </c>
      <c r="BZ394" s="27" t="s">
        <v>7</v>
      </c>
      <c r="CA394" s="27" t="s">
        <v>8</v>
      </c>
      <c r="CD394" s="27" t="s">
        <v>7</v>
      </c>
      <c r="CE394" s="27" t="s">
        <v>8</v>
      </c>
      <c r="CF394" s="27" t="s">
        <v>7</v>
      </c>
      <c r="CG394" s="27" t="s">
        <v>8</v>
      </c>
      <c r="CH394" s="27" t="s">
        <v>7</v>
      </c>
      <c r="CJ394" s="27" t="s">
        <v>7</v>
      </c>
      <c r="CM394" s="27" t="s">
        <v>8</v>
      </c>
      <c r="CN394" s="27" t="s">
        <v>7</v>
      </c>
      <c r="CO394" s="27" t="s">
        <v>8</v>
      </c>
      <c r="CP394" s="27" t="s">
        <v>7</v>
      </c>
      <c r="CQ394" s="27" t="s">
        <v>8</v>
      </c>
      <c r="CR394" s="27" t="s">
        <v>7</v>
      </c>
      <c r="CS394" s="27" t="s">
        <v>8</v>
      </c>
      <c r="CT394" s="27" t="s">
        <v>7</v>
      </c>
      <c r="CU394" s="27" t="s">
        <v>8</v>
      </c>
      <c r="CV394" s="27" t="s">
        <v>7</v>
      </c>
      <c r="CW394" s="27" t="s">
        <v>8</v>
      </c>
      <c r="DZ394" s="27" t="s">
        <v>7</v>
      </c>
      <c r="EA394" s="27" t="s">
        <v>8</v>
      </c>
      <c r="EB394" s="27" t="s">
        <v>7</v>
      </c>
    </row>
    <row r="395" spans="1:192" x14ac:dyDescent="0.25">
      <c r="A395" s="7">
        <v>44.795354545629053</v>
      </c>
      <c r="B395"/>
      <c r="C395"/>
      <c r="D395"/>
      <c r="E395"/>
      <c r="BW395" s="27" t="s">
        <v>8</v>
      </c>
      <c r="BX395" s="27" t="s">
        <v>7</v>
      </c>
      <c r="BY395" s="27" t="s">
        <v>8</v>
      </c>
      <c r="BZ395" s="27" t="s">
        <v>7</v>
      </c>
      <c r="CA395" s="27" t="s">
        <v>8</v>
      </c>
      <c r="CD395" s="27" t="s">
        <v>7</v>
      </c>
      <c r="CF395" s="27" t="s">
        <v>7</v>
      </c>
      <c r="CG395" s="27" t="s">
        <v>8</v>
      </c>
      <c r="CJ395" s="27" t="s">
        <v>7</v>
      </c>
      <c r="CM395" s="27" t="s">
        <v>8</v>
      </c>
      <c r="CN395" s="27" t="s">
        <v>7</v>
      </c>
      <c r="CO395" s="27" t="s">
        <v>8</v>
      </c>
      <c r="CP395" s="27" t="s">
        <v>7</v>
      </c>
      <c r="CQ395" s="27" t="s">
        <v>8</v>
      </c>
      <c r="CR395" s="27" t="s">
        <v>7</v>
      </c>
      <c r="CS395" s="27" t="s">
        <v>8</v>
      </c>
      <c r="CT395" s="27" t="s">
        <v>7</v>
      </c>
      <c r="CU395" s="27" t="s">
        <v>8</v>
      </c>
      <c r="CV395" s="27" t="s">
        <v>7</v>
      </c>
      <c r="CW395" s="27" t="s">
        <v>8</v>
      </c>
      <c r="DZ395" s="27" t="s">
        <v>7</v>
      </c>
      <c r="EA395" s="27" t="s">
        <v>8</v>
      </c>
      <c r="EB395" s="27" t="s">
        <v>7</v>
      </c>
    </row>
    <row r="396" spans="1:192" x14ac:dyDescent="0.25">
      <c r="A396" s="7">
        <v>43.917014260420636</v>
      </c>
      <c r="B396"/>
      <c r="C396"/>
      <c r="D396"/>
      <c r="E396"/>
      <c r="BW396" s="27" t="s">
        <v>8</v>
      </c>
      <c r="BX396" s="27" t="s">
        <v>7</v>
      </c>
      <c r="BY396" s="27" t="s">
        <v>8</v>
      </c>
      <c r="BZ396" s="27" t="s">
        <v>7</v>
      </c>
      <c r="CA396" s="27" t="s">
        <v>8</v>
      </c>
      <c r="CF396" s="27" t="s">
        <v>7</v>
      </c>
      <c r="CG396" s="27" t="s">
        <v>8</v>
      </c>
      <c r="CJ396" s="27" t="s">
        <v>7</v>
      </c>
      <c r="CM396" s="27" t="s">
        <v>8</v>
      </c>
      <c r="CN396" s="27" t="s">
        <v>7</v>
      </c>
      <c r="CP396" s="27" t="s">
        <v>7</v>
      </c>
      <c r="CQ396" s="27" t="s">
        <v>8</v>
      </c>
      <c r="CR396" s="27" t="s">
        <v>7</v>
      </c>
      <c r="CS396" s="27" t="s">
        <v>8</v>
      </c>
      <c r="CT396" s="27" t="s">
        <v>7</v>
      </c>
      <c r="CU396" s="27" t="s">
        <v>8</v>
      </c>
      <c r="CV396" s="27" t="s">
        <v>7</v>
      </c>
      <c r="CW396" s="27" t="s">
        <v>8</v>
      </c>
      <c r="DZ396" s="27" t="s">
        <v>7</v>
      </c>
      <c r="EA396" s="27" t="s">
        <v>8</v>
      </c>
      <c r="EB396" s="27" t="s">
        <v>7</v>
      </c>
      <c r="EC396" s="27" t="s">
        <v>8</v>
      </c>
    </row>
    <row r="397" spans="1:192" x14ac:dyDescent="0.25">
      <c r="A397" s="7">
        <v>43.055896333745721</v>
      </c>
      <c r="B397"/>
      <c r="C397"/>
      <c r="D397"/>
      <c r="E397"/>
      <c r="BW397" s="27" t="s">
        <v>8</v>
      </c>
      <c r="BX397" s="27" t="s">
        <v>7</v>
      </c>
      <c r="BY397" s="27" t="s">
        <v>8</v>
      </c>
      <c r="BZ397" s="27" t="s">
        <v>7</v>
      </c>
      <c r="CA397" s="27" t="s">
        <v>8</v>
      </c>
      <c r="CF397" s="27" t="s">
        <v>7</v>
      </c>
      <c r="CG397" s="27" t="s">
        <v>8</v>
      </c>
      <c r="CJ397" s="27" t="s">
        <v>7</v>
      </c>
      <c r="CM397" s="27" t="s">
        <v>8</v>
      </c>
      <c r="CP397" s="27" t="s">
        <v>7</v>
      </c>
      <c r="CQ397" s="27" t="s">
        <v>8</v>
      </c>
      <c r="CR397" s="27" t="s">
        <v>7</v>
      </c>
      <c r="CS397" s="27" t="s">
        <v>8</v>
      </c>
      <c r="CT397" s="27" t="s">
        <v>7</v>
      </c>
      <c r="CU397" s="27" t="s">
        <v>8</v>
      </c>
      <c r="CV397" s="27" t="s">
        <v>7</v>
      </c>
      <c r="CW397" s="27" t="s">
        <v>8</v>
      </c>
      <c r="DZ397" s="27" t="s">
        <v>7</v>
      </c>
      <c r="EA397" s="27" t="s">
        <v>8</v>
      </c>
      <c r="EB397" s="27" t="s">
        <v>7</v>
      </c>
      <c r="EC397" s="27" t="s">
        <v>8</v>
      </c>
      <c r="ED397" s="27" t="s">
        <v>7</v>
      </c>
    </row>
    <row r="398" spans="1:192" x14ac:dyDescent="0.25">
      <c r="A398" s="7">
        <v>42.211663072299729</v>
      </c>
      <c r="B398"/>
      <c r="C398"/>
      <c r="D398"/>
      <c r="E398"/>
      <c r="BW398" s="27" t="s">
        <v>8</v>
      </c>
      <c r="BX398" s="27" t="s">
        <v>7</v>
      </c>
      <c r="BY398" s="27" t="s">
        <v>8</v>
      </c>
      <c r="BZ398" s="27" t="s">
        <v>7</v>
      </c>
      <c r="CA398" s="27" t="s">
        <v>8</v>
      </c>
      <c r="CF398" s="27" t="s">
        <v>7</v>
      </c>
      <c r="CG398" s="27" t="s">
        <v>8</v>
      </c>
      <c r="CJ398" s="27" t="s">
        <v>7</v>
      </c>
      <c r="CM398" s="27" t="s">
        <v>8</v>
      </c>
      <c r="CP398" s="27" t="s">
        <v>7</v>
      </c>
      <c r="CQ398" s="27" t="s">
        <v>8</v>
      </c>
      <c r="CR398" s="27" t="s">
        <v>7</v>
      </c>
      <c r="CS398" s="27" t="s">
        <v>8</v>
      </c>
      <c r="CT398" s="27" t="s">
        <v>7</v>
      </c>
      <c r="CU398" s="27" t="s">
        <v>8</v>
      </c>
      <c r="CV398" s="27" t="s">
        <v>7</v>
      </c>
      <c r="CW398" s="27" t="s">
        <v>8</v>
      </c>
      <c r="DZ398" s="27" t="s">
        <v>7</v>
      </c>
      <c r="EA398" s="27" t="s">
        <v>8</v>
      </c>
      <c r="EB398" s="27" t="s">
        <v>7</v>
      </c>
      <c r="EC398" s="27" t="s">
        <v>8</v>
      </c>
      <c r="ED398" s="27" t="s">
        <v>7</v>
      </c>
      <c r="GI398" s="27" t="s">
        <v>8</v>
      </c>
    </row>
    <row r="399" spans="1:192" x14ac:dyDescent="0.25">
      <c r="A399" s="7">
        <v>41.383983404215421</v>
      </c>
      <c r="B399"/>
      <c r="C399"/>
      <c r="D399"/>
      <c r="E399"/>
      <c r="BW399" s="27" t="s">
        <v>8</v>
      </c>
      <c r="BX399" s="27" t="s">
        <v>7</v>
      </c>
      <c r="BY399" s="27" t="s">
        <v>8</v>
      </c>
      <c r="BZ399" s="27" t="s">
        <v>7</v>
      </c>
      <c r="CA399" s="27" t="s">
        <v>8</v>
      </c>
      <c r="CF399" s="27" t="s">
        <v>7</v>
      </c>
      <c r="CG399" s="27" t="s">
        <v>8</v>
      </c>
      <c r="CJ399" s="27" t="s">
        <v>7</v>
      </c>
      <c r="CK399" s="27" t="s">
        <v>8</v>
      </c>
      <c r="CM399" s="27" t="s">
        <v>8</v>
      </c>
      <c r="CP399" s="27" t="s">
        <v>7</v>
      </c>
      <c r="CQ399" s="27" t="s">
        <v>8</v>
      </c>
      <c r="CR399" s="27" t="s">
        <v>7</v>
      </c>
      <c r="CT399" s="27" t="s">
        <v>7</v>
      </c>
      <c r="CU399" s="27" t="s">
        <v>8</v>
      </c>
      <c r="CV399" s="27" t="s">
        <v>7</v>
      </c>
      <c r="CW399" s="27" t="s">
        <v>8</v>
      </c>
      <c r="DZ399" s="27" t="s">
        <v>7</v>
      </c>
      <c r="EA399" s="27" t="s">
        <v>8</v>
      </c>
      <c r="EB399" s="27" t="s">
        <v>7</v>
      </c>
      <c r="EC399" s="27" t="s">
        <v>8</v>
      </c>
      <c r="ED399" s="27" t="s">
        <v>7</v>
      </c>
      <c r="GI399" s="27" t="s">
        <v>8</v>
      </c>
      <c r="GJ399" s="27" t="s">
        <v>7</v>
      </c>
    </row>
    <row r="400" spans="1:192" x14ac:dyDescent="0.25">
      <c r="A400" s="7">
        <v>40.572532749230803</v>
      </c>
      <c r="B400"/>
      <c r="C400"/>
      <c r="D400"/>
      <c r="E400"/>
      <c r="BW400" s="27" t="s">
        <v>8</v>
      </c>
      <c r="BX400" s="27" t="s">
        <v>7</v>
      </c>
      <c r="BY400" s="27" t="s">
        <v>8</v>
      </c>
      <c r="BZ400" s="27" t="s">
        <v>7</v>
      </c>
      <c r="CA400" s="27" t="s">
        <v>8</v>
      </c>
      <c r="CF400" s="27" t="s">
        <v>7</v>
      </c>
      <c r="CG400" s="27" t="s">
        <v>8</v>
      </c>
      <c r="CJ400" s="27" t="s">
        <v>7</v>
      </c>
      <c r="CK400" s="27" t="s">
        <v>8</v>
      </c>
      <c r="CL400" s="27" t="s">
        <v>7</v>
      </c>
      <c r="CM400" s="27" t="s">
        <v>8</v>
      </c>
      <c r="CP400" s="27" t="s">
        <v>7</v>
      </c>
      <c r="CT400" s="27" t="s">
        <v>7</v>
      </c>
      <c r="CV400" s="27" t="s">
        <v>7</v>
      </c>
      <c r="CW400" s="27" t="s">
        <v>8</v>
      </c>
      <c r="DZ400" s="27" t="s">
        <v>7</v>
      </c>
      <c r="EA400" s="27" t="s">
        <v>8</v>
      </c>
      <c r="EB400" s="27" t="s">
        <v>7</v>
      </c>
      <c r="EC400" s="27" t="s">
        <v>8</v>
      </c>
      <c r="ED400" s="27" t="s">
        <v>7</v>
      </c>
      <c r="GG400" s="27" t="s">
        <v>8</v>
      </c>
      <c r="GI400" s="27" t="s">
        <v>8</v>
      </c>
      <c r="GJ400" s="27" t="s">
        <v>7</v>
      </c>
    </row>
    <row r="401" spans="1:218" x14ac:dyDescent="0.25">
      <c r="A401" s="7">
        <v>39.776992891402749</v>
      </c>
      <c r="B401"/>
      <c r="C401"/>
      <c r="D401"/>
      <c r="E401"/>
      <c r="BW401" s="27" t="s">
        <v>8</v>
      </c>
      <c r="BX401" s="27" t="s">
        <v>7</v>
      </c>
      <c r="BY401" s="27" t="s">
        <v>8</v>
      </c>
      <c r="BZ401" s="27" t="s">
        <v>7</v>
      </c>
      <c r="CA401" s="27" t="s">
        <v>8</v>
      </c>
      <c r="CF401" s="27" t="s">
        <v>7</v>
      </c>
      <c r="CG401" s="27" t="s">
        <v>8</v>
      </c>
      <c r="CJ401" s="27" t="s">
        <v>7</v>
      </c>
      <c r="CK401" s="27" t="s">
        <v>8</v>
      </c>
      <c r="CL401" s="27" t="s">
        <v>7</v>
      </c>
      <c r="CM401" s="27" t="s">
        <v>8</v>
      </c>
      <c r="CV401" s="27" t="s">
        <v>7</v>
      </c>
      <c r="CW401" s="27" t="s">
        <v>8</v>
      </c>
      <c r="DZ401" s="27" t="s">
        <v>7</v>
      </c>
      <c r="EA401" s="27" t="s">
        <v>8</v>
      </c>
      <c r="EB401" s="27" t="s">
        <v>7</v>
      </c>
      <c r="EC401" s="27" t="s">
        <v>8</v>
      </c>
      <c r="ED401" s="27" t="s">
        <v>7</v>
      </c>
      <c r="FW401" s="27" t="s">
        <v>8</v>
      </c>
      <c r="GG401" s="27" t="s">
        <v>8</v>
      </c>
      <c r="GH401" s="27" t="s">
        <v>7</v>
      </c>
      <c r="GI401" s="27" t="s">
        <v>8</v>
      </c>
      <c r="GJ401" s="27" t="s">
        <v>7</v>
      </c>
    </row>
    <row r="402" spans="1:218" x14ac:dyDescent="0.25">
      <c r="A402" s="7">
        <v>38.997051854316418</v>
      </c>
      <c r="B402"/>
      <c r="C402"/>
      <c r="D402"/>
      <c r="E402"/>
      <c r="BW402" s="27" t="s">
        <v>8</v>
      </c>
      <c r="BX402" s="27" t="s">
        <v>7</v>
      </c>
      <c r="BY402" s="27" t="s">
        <v>8</v>
      </c>
      <c r="BZ402" s="27" t="s">
        <v>7</v>
      </c>
      <c r="CF402" s="27" t="s">
        <v>7</v>
      </c>
      <c r="CG402" s="27" t="s">
        <v>8</v>
      </c>
      <c r="CJ402" s="27" t="s">
        <v>7</v>
      </c>
      <c r="CK402" s="27" t="s">
        <v>8</v>
      </c>
      <c r="CL402" s="27" t="s">
        <v>7</v>
      </c>
      <c r="CM402" s="27" t="s">
        <v>8</v>
      </c>
      <c r="CV402" s="27" t="s">
        <v>7</v>
      </c>
      <c r="CW402" s="27" t="s">
        <v>8</v>
      </c>
      <c r="DZ402" s="27" t="s">
        <v>7</v>
      </c>
      <c r="EA402" s="27" t="s">
        <v>8</v>
      </c>
      <c r="EB402" s="27" t="s">
        <v>7</v>
      </c>
      <c r="EC402" s="27" t="s">
        <v>8</v>
      </c>
      <c r="ED402" s="27" t="s">
        <v>7</v>
      </c>
      <c r="FU402" s="27" t="s">
        <v>8</v>
      </c>
      <c r="FW402" s="27" t="s">
        <v>8</v>
      </c>
      <c r="FX402" s="27" t="s">
        <v>7</v>
      </c>
      <c r="GG402" s="27" t="s">
        <v>8</v>
      </c>
      <c r="GH402" s="27" t="s">
        <v>7</v>
      </c>
      <c r="GI402" s="27" t="s">
        <v>8</v>
      </c>
      <c r="GJ402" s="27" t="s">
        <v>7</v>
      </c>
    </row>
    <row r="403" spans="1:218" x14ac:dyDescent="0.25">
      <c r="A403" s="7">
        <v>38.232403778741585</v>
      </c>
      <c r="B403"/>
      <c r="C403"/>
      <c r="D403"/>
      <c r="E403"/>
      <c r="BW403" s="27" t="s">
        <v>8</v>
      </c>
      <c r="BX403" s="27" t="s">
        <v>7</v>
      </c>
      <c r="BY403" s="27" t="s">
        <v>8</v>
      </c>
      <c r="CF403" s="27" t="s">
        <v>7</v>
      </c>
      <c r="CJ403" s="27" t="s">
        <v>7</v>
      </c>
      <c r="CK403" s="27" t="s">
        <v>8</v>
      </c>
      <c r="CL403" s="27" t="s">
        <v>7</v>
      </c>
      <c r="CM403" s="27" t="s">
        <v>8</v>
      </c>
      <c r="CV403" s="27" t="s">
        <v>7</v>
      </c>
      <c r="CW403" s="27" t="s">
        <v>8</v>
      </c>
      <c r="DZ403" s="27" t="s">
        <v>7</v>
      </c>
      <c r="EA403" s="27" t="s">
        <v>8</v>
      </c>
      <c r="EB403" s="27" t="s">
        <v>7</v>
      </c>
      <c r="EC403" s="27" t="s">
        <v>8</v>
      </c>
      <c r="ED403" s="27" t="s">
        <v>7</v>
      </c>
      <c r="FU403" s="27" t="s">
        <v>8</v>
      </c>
      <c r="FV403" s="27" t="s">
        <v>7</v>
      </c>
      <c r="FW403" s="27" t="s">
        <v>8</v>
      </c>
      <c r="FX403" s="27" t="s">
        <v>7</v>
      </c>
      <c r="GA403" s="27" t="s">
        <v>8</v>
      </c>
      <c r="GG403" s="27" t="s">
        <v>8</v>
      </c>
      <c r="GH403" s="27" t="s">
        <v>7</v>
      </c>
      <c r="GI403" s="27" t="s">
        <v>8</v>
      </c>
      <c r="GJ403" s="27" t="s">
        <v>7</v>
      </c>
      <c r="GK403" s="27" t="s">
        <v>8</v>
      </c>
    </row>
    <row r="404" spans="1:218" x14ac:dyDescent="0.25">
      <c r="A404" s="7">
        <v>37.48274880268783</v>
      </c>
      <c r="B404"/>
      <c r="C404"/>
      <c r="D404"/>
      <c r="E404"/>
      <c r="BW404" s="27" t="s">
        <v>8</v>
      </c>
      <c r="BX404" s="27" t="s">
        <v>7</v>
      </c>
      <c r="BY404" s="27" t="s">
        <v>8</v>
      </c>
      <c r="CJ404" s="27" t="s">
        <v>7</v>
      </c>
      <c r="CK404" s="27" t="s">
        <v>8</v>
      </c>
      <c r="CL404" s="27" t="s">
        <v>7</v>
      </c>
      <c r="CV404" s="27" t="s">
        <v>7</v>
      </c>
      <c r="CW404" s="27" t="s">
        <v>8</v>
      </c>
      <c r="DZ404" s="27" t="s">
        <v>7</v>
      </c>
      <c r="EA404" s="27" t="s">
        <v>8</v>
      </c>
      <c r="EB404" s="27" t="s">
        <v>7</v>
      </c>
      <c r="EC404" s="27" t="s">
        <v>8</v>
      </c>
      <c r="ED404" s="27" t="s">
        <v>7</v>
      </c>
      <c r="FU404" s="27" t="s">
        <v>8</v>
      </c>
      <c r="FV404" s="27" t="s">
        <v>7</v>
      </c>
      <c r="FW404" s="27" t="s">
        <v>8</v>
      </c>
      <c r="FX404" s="27" t="s">
        <v>7</v>
      </c>
      <c r="GA404" s="27" t="s">
        <v>8</v>
      </c>
      <c r="GB404" s="27" t="s">
        <v>7</v>
      </c>
      <c r="GG404" s="27" t="s">
        <v>8</v>
      </c>
      <c r="GH404" s="27" t="s">
        <v>7</v>
      </c>
      <c r="GI404" s="27" t="s">
        <v>8</v>
      </c>
      <c r="GJ404" s="27" t="s">
        <v>7</v>
      </c>
      <c r="GK404" s="27" t="s">
        <v>8</v>
      </c>
      <c r="GL404" s="27" t="s">
        <v>7</v>
      </c>
    </row>
    <row r="405" spans="1:218" x14ac:dyDescent="0.25">
      <c r="A405" s="7">
        <v>36.747792943811596</v>
      </c>
      <c r="B405"/>
      <c r="C405"/>
      <c r="D405"/>
      <c r="E405"/>
      <c r="BW405" s="27" t="s">
        <v>8</v>
      </c>
      <c r="BX405" s="27" t="s">
        <v>7</v>
      </c>
      <c r="BY405" s="27" t="s">
        <v>8</v>
      </c>
      <c r="CJ405" s="27" t="s">
        <v>7</v>
      </c>
      <c r="CK405" s="27" t="s">
        <v>8</v>
      </c>
      <c r="CV405" s="27" t="s">
        <v>7</v>
      </c>
      <c r="CW405" s="27" t="s">
        <v>8</v>
      </c>
      <c r="DZ405" s="27" t="s">
        <v>7</v>
      </c>
      <c r="EA405" s="27" t="s">
        <v>8</v>
      </c>
      <c r="EB405" s="27" t="s">
        <v>7</v>
      </c>
      <c r="EC405" s="27" t="s">
        <v>8</v>
      </c>
      <c r="ED405" s="27" t="s">
        <v>7</v>
      </c>
      <c r="FU405" s="27" t="s">
        <v>8</v>
      </c>
      <c r="FV405" s="27" t="s">
        <v>7</v>
      </c>
      <c r="FW405" s="27" t="s">
        <v>8</v>
      </c>
      <c r="FX405" s="27" t="s">
        <v>7</v>
      </c>
      <c r="FY405" s="27" t="s">
        <v>8</v>
      </c>
      <c r="GA405" s="27" t="s">
        <v>8</v>
      </c>
      <c r="GB405" s="27" t="s">
        <v>7</v>
      </c>
      <c r="GG405" s="27" t="s">
        <v>8</v>
      </c>
      <c r="GH405" s="27" t="s">
        <v>7</v>
      </c>
      <c r="GI405" s="27" t="s">
        <v>8</v>
      </c>
      <c r="GJ405" s="27" t="s">
        <v>7</v>
      </c>
      <c r="GK405" s="27" t="s">
        <v>8</v>
      </c>
      <c r="GL405" s="27" t="s">
        <v>7</v>
      </c>
      <c r="GM405" s="27" t="s">
        <v>8</v>
      </c>
    </row>
    <row r="406" spans="1:218" x14ac:dyDescent="0.25">
      <c r="A406" s="7">
        <v>36.027247984129012</v>
      </c>
      <c r="B406"/>
      <c r="C406"/>
      <c r="D406"/>
      <c r="E406"/>
      <c r="BW406" s="27" t="s">
        <v>8</v>
      </c>
      <c r="BX406" s="27" t="s">
        <v>7</v>
      </c>
      <c r="BY406" s="27" t="s">
        <v>8</v>
      </c>
      <c r="CJ406" s="27" t="s">
        <v>7</v>
      </c>
      <c r="CV406" s="27" t="s">
        <v>7</v>
      </c>
      <c r="CW406" s="27" t="s">
        <v>8</v>
      </c>
      <c r="DZ406" s="27" t="s">
        <v>7</v>
      </c>
      <c r="EA406" s="27" t="s">
        <v>8</v>
      </c>
      <c r="EB406" s="27" t="s">
        <v>7</v>
      </c>
      <c r="EC406" s="27" t="s">
        <v>8</v>
      </c>
      <c r="ED406" s="27" t="s">
        <v>7</v>
      </c>
      <c r="FU406" s="27" t="s">
        <v>8</v>
      </c>
      <c r="FV406" s="27" t="s">
        <v>7</v>
      </c>
      <c r="FW406" s="27" t="s">
        <v>8</v>
      </c>
      <c r="FX406" s="27" t="s">
        <v>7</v>
      </c>
      <c r="FY406" s="27" t="s">
        <v>8</v>
      </c>
      <c r="FZ406" s="27" t="s">
        <v>7</v>
      </c>
      <c r="GA406" s="27" t="s">
        <v>8</v>
      </c>
      <c r="GB406" s="27" t="s">
        <v>7</v>
      </c>
      <c r="GG406" s="27" t="s">
        <v>8</v>
      </c>
      <c r="GH406" s="27" t="s">
        <v>7</v>
      </c>
      <c r="GJ406" s="27" t="s">
        <v>7</v>
      </c>
      <c r="GK406" s="27" t="s">
        <v>8</v>
      </c>
      <c r="GL406" s="27" t="s">
        <v>7</v>
      </c>
      <c r="GM406" s="27" t="s">
        <v>8</v>
      </c>
      <c r="GN406" s="27" t="s">
        <v>7</v>
      </c>
    </row>
    <row r="407" spans="1:218" x14ac:dyDescent="0.25">
      <c r="A407" s="7">
        <v>35.320831356989224</v>
      </c>
      <c r="B407"/>
      <c r="C407"/>
      <c r="D407"/>
      <c r="E407"/>
      <c r="BW407" s="27" t="s">
        <v>8</v>
      </c>
      <c r="BX407" s="27" t="s">
        <v>7</v>
      </c>
      <c r="BY407" s="27" t="s">
        <v>8</v>
      </c>
      <c r="CV407" s="27" t="s">
        <v>7</v>
      </c>
      <c r="DZ407" s="27" t="s">
        <v>7</v>
      </c>
      <c r="EA407" s="27" t="s">
        <v>8</v>
      </c>
      <c r="EB407" s="27" t="s">
        <v>7</v>
      </c>
      <c r="EC407" s="27" t="s">
        <v>8</v>
      </c>
      <c r="ED407" s="27" t="s">
        <v>7</v>
      </c>
      <c r="EE407" s="27" t="s">
        <v>8</v>
      </c>
      <c r="FU407" s="27" t="s">
        <v>8</v>
      </c>
      <c r="FV407" s="27" t="s">
        <v>7</v>
      </c>
      <c r="FX407" s="27" t="s">
        <v>7</v>
      </c>
      <c r="FY407" s="27" t="s">
        <v>8</v>
      </c>
      <c r="FZ407" s="27" t="s">
        <v>7</v>
      </c>
      <c r="GA407" s="27" t="s">
        <v>8</v>
      </c>
      <c r="GB407" s="27" t="s">
        <v>7</v>
      </c>
      <c r="GG407" s="27" t="s">
        <v>8</v>
      </c>
      <c r="GJ407" s="27" t="s">
        <v>7</v>
      </c>
      <c r="GK407" s="27" t="s">
        <v>8</v>
      </c>
      <c r="GL407" s="27" t="s">
        <v>7</v>
      </c>
      <c r="GM407" s="27" t="s">
        <v>8</v>
      </c>
      <c r="GN407" s="27" t="s">
        <v>7</v>
      </c>
    </row>
    <row r="408" spans="1:218" x14ac:dyDescent="0.25">
      <c r="A408" s="7">
        <v>34.628266036263945</v>
      </c>
      <c r="B408"/>
      <c r="C408"/>
      <c r="D408"/>
      <c r="E408"/>
      <c r="BW408" s="27" t="s">
        <v>8</v>
      </c>
      <c r="BX408" s="27" t="s">
        <v>7</v>
      </c>
      <c r="BY408" s="27" t="s">
        <v>8</v>
      </c>
      <c r="DZ408" s="27" t="s">
        <v>7</v>
      </c>
      <c r="EA408" s="27" t="s">
        <v>8</v>
      </c>
      <c r="EB408" s="27" t="s">
        <v>7</v>
      </c>
      <c r="EC408" s="27" t="s">
        <v>8</v>
      </c>
      <c r="ED408" s="27" t="s">
        <v>7</v>
      </c>
      <c r="EE408" s="27" t="s">
        <v>8</v>
      </c>
      <c r="EF408" s="27" t="s">
        <v>7</v>
      </c>
      <c r="EK408" s="27" t="s">
        <v>8</v>
      </c>
      <c r="FO408" s="27" t="s">
        <v>8</v>
      </c>
      <c r="FS408" s="27" t="s">
        <v>8</v>
      </c>
      <c r="FU408" s="27" t="s">
        <v>8</v>
      </c>
      <c r="FX408" s="27" t="s">
        <v>7</v>
      </c>
      <c r="FY408" s="27" t="s">
        <v>8</v>
      </c>
      <c r="FZ408" s="27" t="s">
        <v>7</v>
      </c>
      <c r="GB408" s="27" t="s">
        <v>7</v>
      </c>
      <c r="GG408" s="27" t="s">
        <v>8</v>
      </c>
      <c r="GJ408" s="27" t="s">
        <v>7</v>
      </c>
      <c r="GK408" s="27" t="s">
        <v>8</v>
      </c>
      <c r="GL408" s="27" t="s">
        <v>7</v>
      </c>
      <c r="GM408" s="27" t="s">
        <v>8</v>
      </c>
      <c r="GN408" s="27" t="s">
        <v>7</v>
      </c>
    </row>
    <row r="409" spans="1:218" x14ac:dyDescent="0.25">
      <c r="A409" s="7">
        <v>33.949280427709752</v>
      </c>
      <c r="B409"/>
      <c r="C409"/>
      <c r="D409"/>
      <c r="E409"/>
      <c r="BW409" s="27" t="s">
        <v>8</v>
      </c>
      <c r="BX409" s="27" t="s">
        <v>7</v>
      </c>
      <c r="DZ409" s="27" t="s">
        <v>7</v>
      </c>
      <c r="EA409" s="27" t="s">
        <v>8</v>
      </c>
      <c r="EB409" s="27" t="s">
        <v>7</v>
      </c>
      <c r="EC409" s="27" t="s">
        <v>8</v>
      </c>
      <c r="ED409" s="27" t="s">
        <v>7</v>
      </c>
      <c r="EE409" s="27" t="s">
        <v>8</v>
      </c>
      <c r="EF409" s="27" t="s">
        <v>7</v>
      </c>
      <c r="EK409" s="27" t="s">
        <v>8</v>
      </c>
      <c r="EL409" s="27" t="s">
        <v>7</v>
      </c>
      <c r="FO409" s="27" t="s">
        <v>8</v>
      </c>
      <c r="FP409" s="27" t="s">
        <v>7</v>
      </c>
      <c r="FS409" s="27" t="s">
        <v>8</v>
      </c>
      <c r="FT409" s="27" t="s">
        <v>7</v>
      </c>
      <c r="FU409" s="27" t="s">
        <v>8</v>
      </c>
      <c r="FX409" s="27" t="s">
        <v>7</v>
      </c>
      <c r="FY409" s="27" t="s">
        <v>8</v>
      </c>
      <c r="GB409" s="27" t="s">
        <v>7</v>
      </c>
      <c r="GG409" s="27" t="s">
        <v>8</v>
      </c>
      <c r="GJ409" s="27" t="s">
        <v>7</v>
      </c>
      <c r="GK409" s="27" t="s">
        <v>8</v>
      </c>
      <c r="GL409" s="27" t="s">
        <v>7</v>
      </c>
      <c r="GM409" s="27" t="s">
        <v>8</v>
      </c>
      <c r="GN409" s="27" t="s">
        <v>7</v>
      </c>
      <c r="GO409" s="27" t="s">
        <v>8</v>
      </c>
      <c r="HI409" s="27" t="s">
        <v>8</v>
      </c>
    </row>
    <row r="410" spans="1:218" x14ac:dyDescent="0.25">
      <c r="A410" s="7">
        <v>33.28360826246054</v>
      </c>
      <c r="B410"/>
      <c r="C410"/>
      <c r="D410"/>
      <c r="E410"/>
      <c r="BW410" s="27" t="s">
        <v>8</v>
      </c>
      <c r="DZ410" s="27" t="s">
        <v>7</v>
      </c>
      <c r="EA410" s="27" t="s">
        <v>8</v>
      </c>
      <c r="EB410" s="27" t="s">
        <v>7</v>
      </c>
      <c r="EC410" s="27" t="s">
        <v>8</v>
      </c>
      <c r="ED410" s="27" t="s">
        <v>7</v>
      </c>
      <c r="EE410" s="27" t="s">
        <v>8</v>
      </c>
      <c r="EF410" s="27" t="s">
        <v>7</v>
      </c>
      <c r="EK410" s="27" t="s">
        <v>8</v>
      </c>
      <c r="EL410" s="27" t="s">
        <v>7</v>
      </c>
      <c r="FO410" s="27" t="s">
        <v>8</v>
      </c>
      <c r="FP410" s="27" t="s">
        <v>7</v>
      </c>
      <c r="FS410" s="27" t="s">
        <v>8</v>
      </c>
      <c r="FT410" s="27" t="s">
        <v>7</v>
      </c>
      <c r="FU410" s="27" t="s">
        <v>8</v>
      </c>
      <c r="FX410" s="27" t="s">
        <v>7</v>
      </c>
      <c r="FY410" s="27" t="s">
        <v>8</v>
      </c>
      <c r="GB410" s="27" t="s">
        <v>7</v>
      </c>
      <c r="GC410" s="27" t="s">
        <v>8</v>
      </c>
      <c r="GG410" s="27" t="s">
        <v>8</v>
      </c>
      <c r="GJ410" s="27" t="s">
        <v>7</v>
      </c>
      <c r="GK410" s="27" t="s">
        <v>8</v>
      </c>
      <c r="GL410" s="27" t="s">
        <v>7</v>
      </c>
      <c r="GM410" s="27" t="s">
        <v>8</v>
      </c>
      <c r="GN410" s="27" t="s">
        <v>7</v>
      </c>
      <c r="GO410" s="27" t="s">
        <v>8</v>
      </c>
      <c r="GP410" s="27" t="s">
        <v>7</v>
      </c>
      <c r="HI410" s="27" t="s">
        <v>8</v>
      </c>
      <c r="HJ410" s="27" t="s">
        <v>7</v>
      </c>
    </row>
    <row r="411" spans="1:218" x14ac:dyDescent="0.25">
      <c r="A411" s="7">
        <v>32.630988492608374</v>
      </c>
      <c r="B411"/>
      <c r="C411"/>
      <c r="D411"/>
      <c r="E411"/>
      <c r="BW411" s="27" t="s">
        <v>8</v>
      </c>
      <c r="DZ411" s="27" t="s">
        <v>7</v>
      </c>
      <c r="EA411" s="27" t="s">
        <v>8</v>
      </c>
      <c r="EB411" s="27" t="s">
        <v>7</v>
      </c>
      <c r="EC411" s="27" t="s">
        <v>8</v>
      </c>
      <c r="ED411" s="27" t="s">
        <v>7</v>
      </c>
      <c r="EE411" s="27" t="s">
        <v>8</v>
      </c>
      <c r="EF411" s="27" t="s">
        <v>7</v>
      </c>
      <c r="EK411" s="27" t="s">
        <v>8</v>
      </c>
      <c r="EL411" s="27" t="s">
        <v>7</v>
      </c>
      <c r="FO411" s="27" t="s">
        <v>8</v>
      </c>
      <c r="FP411" s="27" t="s">
        <v>7</v>
      </c>
      <c r="FQ411" s="27" t="s">
        <v>8</v>
      </c>
      <c r="FS411" s="27" t="s">
        <v>8</v>
      </c>
      <c r="FT411" s="27" t="s">
        <v>7</v>
      </c>
      <c r="FU411" s="27" t="s">
        <v>8</v>
      </c>
      <c r="FX411" s="27" t="s">
        <v>7</v>
      </c>
      <c r="GB411" s="27" t="s">
        <v>7</v>
      </c>
      <c r="GC411" s="27" t="s">
        <v>8</v>
      </c>
      <c r="GD411" s="27" t="s">
        <v>7</v>
      </c>
      <c r="GE411" s="27" t="s">
        <v>8</v>
      </c>
      <c r="GG411" s="27" t="s">
        <v>8</v>
      </c>
      <c r="GJ411" s="27" t="s">
        <v>7</v>
      </c>
      <c r="GK411" s="27" t="s">
        <v>8</v>
      </c>
      <c r="GL411" s="27" t="s">
        <v>7</v>
      </c>
      <c r="GM411" s="27" t="s">
        <v>8</v>
      </c>
      <c r="GN411" s="27" t="s">
        <v>7</v>
      </c>
      <c r="GO411" s="27" t="s">
        <v>8</v>
      </c>
      <c r="GP411" s="27" t="s">
        <v>7</v>
      </c>
      <c r="HI411" s="27" t="s">
        <v>8</v>
      </c>
      <c r="HJ411" s="27" t="s">
        <v>7</v>
      </c>
    </row>
    <row r="412" spans="1:218" x14ac:dyDescent="0.25">
      <c r="A412" s="7">
        <v>31.99116518883174</v>
      </c>
      <c r="B412"/>
      <c r="C412"/>
      <c r="D412"/>
      <c r="E412"/>
      <c r="BW412" s="27" t="s">
        <v>8</v>
      </c>
      <c r="DZ412" s="27" t="s">
        <v>7</v>
      </c>
      <c r="EB412" s="27" t="s">
        <v>7</v>
      </c>
      <c r="EC412" s="27" t="s">
        <v>8</v>
      </c>
      <c r="ED412" s="27" t="s">
        <v>7</v>
      </c>
      <c r="EE412" s="27" t="s">
        <v>8</v>
      </c>
      <c r="EF412" s="27" t="s">
        <v>7</v>
      </c>
      <c r="EK412" s="27" t="s">
        <v>8</v>
      </c>
      <c r="EL412" s="27" t="s">
        <v>7</v>
      </c>
      <c r="FG412" s="27" t="s">
        <v>8</v>
      </c>
      <c r="FK412" s="27" t="s">
        <v>8</v>
      </c>
      <c r="FO412" s="27" t="s">
        <v>8</v>
      </c>
      <c r="FP412" s="27" t="s">
        <v>7</v>
      </c>
      <c r="FQ412" s="27" t="s">
        <v>8</v>
      </c>
      <c r="FR412" s="27" t="s">
        <v>7</v>
      </c>
      <c r="FS412" s="27" t="s">
        <v>8</v>
      </c>
      <c r="FT412" s="27" t="s">
        <v>7</v>
      </c>
      <c r="FU412" s="27" t="s">
        <v>8</v>
      </c>
      <c r="GB412" s="27" t="s">
        <v>7</v>
      </c>
      <c r="GC412" s="27" t="s">
        <v>8</v>
      </c>
      <c r="GD412" s="27" t="s">
        <v>7</v>
      </c>
      <c r="GE412" s="27" t="s">
        <v>8</v>
      </c>
      <c r="GF412" s="27" t="s">
        <v>7</v>
      </c>
      <c r="GG412" s="27" t="s">
        <v>8</v>
      </c>
      <c r="GJ412" s="27" t="s">
        <v>7</v>
      </c>
      <c r="GK412" s="27" t="s">
        <v>8</v>
      </c>
      <c r="GL412" s="27" t="s">
        <v>7</v>
      </c>
      <c r="GM412" s="27" t="s">
        <v>8</v>
      </c>
      <c r="GN412" s="27" t="s">
        <v>7</v>
      </c>
      <c r="GO412" s="27" t="s">
        <v>8</v>
      </c>
      <c r="GP412" s="27" t="s">
        <v>7</v>
      </c>
      <c r="HE412" s="27" t="s">
        <v>8</v>
      </c>
      <c r="HI412" s="27" t="s">
        <v>8</v>
      </c>
      <c r="HJ412" s="27" t="s">
        <v>7</v>
      </c>
    </row>
    <row r="413" spans="1:218" x14ac:dyDescent="0.25">
      <c r="A413" s="7">
        <v>31.363887440031117</v>
      </c>
      <c r="B413"/>
      <c r="C413"/>
      <c r="D413"/>
      <c r="E413"/>
      <c r="BW413" s="27" t="s">
        <v>8</v>
      </c>
      <c r="EB413" s="27" t="s">
        <v>7</v>
      </c>
      <c r="EC413" s="27" t="s">
        <v>8</v>
      </c>
      <c r="ED413" s="27" t="s">
        <v>7</v>
      </c>
      <c r="EE413" s="27" t="s">
        <v>8</v>
      </c>
      <c r="EF413" s="27" t="s">
        <v>7</v>
      </c>
      <c r="EK413" s="27" t="s">
        <v>8</v>
      </c>
      <c r="EL413" s="27" t="s">
        <v>7</v>
      </c>
      <c r="FG413" s="27" t="s">
        <v>8</v>
      </c>
      <c r="FH413" s="27" t="s">
        <v>7</v>
      </c>
      <c r="FK413" s="27" t="s">
        <v>8</v>
      </c>
      <c r="FL413" s="27" t="s">
        <v>7</v>
      </c>
      <c r="FO413" s="27" t="s">
        <v>8</v>
      </c>
      <c r="FP413" s="27" t="s">
        <v>7</v>
      </c>
      <c r="FQ413" s="27" t="s">
        <v>8</v>
      </c>
      <c r="FR413" s="27" t="s">
        <v>7</v>
      </c>
      <c r="FS413" s="27" t="s">
        <v>8</v>
      </c>
      <c r="FT413" s="27" t="s">
        <v>7</v>
      </c>
      <c r="FU413" s="27" t="s">
        <v>8</v>
      </c>
      <c r="GB413" s="27" t="s">
        <v>7</v>
      </c>
      <c r="GD413" s="27" t="s">
        <v>7</v>
      </c>
      <c r="GE413" s="27" t="s">
        <v>8</v>
      </c>
      <c r="GF413" s="27" t="s">
        <v>7</v>
      </c>
      <c r="GG413" s="27" t="s">
        <v>8</v>
      </c>
      <c r="GJ413" s="27" t="s">
        <v>7</v>
      </c>
      <c r="GK413" s="27" t="s">
        <v>8</v>
      </c>
      <c r="GL413" s="27" t="s">
        <v>7</v>
      </c>
      <c r="GN413" s="27" t="s">
        <v>7</v>
      </c>
      <c r="GO413" s="27" t="s">
        <v>8</v>
      </c>
      <c r="GP413" s="27" t="s">
        <v>7</v>
      </c>
      <c r="HA413" s="27" t="s">
        <v>8</v>
      </c>
      <c r="HE413" s="27" t="s">
        <v>8</v>
      </c>
      <c r="HF413" s="27" t="s">
        <v>7</v>
      </c>
      <c r="HI413" s="27" t="s">
        <v>8</v>
      </c>
      <c r="HJ413" s="27" t="s">
        <v>7</v>
      </c>
    </row>
    <row r="414" spans="1:218" x14ac:dyDescent="0.25">
      <c r="A414" s="7">
        <v>30.748909254932467</v>
      </c>
      <c r="B414"/>
      <c r="C414"/>
      <c r="D414"/>
      <c r="E414"/>
      <c r="BW414" s="27" t="s">
        <v>8</v>
      </c>
      <c r="EB414" s="27" t="s">
        <v>7</v>
      </c>
      <c r="EC414" s="27" t="s">
        <v>8</v>
      </c>
      <c r="ED414" s="27" t="s">
        <v>7</v>
      </c>
      <c r="EE414" s="27" t="s">
        <v>8</v>
      </c>
      <c r="EF414" s="27" t="s">
        <v>7</v>
      </c>
      <c r="EK414" s="27" t="s">
        <v>8</v>
      </c>
      <c r="EL414" s="27" t="s">
        <v>7</v>
      </c>
      <c r="FG414" s="27" t="s">
        <v>8</v>
      </c>
      <c r="FH414" s="27" t="s">
        <v>7</v>
      </c>
      <c r="FK414" s="27" t="s">
        <v>8</v>
      </c>
      <c r="FL414" s="27" t="s">
        <v>7</v>
      </c>
      <c r="FO414" s="27" t="s">
        <v>8</v>
      </c>
      <c r="FP414" s="27" t="s">
        <v>7</v>
      </c>
      <c r="FQ414" s="27" t="s">
        <v>8</v>
      </c>
      <c r="FR414" s="27" t="s">
        <v>7</v>
      </c>
      <c r="FT414" s="27" t="s">
        <v>7</v>
      </c>
      <c r="GD414" s="27" t="s">
        <v>7</v>
      </c>
      <c r="GE414" s="27" t="s">
        <v>8</v>
      </c>
      <c r="GF414" s="27" t="s">
        <v>7</v>
      </c>
      <c r="GG414" s="27" t="s">
        <v>8</v>
      </c>
      <c r="GJ414" s="27" t="s">
        <v>7</v>
      </c>
      <c r="GK414" s="27" t="s">
        <v>8</v>
      </c>
      <c r="GN414" s="27" t="s">
        <v>7</v>
      </c>
      <c r="GP414" s="27" t="s">
        <v>7</v>
      </c>
      <c r="HA414" s="27" t="s">
        <v>8</v>
      </c>
      <c r="HB414" s="27" t="s">
        <v>7</v>
      </c>
      <c r="HE414" s="27" t="s">
        <v>8</v>
      </c>
      <c r="HF414" s="27" t="s">
        <v>7</v>
      </c>
      <c r="HI414" s="27" t="s">
        <v>8</v>
      </c>
      <c r="HJ414" s="27" t="s">
        <v>7</v>
      </c>
    </row>
    <row r="415" spans="1:218" x14ac:dyDescent="0.25">
      <c r="A415" s="7">
        <v>30.145989465620065</v>
      </c>
      <c r="B415"/>
      <c r="C415"/>
      <c r="D415"/>
      <c r="E415"/>
      <c r="BW415" s="27" t="s">
        <v>8</v>
      </c>
      <c r="EB415" s="27" t="s">
        <v>7</v>
      </c>
      <c r="EC415" s="27" t="s">
        <v>8</v>
      </c>
      <c r="ED415" s="27" t="s">
        <v>7</v>
      </c>
      <c r="EE415" s="27" t="s">
        <v>8</v>
      </c>
      <c r="EF415" s="27" t="s">
        <v>7</v>
      </c>
      <c r="EK415" s="27" t="s">
        <v>8</v>
      </c>
      <c r="EL415" s="27" t="s">
        <v>7</v>
      </c>
      <c r="FG415" s="27" t="s">
        <v>8</v>
      </c>
      <c r="FH415" s="27" t="s">
        <v>7</v>
      </c>
      <c r="FK415" s="27" t="s">
        <v>8</v>
      </c>
      <c r="FL415" s="27" t="s">
        <v>7</v>
      </c>
      <c r="FO415" s="27" t="s">
        <v>8</v>
      </c>
      <c r="FP415" s="27" t="s">
        <v>7</v>
      </c>
      <c r="FQ415" s="27" t="s">
        <v>8</v>
      </c>
      <c r="GD415" s="27" t="s">
        <v>7</v>
      </c>
      <c r="GE415" s="27" t="s">
        <v>8</v>
      </c>
      <c r="GF415" s="27" t="s">
        <v>7</v>
      </c>
      <c r="GJ415" s="27" t="s">
        <v>7</v>
      </c>
      <c r="GK415" s="27" t="s">
        <v>8</v>
      </c>
      <c r="GP415" s="27" t="s">
        <v>7</v>
      </c>
      <c r="HA415" s="27" t="s">
        <v>8</v>
      </c>
      <c r="HB415" s="27" t="s">
        <v>7</v>
      </c>
      <c r="HE415" s="27" t="s">
        <v>8</v>
      </c>
      <c r="HF415" s="27" t="s">
        <v>7</v>
      </c>
      <c r="HI415" s="27" t="s">
        <v>8</v>
      </c>
      <c r="HJ415" s="27" t="s">
        <v>7</v>
      </c>
    </row>
    <row r="416" spans="1:218" x14ac:dyDescent="0.25">
      <c r="A416" s="7">
        <v>29.55489163296085</v>
      </c>
      <c r="B416"/>
      <c r="C416"/>
      <c r="D416"/>
      <c r="E416"/>
      <c r="BW416" s="27" t="s">
        <v>8</v>
      </c>
      <c r="EB416" s="27" t="s">
        <v>7</v>
      </c>
      <c r="EC416" s="27" t="s">
        <v>8</v>
      </c>
      <c r="ED416" s="27" t="s">
        <v>7</v>
      </c>
      <c r="EE416" s="27" t="s">
        <v>8</v>
      </c>
      <c r="EF416" s="27" t="s">
        <v>7</v>
      </c>
      <c r="EG416" s="27" t="s">
        <v>8</v>
      </c>
      <c r="EK416" s="27" t="s">
        <v>8</v>
      </c>
      <c r="EL416" s="27" t="s">
        <v>7</v>
      </c>
      <c r="FG416" s="27" t="s">
        <v>8</v>
      </c>
      <c r="FH416" s="27" t="s">
        <v>7</v>
      </c>
      <c r="FK416" s="27" t="s">
        <v>8</v>
      </c>
      <c r="FL416" s="27" t="s">
        <v>7</v>
      </c>
      <c r="FO416" s="27" t="s">
        <v>8</v>
      </c>
      <c r="FP416" s="27" t="s">
        <v>7</v>
      </c>
      <c r="GD416" s="27" t="s">
        <v>7</v>
      </c>
      <c r="GJ416" s="27" t="s">
        <v>7</v>
      </c>
      <c r="GK416" s="27" t="s">
        <v>8</v>
      </c>
      <c r="GP416" s="27" t="s">
        <v>7</v>
      </c>
      <c r="GY416" s="27" t="s">
        <v>8</v>
      </c>
      <c r="HA416" s="27" t="s">
        <v>8</v>
      </c>
      <c r="HB416" s="27" t="s">
        <v>7</v>
      </c>
      <c r="HE416" s="27" t="s">
        <v>8</v>
      </c>
      <c r="HF416" s="27" t="s">
        <v>7</v>
      </c>
      <c r="HG416" s="27" t="s">
        <v>8</v>
      </c>
      <c r="HI416" s="27" t="s">
        <v>8</v>
      </c>
      <c r="HJ416" s="27" t="s">
        <v>7</v>
      </c>
    </row>
    <row r="417" spans="1:240" x14ac:dyDescent="0.25">
      <c r="A417" s="7">
        <v>28.975383953883185</v>
      </c>
      <c r="B417"/>
      <c r="C417"/>
      <c r="D417"/>
      <c r="E417"/>
      <c r="BU417" s="27" t="s">
        <v>8</v>
      </c>
      <c r="BW417" s="27" t="s">
        <v>8</v>
      </c>
      <c r="EB417" s="27" t="s">
        <v>7</v>
      </c>
      <c r="EC417" s="27" t="s">
        <v>8</v>
      </c>
      <c r="ED417" s="27" t="s">
        <v>7</v>
      </c>
      <c r="EE417" s="27" t="s">
        <v>8</v>
      </c>
      <c r="EF417" s="27" t="s">
        <v>7</v>
      </c>
      <c r="EG417" s="27" t="s">
        <v>8</v>
      </c>
      <c r="EH417" s="27" t="s">
        <v>7</v>
      </c>
      <c r="EK417" s="27" t="s">
        <v>8</v>
      </c>
      <c r="EL417" s="27" t="s">
        <v>7</v>
      </c>
      <c r="FG417" s="27" t="s">
        <v>8</v>
      </c>
      <c r="FH417" s="27" t="s">
        <v>7</v>
      </c>
      <c r="FI417" s="27" t="s">
        <v>8</v>
      </c>
      <c r="FK417" s="27" t="s">
        <v>8</v>
      </c>
      <c r="FL417" s="27" t="s">
        <v>7</v>
      </c>
      <c r="FO417" s="27" t="s">
        <v>8</v>
      </c>
      <c r="GJ417" s="27" t="s">
        <v>7</v>
      </c>
      <c r="GK417" s="27" t="s">
        <v>8</v>
      </c>
      <c r="GP417" s="27" t="s">
        <v>7</v>
      </c>
      <c r="GY417" s="27" t="s">
        <v>8</v>
      </c>
      <c r="GZ417" s="27" t="s">
        <v>7</v>
      </c>
      <c r="HA417" s="27" t="s">
        <v>8</v>
      </c>
      <c r="HB417" s="27" t="s">
        <v>7</v>
      </c>
      <c r="HC417" s="27" t="s">
        <v>8</v>
      </c>
      <c r="HE417" s="27" t="s">
        <v>8</v>
      </c>
      <c r="HF417" s="27" t="s">
        <v>7</v>
      </c>
      <c r="HG417" s="27" t="s">
        <v>8</v>
      </c>
      <c r="HH417" s="27" t="s">
        <v>7</v>
      </c>
      <c r="HI417" s="27" t="s">
        <v>8</v>
      </c>
      <c r="HJ417" s="27" t="s">
        <v>7</v>
      </c>
      <c r="HQ417" s="27" t="s">
        <v>8</v>
      </c>
    </row>
    <row r="418" spans="1:240" x14ac:dyDescent="0.25">
      <c r="A418" s="7">
        <v>28.407239170473709</v>
      </c>
      <c r="B418"/>
      <c r="C418"/>
      <c r="D418"/>
      <c r="E418"/>
      <c r="BU418" s="27" t="s">
        <v>8</v>
      </c>
      <c r="BV418" s="27" t="s">
        <v>7</v>
      </c>
      <c r="BW418" s="27" t="s">
        <v>8</v>
      </c>
      <c r="EB418" s="27" t="s">
        <v>7</v>
      </c>
      <c r="EC418" s="27" t="s">
        <v>8</v>
      </c>
      <c r="ED418" s="27" t="s">
        <v>7</v>
      </c>
      <c r="EE418" s="27" t="s">
        <v>8</v>
      </c>
      <c r="EF418" s="27" t="s">
        <v>7</v>
      </c>
      <c r="EG418" s="27" t="s">
        <v>8</v>
      </c>
      <c r="EH418" s="27" t="s">
        <v>7</v>
      </c>
      <c r="EI418" s="27" t="s">
        <v>8</v>
      </c>
      <c r="EK418" s="27" t="s">
        <v>8</v>
      </c>
      <c r="EL418" s="27" t="s">
        <v>7</v>
      </c>
      <c r="FG418" s="27" t="s">
        <v>8</v>
      </c>
      <c r="FH418" s="27" t="s">
        <v>7</v>
      </c>
      <c r="FI418" s="27" t="s">
        <v>8</v>
      </c>
      <c r="FJ418" s="27" t="s">
        <v>7</v>
      </c>
      <c r="FK418" s="27" t="s">
        <v>8</v>
      </c>
      <c r="FL418" s="27" t="s">
        <v>7</v>
      </c>
      <c r="FM418" s="27" t="s">
        <v>8</v>
      </c>
      <c r="FO418" s="27" t="s">
        <v>8</v>
      </c>
      <c r="GJ418" s="27" t="s">
        <v>7</v>
      </c>
      <c r="GK418" s="27" t="s">
        <v>8</v>
      </c>
      <c r="GP418" s="27" t="s">
        <v>7</v>
      </c>
      <c r="GY418" s="27" t="s">
        <v>8</v>
      </c>
      <c r="GZ418" s="27" t="s">
        <v>7</v>
      </c>
      <c r="HA418" s="27" t="s">
        <v>8</v>
      </c>
      <c r="HB418" s="27" t="s">
        <v>7</v>
      </c>
      <c r="HC418" s="27" t="s">
        <v>8</v>
      </c>
      <c r="HD418" s="27" t="s">
        <v>7</v>
      </c>
      <c r="HE418" s="27" t="s">
        <v>8</v>
      </c>
      <c r="HF418" s="27" t="s">
        <v>7</v>
      </c>
      <c r="HG418" s="27" t="s">
        <v>8</v>
      </c>
      <c r="HH418" s="27" t="s">
        <v>7</v>
      </c>
      <c r="HI418" s="27" t="s">
        <v>8</v>
      </c>
      <c r="HJ418" s="27" t="s">
        <v>7</v>
      </c>
      <c r="HQ418" s="27" t="s">
        <v>8</v>
      </c>
      <c r="HR418" s="27" t="s">
        <v>7</v>
      </c>
    </row>
    <row r="419" spans="1:240" x14ac:dyDescent="0.25">
      <c r="A419" s="7">
        <v>27.850234480856578</v>
      </c>
      <c r="B419"/>
      <c r="C419"/>
      <c r="D419"/>
      <c r="E419"/>
      <c r="BU419" s="27" t="s">
        <v>8</v>
      </c>
      <c r="BV419" s="27" t="s">
        <v>7</v>
      </c>
      <c r="BW419" s="27" t="s">
        <v>8</v>
      </c>
      <c r="EB419" s="27" t="s">
        <v>7</v>
      </c>
      <c r="EC419" s="27" t="s">
        <v>8</v>
      </c>
      <c r="ED419" s="27" t="s">
        <v>7</v>
      </c>
      <c r="EE419" s="27" t="s">
        <v>8</v>
      </c>
      <c r="EF419" s="27" t="s">
        <v>7</v>
      </c>
      <c r="EH419" s="27" t="s">
        <v>7</v>
      </c>
      <c r="EI419" s="27" t="s">
        <v>8</v>
      </c>
      <c r="EJ419" s="27" t="s">
        <v>7</v>
      </c>
      <c r="EK419" s="27" t="s">
        <v>8</v>
      </c>
      <c r="EL419" s="27" t="s">
        <v>7</v>
      </c>
      <c r="EM419" s="27" t="s">
        <v>8</v>
      </c>
      <c r="FG419" s="27" t="s">
        <v>8</v>
      </c>
      <c r="FH419" s="27" t="s">
        <v>7</v>
      </c>
      <c r="FI419" s="27" t="s">
        <v>8</v>
      </c>
      <c r="FJ419" s="27" t="s">
        <v>7</v>
      </c>
      <c r="FK419" s="27" t="s">
        <v>8</v>
      </c>
      <c r="FL419" s="27" t="s">
        <v>7</v>
      </c>
      <c r="FM419" s="27" t="s">
        <v>8</v>
      </c>
      <c r="FN419" s="27" t="s">
        <v>7</v>
      </c>
      <c r="FO419" s="27" t="s">
        <v>8</v>
      </c>
      <c r="GJ419" s="27" t="s">
        <v>7</v>
      </c>
      <c r="GK419" s="27" t="s">
        <v>8</v>
      </c>
      <c r="GP419" s="27" t="s">
        <v>7</v>
      </c>
      <c r="GW419" s="27" t="s">
        <v>8</v>
      </c>
      <c r="GY419" s="27" t="s">
        <v>8</v>
      </c>
      <c r="GZ419" s="27" t="s">
        <v>7</v>
      </c>
      <c r="HA419" s="27" t="s">
        <v>8</v>
      </c>
      <c r="HB419" s="27" t="s">
        <v>7</v>
      </c>
      <c r="HC419" s="27" t="s">
        <v>8</v>
      </c>
      <c r="HD419" s="27" t="s">
        <v>7</v>
      </c>
      <c r="HE419" s="27" t="s">
        <v>8</v>
      </c>
      <c r="HF419" s="27" t="s">
        <v>7</v>
      </c>
      <c r="HH419" s="27" t="s">
        <v>7</v>
      </c>
      <c r="HI419" s="27" t="s">
        <v>8</v>
      </c>
      <c r="HJ419" s="27" t="s">
        <v>7</v>
      </c>
      <c r="HQ419" s="27" t="s">
        <v>8</v>
      </c>
      <c r="HR419" s="27" t="s">
        <v>7</v>
      </c>
    </row>
    <row r="420" spans="1:240" x14ac:dyDescent="0.25">
      <c r="A420" s="7">
        <v>27.304151451820175</v>
      </c>
      <c r="B420"/>
      <c r="C420"/>
      <c r="D420"/>
      <c r="E420"/>
      <c r="BU420" s="27" t="s">
        <v>8</v>
      </c>
      <c r="BV420" s="27" t="s">
        <v>7</v>
      </c>
      <c r="BW420" s="27" t="s">
        <v>8</v>
      </c>
      <c r="EB420" s="27" t="s">
        <v>7</v>
      </c>
      <c r="EC420" s="27" t="s">
        <v>8</v>
      </c>
      <c r="ED420" s="27" t="s">
        <v>7</v>
      </c>
      <c r="EH420" s="27" t="s">
        <v>7</v>
      </c>
      <c r="EI420" s="27" t="s">
        <v>8</v>
      </c>
      <c r="EJ420" s="27" t="s">
        <v>7</v>
      </c>
      <c r="EK420" s="27" t="s">
        <v>8</v>
      </c>
      <c r="EL420" s="27" t="s">
        <v>7</v>
      </c>
      <c r="EM420" s="27" t="s">
        <v>8</v>
      </c>
      <c r="EN420" s="27" t="s">
        <v>7</v>
      </c>
      <c r="FG420" s="27" t="s">
        <v>8</v>
      </c>
      <c r="FH420" s="27" t="s">
        <v>7</v>
      </c>
      <c r="FI420" s="27" t="s">
        <v>8</v>
      </c>
      <c r="FJ420" s="27" t="s">
        <v>7</v>
      </c>
      <c r="FK420" s="27" t="s">
        <v>8</v>
      </c>
      <c r="FL420" s="27" t="s">
        <v>7</v>
      </c>
      <c r="FM420" s="27" t="s">
        <v>8</v>
      </c>
      <c r="FN420" s="27" t="s">
        <v>7</v>
      </c>
      <c r="FO420" s="27" t="s">
        <v>8</v>
      </c>
      <c r="GJ420" s="27" t="s">
        <v>7</v>
      </c>
      <c r="GP420" s="27" t="s">
        <v>7</v>
      </c>
      <c r="GW420" s="27" t="s">
        <v>8</v>
      </c>
      <c r="GX420" s="27" t="s">
        <v>7</v>
      </c>
      <c r="GY420" s="27" t="s">
        <v>8</v>
      </c>
      <c r="GZ420" s="27" t="s">
        <v>7</v>
      </c>
      <c r="HA420" s="27" t="s">
        <v>8</v>
      </c>
      <c r="HB420" s="27" t="s">
        <v>7</v>
      </c>
      <c r="HC420" s="27" t="s">
        <v>8</v>
      </c>
      <c r="HD420" s="27" t="s">
        <v>7</v>
      </c>
      <c r="HE420" s="27" t="s">
        <v>8</v>
      </c>
      <c r="HH420" s="27" t="s">
        <v>7</v>
      </c>
      <c r="HJ420" s="27" t="s">
        <v>7</v>
      </c>
      <c r="HK420" s="27" t="s">
        <v>8</v>
      </c>
      <c r="HM420" s="27" t="s">
        <v>8</v>
      </c>
      <c r="HO420" s="27" t="s">
        <v>8</v>
      </c>
      <c r="HQ420" s="27" t="s">
        <v>8</v>
      </c>
      <c r="HR420" s="27" t="s">
        <v>7</v>
      </c>
      <c r="IA420" s="27" t="s">
        <v>8</v>
      </c>
    </row>
    <row r="421" spans="1:240" x14ac:dyDescent="0.25">
      <c r="A421" s="7">
        <v>26.768775933157034</v>
      </c>
      <c r="B421"/>
      <c r="C421"/>
      <c r="D421"/>
      <c r="E421"/>
      <c r="BU421" s="27" t="s">
        <v>8</v>
      </c>
      <c r="BV421" s="27" t="s">
        <v>7</v>
      </c>
      <c r="BW421" s="27" t="s">
        <v>8</v>
      </c>
      <c r="EB421" s="27" t="s">
        <v>7</v>
      </c>
      <c r="EC421" s="27" t="s">
        <v>8</v>
      </c>
      <c r="EH421" s="27" t="s">
        <v>7</v>
      </c>
      <c r="EI421" s="27" t="s">
        <v>8</v>
      </c>
      <c r="EJ421" s="27" t="s">
        <v>7</v>
      </c>
      <c r="EK421" s="27" t="s">
        <v>8</v>
      </c>
      <c r="EL421" s="27" t="s">
        <v>7</v>
      </c>
      <c r="EM421" s="27" t="s">
        <v>8</v>
      </c>
      <c r="EN421" s="27" t="s">
        <v>7</v>
      </c>
      <c r="FG421" s="27" t="s">
        <v>8</v>
      </c>
      <c r="FH421" s="27" t="s">
        <v>7</v>
      </c>
      <c r="FI421" s="27" t="s">
        <v>8</v>
      </c>
      <c r="FJ421" s="27" t="s">
        <v>7</v>
      </c>
      <c r="FK421" s="27" t="s">
        <v>8</v>
      </c>
      <c r="FL421" s="27" t="s">
        <v>7</v>
      </c>
      <c r="FM421" s="27" t="s">
        <v>8</v>
      </c>
      <c r="FN421" s="27" t="s">
        <v>7</v>
      </c>
      <c r="GP421" s="27" t="s">
        <v>7</v>
      </c>
      <c r="GW421" s="27" t="s">
        <v>8</v>
      </c>
      <c r="GX421" s="27" t="s">
        <v>7</v>
      </c>
      <c r="GY421" s="27" t="s">
        <v>8</v>
      </c>
      <c r="GZ421" s="27" t="s">
        <v>7</v>
      </c>
      <c r="HA421" s="27" t="s">
        <v>8</v>
      </c>
      <c r="HB421" s="27" t="s">
        <v>7</v>
      </c>
      <c r="HD421" s="27" t="s">
        <v>7</v>
      </c>
      <c r="HE421" s="27" t="s">
        <v>8</v>
      </c>
      <c r="HJ421" s="27" t="s">
        <v>7</v>
      </c>
      <c r="HK421" s="27" t="s">
        <v>8</v>
      </c>
      <c r="HL421" s="27" t="s">
        <v>7</v>
      </c>
      <c r="HM421" s="27" t="s">
        <v>8</v>
      </c>
      <c r="HN421" s="27" t="s">
        <v>7</v>
      </c>
      <c r="HO421" s="27" t="s">
        <v>8</v>
      </c>
      <c r="HP421" s="27" t="s">
        <v>7</v>
      </c>
      <c r="HQ421" s="27" t="s">
        <v>8</v>
      </c>
      <c r="HR421" s="27" t="s">
        <v>7</v>
      </c>
      <c r="IA421" s="27" t="s">
        <v>8</v>
      </c>
      <c r="IB421" s="27" t="s">
        <v>7</v>
      </c>
    </row>
    <row r="422" spans="1:240" x14ac:dyDescent="0.25">
      <c r="A422" s="7">
        <v>26.243897973683367</v>
      </c>
      <c r="B422"/>
      <c r="C422"/>
      <c r="D422"/>
      <c r="E422"/>
      <c r="BU422" s="27" t="s">
        <v>8</v>
      </c>
      <c r="BV422" s="27" t="s">
        <v>7</v>
      </c>
      <c r="BW422" s="27" t="s">
        <v>8</v>
      </c>
      <c r="EB422" s="27" t="s">
        <v>7</v>
      </c>
      <c r="EC422" s="27" t="s">
        <v>8</v>
      </c>
      <c r="EH422" s="27" t="s">
        <v>7</v>
      </c>
      <c r="EI422" s="27" t="s">
        <v>8</v>
      </c>
      <c r="EJ422" s="27" t="s">
        <v>7</v>
      </c>
      <c r="EK422" s="27" t="s">
        <v>8</v>
      </c>
      <c r="EL422" s="27" t="s">
        <v>7</v>
      </c>
      <c r="EM422" s="27" t="s">
        <v>8</v>
      </c>
      <c r="EN422" s="27" t="s">
        <v>7</v>
      </c>
      <c r="FG422" s="27" t="s">
        <v>8</v>
      </c>
      <c r="FH422" s="27" t="s">
        <v>7</v>
      </c>
      <c r="FI422" s="27" t="s">
        <v>8</v>
      </c>
      <c r="FJ422" s="27" t="s">
        <v>7</v>
      </c>
      <c r="FK422" s="27" t="s">
        <v>8</v>
      </c>
      <c r="FL422" s="27" t="s">
        <v>7</v>
      </c>
      <c r="GP422" s="27" t="s">
        <v>7</v>
      </c>
      <c r="GQ422" s="27" t="s">
        <v>8</v>
      </c>
      <c r="GW422" s="27" t="s">
        <v>8</v>
      </c>
      <c r="GX422" s="27" t="s">
        <v>7</v>
      </c>
      <c r="GY422" s="27" t="s">
        <v>8</v>
      </c>
      <c r="GZ422" s="27" t="s">
        <v>7</v>
      </c>
      <c r="HD422" s="27" t="s">
        <v>7</v>
      </c>
      <c r="HE422" s="27" t="s">
        <v>8</v>
      </c>
      <c r="HJ422" s="27" t="s">
        <v>7</v>
      </c>
      <c r="HK422" s="27" t="s">
        <v>8</v>
      </c>
      <c r="HL422" s="27" t="s">
        <v>7</v>
      </c>
      <c r="HM422" s="27" t="s">
        <v>8</v>
      </c>
      <c r="HN422" s="27" t="s">
        <v>7</v>
      </c>
      <c r="HO422" s="27" t="s">
        <v>8</v>
      </c>
      <c r="HP422" s="27" t="s">
        <v>7</v>
      </c>
      <c r="HQ422" s="27" t="s">
        <v>8</v>
      </c>
      <c r="HR422" s="27" t="s">
        <v>7</v>
      </c>
      <c r="HS422" s="27" t="s">
        <v>8</v>
      </c>
      <c r="IA422" s="27" t="s">
        <v>8</v>
      </c>
      <c r="IB422" s="27" t="s">
        <v>7</v>
      </c>
    </row>
    <row r="423" spans="1:240" x14ac:dyDescent="0.25">
      <c r="A423" s="7">
        <v>25.729311738905263</v>
      </c>
      <c r="B423"/>
      <c r="C423"/>
      <c r="D423"/>
      <c r="E423"/>
      <c r="BU423" s="27" t="s">
        <v>8</v>
      </c>
      <c r="BV423" s="27" t="s">
        <v>7</v>
      </c>
      <c r="BW423" s="27" t="s">
        <v>8</v>
      </c>
      <c r="EB423" s="27" t="s">
        <v>7</v>
      </c>
      <c r="EC423" s="27" t="s">
        <v>8</v>
      </c>
      <c r="EH423" s="27" t="s">
        <v>7</v>
      </c>
      <c r="EI423" s="27" t="s">
        <v>8</v>
      </c>
      <c r="EJ423" s="27" t="s">
        <v>7</v>
      </c>
      <c r="EK423" s="27" t="s">
        <v>8</v>
      </c>
      <c r="EL423" s="27" t="s">
        <v>7</v>
      </c>
      <c r="EN423" s="27" t="s">
        <v>7</v>
      </c>
      <c r="FG423" s="27" t="s">
        <v>8</v>
      </c>
      <c r="FH423" s="27" t="s">
        <v>7</v>
      </c>
      <c r="FI423" s="27" t="s">
        <v>8</v>
      </c>
      <c r="FJ423" s="27" t="s">
        <v>7</v>
      </c>
      <c r="FK423" s="27" t="s">
        <v>8</v>
      </c>
      <c r="GP423" s="27" t="s">
        <v>7</v>
      </c>
      <c r="GQ423" s="27" t="s">
        <v>8</v>
      </c>
      <c r="GR423" s="27" t="s">
        <v>7</v>
      </c>
      <c r="GW423" s="27" t="s">
        <v>8</v>
      </c>
      <c r="GX423" s="27" t="s">
        <v>7</v>
      </c>
      <c r="GY423" s="27" t="s">
        <v>8</v>
      </c>
      <c r="HD423" s="27" t="s">
        <v>7</v>
      </c>
      <c r="HJ423" s="27" t="s">
        <v>7</v>
      </c>
      <c r="HK423" s="27" t="s">
        <v>8</v>
      </c>
      <c r="HL423" s="27" t="s">
        <v>7</v>
      </c>
      <c r="HM423" s="27" t="s">
        <v>8</v>
      </c>
      <c r="HN423" s="27" t="s">
        <v>7</v>
      </c>
      <c r="HO423" s="27" t="s">
        <v>8</v>
      </c>
      <c r="HP423" s="27" t="s">
        <v>7</v>
      </c>
      <c r="HR423" s="27" t="s">
        <v>7</v>
      </c>
      <c r="HS423" s="27" t="s">
        <v>8</v>
      </c>
      <c r="HT423" s="27" t="s">
        <v>7</v>
      </c>
      <c r="IA423" s="27" t="s">
        <v>8</v>
      </c>
      <c r="IB423" s="27" t="s">
        <v>7</v>
      </c>
    </row>
    <row r="424" spans="1:240" x14ac:dyDescent="0.25">
      <c r="A424" s="7">
        <v>25.224815430299277</v>
      </c>
      <c r="B424"/>
      <c r="C424"/>
      <c r="D424"/>
      <c r="E424"/>
      <c r="BU424" s="27" t="s">
        <v>8</v>
      </c>
      <c r="BV424" s="27" t="s">
        <v>7</v>
      </c>
      <c r="BW424" s="27" t="s">
        <v>8</v>
      </c>
      <c r="EB424" s="27" t="s">
        <v>7</v>
      </c>
      <c r="EC424" s="27" t="s">
        <v>8</v>
      </c>
      <c r="EH424" s="27" t="s">
        <v>7</v>
      </c>
      <c r="EI424" s="27" t="s">
        <v>8</v>
      </c>
      <c r="EJ424" s="27" t="s">
        <v>7</v>
      </c>
      <c r="EK424" s="27" t="s">
        <v>8</v>
      </c>
      <c r="EN424" s="27" t="s">
        <v>7</v>
      </c>
      <c r="FG424" s="27" t="s">
        <v>8</v>
      </c>
      <c r="FH424" s="27" t="s">
        <v>7</v>
      </c>
      <c r="FI424" s="27" t="s">
        <v>8</v>
      </c>
      <c r="FJ424" s="27" t="s">
        <v>7</v>
      </c>
      <c r="FK424" s="27" t="s">
        <v>8</v>
      </c>
      <c r="GP424" s="27" t="s">
        <v>7</v>
      </c>
      <c r="GQ424" s="27" t="s">
        <v>8</v>
      </c>
      <c r="GR424" s="27" t="s">
        <v>7</v>
      </c>
      <c r="GW424" s="27" t="s">
        <v>8</v>
      </c>
      <c r="GX424" s="27" t="s">
        <v>7</v>
      </c>
      <c r="GY424" s="27" t="s">
        <v>8</v>
      </c>
      <c r="HJ424" s="27" t="s">
        <v>7</v>
      </c>
      <c r="HK424" s="27" t="s">
        <v>8</v>
      </c>
      <c r="HL424" s="27" t="s">
        <v>7</v>
      </c>
      <c r="HN424" s="27" t="s">
        <v>7</v>
      </c>
      <c r="HR424" s="27" t="s">
        <v>7</v>
      </c>
      <c r="HS424" s="27" t="s">
        <v>8</v>
      </c>
      <c r="HT424" s="27" t="s">
        <v>7</v>
      </c>
      <c r="HU424" s="27" t="s">
        <v>8</v>
      </c>
      <c r="IA424" s="27" t="s">
        <v>8</v>
      </c>
      <c r="IB424" s="27" t="s">
        <v>7</v>
      </c>
      <c r="IC424" s="27" t="s">
        <v>8</v>
      </c>
    </row>
    <row r="425" spans="1:240" x14ac:dyDescent="0.25">
      <c r="A425" s="7">
        <v>24.73021120617576</v>
      </c>
      <c r="B425"/>
      <c r="C425"/>
      <c r="D425"/>
      <c r="E425"/>
      <c r="BU425" s="27" t="s">
        <v>8</v>
      </c>
      <c r="BV425" s="27" t="s">
        <v>7</v>
      </c>
      <c r="BW425" s="27" t="s">
        <v>8</v>
      </c>
      <c r="EB425" s="27" t="s">
        <v>7</v>
      </c>
      <c r="EC425" s="27" t="s">
        <v>8</v>
      </c>
      <c r="EH425" s="27" t="s">
        <v>7</v>
      </c>
      <c r="EI425" s="27" t="s">
        <v>8</v>
      </c>
      <c r="EJ425" s="27" t="s">
        <v>7</v>
      </c>
      <c r="EK425" s="27" t="s">
        <v>8</v>
      </c>
      <c r="EN425" s="27" t="s">
        <v>7</v>
      </c>
      <c r="FG425" s="27" t="s">
        <v>8</v>
      </c>
      <c r="FH425" s="27" t="s">
        <v>7</v>
      </c>
      <c r="FI425" s="27" t="s">
        <v>8</v>
      </c>
      <c r="FJ425" s="27" t="s">
        <v>7</v>
      </c>
      <c r="GP425" s="27" t="s">
        <v>7</v>
      </c>
      <c r="GQ425" s="27" t="s">
        <v>8</v>
      </c>
      <c r="GR425" s="27" t="s">
        <v>7</v>
      </c>
      <c r="GW425" s="27" t="s">
        <v>8</v>
      </c>
      <c r="GX425" s="27" t="s">
        <v>7</v>
      </c>
      <c r="HJ425" s="27" t="s">
        <v>7</v>
      </c>
      <c r="HK425" s="27" t="s">
        <v>8</v>
      </c>
      <c r="HR425" s="27" t="s">
        <v>7</v>
      </c>
      <c r="HT425" s="27" t="s">
        <v>7</v>
      </c>
      <c r="HU425" s="27" t="s">
        <v>8</v>
      </c>
      <c r="HV425" s="27" t="s">
        <v>7</v>
      </c>
      <c r="IA425" s="27" t="s">
        <v>8</v>
      </c>
      <c r="IB425" s="27" t="s">
        <v>7</v>
      </c>
      <c r="IC425" s="27" t="s">
        <v>8</v>
      </c>
      <c r="ID425" s="27" t="s">
        <v>7</v>
      </c>
    </row>
    <row r="426" spans="1:240" x14ac:dyDescent="0.25">
      <c r="A426" s="7">
        <v>24.24530510409388</v>
      </c>
      <c r="B426"/>
      <c r="C426"/>
      <c r="D426"/>
      <c r="E426"/>
      <c r="BU426" s="27" t="s">
        <v>8</v>
      </c>
      <c r="BV426" s="27" t="s">
        <v>7</v>
      </c>
      <c r="BW426" s="27" t="s">
        <v>8</v>
      </c>
      <c r="EB426" s="27" t="s">
        <v>7</v>
      </c>
      <c r="EC426" s="27" t="s">
        <v>8</v>
      </c>
      <c r="EH426" s="27" t="s">
        <v>7</v>
      </c>
      <c r="EI426" s="27" t="s">
        <v>8</v>
      </c>
      <c r="EJ426" s="27" t="s">
        <v>7</v>
      </c>
      <c r="EK426" s="27" t="s">
        <v>8</v>
      </c>
      <c r="EN426" s="27" t="s">
        <v>7</v>
      </c>
      <c r="FG426" s="27" t="s">
        <v>8</v>
      </c>
      <c r="FH426" s="27" t="s">
        <v>7</v>
      </c>
      <c r="FI426" s="27" t="s">
        <v>8</v>
      </c>
      <c r="GP426" s="27" t="s">
        <v>7</v>
      </c>
      <c r="GQ426" s="27" t="s">
        <v>8</v>
      </c>
      <c r="GR426" s="27" t="s">
        <v>7</v>
      </c>
      <c r="GW426" s="27" t="s">
        <v>8</v>
      </c>
      <c r="HJ426" s="27" t="s">
        <v>7</v>
      </c>
      <c r="HK426" s="27" t="s">
        <v>8</v>
      </c>
      <c r="HT426" s="27" t="s">
        <v>7</v>
      </c>
      <c r="HU426" s="27" t="s">
        <v>8</v>
      </c>
      <c r="HV426" s="27" t="s">
        <v>7</v>
      </c>
      <c r="HW426" s="27" t="s">
        <v>8</v>
      </c>
      <c r="IA426" s="27" t="s">
        <v>8</v>
      </c>
      <c r="IB426" s="27" t="s">
        <v>7</v>
      </c>
      <c r="IC426" s="27" t="s">
        <v>8</v>
      </c>
      <c r="ID426" s="27" t="s">
        <v>7</v>
      </c>
    </row>
    <row r="427" spans="1:240" x14ac:dyDescent="0.25">
      <c r="A427" s="7">
        <v>23.769906964797922</v>
      </c>
      <c r="B427"/>
      <c r="C427"/>
      <c r="D427"/>
      <c r="E427"/>
      <c r="BU427" s="27" t="s">
        <v>8</v>
      </c>
      <c r="BV427" s="27" t="s">
        <v>7</v>
      </c>
      <c r="BW427" s="27" t="s">
        <v>8</v>
      </c>
      <c r="EB427" s="27" t="s">
        <v>7</v>
      </c>
      <c r="EC427" s="27" t="s">
        <v>8</v>
      </c>
      <c r="EH427" s="27" t="s">
        <v>7</v>
      </c>
      <c r="EI427" s="27" t="s">
        <v>8</v>
      </c>
      <c r="EJ427" s="27" t="s">
        <v>7</v>
      </c>
      <c r="EK427" s="27" t="s">
        <v>8</v>
      </c>
      <c r="EN427" s="27" t="s">
        <v>7</v>
      </c>
      <c r="FG427" s="27" t="s">
        <v>8</v>
      </c>
      <c r="FH427" s="27" t="s">
        <v>7</v>
      </c>
      <c r="GP427" s="27" t="s">
        <v>7</v>
      </c>
      <c r="GQ427" s="27" t="s">
        <v>8</v>
      </c>
      <c r="GR427" s="27" t="s">
        <v>7</v>
      </c>
      <c r="GW427" s="27" t="s">
        <v>8</v>
      </c>
      <c r="HJ427" s="27" t="s">
        <v>7</v>
      </c>
      <c r="HK427" s="27" t="s">
        <v>8</v>
      </c>
      <c r="HT427" s="27" t="s">
        <v>7</v>
      </c>
      <c r="HV427" s="27" t="s">
        <v>7</v>
      </c>
      <c r="HW427" s="27" t="s">
        <v>8</v>
      </c>
      <c r="HX427" s="27" t="s">
        <v>7</v>
      </c>
      <c r="HY427" s="27" t="s">
        <v>8</v>
      </c>
      <c r="IA427" s="27" t="s">
        <v>8</v>
      </c>
      <c r="IB427" s="27" t="s">
        <v>7</v>
      </c>
      <c r="IC427" s="27" t="s">
        <v>8</v>
      </c>
      <c r="ID427" s="27" t="s">
        <v>7</v>
      </c>
    </row>
    <row r="428" spans="1:240" x14ac:dyDescent="0.25">
      <c r="A428" s="7">
        <v>23.303830357645023</v>
      </c>
      <c r="B428"/>
      <c r="C428"/>
      <c r="D428"/>
      <c r="E428"/>
      <c r="BU428" s="27" t="s">
        <v>8</v>
      </c>
      <c r="BV428" s="27" t="s">
        <v>7</v>
      </c>
      <c r="BW428" s="27" t="s">
        <v>8</v>
      </c>
      <c r="EB428" s="27" t="s">
        <v>7</v>
      </c>
      <c r="EC428" s="27" t="s">
        <v>8</v>
      </c>
      <c r="EH428" s="27" t="s">
        <v>7</v>
      </c>
      <c r="EI428" s="27" t="s">
        <v>8</v>
      </c>
      <c r="EJ428" s="27" t="s">
        <v>7</v>
      </c>
      <c r="EK428" s="27" t="s">
        <v>8</v>
      </c>
      <c r="EN428" s="27" t="s">
        <v>7</v>
      </c>
      <c r="FG428" s="27" t="s">
        <v>8</v>
      </c>
      <c r="GP428" s="27" t="s">
        <v>7</v>
      </c>
      <c r="GQ428" s="27" t="s">
        <v>8</v>
      </c>
      <c r="GR428" s="27" t="s">
        <v>7</v>
      </c>
      <c r="GS428" s="27" t="s">
        <v>8</v>
      </c>
      <c r="GU428" s="27" t="s">
        <v>8</v>
      </c>
      <c r="GW428" s="27" t="s">
        <v>8</v>
      </c>
      <c r="HJ428" s="27" t="s">
        <v>7</v>
      </c>
      <c r="HK428" s="27" t="s">
        <v>8</v>
      </c>
      <c r="HV428" s="27" t="s">
        <v>7</v>
      </c>
      <c r="HW428" s="27" t="s">
        <v>8</v>
      </c>
      <c r="HX428" s="27" t="s">
        <v>7</v>
      </c>
      <c r="HY428" s="27" t="s">
        <v>8</v>
      </c>
      <c r="HZ428" s="27" t="s">
        <v>7</v>
      </c>
      <c r="IA428" s="27" t="s">
        <v>8</v>
      </c>
      <c r="IB428" s="27" t="s">
        <v>7</v>
      </c>
      <c r="IC428" s="27" t="s">
        <v>8</v>
      </c>
      <c r="ID428" s="27" t="s">
        <v>7</v>
      </c>
    </row>
    <row r="429" spans="1:240" x14ac:dyDescent="0.25">
      <c r="A429" s="7">
        <v>22.84689250749512</v>
      </c>
      <c r="B429"/>
      <c r="C429"/>
      <c r="D429"/>
      <c r="E429"/>
      <c r="BU429" s="27" t="s">
        <v>8</v>
      </c>
      <c r="BV429" s="27" t="s">
        <v>7</v>
      </c>
      <c r="BW429" s="27" t="s">
        <v>8</v>
      </c>
      <c r="EB429" s="27" t="s">
        <v>7</v>
      </c>
      <c r="EC429" s="27" t="s">
        <v>8</v>
      </c>
      <c r="EH429" s="27" t="s">
        <v>7</v>
      </c>
      <c r="EI429" s="27" t="s">
        <v>8</v>
      </c>
      <c r="EJ429" s="27" t="s">
        <v>7</v>
      </c>
      <c r="EK429" s="27" t="s">
        <v>8</v>
      </c>
      <c r="EN429" s="27" t="s">
        <v>7</v>
      </c>
      <c r="EU429" s="27" t="s">
        <v>8</v>
      </c>
      <c r="FG429" s="27" t="s">
        <v>8</v>
      </c>
      <c r="GP429" s="27" t="s">
        <v>7</v>
      </c>
      <c r="GQ429" s="27" t="s">
        <v>8</v>
      </c>
      <c r="GR429" s="27" t="s">
        <v>7</v>
      </c>
      <c r="GS429" s="27" t="s">
        <v>8</v>
      </c>
      <c r="GT429" s="27" t="s">
        <v>7</v>
      </c>
      <c r="GU429" s="27" t="s">
        <v>8</v>
      </c>
      <c r="GV429" s="27" t="s">
        <v>7</v>
      </c>
      <c r="GW429" s="27" t="s">
        <v>8</v>
      </c>
      <c r="HJ429" s="27" t="s">
        <v>7</v>
      </c>
      <c r="HK429" s="27" t="s">
        <v>8</v>
      </c>
      <c r="HV429" s="27" t="s">
        <v>7</v>
      </c>
      <c r="HW429" s="27" t="s">
        <v>8</v>
      </c>
      <c r="HX429" s="27" t="s">
        <v>7</v>
      </c>
      <c r="HY429" s="27" t="s">
        <v>8</v>
      </c>
      <c r="HZ429" s="27" t="s">
        <v>7</v>
      </c>
      <c r="IA429" s="27" t="s">
        <v>8</v>
      </c>
      <c r="IB429" s="27" t="s">
        <v>7</v>
      </c>
      <c r="IC429" s="27" t="s">
        <v>8</v>
      </c>
      <c r="ID429" s="27" t="s">
        <v>7</v>
      </c>
      <c r="IE429" s="27" t="s">
        <v>8</v>
      </c>
    </row>
    <row r="430" spans="1:240" x14ac:dyDescent="0.25">
      <c r="A430" s="7">
        <v>22.398914223034431</v>
      </c>
      <c r="B430"/>
      <c r="C430"/>
      <c r="D430"/>
      <c r="E430"/>
      <c r="BU430" s="27" t="s">
        <v>8</v>
      </c>
      <c r="BV430" s="27" t="s">
        <v>7</v>
      </c>
      <c r="BW430" s="27" t="s">
        <v>8</v>
      </c>
      <c r="EB430" s="27" t="s">
        <v>7</v>
      </c>
      <c r="EC430" s="27" t="s">
        <v>8</v>
      </c>
      <c r="EH430" s="27" t="s">
        <v>7</v>
      </c>
      <c r="EJ430" s="27" t="s">
        <v>7</v>
      </c>
      <c r="EK430" s="27" t="s">
        <v>8</v>
      </c>
      <c r="EN430" s="27" t="s">
        <v>7</v>
      </c>
      <c r="EU430" s="27" t="s">
        <v>8</v>
      </c>
      <c r="EV430" s="27" t="s">
        <v>7</v>
      </c>
      <c r="FG430" s="27" t="s">
        <v>8</v>
      </c>
      <c r="GP430" s="27" t="s">
        <v>7</v>
      </c>
      <c r="GQ430" s="27" t="s">
        <v>8</v>
      </c>
      <c r="GR430" s="27" t="s">
        <v>7</v>
      </c>
      <c r="GS430" s="27" t="s">
        <v>8</v>
      </c>
      <c r="GT430" s="27" t="s">
        <v>7</v>
      </c>
      <c r="GU430" s="27" t="s">
        <v>8</v>
      </c>
      <c r="GV430" s="27" t="s">
        <v>7</v>
      </c>
      <c r="GW430" s="27" t="s">
        <v>8</v>
      </c>
      <c r="HJ430" s="27" t="s">
        <v>7</v>
      </c>
      <c r="HV430" s="27" t="s">
        <v>7</v>
      </c>
      <c r="HW430" s="27" t="s">
        <v>8</v>
      </c>
      <c r="HX430" s="27" t="s">
        <v>7</v>
      </c>
      <c r="HY430" s="27" t="s">
        <v>8</v>
      </c>
      <c r="HZ430" s="27" t="s">
        <v>7</v>
      </c>
      <c r="IA430" s="27" t="s">
        <v>8</v>
      </c>
      <c r="IB430" s="27" t="s">
        <v>7</v>
      </c>
      <c r="IC430" s="27" t="s">
        <v>8</v>
      </c>
      <c r="ID430" s="27" t="s">
        <v>7</v>
      </c>
      <c r="IE430" s="27" t="s">
        <v>8</v>
      </c>
      <c r="IF430" s="27" t="s">
        <v>7</v>
      </c>
    </row>
    <row r="431" spans="1:240" x14ac:dyDescent="0.25">
      <c r="A431" s="7">
        <v>21.959719826504344</v>
      </c>
      <c r="B431"/>
      <c r="C431"/>
      <c r="D431"/>
      <c r="E431"/>
      <c r="BU431" s="27" t="s">
        <v>8</v>
      </c>
      <c r="BV431" s="27" t="s">
        <v>7</v>
      </c>
      <c r="EB431" s="27" t="s">
        <v>7</v>
      </c>
      <c r="EC431" s="27" t="s">
        <v>8</v>
      </c>
      <c r="EJ431" s="27" t="s">
        <v>7</v>
      </c>
      <c r="EK431" s="27" t="s">
        <v>8</v>
      </c>
      <c r="EN431" s="27" t="s">
        <v>7</v>
      </c>
      <c r="EU431" s="27" t="s">
        <v>8</v>
      </c>
      <c r="EV431" s="27" t="s">
        <v>7</v>
      </c>
      <c r="FG431" s="27" t="s">
        <v>8</v>
      </c>
      <c r="GP431" s="27" t="s">
        <v>7</v>
      </c>
      <c r="GQ431" s="27" t="s">
        <v>8</v>
      </c>
      <c r="GR431" s="27" t="s">
        <v>7</v>
      </c>
      <c r="GS431" s="27" t="s">
        <v>8</v>
      </c>
      <c r="GT431" s="27" t="s">
        <v>7</v>
      </c>
      <c r="GU431" s="27" t="s">
        <v>8</v>
      </c>
      <c r="GV431" s="27" t="s">
        <v>7</v>
      </c>
      <c r="GW431" s="27" t="s">
        <v>8</v>
      </c>
      <c r="HV431" s="27" t="s">
        <v>7</v>
      </c>
      <c r="HW431" s="27" t="s">
        <v>8</v>
      </c>
      <c r="HX431" s="27" t="s">
        <v>7</v>
      </c>
      <c r="HY431" s="27" t="s">
        <v>8</v>
      </c>
      <c r="HZ431" s="27" t="s">
        <v>7</v>
      </c>
      <c r="IB431" s="27" t="s">
        <v>7</v>
      </c>
      <c r="IC431" s="27" t="s">
        <v>8</v>
      </c>
      <c r="ID431" s="27" t="s">
        <v>7</v>
      </c>
      <c r="IE431" s="27" t="s">
        <v>8</v>
      </c>
      <c r="IF431" s="27" t="s">
        <v>7</v>
      </c>
    </row>
    <row r="432" spans="1:240" x14ac:dyDescent="0.25">
      <c r="A432" s="7">
        <v>21.52913708480818</v>
      </c>
      <c r="B432"/>
      <c r="C432"/>
      <c r="D432"/>
      <c r="E432"/>
      <c r="BU432" s="27" t="s">
        <v>8</v>
      </c>
      <c r="EB432" s="27" t="s">
        <v>7</v>
      </c>
      <c r="EC432" s="27" t="s">
        <v>8</v>
      </c>
      <c r="EJ432" s="27" t="s">
        <v>7</v>
      </c>
      <c r="EN432" s="27" t="s">
        <v>7</v>
      </c>
      <c r="ES432" s="27" t="s">
        <v>8</v>
      </c>
      <c r="EU432" s="27" t="s">
        <v>8</v>
      </c>
      <c r="EV432" s="27" t="s">
        <v>7</v>
      </c>
      <c r="FG432" s="27" t="s">
        <v>8</v>
      </c>
      <c r="GP432" s="27" t="s">
        <v>7</v>
      </c>
      <c r="GQ432" s="27" t="s">
        <v>8</v>
      </c>
      <c r="GR432" s="27" t="s">
        <v>7</v>
      </c>
      <c r="GT432" s="27" t="s">
        <v>7</v>
      </c>
      <c r="GU432" s="27" t="s">
        <v>8</v>
      </c>
      <c r="GV432" s="27" t="s">
        <v>7</v>
      </c>
      <c r="GW432" s="27" t="s">
        <v>8</v>
      </c>
      <c r="HV432" s="27" t="s">
        <v>7</v>
      </c>
      <c r="HX432" s="27" t="s">
        <v>7</v>
      </c>
      <c r="HY432" s="27" t="s">
        <v>8</v>
      </c>
      <c r="IB432" s="27" t="s">
        <v>7</v>
      </c>
      <c r="IC432" s="27" t="s">
        <v>8</v>
      </c>
      <c r="ID432" s="27" t="s">
        <v>7</v>
      </c>
      <c r="IE432" s="27" t="s">
        <v>8</v>
      </c>
      <c r="IF432" s="27" t="s">
        <v>7</v>
      </c>
    </row>
    <row r="433" spans="1:256" x14ac:dyDescent="0.25">
      <c r="A433" s="7">
        <v>21.106997141968804</v>
      </c>
      <c r="B433"/>
      <c r="C433"/>
      <c r="D433"/>
      <c r="E433"/>
      <c r="BU433" s="27" t="s">
        <v>8</v>
      </c>
      <c r="EB433" s="27" t="s">
        <v>7</v>
      </c>
      <c r="EC433" s="27" t="s">
        <v>8</v>
      </c>
      <c r="EN433" s="27" t="s">
        <v>7</v>
      </c>
      <c r="EO433" s="27" t="s">
        <v>8</v>
      </c>
      <c r="ES433" s="27" t="s">
        <v>8</v>
      </c>
      <c r="ET433" s="27" t="s">
        <v>7</v>
      </c>
      <c r="EU433" s="27" t="s">
        <v>8</v>
      </c>
      <c r="EV433" s="27" t="s">
        <v>7</v>
      </c>
      <c r="FG433" s="27" t="s">
        <v>8</v>
      </c>
      <c r="GP433" s="27" t="s">
        <v>7</v>
      </c>
      <c r="GT433" s="27" t="s">
        <v>7</v>
      </c>
      <c r="GU433" s="27" t="s">
        <v>8</v>
      </c>
      <c r="GV433" s="27" t="s">
        <v>7</v>
      </c>
      <c r="GW433" s="27" t="s">
        <v>8</v>
      </c>
      <c r="HX433" s="27" t="s">
        <v>7</v>
      </c>
      <c r="HY433" s="27" t="s">
        <v>8</v>
      </c>
      <c r="IB433" s="27" t="s">
        <v>7</v>
      </c>
      <c r="IC433" s="27" t="s">
        <v>8</v>
      </c>
      <c r="ID433" s="27" t="s">
        <v>7</v>
      </c>
      <c r="IF433" s="27" t="s">
        <v>7</v>
      </c>
    </row>
    <row r="434" spans="1:256" x14ac:dyDescent="0.25">
      <c r="A434" s="7">
        <v>20.693134452910591</v>
      </c>
      <c r="B434"/>
      <c r="C434"/>
      <c r="D434"/>
      <c r="E434"/>
      <c r="BU434" s="27" t="s">
        <v>8</v>
      </c>
      <c r="EB434" s="27" t="s">
        <v>7</v>
      </c>
      <c r="EC434" s="27" t="s">
        <v>8</v>
      </c>
      <c r="EN434" s="27" t="s">
        <v>7</v>
      </c>
      <c r="EO434" s="27" t="s">
        <v>8</v>
      </c>
      <c r="EP434" s="27" t="s">
        <v>7</v>
      </c>
      <c r="EQ434" s="27" t="s">
        <v>8</v>
      </c>
      <c r="ES434" s="27" t="s">
        <v>8</v>
      </c>
      <c r="ET434" s="27" t="s">
        <v>7</v>
      </c>
      <c r="EU434" s="27" t="s">
        <v>8</v>
      </c>
      <c r="EV434" s="27" t="s">
        <v>7</v>
      </c>
      <c r="FG434" s="27" t="s">
        <v>8</v>
      </c>
      <c r="GT434" s="27" t="s">
        <v>7</v>
      </c>
      <c r="GU434" s="27" t="s">
        <v>8</v>
      </c>
      <c r="GV434" s="27" t="s">
        <v>7</v>
      </c>
      <c r="GW434" s="27" t="s">
        <v>8</v>
      </c>
      <c r="HX434" s="27" t="s">
        <v>7</v>
      </c>
      <c r="IB434" s="27" t="s">
        <v>7</v>
      </c>
      <c r="IC434" s="27" t="s">
        <v>8</v>
      </c>
      <c r="IF434" s="27" t="s">
        <v>7</v>
      </c>
    </row>
    <row r="435" spans="1:256" x14ac:dyDescent="0.25">
      <c r="A435" s="7">
        <v>20.287386718539796</v>
      </c>
      <c r="B435"/>
      <c r="C435"/>
      <c r="D435"/>
      <c r="E435"/>
      <c r="BU435" s="27" t="s">
        <v>8</v>
      </c>
      <c r="EB435" s="27" t="s">
        <v>7</v>
      </c>
      <c r="EC435" s="27" t="s">
        <v>8</v>
      </c>
      <c r="EN435" s="27" t="s">
        <v>7</v>
      </c>
      <c r="EO435" s="27" t="s">
        <v>8</v>
      </c>
      <c r="EP435" s="27" t="s">
        <v>7</v>
      </c>
      <c r="EQ435" s="27" t="s">
        <v>8</v>
      </c>
      <c r="ER435" s="27" t="s">
        <v>7</v>
      </c>
      <c r="ES435" s="27" t="s">
        <v>8</v>
      </c>
      <c r="ET435" s="27" t="s">
        <v>7</v>
      </c>
      <c r="EU435" s="27" t="s">
        <v>8</v>
      </c>
      <c r="EV435" s="27" t="s">
        <v>7</v>
      </c>
      <c r="FG435" s="27" t="s">
        <v>8</v>
      </c>
      <c r="GT435" s="27" t="s">
        <v>7</v>
      </c>
      <c r="GU435" s="27" t="s">
        <v>8</v>
      </c>
      <c r="GV435" s="27" t="s">
        <v>7</v>
      </c>
      <c r="IB435" s="27" t="s">
        <v>7</v>
      </c>
      <c r="IF435" s="27" t="s">
        <v>7</v>
      </c>
    </row>
    <row r="436" spans="1:256" x14ac:dyDescent="0.25">
      <c r="A436" s="7">
        <v>19.889594822097838</v>
      </c>
      <c r="B436"/>
      <c r="C436"/>
      <c r="D436"/>
      <c r="E436"/>
      <c r="BU436" s="27" t="s">
        <v>8</v>
      </c>
      <c r="EB436" s="27" t="s">
        <v>7</v>
      </c>
      <c r="EN436" s="27" t="s">
        <v>7</v>
      </c>
      <c r="EO436" s="27" t="s">
        <v>8</v>
      </c>
      <c r="EP436" s="27" t="s">
        <v>7</v>
      </c>
      <c r="EQ436" s="27" t="s">
        <v>8</v>
      </c>
      <c r="ER436" s="27" t="s">
        <v>7</v>
      </c>
      <c r="ES436" s="27" t="s">
        <v>8</v>
      </c>
      <c r="ET436" s="27" t="s">
        <v>7</v>
      </c>
      <c r="EU436" s="27" t="s">
        <v>8</v>
      </c>
      <c r="EV436" s="27" t="s">
        <v>7</v>
      </c>
      <c r="EW436" s="27" t="s">
        <v>8</v>
      </c>
      <c r="FG436" s="27" t="s">
        <v>8</v>
      </c>
      <c r="GT436" s="27" t="s">
        <v>7</v>
      </c>
      <c r="IF436" s="27" t="s">
        <v>7</v>
      </c>
    </row>
    <row r="437" spans="1:256" x14ac:dyDescent="0.25">
      <c r="A437" s="7">
        <v>19.499602766762585</v>
      </c>
      <c r="B437"/>
      <c r="C437"/>
      <c r="D437"/>
      <c r="E437"/>
      <c r="BU437" s="27" t="s">
        <v>8</v>
      </c>
      <c r="EN437" s="27" t="s">
        <v>7</v>
      </c>
      <c r="EO437" s="27" t="s">
        <v>8</v>
      </c>
      <c r="EP437" s="27" t="s">
        <v>7</v>
      </c>
      <c r="EQ437" s="27" t="s">
        <v>8</v>
      </c>
      <c r="ER437" s="27" t="s">
        <v>7</v>
      </c>
      <c r="ES437" s="27" t="s">
        <v>8</v>
      </c>
      <c r="ET437" s="27" t="s">
        <v>7</v>
      </c>
      <c r="EU437" s="27" t="s">
        <v>8</v>
      </c>
      <c r="EV437" s="27" t="s">
        <v>7</v>
      </c>
      <c r="EW437" s="27" t="s">
        <v>8</v>
      </c>
      <c r="EX437" s="27" t="s">
        <v>7</v>
      </c>
      <c r="FG437" s="27" t="s">
        <v>8</v>
      </c>
      <c r="IF437" s="27" t="s">
        <v>7</v>
      </c>
    </row>
    <row r="438" spans="1:256" x14ac:dyDescent="0.25">
      <c r="A438" s="7">
        <v>19.117257614473122</v>
      </c>
      <c r="B438"/>
      <c r="C438"/>
      <c r="D438"/>
      <c r="E438"/>
      <c r="BU438" s="27" t="s">
        <v>8</v>
      </c>
      <c r="EN438" s="27" t="s">
        <v>7</v>
      </c>
      <c r="EO438" s="27" t="s">
        <v>8</v>
      </c>
      <c r="EP438" s="27" t="s">
        <v>7</v>
      </c>
      <c r="EQ438" s="27" t="s">
        <v>8</v>
      </c>
      <c r="ER438" s="27" t="s">
        <v>7</v>
      </c>
      <c r="ES438" s="27" t="s">
        <v>8</v>
      </c>
      <c r="ET438" s="27" t="s">
        <v>7</v>
      </c>
      <c r="EV438" s="27" t="s">
        <v>7</v>
      </c>
      <c r="EW438" s="27" t="s">
        <v>8</v>
      </c>
      <c r="EX438" s="27" t="s">
        <v>7</v>
      </c>
      <c r="FG438" s="27" t="s">
        <v>8</v>
      </c>
      <c r="IF438" s="27" t="s">
        <v>7</v>
      </c>
      <c r="IG438" s="27" t="s">
        <v>8</v>
      </c>
    </row>
    <row r="439" spans="1:256" x14ac:dyDescent="0.25">
      <c r="A439" s="7">
        <v>18.74240942595404</v>
      </c>
      <c r="B439"/>
      <c r="C439"/>
      <c r="D439"/>
      <c r="E439"/>
      <c r="BU439" s="27" t="s">
        <v>8</v>
      </c>
      <c r="EN439" s="27" t="s">
        <v>7</v>
      </c>
      <c r="EO439" s="27" t="s">
        <v>8</v>
      </c>
      <c r="EP439" s="27" t="s">
        <v>7</v>
      </c>
      <c r="EQ439" s="27" t="s">
        <v>8</v>
      </c>
      <c r="ER439" s="27" t="s">
        <v>7</v>
      </c>
      <c r="ES439" s="27" t="s">
        <v>8</v>
      </c>
      <c r="EV439" s="27" t="s">
        <v>7</v>
      </c>
      <c r="EW439" s="27" t="s">
        <v>8</v>
      </c>
      <c r="EX439" s="27" t="s">
        <v>7</v>
      </c>
      <c r="FG439" s="27" t="s">
        <v>8</v>
      </c>
      <c r="IF439" s="27" t="s">
        <v>7</v>
      </c>
      <c r="IG439" s="27" t="s">
        <v>8</v>
      </c>
      <c r="IH439" s="27" t="s">
        <v>7</v>
      </c>
      <c r="IK439" s="27" t="s">
        <v>8</v>
      </c>
    </row>
    <row r="440" spans="1:256" x14ac:dyDescent="0.25">
      <c r="A440" s="7">
        <v>18.374911201915726</v>
      </c>
      <c r="B440"/>
      <c r="C440"/>
      <c r="D440"/>
      <c r="E440"/>
      <c r="BU440" s="27" t="s">
        <v>8</v>
      </c>
      <c r="EN440" s="27" t="s">
        <v>7</v>
      </c>
      <c r="EO440" s="27" t="s">
        <v>8</v>
      </c>
      <c r="EP440" s="27" t="s">
        <v>7</v>
      </c>
      <c r="EQ440" s="27" t="s">
        <v>8</v>
      </c>
      <c r="ER440" s="27" t="s">
        <v>7</v>
      </c>
      <c r="ES440" s="27" t="s">
        <v>8</v>
      </c>
      <c r="EV440" s="27" t="s">
        <v>7</v>
      </c>
      <c r="EX440" s="27" t="s">
        <v>7</v>
      </c>
      <c r="EY440" s="27" t="s">
        <v>8</v>
      </c>
      <c r="FE440" s="27" t="s">
        <v>8</v>
      </c>
      <c r="FG440" s="27" t="s">
        <v>8</v>
      </c>
      <c r="IF440" s="27" t="s">
        <v>7</v>
      </c>
      <c r="IG440" s="27" t="s">
        <v>8</v>
      </c>
      <c r="IH440" s="27" t="s">
        <v>7</v>
      </c>
      <c r="IK440" s="27" t="s">
        <v>8</v>
      </c>
      <c r="IL440" s="27" t="s">
        <v>7</v>
      </c>
    </row>
    <row r="441" spans="1:256" x14ac:dyDescent="0.25">
      <c r="A441" s="7">
        <v>18.014618825407574</v>
      </c>
      <c r="B441"/>
      <c r="C441"/>
      <c r="D441"/>
      <c r="E441"/>
      <c r="BU441" s="27" t="s">
        <v>8</v>
      </c>
      <c r="EN441" s="27" t="s">
        <v>7</v>
      </c>
      <c r="EO441" s="27" t="s">
        <v>8</v>
      </c>
      <c r="EP441" s="27" t="s">
        <v>7</v>
      </c>
      <c r="EQ441" s="27" t="s">
        <v>8</v>
      </c>
      <c r="ER441" s="27" t="s">
        <v>7</v>
      </c>
      <c r="ES441" s="27" t="s">
        <v>8</v>
      </c>
      <c r="EX441" s="27" t="s">
        <v>7</v>
      </c>
      <c r="EY441" s="27" t="s">
        <v>8</v>
      </c>
      <c r="EZ441" s="27" t="s">
        <v>7</v>
      </c>
      <c r="FE441" s="27" t="s">
        <v>8</v>
      </c>
      <c r="FF441" s="27" t="s">
        <v>7</v>
      </c>
      <c r="FG441" s="27" t="s">
        <v>8</v>
      </c>
      <c r="IF441" s="27" t="s">
        <v>7</v>
      </c>
      <c r="IG441" s="27" t="s">
        <v>8</v>
      </c>
      <c r="IH441" s="27" t="s">
        <v>7</v>
      </c>
      <c r="IK441" s="27" t="s">
        <v>8</v>
      </c>
      <c r="IL441" s="27" t="s">
        <v>7</v>
      </c>
    </row>
    <row r="442" spans="1:256" x14ac:dyDescent="0.25">
      <c r="A442" s="7">
        <v>17.661391005301542</v>
      </c>
      <c r="B442"/>
      <c r="C442"/>
      <c r="D442"/>
      <c r="E442"/>
      <c r="BU442" s="27" t="s">
        <v>8</v>
      </c>
      <c r="EN442" s="27" t="s">
        <v>7</v>
      </c>
      <c r="EO442" s="27" t="s">
        <v>8</v>
      </c>
      <c r="EP442" s="27" t="s">
        <v>7</v>
      </c>
      <c r="EQ442" s="27" t="s">
        <v>8</v>
      </c>
      <c r="ER442" s="27" t="s">
        <v>7</v>
      </c>
      <c r="ES442" s="27" t="s">
        <v>8</v>
      </c>
      <c r="EX442" s="27" t="s">
        <v>7</v>
      </c>
      <c r="EY442" s="27" t="s">
        <v>8</v>
      </c>
      <c r="EZ442" s="27" t="s">
        <v>7</v>
      </c>
      <c r="FE442" s="27" t="s">
        <v>8</v>
      </c>
      <c r="FF442" s="27" t="s">
        <v>7</v>
      </c>
      <c r="FG442" s="27" t="s">
        <v>8</v>
      </c>
      <c r="IF442" s="27" t="s">
        <v>7</v>
      </c>
      <c r="IG442" s="27" t="s">
        <v>8</v>
      </c>
      <c r="IH442" s="27" t="s">
        <v>7</v>
      </c>
      <c r="IK442" s="27" t="s">
        <v>8</v>
      </c>
      <c r="IL442" s="27" t="s">
        <v>7</v>
      </c>
      <c r="IQ442" s="27" t="s">
        <v>8</v>
      </c>
    </row>
    <row r="443" spans="1:256" x14ac:dyDescent="0.25">
      <c r="A443" s="7">
        <v>17.315089220883866</v>
      </c>
      <c r="B443"/>
      <c r="C443"/>
      <c r="D443"/>
      <c r="E443"/>
      <c r="BU443" s="27" t="s">
        <v>8</v>
      </c>
      <c r="EN443" s="27" t="s">
        <v>7</v>
      </c>
      <c r="EO443" s="27" t="s">
        <v>8</v>
      </c>
      <c r="EP443" s="27" t="s">
        <v>7</v>
      </c>
      <c r="EQ443" s="27" t="s">
        <v>8</v>
      </c>
      <c r="ER443" s="27" t="s">
        <v>7</v>
      </c>
      <c r="EX443" s="27" t="s">
        <v>7</v>
      </c>
      <c r="EY443" s="27" t="s">
        <v>8</v>
      </c>
      <c r="EZ443" s="27" t="s">
        <v>7</v>
      </c>
      <c r="FC443" s="27" t="s">
        <v>8</v>
      </c>
      <c r="FE443" s="27" t="s">
        <v>8</v>
      </c>
      <c r="FF443" s="27" t="s">
        <v>7</v>
      </c>
      <c r="IF443" s="27" t="s">
        <v>7</v>
      </c>
      <c r="IG443" s="27" t="s">
        <v>8</v>
      </c>
      <c r="IH443" s="27" t="s">
        <v>7</v>
      </c>
      <c r="II443" s="27" t="s">
        <v>8</v>
      </c>
      <c r="IK443" s="27" t="s">
        <v>8</v>
      </c>
      <c r="IL443" s="27" t="s">
        <v>7</v>
      </c>
      <c r="IQ443" s="27" t="s">
        <v>8</v>
      </c>
      <c r="IR443" s="27" t="s">
        <v>7</v>
      </c>
    </row>
    <row r="444" spans="1:256" x14ac:dyDescent="0.25">
      <c r="A444" s="7">
        <v>16.975577667533202</v>
      </c>
      <c r="B444"/>
      <c r="C444"/>
      <c r="D444"/>
      <c r="E444"/>
      <c r="BU444" s="27" t="s">
        <v>8</v>
      </c>
      <c r="EN444" s="27" t="s">
        <v>7</v>
      </c>
      <c r="EO444" s="27" t="s">
        <v>8</v>
      </c>
      <c r="EP444" s="27" t="s">
        <v>7</v>
      </c>
      <c r="EQ444" s="27" t="s">
        <v>8</v>
      </c>
      <c r="EX444" s="27" t="s">
        <v>7</v>
      </c>
      <c r="EZ444" s="27" t="s">
        <v>7</v>
      </c>
      <c r="FA444" s="27" t="s">
        <v>8</v>
      </c>
      <c r="FC444" s="27" t="s">
        <v>8</v>
      </c>
      <c r="FD444" s="27" t="s">
        <v>7</v>
      </c>
      <c r="FE444" s="27" t="s">
        <v>8</v>
      </c>
      <c r="IF444" s="27" t="s">
        <v>7</v>
      </c>
      <c r="IG444" s="27" t="s">
        <v>8</v>
      </c>
      <c r="IH444" s="27" t="s">
        <v>7</v>
      </c>
      <c r="II444" s="27" t="s">
        <v>8</v>
      </c>
      <c r="IJ444" s="27" t="s">
        <v>7</v>
      </c>
      <c r="IK444" s="27" t="s">
        <v>8</v>
      </c>
      <c r="IL444" s="27" t="s">
        <v>7</v>
      </c>
      <c r="IQ444" s="27" t="s">
        <v>8</v>
      </c>
      <c r="IR444" s="27" t="s">
        <v>7</v>
      </c>
    </row>
    <row r="445" spans="1:256" x14ac:dyDescent="0.25">
      <c r="A445" s="7">
        <v>16.642723203463923</v>
      </c>
      <c r="B445"/>
      <c r="C445"/>
      <c r="D445"/>
      <c r="E445"/>
      <c r="BU445" s="27" t="s">
        <v>8</v>
      </c>
      <c r="EN445" s="27" t="s">
        <v>7</v>
      </c>
      <c r="EO445" s="27" t="s">
        <v>8</v>
      </c>
      <c r="EP445" s="27" t="s">
        <v>7</v>
      </c>
      <c r="EZ445" s="27" t="s">
        <v>7</v>
      </c>
      <c r="FA445" s="27" t="s">
        <v>8</v>
      </c>
      <c r="FB445" s="27" t="s">
        <v>7</v>
      </c>
      <c r="FC445" s="27" t="s">
        <v>8</v>
      </c>
      <c r="FD445" s="27" t="s">
        <v>7</v>
      </c>
      <c r="FE445" s="27" t="s">
        <v>8</v>
      </c>
      <c r="IF445" s="27" t="s">
        <v>7</v>
      </c>
      <c r="IH445" s="27" t="s">
        <v>7</v>
      </c>
      <c r="II445" s="27" t="s">
        <v>8</v>
      </c>
      <c r="IJ445" s="27" t="s">
        <v>7</v>
      </c>
      <c r="IK445" s="27" t="s">
        <v>8</v>
      </c>
      <c r="IL445" s="27" t="s">
        <v>7</v>
      </c>
      <c r="IQ445" s="27" t="s">
        <v>8</v>
      </c>
      <c r="IR445" s="27" t="s">
        <v>7</v>
      </c>
      <c r="IU445" s="27" t="s">
        <v>8</v>
      </c>
    </row>
    <row r="446" spans="1:256" x14ac:dyDescent="0.25">
      <c r="A446" s="7">
        <v>16.316395297513651</v>
      </c>
      <c r="B446"/>
      <c r="C446"/>
      <c r="D446"/>
      <c r="E446"/>
      <c r="BU446" s="27" t="s">
        <v>8</v>
      </c>
      <c r="EN446" s="27" t="s">
        <v>7</v>
      </c>
      <c r="EO446" s="27" t="s">
        <v>8</v>
      </c>
      <c r="EZ446" s="27" t="s">
        <v>7</v>
      </c>
      <c r="FA446" s="27" t="s">
        <v>8</v>
      </c>
      <c r="FB446" s="27" t="s">
        <v>7</v>
      </c>
      <c r="FC446" s="27" t="s">
        <v>8</v>
      </c>
      <c r="FD446" s="27" t="s">
        <v>7</v>
      </c>
      <c r="FE446" s="27" t="s">
        <v>8</v>
      </c>
      <c r="IH446" s="27" t="s">
        <v>7</v>
      </c>
      <c r="II446" s="27" t="s">
        <v>8</v>
      </c>
      <c r="IJ446" s="27" t="s">
        <v>7</v>
      </c>
      <c r="IK446" s="27" t="s">
        <v>8</v>
      </c>
      <c r="IL446" s="27" t="s">
        <v>7</v>
      </c>
      <c r="IM446" s="27" t="s">
        <v>8</v>
      </c>
      <c r="IQ446" s="27" t="s">
        <v>8</v>
      </c>
      <c r="IR446" s="27" t="s">
        <v>7</v>
      </c>
      <c r="IU446" s="27" t="s">
        <v>8</v>
      </c>
      <c r="IV446" s="27" t="s">
        <v>7</v>
      </c>
    </row>
    <row r="447" spans="1:256" x14ac:dyDescent="0.25">
      <c r="A447" s="7">
        <v>15.996465977954561</v>
      </c>
      <c r="B447"/>
      <c r="C447"/>
      <c r="D447"/>
      <c r="E447"/>
      <c r="BU447" s="27" t="s">
        <v>8</v>
      </c>
      <c r="EN447" s="27" t="s">
        <v>7</v>
      </c>
      <c r="EO447" s="27" t="s">
        <v>8</v>
      </c>
      <c r="EZ447" s="27" t="s">
        <v>7</v>
      </c>
      <c r="FA447" s="27" t="s">
        <v>8</v>
      </c>
      <c r="FB447" s="27" t="s">
        <v>7</v>
      </c>
      <c r="FC447" s="27" t="s">
        <v>8</v>
      </c>
      <c r="FD447" s="27" t="s">
        <v>7</v>
      </c>
      <c r="IH447" s="27" t="s">
        <v>7</v>
      </c>
      <c r="II447" s="27" t="s">
        <v>8</v>
      </c>
      <c r="IJ447" s="27" t="s">
        <v>7</v>
      </c>
      <c r="IK447" s="27" t="s">
        <v>8</v>
      </c>
      <c r="IL447" s="27" t="s">
        <v>7</v>
      </c>
      <c r="IM447" s="27" t="s">
        <v>8</v>
      </c>
      <c r="IN447" s="27" t="s">
        <v>7</v>
      </c>
      <c r="IQ447" s="27" t="s">
        <v>8</v>
      </c>
      <c r="IR447" s="27" t="s">
        <v>7</v>
      </c>
      <c r="IS447" s="27" t="s">
        <v>8</v>
      </c>
      <c r="IU447" s="27" t="s">
        <v>8</v>
      </c>
      <c r="IV447" s="27" t="s">
        <v>7</v>
      </c>
    </row>
    <row r="448" spans="1:256" x14ac:dyDescent="0.25">
      <c r="A448" s="7">
        <v>15.682809782308393</v>
      </c>
      <c r="B448"/>
      <c r="C448"/>
      <c r="D448"/>
      <c r="E448"/>
      <c r="BU448" s="27" t="s">
        <v>8</v>
      </c>
      <c r="EN448" s="27" t="s">
        <v>7</v>
      </c>
      <c r="EZ448" s="27" t="s">
        <v>7</v>
      </c>
      <c r="FB448" s="27" t="s">
        <v>7</v>
      </c>
      <c r="FC448" s="27" t="s">
        <v>8</v>
      </c>
      <c r="IH448" s="27" t="s">
        <v>7</v>
      </c>
      <c r="II448" s="27" t="s">
        <v>8</v>
      </c>
      <c r="IJ448" s="27" t="s">
        <v>7</v>
      </c>
      <c r="IK448" s="27" t="s">
        <v>8</v>
      </c>
      <c r="IL448" s="27" t="s">
        <v>7</v>
      </c>
      <c r="IM448" s="27" t="s">
        <v>8</v>
      </c>
      <c r="IN448" s="27" t="s">
        <v>7</v>
      </c>
      <c r="IO448" s="27" t="s">
        <v>8</v>
      </c>
      <c r="IQ448" s="27" t="s">
        <v>8</v>
      </c>
      <c r="IR448" s="27" t="s">
        <v>7</v>
      </c>
      <c r="IS448" s="27" t="s">
        <v>8</v>
      </c>
      <c r="IT448" s="27" t="s">
        <v>7</v>
      </c>
      <c r="IU448" s="27" t="s">
        <v>8</v>
      </c>
      <c r="IV448" s="27" t="s">
        <v>7</v>
      </c>
    </row>
    <row r="449" spans="1:260" x14ac:dyDescent="0.25">
      <c r="A449" s="7">
        <v>15.375303708145482</v>
      </c>
      <c r="B449"/>
      <c r="C449"/>
      <c r="D449"/>
      <c r="E449"/>
      <c r="BU449" s="27" t="s">
        <v>8</v>
      </c>
      <c r="FB449" s="27" t="s">
        <v>7</v>
      </c>
      <c r="FC449" s="27" t="s">
        <v>8</v>
      </c>
      <c r="IH449" s="27" t="s">
        <v>7</v>
      </c>
      <c r="IJ449" s="27" t="s">
        <v>7</v>
      </c>
      <c r="IK449" s="27" t="s">
        <v>8</v>
      </c>
      <c r="IL449" s="27" t="s">
        <v>7</v>
      </c>
      <c r="IM449" s="27" t="s">
        <v>8</v>
      </c>
      <c r="IN449" s="27" t="s">
        <v>7</v>
      </c>
      <c r="IO449" s="27" t="s">
        <v>8</v>
      </c>
      <c r="IP449" s="27" t="s">
        <v>7</v>
      </c>
      <c r="IQ449" s="27" t="s">
        <v>8</v>
      </c>
      <c r="IR449" s="27" t="s">
        <v>7</v>
      </c>
      <c r="IS449" s="27" t="s">
        <v>8</v>
      </c>
      <c r="IT449" s="27" t="s">
        <v>7</v>
      </c>
      <c r="IU449" s="27" t="s">
        <v>8</v>
      </c>
      <c r="IV449" s="27" t="s">
        <v>7</v>
      </c>
    </row>
    <row r="450" spans="1:260" x14ac:dyDescent="0.25">
      <c r="A450" s="7">
        <v>15.073827164848511</v>
      </c>
      <c r="B450"/>
      <c r="C450"/>
      <c r="D450"/>
      <c r="E450"/>
      <c r="BU450" s="27" t="s">
        <v>8</v>
      </c>
      <c r="FB450" s="27" t="s">
        <v>7</v>
      </c>
      <c r="FC450" s="27" t="s">
        <v>8</v>
      </c>
      <c r="IJ450" s="27" t="s">
        <v>7</v>
      </c>
      <c r="IK450" s="27" t="s">
        <v>8</v>
      </c>
      <c r="IL450" s="27" t="s">
        <v>7</v>
      </c>
      <c r="IN450" s="27" t="s">
        <v>7</v>
      </c>
      <c r="IO450" s="27" t="s">
        <v>8</v>
      </c>
      <c r="IP450" s="27" t="s">
        <v>7</v>
      </c>
      <c r="IQ450" s="27" t="s">
        <v>8</v>
      </c>
      <c r="IR450" s="27" t="s">
        <v>7</v>
      </c>
      <c r="IT450" s="27" t="s">
        <v>7</v>
      </c>
      <c r="IV450" s="27" t="s">
        <v>7</v>
      </c>
    </row>
    <row r="451" spans="1:260" x14ac:dyDescent="0.25">
      <c r="A451" s="7">
        <v>14.77826192632207</v>
      </c>
      <c r="B451"/>
      <c r="C451"/>
      <c r="D451"/>
      <c r="E451"/>
      <c r="BU451" s="27" t="s">
        <v>8</v>
      </c>
      <c r="FB451" s="18" t="s">
        <v>7</v>
      </c>
      <c r="FC451" s="27" t="s">
        <v>8</v>
      </c>
      <c r="IJ451" s="27" t="s">
        <v>7</v>
      </c>
      <c r="IN451" s="27" t="s">
        <v>7</v>
      </c>
      <c r="IP451" s="27" t="s">
        <v>7</v>
      </c>
      <c r="IQ451" s="27" t="s">
        <v>8</v>
      </c>
      <c r="IV451" s="27" t="s">
        <v>7</v>
      </c>
    </row>
    <row r="452" spans="1:260" x14ac:dyDescent="0.25">
      <c r="A452" s="7">
        <v>14.488492084629481</v>
      </c>
      <c r="B452"/>
      <c r="C452"/>
      <c r="D452"/>
      <c r="E452"/>
      <c r="BU452" s="27" t="s">
        <v>8</v>
      </c>
      <c r="FB452" s="27" t="s">
        <v>7</v>
      </c>
      <c r="FC452" s="27" t="s">
        <v>8</v>
      </c>
      <c r="IP452" s="27" t="s">
        <v>7</v>
      </c>
      <c r="IV452" s="27" t="s">
        <v>7</v>
      </c>
      <c r="IW452" s="27" t="s">
        <v>8</v>
      </c>
      <c r="IY452" s="27" t="s">
        <v>8</v>
      </c>
    </row>
    <row r="453" spans="1:260" x14ac:dyDescent="0.25">
      <c r="A453" s="7">
        <v>14.204404004538707</v>
      </c>
      <c r="B453"/>
      <c r="C453"/>
      <c r="D453"/>
      <c r="E453"/>
      <c r="BU453" s="27" t="s">
        <v>8</v>
      </c>
      <c r="FB453" s="27" t="s">
        <v>7</v>
      </c>
      <c r="FC453" s="27" t="s">
        <v>8</v>
      </c>
      <c r="IV453" s="27" t="s">
        <v>7</v>
      </c>
      <c r="IW453" s="27" t="s">
        <v>8</v>
      </c>
      <c r="IX453" s="27" t="s">
        <v>7</v>
      </c>
      <c r="IY453" s="27" t="s">
        <v>8</v>
      </c>
      <c r="IZ453" s="27" t="s">
        <v>7</v>
      </c>
    </row>
    <row r="454" spans="1:260" x14ac:dyDescent="0.25">
      <c r="A454" s="7">
        <v>13.925886278959517</v>
      </c>
      <c r="B454"/>
      <c r="C454"/>
      <c r="D454"/>
      <c r="E454"/>
      <c r="BU454" s="27" t="s">
        <v>8</v>
      </c>
      <c r="FB454" s="27" t="s">
        <v>7</v>
      </c>
      <c r="FC454" s="27" t="s">
        <v>8</v>
      </c>
      <c r="IV454" s="27" t="s">
        <v>7</v>
      </c>
      <c r="IW454" s="27" t="s">
        <v>8</v>
      </c>
      <c r="IX454" s="27" t="s">
        <v>7</v>
      </c>
      <c r="IY454" s="27" t="s">
        <v>8</v>
      </c>
      <c r="IZ454" s="27" t="s">
        <v>7</v>
      </c>
    </row>
    <row r="455" spans="1:260" x14ac:dyDescent="0.25">
      <c r="A455" s="7">
        <v>13.652829685254428</v>
      </c>
      <c r="B455"/>
      <c r="C455"/>
      <c r="D455"/>
      <c r="E455"/>
      <c r="BU455" s="27" t="s">
        <v>8</v>
      </c>
      <c r="FB455" s="27" t="s">
        <v>7</v>
      </c>
      <c r="FC455" s="27" t="s">
        <v>8</v>
      </c>
      <c r="IV455" s="27" t="s">
        <v>7</v>
      </c>
      <c r="IW455" s="27" t="s">
        <v>8</v>
      </c>
      <c r="IX455" s="27" t="s">
        <v>7</v>
      </c>
      <c r="IY455" s="27" t="s">
        <v>8</v>
      </c>
      <c r="IZ455" s="27" t="s">
        <v>7</v>
      </c>
    </row>
    <row r="456" spans="1:260" x14ac:dyDescent="0.25">
      <c r="A456" s="7">
        <v>13.385127142406303</v>
      </c>
      <c r="B456"/>
      <c r="C456"/>
      <c r="D456"/>
      <c r="E456"/>
      <c r="BU456" s="27" t="s">
        <v>8</v>
      </c>
      <c r="FB456" s="27" t="s">
        <v>7</v>
      </c>
      <c r="IV456" s="27" t="s">
        <v>7</v>
      </c>
      <c r="IX456" s="27" t="s">
        <v>7</v>
      </c>
      <c r="IY456" s="27" t="s">
        <v>8</v>
      </c>
      <c r="IZ456" s="27" t="s">
        <v>7</v>
      </c>
    </row>
    <row r="457" spans="1:260" x14ac:dyDescent="0.25">
      <c r="A457" s="7">
        <v>13.122673669025787</v>
      </c>
      <c r="B457"/>
      <c r="C457"/>
      <c r="D457"/>
      <c r="E457"/>
      <c r="BU457" s="27" t="s">
        <v>8</v>
      </c>
      <c r="IX457" s="27" t="s">
        <v>7</v>
      </c>
      <c r="IY457" s="27" t="s">
        <v>8</v>
      </c>
      <c r="IZ457" s="27" t="s">
        <v>7</v>
      </c>
    </row>
    <row r="458" spans="1:260" x14ac:dyDescent="0.25">
      <c r="A458" s="7">
        <v>12.865366342182144</v>
      </c>
      <c r="B458"/>
      <c r="C458"/>
      <c r="D458"/>
      <c r="E458"/>
      <c r="BO458" s="27" t="s">
        <v>8</v>
      </c>
      <c r="BS458" s="27" t="s">
        <v>8</v>
      </c>
      <c r="BU458" s="27" t="s">
        <v>8</v>
      </c>
      <c r="IX458" s="27" t="s">
        <v>7</v>
      </c>
      <c r="IZ458" s="27" t="s">
        <v>7</v>
      </c>
    </row>
    <row r="459" spans="1:260" x14ac:dyDescent="0.25">
      <c r="A459" s="7">
        <v>12.613104257041318</v>
      </c>
      <c r="B459"/>
      <c r="C459"/>
      <c r="D459"/>
      <c r="E459"/>
      <c r="BO459" s="27" t="s">
        <v>8</v>
      </c>
      <c r="BP459" s="27" t="s">
        <v>7</v>
      </c>
      <c r="BS459" s="27" t="s">
        <v>8</v>
      </c>
      <c r="BT459" s="27" t="s">
        <v>7</v>
      </c>
      <c r="BU459" s="27" t="s">
        <v>8</v>
      </c>
      <c r="IZ459" s="27" t="s">
        <v>7</v>
      </c>
    </row>
    <row r="460" spans="1:260" x14ac:dyDescent="0.25">
      <c r="A460" s="7">
        <v>12.36578848729541</v>
      </c>
      <c r="B460"/>
      <c r="C460"/>
      <c r="D460"/>
      <c r="E460"/>
      <c r="BO460" s="27" t="s">
        <v>8</v>
      </c>
      <c r="BP460" s="27" t="s">
        <v>7</v>
      </c>
      <c r="BS460" s="27" t="s">
        <v>8</v>
      </c>
      <c r="BT460" s="27" t="s">
        <v>7</v>
      </c>
      <c r="BU460" s="27" t="s">
        <v>8</v>
      </c>
      <c r="IZ460" s="27" t="s">
        <v>7</v>
      </c>
    </row>
    <row r="461" spans="1:260" x14ac:dyDescent="0.25">
      <c r="A461" s="7">
        <v>12.123322046368049</v>
      </c>
      <c r="B461"/>
      <c r="C461"/>
      <c r="D461"/>
      <c r="E461"/>
      <c r="BO461" s="27" t="s">
        <v>8</v>
      </c>
      <c r="BP461" s="27" t="s">
        <v>7</v>
      </c>
      <c r="BS461" s="27" t="s">
        <v>8</v>
      </c>
      <c r="BT461" s="27" t="s">
        <v>7</v>
      </c>
      <c r="BU461" s="27" t="s">
        <v>8</v>
      </c>
      <c r="IZ461" s="27" t="s">
        <v>7</v>
      </c>
    </row>
    <row r="462" spans="1:260" x14ac:dyDescent="0.25">
      <c r="A462" s="7">
        <v>11.88560984938044</v>
      </c>
      <c r="B462"/>
      <c r="C462"/>
      <c r="D462"/>
      <c r="E462"/>
      <c r="BO462" s="27" t="s">
        <v>8</v>
      </c>
      <c r="BP462" s="27" t="s">
        <v>7</v>
      </c>
      <c r="BS462" s="27" t="s">
        <v>8</v>
      </c>
      <c r="BT462" s="27" t="s">
        <v>7</v>
      </c>
      <c r="BU462" s="27" t="s">
        <v>8</v>
      </c>
      <c r="IZ462" s="27" t="s">
        <v>7</v>
      </c>
    </row>
    <row r="463" spans="1:260" x14ac:dyDescent="0.25">
      <c r="A463" s="7">
        <v>11.652558675863176</v>
      </c>
      <c r="B463"/>
      <c r="C463"/>
      <c r="D463"/>
      <c r="E463"/>
      <c r="BO463" s="27" t="s">
        <v>8</v>
      </c>
      <c r="BP463" s="27" t="s">
        <v>7</v>
      </c>
      <c r="BS463" s="27" t="s">
        <v>8</v>
      </c>
      <c r="BT463" s="27" t="s">
        <v>7</v>
      </c>
      <c r="BU463" s="27" t="s">
        <v>8</v>
      </c>
      <c r="IZ463" s="27" t="s">
        <v>7</v>
      </c>
    </row>
    <row r="464" spans="1:260" x14ac:dyDescent="0.25">
      <c r="A464" s="7">
        <v>11.424077133199193</v>
      </c>
      <c r="B464"/>
      <c r="C464"/>
      <c r="D464"/>
      <c r="E464"/>
      <c r="BO464" s="27" t="s">
        <v>8</v>
      </c>
      <c r="BP464" s="27" t="s">
        <v>7</v>
      </c>
      <c r="BS464" s="27" t="s">
        <v>8</v>
      </c>
      <c r="BT464" s="27" t="s">
        <v>7</v>
      </c>
      <c r="BU464" s="27" t="s">
        <v>8</v>
      </c>
      <c r="IZ464" s="27" t="s">
        <v>7</v>
      </c>
    </row>
    <row r="465" spans="1:264" x14ac:dyDescent="0.25">
      <c r="A465" s="7">
        <v>11.200075620783522</v>
      </c>
      <c r="B465"/>
      <c r="C465"/>
      <c r="D465"/>
      <c r="E465"/>
      <c r="BO465" s="27" t="s">
        <v>8</v>
      </c>
      <c r="BP465" s="27" t="s">
        <v>7</v>
      </c>
      <c r="BS465" s="27" t="s">
        <v>8</v>
      </c>
      <c r="BT465" s="27" t="s">
        <v>7</v>
      </c>
      <c r="BU465" s="27" t="s">
        <v>8</v>
      </c>
      <c r="IZ465" s="27" t="s">
        <v>7</v>
      </c>
    </row>
    <row r="466" spans="1:264" x14ac:dyDescent="0.25">
      <c r="A466" s="7">
        <v>10.980466294885806</v>
      </c>
      <c r="B466"/>
      <c r="C466"/>
      <c r="D466"/>
      <c r="E466"/>
      <c r="BO466" s="27" t="s">
        <v>8</v>
      </c>
      <c r="BP466" s="27" t="s">
        <v>7</v>
      </c>
      <c r="BS466" s="27" t="s">
        <v>8</v>
      </c>
      <c r="BT466" s="27" t="s">
        <v>7</v>
      </c>
      <c r="BU466" s="27" t="s">
        <v>8</v>
      </c>
      <c r="IZ466" s="27" t="s">
        <v>7</v>
      </c>
    </row>
    <row r="467" spans="1:264" x14ac:dyDescent="0.25">
      <c r="A467" s="7">
        <v>10.765163034201771</v>
      </c>
      <c r="B467"/>
      <c r="C467"/>
      <c r="D467"/>
      <c r="E467"/>
      <c r="BO467" s="27" t="s">
        <v>8</v>
      </c>
      <c r="BP467" s="27" t="s">
        <v>7</v>
      </c>
      <c r="BS467" s="27" t="s">
        <v>8</v>
      </c>
      <c r="BT467" s="27" t="s">
        <v>7</v>
      </c>
      <c r="BU467" s="27" t="s">
        <v>8</v>
      </c>
      <c r="IZ467" s="27" t="s">
        <v>7</v>
      </c>
    </row>
    <row r="468" spans="1:264" x14ac:dyDescent="0.25">
      <c r="A468" s="7">
        <v>10.554081406080169</v>
      </c>
      <c r="B468"/>
      <c r="C468"/>
      <c r="D468"/>
      <c r="E468"/>
      <c r="BO468" s="27" t="s">
        <v>8</v>
      </c>
      <c r="BP468" s="27" t="s">
        <v>7</v>
      </c>
      <c r="BS468" s="27" t="s">
        <v>8</v>
      </c>
      <c r="BT468" s="27" t="s">
        <v>7</v>
      </c>
      <c r="IZ468" s="27" t="s">
        <v>7</v>
      </c>
    </row>
    <row r="469" spans="1:264" x14ac:dyDescent="0.25">
      <c r="A469" s="7">
        <v>10.34713863341193</v>
      </c>
      <c r="B469"/>
      <c r="C469"/>
      <c r="D469"/>
      <c r="E469"/>
      <c r="BO469" s="27" t="s">
        <v>8</v>
      </c>
      <c r="BP469" s="27" t="s">
        <v>7</v>
      </c>
      <c r="BS469" s="27" t="s">
        <v>8</v>
      </c>
      <c r="IZ469" s="27" t="s">
        <v>7</v>
      </c>
    </row>
    <row r="470" spans="1:264" x14ac:dyDescent="0.25">
      <c r="A470" s="7">
        <v>10.14425356216856</v>
      </c>
      <c r="B470"/>
      <c r="C470"/>
      <c r="D470"/>
      <c r="E470"/>
      <c r="BO470" s="27" t="s">
        <v>8</v>
      </c>
      <c r="BP470" s="27" t="s">
        <v>7</v>
      </c>
      <c r="BS470" s="27" t="s">
        <v>8</v>
      </c>
      <c r="IZ470" s="27" t="s">
        <v>7</v>
      </c>
    </row>
    <row r="471" spans="1:264" x14ac:dyDescent="0.25">
      <c r="A471" s="7">
        <v>9.9453466295770188</v>
      </c>
      <c r="B471"/>
      <c r="C471"/>
      <c r="D471"/>
      <c r="E471"/>
      <c r="BO471" s="27" t="s">
        <v>8</v>
      </c>
      <c r="BP471" s="27" t="s">
        <v>7</v>
      </c>
      <c r="BS471" s="27" t="s">
        <v>8</v>
      </c>
      <c r="IZ471" s="27" t="s">
        <v>7</v>
      </c>
    </row>
    <row r="472" spans="1:264" x14ac:dyDescent="0.25">
      <c r="A472" s="7">
        <v>9.7503398329186464</v>
      </c>
      <c r="B472"/>
      <c r="C472"/>
      <c r="D472"/>
      <c r="E472"/>
      <c r="BM472" s="27" t="s">
        <v>8</v>
      </c>
      <c r="BO472" s="27" t="s">
        <v>8</v>
      </c>
      <c r="BP472" s="27" t="s">
        <v>7</v>
      </c>
      <c r="BS472" s="27" t="s">
        <v>8</v>
      </c>
      <c r="IZ472" s="27" t="s">
        <v>7</v>
      </c>
    </row>
    <row r="473" spans="1:264" x14ac:dyDescent="0.25">
      <c r="A473" s="7">
        <v>9.5591566989398498</v>
      </c>
      <c r="B473"/>
      <c r="C473"/>
      <c r="D473"/>
      <c r="E473"/>
      <c r="BM473" s="27" t="s">
        <v>8</v>
      </c>
      <c r="BN473" s="27" t="s">
        <v>7</v>
      </c>
      <c r="BO473" s="27" t="s">
        <v>8</v>
      </c>
      <c r="BP473" s="27" t="s">
        <v>7</v>
      </c>
      <c r="BS473" s="27" t="s">
        <v>8</v>
      </c>
      <c r="IZ473" s="27" t="s">
        <v>7</v>
      </c>
    </row>
    <row r="474" spans="1:264" x14ac:dyDescent="0.25">
      <c r="A474" s="7">
        <v>9.3717222538625968</v>
      </c>
      <c r="B474"/>
      <c r="C474"/>
      <c r="D474"/>
      <c r="E474"/>
      <c r="BM474" s="27" t="s">
        <v>8</v>
      </c>
      <c r="BN474" s="27" t="s">
        <v>7</v>
      </c>
      <c r="BO474" s="27" t="s">
        <v>8</v>
      </c>
      <c r="BP474" s="27" t="s">
        <v>7</v>
      </c>
      <c r="BS474" s="27" t="s">
        <v>8</v>
      </c>
      <c r="IZ474" s="27" t="s">
        <v>7</v>
      </c>
    </row>
    <row r="475" spans="1:264" x14ac:dyDescent="0.25">
      <c r="A475" s="7">
        <v>9.1879629939829375</v>
      </c>
      <c r="B475"/>
      <c r="C475"/>
      <c r="D475"/>
      <c r="E475"/>
      <c r="BM475" s="27" t="s">
        <v>8</v>
      </c>
      <c r="BN475" s="27" t="s">
        <v>7</v>
      </c>
      <c r="BO475" s="27" t="s">
        <v>8</v>
      </c>
      <c r="BP475" s="27" t="s">
        <v>7</v>
      </c>
      <c r="BQ475" s="27" t="s">
        <v>8</v>
      </c>
      <c r="BS475" s="27" t="s">
        <v>8</v>
      </c>
      <c r="IZ475" s="27" t="s">
        <v>7</v>
      </c>
    </row>
    <row r="476" spans="1:264" x14ac:dyDescent="0.25">
      <c r="A476" s="7">
        <v>9.0078068568460168</v>
      </c>
      <c r="B476"/>
      <c r="C476"/>
      <c r="D476"/>
      <c r="E476"/>
      <c r="BM476" s="27" t="s">
        <v>8</v>
      </c>
      <c r="BN476" s="27" t="s">
        <v>7</v>
      </c>
      <c r="BO476" s="27" t="s">
        <v>8</v>
      </c>
      <c r="BP476" s="27" t="s">
        <v>7</v>
      </c>
      <c r="BQ476" s="27" t="s">
        <v>8</v>
      </c>
      <c r="BR476" s="27" t="s">
        <v>7</v>
      </c>
      <c r="BS476" s="27" t="s">
        <v>8</v>
      </c>
      <c r="IZ476" s="27" t="s">
        <v>7</v>
      </c>
    </row>
    <row r="477" spans="1:264" x14ac:dyDescent="0.25">
      <c r="A477" s="7">
        <v>8.8311831929862912</v>
      </c>
      <c r="B477"/>
      <c r="C477"/>
      <c r="D477"/>
      <c r="E477"/>
      <c r="BM477" s="27" t="s">
        <v>8</v>
      </c>
      <c r="BN477" s="27" t="s">
        <v>7</v>
      </c>
      <c r="BO477" s="27" t="s">
        <v>8</v>
      </c>
      <c r="BP477" s="27" t="s">
        <v>7</v>
      </c>
      <c r="BQ477" s="27" t="s">
        <v>8</v>
      </c>
      <c r="BR477" s="27" t="s">
        <v>7</v>
      </c>
      <c r="BS477" s="27" t="s">
        <v>8</v>
      </c>
      <c r="IZ477" s="27" t="s">
        <v>7</v>
      </c>
    </row>
    <row r="478" spans="1:264" x14ac:dyDescent="0.25">
      <c r="A478" s="7">
        <v>8.6580227382218542</v>
      </c>
      <c r="B478"/>
      <c r="C478"/>
      <c r="D478"/>
      <c r="E478"/>
      <c r="BM478" s="27" t="s">
        <v>8</v>
      </c>
      <c r="BN478" s="27" t="s">
        <v>7</v>
      </c>
      <c r="BO478" s="27" t="s">
        <v>8</v>
      </c>
      <c r="BP478" s="27" t="s">
        <v>7</v>
      </c>
      <c r="BQ478" s="27" t="s">
        <v>8</v>
      </c>
      <c r="BR478" s="27" t="s">
        <v>7</v>
      </c>
      <c r="BS478" s="27" t="s">
        <v>8</v>
      </c>
      <c r="IZ478" s="27" t="s">
        <v>7</v>
      </c>
      <c r="JA478" s="27" t="s">
        <v>8</v>
      </c>
      <c r="JC478" s="27" t="s">
        <v>8</v>
      </c>
    </row>
    <row r="479" spans="1:264" x14ac:dyDescent="0.25">
      <c r="A479" s="7">
        <v>8.4882575864920131</v>
      </c>
      <c r="B479"/>
      <c r="C479"/>
      <c r="D479"/>
      <c r="E479"/>
      <c r="BM479" s="27" t="s">
        <v>8</v>
      </c>
      <c r="BN479" s="27" t="s">
        <v>7</v>
      </c>
      <c r="BO479" s="27" t="s">
        <v>8</v>
      </c>
      <c r="BP479" s="27" t="s">
        <v>7</v>
      </c>
      <c r="BQ479" s="27" t="s">
        <v>8</v>
      </c>
      <c r="BR479" s="27" t="s">
        <v>7</v>
      </c>
      <c r="BS479" s="27" t="s">
        <v>8</v>
      </c>
      <c r="IZ479" s="27" t="s">
        <v>7</v>
      </c>
      <c r="JA479" s="27" t="s">
        <v>8</v>
      </c>
      <c r="JB479" s="27" t="s">
        <v>7</v>
      </c>
      <c r="JC479" s="27" t="s">
        <v>8</v>
      </c>
      <c r="JD479" s="27" t="s">
        <v>7</v>
      </c>
    </row>
    <row r="480" spans="1:264" x14ac:dyDescent="0.25">
      <c r="A480" s="7">
        <v>8.3218211632274635</v>
      </c>
      <c r="B480"/>
      <c r="C480"/>
      <c r="D480"/>
      <c r="E480"/>
      <c r="BM480" s="27" t="s">
        <v>8</v>
      </c>
      <c r="BN480" s="27" t="s">
        <v>7</v>
      </c>
      <c r="BO480" s="27" t="s">
        <v>8</v>
      </c>
      <c r="BP480" s="27" t="s">
        <v>7</v>
      </c>
      <c r="BQ480" s="27" t="s">
        <v>8</v>
      </c>
      <c r="BR480" s="27" t="s">
        <v>7</v>
      </c>
      <c r="BS480" s="27" t="s">
        <v>8</v>
      </c>
      <c r="IZ480" s="27" t="s">
        <v>7</v>
      </c>
      <c r="JA480" s="27" t="s">
        <v>8</v>
      </c>
      <c r="JB480" s="27" t="s">
        <v>7</v>
      </c>
      <c r="JC480" s="27" t="s">
        <v>8</v>
      </c>
      <c r="JD480" s="27" t="s">
        <v>7</v>
      </c>
    </row>
    <row r="481" spans="1:264" x14ac:dyDescent="0.25">
      <c r="A481" s="7">
        <v>8.1586481992426112</v>
      </c>
      <c r="B481"/>
      <c r="C481"/>
      <c r="D481"/>
      <c r="E481"/>
      <c r="BM481" s="27" t="s">
        <v>8</v>
      </c>
      <c r="BN481" s="27" t="s">
        <v>7</v>
      </c>
      <c r="BO481" s="27" t="s">
        <v>8</v>
      </c>
      <c r="BP481" s="27" t="s">
        <v>7</v>
      </c>
      <c r="BQ481" s="27" t="s">
        <v>8</v>
      </c>
      <c r="BR481" s="27" t="s">
        <v>7</v>
      </c>
      <c r="BS481" s="27" t="s">
        <v>8</v>
      </c>
      <c r="IZ481" s="27" t="s">
        <v>7</v>
      </c>
      <c r="JA481" s="27" t="s">
        <v>8</v>
      </c>
      <c r="JB481" s="27" t="s">
        <v>7</v>
      </c>
      <c r="JC481" s="27" t="s">
        <v>8</v>
      </c>
      <c r="JD481" s="27" t="s">
        <v>7</v>
      </c>
    </row>
    <row r="482" spans="1:264" x14ac:dyDescent="0.25">
      <c r="A482" s="7">
        <v>7.9986747051398144</v>
      </c>
      <c r="B482"/>
      <c r="C482"/>
      <c r="D482"/>
      <c r="E482"/>
      <c r="BM482" s="27" t="s">
        <v>8</v>
      </c>
      <c r="BN482" s="27" t="s">
        <v>7</v>
      </c>
      <c r="BO482" s="27" t="s">
        <v>8</v>
      </c>
      <c r="BP482" s="27" t="s">
        <v>7</v>
      </c>
      <c r="BQ482" s="27" t="s">
        <v>8</v>
      </c>
      <c r="BR482" s="27" t="s">
        <v>7</v>
      </c>
      <c r="BS482" s="27" t="s">
        <v>8</v>
      </c>
      <c r="IZ482" s="27" t="s">
        <v>7</v>
      </c>
      <c r="JA482" s="27" t="s">
        <v>8</v>
      </c>
      <c r="JB482" s="27" t="s">
        <v>7</v>
      </c>
      <c r="JC482" s="27" t="s">
        <v>8</v>
      </c>
      <c r="JD482" s="27" t="s">
        <v>7</v>
      </c>
    </row>
    <row r="483" spans="1:264" x14ac:dyDescent="0.25">
      <c r="A483" s="7">
        <v>7.8418379462155041</v>
      </c>
      <c r="B483"/>
      <c r="C483"/>
      <c r="D483"/>
      <c r="E483"/>
      <c r="BM483" s="27" t="s">
        <v>8</v>
      </c>
      <c r="BN483" s="27" t="s">
        <v>7</v>
      </c>
      <c r="BO483" s="27" t="s">
        <v>8</v>
      </c>
      <c r="BP483" s="27" t="s">
        <v>7</v>
      </c>
      <c r="BR483" s="27" t="s">
        <v>7</v>
      </c>
      <c r="BS483" s="27" t="s">
        <v>8</v>
      </c>
      <c r="IZ483" s="27" t="s">
        <v>7</v>
      </c>
      <c r="JA483" s="27" t="s">
        <v>8</v>
      </c>
      <c r="JB483" s="27" t="s">
        <v>7</v>
      </c>
      <c r="JC483" s="27" t="s">
        <v>8</v>
      </c>
      <c r="JD483" s="27" t="s">
        <v>7</v>
      </c>
    </row>
    <row r="484" spans="1:264" x14ac:dyDescent="0.25">
      <c r="A484" s="7">
        <v>7.688076417858337</v>
      </c>
      <c r="B484"/>
      <c r="C484"/>
      <c r="D484"/>
      <c r="E484"/>
      <c r="BM484" s="27" t="s">
        <v>8</v>
      </c>
      <c r="BN484" s="27" t="s">
        <v>7</v>
      </c>
      <c r="BO484" s="27" t="s">
        <v>8</v>
      </c>
      <c r="BR484" s="27" t="s">
        <v>7</v>
      </c>
      <c r="BS484" s="27" t="s">
        <v>8</v>
      </c>
      <c r="IZ484" s="27" t="s">
        <v>7</v>
      </c>
      <c r="JA484" s="27" t="s">
        <v>8</v>
      </c>
      <c r="JB484" s="27" t="s">
        <v>7</v>
      </c>
      <c r="JC484" s="27" t="s">
        <v>8</v>
      </c>
    </row>
    <row r="485" spans="1:264" x14ac:dyDescent="0.25">
      <c r="A485" s="7">
        <v>7.5373298214297417</v>
      </c>
      <c r="B485"/>
      <c r="C485"/>
      <c r="D485"/>
      <c r="E485"/>
      <c r="BM485" s="27" t="s">
        <v>8</v>
      </c>
      <c r="BN485" s="27" t="s">
        <v>7</v>
      </c>
      <c r="BO485" s="27" t="s">
        <v>8</v>
      </c>
      <c r="BR485" s="27" t="s">
        <v>7</v>
      </c>
      <c r="BS485" s="27" t="s">
        <v>8</v>
      </c>
      <c r="IZ485" s="27" t="s">
        <v>7</v>
      </c>
      <c r="JA485" s="27" t="s">
        <v>8</v>
      </c>
      <c r="JB485" s="27" t="s">
        <v>7</v>
      </c>
      <c r="JC485" s="27" t="s">
        <v>8</v>
      </c>
    </row>
    <row r="486" spans="1:264" x14ac:dyDescent="0.25">
      <c r="A486" s="7">
        <v>7.389539040617394</v>
      </c>
      <c r="B486"/>
      <c r="C486"/>
      <c r="D486"/>
      <c r="E486"/>
      <c r="BM486" s="27" t="s">
        <v>8</v>
      </c>
      <c r="BN486" s="27" t="s">
        <v>7</v>
      </c>
      <c r="BO486" s="27" t="s">
        <v>8</v>
      </c>
      <c r="BR486" s="27" t="s">
        <v>7</v>
      </c>
      <c r="BS486" s="27" t="s">
        <v>8</v>
      </c>
      <c r="IZ486" s="27" t="s">
        <v>7</v>
      </c>
      <c r="JA486" s="27" t="s">
        <v>8</v>
      </c>
      <c r="JB486" s="27" t="s">
        <v>7</v>
      </c>
      <c r="JC486" s="27" t="s">
        <v>8</v>
      </c>
    </row>
    <row r="487" spans="1:264" x14ac:dyDescent="0.25">
      <c r="A487" s="7">
        <v>7.2446461182523469</v>
      </c>
      <c r="B487"/>
      <c r="C487"/>
      <c r="D487"/>
      <c r="E487"/>
      <c r="BM487" s="27" t="s">
        <v>8</v>
      </c>
      <c r="BN487" s="27" t="s">
        <v>7</v>
      </c>
      <c r="BO487" s="27" t="s">
        <v>8</v>
      </c>
      <c r="BR487" s="27" t="s">
        <v>7</v>
      </c>
      <c r="BS487" s="27" t="s">
        <v>8</v>
      </c>
      <c r="IZ487" s="27" t="s">
        <v>7</v>
      </c>
      <c r="JA487" s="27" t="s">
        <v>8</v>
      </c>
      <c r="JB487" s="27" t="s">
        <v>7</v>
      </c>
      <c r="JC487" s="27" t="s">
        <v>8</v>
      </c>
    </row>
    <row r="488" spans="1:264" x14ac:dyDescent="0.25">
      <c r="A488" s="7">
        <v>7.1025942335807324</v>
      </c>
      <c r="B488"/>
      <c r="C488"/>
      <c r="D488"/>
      <c r="E488"/>
      <c r="BM488" s="27" t="s">
        <v>8</v>
      </c>
      <c r="BN488" s="27" t="s">
        <v>7</v>
      </c>
      <c r="BO488" s="27" t="s">
        <v>8</v>
      </c>
      <c r="BR488" s="27" t="s">
        <v>7</v>
      </c>
      <c r="BS488" s="27" t="s">
        <v>8</v>
      </c>
      <c r="IZ488" s="27" t="s">
        <v>7</v>
      </c>
      <c r="JA488" s="27" t="s">
        <v>8</v>
      </c>
      <c r="JB488" s="27" t="s">
        <v>7</v>
      </c>
      <c r="JC488" s="27" t="s">
        <v>8</v>
      </c>
    </row>
    <row r="489" spans="1:264" x14ac:dyDescent="0.25">
      <c r="A489" s="7">
        <v>6.9633276799811101</v>
      </c>
      <c r="B489"/>
      <c r="C489"/>
      <c r="D489"/>
      <c r="E489"/>
      <c r="BM489" s="27" t="s">
        <v>8</v>
      </c>
      <c r="BN489" s="27" t="s">
        <v>7</v>
      </c>
      <c r="BR489" s="27" t="s">
        <v>7</v>
      </c>
      <c r="BS489" s="27" t="s">
        <v>8</v>
      </c>
      <c r="IZ489" s="27" t="s">
        <v>7</v>
      </c>
      <c r="JA489" s="27" t="s">
        <v>8</v>
      </c>
      <c r="JB489" s="27" t="s">
        <v>7</v>
      </c>
      <c r="JC489" s="27" t="s">
        <v>8</v>
      </c>
    </row>
    <row r="490" spans="1:264" x14ac:dyDescent="0.25">
      <c r="A490" s="7">
        <v>6.8267918431187349</v>
      </c>
      <c r="B490"/>
      <c r="C490"/>
      <c r="D490"/>
      <c r="E490"/>
      <c r="BM490" s="27" t="s">
        <v>8</v>
      </c>
      <c r="BR490" s="27" t="s">
        <v>7</v>
      </c>
      <c r="BS490" s="27" t="s">
        <v>8</v>
      </c>
      <c r="IZ490" s="27" t="s">
        <v>7</v>
      </c>
      <c r="JA490" s="27" t="s">
        <v>8</v>
      </c>
      <c r="JB490" s="27" t="s">
        <v>7</v>
      </c>
    </row>
    <row r="491" spans="1:264" x14ac:dyDescent="0.25">
      <c r="A491" s="7">
        <v>6.692933179528171</v>
      </c>
      <c r="B491"/>
      <c r="C491"/>
      <c r="D491"/>
      <c r="E491"/>
      <c r="BM491" s="27" t="s">
        <v>8</v>
      </c>
      <c r="BR491" s="27" t="s">
        <v>7</v>
      </c>
      <c r="IZ491" s="27" t="s">
        <v>7</v>
      </c>
      <c r="JA491" s="27" t="s">
        <v>8</v>
      </c>
    </row>
    <row r="492" spans="1:264" x14ac:dyDescent="0.25">
      <c r="A492" s="7">
        <v>6.5616991956158541</v>
      </c>
      <c r="B492"/>
      <c r="C492"/>
      <c r="D492"/>
      <c r="E492"/>
      <c r="BM492" s="27" t="s">
        <v>8</v>
      </c>
      <c r="IZ492" s="27" t="s">
        <v>7</v>
      </c>
      <c r="JA492" s="27" t="s">
        <v>8</v>
      </c>
    </row>
    <row r="493" spans="1:264" x14ac:dyDescent="0.25">
      <c r="A493" s="7">
        <v>6.4330384270743668</v>
      </c>
      <c r="B493"/>
      <c r="C493"/>
      <c r="D493"/>
      <c r="E493"/>
      <c r="BM493" s="27" t="s">
        <v>8</v>
      </c>
      <c r="IZ493" s="27" t="s">
        <v>7</v>
      </c>
      <c r="JA493" s="27" t="s">
        <v>8</v>
      </c>
    </row>
    <row r="494" spans="1:264" x14ac:dyDescent="0.25">
      <c r="A494" s="7">
        <v>6.3069004187003594</v>
      </c>
      <c r="B494"/>
      <c r="C494"/>
      <c r="D494"/>
      <c r="E494"/>
      <c r="BM494" s="27" t="s">
        <v>8</v>
      </c>
      <c r="IZ494" s="27" t="s">
        <v>7</v>
      </c>
      <c r="JA494" s="27" t="s">
        <v>8</v>
      </c>
    </row>
    <row r="495" spans="1:264" x14ac:dyDescent="0.25">
      <c r="A495" s="7">
        <v>6.1832357046081956</v>
      </c>
      <c r="B495"/>
      <c r="C495"/>
      <c r="D495"/>
      <c r="E495"/>
      <c r="BM495" s="27" t="s">
        <v>8</v>
      </c>
      <c r="IZ495" s="27" t="s">
        <v>7</v>
      </c>
    </row>
    <row r="496" spans="1:264" x14ac:dyDescent="0.25">
      <c r="A496" s="7">
        <v>6.0619957888315641</v>
      </c>
      <c r="B496"/>
      <c r="C496"/>
      <c r="D496"/>
      <c r="E496"/>
      <c r="BM496" s="27" t="s">
        <v>8</v>
      </c>
    </row>
    <row r="497" spans="1:65" x14ac:dyDescent="0.25">
      <c r="A497" s="7">
        <v>5.9431331263054545</v>
      </c>
      <c r="B497"/>
      <c r="C497"/>
      <c r="D497"/>
      <c r="E497"/>
      <c r="BM497" s="27" t="s">
        <v>8</v>
      </c>
    </row>
    <row r="498" spans="1:65" x14ac:dyDescent="0.25">
      <c r="A498" s="7">
        <v>5.8266011042210337</v>
      </c>
      <c r="B498"/>
      <c r="C498"/>
      <c r="D498"/>
      <c r="E498"/>
      <c r="BG498" s="27" t="s">
        <v>8</v>
      </c>
      <c r="BM498" s="27" t="s">
        <v>8</v>
      </c>
    </row>
    <row r="499" spans="1:65" x14ac:dyDescent="0.25">
      <c r="A499" s="7">
        <v>5.7123540237461112</v>
      </c>
      <c r="B499"/>
      <c r="C499"/>
      <c r="D499"/>
      <c r="E499"/>
      <c r="BG499" s="27" t="s">
        <v>8</v>
      </c>
      <c r="BH499" s="27" t="s">
        <v>7</v>
      </c>
      <c r="BM499" s="27" t="s">
        <v>8</v>
      </c>
    </row>
    <row r="500" spans="1:65" x14ac:dyDescent="0.25">
      <c r="A500" s="7">
        <v>5.6003470821040304</v>
      </c>
      <c r="B500"/>
      <c r="C500"/>
      <c r="D500"/>
      <c r="E500"/>
      <c r="BG500" s="27" t="s">
        <v>8</v>
      </c>
      <c r="BH500" s="27" t="s">
        <v>7</v>
      </c>
      <c r="BM500" s="27" t="s">
        <v>8</v>
      </c>
    </row>
    <row r="501" spans="1:65" x14ac:dyDescent="0.25">
      <c r="A501" s="7">
        <v>5.4905363550039512</v>
      </c>
      <c r="B501"/>
      <c r="C501"/>
      <c r="D501"/>
      <c r="E501"/>
      <c r="BG501" s="27" t="s">
        <v>8</v>
      </c>
      <c r="BH501" s="27" t="s">
        <v>7</v>
      </c>
      <c r="BM501" s="27" t="s">
        <v>8</v>
      </c>
    </row>
    <row r="502" spans="1:65" x14ac:dyDescent="0.25">
      <c r="A502" s="7">
        <v>5.3828787794156385</v>
      </c>
      <c r="B502"/>
      <c r="C502"/>
      <c r="D502"/>
      <c r="E502"/>
      <c r="W502" s="27" t="s">
        <v>8</v>
      </c>
      <c r="BG502" s="27" t="s">
        <v>8</v>
      </c>
      <c r="BH502" s="27" t="s">
        <v>7</v>
      </c>
      <c r="BM502" s="27" t="s">
        <v>8</v>
      </c>
    </row>
    <row r="503" spans="1:65" x14ac:dyDescent="0.25">
      <c r="A503" s="7">
        <v>5.2773321366819985</v>
      </c>
      <c r="B503"/>
      <c r="C503"/>
      <c r="D503"/>
      <c r="E503"/>
      <c r="W503" s="27" t="s">
        <v>8</v>
      </c>
      <c r="X503" s="27" t="s">
        <v>7</v>
      </c>
      <c r="BG503" s="27" t="s">
        <v>8</v>
      </c>
      <c r="BH503" s="27" t="s">
        <v>7</v>
      </c>
      <c r="BM503" s="27" t="s">
        <v>8</v>
      </c>
    </row>
    <row r="504" spans="1:65" x14ac:dyDescent="0.25">
      <c r="A504" s="7">
        <v>5.1738550359627435</v>
      </c>
      <c r="B504"/>
      <c r="C504"/>
      <c r="D504"/>
      <c r="E504"/>
      <c r="W504" s="27" t="s">
        <v>8</v>
      </c>
      <c r="X504" s="27" t="s">
        <v>7</v>
      </c>
      <c r="BG504" s="27" t="s">
        <v>8</v>
      </c>
      <c r="BH504" s="27" t="s">
        <v>7</v>
      </c>
      <c r="BM504" s="27" t="s">
        <v>8</v>
      </c>
    </row>
    <row r="505" spans="1:65" x14ac:dyDescent="0.25">
      <c r="A505" s="7">
        <v>5.07240689800269</v>
      </c>
      <c r="B505"/>
      <c r="C505"/>
      <c r="D505"/>
      <c r="E505"/>
      <c r="W505" s="27" t="s">
        <v>8</v>
      </c>
      <c r="X505" s="27" t="s">
        <v>7</v>
      </c>
      <c r="BG505" s="27" t="s">
        <v>8</v>
      </c>
      <c r="BH505" s="27" t="s">
        <v>7</v>
      </c>
      <c r="BM505" s="27" t="s">
        <v>8</v>
      </c>
    </row>
    <row r="506" spans="1:65" x14ac:dyDescent="0.25">
      <c r="A506" s="7">
        <v>4.9729479392183231</v>
      </c>
      <c r="B506"/>
      <c r="C506"/>
      <c r="D506"/>
      <c r="E506"/>
      <c r="W506" s="27" t="s">
        <v>8</v>
      </c>
      <c r="X506" s="27" t="s">
        <v>7</v>
      </c>
      <c r="BG506" s="27" t="s">
        <v>8</v>
      </c>
      <c r="BH506" s="27" t="s">
        <v>7</v>
      </c>
      <c r="BK506" s="27" t="s">
        <v>8</v>
      </c>
      <c r="BM506" s="27" t="s">
        <v>8</v>
      </c>
    </row>
    <row r="507" spans="1:65" x14ac:dyDescent="0.25">
      <c r="A507" s="7">
        <v>4.8754391560963954</v>
      </c>
      <c r="B507"/>
      <c r="C507"/>
      <c r="D507"/>
      <c r="E507"/>
      <c r="K507" s="27" t="s">
        <v>8</v>
      </c>
      <c r="W507" s="27" t="s">
        <v>8</v>
      </c>
      <c r="X507" s="27" t="s">
        <v>7</v>
      </c>
      <c r="BG507" s="27" t="s">
        <v>8</v>
      </c>
      <c r="BH507" s="27" t="s">
        <v>7</v>
      </c>
      <c r="BK507" s="27" t="s">
        <v>8</v>
      </c>
      <c r="BL507" s="27" t="s">
        <v>7</v>
      </c>
      <c r="BM507" s="27" t="s">
        <v>8</v>
      </c>
    </row>
    <row r="508" spans="1:65" x14ac:dyDescent="0.25">
      <c r="A508" s="7">
        <v>4.7798423098984264</v>
      </c>
      <c r="B508"/>
      <c r="C508"/>
      <c r="D508"/>
      <c r="E508"/>
      <c r="K508" s="27" t="s">
        <v>8</v>
      </c>
      <c r="L508" s="27" t="s">
        <v>7</v>
      </c>
      <c r="W508" s="27" t="s">
        <v>8</v>
      </c>
      <c r="X508" s="27" t="s">
        <v>7</v>
      </c>
      <c r="AI508" s="27" t="s">
        <v>8</v>
      </c>
      <c r="BG508" s="27" t="s">
        <v>8</v>
      </c>
      <c r="BH508" s="27" t="s">
        <v>7</v>
      </c>
      <c r="BK508" s="27" t="s">
        <v>8</v>
      </c>
      <c r="BL508" s="27" t="s">
        <v>7</v>
      </c>
      <c r="BM508" s="27" t="s">
        <v>8</v>
      </c>
    </row>
    <row r="509" spans="1:65" x14ac:dyDescent="0.25">
      <c r="A509" s="7">
        <v>4.6861199116651235</v>
      </c>
      <c r="B509"/>
      <c r="C509"/>
      <c r="D509"/>
      <c r="E509"/>
      <c r="K509" s="27" t="s">
        <v>8</v>
      </c>
      <c r="L509" s="27" t="s">
        <v>7</v>
      </c>
      <c r="W509" s="27" t="s">
        <v>8</v>
      </c>
      <c r="X509" s="27" t="s">
        <v>7</v>
      </c>
      <c r="AI509" s="27" t="s">
        <v>8</v>
      </c>
      <c r="AJ509" s="27" t="s">
        <v>7</v>
      </c>
      <c r="BG509" s="27" t="s">
        <v>8</v>
      </c>
      <c r="BH509" s="27" t="s">
        <v>7</v>
      </c>
      <c r="BK509" s="27" t="s">
        <v>8</v>
      </c>
      <c r="BL509" s="27" t="s">
        <v>7</v>
      </c>
      <c r="BM509" s="27" t="s">
        <v>8</v>
      </c>
    </row>
    <row r="510" spans="1:65" x14ac:dyDescent="0.25">
      <c r="A510" s="7">
        <v>4.5942352075148269</v>
      </c>
      <c r="B510"/>
      <c r="C510"/>
      <c r="D510"/>
      <c r="E510"/>
      <c r="K510" s="27" t="s">
        <v>8</v>
      </c>
      <c r="L510" s="27" t="s">
        <v>7</v>
      </c>
      <c r="W510" s="27" t="s">
        <v>8</v>
      </c>
      <c r="X510" s="27" t="s">
        <v>7</v>
      </c>
      <c r="AI510" s="27" t="s">
        <v>8</v>
      </c>
      <c r="AJ510" s="27" t="s">
        <v>7</v>
      </c>
      <c r="AS510" s="27" t="s">
        <v>8</v>
      </c>
      <c r="AU510" s="27" t="s">
        <v>8</v>
      </c>
      <c r="BG510" s="27" t="s">
        <v>8</v>
      </c>
      <c r="BH510" s="27" t="s">
        <v>7</v>
      </c>
      <c r="BI510" s="27" t="s">
        <v>8</v>
      </c>
      <c r="BK510" s="27" t="s">
        <v>8</v>
      </c>
      <c r="BL510" s="27" t="s">
        <v>7</v>
      </c>
      <c r="BM510" s="27" t="s">
        <v>8</v>
      </c>
    </row>
    <row r="511" spans="1:65" x14ac:dyDescent="0.25">
      <c r="A511" s="7">
        <v>4.5041521642302227</v>
      </c>
      <c r="B511"/>
      <c r="C511"/>
      <c r="D511"/>
      <c r="E511"/>
      <c r="K511" s="27" t="s">
        <v>8</v>
      </c>
      <c r="L511" s="27" t="s">
        <v>7</v>
      </c>
      <c r="W511" s="27" t="s">
        <v>8</v>
      </c>
      <c r="X511" s="27" t="s">
        <v>7</v>
      </c>
      <c r="AI511" s="27" t="s">
        <v>8</v>
      </c>
      <c r="AJ511" s="27" t="s">
        <v>7</v>
      </c>
      <c r="AS511" s="27" t="s">
        <v>8</v>
      </c>
      <c r="AT511" s="27" t="s">
        <v>7</v>
      </c>
      <c r="AU511" s="27" t="s">
        <v>8</v>
      </c>
      <c r="AV511" s="27" t="s">
        <v>7</v>
      </c>
      <c r="BE511" s="27" t="s">
        <v>8</v>
      </c>
      <c r="BG511" s="27" t="s">
        <v>8</v>
      </c>
      <c r="BH511" s="27" t="s">
        <v>7</v>
      </c>
      <c r="BI511" s="27" t="s">
        <v>8</v>
      </c>
      <c r="BJ511" s="27" t="s">
        <v>7</v>
      </c>
      <c r="BK511" s="27" t="s">
        <v>8</v>
      </c>
      <c r="BL511" s="27" t="s">
        <v>7</v>
      </c>
      <c r="BM511" s="27" t="s">
        <v>8</v>
      </c>
    </row>
    <row r="512" spans="1:65" x14ac:dyDescent="0.25">
      <c r="A512" s="7">
        <v>4.4158354551276693</v>
      </c>
      <c r="B512"/>
      <c r="C512"/>
      <c r="D512"/>
      <c r="E512"/>
      <c r="K512" s="27" t="s">
        <v>8</v>
      </c>
      <c r="L512" s="27" t="s">
        <v>7</v>
      </c>
      <c r="W512" s="27" t="s">
        <v>8</v>
      </c>
      <c r="X512" s="27" t="s">
        <v>7</v>
      </c>
      <c r="Y512" s="27" t="s">
        <v>8</v>
      </c>
      <c r="AI512" s="27" t="s">
        <v>8</v>
      </c>
      <c r="AJ512" s="27" t="s">
        <v>7</v>
      </c>
      <c r="AQ512" s="27" t="s">
        <v>8</v>
      </c>
      <c r="AS512" s="27" t="s">
        <v>8</v>
      </c>
      <c r="AT512" s="27" t="s">
        <v>7</v>
      </c>
      <c r="AU512" s="27" t="s">
        <v>8</v>
      </c>
      <c r="AV512" s="27" t="s">
        <v>7</v>
      </c>
      <c r="BE512" s="27" t="s">
        <v>8</v>
      </c>
      <c r="BF512" s="27" t="s">
        <v>7</v>
      </c>
      <c r="BG512" s="27" t="s">
        <v>8</v>
      </c>
      <c r="BH512" s="27" t="s">
        <v>7</v>
      </c>
      <c r="BI512" s="27" t="s">
        <v>8</v>
      </c>
      <c r="BJ512" s="27" t="s">
        <v>7</v>
      </c>
      <c r="BK512" s="27" t="s">
        <v>8</v>
      </c>
      <c r="BL512" s="27" t="s">
        <v>7</v>
      </c>
      <c r="BM512" s="27" t="s">
        <v>8</v>
      </c>
    </row>
    <row r="513" spans="1:65" x14ac:dyDescent="0.25">
      <c r="A513" s="7">
        <v>4.3292504462035977</v>
      </c>
      <c r="B513"/>
      <c r="C513"/>
      <c r="D513"/>
      <c r="E513"/>
      <c r="K513" s="27" t="s">
        <v>8</v>
      </c>
      <c r="L513" s="27" t="s">
        <v>7</v>
      </c>
      <c r="W513" s="27" t="s">
        <v>8</v>
      </c>
      <c r="X513" s="27" t="s">
        <v>7</v>
      </c>
      <c r="Y513" s="27" t="s">
        <v>8</v>
      </c>
      <c r="Z513" s="27" t="s">
        <v>7</v>
      </c>
      <c r="AI513" s="27" t="s">
        <v>8</v>
      </c>
      <c r="AJ513" s="27" t="s">
        <v>7</v>
      </c>
      <c r="AQ513" s="27" t="s">
        <v>8</v>
      </c>
      <c r="AR513" s="27" t="s">
        <v>7</v>
      </c>
      <c r="AS513" s="27" t="s">
        <v>8</v>
      </c>
      <c r="AT513" s="27" t="s">
        <v>7</v>
      </c>
      <c r="AU513" s="27" t="s">
        <v>8</v>
      </c>
      <c r="AV513" s="27" t="s">
        <v>7</v>
      </c>
      <c r="BE513" s="27" t="s">
        <v>8</v>
      </c>
      <c r="BF513" s="27" t="s">
        <v>7</v>
      </c>
      <c r="BG513" s="27" t="s">
        <v>8</v>
      </c>
      <c r="BH513" s="27" t="s">
        <v>7</v>
      </c>
      <c r="BI513" s="27" t="s">
        <v>8</v>
      </c>
      <c r="BJ513" s="27" t="s">
        <v>7</v>
      </c>
      <c r="BK513" s="27" t="s">
        <v>8</v>
      </c>
      <c r="BL513" s="27" t="s">
        <v>7</v>
      </c>
      <c r="BM513" s="27" t="s">
        <v>8</v>
      </c>
    </row>
    <row r="514" spans="1:65" x14ac:dyDescent="0.25">
      <c r="A514" s="7">
        <v>4.2443631825525463</v>
      </c>
      <c r="B514"/>
      <c r="C514"/>
      <c r="D514"/>
      <c r="E514"/>
      <c r="K514" s="27" t="s">
        <v>8</v>
      </c>
      <c r="L514" s="27" t="s">
        <v>7</v>
      </c>
      <c r="W514" s="27" t="s">
        <v>8</v>
      </c>
      <c r="X514" s="27" t="s">
        <v>7</v>
      </c>
      <c r="Y514" s="27" t="s">
        <v>8</v>
      </c>
      <c r="Z514" s="27" t="s">
        <v>7</v>
      </c>
      <c r="AI514" s="27" t="s">
        <v>8</v>
      </c>
      <c r="AJ514" s="27" t="s">
        <v>7</v>
      </c>
      <c r="AQ514" s="27" t="s">
        <v>8</v>
      </c>
      <c r="AR514" s="27" t="s">
        <v>7</v>
      </c>
      <c r="AS514" s="27" t="s">
        <v>8</v>
      </c>
      <c r="AT514" s="27" t="s">
        <v>7</v>
      </c>
      <c r="AU514" s="27" t="s">
        <v>8</v>
      </c>
      <c r="AV514" s="27" t="s">
        <v>7</v>
      </c>
      <c r="BE514" s="27" t="s">
        <v>8</v>
      </c>
      <c r="BF514" s="27" t="s">
        <v>7</v>
      </c>
      <c r="BG514" s="27" t="s">
        <v>8</v>
      </c>
      <c r="BH514" s="27" t="s">
        <v>7</v>
      </c>
      <c r="BI514" s="27" t="s">
        <v>8</v>
      </c>
      <c r="BJ514" s="27" t="s">
        <v>7</v>
      </c>
      <c r="BK514" s="27" t="s">
        <v>8</v>
      </c>
      <c r="BL514" s="27" t="s">
        <v>7</v>
      </c>
    </row>
    <row r="515" spans="1:65" x14ac:dyDescent="0.25">
      <c r="A515" s="7">
        <v>4.1611403750515157</v>
      </c>
      <c r="B515"/>
      <c r="C515"/>
      <c r="D515"/>
      <c r="E515"/>
      <c r="K515" s="27" t="s">
        <v>8</v>
      </c>
      <c r="L515" s="27" t="s">
        <v>7</v>
      </c>
      <c r="W515" s="27" t="s">
        <v>8</v>
      </c>
      <c r="X515" s="27" t="s">
        <v>7</v>
      </c>
      <c r="Y515" s="27" t="s">
        <v>8</v>
      </c>
      <c r="Z515" s="27" t="s">
        <v>7</v>
      </c>
      <c r="AA515" s="27" t="s">
        <v>8</v>
      </c>
      <c r="AI515" s="27" t="s">
        <v>8</v>
      </c>
      <c r="AJ515" s="27" t="s">
        <v>7</v>
      </c>
      <c r="AQ515" s="27" t="s">
        <v>8</v>
      </c>
      <c r="AR515" s="27" t="s">
        <v>7</v>
      </c>
      <c r="AS515" s="27" t="s">
        <v>8</v>
      </c>
      <c r="AT515" s="27" t="s">
        <v>7</v>
      </c>
      <c r="AU515" s="27" t="s">
        <v>8</v>
      </c>
      <c r="AV515" s="27" t="s">
        <v>7</v>
      </c>
      <c r="BE515" s="27" t="s">
        <v>8</v>
      </c>
      <c r="BF515" s="27" t="s">
        <v>7</v>
      </c>
      <c r="BG515" s="27" t="s">
        <v>8</v>
      </c>
      <c r="BH515" s="27" t="s">
        <v>7</v>
      </c>
      <c r="BI515" s="27" t="s">
        <v>8</v>
      </c>
      <c r="BJ515" s="27" t="s">
        <v>7</v>
      </c>
      <c r="BK515" s="27" t="s">
        <v>8</v>
      </c>
    </row>
    <row r="516" spans="1:65" x14ac:dyDescent="0.25">
      <c r="A516" s="7">
        <v>4.0795493873054074</v>
      </c>
      <c r="B516"/>
      <c r="C516"/>
      <c r="D516"/>
      <c r="E516"/>
      <c r="K516" s="27" t="s">
        <v>8</v>
      </c>
      <c r="L516" s="27" t="s">
        <v>7</v>
      </c>
      <c r="M516" s="27" t="s">
        <v>8</v>
      </c>
      <c r="W516" s="27" t="s">
        <v>8</v>
      </c>
      <c r="X516" s="27" t="s">
        <v>7</v>
      </c>
      <c r="Y516" s="27" t="s">
        <v>8</v>
      </c>
      <c r="Z516" s="27" t="s">
        <v>7</v>
      </c>
      <c r="AA516" s="27" t="s">
        <v>8</v>
      </c>
      <c r="AB516" s="27" t="s">
        <v>7</v>
      </c>
      <c r="AI516" s="27" t="s">
        <v>8</v>
      </c>
      <c r="AJ516" s="27" t="s">
        <v>7</v>
      </c>
      <c r="AK516" s="27" t="s">
        <v>8</v>
      </c>
      <c r="AQ516" s="27" t="s">
        <v>8</v>
      </c>
      <c r="AR516" s="27" t="s">
        <v>7</v>
      </c>
      <c r="AS516" s="27" t="s">
        <v>8</v>
      </c>
      <c r="AT516" s="27" t="s">
        <v>7</v>
      </c>
      <c r="AU516" s="27" t="s">
        <v>8</v>
      </c>
      <c r="AV516" s="27" t="s">
        <v>7</v>
      </c>
      <c r="AW516" s="27" t="s">
        <v>8</v>
      </c>
      <c r="BE516" s="27" t="s">
        <v>8</v>
      </c>
      <c r="BF516" s="27" t="s">
        <v>7</v>
      </c>
      <c r="BG516" s="27" t="s">
        <v>8</v>
      </c>
      <c r="BH516" s="27" t="s">
        <v>7</v>
      </c>
      <c r="BI516" s="27" t="s">
        <v>8</v>
      </c>
      <c r="BJ516" s="27" t="s">
        <v>7</v>
      </c>
      <c r="BK516" s="27" t="s">
        <v>8</v>
      </c>
    </row>
    <row r="517" spans="1:65" x14ac:dyDescent="0.25">
      <c r="A517" s="7">
        <v>3.9995582228484383</v>
      </c>
      <c r="B517"/>
      <c r="C517"/>
      <c r="D517"/>
      <c r="E517"/>
      <c r="K517" s="27" t="s">
        <v>8</v>
      </c>
      <c r="L517" s="27" t="s">
        <v>7</v>
      </c>
      <c r="M517" s="27" t="s">
        <v>8</v>
      </c>
      <c r="N517" s="27" t="s">
        <v>7</v>
      </c>
      <c r="O517" s="27" t="s">
        <v>8</v>
      </c>
      <c r="W517" s="27" t="s">
        <v>8</v>
      </c>
      <c r="X517" s="27" t="s">
        <v>7</v>
      </c>
      <c r="Y517" s="27" t="s">
        <v>8</v>
      </c>
      <c r="Z517" s="27" t="s">
        <v>7</v>
      </c>
      <c r="AA517" s="27" t="s">
        <v>8</v>
      </c>
      <c r="AB517" s="27" t="s">
        <v>7</v>
      </c>
      <c r="AI517" s="27" t="s">
        <v>8</v>
      </c>
      <c r="AJ517" s="27" t="s">
        <v>7</v>
      </c>
      <c r="AK517" s="27" t="s">
        <v>8</v>
      </c>
      <c r="AL517" s="27" t="s">
        <v>7</v>
      </c>
      <c r="AQ517" s="27" t="s">
        <v>8</v>
      </c>
      <c r="AR517" s="27" t="s">
        <v>7</v>
      </c>
      <c r="AS517" s="27" t="s">
        <v>8</v>
      </c>
      <c r="AT517" s="27" t="s">
        <v>7</v>
      </c>
      <c r="AU517" s="27" t="s">
        <v>8</v>
      </c>
      <c r="AV517" s="27" t="s">
        <v>7</v>
      </c>
      <c r="AW517" s="27" t="s">
        <v>8</v>
      </c>
      <c r="AX517" s="27" t="s">
        <v>7</v>
      </c>
      <c r="BE517" s="27" t="s">
        <v>8</v>
      </c>
      <c r="BF517" s="27" t="s">
        <v>7</v>
      </c>
      <c r="BG517" s="27" t="s">
        <v>8</v>
      </c>
      <c r="BH517" s="27" t="s">
        <v>7</v>
      </c>
      <c r="BI517" s="27" t="s">
        <v>8</v>
      </c>
      <c r="BJ517" s="27" t="s">
        <v>7</v>
      </c>
      <c r="BK517" s="27" t="s">
        <v>8</v>
      </c>
    </row>
    <row r="518" spans="1:65" x14ac:dyDescent="0.25">
      <c r="A518" s="7">
        <v>3.9211355125965079</v>
      </c>
      <c r="B518"/>
      <c r="C518"/>
      <c r="D518"/>
      <c r="E518"/>
      <c r="K518" s="27" t="s">
        <v>8</v>
      </c>
      <c r="L518" s="27" t="s">
        <v>7</v>
      </c>
      <c r="M518" s="27" t="s">
        <v>8</v>
      </c>
      <c r="N518" s="27" t="s">
        <v>7</v>
      </c>
      <c r="O518" s="27" t="s">
        <v>8</v>
      </c>
      <c r="P518" s="27" t="s">
        <v>7</v>
      </c>
      <c r="W518" s="27" t="s">
        <v>8</v>
      </c>
      <c r="X518" s="27" t="s">
        <v>7</v>
      </c>
      <c r="Y518" s="27" t="s">
        <v>8</v>
      </c>
      <c r="Z518" s="27" t="s">
        <v>7</v>
      </c>
      <c r="AA518" s="27" t="s">
        <v>8</v>
      </c>
      <c r="AB518" s="27" t="s">
        <v>7</v>
      </c>
      <c r="AI518" s="27" t="s">
        <v>8</v>
      </c>
      <c r="AJ518" s="27" t="s">
        <v>7</v>
      </c>
      <c r="AK518" s="27" t="s">
        <v>8</v>
      </c>
      <c r="AL518" s="27" t="s">
        <v>7</v>
      </c>
      <c r="AQ518" s="27" t="s">
        <v>8</v>
      </c>
      <c r="AR518" s="27" t="s">
        <v>7</v>
      </c>
      <c r="AS518" s="27" t="s">
        <v>8</v>
      </c>
      <c r="AT518" s="27" t="s">
        <v>7</v>
      </c>
      <c r="AV518" s="27" t="s">
        <v>7</v>
      </c>
      <c r="AW518" s="27" t="s">
        <v>8</v>
      </c>
      <c r="AX518" s="27" t="s">
        <v>7</v>
      </c>
      <c r="AY518" s="27" t="s">
        <v>8</v>
      </c>
      <c r="BE518" s="27" t="s">
        <v>8</v>
      </c>
      <c r="BF518" s="27" t="s">
        <v>7</v>
      </c>
      <c r="BG518" s="27" t="s">
        <v>8</v>
      </c>
      <c r="BH518" s="27" t="s">
        <v>7</v>
      </c>
      <c r="BI518" s="27" t="s">
        <v>8</v>
      </c>
      <c r="BJ518" s="27" t="s">
        <v>7</v>
      </c>
    </row>
    <row r="519" spans="1:65" x14ac:dyDescent="0.25">
      <c r="A519" s="7">
        <v>3.844250502545596</v>
      </c>
      <c r="B519"/>
      <c r="C519"/>
      <c r="D519"/>
      <c r="E519"/>
      <c r="K519" s="27" t="s">
        <v>8</v>
      </c>
      <c r="L519" s="27" t="s">
        <v>7</v>
      </c>
      <c r="M519" s="27" t="s">
        <v>8</v>
      </c>
      <c r="N519" s="27" t="s">
        <v>7</v>
      </c>
      <c r="O519" s="27" t="s">
        <v>8</v>
      </c>
      <c r="P519" s="27" t="s">
        <v>7</v>
      </c>
      <c r="W519" s="27" t="s">
        <v>8</v>
      </c>
      <c r="X519" s="27" t="s">
        <v>7</v>
      </c>
      <c r="Y519" s="27" t="s">
        <v>8</v>
      </c>
      <c r="Z519" s="27" t="s">
        <v>7</v>
      </c>
      <c r="AA519" s="27" t="s">
        <v>8</v>
      </c>
      <c r="AB519" s="27" t="s">
        <v>7</v>
      </c>
      <c r="AI519" s="27" t="s">
        <v>8</v>
      </c>
      <c r="AJ519" s="27" t="s">
        <v>7</v>
      </c>
      <c r="AK519" s="27" t="s">
        <v>8</v>
      </c>
      <c r="AL519" s="27" t="s">
        <v>7</v>
      </c>
      <c r="AQ519" s="27" t="s">
        <v>8</v>
      </c>
      <c r="AR519" s="27" t="s">
        <v>7</v>
      </c>
      <c r="AS519" s="27" t="s">
        <v>8</v>
      </c>
      <c r="AV519" s="27" t="s">
        <v>7</v>
      </c>
      <c r="AW519" s="27" t="s">
        <v>8</v>
      </c>
      <c r="AX519" s="27" t="s">
        <v>7</v>
      </c>
      <c r="AY519" s="27" t="s">
        <v>8</v>
      </c>
      <c r="AZ519" s="27" t="s">
        <v>7</v>
      </c>
      <c r="BA519" s="27" t="s">
        <v>8</v>
      </c>
      <c r="BE519" s="27" t="s">
        <v>8</v>
      </c>
      <c r="BF519" s="27" t="s">
        <v>7</v>
      </c>
      <c r="BG519" s="27" t="s">
        <v>8</v>
      </c>
      <c r="BH519" s="27" t="s">
        <v>7</v>
      </c>
      <c r="BI519" s="27" t="s">
        <v>8</v>
      </c>
    </row>
    <row r="520" spans="1:65" x14ac:dyDescent="0.25">
      <c r="A520" s="7">
        <v>3.7688730417113687</v>
      </c>
      <c r="B520"/>
      <c r="C520"/>
      <c r="D520"/>
      <c r="E520"/>
      <c r="K520" s="27" t="s">
        <v>8</v>
      </c>
      <c r="L520" s="27" t="s">
        <v>7</v>
      </c>
      <c r="M520" s="27" t="s">
        <v>8</v>
      </c>
      <c r="N520" s="27" t="s">
        <v>7</v>
      </c>
      <c r="O520" s="27" t="s">
        <v>8</v>
      </c>
      <c r="P520" s="27" t="s">
        <v>7</v>
      </c>
      <c r="W520" s="27" t="s">
        <v>8</v>
      </c>
      <c r="X520" s="27" t="s">
        <v>7</v>
      </c>
      <c r="Y520" s="27" t="s">
        <v>8</v>
      </c>
      <c r="Z520" s="27" t="s">
        <v>7</v>
      </c>
      <c r="AA520" s="27" t="s">
        <v>8</v>
      </c>
      <c r="AB520" s="27" t="s">
        <v>7</v>
      </c>
      <c r="AI520" s="27" t="s">
        <v>8</v>
      </c>
      <c r="AJ520" s="27" t="s">
        <v>7</v>
      </c>
      <c r="AK520" s="27" t="s">
        <v>8</v>
      </c>
      <c r="AL520" s="27" t="s">
        <v>7</v>
      </c>
      <c r="AM520" s="27" t="s">
        <v>8</v>
      </c>
      <c r="AQ520" s="27" t="s">
        <v>8</v>
      </c>
      <c r="AR520" s="27" t="s">
        <v>7</v>
      </c>
      <c r="AS520" s="27" t="s">
        <v>8</v>
      </c>
      <c r="AV520" s="27" t="s">
        <v>7</v>
      </c>
      <c r="AX520" s="27" t="s">
        <v>7</v>
      </c>
      <c r="AY520" s="27" t="s">
        <v>8</v>
      </c>
      <c r="AZ520" s="27" t="s">
        <v>7</v>
      </c>
      <c r="BA520" s="27" t="s">
        <v>8</v>
      </c>
      <c r="BB520" s="27" t="s">
        <v>7</v>
      </c>
      <c r="BC520" s="27" t="s">
        <v>8</v>
      </c>
      <c r="BE520" s="27" t="s">
        <v>8</v>
      </c>
      <c r="BF520" s="27" t="s">
        <v>7</v>
      </c>
      <c r="BG520" s="27" t="s">
        <v>8</v>
      </c>
      <c r="BH520" s="27" t="s">
        <v>7</v>
      </c>
      <c r="BI520" s="27" t="s">
        <v>8</v>
      </c>
    </row>
    <row r="521" spans="1:65" x14ac:dyDescent="0.25">
      <c r="A521" s="7">
        <v>3.6949735703052635</v>
      </c>
      <c r="B521"/>
      <c r="C521"/>
      <c r="D521"/>
      <c r="E521"/>
      <c r="K521" s="27" t="s">
        <v>8</v>
      </c>
      <c r="L521" s="27" t="s">
        <v>7</v>
      </c>
      <c r="M521" s="27" t="s">
        <v>8</v>
      </c>
      <c r="N521" s="27" t="s">
        <v>7</v>
      </c>
      <c r="O521" s="27" t="s">
        <v>8</v>
      </c>
      <c r="P521" s="27" t="s">
        <v>7</v>
      </c>
      <c r="W521" s="27" t="s">
        <v>8</v>
      </c>
      <c r="X521" s="27" t="s">
        <v>7</v>
      </c>
      <c r="Z521" s="27" t="s">
        <v>7</v>
      </c>
      <c r="AA521" s="27" t="s">
        <v>8</v>
      </c>
      <c r="AB521" s="27" t="s">
        <v>7</v>
      </c>
      <c r="AI521" s="27" t="s">
        <v>8</v>
      </c>
      <c r="AJ521" s="27" t="s">
        <v>7</v>
      </c>
      <c r="AK521" s="27" t="s">
        <v>8</v>
      </c>
      <c r="AL521" s="27" t="s">
        <v>7</v>
      </c>
      <c r="AM521" s="27" t="s">
        <v>8</v>
      </c>
      <c r="AN521" s="27" t="s">
        <v>7</v>
      </c>
      <c r="AO521" s="27" t="s">
        <v>8</v>
      </c>
      <c r="AQ521" s="27" t="s">
        <v>8</v>
      </c>
      <c r="AR521" s="27" t="s">
        <v>7</v>
      </c>
      <c r="AX521" s="27" t="s">
        <v>7</v>
      </c>
      <c r="AY521" s="27" t="s">
        <v>8</v>
      </c>
      <c r="AZ521" s="27" t="s">
        <v>7</v>
      </c>
      <c r="BA521" s="27" t="s">
        <v>8</v>
      </c>
      <c r="BB521" s="27" t="s">
        <v>7</v>
      </c>
      <c r="BC521" s="27" t="s">
        <v>8</v>
      </c>
      <c r="BD521" s="27" t="s">
        <v>7</v>
      </c>
      <c r="BE521" s="27" t="s">
        <v>8</v>
      </c>
      <c r="BF521" s="27" t="s">
        <v>7</v>
      </c>
      <c r="BH521" s="27" t="s">
        <v>7</v>
      </c>
      <c r="BI521" s="27" t="s">
        <v>8</v>
      </c>
    </row>
    <row r="522" spans="1:65" x14ac:dyDescent="0.25">
      <c r="A522" s="7">
        <v>3.6225231081424152</v>
      </c>
      <c r="B522"/>
      <c r="C522"/>
      <c r="D522"/>
      <c r="E522"/>
      <c r="K522" s="27" t="s">
        <v>8</v>
      </c>
      <c r="L522" s="27" t="s">
        <v>7</v>
      </c>
      <c r="M522" s="27" t="s">
        <v>8</v>
      </c>
      <c r="N522" s="27" t="s">
        <v>7</v>
      </c>
      <c r="O522" s="27" t="s">
        <v>8</v>
      </c>
      <c r="P522" s="27" t="s">
        <v>7</v>
      </c>
      <c r="W522" s="27" t="s">
        <v>8</v>
      </c>
      <c r="Z522" s="27" t="s">
        <v>7</v>
      </c>
      <c r="AB522" s="27" t="s">
        <v>7</v>
      </c>
      <c r="AI522" s="27" t="s">
        <v>8</v>
      </c>
      <c r="AJ522" s="27" t="s">
        <v>7</v>
      </c>
      <c r="AK522" s="27" t="s">
        <v>8</v>
      </c>
      <c r="AL522" s="27" t="s">
        <v>7</v>
      </c>
      <c r="AM522" s="27" t="s">
        <v>8</v>
      </c>
      <c r="AN522" s="27" t="s">
        <v>7</v>
      </c>
      <c r="AO522" s="27" t="s">
        <v>8</v>
      </c>
      <c r="AP522" s="27" t="s">
        <v>7</v>
      </c>
      <c r="AQ522" s="27" t="s">
        <v>8</v>
      </c>
      <c r="AX522" s="27" t="s">
        <v>7</v>
      </c>
      <c r="AY522" s="27" t="s">
        <v>8</v>
      </c>
      <c r="AZ522" s="27" t="s">
        <v>7</v>
      </c>
      <c r="BA522" s="27" t="s">
        <v>8</v>
      </c>
      <c r="BB522" s="27" t="s">
        <v>7</v>
      </c>
      <c r="BC522" s="27" t="s">
        <v>8</v>
      </c>
      <c r="BD522" s="27" t="s">
        <v>7</v>
      </c>
      <c r="BE522" s="27" t="s">
        <v>8</v>
      </c>
      <c r="BH522" s="27" t="s">
        <v>7</v>
      </c>
    </row>
    <row r="523" spans="1:65" x14ac:dyDescent="0.25">
      <c r="A523" s="7">
        <v>3.5514932432768775</v>
      </c>
      <c r="B523"/>
      <c r="C523"/>
      <c r="D523"/>
      <c r="E523"/>
      <c r="K523" s="27" t="s">
        <v>8</v>
      </c>
      <c r="L523" s="27" t="s">
        <v>7</v>
      </c>
      <c r="M523" s="27" t="s">
        <v>8</v>
      </c>
      <c r="N523" s="27" t="s">
        <v>7</v>
      </c>
      <c r="O523" s="27" t="s">
        <v>8</v>
      </c>
      <c r="P523" s="27" t="s">
        <v>7</v>
      </c>
      <c r="U523" s="27" t="s">
        <v>8</v>
      </c>
      <c r="W523" s="27" t="s">
        <v>8</v>
      </c>
      <c r="AB523" s="27" t="s">
        <v>7</v>
      </c>
      <c r="AI523" s="27" t="s">
        <v>8</v>
      </c>
      <c r="AJ523" s="27" t="s">
        <v>7</v>
      </c>
      <c r="AL523" s="27" t="s">
        <v>7</v>
      </c>
      <c r="AM523" s="27" t="s">
        <v>8</v>
      </c>
      <c r="AN523" s="27" t="s">
        <v>7</v>
      </c>
      <c r="AO523" s="27" t="s">
        <v>8</v>
      </c>
      <c r="AP523" s="27" t="s">
        <v>7</v>
      </c>
      <c r="AQ523" s="27" t="s">
        <v>8</v>
      </c>
      <c r="AX523" s="27" t="s">
        <v>7</v>
      </c>
      <c r="AY523" s="27" t="s">
        <v>8</v>
      </c>
      <c r="AZ523" s="27" t="s">
        <v>7</v>
      </c>
      <c r="BA523" s="27" t="s">
        <v>8</v>
      </c>
      <c r="BB523" s="27" t="s">
        <v>7</v>
      </c>
      <c r="BC523" s="27" t="s">
        <v>8</v>
      </c>
      <c r="BD523" s="27" t="s">
        <v>7</v>
      </c>
      <c r="BE523" s="27" t="s">
        <v>8</v>
      </c>
    </row>
    <row r="524" spans="1:65" x14ac:dyDescent="0.25">
      <c r="A524" s="7">
        <v>3.4818561208596837</v>
      </c>
      <c r="B524"/>
      <c r="C524"/>
      <c r="D524"/>
      <c r="E524" t="s">
        <v>8</v>
      </c>
      <c r="K524" s="27" t="s">
        <v>8</v>
      </c>
      <c r="L524" s="27" t="s">
        <v>7</v>
      </c>
      <c r="M524" s="27" t="s">
        <v>8</v>
      </c>
      <c r="N524" s="27" t="s">
        <v>7</v>
      </c>
      <c r="O524" s="27" t="s">
        <v>8</v>
      </c>
      <c r="P524" s="27" t="s">
        <v>7</v>
      </c>
      <c r="U524" s="27" t="s">
        <v>8</v>
      </c>
      <c r="V524" s="27" t="s">
        <v>7</v>
      </c>
      <c r="W524" s="27" t="s">
        <v>8</v>
      </c>
      <c r="AB524" s="27" t="s">
        <v>7</v>
      </c>
      <c r="AE524" s="27" t="s">
        <v>8</v>
      </c>
      <c r="AI524" s="27" t="s">
        <v>8</v>
      </c>
      <c r="AL524" s="27" t="s">
        <v>7</v>
      </c>
      <c r="AM524" s="27" t="s">
        <v>8</v>
      </c>
      <c r="AN524" s="27" t="s">
        <v>7</v>
      </c>
      <c r="AO524" s="27" t="s">
        <v>8</v>
      </c>
      <c r="AP524" s="27" t="s">
        <v>7</v>
      </c>
      <c r="AQ524" s="27" t="s">
        <v>8</v>
      </c>
      <c r="AX524" s="27" t="s">
        <v>7</v>
      </c>
      <c r="AY524" s="27" t="s">
        <v>8</v>
      </c>
      <c r="AZ524" s="27" t="s">
        <v>7</v>
      </c>
      <c r="BA524" s="27" t="s">
        <v>8</v>
      </c>
      <c r="BB524" s="27" t="s">
        <v>7</v>
      </c>
      <c r="BD524" s="27" t="s">
        <v>7</v>
      </c>
      <c r="BE524" s="27" t="s">
        <v>8</v>
      </c>
    </row>
    <row r="525" spans="1:65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K525" s="27" t="s">
        <v>8</v>
      </c>
      <c r="L525" s="27" t="s">
        <v>7</v>
      </c>
      <c r="M525" s="27" t="s">
        <v>8</v>
      </c>
      <c r="N525" s="27" t="s">
        <v>7</v>
      </c>
      <c r="O525" s="27" t="s">
        <v>8</v>
      </c>
      <c r="P525" s="27" t="s">
        <v>7</v>
      </c>
      <c r="U525" s="27" t="s">
        <v>8</v>
      </c>
      <c r="V525" s="27" t="s">
        <v>7</v>
      </c>
      <c r="W525" s="27" t="s">
        <v>8</v>
      </c>
      <c r="AB525" s="27" t="s">
        <v>7</v>
      </c>
      <c r="AC525" s="27" t="s">
        <v>8</v>
      </c>
      <c r="AE525" s="27" t="s">
        <v>8</v>
      </c>
      <c r="AF525" s="27" t="s">
        <v>7</v>
      </c>
      <c r="AG525" s="27" t="s">
        <v>8</v>
      </c>
      <c r="AI525" s="27" t="s">
        <v>8</v>
      </c>
      <c r="AL525" s="27" t="s">
        <v>7</v>
      </c>
      <c r="AM525" s="27" t="s">
        <v>8</v>
      </c>
      <c r="AN525" s="27" t="s">
        <v>7</v>
      </c>
      <c r="AO525" s="27" t="s">
        <v>8</v>
      </c>
      <c r="AP525" s="27" t="s">
        <v>7</v>
      </c>
      <c r="AQ525" s="27" t="s">
        <v>8</v>
      </c>
      <c r="AX525" s="27" t="s">
        <v>7</v>
      </c>
      <c r="AY525" s="27" t="s">
        <v>8</v>
      </c>
      <c r="AZ525" s="27" t="s">
        <v>7</v>
      </c>
      <c r="BA525" s="27" t="s">
        <v>8</v>
      </c>
      <c r="BD525" s="27" t="s">
        <v>7</v>
      </c>
    </row>
    <row r="526" spans="1:65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I526" s="27" t="s">
        <v>8</v>
      </c>
      <c r="K526" s="27" t="s">
        <v>8</v>
      </c>
      <c r="L526" s="27" t="s">
        <v>7</v>
      </c>
      <c r="M526" s="27" t="s">
        <v>8</v>
      </c>
      <c r="N526" s="27" t="s">
        <v>7</v>
      </c>
      <c r="O526" s="27" t="s">
        <v>8</v>
      </c>
      <c r="P526" s="27" t="s">
        <v>7</v>
      </c>
      <c r="U526" s="27" t="s">
        <v>8</v>
      </c>
      <c r="V526" s="27" t="s">
        <v>7</v>
      </c>
      <c r="W526" s="27" t="s">
        <v>8</v>
      </c>
      <c r="AB526" s="27" t="s">
        <v>7</v>
      </c>
      <c r="AC526" s="27" t="s">
        <v>8</v>
      </c>
      <c r="AD526" s="27" t="s">
        <v>7</v>
      </c>
      <c r="AE526" s="27" t="s">
        <v>8</v>
      </c>
      <c r="AF526" s="27" t="s">
        <v>7</v>
      </c>
      <c r="AG526" s="27" t="s">
        <v>8</v>
      </c>
      <c r="AH526" s="27" t="s">
        <v>7</v>
      </c>
      <c r="AI526" s="27" t="s">
        <v>8</v>
      </c>
      <c r="AL526" s="27" t="s">
        <v>7</v>
      </c>
      <c r="AM526" s="27" t="s">
        <v>8</v>
      </c>
      <c r="AN526" s="27" t="s">
        <v>7</v>
      </c>
      <c r="AP526" s="27" t="s">
        <v>7</v>
      </c>
      <c r="AQ526" s="27" t="s">
        <v>8</v>
      </c>
      <c r="AX526" s="27" t="s">
        <v>7</v>
      </c>
      <c r="AZ526" s="27" t="s">
        <v>7</v>
      </c>
      <c r="BA526" s="27" t="s">
        <v>8</v>
      </c>
    </row>
    <row r="527" spans="1:65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I527" s="27" t="s">
        <v>8</v>
      </c>
      <c r="J527" s="27" t="s">
        <v>7</v>
      </c>
      <c r="K527" s="27" t="s">
        <v>8</v>
      </c>
      <c r="L527" s="27" t="s">
        <v>7</v>
      </c>
      <c r="M527" s="27" t="s">
        <v>8</v>
      </c>
      <c r="N527" s="27" t="s">
        <v>7</v>
      </c>
      <c r="O527" s="27" t="s">
        <v>8</v>
      </c>
      <c r="P527" s="27" t="s">
        <v>7</v>
      </c>
      <c r="U527" s="27" t="s">
        <v>8</v>
      </c>
      <c r="V527" s="27" t="s">
        <v>7</v>
      </c>
      <c r="W527" s="27" t="s">
        <v>8</v>
      </c>
      <c r="AB527" s="27" t="s">
        <v>7</v>
      </c>
      <c r="AC527" s="27" t="s">
        <v>8</v>
      </c>
      <c r="AD527" s="27" t="s">
        <v>7</v>
      </c>
      <c r="AE527" s="27" t="s">
        <v>8</v>
      </c>
      <c r="AF527" s="27" t="s">
        <v>7</v>
      </c>
      <c r="AG527" s="27" t="s">
        <v>8</v>
      </c>
      <c r="AH527" s="27" t="s">
        <v>7</v>
      </c>
      <c r="AI527" s="27" t="s">
        <v>8</v>
      </c>
      <c r="AL527" s="27" t="s">
        <v>7</v>
      </c>
      <c r="AM527" s="27" t="s">
        <v>8</v>
      </c>
      <c r="AP527" s="27" t="s">
        <v>7</v>
      </c>
      <c r="AZ527" s="27" t="s">
        <v>7</v>
      </c>
      <c r="BA527" s="27" t="s">
        <v>8</v>
      </c>
    </row>
    <row r="528" spans="1:65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I528" s="27" t="s">
        <v>8</v>
      </c>
      <c r="J528" s="27" t="s">
        <v>7</v>
      </c>
      <c r="K528" s="27" t="s">
        <v>8</v>
      </c>
      <c r="L528" s="27" t="s">
        <v>7</v>
      </c>
      <c r="M528" s="27" t="s">
        <v>8</v>
      </c>
      <c r="N528" s="27" t="s">
        <v>7</v>
      </c>
      <c r="O528" s="27" t="s">
        <v>8</v>
      </c>
      <c r="P528" s="27" t="s">
        <v>7</v>
      </c>
      <c r="S528" s="27" t="s">
        <v>8</v>
      </c>
      <c r="U528" s="27" t="s">
        <v>8</v>
      </c>
      <c r="V528" s="27" t="s">
        <v>7</v>
      </c>
      <c r="W528" s="27" t="s">
        <v>8</v>
      </c>
      <c r="AB528" s="27" t="s">
        <v>7</v>
      </c>
      <c r="AC528" s="27" t="s">
        <v>8</v>
      </c>
      <c r="AD528" s="27" t="s">
        <v>7</v>
      </c>
      <c r="AE528" s="27" t="s">
        <v>8</v>
      </c>
      <c r="AF528" s="27" t="s">
        <v>7</v>
      </c>
      <c r="AG528" s="27" t="s">
        <v>8</v>
      </c>
      <c r="AH528" s="27" t="s">
        <v>7</v>
      </c>
      <c r="AI528" s="27" t="s">
        <v>8</v>
      </c>
      <c r="AL528" s="27" t="s">
        <v>7</v>
      </c>
      <c r="AZ528" s="27" t="s">
        <v>7</v>
      </c>
    </row>
    <row r="529" spans="1:35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I529" s="27" t="s">
        <v>8</v>
      </c>
      <c r="J529" s="27" t="s">
        <v>7</v>
      </c>
      <c r="K529" s="27" t="s">
        <v>8</v>
      </c>
      <c r="L529" s="27" t="s">
        <v>7</v>
      </c>
      <c r="M529" s="27" t="s">
        <v>8</v>
      </c>
      <c r="N529" s="27" t="s">
        <v>7</v>
      </c>
      <c r="P529" s="27" t="s">
        <v>7</v>
      </c>
      <c r="S529" s="27" t="s">
        <v>8</v>
      </c>
      <c r="T529" s="27" t="s">
        <v>7</v>
      </c>
      <c r="U529" s="27" t="s">
        <v>8</v>
      </c>
      <c r="V529" s="27" t="s">
        <v>7</v>
      </c>
      <c r="W529" s="27" t="s">
        <v>8</v>
      </c>
      <c r="AB529" s="27" t="s">
        <v>7</v>
      </c>
      <c r="AC529" s="27" t="s">
        <v>8</v>
      </c>
      <c r="AD529" s="27" t="s">
        <v>7</v>
      </c>
      <c r="AE529" s="27" t="s">
        <v>8</v>
      </c>
      <c r="AF529" s="27" t="s">
        <v>7</v>
      </c>
      <c r="AG529" s="27" t="s">
        <v>8</v>
      </c>
      <c r="AH529" s="27" t="s">
        <v>7</v>
      </c>
      <c r="AI529" s="27" t="s">
        <v>8</v>
      </c>
    </row>
    <row r="530" spans="1:35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I530" s="27" t="s">
        <v>8</v>
      </c>
      <c r="J530" s="27" t="s">
        <v>7</v>
      </c>
      <c r="K530" s="27" t="s">
        <v>8</v>
      </c>
      <c r="L530" s="27" t="s">
        <v>7</v>
      </c>
      <c r="M530" s="27" t="s">
        <v>8</v>
      </c>
      <c r="P530" s="27" t="s">
        <v>7</v>
      </c>
      <c r="Q530" s="27" t="s">
        <v>8</v>
      </c>
      <c r="S530" s="27" t="s">
        <v>8</v>
      </c>
      <c r="T530" s="27" t="s">
        <v>7</v>
      </c>
      <c r="U530" s="27" t="s">
        <v>8</v>
      </c>
      <c r="V530" s="27" t="s">
        <v>7</v>
      </c>
      <c r="AB530" s="27" t="s">
        <v>7</v>
      </c>
      <c r="AC530" s="27" t="s">
        <v>8</v>
      </c>
      <c r="AD530" s="27" t="s">
        <v>7</v>
      </c>
      <c r="AE530" s="27" t="s">
        <v>8</v>
      </c>
      <c r="AF530" s="27" t="s">
        <v>7</v>
      </c>
      <c r="AH530" s="27" t="s">
        <v>7</v>
      </c>
      <c r="AI530" s="27" t="s">
        <v>8</v>
      </c>
    </row>
    <row r="531" spans="1:35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I531" s="27" t="s">
        <v>8</v>
      </c>
      <c r="J531" s="27" t="s">
        <v>7</v>
      </c>
      <c r="K531" s="27" t="s">
        <v>8</v>
      </c>
      <c r="L531" s="27" t="s">
        <v>7</v>
      </c>
      <c r="M531" s="27" t="s">
        <v>8</v>
      </c>
      <c r="P531" s="27" t="s">
        <v>7</v>
      </c>
      <c r="Q531" s="27" t="s">
        <v>8</v>
      </c>
      <c r="R531" s="27" t="s">
        <v>7</v>
      </c>
      <c r="S531" s="27" t="s">
        <v>8</v>
      </c>
      <c r="T531" s="27" t="s">
        <v>7</v>
      </c>
      <c r="U531" s="27" t="s">
        <v>8</v>
      </c>
      <c r="AB531" s="27" t="s">
        <v>7</v>
      </c>
      <c r="AC531" s="27" t="s">
        <v>8</v>
      </c>
      <c r="AD531" s="27" t="s">
        <v>7</v>
      </c>
      <c r="AE531" s="27" t="s">
        <v>8</v>
      </c>
      <c r="AH531" s="27" t="s">
        <v>7</v>
      </c>
      <c r="AI531" s="27" t="s">
        <v>8</v>
      </c>
    </row>
    <row r="532" spans="1:35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I532" s="27" t="s">
        <v>8</v>
      </c>
      <c r="J532" s="27" t="s">
        <v>7</v>
      </c>
      <c r="K532" s="27" t="s">
        <v>8</v>
      </c>
      <c r="L532" s="27" t="s">
        <v>7</v>
      </c>
      <c r="M532" s="27" t="s">
        <v>8</v>
      </c>
      <c r="P532" s="27" t="s">
        <v>7</v>
      </c>
      <c r="Q532" s="27" t="s">
        <v>8</v>
      </c>
      <c r="R532" s="27" t="s">
        <v>7</v>
      </c>
      <c r="S532" s="27" t="s">
        <v>8</v>
      </c>
      <c r="T532" s="27" t="s">
        <v>7</v>
      </c>
      <c r="U532" s="27" t="s">
        <v>8</v>
      </c>
      <c r="AB532" s="27" t="s">
        <v>7</v>
      </c>
      <c r="AC532" s="27" t="s">
        <v>8</v>
      </c>
      <c r="AD532" s="27" t="s">
        <v>7</v>
      </c>
      <c r="AE532" s="27" t="s">
        <v>8</v>
      </c>
      <c r="AH532" s="27" t="s">
        <v>7</v>
      </c>
    </row>
    <row r="533" spans="1:35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  <c r="I533" s="27" t="s">
        <v>8</v>
      </c>
      <c r="J533" s="27" t="s">
        <v>7</v>
      </c>
      <c r="K533" s="27" t="s">
        <v>8</v>
      </c>
      <c r="L533" s="27" t="s">
        <v>7</v>
      </c>
      <c r="M533" s="27" t="s">
        <v>8</v>
      </c>
      <c r="P533" s="27" t="s">
        <v>7</v>
      </c>
      <c r="Q533" s="27" t="s">
        <v>8</v>
      </c>
      <c r="R533" s="27" t="s">
        <v>7</v>
      </c>
      <c r="S533" s="27" t="s">
        <v>8</v>
      </c>
      <c r="T533" s="27" t="s">
        <v>7</v>
      </c>
      <c r="U533" s="27" t="s">
        <v>8</v>
      </c>
      <c r="AB533" s="27" t="s">
        <v>7</v>
      </c>
      <c r="AC533" s="27" t="s">
        <v>8</v>
      </c>
      <c r="AD533" s="27" t="s">
        <v>7</v>
      </c>
      <c r="AE533" s="27" t="s">
        <v>8</v>
      </c>
    </row>
    <row r="534" spans="1:35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G534" s="27" t="s">
        <v>8</v>
      </c>
      <c r="H534" s="27" t="s">
        <v>7</v>
      </c>
      <c r="I534" s="27" t="s">
        <v>8</v>
      </c>
      <c r="J534" s="27" t="s">
        <v>7</v>
      </c>
      <c r="K534" s="27" t="s">
        <v>8</v>
      </c>
      <c r="L534" s="27" t="s">
        <v>7</v>
      </c>
      <c r="M534" s="27" t="s">
        <v>8</v>
      </c>
      <c r="P534" s="27" t="s">
        <v>7</v>
      </c>
      <c r="Q534" s="27" t="s">
        <v>8</v>
      </c>
      <c r="R534" s="27" t="s">
        <v>7</v>
      </c>
      <c r="S534" s="27" t="s">
        <v>8</v>
      </c>
      <c r="T534" s="27" t="s">
        <v>7</v>
      </c>
      <c r="U534" s="27" t="s">
        <v>8</v>
      </c>
      <c r="AB534" s="27" t="s">
        <v>7</v>
      </c>
      <c r="AC534" s="27" t="s">
        <v>8</v>
      </c>
      <c r="AD534" s="27" t="s">
        <v>7</v>
      </c>
      <c r="AE534" s="27" t="s">
        <v>8</v>
      </c>
    </row>
    <row r="535" spans="1:35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  <c r="H535" s="27" t="s">
        <v>7</v>
      </c>
      <c r="I535" s="27" t="s">
        <v>8</v>
      </c>
      <c r="J535" s="27" t="s">
        <v>7</v>
      </c>
      <c r="K535" s="27" t="s">
        <v>8</v>
      </c>
      <c r="L535" s="27" t="s">
        <v>7</v>
      </c>
      <c r="P535" s="27" t="s">
        <v>7</v>
      </c>
      <c r="Q535" s="27" t="s">
        <v>8</v>
      </c>
      <c r="R535" s="27" t="s">
        <v>7</v>
      </c>
      <c r="S535" s="27" t="s">
        <v>8</v>
      </c>
      <c r="T535" s="27" t="s">
        <v>7</v>
      </c>
      <c r="U535" s="27" t="s">
        <v>8</v>
      </c>
      <c r="AB535" s="27" t="s">
        <v>7</v>
      </c>
      <c r="AC535" s="27" t="s">
        <v>8</v>
      </c>
      <c r="AD535" s="27" t="s">
        <v>7</v>
      </c>
    </row>
    <row r="536" spans="1:35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H536" s="27" t="s">
        <v>7</v>
      </c>
      <c r="I536" s="27" t="s">
        <v>8</v>
      </c>
      <c r="J536" s="27" t="s">
        <v>7</v>
      </c>
      <c r="K536" s="27" t="s">
        <v>8</v>
      </c>
      <c r="P536" s="27" t="s">
        <v>7</v>
      </c>
      <c r="Q536" s="27" t="s">
        <v>8</v>
      </c>
      <c r="R536" s="27" t="s">
        <v>7</v>
      </c>
      <c r="S536" s="27" t="s">
        <v>8</v>
      </c>
      <c r="T536" s="27" t="s">
        <v>7</v>
      </c>
      <c r="U536" s="27" t="s">
        <v>8</v>
      </c>
      <c r="AB536" s="27" t="s">
        <v>7</v>
      </c>
      <c r="AC536" s="27" t="s">
        <v>8</v>
      </c>
    </row>
    <row r="537" spans="1:35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G537" s="27" t="s">
        <v>8</v>
      </c>
      <c r="H537" s="27" t="s">
        <v>7</v>
      </c>
      <c r="I537" s="27" t="s">
        <v>8</v>
      </c>
      <c r="J537" s="27" t="s">
        <v>7</v>
      </c>
      <c r="K537" s="27" t="s">
        <v>8</v>
      </c>
      <c r="P537" s="27" t="s">
        <v>7</v>
      </c>
      <c r="Q537" s="27" t="s">
        <v>8</v>
      </c>
      <c r="R537" s="27" t="s">
        <v>7</v>
      </c>
      <c r="S537" s="27" t="s">
        <v>8</v>
      </c>
      <c r="T537" s="27" t="s">
        <v>7</v>
      </c>
      <c r="AB537" s="27" t="s">
        <v>7</v>
      </c>
      <c r="AC537" s="27" t="s">
        <v>8</v>
      </c>
    </row>
    <row r="538" spans="1:35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G538" s="27" t="s">
        <v>8</v>
      </c>
      <c r="H538" s="27" t="s">
        <v>7</v>
      </c>
      <c r="I538" s="27" t="s">
        <v>8</v>
      </c>
      <c r="J538" s="27" t="s">
        <v>7</v>
      </c>
      <c r="K538" s="27" t="s">
        <v>8</v>
      </c>
      <c r="P538" s="27" t="s">
        <v>7</v>
      </c>
      <c r="Q538" s="27" t="s">
        <v>8</v>
      </c>
      <c r="R538" s="27" t="s">
        <v>7</v>
      </c>
      <c r="S538" s="27" t="s">
        <v>8</v>
      </c>
      <c r="AB538" s="27" t="s">
        <v>7</v>
      </c>
      <c r="AC538" s="27" t="s">
        <v>8</v>
      </c>
    </row>
    <row r="539" spans="1:35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H539" s="27" t="s">
        <v>7</v>
      </c>
      <c r="I539" s="27" t="s">
        <v>8</v>
      </c>
      <c r="J539" s="27" t="s">
        <v>7</v>
      </c>
      <c r="P539" s="27" t="s">
        <v>7</v>
      </c>
      <c r="R539" s="27" t="s">
        <v>7</v>
      </c>
      <c r="S539" s="27" t="s">
        <v>8</v>
      </c>
      <c r="AB539" s="27" t="s">
        <v>7</v>
      </c>
      <c r="AC539" s="27" t="s">
        <v>8</v>
      </c>
    </row>
    <row r="540" spans="1:35" x14ac:dyDescent="0.25">
      <c r="A540" s="7">
        <v>2.53634351519552</v>
      </c>
      <c r="B540"/>
      <c r="C540"/>
      <c r="D540"/>
      <c r="E540" t="s">
        <v>8</v>
      </c>
      <c r="H540" s="27" t="s">
        <v>7</v>
      </c>
      <c r="I540" s="27" t="s">
        <v>8</v>
      </c>
      <c r="R540" s="27" t="s">
        <v>7</v>
      </c>
      <c r="S540" s="27" t="s">
        <v>8</v>
      </c>
      <c r="AB540" s="27" t="s">
        <v>7</v>
      </c>
      <c r="AC540" s="27" t="s">
        <v>8</v>
      </c>
    </row>
    <row r="541" spans="1:35" x14ac:dyDescent="0.25">
      <c r="A541" s="7">
        <v>2.4866112894073726</v>
      </c>
      <c r="B541"/>
      <c r="C541"/>
      <c r="D541"/>
      <c r="E541" t="s">
        <v>8</v>
      </c>
      <c r="H541" s="27" t="s">
        <v>7</v>
      </c>
      <c r="I541" s="27" t="s">
        <v>8</v>
      </c>
      <c r="R541" s="27" t="s">
        <v>7</v>
      </c>
      <c r="S541" s="27" t="s">
        <v>8</v>
      </c>
      <c r="AB541" s="27" t="s">
        <v>7</v>
      </c>
    </row>
    <row r="542" spans="1:35" x14ac:dyDescent="0.25">
      <c r="A542" s="7">
        <v>2.4378542053013459</v>
      </c>
      <c r="B542"/>
      <c r="C542"/>
      <c r="D542"/>
      <c r="E542" t="s">
        <v>8</v>
      </c>
      <c r="H542" s="27" t="s">
        <v>7</v>
      </c>
      <c r="I542" s="27" t="s">
        <v>8</v>
      </c>
      <c r="R542" s="27" t="s">
        <v>7</v>
      </c>
      <c r="S542" s="27" t="s">
        <v>8</v>
      </c>
    </row>
    <row r="543" spans="1:35" x14ac:dyDescent="0.25">
      <c r="A543" s="7">
        <v>2.3900531424522997</v>
      </c>
      <c r="B543"/>
      <c r="C543"/>
      <c r="D543"/>
      <c r="E543" t="s">
        <v>8</v>
      </c>
      <c r="H543" s="27" t="s">
        <v>7</v>
      </c>
      <c r="I543" s="27" t="s">
        <v>8</v>
      </c>
      <c r="R543" s="27" t="s">
        <v>7</v>
      </c>
      <c r="S543" s="27" t="s">
        <v>8</v>
      </c>
    </row>
    <row r="544" spans="1:35" x14ac:dyDescent="0.25">
      <c r="A544" s="7">
        <v>2.343189355345392</v>
      </c>
      <c r="B544"/>
      <c r="C544"/>
      <c r="D544"/>
      <c r="E544" t="s">
        <v>8</v>
      </c>
      <c r="H544" s="27" t="s">
        <v>7</v>
      </c>
      <c r="I544" s="27" t="s">
        <v>8</v>
      </c>
      <c r="R544" s="27" t="s">
        <v>7</v>
      </c>
      <c r="S544" s="27" t="s">
        <v>8</v>
      </c>
    </row>
    <row r="545" spans="1:19" x14ac:dyDescent="0.25">
      <c r="A545" s="7">
        <v>2.2972444660248938</v>
      </c>
      <c r="B545"/>
      <c r="C545"/>
      <c r="D545"/>
      <c r="E545" t="s">
        <v>8</v>
      </c>
      <c r="H545" s="27" t="s">
        <v>7</v>
      </c>
      <c r="R545" s="27" t="s">
        <v>7</v>
      </c>
      <c r="S545" s="27" t="s">
        <v>8</v>
      </c>
    </row>
    <row r="546" spans="1:19" x14ac:dyDescent="0.25">
      <c r="A546" s="7">
        <v>2.252200456887151</v>
      </c>
      <c r="B546"/>
      <c r="C546"/>
      <c r="D546"/>
      <c r="E546" t="s">
        <v>8</v>
      </c>
      <c r="R546" s="27" t="s">
        <v>7</v>
      </c>
      <c r="S546" s="27" t="s">
        <v>8</v>
      </c>
    </row>
    <row r="547" spans="1:19" x14ac:dyDescent="0.25">
      <c r="A547" s="7">
        <v>2.208039663614854</v>
      </c>
      <c r="B547"/>
      <c r="C547"/>
      <c r="D547"/>
      <c r="E547" t="s">
        <v>8</v>
      </c>
      <c r="R547" s="27" t="s">
        <v>7</v>
      </c>
      <c r="S547" s="27" t="s">
        <v>8</v>
      </c>
    </row>
    <row r="548" spans="1:19" x14ac:dyDescent="0.25">
      <c r="A548" s="7">
        <v>2.1647447682498568</v>
      </c>
      <c r="B548"/>
      <c r="C548"/>
      <c r="D548"/>
      <c r="E548" t="s">
        <v>8</v>
      </c>
      <c r="R548" s="27" t="s">
        <v>7</v>
      </c>
      <c r="S548" s="27" t="s">
        <v>8</v>
      </c>
    </row>
    <row r="549" spans="1:19" x14ac:dyDescent="0.25">
      <c r="A549" s="7">
        <v>2.1222987924018204</v>
      </c>
      <c r="B549"/>
      <c r="C549"/>
      <c r="D549"/>
      <c r="E549" t="s">
        <v>8</v>
      </c>
      <c r="R549" s="27" t="s">
        <v>7</v>
      </c>
      <c r="S549" s="27" t="s">
        <v>8</v>
      </c>
    </row>
    <row r="550" spans="1:19" x14ac:dyDescent="0.25">
      <c r="A550" s="7">
        <v>2.0806850905900198</v>
      </c>
      <c r="B550"/>
      <c r="C550"/>
      <c r="D550"/>
      <c r="E550" t="s">
        <v>8</v>
      </c>
      <c r="R550" s="27" t="s">
        <v>7</v>
      </c>
    </row>
    <row r="551" spans="1:19" x14ac:dyDescent="0.25">
      <c r="A551" s="7">
        <v>2.0398873437157055</v>
      </c>
      <c r="B551"/>
      <c r="C551"/>
      <c r="D551"/>
      <c r="E551" t="s">
        <v>8</v>
      </c>
    </row>
    <row r="552" spans="1:19" x14ac:dyDescent="0.25">
      <c r="A552" s="7">
        <v>1.9998895526624565</v>
      </c>
      <c r="B552"/>
      <c r="C552"/>
      <c r="D552"/>
      <c r="E552" t="s">
        <v>8</v>
      </c>
    </row>
    <row r="553" spans="1:19" x14ac:dyDescent="0.25">
      <c r="A553" s="7">
        <v>1.9606760320220162</v>
      </c>
      <c r="B553"/>
      <c r="C553"/>
      <c r="D553"/>
      <c r="E553" t="s">
        <v>8</v>
      </c>
    </row>
    <row r="554" spans="1:19" x14ac:dyDescent="0.25">
      <c r="A554" s="7">
        <v>1.9222314039431532</v>
      </c>
      <c r="B554"/>
      <c r="C554"/>
      <c r="D554"/>
      <c r="E554" t="s">
        <v>8</v>
      </c>
    </row>
    <row r="555" spans="1:19" x14ac:dyDescent="0.25">
      <c r="A555" s="7">
        <v>1.8845405921011305</v>
      </c>
      <c r="B555"/>
      <c r="C555"/>
      <c r="D555"/>
      <c r="E555" t="s">
        <v>8</v>
      </c>
    </row>
    <row r="556" spans="1:19" x14ac:dyDescent="0.25">
      <c r="A556" s="7">
        <v>1.8475888157854219</v>
      </c>
      <c r="B556"/>
      <c r="C556"/>
      <c r="D556"/>
      <c r="E556" t="s">
        <v>8</v>
      </c>
    </row>
    <row r="557" spans="1:19" x14ac:dyDescent="0.25">
      <c r="A557" s="7">
        <v>1.8113615841033548</v>
      </c>
      <c r="B557"/>
      <c r="C557"/>
      <c r="D557"/>
      <c r="E557" t="s">
        <v>8</v>
      </c>
    </row>
    <row r="558" spans="1:19" x14ac:dyDescent="0.25">
      <c r="A558" s="7">
        <v>1.7758446902974065</v>
      </c>
      <c r="B558"/>
      <c r="C558"/>
      <c r="D558"/>
      <c r="E558" t="s">
        <v>8</v>
      </c>
    </row>
    <row r="559" spans="1:19" x14ac:dyDescent="0.25">
      <c r="A559" s="7">
        <v>1.7410242061739281</v>
      </c>
      <c r="B559"/>
      <c r="C559"/>
      <c r="D559"/>
      <c r="E559" t="s">
        <v>8</v>
      </c>
    </row>
    <row r="560" spans="1:19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84" operator="equal">
      <formula>$U$1</formula>
    </cfRule>
    <cfRule type="cellIs" dxfId="89" priority="885" operator="equal">
      <formula>$S$1</formula>
    </cfRule>
  </conditionalFormatting>
  <conditionalFormatting sqref="D27">
    <cfRule type="cellIs" dxfId="88" priority="882" operator="equal">
      <formula>$S$1</formula>
    </cfRule>
    <cfRule type="cellIs" dxfId="87" priority="883" operator="equal">
      <formula>$U$1</formula>
    </cfRule>
  </conditionalFormatting>
  <conditionalFormatting sqref="C164">
    <cfRule type="cellIs" dxfId="86" priority="880" operator="equal">
      <formula>$U$1</formula>
    </cfRule>
    <cfRule type="cellIs" dxfId="85" priority="881" operator="equal">
      <formula>$S$1</formula>
    </cfRule>
  </conditionalFormatting>
  <conditionalFormatting sqref="D164">
    <cfRule type="cellIs" dxfId="84" priority="878" operator="equal">
      <formula>$S$1</formula>
    </cfRule>
    <cfRule type="cellIs" dxfId="83" priority="879" operator="equal">
      <formula>$U$1</formula>
    </cfRule>
  </conditionalFormatting>
  <conditionalFormatting sqref="C55">
    <cfRule type="cellIs" dxfId="82" priority="876" operator="equal">
      <formula>$U$1</formula>
    </cfRule>
    <cfRule type="cellIs" dxfId="81" priority="877" operator="equal">
      <formula>$S$1</formula>
    </cfRule>
  </conditionalFormatting>
  <conditionalFormatting sqref="D55">
    <cfRule type="cellIs" dxfId="80" priority="874" operator="equal">
      <formula>$S$1</formula>
    </cfRule>
    <cfRule type="cellIs" dxfId="79" priority="875" operator="equal">
      <formula>$U$1</formula>
    </cfRule>
  </conditionalFormatting>
  <conditionalFormatting sqref="C89">
    <cfRule type="cellIs" dxfId="78" priority="872" operator="equal">
      <formula>$U$1</formula>
    </cfRule>
    <cfRule type="cellIs" dxfId="77" priority="873" operator="equal">
      <formula>$S$1</formula>
    </cfRule>
  </conditionalFormatting>
  <conditionalFormatting sqref="D89">
    <cfRule type="cellIs" dxfId="76" priority="870" operator="equal">
      <formula>$S$1</formula>
    </cfRule>
    <cfRule type="cellIs" dxfId="75" priority="871" operator="equal">
      <formula>$U$1</formula>
    </cfRule>
  </conditionalFormatting>
  <conditionalFormatting sqref="C136">
    <cfRule type="cellIs" dxfId="74" priority="868" operator="equal">
      <formula>$U$1</formula>
    </cfRule>
    <cfRule type="cellIs" dxfId="73" priority="869" operator="equal">
      <formula>$S$1</formula>
    </cfRule>
  </conditionalFormatting>
  <conditionalFormatting sqref="D136">
    <cfRule type="cellIs" dxfId="72" priority="866" operator="equal">
      <formula>$S$1</formula>
    </cfRule>
    <cfRule type="cellIs" dxfId="71" priority="867" operator="equal">
      <formula>$U$1</formula>
    </cfRule>
  </conditionalFormatting>
  <conditionalFormatting sqref="C1">
    <cfRule type="cellIs" dxfId="70" priority="86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U196" sqref="EU19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$A$195</v>
      </c>
      <c r="D111" s="1" t="str">
        <f>ADDRESS(C121-1,D121,1,1)</f>
        <v>$EU$195</v>
      </c>
      <c r="E111"/>
    </row>
    <row r="112" spans="1:5" x14ac:dyDescent="0.25">
      <c r="A112" s="30">
        <v>515.50191262726139</v>
      </c>
      <c r="C112" s="1" t="str">
        <f>ADDRESS(C121,1,1,1)</f>
        <v>$A$196</v>
      </c>
      <c r="D112" s="1" t="str">
        <f>ADDRESS(C121,D121-1,1,1)</f>
        <v>$ET$196</v>
      </c>
      <c r="E112"/>
    </row>
    <row r="113" spans="1:5" x14ac:dyDescent="0.25">
      <c r="A113" s="30">
        <v>490.95420250215363</v>
      </c>
      <c r="C113" s="1" t="str">
        <f>ADDRESS(C121+1,1,1,1)</f>
        <v>$A$197</v>
      </c>
      <c r="D113" s="1" t="str">
        <f>ADDRESS(C121-1,D121+1,1,1)</f>
        <v>$EV$195</v>
      </c>
    </row>
    <row r="114" spans="1:5" x14ac:dyDescent="0.25">
      <c r="A114" s="30">
        <v>467.57543095443202</v>
      </c>
      <c r="C114" s="1" t="str">
        <f>ADDRESS(C121,D121,1,1)</f>
        <v>$EU$196</v>
      </c>
      <c r="D114" s="1" t="str">
        <f>ADDRESS(C121+1,D121+1,1,1)</f>
        <v>$EV$197</v>
      </c>
    </row>
    <row r="115" spans="1:5" x14ac:dyDescent="0.25">
      <c r="A115" s="30">
        <v>445.30993424231622</v>
      </c>
      <c r="C115" s="1" t="str">
        <f>ADDRESS(C121+1,D121,1,1)</f>
        <v>$EU$197</v>
      </c>
    </row>
    <row r="116" spans="1:5" x14ac:dyDescent="0.25">
      <c r="A116" s="30">
        <v>424.10469927839637</v>
      </c>
      <c r="C116" s="1">
        <f>C117-1</f>
        <v>195</v>
      </c>
    </row>
    <row r="117" spans="1:5" x14ac:dyDescent="0.25">
      <c r="A117" s="30">
        <v>403.9092374079965</v>
      </c>
      <c r="C117" s="1">
        <f>C121</f>
        <v>196</v>
      </c>
      <c r="D117" s="1">
        <f>D121</f>
        <v>151</v>
      </c>
    </row>
    <row r="118" spans="1:5" x14ac:dyDescent="0.25">
      <c r="A118" s="30">
        <v>384.6754641980919</v>
      </c>
      <c r="C118" s="1">
        <f>C117+1</f>
        <v>197</v>
      </c>
      <c r="D118" s="1">
        <f>D117+1</f>
        <v>152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196</v>
      </c>
      <c r="D121" s="19">
        <v>151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R196</v>
      </c>
      <c r="D123" s="1" t="str">
        <f>"C"&amp;D121</f>
        <v>C151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8.5571502795169767</v>
      </c>
      <c r="D127"/>
    </row>
    <row r="128" spans="1:5" x14ac:dyDescent="0.25">
      <c r="A128" s="30">
        <v>236.15736578315241</v>
      </c>
    </row>
    <row r="129" spans="1:100" x14ac:dyDescent="0.25">
      <c r="A129" s="30">
        <v>224.91177693633563</v>
      </c>
      <c r="C129" s="1" t="s">
        <v>11</v>
      </c>
      <c r="D129" s="1" t="s">
        <v>12</v>
      </c>
      <c r="E129"/>
    </row>
    <row r="130" spans="1:100" x14ac:dyDescent="0.25">
      <c r="A130" s="30">
        <v>214.20169232031964</v>
      </c>
      <c r="C130" s="6"/>
      <c r="D130" s="6"/>
      <c r="E130"/>
    </row>
    <row r="131" spans="1:100" x14ac:dyDescent="0.25">
      <c r="A131" s="30">
        <v>204.00161173363773</v>
      </c>
      <c r="E131"/>
    </row>
    <row r="132" spans="1:100" x14ac:dyDescent="0.25">
      <c r="A132" s="30">
        <v>194.28724927013116</v>
      </c>
      <c r="C132" s="1" t="s">
        <v>13</v>
      </c>
      <c r="E132"/>
    </row>
    <row r="133" spans="1:100" x14ac:dyDescent="0.25">
      <c r="A133" s="30">
        <v>185.03547549536299</v>
      </c>
      <c r="C133" s="1" t="str">
        <f>C122</f>
        <v>X</v>
      </c>
      <c r="E133"/>
    </row>
    <row r="134" spans="1:100" x14ac:dyDescent="0.25">
      <c r="A134" s="30">
        <v>176.22426237653616</v>
      </c>
      <c r="C134"/>
      <c r="E134"/>
    </row>
    <row r="135" spans="1:100" x14ac:dyDescent="0.25">
      <c r="A135" s="30">
        <v>167.83263083479633</v>
      </c>
      <c r="C135" s="1" t="s">
        <v>14</v>
      </c>
      <c r="E135"/>
    </row>
    <row r="136" spans="1:100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100" x14ac:dyDescent="0.25">
      <c r="A137" s="30">
        <v>152.22914361432771</v>
      </c>
      <c r="E137"/>
    </row>
    <row r="138" spans="1:100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CQ138" s="27" t="s">
        <v>8</v>
      </c>
    </row>
    <row r="139" spans="1:100" x14ac:dyDescent="0.25">
      <c r="A139" s="30">
        <v>138.07632073861922</v>
      </c>
      <c r="E139"/>
      <c r="CQ139" s="27" t="s">
        <v>8</v>
      </c>
      <c r="CR139" s="27" t="s">
        <v>7</v>
      </c>
    </row>
    <row r="140" spans="1:100" x14ac:dyDescent="0.25">
      <c r="A140" s="30">
        <v>131.50125784630401</v>
      </c>
      <c r="C140" s="1">
        <v>0</v>
      </c>
      <c r="E140"/>
      <c r="CO140" s="27" t="s">
        <v>8</v>
      </c>
      <c r="CQ140" s="27" t="s">
        <v>8</v>
      </c>
      <c r="CR140" s="27" t="s">
        <v>7</v>
      </c>
      <c r="CS140" s="27" t="s">
        <v>8</v>
      </c>
    </row>
    <row r="141" spans="1:100" x14ac:dyDescent="0.25">
      <c r="A141" s="30">
        <v>125.23929318695619</v>
      </c>
      <c r="C141" s="1">
        <v>1</v>
      </c>
      <c r="E141"/>
      <c r="CO141" s="27" t="s">
        <v>8</v>
      </c>
      <c r="CP141" s="27" t="s">
        <v>7</v>
      </c>
      <c r="CQ141" s="27" t="s">
        <v>8</v>
      </c>
      <c r="CR141" s="27" t="s">
        <v>7</v>
      </c>
      <c r="CS141" s="27" t="s">
        <v>8</v>
      </c>
      <c r="CT141" s="27" t="s">
        <v>7</v>
      </c>
      <c r="CU141" s="27" t="s">
        <v>8</v>
      </c>
    </row>
    <row r="142" spans="1:100" x14ac:dyDescent="0.25">
      <c r="A142" s="30">
        <v>119.27551732091065</v>
      </c>
      <c r="C142" s="1">
        <v>2</v>
      </c>
      <c r="E142"/>
      <c r="CM142" s="27" t="s">
        <v>8</v>
      </c>
      <c r="CO142" s="27" t="s">
        <v>8</v>
      </c>
      <c r="CP142" s="27" t="s">
        <v>7</v>
      </c>
      <c r="CQ142" s="27" t="s">
        <v>8</v>
      </c>
      <c r="CR142" s="27" t="s">
        <v>7</v>
      </c>
      <c r="CS142" s="27" t="s">
        <v>8</v>
      </c>
      <c r="CT142" s="27" t="s">
        <v>7</v>
      </c>
      <c r="CU142" s="27" t="s">
        <v>8</v>
      </c>
      <c r="CV142" s="27" t="s">
        <v>7</v>
      </c>
    </row>
    <row r="143" spans="1:100" x14ac:dyDescent="0.25">
      <c r="A143" s="30">
        <v>113.59573078181967</v>
      </c>
      <c r="C143" s="1">
        <v>3</v>
      </c>
      <c r="E143"/>
      <c r="CM143" s="27" t="s">
        <v>8</v>
      </c>
      <c r="CN143" s="27" t="s">
        <v>7</v>
      </c>
      <c r="CO143" s="27" t="s">
        <v>8</v>
      </c>
      <c r="CP143" s="27" t="s">
        <v>7</v>
      </c>
      <c r="CQ143" s="27" t="s">
        <v>8</v>
      </c>
      <c r="CR143" s="27" t="s">
        <v>7</v>
      </c>
      <c r="CS143" s="27" t="s">
        <v>8</v>
      </c>
      <c r="CT143" s="27" t="s">
        <v>7</v>
      </c>
      <c r="CU143" s="27" t="s">
        <v>8</v>
      </c>
      <c r="CV143" s="27" t="s">
        <v>7</v>
      </c>
    </row>
    <row r="144" spans="1:100" x14ac:dyDescent="0.25">
      <c r="A144" s="30">
        <v>108.18641026839968</v>
      </c>
      <c r="C144" s="1">
        <v>4</v>
      </c>
      <c r="E144"/>
      <c r="CM144" s="27" t="s">
        <v>8</v>
      </c>
      <c r="CN144" s="27" t="s">
        <v>7</v>
      </c>
      <c r="CO144" s="27" t="s">
        <v>8</v>
      </c>
      <c r="CP144" s="27" t="s">
        <v>7</v>
      </c>
      <c r="CR144" s="27" t="s">
        <v>7</v>
      </c>
      <c r="CS144" s="27" t="s">
        <v>8</v>
      </c>
      <c r="CT144" s="27" t="s">
        <v>7</v>
      </c>
      <c r="CV144" s="27" t="s">
        <v>7</v>
      </c>
    </row>
    <row r="145" spans="1:102" x14ac:dyDescent="0.25">
      <c r="A145" s="30">
        <v>103.03467644609493</v>
      </c>
      <c r="E145"/>
      <c r="CM145" s="27" t="s">
        <v>8</v>
      </c>
      <c r="CN145" s="27" t="s">
        <v>7</v>
      </c>
      <c r="CO145" s="27" t="s">
        <v>8</v>
      </c>
      <c r="CR145" s="27" t="s">
        <v>7</v>
      </c>
      <c r="CS145" s="27" t="s">
        <v>8</v>
      </c>
      <c r="CV145" s="27" t="s">
        <v>7</v>
      </c>
    </row>
    <row r="146" spans="1:102" x14ac:dyDescent="0.25">
      <c r="A146" s="30">
        <v>98.128263281995174</v>
      </c>
      <c r="E146"/>
      <c r="BK146" s="27" t="s">
        <v>8</v>
      </c>
      <c r="CG146" s="27" t="s">
        <v>8</v>
      </c>
      <c r="CM146" s="27" t="s">
        <v>8</v>
      </c>
      <c r="CN146" s="27" t="s">
        <v>7</v>
      </c>
      <c r="CR146" s="27" t="s">
        <v>7</v>
      </c>
      <c r="CS146" s="27" t="s">
        <v>8</v>
      </c>
      <c r="CV146" s="27" t="s">
        <v>7</v>
      </c>
    </row>
    <row r="147" spans="1:102" x14ac:dyDescent="0.25">
      <c r="A147" s="30">
        <v>93.455488839995397</v>
      </c>
      <c r="E147"/>
      <c r="BK147" s="27" t="s">
        <v>8</v>
      </c>
      <c r="BL147" s="27" t="s">
        <v>7</v>
      </c>
      <c r="BM147" s="27" t="s">
        <v>8</v>
      </c>
      <c r="CG147" s="27" t="s">
        <v>8</v>
      </c>
      <c r="CH147" s="27" t="s">
        <v>7</v>
      </c>
      <c r="CM147" s="27" t="s">
        <v>8</v>
      </c>
      <c r="CR147" s="27" t="s">
        <v>7</v>
      </c>
      <c r="CV147" s="27" t="s">
        <v>7</v>
      </c>
    </row>
    <row r="148" spans="1:102" x14ac:dyDescent="0.25">
      <c r="A148" s="30">
        <v>89.005227466662276</v>
      </c>
      <c r="E148"/>
      <c r="BK148" s="27" t="s">
        <v>8</v>
      </c>
      <c r="BL148" s="27" t="s">
        <v>7</v>
      </c>
      <c r="BM148" s="27" t="s">
        <v>8</v>
      </c>
      <c r="BN148" s="27" t="s">
        <v>7</v>
      </c>
      <c r="CE148" s="27" t="s">
        <v>8</v>
      </c>
      <c r="CG148" s="27" t="s">
        <v>8</v>
      </c>
      <c r="CH148" s="27" t="s">
        <v>7</v>
      </c>
      <c r="CI148" s="27" t="s">
        <v>8</v>
      </c>
      <c r="CM148" s="27" t="s">
        <v>8</v>
      </c>
      <c r="CV148" s="27" t="s">
        <v>7</v>
      </c>
    </row>
    <row r="149" spans="1:102" x14ac:dyDescent="0.25">
      <c r="A149" s="30">
        <v>84.766883301583121</v>
      </c>
      <c r="E149"/>
      <c r="BK149" s="27" t="s">
        <v>8</v>
      </c>
      <c r="BL149" s="27" t="s">
        <v>7</v>
      </c>
      <c r="BM149" s="27" t="s">
        <v>8</v>
      </c>
      <c r="BN149" s="27" t="s">
        <v>7</v>
      </c>
      <c r="CE149" s="27" t="s">
        <v>8</v>
      </c>
      <c r="CF149" s="27" t="s">
        <v>7</v>
      </c>
      <c r="CG149" s="27" t="s">
        <v>8</v>
      </c>
      <c r="CH149" s="27" t="s">
        <v>7</v>
      </c>
      <c r="CI149" s="27" t="s">
        <v>8</v>
      </c>
      <c r="CJ149" s="27" t="s">
        <v>7</v>
      </c>
      <c r="CM149" s="27" t="s">
        <v>8</v>
      </c>
      <c r="CV149" s="27" t="s">
        <v>7</v>
      </c>
    </row>
    <row r="150" spans="1:102" x14ac:dyDescent="0.25">
      <c r="A150" s="30">
        <v>80.730365049126775</v>
      </c>
      <c r="E150"/>
      <c r="BK150" s="27" t="s">
        <v>8</v>
      </c>
      <c r="BL150" s="27" t="s">
        <v>7</v>
      </c>
      <c r="BM150" s="27" t="s">
        <v>8</v>
      </c>
      <c r="BN150" s="27" t="s">
        <v>7</v>
      </c>
      <c r="CE150" s="27" t="s">
        <v>8</v>
      </c>
      <c r="CF150" s="27" t="s">
        <v>7</v>
      </c>
      <c r="CG150" s="27" t="s">
        <v>8</v>
      </c>
      <c r="CH150" s="27" t="s">
        <v>7</v>
      </c>
      <c r="CI150" s="27" t="s">
        <v>8</v>
      </c>
      <c r="CJ150" s="27" t="s">
        <v>7</v>
      </c>
      <c r="CK150" s="27" t="s">
        <v>8</v>
      </c>
      <c r="CM150" s="27" t="s">
        <v>8</v>
      </c>
      <c r="CV150" s="27" t="s">
        <v>7</v>
      </c>
    </row>
    <row r="151" spans="1:102" x14ac:dyDescent="0.25">
      <c r="A151" s="30">
        <v>76.886061951549308</v>
      </c>
      <c r="E151"/>
      <c r="BK151" s="27" t="s">
        <v>8</v>
      </c>
      <c r="BL151" s="27" t="s">
        <v>7</v>
      </c>
      <c r="BM151" s="27" t="s">
        <v>8</v>
      </c>
      <c r="BN151" s="27" t="s">
        <v>7</v>
      </c>
      <c r="BO151" s="27" t="s">
        <v>8</v>
      </c>
      <c r="CE151" s="27" t="s">
        <v>8</v>
      </c>
      <c r="CF151" s="27" t="s">
        <v>7</v>
      </c>
      <c r="CG151" s="27" t="s">
        <v>8</v>
      </c>
      <c r="CH151" s="27" t="s">
        <v>7</v>
      </c>
      <c r="CI151" s="27" t="s">
        <v>8</v>
      </c>
      <c r="CJ151" s="27" t="s">
        <v>7</v>
      </c>
      <c r="CK151" s="27" t="s">
        <v>8</v>
      </c>
      <c r="CL151" s="27" t="s">
        <v>7</v>
      </c>
      <c r="CM151" s="27" t="s">
        <v>8</v>
      </c>
      <c r="CV151" s="27" t="s">
        <v>7</v>
      </c>
    </row>
    <row r="152" spans="1:102" x14ac:dyDescent="0.25">
      <c r="A152" s="30">
        <v>73.22482090623744</v>
      </c>
      <c r="E152"/>
      <c r="BK152" s="27" t="s">
        <v>8</v>
      </c>
      <c r="BL152" s="27" t="s">
        <v>7</v>
      </c>
      <c r="BM152" s="27" t="s">
        <v>8</v>
      </c>
      <c r="BN152" s="27" t="s">
        <v>7</v>
      </c>
      <c r="BO152" s="27" t="s">
        <v>8</v>
      </c>
      <c r="BP152" s="27" t="s">
        <v>7</v>
      </c>
      <c r="CE152" s="27" t="s">
        <v>8</v>
      </c>
      <c r="CF152" s="27" t="s">
        <v>7</v>
      </c>
      <c r="CH152" s="27" t="s">
        <v>7</v>
      </c>
      <c r="CI152" s="27" t="s">
        <v>8</v>
      </c>
      <c r="CJ152" s="27" t="s">
        <v>7</v>
      </c>
      <c r="CK152" s="27" t="s">
        <v>8</v>
      </c>
      <c r="CL152" s="27" t="s">
        <v>7</v>
      </c>
      <c r="CM152" s="27" t="s">
        <v>8</v>
      </c>
      <c r="CV152" s="27" t="s">
        <v>7</v>
      </c>
    </row>
    <row r="153" spans="1:102" x14ac:dyDescent="0.25">
      <c r="A153" s="30">
        <v>69.737924672607079</v>
      </c>
      <c r="C153" s="7"/>
      <c r="D153"/>
      <c r="E153"/>
      <c r="BK153" s="27" t="s">
        <v>8</v>
      </c>
      <c r="BL153" s="27" t="s">
        <v>7</v>
      </c>
      <c r="BM153" s="27" t="s">
        <v>8</v>
      </c>
      <c r="BN153" s="27" t="s">
        <v>7</v>
      </c>
      <c r="BO153" s="27" t="s">
        <v>8</v>
      </c>
      <c r="BP153" s="27" t="s">
        <v>7</v>
      </c>
      <c r="CA153" s="27" t="s">
        <v>8</v>
      </c>
      <c r="CE153" s="27" t="s">
        <v>8</v>
      </c>
      <c r="CH153" s="27" t="s">
        <v>7</v>
      </c>
      <c r="CI153" s="27" t="s">
        <v>8</v>
      </c>
      <c r="CJ153" s="27" t="s">
        <v>7</v>
      </c>
      <c r="CK153" s="27" t="s">
        <v>8</v>
      </c>
      <c r="CL153" s="27" t="s">
        <v>7</v>
      </c>
      <c r="CV153" s="27" t="s">
        <v>7</v>
      </c>
    </row>
    <row r="154" spans="1:102" x14ac:dyDescent="0.25">
      <c r="A154" s="30">
        <v>66.417071116768639</v>
      </c>
      <c r="E154"/>
      <c r="BK154" s="27" t="s">
        <v>8</v>
      </c>
      <c r="BL154" s="27" t="s">
        <v>7</v>
      </c>
      <c r="BM154" s="27" t="s">
        <v>8</v>
      </c>
      <c r="BN154" s="27" t="s">
        <v>7</v>
      </c>
      <c r="BO154" s="27" t="s">
        <v>8</v>
      </c>
      <c r="BP154" s="27" t="s">
        <v>7</v>
      </c>
      <c r="CA154" s="27" t="s">
        <v>8</v>
      </c>
      <c r="CB154" s="27" t="s">
        <v>7</v>
      </c>
      <c r="CE154" s="27" t="s">
        <v>8</v>
      </c>
      <c r="CH154" s="27" t="s">
        <v>7</v>
      </c>
      <c r="CJ154" s="27" t="s">
        <v>7</v>
      </c>
      <c r="CK154" s="27" t="s">
        <v>8</v>
      </c>
      <c r="CV154" s="27" t="s">
        <v>7</v>
      </c>
    </row>
    <row r="155" spans="1:102" x14ac:dyDescent="0.25">
      <c r="A155" s="30">
        <v>63.254353444541557</v>
      </c>
      <c r="E155"/>
      <c r="BK155" s="27" t="s">
        <v>8</v>
      </c>
      <c r="BL155" s="27" t="s">
        <v>7</v>
      </c>
      <c r="BM155" s="27" t="s">
        <v>8</v>
      </c>
      <c r="BN155" s="27" t="s">
        <v>7</v>
      </c>
      <c r="BO155" s="27" t="s">
        <v>8</v>
      </c>
      <c r="BP155" s="27" t="s">
        <v>7</v>
      </c>
      <c r="BU155" s="27" t="s">
        <v>8</v>
      </c>
      <c r="CA155" s="27" t="s">
        <v>8</v>
      </c>
      <c r="CB155" s="27" t="s">
        <v>7</v>
      </c>
      <c r="CE155" s="27" t="s">
        <v>8</v>
      </c>
      <c r="CJ155" s="27" t="s">
        <v>7</v>
      </c>
      <c r="CK155" s="27" t="s">
        <v>8</v>
      </c>
      <c r="CV155" s="27" t="s">
        <v>7</v>
      </c>
    </row>
    <row r="156" spans="1:102" x14ac:dyDescent="0.25">
      <c r="A156" s="30">
        <v>60.242241375753864</v>
      </c>
      <c r="C156"/>
      <c r="D156"/>
      <c r="E156"/>
      <c r="BK156" s="27" t="s">
        <v>8</v>
      </c>
      <c r="BL156" s="27" t="s">
        <v>7</v>
      </c>
      <c r="BN156" s="27" t="s">
        <v>7</v>
      </c>
      <c r="BO156" s="27" t="s">
        <v>8</v>
      </c>
      <c r="BP156" s="27" t="s">
        <v>7</v>
      </c>
      <c r="BU156" s="27" t="s">
        <v>8</v>
      </c>
      <c r="BV156" s="27" t="s">
        <v>7</v>
      </c>
      <c r="CA156" s="27" t="s">
        <v>8</v>
      </c>
      <c r="CB156" s="27" t="s">
        <v>7</v>
      </c>
      <c r="CC156" s="27" t="s">
        <v>8</v>
      </c>
      <c r="CE156" s="27" t="s">
        <v>8</v>
      </c>
      <c r="CJ156" s="27" t="s">
        <v>7</v>
      </c>
      <c r="CK156" s="27" t="s">
        <v>8</v>
      </c>
      <c r="CV156" s="27" t="s">
        <v>7</v>
      </c>
    </row>
    <row r="157" spans="1:102" x14ac:dyDescent="0.25">
      <c r="A157" s="30">
        <v>57.373563215003678</v>
      </c>
      <c r="E157"/>
      <c r="BK157" s="27" t="s">
        <v>8</v>
      </c>
      <c r="BN157" s="27" t="s">
        <v>7</v>
      </c>
      <c r="BO157" s="27" t="s">
        <v>8</v>
      </c>
      <c r="BP157" s="27" t="s">
        <v>7</v>
      </c>
      <c r="BU157" s="27" t="s">
        <v>8</v>
      </c>
      <c r="BV157" s="27" t="s">
        <v>7</v>
      </c>
      <c r="BY157" s="27" t="s">
        <v>8</v>
      </c>
      <c r="CA157" s="27" t="s">
        <v>8</v>
      </c>
      <c r="CB157" s="27" t="s">
        <v>7</v>
      </c>
      <c r="CC157" s="27" t="s">
        <v>8</v>
      </c>
      <c r="CD157" s="27" t="s">
        <v>7</v>
      </c>
      <c r="CE157" s="27" t="s">
        <v>8</v>
      </c>
      <c r="CJ157" s="27" t="s">
        <v>7</v>
      </c>
      <c r="CV157" s="27" t="s">
        <v>7</v>
      </c>
      <c r="CW157" s="27" t="s">
        <v>8</v>
      </c>
    </row>
    <row r="158" spans="1:102" x14ac:dyDescent="0.25">
      <c r="A158" s="30">
        <v>54.641488776193974</v>
      </c>
      <c r="E158"/>
      <c r="BI158" s="27" t="s">
        <v>8</v>
      </c>
      <c r="BK158" s="27" t="s">
        <v>8</v>
      </c>
      <c r="BN158" s="27" t="s">
        <v>7</v>
      </c>
      <c r="BO158" s="27" t="s">
        <v>8</v>
      </c>
      <c r="BP158" s="27" t="s">
        <v>7</v>
      </c>
      <c r="BQ158" s="27" t="s">
        <v>8</v>
      </c>
      <c r="BU158" s="27" t="s">
        <v>8</v>
      </c>
      <c r="BV158" s="27" t="s">
        <v>7</v>
      </c>
      <c r="BY158" s="27" t="s">
        <v>8</v>
      </c>
      <c r="BZ158" s="27" t="s">
        <v>7</v>
      </c>
      <c r="CA158" s="27" t="s">
        <v>8</v>
      </c>
      <c r="CB158" s="27" t="s">
        <v>7</v>
      </c>
      <c r="CC158" s="27" t="s">
        <v>8</v>
      </c>
      <c r="CD158" s="27" t="s">
        <v>7</v>
      </c>
      <c r="CE158" s="27" t="s">
        <v>8</v>
      </c>
      <c r="CV158" s="27" t="s">
        <v>7</v>
      </c>
      <c r="CW158" s="27" t="s">
        <v>8</v>
      </c>
      <c r="CX158" s="27" t="s">
        <v>7</v>
      </c>
    </row>
    <row r="159" spans="1:102" x14ac:dyDescent="0.25">
      <c r="A159" s="30">
        <v>52.039513120184736</v>
      </c>
      <c r="E159"/>
      <c r="BI159" s="27" t="s">
        <v>8</v>
      </c>
      <c r="BJ159" s="27" t="s">
        <v>7</v>
      </c>
      <c r="BK159" s="27" t="s">
        <v>8</v>
      </c>
      <c r="BN159" s="27" t="s">
        <v>7</v>
      </c>
      <c r="BO159" s="27" t="s">
        <v>8</v>
      </c>
      <c r="BP159" s="27" t="s">
        <v>7</v>
      </c>
      <c r="BQ159" s="27" t="s">
        <v>8</v>
      </c>
      <c r="BR159" s="27" t="s">
        <v>7</v>
      </c>
      <c r="BS159" s="27" t="s">
        <v>8</v>
      </c>
      <c r="BU159" s="27" t="s">
        <v>8</v>
      </c>
      <c r="BV159" s="27" t="s">
        <v>7</v>
      </c>
      <c r="BY159" s="27" t="s">
        <v>8</v>
      </c>
      <c r="BZ159" s="27" t="s">
        <v>7</v>
      </c>
      <c r="CA159" s="27" t="s">
        <v>8</v>
      </c>
      <c r="CB159" s="27" t="s">
        <v>7</v>
      </c>
      <c r="CD159" s="27" t="s">
        <v>7</v>
      </c>
      <c r="CE159" s="27" t="s">
        <v>8</v>
      </c>
      <c r="CV159" s="27" t="s">
        <v>7</v>
      </c>
      <c r="CW159" s="27" t="s">
        <v>8</v>
      </c>
      <c r="CX159" s="27" t="s">
        <v>7</v>
      </c>
    </row>
    <row r="160" spans="1:102" x14ac:dyDescent="0.25">
      <c r="A160" s="30">
        <v>49.561441066842605</v>
      </c>
      <c r="C160"/>
      <c r="E160"/>
      <c r="BI160" s="27" t="s">
        <v>8</v>
      </c>
      <c r="BJ160" s="27" t="s">
        <v>7</v>
      </c>
      <c r="BK160" s="27" t="s">
        <v>8</v>
      </c>
      <c r="BN160" s="27" t="s">
        <v>7</v>
      </c>
      <c r="BO160" s="27" t="s">
        <v>8</v>
      </c>
      <c r="BP160" s="27" t="s">
        <v>7</v>
      </c>
      <c r="BQ160" s="27" t="s">
        <v>8</v>
      </c>
      <c r="BR160" s="27" t="s">
        <v>7</v>
      </c>
      <c r="BS160" s="27" t="s">
        <v>8</v>
      </c>
      <c r="BT160" s="27" t="s">
        <v>7</v>
      </c>
      <c r="BU160" s="27" t="s">
        <v>8</v>
      </c>
      <c r="BV160" s="27" t="s">
        <v>7</v>
      </c>
      <c r="BW160" s="27" t="s">
        <v>8</v>
      </c>
      <c r="BY160" s="27" t="s">
        <v>8</v>
      </c>
      <c r="BZ160" s="27" t="s">
        <v>7</v>
      </c>
      <c r="CA160" s="27" t="s">
        <v>8</v>
      </c>
      <c r="CD160" s="27" t="s">
        <v>7</v>
      </c>
      <c r="CV160" s="27" t="s">
        <v>7</v>
      </c>
      <c r="CW160" s="27" t="s">
        <v>8</v>
      </c>
      <c r="CX160" s="27" t="s">
        <v>7</v>
      </c>
    </row>
    <row r="161" spans="1:144" x14ac:dyDescent="0.25">
      <c r="A161" s="30">
        <v>47.201372444612005</v>
      </c>
      <c r="E161"/>
      <c r="BG161" s="27" t="s">
        <v>8</v>
      </c>
      <c r="BI161" s="27" t="s">
        <v>8</v>
      </c>
      <c r="BJ161" s="27" t="s">
        <v>7</v>
      </c>
      <c r="BK161" s="27" t="s">
        <v>8</v>
      </c>
      <c r="BN161" s="27" t="s">
        <v>7</v>
      </c>
      <c r="BO161" s="27" t="s">
        <v>8</v>
      </c>
      <c r="BP161" s="27" t="s">
        <v>7</v>
      </c>
      <c r="BQ161" s="27" t="s">
        <v>8</v>
      </c>
      <c r="BR161" s="27" t="s">
        <v>7</v>
      </c>
      <c r="BS161" s="27" t="s">
        <v>8</v>
      </c>
      <c r="BT161" s="27" t="s">
        <v>7</v>
      </c>
      <c r="BU161" s="27" t="s">
        <v>8</v>
      </c>
      <c r="BV161" s="27" t="s">
        <v>7</v>
      </c>
      <c r="BW161" s="27" t="s">
        <v>8</v>
      </c>
      <c r="BX161" s="27" t="s">
        <v>7</v>
      </c>
      <c r="BY161" s="27" t="s">
        <v>8</v>
      </c>
      <c r="BZ161" s="27" t="s">
        <v>7</v>
      </c>
      <c r="CV161" s="27" t="s">
        <v>7</v>
      </c>
      <c r="CW161" s="27" t="s">
        <v>8</v>
      </c>
      <c r="CX161" s="27" t="s">
        <v>7</v>
      </c>
    </row>
    <row r="162" spans="1:144" x14ac:dyDescent="0.25">
      <c r="A162" s="30">
        <v>44.95368804248762</v>
      </c>
      <c r="E162"/>
      <c r="BG162" s="27" t="s">
        <v>8</v>
      </c>
      <c r="BH162" s="27" t="s">
        <v>7</v>
      </c>
      <c r="BI162" s="27" t="s">
        <v>8</v>
      </c>
      <c r="BJ162" s="27" t="s">
        <v>7</v>
      </c>
      <c r="BK162" s="27" t="s">
        <v>8</v>
      </c>
      <c r="BN162" s="27" t="s">
        <v>7</v>
      </c>
      <c r="BP162" s="27" t="s">
        <v>7</v>
      </c>
      <c r="BQ162" s="27" t="s">
        <v>8</v>
      </c>
      <c r="BR162" s="27" t="s">
        <v>7</v>
      </c>
      <c r="BS162" s="27" t="s">
        <v>8</v>
      </c>
      <c r="BT162" s="27" t="s">
        <v>7</v>
      </c>
      <c r="BV162" s="27" t="s">
        <v>7</v>
      </c>
      <c r="BW162" s="27" t="s">
        <v>8</v>
      </c>
      <c r="BX162" s="27" t="s">
        <v>7</v>
      </c>
      <c r="BY162" s="27" t="s">
        <v>8</v>
      </c>
      <c r="CV162" s="27" t="s">
        <v>7</v>
      </c>
      <c r="CW162" s="27" t="s">
        <v>8</v>
      </c>
      <c r="CX162" s="27" t="s">
        <v>7</v>
      </c>
    </row>
    <row r="163" spans="1:144" x14ac:dyDescent="0.25">
      <c r="A163" s="30">
        <v>42.81303623094059</v>
      </c>
      <c r="E163"/>
      <c r="BG163" s="27" t="s">
        <v>8</v>
      </c>
      <c r="BH163" s="27" t="s">
        <v>7</v>
      </c>
      <c r="BI163" s="27" t="s">
        <v>8</v>
      </c>
      <c r="BJ163" s="27" t="s">
        <v>7</v>
      </c>
      <c r="BK163" s="27" t="s">
        <v>8</v>
      </c>
      <c r="BP163" s="27" t="s">
        <v>7</v>
      </c>
      <c r="BQ163" s="27" t="s">
        <v>8</v>
      </c>
      <c r="BR163" s="27" t="s">
        <v>7</v>
      </c>
      <c r="BS163" s="27" t="s">
        <v>8</v>
      </c>
      <c r="BV163" s="27" t="s">
        <v>7</v>
      </c>
      <c r="BW163" s="27" t="s">
        <v>8</v>
      </c>
      <c r="BX163" s="27" t="s">
        <v>7</v>
      </c>
      <c r="BY163" s="27" t="s">
        <v>8</v>
      </c>
      <c r="CV163" s="27" t="s">
        <v>7</v>
      </c>
      <c r="CW163" s="27" t="s">
        <v>8</v>
      </c>
      <c r="CX163" s="27" t="s">
        <v>7</v>
      </c>
      <c r="CY163" s="27" t="s">
        <v>8</v>
      </c>
      <c r="DW163" s="27" t="s">
        <v>8</v>
      </c>
    </row>
    <row r="164" spans="1:144" x14ac:dyDescent="0.25">
      <c r="A164" s="30">
        <v>40.774320219943419</v>
      </c>
      <c r="E164"/>
      <c r="BG164" s="27" t="s">
        <v>8</v>
      </c>
      <c r="BH164" s="27" t="s">
        <v>7</v>
      </c>
      <c r="BI164" s="27" t="s">
        <v>8</v>
      </c>
      <c r="BJ164" s="27" t="s">
        <v>7</v>
      </c>
      <c r="BK164" s="27" t="s">
        <v>8</v>
      </c>
      <c r="BP164" s="27" t="s">
        <v>7</v>
      </c>
      <c r="BQ164" s="27" t="s">
        <v>8</v>
      </c>
      <c r="BR164" s="27" t="s">
        <v>7</v>
      </c>
      <c r="BS164" s="27" t="s">
        <v>8</v>
      </c>
      <c r="BV164" s="27" t="s">
        <v>7</v>
      </c>
      <c r="BX164" s="27" t="s">
        <v>7</v>
      </c>
      <c r="BY164" s="27" t="s">
        <v>8</v>
      </c>
      <c r="CV164" s="27" t="s">
        <v>7</v>
      </c>
      <c r="CW164" s="27" t="s">
        <v>8</v>
      </c>
      <c r="CX164" s="27" t="s">
        <v>7</v>
      </c>
      <c r="CY164" s="27" t="s">
        <v>8</v>
      </c>
      <c r="CZ164" s="27" t="s">
        <v>7</v>
      </c>
      <c r="DA164" s="27" t="s">
        <v>8</v>
      </c>
      <c r="DW164" s="27" t="s">
        <v>8</v>
      </c>
      <c r="DX164" s="27" t="s">
        <v>7</v>
      </c>
    </row>
    <row r="165" spans="1:144" x14ac:dyDescent="0.25">
      <c r="A165" s="30">
        <v>38.832685923755633</v>
      </c>
      <c r="E165"/>
      <c r="BG165" s="27" t="s">
        <v>8</v>
      </c>
      <c r="BH165" s="27" t="s">
        <v>7</v>
      </c>
      <c r="BI165" s="27" t="s">
        <v>8</v>
      </c>
      <c r="BJ165" s="27" t="s">
        <v>7</v>
      </c>
      <c r="BP165" s="27" t="s">
        <v>7</v>
      </c>
      <c r="BR165" s="27" t="s">
        <v>7</v>
      </c>
      <c r="BS165" s="27" t="s">
        <v>8</v>
      </c>
      <c r="BX165" s="27" t="s">
        <v>7</v>
      </c>
      <c r="BY165" s="27" t="s">
        <v>8</v>
      </c>
      <c r="CV165" s="27" t="s">
        <v>7</v>
      </c>
      <c r="CW165" s="27" t="s">
        <v>8</v>
      </c>
      <c r="CX165" s="27" t="s">
        <v>7</v>
      </c>
      <c r="CY165" s="27" t="s">
        <v>8</v>
      </c>
      <c r="CZ165" s="27" t="s">
        <v>7</v>
      </c>
      <c r="DA165" s="27" t="s">
        <v>8</v>
      </c>
      <c r="DB165" s="27" t="s">
        <v>7</v>
      </c>
      <c r="DU165" s="27" t="s">
        <v>8</v>
      </c>
      <c r="DW165" s="27" t="s">
        <v>8</v>
      </c>
      <c r="DX165" s="27" t="s">
        <v>7</v>
      </c>
    </row>
    <row r="166" spans="1:144" x14ac:dyDescent="0.25">
      <c r="A166" s="30">
        <v>36.983510403576794</v>
      </c>
      <c r="E166"/>
      <c r="BG166" s="27" t="s">
        <v>8</v>
      </c>
      <c r="BH166" s="27" t="s">
        <v>7</v>
      </c>
      <c r="BI166" s="27" t="s">
        <v>8</v>
      </c>
      <c r="BR166" s="27" t="s">
        <v>7</v>
      </c>
      <c r="BX166" s="27" t="s">
        <v>7</v>
      </c>
      <c r="BY166" s="27" t="s">
        <v>8</v>
      </c>
      <c r="CV166" s="27" t="s">
        <v>7</v>
      </c>
      <c r="CW166" s="27" t="s">
        <v>8</v>
      </c>
      <c r="CX166" s="27" t="s">
        <v>7</v>
      </c>
      <c r="CY166" s="27" t="s">
        <v>8</v>
      </c>
      <c r="CZ166" s="27" t="s">
        <v>7</v>
      </c>
      <c r="DA166" s="27" t="s">
        <v>8</v>
      </c>
      <c r="DB166" s="27" t="s">
        <v>7</v>
      </c>
      <c r="DU166" s="27" t="s">
        <v>8</v>
      </c>
      <c r="DV166" s="27" t="s">
        <v>7</v>
      </c>
      <c r="DW166" s="27" t="s">
        <v>8</v>
      </c>
      <c r="DX166" s="27" t="s">
        <v>7</v>
      </c>
      <c r="DY166" s="27" t="s">
        <v>8</v>
      </c>
    </row>
    <row r="167" spans="1:144" x14ac:dyDescent="0.25">
      <c r="A167" s="30">
        <v>35.222390860549325</v>
      </c>
      <c r="E167"/>
      <c r="BG167" s="27" t="s">
        <v>8</v>
      </c>
      <c r="BH167" s="27" t="s">
        <v>7</v>
      </c>
      <c r="BX167" s="27" t="s">
        <v>7</v>
      </c>
      <c r="CV167" s="27" t="s">
        <v>7</v>
      </c>
      <c r="CW167" s="27" t="s">
        <v>8</v>
      </c>
      <c r="CX167" s="27" t="s">
        <v>7</v>
      </c>
      <c r="CY167" s="27" t="s">
        <v>8</v>
      </c>
      <c r="CZ167" s="27" t="s">
        <v>7</v>
      </c>
      <c r="DB167" s="27" t="s">
        <v>7</v>
      </c>
      <c r="DC167" s="27" t="s">
        <v>8</v>
      </c>
      <c r="DU167" s="27" t="s">
        <v>8</v>
      </c>
      <c r="DV167" s="27" t="s">
        <v>7</v>
      </c>
      <c r="DW167" s="27" t="s">
        <v>8</v>
      </c>
      <c r="DX167" s="27" t="s">
        <v>7</v>
      </c>
      <c r="DY167" s="27" t="s">
        <v>8</v>
      </c>
      <c r="DZ167" s="27" t="s">
        <v>7</v>
      </c>
    </row>
    <row r="168" spans="1:144" x14ac:dyDescent="0.25">
      <c r="A168" s="30">
        <v>33.545134152904119</v>
      </c>
      <c r="E168"/>
      <c r="BG168" s="27" t="s">
        <v>8</v>
      </c>
      <c r="CV168" s="27" t="s">
        <v>7</v>
      </c>
      <c r="CW168" s="27" t="s">
        <v>8</v>
      </c>
      <c r="CX168" s="27" t="s">
        <v>7</v>
      </c>
      <c r="CY168" s="27" t="s">
        <v>8</v>
      </c>
      <c r="DB168" s="27" t="s">
        <v>7</v>
      </c>
      <c r="DC168" s="27" t="s">
        <v>8</v>
      </c>
      <c r="DD168" s="27" t="s">
        <v>7</v>
      </c>
      <c r="DG168" s="27" t="s">
        <v>8</v>
      </c>
      <c r="DU168" s="27" t="s">
        <v>8</v>
      </c>
      <c r="DV168" s="27" t="s">
        <v>7</v>
      </c>
      <c r="DW168" s="27" t="s">
        <v>8</v>
      </c>
      <c r="DX168" s="27" t="s">
        <v>7</v>
      </c>
      <c r="DY168" s="27" t="s">
        <v>8</v>
      </c>
      <c r="DZ168" s="27" t="s">
        <v>7</v>
      </c>
      <c r="EG168" s="27" t="s">
        <v>8</v>
      </c>
    </row>
    <row r="169" spans="1:144" x14ac:dyDescent="0.25">
      <c r="A169" s="30">
        <v>31.947746812289637</v>
      </c>
      <c r="E169"/>
      <c r="BG169" s="27" t="s">
        <v>8</v>
      </c>
      <c r="CV169" s="27" t="s">
        <v>7</v>
      </c>
      <c r="CX169" s="27" t="s">
        <v>7</v>
      </c>
      <c r="CY169" s="27" t="s">
        <v>8</v>
      </c>
      <c r="DB169" s="27" t="s">
        <v>7</v>
      </c>
      <c r="DC169" s="27" t="s">
        <v>8</v>
      </c>
      <c r="DD169" s="27" t="s">
        <v>7</v>
      </c>
      <c r="DG169" s="27" t="s">
        <v>8</v>
      </c>
      <c r="DH169" s="27" t="s">
        <v>7</v>
      </c>
      <c r="DO169" s="27" t="s">
        <v>8</v>
      </c>
      <c r="DS169" s="27" t="s">
        <v>8</v>
      </c>
      <c r="DU169" s="27" t="s">
        <v>8</v>
      </c>
      <c r="DV169" s="27" t="s">
        <v>7</v>
      </c>
      <c r="DW169" s="27" t="s">
        <v>8</v>
      </c>
      <c r="DX169" s="27" t="s">
        <v>7</v>
      </c>
      <c r="DY169" s="27" t="s">
        <v>8</v>
      </c>
      <c r="DZ169" s="27" t="s">
        <v>7</v>
      </c>
      <c r="EE169" s="27" t="s">
        <v>8</v>
      </c>
      <c r="EG169" s="27" t="s">
        <v>8</v>
      </c>
      <c r="EH169" s="27" t="s">
        <v>7</v>
      </c>
    </row>
    <row r="170" spans="1:144" x14ac:dyDescent="0.25">
      <c r="A170" s="30">
        <v>30.426425535513939</v>
      </c>
      <c r="E170"/>
      <c r="BG170" s="27" t="s">
        <v>8</v>
      </c>
      <c r="CX170" s="27" t="s">
        <v>7</v>
      </c>
      <c r="CY170" s="27" t="s">
        <v>8</v>
      </c>
      <c r="DB170" s="27" t="s">
        <v>7</v>
      </c>
      <c r="DC170" s="27" t="s">
        <v>8</v>
      </c>
      <c r="DD170" s="27" t="s">
        <v>7</v>
      </c>
      <c r="DG170" s="27" t="s">
        <v>8</v>
      </c>
      <c r="DH170" s="27" t="s">
        <v>7</v>
      </c>
      <c r="DO170" s="27" t="s">
        <v>8</v>
      </c>
      <c r="DP170" s="27" t="s">
        <v>7</v>
      </c>
      <c r="DS170" s="27" t="s">
        <v>8</v>
      </c>
      <c r="DT170" s="27" t="s">
        <v>7</v>
      </c>
      <c r="DU170" s="27" t="s">
        <v>8</v>
      </c>
      <c r="DV170" s="27" t="s">
        <v>7</v>
      </c>
      <c r="DX170" s="27" t="s">
        <v>7</v>
      </c>
      <c r="DY170" s="27" t="s">
        <v>8</v>
      </c>
      <c r="DZ170" s="27" t="s">
        <v>7</v>
      </c>
      <c r="EC170" s="27" t="s">
        <v>8</v>
      </c>
      <c r="EE170" s="27" t="s">
        <v>8</v>
      </c>
      <c r="EF170" s="27" t="s">
        <v>7</v>
      </c>
      <c r="EG170" s="27" t="s">
        <v>8</v>
      </c>
      <c r="EH170" s="27" t="s">
        <v>7</v>
      </c>
    </row>
    <row r="171" spans="1:144" x14ac:dyDescent="0.25">
      <c r="A171" s="30">
        <v>28.977548129060892</v>
      </c>
      <c r="E171"/>
      <c r="BE171" s="27" t="s">
        <v>8</v>
      </c>
      <c r="BG171" s="27" t="s">
        <v>8</v>
      </c>
      <c r="CX171" s="27" t="s">
        <v>7</v>
      </c>
      <c r="CY171" s="27" t="s">
        <v>8</v>
      </c>
      <c r="DB171" s="27" t="s">
        <v>7</v>
      </c>
      <c r="DC171" s="27" t="s">
        <v>8</v>
      </c>
      <c r="DD171" s="27" t="s">
        <v>7</v>
      </c>
      <c r="DG171" s="27" t="s">
        <v>8</v>
      </c>
      <c r="DH171" s="27" t="s">
        <v>7</v>
      </c>
      <c r="DO171" s="27" t="s">
        <v>8</v>
      </c>
      <c r="DP171" s="27" t="s">
        <v>7</v>
      </c>
      <c r="DQ171" s="27" t="s">
        <v>8</v>
      </c>
      <c r="DS171" s="27" t="s">
        <v>8</v>
      </c>
      <c r="DT171" s="27" t="s">
        <v>7</v>
      </c>
      <c r="DU171" s="27" t="s">
        <v>8</v>
      </c>
      <c r="DX171" s="27" t="s">
        <v>7</v>
      </c>
      <c r="DY171" s="27" t="s">
        <v>8</v>
      </c>
      <c r="DZ171" s="27" t="s">
        <v>7</v>
      </c>
      <c r="EC171" s="27" t="s">
        <v>8</v>
      </c>
      <c r="ED171" s="27" t="s">
        <v>7</v>
      </c>
      <c r="EE171" s="27" t="s">
        <v>8</v>
      </c>
      <c r="EF171" s="27" t="s">
        <v>7</v>
      </c>
      <c r="EG171" s="27" t="s">
        <v>8</v>
      </c>
      <c r="EH171" s="27" t="s">
        <v>7</v>
      </c>
      <c r="EI171" s="27" t="s">
        <v>8</v>
      </c>
      <c r="EK171" s="27" t="s">
        <v>8</v>
      </c>
    </row>
    <row r="172" spans="1:144" x14ac:dyDescent="0.25">
      <c r="A172" s="30">
        <v>27.597664884819896</v>
      </c>
      <c r="E172"/>
      <c r="BE172" s="27" t="s">
        <v>8</v>
      </c>
      <c r="BF172" s="27" t="s">
        <v>7</v>
      </c>
      <c r="BG172" s="27" t="s">
        <v>8</v>
      </c>
      <c r="CX172" s="27" t="s">
        <v>7</v>
      </c>
      <c r="CY172" s="27" t="s">
        <v>8</v>
      </c>
      <c r="DB172" s="27" t="s">
        <v>7</v>
      </c>
      <c r="DD172" s="27" t="s">
        <v>7</v>
      </c>
      <c r="DE172" s="27" t="s">
        <v>8</v>
      </c>
      <c r="DG172" s="27" t="s">
        <v>8</v>
      </c>
      <c r="DH172" s="27" t="s">
        <v>7</v>
      </c>
      <c r="DO172" s="27" t="s">
        <v>8</v>
      </c>
      <c r="DP172" s="27" t="s">
        <v>7</v>
      </c>
      <c r="DQ172" s="27" t="s">
        <v>8</v>
      </c>
      <c r="DR172" s="27" t="s">
        <v>7</v>
      </c>
      <c r="DS172" s="27" t="s">
        <v>8</v>
      </c>
      <c r="DT172" s="27" t="s">
        <v>7</v>
      </c>
      <c r="DU172" s="27" t="s">
        <v>8</v>
      </c>
      <c r="DX172" s="27" t="s">
        <v>7</v>
      </c>
      <c r="DZ172" s="27" t="s">
        <v>7</v>
      </c>
      <c r="EC172" s="27" t="s">
        <v>8</v>
      </c>
      <c r="ED172" s="27" t="s">
        <v>7</v>
      </c>
      <c r="EE172" s="27" t="s">
        <v>8</v>
      </c>
      <c r="EF172" s="27" t="s">
        <v>7</v>
      </c>
      <c r="EH172" s="27" t="s">
        <v>7</v>
      </c>
      <c r="EI172" s="27" t="s">
        <v>8</v>
      </c>
      <c r="EJ172" s="27" t="s">
        <v>7</v>
      </c>
      <c r="EK172" s="27" t="s">
        <v>8</v>
      </c>
      <c r="EL172" s="27" t="s">
        <v>7</v>
      </c>
    </row>
    <row r="173" spans="1:144" x14ac:dyDescent="0.25">
      <c r="A173" s="30">
        <v>26.283490366495137</v>
      </c>
      <c r="E173"/>
      <c r="BE173" s="27" t="s">
        <v>8</v>
      </c>
      <c r="BF173" s="27" t="s">
        <v>7</v>
      </c>
      <c r="BG173" s="27" t="s">
        <v>8</v>
      </c>
      <c r="CX173" s="27" t="s">
        <v>7</v>
      </c>
      <c r="CY173" s="27" t="s">
        <v>8</v>
      </c>
      <c r="DD173" s="27" t="s">
        <v>7</v>
      </c>
      <c r="DE173" s="27" t="s">
        <v>8</v>
      </c>
      <c r="DF173" s="27" t="s">
        <v>7</v>
      </c>
      <c r="DG173" s="27" t="s">
        <v>8</v>
      </c>
      <c r="DH173" s="27" t="s">
        <v>7</v>
      </c>
      <c r="DO173" s="27" t="s">
        <v>8</v>
      </c>
      <c r="DP173" s="27" t="s">
        <v>7</v>
      </c>
      <c r="DQ173" s="27" t="s">
        <v>8</v>
      </c>
      <c r="DR173" s="27" t="s">
        <v>7</v>
      </c>
      <c r="DS173" s="27" t="s">
        <v>8</v>
      </c>
      <c r="DT173" s="27" t="s">
        <v>7</v>
      </c>
      <c r="DZ173" s="27" t="s">
        <v>7</v>
      </c>
      <c r="EA173" s="27" t="s">
        <v>8</v>
      </c>
      <c r="EC173" s="27" t="s">
        <v>8</v>
      </c>
      <c r="ED173" s="27" t="s">
        <v>7</v>
      </c>
      <c r="EH173" s="27" t="s">
        <v>7</v>
      </c>
      <c r="EI173" s="27" t="s">
        <v>8</v>
      </c>
      <c r="EJ173" s="27" t="s">
        <v>7</v>
      </c>
      <c r="EK173" s="27" t="s">
        <v>8</v>
      </c>
      <c r="EL173" s="27" t="s">
        <v>7</v>
      </c>
    </row>
    <row r="174" spans="1:144" x14ac:dyDescent="0.25">
      <c r="A174" s="30">
        <v>25.031895587138223</v>
      </c>
      <c r="E174"/>
      <c r="BE174" s="27" t="s">
        <v>8</v>
      </c>
      <c r="BF174" s="27" t="s">
        <v>7</v>
      </c>
      <c r="BG174" s="27" t="s">
        <v>8</v>
      </c>
      <c r="CX174" s="27" t="s">
        <v>7</v>
      </c>
      <c r="CY174" s="27" t="s">
        <v>8</v>
      </c>
      <c r="DD174" s="27" t="s">
        <v>7</v>
      </c>
      <c r="DE174" s="27" t="s">
        <v>8</v>
      </c>
      <c r="DF174" s="27" t="s">
        <v>7</v>
      </c>
      <c r="DG174" s="27" t="s">
        <v>8</v>
      </c>
      <c r="DH174" s="27" t="s">
        <v>7</v>
      </c>
      <c r="DO174" s="27" t="s">
        <v>8</v>
      </c>
      <c r="DP174" s="27" t="s">
        <v>7</v>
      </c>
      <c r="DQ174" s="27" t="s">
        <v>8</v>
      </c>
      <c r="DR174" s="27" t="s">
        <v>7</v>
      </c>
      <c r="DZ174" s="27" t="s">
        <v>7</v>
      </c>
      <c r="EA174" s="27" t="s">
        <v>8</v>
      </c>
      <c r="EB174" s="27" t="s">
        <v>7</v>
      </c>
      <c r="EC174" s="27" t="s">
        <v>8</v>
      </c>
      <c r="EH174" s="27" t="s">
        <v>7</v>
      </c>
      <c r="EI174" s="27" t="s">
        <v>8</v>
      </c>
      <c r="EJ174" s="27" t="s">
        <v>7</v>
      </c>
      <c r="EK174" s="27" t="s">
        <v>8</v>
      </c>
      <c r="EL174" s="27" t="s">
        <v>7</v>
      </c>
      <c r="EM174" s="27" t="s">
        <v>8</v>
      </c>
    </row>
    <row r="175" spans="1:144" x14ac:dyDescent="0.25">
      <c r="A175" s="30">
        <v>23.839900559179259</v>
      </c>
      <c r="E175"/>
      <c r="BE175" s="27" t="s">
        <v>8</v>
      </c>
      <c r="BF175" s="27" t="s">
        <v>7</v>
      </c>
      <c r="BG175" s="27" t="s">
        <v>8</v>
      </c>
      <c r="CX175" s="27" t="s">
        <v>7</v>
      </c>
      <c r="CY175" s="27" t="s">
        <v>8</v>
      </c>
      <c r="DD175" s="27" t="s">
        <v>7</v>
      </c>
      <c r="DE175" s="27" t="s">
        <v>8</v>
      </c>
      <c r="DF175" s="27" t="s">
        <v>7</v>
      </c>
      <c r="DG175" s="27" t="s">
        <v>8</v>
      </c>
      <c r="DH175" s="27" t="s">
        <v>7</v>
      </c>
      <c r="DO175" s="27" t="s">
        <v>8</v>
      </c>
      <c r="DP175" s="27" t="s">
        <v>7</v>
      </c>
      <c r="DZ175" s="27" t="s">
        <v>7</v>
      </c>
      <c r="EA175" s="27" t="s">
        <v>8</v>
      </c>
      <c r="EB175" s="27" t="s">
        <v>7</v>
      </c>
      <c r="EC175" s="27" t="s">
        <v>8</v>
      </c>
      <c r="EH175" s="27" t="s">
        <v>7</v>
      </c>
      <c r="EI175" s="27" t="s">
        <v>8</v>
      </c>
      <c r="EJ175" s="27" t="s">
        <v>7</v>
      </c>
      <c r="EK175" s="27" t="s">
        <v>8</v>
      </c>
      <c r="EL175" s="27" t="s">
        <v>7</v>
      </c>
      <c r="EM175" s="27" t="s">
        <v>8</v>
      </c>
      <c r="EN175" s="27" t="s">
        <v>7</v>
      </c>
    </row>
    <row r="176" spans="1:144" x14ac:dyDescent="0.25">
      <c r="A176" s="30">
        <v>22.704667199218342</v>
      </c>
      <c r="E176"/>
      <c r="BE176" s="27" t="s">
        <v>8</v>
      </c>
      <c r="BF176" s="27" t="s">
        <v>7</v>
      </c>
      <c r="BG176" s="27" t="s">
        <v>8</v>
      </c>
      <c r="CX176" s="27" t="s">
        <v>7</v>
      </c>
      <c r="CY176" s="27" t="s">
        <v>8</v>
      </c>
      <c r="DD176" s="27" t="s">
        <v>7</v>
      </c>
      <c r="DF176" s="27" t="s">
        <v>7</v>
      </c>
      <c r="DG176" s="27" t="s">
        <v>8</v>
      </c>
      <c r="DH176" s="27" t="s">
        <v>7</v>
      </c>
      <c r="DM176" s="27" t="s">
        <v>8</v>
      </c>
      <c r="DO176" s="27" t="s">
        <v>8</v>
      </c>
      <c r="DZ176" s="27" t="s">
        <v>7</v>
      </c>
      <c r="EA176" s="27" t="s">
        <v>8</v>
      </c>
      <c r="EB176" s="27" t="s">
        <v>7</v>
      </c>
      <c r="EC176" s="27" t="s">
        <v>8</v>
      </c>
      <c r="EH176" s="27" t="s">
        <v>7</v>
      </c>
      <c r="EJ176" s="27" t="s">
        <v>7</v>
      </c>
      <c r="EK176" s="27" t="s">
        <v>8</v>
      </c>
      <c r="EL176" s="27" t="s">
        <v>7</v>
      </c>
      <c r="EM176" s="27" t="s">
        <v>8</v>
      </c>
      <c r="EN176" s="27" t="s">
        <v>7</v>
      </c>
    </row>
    <row r="177" spans="1:148" x14ac:dyDescent="0.25">
      <c r="A177" s="30">
        <v>21.623492570684135</v>
      </c>
      <c r="E177"/>
      <c r="BE177" s="27" t="s">
        <v>8</v>
      </c>
      <c r="BF177" s="27" t="s">
        <v>7</v>
      </c>
      <c r="CX177" s="27" t="s">
        <v>7</v>
      </c>
      <c r="CY177" s="27" t="s">
        <v>8</v>
      </c>
      <c r="DF177" s="27" t="s">
        <v>7</v>
      </c>
      <c r="DH177" s="27" t="s">
        <v>7</v>
      </c>
      <c r="DM177" s="27" t="s">
        <v>8</v>
      </c>
      <c r="DN177" s="27" t="s">
        <v>7</v>
      </c>
      <c r="DO177" s="27" t="s">
        <v>8</v>
      </c>
      <c r="DZ177" s="27" t="s">
        <v>7</v>
      </c>
      <c r="EB177" s="27" t="s">
        <v>7</v>
      </c>
      <c r="EC177" s="27" t="s">
        <v>8</v>
      </c>
      <c r="EJ177" s="27" t="s">
        <v>7</v>
      </c>
      <c r="EK177" s="27" t="s">
        <v>8</v>
      </c>
      <c r="EL177" s="27" t="s">
        <v>7</v>
      </c>
      <c r="EM177" s="27" t="s">
        <v>8</v>
      </c>
      <c r="EN177" s="27" t="s">
        <v>7</v>
      </c>
    </row>
    <row r="178" spans="1:148" x14ac:dyDescent="0.25">
      <c r="A178" s="30">
        <v>20.593802448270605</v>
      </c>
      <c r="C178" s="7"/>
      <c r="D178"/>
      <c r="E178"/>
      <c r="BE178" s="27" t="s">
        <v>8</v>
      </c>
      <c r="CX178" s="27" t="s">
        <v>7</v>
      </c>
      <c r="DH178" s="27" t="s">
        <v>7</v>
      </c>
      <c r="DI178" s="27" t="s">
        <v>8</v>
      </c>
      <c r="DK178" s="27" t="s">
        <v>8</v>
      </c>
      <c r="DM178" s="27" t="s">
        <v>8</v>
      </c>
      <c r="DN178" s="27" t="s">
        <v>7</v>
      </c>
      <c r="DO178" s="27" t="s">
        <v>8</v>
      </c>
      <c r="EB178" s="27" t="s">
        <v>7</v>
      </c>
      <c r="EJ178" s="27" t="s">
        <v>7</v>
      </c>
      <c r="EL178" s="27" t="s">
        <v>7</v>
      </c>
      <c r="EN178" s="27" t="s">
        <v>7</v>
      </c>
    </row>
    <row r="179" spans="1:148" x14ac:dyDescent="0.25">
      <c r="A179" s="30">
        <v>19.613145188829147</v>
      </c>
      <c r="E179"/>
      <c r="BE179" s="27" t="s">
        <v>8</v>
      </c>
      <c r="DH179" s="27" t="s">
        <v>7</v>
      </c>
      <c r="DI179" s="27" t="s">
        <v>8</v>
      </c>
      <c r="DJ179" s="27" t="s">
        <v>7</v>
      </c>
      <c r="DK179" s="27" t="s">
        <v>8</v>
      </c>
      <c r="DL179" s="27" t="s">
        <v>7</v>
      </c>
      <c r="DM179" s="27" t="s">
        <v>8</v>
      </c>
      <c r="DN179" s="27" t="s">
        <v>7</v>
      </c>
      <c r="DO179" s="27" t="s">
        <v>8</v>
      </c>
      <c r="EN179" s="27" t="s">
        <v>7</v>
      </c>
    </row>
    <row r="180" spans="1:148" x14ac:dyDescent="0.25">
      <c r="A180" s="30">
        <v>18.679185894122998</v>
      </c>
      <c r="E180"/>
      <c r="BE180" s="27" t="s">
        <v>8</v>
      </c>
      <c r="DH180" s="27" t="s">
        <v>7</v>
      </c>
      <c r="DI180" s="27" t="s">
        <v>8</v>
      </c>
      <c r="DJ180" s="27" t="s">
        <v>7</v>
      </c>
      <c r="DK180" s="27" t="s">
        <v>8</v>
      </c>
      <c r="DL180" s="27" t="s">
        <v>7</v>
      </c>
      <c r="DM180" s="27" t="s">
        <v>8</v>
      </c>
      <c r="DN180" s="27" t="s">
        <v>7</v>
      </c>
      <c r="DO180" s="27" t="s">
        <v>8</v>
      </c>
      <c r="EN180" s="27" t="s">
        <v>7</v>
      </c>
      <c r="EO180" s="27" t="s">
        <v>8</v>
      </c>
    </row>
    <row r="181" spans="1:148" x14ac:dyDescent="0.25">
      <c r="A181" s="30">
        <v>17.78970085154571</v>
      </c>
      <c r="C181"/>
      <c r="D181"/>
      <c r="E181"/>
      <c r="BE181" s="27" t="s">
        <v>8</v>
      </c>
      <c r="DH181" s="27" t="s">
        <v>7</v>
      </c>
      <c r="DI181" s="27" t="s">
        <v>8</v>
      </c>
      <c r="DJ181" s="27" t="s">
        <v>7</v>
      </c>
      <c r="DK181" s="27" t="s">
        <v>8</v>
      </c>
      <c r="DL181" s="27" t="s">
        <v>7</v>
      </c>
      <c r="DN181" s="27" t="s">
        <v>7</v>
      </c>
      <c r="DO181" s="27" t="s">
        <v>8</v>
      </c>
      <c r="EN181" s="27" t="s">
        <v>7</v>
      </c>
      <c r="EO181" s="27" t="s">
        <v>8</v>
      </c>
      <c r="EP181" s="27" t="s">
        <v>7</v>
      </c>
      <c r="EQ181" s="27" t="s">
        <v>8</v>
      </c>
    </row>
    <row r="182" spans="1:148" x14ac:dyDescent="0.25">
      <c r="A182" s="30">
        <v>16.942572239567344</v>
      </c>
      <c r="E182"/>
      <c r="BE182" s="27" t="s">
        <v>8</v>
      </c>
      <c r="DH182" s="27" t="s">
        <v>7</v>
      </c>
      <c r="DI182" s="27" t="s">
        <v>8</v>
      </c>
      <c r="DJ182" s="27" t="s">
        <v>7</v>
      </c>
      <c r="DN182" s="27" t="s">
        <v>7</v>
      </c>
      <c r="DO182" s="27" t="s">
        <v>8</v>
      </c>
      <c r="EN182" s="27" t="s">
        <v>7</v>
      </c>
      <c r="EO182" s="27" t="s">
        <v>8</v>
      </c>
      <c r="EP182" s="27" t="s">
        <v>7</v>
      </c>
      <c r="EQ182" s="27" t="s">
        <v>8</v>
      </c>
      <c r="ER182" s="27" t="s">
        <v>7</v>
      </c>
    </row>
    <row r="183" spans="1:148" x14ac:dyDescent="0.25">
      <c r="A183" s="30">
        <v>16.135783085302233</v>
      </c>
      <c r="E183"/>
      <c r="BE183" s="27" t="s">
        <v>8</v>
      </c>
      <c r="DH183" s="27" t="s">
        <v>7</v>
      </c>
      <c r="DN183" s="27" t="s">
        <v>7</v>
      </c>
      <c r="DO183" s="27" t="s">
        <v>8</v>
      </c>
      <c r="EN183" s="27" t="s">
        <v>7</v>
      </c>
      <c r="EO183" s="27" t="s">
        <v>8</v>
      </c>
      <c r="EP183" s="27" t="s">
        <v>7</v>
      </c>
      <c r="EQ183" s="27" t="s">
        <v>8</v>
      </c>
      <c r="ER183" s="27" t="s">
        <v>7</v>
      </c>
    </row>
    <row r="184" spans="1:148" x14ac:dyDescent="0.25">
      <c r="A184" s="30">
        <v>15.367412462192602</v>
      </c>
      <c r="E184"/>
      <c r="BE184" s="27" t="s">
        <v>8</v>
      </c>
      <c r="DN184" s="18" t="s">
        <v>7</v>
      </c>
      <c r="DO184" s="27" t="s">
        <v>8</v>
      </c>
      <c r="EN184" s="27" t="s">
        <v>7</v>
      </c>
      <c r="EP184" s="27" t="s">
        <v>7</v>
      </c>
      <c r="EQ184" s="27" t="s">
        <v>8</v>
      </c>
      <c r="ER184" s="27" t="s">
        <v>7</v>
      </c>
    </row>
    <row r="185" spans="1:148" x14ac:dyDescent="0.25">
      <c r="A185" s="30">
        <v>14.635630916373906</v>
      </c>
      <c r="C185"/>
      <c r="E185"/>
      <c r="BE185" s="27" t="s">
        <v>8</v>
      </c>
      <c r="DN185" s="27" t="s">
        <v>7</v>
      </c>
      <c r="DO185" s="27" t="s">
        <v>8</v>
      </c>
      <c r="EP185" s="27" t="s">
        <v>7</v>
      </c>
      <c r="ER185" s="27" t="s">
        <v>7</v>
      </c>
    </row>
    <row r="186" spans="1:148" x14ac:dyDescent="0.25">
      <c r="A186" s="30">
        <v>13.938696110832291</v>
      </c>
      <c r="E186"/>
      <c r="BE186" s="27" t="s">
        <v>8</v>
      </c>
      <c r="DN186" s="27" t="s">
        <v>7</v>
      </c>
      <c r="ER186" s="27" t="s">
        <v>7</v>
      </c>
    </row>
    <row r="187" spans="1:14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BE187" s="27" t="s">
        <v>8</v>
      </c>
      <c r="ER187" s="27" t="s">
        <v>7</v>
      </c>
    </row>
    <row r="188" spans="1:148" x14ac:dyDescent="0.25">
      <c r="A188" s="30">
        <v>12.64280826379346</v>
      </c>
      <c r="E188"/>
      <c r="AY188" s="27" t="s">
        <v>8</v>
      </c>
      <c r="BC188" s="27" t="s">
        <v>8</v>
      </c>
      <c r="BE188" s="27" t="s">
        <v>8</v>
      </c>
      <c r="ER188" s="27" t="s">
        <v>7</v>
      </c>
    </row>
    <row r="189" spans="1:148" x14ac:dyDescent="0.25">
      <c r="A189" s="30">
        <v>12.04076977504139</v>
      </c>
      <c r="E189"/>
      <c r="AY189" s="27" t="s">
        <v>8</v>
      </c>
      <c r="AZ189" s="27" t="s">
        <v>7</v>
      </c>
      <c r="BC189" s="27" t="s">
        <v>8</v>
      </c>
      <c r="BD189" s="27" t="s">
        <v>7</v>
      </c>
      <c r="BE189" s="27" t="s">
        <v>8</v>
      </c>
      <c r="ER189" s="27" t="s">
        <v>7</v>
      </c>
    </row>
    <row r="190" spans="1:148" x14ac:dyDescent="0.25">
      <c r="A190" s="30">
        <v>11.467399785753704</v>
      </c>
      <c r="E190"/>
      <c r="AY190" s="27" t="s">
        <v>8</v>
      </c>
      <c r="AZ190" s="27" t="s">
        <v>7</v>
      </c>
      <c r="BC190" s="27" t="s">
        <v>8</v>
      </c>
      <c r="BD190" s="27" t="s">
        <v>7</v>
      </c>
      <c r="BE190" s="27" t="s">
        <v>8</v>
      </c>
      <c r="ER190" s="27" t="s">
        <v>7</v>
      </c>
    </row>
    <row r="191" spans="1:148" x14ac:dyDescent="0.25">
      <c r="A191" s="30">
        <v>10.921333129289241</v>
      </c>
      <c r="E191"/>
      <c r="AY191" s="27" t="s">
        <v>8</v>
      </c>
      <c r="AZ191" s="27" t="s">
        <v>7</v>
      </c>
      <c r="BC191" s="27" t="s">
        <v>8</v>
      </c>
      <c r="BD191" s="27" t="s">
        <v>7</v>
      </c>
      <c r="BE191" s="27" t="s">
        <v>8</v>
      </c>
      <c r="ER191" s="27" t="s">
        <v>7</v>
      </c>
    </row>
    <row r="192" spans="1:148" x14ac:dyDescent="0.25">
      <c r="A192" s="30">
        <v>10.401269646942135</v>
      </c>
      <c r="E192"/>
      <c r="AY192" s="27" t="s">
        <v>8</v>
      </c>
      <c r="AZ192" s="27" t="s">
        <v>7</v>
      </c>
      <c r="BC192" s="27" t="s">
        <v>8</v>
      </c>
      <c r="BD192" s="27" t="s">
        <v>7</v>
      </c>
      <c r="ER192" s="27" t="s">
        <v>7</v>
      </c>
    </row>
    <row r="193" spans="1:151" x14ac:dyDescent="0.25">
      <c r="A193" s="30">
        <v>9.9059710923258422</v>
      </c>
      <c r="E193"/>
      <c r="AY193" s="27" t="s">
        <v>8</v>
      </c>
      <c r="AZ193" s="27" t="s">
        <v>7</v>
      </c>
      <c r="BC193" s="27" t="s">
        <v>8</v>
      </c>
      <c r="ER193" s="27" t="s">
        <v>7</v>
      </c>
    </row>
    <row r="194" spans="1:151" x14ac:dyDescent="0.25">
      <c r="A194" s="30">
        <v>9.4342581831674686</v>
      </c>
      <c r="E194"/>
      <c r="AW194" s="27" t="s">
        <v>8</v>
      </c>
      <c r="AY194" s="27" t="s">
        <v>8</v>
      </c>
      <c r="AZ194" s="27" t="s">
        <v>7</v>
      </c>
      <c r="BC194" s="27" t="s">
        <v>8</v>
      </c>
      <c r="ER194" s="27" t="s">
        <v>7</v>
      </c>
    </row>
    <row r="195" spans="1:151" x14ac:dyDescent="0.25">
      <c r="A195" s="30">
        <v>8.9850077934928265</v>
      </c>
      <c r="E195"/>
      <c r="AW195" s="27" t="s">
        <v>8</v>
      </c>
      <c r="AX195" s="27" t="s">
        <v>7</v>
      </c>
      <c r="AY195" s="27" t="s">
        <v>8</v>
      </c>
      <c r="AZ195" s="27" t="s">
        <v>7</v>
      </c>
      <c r="BA195" s="27" t="s">
        <v>8</v>
      </c>
      <c r="BC195" s="27" t="s">
        <v>8</v>
      </c>
      <c r="ER195" s="27" t="s">
        <v>7</v>
      </c>
    </row>
    <row r="196" spans="1:151" x14ac:dyDescent="0.25">
      <c r="A196" s="30">
        <v>8.5571502795169767</v>
      </c>
      <c r="E196"/>
      <c r="AW196" s="27" t="s">
        <v>8</v>
      </c>
      <c r="AX196" s="27" t="s">
        <v>7</v>
      </c>
      <c r="AY196" s="27" t="s">
        <v>8</v>
      </c>
      <c r="AZ196" s="27" t="s">
        <v>7</v>
      </c>
      <c r="BA196" s="27" t="s">
        <v>8</v>
      </c>
      <c r="BB196" s="27" t="s">
        <v>7</v>
      </c>
      <c r="BC196" s="27" t="s">
        <v>8</v>
      </c>
      <c r="ER196" s="27" t="s">
        <v>7</v>
      </c>
      <c r="ES196" s="27" t="s">
        <v>8</v>
      </c>
      <c r="EU196" s="27" t="s">
        <v>8</v>
      </c>
    </row>
    <row r="197" spans="1:151" x14ac:dyDescent="0.25">
      <c r="A197" s="30">
        <v>8.1496669328733109</v>
      </c>
      <c r="E197"/>
      <c r="AW197" s="27" t="s">
        <v>8</v>
      </c>
      <c r="AX197" s="27" t="s">
        <v>7</v>
      </c>
      <c r="AY197" s="27" t="s">
        <v>8</v>
      </c>
      <c r="AZ197" s="27" t="s">
        <v>7</v>
      </c>
      <c r="BA197" s="27" t="s">
        <v>8</v>
      </c>
      <c r="BB197" s="27" t="s">
        <v>7</v>
      </c>
      <c r="BC197" s="27" t="s">
        <v>8</v>
      </c>
      <c r="ER197" s="27" t="s">
        <v>7</v>
      </c>
      <c r="ES197" s="27" t="s">
        <v>8</v>
      </c>
      <c r="ET197" s="27" t="s">
        <v>7</v>
      </c>
      <c r="EU197" s="27" t="s">
        <v>8</v>
      </c>
    </row>
    <row r="198" spans="1:151" x14ac:dyDescent="0.25">
      <c r="A198" s="30">
        <v>7.7615875551174378</v>
      </c>
      <c r="E198"/>
      <c r="AW198" s="27" t="s">
        <v>8</v>
      </c>
      <c r="AX198" s="27" t="s">
        <v>7</v>
      </c>
      <c r="AY198" s="27" t="s">
        <v>8</v>
      </c>
      <c r="AZ198" s="27" t="s">
        <v>7</v>
      </c>
      <c r="BB198" s="27" t="s">
        <v>7</v>
      </c>
      <c r="BC198" s="27" t="s">
        <v>8</v>
      </c>
      <c r="ER198" s="27" t="s">
        <v>7</v>
      </c>
      <c r="ES198" s="27" t="s">
        <v>8</v>
      </c>
      <c r="ET198" s="27" t="s">
        <v>7</v>
      </c>
      <c r="EU198" s="27" t="s">
        <v>8</v>
      </c>
    </row>
    <row r="199" spans="1:151" x14ac:dyDescent="0.25">
      <c r="A199" s="30">
        <v>7.3919881477308929</v>
      </c>
      <c r="E199"/>
      <c r="AW199" s="27" t="s">
        <v>8</v>
      </c>
      <c r="AX199" s="27" t="s">
        <v>7</v>
      </c>
      <c r="AY199" s="27" t="s">
        <v>8</v>
      </c>
      <c r="BB199" s="27" t="s">
        <v>7</v>
      </c>
      <c r="BC199" s="27" t="s">
        <v>8</v>
      </c>
      <c r="ER199" s="27" t="s">
        <v>7</v>
      </c>
      <c r="ES199" s="27" t="s">
        <v>8</v>
      </c>
      <c r="ET199" s="27" t="s">
        <v>7</v>
      </c>
      <c r="EU199" s="27" t="s">
        <v>8</v>
      </c>
    </row>
    <row r="200" spans="1:151" x14ac:dyDescent="0.25">
      <c r="A200" s="30">
        <v>7.0399887121246598</v>
      </c>
      <c r="E200"/>
      <c r="AW200" s="27" t="s">
        <v>8</v>
      </c>
      <c r="AX200" s="27" t="s">
        <v>7</v>
      </c>
      <c r="BB200" s="27" t="s">
        <v>7</v>
      </c>
      <c r="BC200" s="27" t="s">
        <v>8</v>
      </c>
      <c r="ER200" s="27" t="s">
        <v>7</v>
      </c>
      <c r="ES200" s="27" t="s">
        <v>8</v>
      </c>
      <c r="ET200" s="27" t="s">
        <v>7</v>
      </c>
    </row>
    <row r="201" spans="1:151" x14ac:dyDescent="0.25">
      <c r="A201" s="30">
        <v>6.7047511544044376</v>
      </c>
      <c r="E201"/>
      <c r="AW201" s="27" t="s">
        <v>8</v>
      </c>
      <c r="BB201" s="27" t="s">
        <v>7</v>
      </c>
      <c r="ER201" s="27" t="s">
        <v>7</v>
      </c>
      <c r="ES201" s="27" t="s">
        <v>8</v>
      </c>
    </row>
    <row r="202" spans="1:151" x14ac:dyDescent="0.25">
      <c r="A202" s="30">
        <v>6.3854772899089882</v>
      </c>
      <c r="E202"/>
      <c r="AW202" s="27" t="s">
        <v>8</v>
      </c>
      <c r="ER202" s="27" t="s">
        <v>7</v>
      </c>
    </row>
    <row r="203" spans="1:151" x14ac:dyDescent="0.25">
      <c r="A203" s="30">
        <v>6.0814069427704647</v>
      </c>
      <c r="C203" s="7"/>
      <c r="D203"/>
      <c r="E203"/>
      <c r="AW203" s="27" t="s">
        <v>8</v>
      </c>
    </row>
    <row r="204" spans="1:151" x14ac:dyDescent="0.25">
      <c r="A204" s="30">
        <v>5.7918161359718709</v>
      </c>
      <c r="E204"/>
      <c r="AQ204" s="27" t="s">
        <v>8</v>
      </c>
      <c r="AW204" s="27" t="s">
        <v>8</v>
      </c>
    </row>
    <row r="205" spans="1:151" x14ac:dyDescent="0.25">
      <c r="A205" s="30">
        <v>5.5160153675922574</v>
      </c>
      <c r="E205"/>
      <c r="AQ205" s="27" t="s">
        <v>8</v>
      </c>
      <c r="AR205" s="27" t="s">
        <v>7</v>
      </c>
      <c r="AW205" s="27" t="s">
        <v>8</v>
      </c>
    </row>
    <row r="206" spans="1:151" x14ac:dyDescent="0.25">
      <c r="A206" s="30">
        <v>5.2533479691354827</v>
      </c>
      <c r="C206"/>
      <c r="D206"/>
      <c r="E206"/>
      <c r="S206" s="27" t="s">
        <v>8</v>
      </c>
      <c r="AQ206" s="27" t="s">
        <v>8</v>
      </c>
      <c r="AR206" s="27" t="s">
        <v>7</v>
      </c>
      <c r="AW206" s="27" t="s">
        <v>8</v>
      </c>
    </row>
    <row r="207" spans="1:151" x14ac:dyDescent="0.25">
      <c r="A207" s="30">
        <v>5.0031885420337927</v>
      </c>
      <c r="E207"/>
      <c r="S207" s="27" t="s">
        <v>8</v>
      </c>
      <c r="T207" s="27" t="s">
        <v>7</v>
      </c>
      <c r="AQ207" s="27" t="s">
        <v>8</v>
      </c>
      <c r="AR207" s="27" t="s">
        <v>7</v>
      </c>
      <c r="AU207" s="27" t="s">
        <v>8</v>
      </c>
      <c r="AW207" s="27" t="s">
        <v>8</v>
      </c>
    </row>
    <row r="208" spans="1:151" x14ac:dyDescent="0.25">
      <c r="A208" s="30">
        <v>4.7649414686036122</v>
      </c>
      <c r="E208"/>
      <c r="I208" s="27" t="s">
        <v>8</v>
      </c>
      <c r="S208" s="27" t="s">
        <v>8</v>
      </c>
      <c r="T208" s="27" t="s">
        <v>7</v>
      </c>
      <c r="AA208" s="27" t="s">
        <v>8</v>
      </c>
      <c r="AQ208" s="27" t="s">
        <v>8</v>
      </c>
      <c r="AR208" s="27" t="s">
        <v>7</v>
      </c>
      <c r="AU208" s="27" t="s">
        <v>8</v>
      </c>
      <c r="AV208" s="27" t="s">
        <v>7</v>
      </c>
      <c r="AW208" s="27" t="s">
        <v>8</v>
      </c>
    </row>
    <row r="209" spans="1:49" x14ac:dyDescent="0.25">
      <c r="A209" s="30">
        <v>4.5380394939082018</v>
      </c>
      <c r="E209"/>
      <c r="I209" s="27" t="s">
        <v>8</v>
      </c>
      <c r="J209" s="27" t="s">
        <v>7</v>
      </c>
      <c r="S209" s="27" t="s">
        <v>8</v>
      </c>
      <c r="T209" s="27" t="s">
        <v>7</v>
      </c>
      <c r="AA209" s="27" t="s">
        <v>8</v>
      </c>
      <c r="AB209" s="27" t="s">
        <v>7</v>
      </c>
      <c r="AG209" s="27" t="s">
        <v>8</v>
      </c>
      <c r="AI209" s="27" t="s">
        <v>8</v>
      </c>
      <c r="AQ209" s="27" t="s">
        <v>8</v>
      </c>
      <c r="AR209" s="27" t="s">
        <v>7</v>
      </c>
      <c r="AS209" s="27" t="s">
        <v>8</v>
      </c>
      <c r="AU209" s="27" t="s">
        <v>8</v>
      </c>
      <c r="AV209" s="27" t="s">
        <v>7</v>
      </c>
      <c r="AW209" s="27" t="s">
        <v>8</v>
      </c>
    </row>
    <row r="210" spans="1:49" x14ac:dyDescent="0.25">
      <c r="A210" s="30">
        <v>4.3219423751506678</v>
      </c>
      <c r="C210"/>
      <c r="E210"/>
      <c r="I210" s="27" t="s">
        <v>8</v>
      </c>
      <c r="J210" s="27" t="s">
        <v>7</v>
      </c>
      <c r="S210" s="27" t="s">
        <v>8</v>
      </c>
      <c r="T210" s="27" t="s">
        <v>7</v>
      </c>
      <c r="U210" s="27" t="s">
        <v>8</v>
      </c>
      <c r="AA210" s="27" t="s">
        <v>8</v>
      </c>
      <c r="AB210" s="27" t="s">
        <v>7</v>
      </c>
      <c r="AE210" s="27" t="s">
        <v>8</v>
      </c>
      <c r="AG210" s="27" t="s">
        <v>8</v>
      </c>
      <c r="AH210" s="27" t="s">
        <v>7</v>
      </c>
      <c r="AI210" s="27" t="s">
        <v>8</v>
      </c>
      <c r="AJ210" s="27" t="s">
        <v>7</v>
      </c>
      <c r="AO210" s="27" t="s">
        <v>8</v>
      </c>
      <c r="AQ210" s="27" t="s">
        <v>8</v>
      </c>
      <c r="AR210" s="27" t="s">
        <v>7</v>
      </c>
      <c r="AS210" s="27" t="s">
        <v>8</v>
      </c>
      <c r="AT210" s="27" t="s">
        <v>7</v>
      </c>
      <c r="AU210" s="27" t="s">
        <v>8</v>
      </c>
      <c r="AV210" s="27" t="s">
        <v>7</v>
      </c>
    </row>
    <row r="211" spans="1:49" x14ac:dyDescent="0.25">
      <c r="A211" s="30">
        <v>4.1161355953815884</v>
      </c>
      <c r="E211"/>
      <c r="I211" s="27" t="s">
        <v>8</v>
      </c>
      <c r="J211" s="27" t="s">
        <v>7</v>
      </c>
      <c r="S211" s="27" t="s">
        <v>8</v>
      </c>
      <c r="T211" s="27" t="s">
        <v>7</v>
      </c>
      <c r="U211" s="27" t="s">
        <v>8</v>
      </c>
      <c r="V211" s="27" t="s">
        <v>7</v>
      </c>
      <c r="AA211" s="27" t="s">
        <v>8</v>
      </c>
      <c r="AB211" s="27" t="s">
        <v>7</v>
      </c>
      <c r="AC211" s="27" t="s">
        <v>8</v>
      </c>
      <c r="AE211" s="27" t="s">
        <v>8</v>
      </c>
      <c r="AF211" s="27" t="s">
        <v>7</v>
      </c>
      <c r="AG211" s="27" t="s">
        <v>8</v>
      </c>
      <c r="AH211" s="27" t="s">
        <v>7</v>
      </c>
      <c r="AI211" s="27" t="s">
        <v>8</v>
      </c>
      <c r="AJ211" s="27" t="s">
        <v>7</v>
      </c>
      <c r="AO211" s="27" t="s">
        <v>8</v>
      </c>
      <c r="AP211" s="27" t="s">
        <v>7</v>
      </c>
      <c r="AQ211" s="27" t="s">
        <v>8</v>
      </c>
      <c r="AR211" s="27" t="s">
        <v>7</v>
      </c>
      <c r="AS211" s="27" t="s">
        <v>8</v>
      </c>
      <c r="AT211" s="27" t="s">
        <v>7</v>
      </c>
      <c r="AU211" s="27" t="s">
        <v>8</v>
      </c>
    </row>
    <row r="212" spans="1:49" x14ac:dyDescent="0.25">
      <c r="A212" s="30">
        <v>3.9201291384586554</v>
      </c>
      <c r="E212"/>
      <c r="I212" s="27" t="s">
        <v>8</v>
      </c>
      <c r="J212" s="27" t="s">
        <v>7</v>
      </c>
      <c r="K212" s="27" t="s">
        <v>8</v>
      </c>
      <c r="M212" s="27" t="s">
        <v>8</v>
      </c>
      <c r="S212" s="27" t="s">
        <v>8</v>
      </c>
      <c r="T212" s="27" t="s">
        <v>7</v>
      </c>
      <c r="U212" s="27" t="s">
        <v>8</v>
      </c>
      <c r="V212" s="27" t="s">
        <v>7</v>
      </c>
      <c r="AA212" s="27" t="s">
        <v>8</v>
      </c>
      <c r="AB212" s="27" t="s">
        <v>7</v>
      </c>
      <c r="AC212" s="27" t="s">
        <v>8</v>
      </c>
      <c r="AD212" s="27" t="s">
        <v>7</v>
      </c>
      <c r="AE212" s="27" t="s">
        <v>8</v>
      </c>
      <c r="AF212" s="27" t="s">
        <v>7</v>
      </c>
      <c r="AG212" s="27" t="s">
        <v>8</v>
      </c>
      <c r="AH212" s="27" t="s">
        <v>7</v>
      </c>
      <c r="AJ212" s="27" t="s">
        <v>7</v>
      </c>
      <c r="AK212" s="27" t="s">
        <v>8</v>
      </c>
      <c r="AM212" s="27" t="s">
        <v>8</v>
      </c>
      <c r="AO212" s="27" t="s">
        <v>8</v>
      </c>
      <c r="AP212" s="27" t="s">
        <v>7</v>
      </c>
      <c r="AQ212" s="27" t="s">
        <v>8</v>
      </c>
      <c r="AR212" s="27" t="s">
        <v>7</v>
      </c>
      <c r="AS212" s="27" t="s">
        <v>8</v>
      </c>
      <c r="AT212" s="27" t="s">
        <v>7</v>
      </c>
    </row>
    <row r="213" spans="1:49" x14ac:dyDescent="0.25">
      <c r="A213" s="30">
        <v>3.7334563223415764</v>
      </c>
      <c r="E213"/>
      <c r="I213" s="27" t="s">
        <v>8</v>
      </c>
      <c r="J213" s="27" t="s">
        <v>7</v>
      </c>
      <c r="K213" s="27" t="s">
        <v>8</v>
      </c>
      <c r="L213" s="27" t="s">
        <v>7</v>
      </c>
      <c r="M213" s="27" t="s">
        <v>8</v>
      </c>
      <c r="N213" s="27" t="s">
        <v>7</v>
      </c>
      <c r="S213" s="27" t="s">
        <v>8</v>
      </c>
      <c r="T213" s="27" t="s">
        <v>7</v>
      </c>
      <c r="V213" s="27" t="s">
        <v>7</v>
      </c>
      <c r="AA213" s="27" t="s">
        <v>8</v>
      </c>
      <c r="AB213" s="27" t="s">
        <v>7</v>
      </c>
      <c r="AC213" s="27" t="s">
        <v>8</v>
      </c>
      <c r="AD213" s="27" t="s">
        <v>7</v>
      </c>
      <c r="AE213" s="27" t="s">
        <v>8</v>
      </c>
      <c r="AF213" s="27" t="s">
        <v>7</v>
      </c>
      <c r="AJ213" s="27" t="s">
        <v>7</v>
      </c>
      <c r="AK213" s="27" t="s">
        <v>8</v>
      </c>
      <c r="AL213" s="27" t="s">
        <v>7</v>
      </c>
      <c r="AM213" s="27" t="s">
        <v>8</v>
      </c>
      <c r="AN213" s="27" t="s">
        <v>7</v>
      </c>
      <c r="AO213" s="27" t="s">
        <v>8</v>
      </c>
      <c r="AP213" s="27" t="s">
        <v>7</v>
      </c>
      <c r="AR213" s="27" t="s">
        <v>7</v>
      </c>
    </row>
    <row r="214" spans="1:49" x14ac:dyDescent="0.25">
      <c r="A214" s="30">
        <v>3.5556726879443583</v>
      </c>
      <c r="E214"/>
      <c r="I214" s="27" t="s">
        <v>8</v>
      </c>
      <c r="J214" s="27" t="s">
        <v>7</v>
      </c>
      <c r="K214" s="27" t="s">
        <v>8</v>
      </c>
      <c r="L214" s="27" t="s">
        <v>7</v>
      </c>
      <c r="M214" s="27" t="s">
        <v>8</v>
      </c>
      <c r="N214" s="27" t="s">
        <v>7</v>
      </c>
      <c r="S214" s="27" t="s">
        <v>8</v>
      </c>
      <c r="V214" s="27" t="s">
        <v>7</v>
      </c>
      <c r="W214" s="27" t="s">
        <v>8</v>
      </c>
      <c r="AA214" s="27" t="s">
        <v>8</v>
      </c>
      <c r="AB214" s="27" t="s">
        <v>7</v>
      </c>
      <c r="AD214" s="27" t="s">
        <v>7</v>
      </c>
      <c r="AE214" s="27" t="s">
        <v>8</v>
      </c>
      <c r="AJ214" s="27" t="s">
        <v>7</v>
      </c>
      <c r="AK214" s="27" t="s">
        <v>8</v>
      </c>
      <c r="AL214" s="27" t="s">
        <v>7</v>
      </c>
      <c r="AM214" s="27" t="s">
        <v>8</v>
      </c>
      <c r="AN214" s="27" t="s">
        <v>7</v>
      </c>
      <c r="AO214" s="27" t="s">
        <v>8</v>
      </c>
    </row>
    <row r="215" spans="1:49" x14ac:dyDescent="0.25">
      <c r="A215" s="30">
        <v>3.3863549408993889</v>
      </c>
      <c r="E215" t="s">
        <v>8</v>
      </c>
      <c r="I215" s="27" t="s">
        <v>8</v>
      </c>
      <c r="J215" s="27" t="s">
        <v>7</v>
      </c>
      <c r="K215" s="27" t="s">
        <v>8</v>
      </c>
      <c r="L215" s="27" t="s">
        <v>7</v>
      </c>
      <c r="M215" s="27" t="s">
        <v>8</v>
      </c>
      <c r="N215" s="27" t="s">
        <v>7</v>
      </c>
      <c r="S215" s="27" t="s">
        <v>8</v>
      </c>
      <c r="V215" s="27" t="s">
        <v>7</v>
      </c>
      <c r="W215" s="27" t="s">
        <v>8</v>
      </c>
      <c r="X215" s="27" t="s">
        <v>7</v>
      </c>
      <c r="Y215" s="27" t="s">
        <v>8</v>
      </c>
      <c r="AA215" s="27" t="s">
        <v>8</v>
      </c>
      <c r="AD215" s="27" t="s">
        <v>7</v>
      </c>
      <c r="AE215" s="27" t="s">
        <v>8</v>
      </c>
      <c r="AJ215" s="27" t="s">
        <v>7</v>
      </c>
      <c r="AL215" s="27" t="s">
        <v>7</v>
      </c>
      <c r="AM215" s="27" t="s">
        <v>8</v>
      </c>
      <c r="AN215" s="27" t="s">
        <v>7</v>
      </c>
    </row>
    <row r="216" spans="1:49" x14ac:dyDescent="0.25">
      <c r="A216" s="30">
        <v>3.2250999437137038</v>
      </c>
      <c r="E216" t="s">
        <v>8</v>
      </c>
      <c r="F216" s="27" t="s">
        <v>7</v>
      </c>
      <c r="G216" s="27" t="s">
        <v>8</v>
      </c>
      <c r="I216" s="27" t="s">
        <v>8</v>
      </c>
      <c r="J216" s="27" t="s">
        <v>7</v>
      </c>
      <c r="K216" s="27" t="s">
        <v>8</v>
      </c>
      <c r="L216" s="27" t="s">
        <v>7</v>
      </c>
      <c r="N216" s="27" t="s">
        <v>7</v>
      </c>
      <c r="Q216" s="27" t="s">
        <v>8</v>
      </c>
      <c r="S216" s="27" t="s">
        <v>8</v>
      </c>
      <c r="V216" s="27" t="s">
        <v>7</v>
      </c>
      <c r="W216" s="27" t="s">
        <v>8</v>
      </c>
      <c r="X216" s="27" t="s">
        <v>7</v>
      </c>
      <c r="Y216" s="27" t="s">
        <v>8</v>
      </c>
      <c r="Z216" s="27" t="s">
        <v>7</v>
      </c>
      <c r="AA216" s="27" t="s">
        <v>8</v>
      </c>
      <c r="AD216" s="27" t="s">
        <v>7</v>
      </c>
      <c r="AL216" s="27" t="s">
        <v>7</v>
      </c>
    </row>
    <row r="217" spans="1:49" x14ac:dyDescent="0.25">
      <c r="A217" s="30">
        <v>3.0715237559178128</v>
      </c>
      <c r="E217" t="s">
        <v>8</v>
      </c>
      <c r="F217" s="27" t="s">
        <v>7</v>
      </c>
      <c r="G217" s="27" t="s">
        <v>8</v>
      </c>
      <c r="H217" s="27" t="s">
        <v>7</v>
      </c>
      <c r="I217" s="27" t="s">
        <v>8</v>
      </c>
      <c r="J217" s="27" t="s">
        <v>7</v>
      </c>
      <c r="K217" s="27" t="s">
        <v>8</v>
      </c>
      <c r="N217" s="27" t="s">
        <v>7</v>
      </c>
      <c r="O217" s="27" t="s">
        <v>8</v>
      </c>
      <c r="Q217" s="27" t="s">
        <v>8</v>
      </c>
      <c r="R217" s="27" t="s">
        <v>7</v>
      </c>
      <c r="S217" s="27" t="s">
        <v>8</v>
      </c>
      <c r="V217" s="27" t="s">
        <v>7</v>
      </c>
      <c r="X217" s="27" t="s">
        <v>7</v>
      </c>
      <c r="Y217" s="27" t="s">
        <v>8</v>
      </c>
      <c r="Z217" s="27" t="s">
        <v>7</v>
      </c>
      <c r="AA217" s="27" t="s">
        <v>8</v>
      </c>
    </row>
    <row r="218" spans="1:49" x14ac:dyDescent="0.25">
      <c r="A218" s="30">
        <v>2.9252607199217264</v>
      </c>
      <c r="E218" t="s">
        <v>8</v>
      </c>
      <c r="F218" s="27" t="s">
        <v>7</v>
      </c>
      <c r="G218" s="27" t="s">
        <v>8</v>
      </c>
      <c r="H218" s="27" t="s">
        <v>7</v>
      </c>
      <c r="I218" s="27" t="s">
        <v>8</v>
      </c>
      <c r="J218" s="27" t="s">
        <v>7</v>
      </c>
      <c r="K218" s="27" t="s">
        <v>8</v>
      </c>
      <c r="N218" s="27" t="s">
        <v>7</v>
      </c>
      <c r="O218" s="27" t="s">
        <v>8</v>
      </c>
      <c r="P218" s="27" t="s">
        <v>7</v>
      </c>
      <c r="Q218" s="27" t="s">
        <v>8</v>
      </c>
      <c r="R218" s="27" t="s">
        <v>7</v>
      </c>
      <c r="S218" s="27" t="s">
        <v>8</v>
      </c>
      <c r="X218" s="27" t="s">
        <v>7</v>
      </c>
      <c r="Y218" s="27" t="s">
        <v>8</v>
      </c>
      <c r="Z218" s="27" t="s">
        <v>7</v>
      </c>
      <c r="AA218" s="27" t="s">
        <v>8</v>
      </c>
    </row>
    <row r="219" spans="1:49" x14ac:dyDescent="0.25">
      <c r="A219" s="30">
        <v>2.7859625904016441</v>
      </c>
      <c r="E219" t="s">
        <v>8</v>
      </c>
      <c r="F219" s="27" t="s">
        <v>7</v>
      </c>
      <c r="G219" s="27" t="s">
        <v>8</v>
      </c>
      <c r="H219" s="27" t="s">
        <v>7</v>
      </c>
      <c r="I219" s="27" t="s">
        <v>8</v>
      </c>
      <c r="J219" s="27" t="s">
        <v>7</v>
      </c>
      <c r="N219" s="27" t="s">
        <v>7</v>
      </c>
      <c r="O219" s="27" t="s">
        <v>8</v>
      </c>
      <c r="P219" s="27" t="s">
        <v>7</v>
      </c>
      <c r="Q219" s="27" t="s">
        <v>8</v>
      </c>
      <c r="R219" s="27" t="s">
        <v>7</v>
      </c>
      <c r="X219" s="27" t="s">
        <v>7</v>
      </c>
      <c r="Y219" s="27" t="s">
        <v>8</v>
      </c>
      <c r="Z219" s="27" t="s">
        <v>7</v>
      </c>
    </row>
    <row r="220" spans="1:49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H220" s="27" t="s">
        <v>7</v>
      </c>
      <c r="N220" s="27" t="s">
        <v>7</v>
      </c>
      <c r="P220" s="27" t="s">
        <v>7</v>
      </c>
      <c r="Q220" s="27" t="s">
        <v>8</v>
      </c>
      <c r="X220" s="27" t="s">
        <v>7</v>
      </c>
      <c r="Y220" s="27" t="s">
        <v>8</v>
      </c>
    </row>
    <row r="221" spans="1:49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P221" s="27" t="s">
        <v>7</v>
      </c>
      <c r="Q221" s="27" t="s">
        <v>8</v>
      </c>
      <c r="X221" s="27" t="s">
        <v>7</v>
      </c>
    </row>
    <row r="222" spans="1:49" x14ac:dyDescent="0.25">
      <c r="A222" s="30">
        <v>2.4066192336910861</v>
      </c>
      <c r="E222" t="s">
        <v>8</v>
      </c>
      <c r="F222" s="27" t="s">
        <v>7</v>
      </c>
      <c r="G222" s="27" t="s">
        <v>8</v>
      </c>
      <c r="P222" s="27" t="s">
        <v>7</v>
      </c>
      <c r="Q222" s="27" t="s">
        <v>8</v>
      </c>
    </row>
    <row r="223" spans="1:49" x14ac:dyDescent="0.25">
      <c r="A223" s="30">
        <v>2.2920183178010345</v>
      </c>
      <c r="E223" t="s">
        <v>8</v>
      </c>
      <c r="F223" s="27" t="s">
        <v>7</v>
      </c>
      <c r="P223" s="27" t="s">
        <v>7</v>
      </c>
      <c r="Q223" s="27" t="s">
        <v>8</v>
      </c>
    </row>
    <row r="224" spans="1:49" x14ac:dyDescent="0.25">
      <c r="A224" s="30">
        <v>2.1828745883819374</v>
      </c>
      <c r="E224" t="s">
        <v>8</v>
      </c>
      <c r="P224" s="27" t="s">
        <v>7</v>
      </c>
      <c r="Q224" s="27" t="s">
        <v>8</v>
      </c>
    </row>
    <row r="225" spans="1:16" x14ac:dyDescent="0.25">
      <c r="A225" s="30">
        <v>2.0789281794113688</v>
      </c>
      <c r="E225" t="s">
        <v>8</v>
      </c>
      <c r="P225" s="27" t="s">
        <v>7</v>
      </c>
    </row>
    <row r="226" spans="1:16" x14ac:dyDescent="0.25">
      <c r="A226" s="30">
        <v>1.9799315994393987</v>
      </c>
      <c r="E226" t="s">
        <v>8</v>
      </c>
    </row>
    <row r="227" spans="1:16" x14ac:dyDescent="0.25">
      <c r="A227" s="30">
        <v>1.8856491423232367</v>
      </c>
      <c r="E227" t="s">
        <v>8</v>
      </c>
    </row>
    <row r="228" spans="1:16" x14ac:dyDescent="0.25">
      <c r="A228" s="30">
        <v>1.7958563260221301</v>
      </c>
      <c r="C228" s="7"/>
      <c r="D228"/>
      <c r="E228" t="s">
        <v>8</v>
      </c>
    </row>
    <row r="229" spans="1:16" x14ac:dyDescent="0.25">
      <c r="A229" s="30">
        <v>1.7103393581163142</v>
      </c>
      <c r="E229" t="s">
        <v>8</v>
      </c>
    </row>
    <row r="230" spans="1:16" x14ac:dyDescent="0.25">
      <c r="A230" s="30">
        <v>1.628894626777442</v>
      </c>
      <c r="E230" t="s">
        <v>8</v>
      </c>
    </row>
    <row r="231" spans="1:16" x14ac:dyDescent="0.25">
      <c r="A231" s="30">
        <v>1.5513282159785162</v>
      </c>
      <c r="C231"/>
      <c r="D231"/>
      <c r="E231" t="s">
        <v>8</v>
      </c>
    </row>
    <row r="232" spans="1:16" x14ac:dyDescent="0.25">
      <c r="A232" s="30">
        <v>1.477455443789063</v>
      </c>
      <c r="E232" t="s">
        <v>8</v>
      </c>
    </row>
    <row r="233" spans="1:16" x14ac:dyDescent="0.25">
      <c r="A233" s="30">
        <v>1.4071004226562505</v>
      </c>
      <c r="E233" t="s">
        <v>8</v>
      </c>
    </row>
    <row r="234" spans="1:16" x14ac:dyDescent="0.25">
      <c r="A234" s="30">
        <v>1.3400956406250004</v>
      </c>
      <c r="E234" t="s">
        <v>8</v>
      </c>
    </row>
    <row r="235" spans="1:16" x14ac:dyDescent="0.25">
      <c r="A235" s="30">
        <v>1.2762815625000004</v>
      </c>
      <c r="C235"/>
      <c r="E235" t="s">
        <v>8</v>
      </c>
    </row>
    <row r="236" spans="1:16" x14ac:dyDescent="0.25">
      <c r="A236" s="30">
        <v>1.2155062500000002</v>
      </c>
      <c r="E236" t="s">
        <v>8</v>
      </c>
    </row>
    <row r="237" spans="1:1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16" x14ac:dyDescent="0.25">
      <c r="A238" s="30">
        <v>1.1025</v>
      </c>
      <c r="E238" t="s">
        <v>8</v>
      </c>
    </row>
    <row r="239" spans="1:16" x14ac:dyDescent="0.25">
      <c r="A239" s="30">
        <v>1.05</v>
      </c>
      <c r="E239" t="s">
        <v>8</v>
      </c>
    </row>
    <row r="240" spans="1:16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99" operator="equal">
      <formula>$U$1</formula>
    </cfRule>
    <cfRule type="cellIs" dxfId="67" priority="900" operator="equal">
      <formula>$S$1</formula>
    </cfRule>
  </conditionalFormatting>
  <conditionalFormatting sqref="D136">
    <cfRule type="cellIs" dxfId="66" priority="897" operator="equal">
      <formula>$S$1</formula>
    </cfRule>
    <cfRule type="cellIs" dxfId="65" priority="898" operator="equal">
      <formula>$U$1</formula>
    </cfRule>
  </conditionalFormatting>
  <conditionalFormatting sqref="C162">
    <cfRule type="cellIs" dxfId="64" priority="895" operator="equal">
      <formula>$U$1</formula>
    </cfRule>
    <cfRule type="cellIs" dxfId="63" priority="896" operator="equal">
      <formula>$S$1</formula>
    </cfRule>
  </conditionalFormatting>
  <conditionalFormatting sqref="D162">
    <cfRule type="cellIs" dxfId="62" priority="893" operator="equal">
      <formula>$S$1</formula>
    </cfRule>
    <cfRule type="cellIs" dxfId="61" priority="894" operator="equal">
      <formula>$U$1</formula>
    </cfRule>
  </conditionalFormatting>
  <conditionalFormatting sqref="C187">
    <cfRule type="cellIs" dxfId="60" priority="891" operator="equal">
      <formula>$U$1</formula>
    </cfRule>
    <cfRule type="cellIs" dxfId="59" priority="892" operator="equal">
      <formula>$S$1</formula>
    </cfRule>
  </conditionalFormatting>
  <conditionalFormatting sqref="D187">
    <cfRule type="cellIs" dxfId="58" priority="889" operator="equal">
      <formula>$S$1</formula>
    </cfRule>
    <cfRule type="cellIs" dxfId="57" priority="890" operator="equal">
      <formula>$U$1</formula>
    </cfRule>
  </conditionalFormatting>
  <conditionalFormatting sqref="C212">
    <cfRule type="cellIs" dxfId="56" priority="887" operator="equal">
      <formula>$U$1</formula>
    </cfRule>
    <cfRule type="cellIs" dxfId="55" priority="888" operator="equal">
      <formula>$S$1</formula>
    </cfRule>
  </conditionalFormatting>
  <conditionalFormatting sqref="D212">
    <cfRule type="cellIs" dxfId="54" priority="885" operator="equal">
      <formula>$S$1</formula>
    </cfRule>
    <cfRule type="cellIs" dxfId="53" priority="886" operator="equal">
      <formula>$U$1</formula>
    </cfRule>
  </conditionalFormatting>
  <conditionalFormatting sqref="C237">
    <cfRule type="cellIs" dxfId="52" priority="883" operator="equal">
      <formula>$U$1</formula>
    </cfRule>
    <cfRule type="cellIs" dxfId="51" priority="884" operator="equal">
      <formula>$S$1</formula>
    </cfRule>
  </conditionalFormatting>
  <conditionalFormatting sqref="D237">
    <cfRule type="cellIs" dxfId="50" priority="881" operator="equal">
      <formula>$S$1</formula>
    </cfRule>
    <cfRule type="cellIs" dxfId="49" priority="882" operator="equal">
      <formula>$U$1</formula>
    </cfRule>
  </conditionalFormatting>
  <conditionalFormatting sqref="C106">
    <cfRule type="cellIs" dxfId="48" priority="879" operator="equal">
      <formula>$U$1</formula>
    </cfRule>
    <cfRule type="cellIs" dxfId="47" priority="880" operator="equal">
      <formula>$S$1</formula>
    </cfRule>
  </conditionalFormatting>
  <conditionalFormatting sqref="D106">
    <cfRule type="cellIs" dxfId="46" priority="877" operator="equal">
      <formula>$S$1</formula>
    </cfRule>
    <cfRule type="cellIs" dxfId="45" priority="878" operator="equal">
      <formula>$U$1</formula>
    </cfRule>
  </conditionalFormatting>
  <conditionalFormatting sqref="C81">
    <cfRule type="cellIs" dxfId="44" priority="875" operator="equal">
      <formula>$U$1</formula>
    </cfRule>
    <cfRule type="cellIs" dxfId="43" priority="876" operator="equal">
      <formula>$S$1</formula>
    </cfRule>
  </conditionalFormatting>
  <conditionalFormatting sqref="D81">
    <cfRule type="cellIs" dxfId="42" priority="873" operator="equal">
      <formula>$S$1</formula>
    </cfRule>
    <cfRule type="cellIs" dxfId="41" priority="874" operator="equal">
      <formula>$U$1</formula>
    </cfRule>
  </conditionalFormatting>
  <conditionalFormatting sqref="C56">
    <cfRule type="cellIs" dxfId="40" priority="871" operator="equal">
      <formula>$U$1</formula>
    </cfRule>
    <cfRule type="cellIs" dxfId="39" priority="872" operator="equal">
      <formula>$S$1</formula>
    </cfRule>
  </conditionalFormatting>
  <conditionalFormatting sqref="D56">
    <cfRule type="cellIs" dxfId="38" priority="869" operator="equal">
      <formula>$S$1</formula>
    </cfRule>
    <cfRule type="cellIs" dxfId="37" priority="870" operator="equal">
      <formula>$U$1</formula>
    </cfRule>
  </conditionalFormatting>
  <conditionalFormatting sqref="C31">
    <cfRule type="cellIs" dxfId="36" priority="867" operator="equal">
      <formula>$U$1</formula>
    </cfRule>
    <cfRule type="cellIs" dxfId="35" priority="868" operator="equal">
      <formula>$S$1</formula>
    </cfRule>
  </conditionalFormatting>
  <conditionalFormatting sqref="D31">
    <cfRule type="cellIs" dxfId="34" priority="865" operator="equal">
      <formula>$S$1</formula>
    </cfRule>
    <cfRule type="cellIs" dxfId="33" priority="86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J101" sqref="BJ10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48" x14ac:dyDescent="0.25">
      <c r="A65" s="30">
        <v>207.96505671840671</v>
      </c>
      <c r="E65"/>
    </row>
    <row r="66" spans="1:48" x14ac:dyDescent="0.25">
      <c r="A66" s="30">
        <v>189.05914247127882</v>
      </c>
      <c r="E66"/>
    </row>
    <row r="67" spans="1:48" x14ac:dyDescent="0.25">
      <c r="A67" s="30">
        <v>171.87194770116255</v>
      </c>
      <c r="C67" s="1" t="s">
        <v>15</v>
      </c>
      <c r="E67"/>
    </row>
    <row r="68" spans="1:48" x14ac:dyDescent="0.25">
      <c r="A68" s="30">
        <v>156.24722518287504</v>
      </c>
      <c r="C68" s="7">
        <v>0.11167815779424731</v>
      </c>
      <c r="D68"/>
      <c r="E68"/>
    </row>
    <row r="69" spans="1:48" x14ac:dyDescent="0.25">
      <c r="A69" s="30">
        <v>142.04293198443185</v>
      </c>
      <c r="E69"/>
      <c r="AQ69" s="27" t="s">
        <v>8</v>
      </c>
    </row>
    <row r="70" spans="1:48" x14ac:dyDescent="0.25">
      <c r="A70" s="30">
        <v>129.1299381676653</v>
      </c>
      <c r="C70" s="1" t="s">
        <v>11</v>
      </c>
      <c r="D70" s="1" t="s">
        <v>12</v>
      </c>
      <c r="E70"/>
      <c r="AQ70" s="27" t="s">
        <v>8</v>
      </c>
      <c r="AR70" s="27" t="s">
        <v>7</v>
      </c>
      <c r="AS70" s="27" t="s">
        <v>8</v>
      </c>
    </row>
    <row r="71" spans="1:48" x14ac:dyDescent="0.25">
      <c r="A71" s="30">
        <v>117.39085287969573</v>
      </c>
      <c r="C71"/>
      <c r="D71"/>
      <c r="E71"/>
      <c r="AQ71" s="27" t="s">
        <v>8</v>
      </c>
      <c r="AR71" s="27" t="s">
        <v>7</v>
      </c>
      <c r="AS71" s="27" t="s">
        <v>8</v>
      </c>
      <c r="AT71" s="27" t="s">
        <v>7</v>
      </c>
    </row>
    <row r="72" spans="1:48" x14ac:dyDescent="0.25">
      <c r="A72" s="30">
        <v>106.71895716335975</v>
      </c>
      <c r="E72"/>
      <c r="AQ72" s="27" t="s">
        <v>8</v>
      </c>
      <c r="AR72" s="27" t="s">
        <v>7</v>
      </c>
      <c r="AS72" s="27" t="s">
        <v>8</v>
      </c>
      <c r="AT72" s="27" t="s">
        <v>7</v>
      </c>
    </row>
    <row r="73" spans="1:48" x14ac:dyDescent="0.25">
      <c r="A73" s="30">
        <v>97.017233784872488</v>
      </c>
      <c r="C73" s="1" t="s">
        <v>13</v>
      </c>
      <c r="E73"/>
      <c r="AA73" s="27" t="s">
        <v>8</v>
      </c>
      <c r="AM73" s="27" t="s">
        <v>8</v>
      </c>
      <c r="AQ73" s="27" t="s">
        <v>8</v>
      </c>
      <c r="AR73" s="27" t="s">
        <v>7</v>
      </c>
      <c r="AT73" s="27" t="s">
        <v>7</v>
      </c>
    </row>
    <row r="74" spans="1:48" x14ac:dyDescent="0.25">
      <c r="A74" s="30">
        <v>88.197485258974979</v>
      </c>
      <c r="C74" s="1">
        <f>C63</f>
        <v>0</v>
      </c>
      <c r="E74"/>
      <c r="AA74" s="27" t="s">
        <v>8</v>
      </c>
      <c r="AB74" s="27" t="s">
        <v>7</v>
      </c>
      <c r="AC74" s="27" t="s">
        <v>8</v>
      </c>
      <c r="AM74" s="27" t="s">
        <v>8</v>
      </c>
      <c r="AN74" s="27" t="s">
        <v>7</v>
      </c>
      <c r="AO74" s="27" t="s">
        <v>8</v>
      </c>
      <c r="AQ74" s="27" t="s">
        <v>8</v>
      </c>
      <c r="AT74" s="27" t="s">
        <v>7</v>
      </c>
    </row>
    <row r="75" spans="1:48" x14ac:dyDescent="0.25">
      <c r="A75" s="30">
        <v>80.179532053613613</v>
      </c>
      <c r="C75"/>
      <c r="D75"/>
      <c r="E75"/>
      <c r="AA75" s="27" t="s">
        <v>8</v>
      </c>
      <c r="AB75" s="27" t="s">
        <v>7</v>
      </c>
      <c r="AC75" s="27" t="s">
        <v>8</v>
      </c>
      <c r="AD75" s="27" t="s">
        <v>7</v>
      </c>
      <c r="AM75" s="27" t="s">
        <v>8</v>
      </c>
      <c r="AN75" s="27" t="s">
        <v>7</v>
      </c>
      <c r="AO75" s="27" t="s">
        <v>8</v>
      </c>
      <c r="AP75" s="27" t="s">
        <v>7</v>
      </c>
      <c r="AQ75" s="27" t="s">
        <v>8</v>
      </c>
      <c r="AT75" s="27" t="s">
        <v>7</v>
      </c>
    </row>
    <row r="76" spans="1:48" x14ac:dyDescent="0.25">
      <c r="A76" s="30">
        <v>72.890483685103277</v>
      </c>
      <c r="C76" s="1" t="s">
        <v>14</v>
      </c>
      <c r="E76"/>
      <c r="AA76" s="27" t="s">
        <v>8</v>
      </c>
      <c r="AB76" s="27" t="s">
        <v>7</v>
      </c>
      <c r="AC76" s="27" t="s">
        <v>8</v>
      </c>
      <c r="AD76" s="27" t="s">
        <v>7</v>
      </c>
      <c r="AE76" s="27" t="s">
        <v>8</v>
      </c>
      <c r="AM76" s="27" t="s">
        <v>8</v>
      </c>
      <c r="AN76" s="27" t="s">
        <v>7</v>
      </c>
      <c r="AO76" s="27" t="s">
        <v>8</v>
      </c>
      <c r="AP76" s="27" t="s">
        <v>7</v>
      </c>
      <c r="AQ76" s="27" t="s">
        <v>8</v>
      </c>
      <c r="AT76" s="27" t="s">
        <v>7</v>
      </c>
    </row>
    <row r="77" spans="1:48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AA77" s="27" t="s">
        <v>8</v>
      </c>
      <c r="AB77" s="27" t="s">
        <v>7</v>
      </c>
      <c r="AC77" s="27" t="s">
        <v>8</v>
      </c>
      <c r="AD77" s="27" t="s">
        <v>7</v>
      </c>
      <c r="AE77" s="27" t="s">
        <v>8</v>
      </c>
      <c r="AF77" s="27" t="s">
        <v>7</v>
      </c>
      <c r="AK77" s="27" t="s">
        <v>8</v>
      </c>
      <c r="AM77" s="27" t="s">
        <v>8</v>
      </c>
      <c r="AN77" s="27" t="s">
        <v>7</v>
      </c>
      <c r="AP77" s="27" t="s">
        <v>7</v>
      </c>
      <c r="AQ77" s="27" t="s">
        <v>8</v>
      </c>
      <c r="AT77" s="27" t="s">
        <v>7</v>
      </c>
    </row>
    <row r="78" spans="1:48" x14ac:dyDescent="0.25">
      <c r="A78" s="30">
        <v>60.240069161242367</v>
      </c>
      <c r="E78"/>
      <c r="AA78" s="27" t="s">
        <v>8</v>
      </c>
      <c r="AB78" s="27" t="s">
        <v>7</v>
      </c>
      <c r="AD78" s="27" t="s">
        <v>7</v>
      </c>
      <c r="AE78" s="27" t="s">
        <v>8</v>
      </c>
      <c r="AF78" s="27" t="s">
        <v>7</v>
      </c>
      <c r="AI78" s="27" t="s">
        <v>8</v>
      </c>
      <c r="AK78" s="27" t="s">
        <v>8</v>
      </c>
      <c r="AL78" s="27" t="s">
        <v>7</v>
      </c>
      <c r="AM78" s="27" t="s">
        <v>8</v>
      </c>
      <c r="AP78" s="27" t="s">
        <v>7</v>
      </c>
      <c r="AT78" s="27" t="s">
        <v>7</v>
      </c>
    </row>
    <row r="79" spans="1:48" x14ac:dyDescent="0.25">
      <c r="A79" s="30">
        <v>54.763699237493057</v>
      </c>
      <c r="E79"/>
      <c r="Y79" s="27" t="s">
        <v>8</v>
      </c>
      <c r="AA79" s="27" t="s">
        <v>8</v>
      </c>
      <c r="AD79" s="27" t="s">
        <v>7</v>
      </c>
      <c r="AE79" s="27" t="s">
        <v>8</v>
      </c>
      <c r="AF79" s="27" t="s">
        <v>7</v>
      </c>
      <c r="AG79" s="27" t="s">
        <v>8</v>
      </c>
      <c r="AI79" s="27" t="s">
        <v>8</v>
      </c>
      <c r="AJ79" s="27" t="s">
        <v>7</v>
      </c>
      <c r="AK79" s="27" t="s">
        <v>8</v>
      </c>
      <c r="AL79" s="27" t="s">
        <v>7</v>
      </c>
      <c r="AM79" s="27" t="s">
        <v>8</v>
      </c>
      <c r="AT79" s="27" t="s">
        <v>7</v>
      </c>
      <c r="AU79" s="27" t="s">
        <v>8</v>
      </c>
    </row>
    <row r="80" spans="1:48" x14ac:dyDescent="0.25">
      <c r="A80" s="30">
        <v>49.785181124993684</v>
      </c>
      <c r="E80"/>
      <c r="Y80" s="27" t="s">
        <v>8</v>
      </c>
      <c r="Z80" s="27" t="s">
        <v>7</v>
      </c>
      <c r="AA80" s="27" t="s">
        <v>8</v>
      </c>
      <c r="AD80" s="27" t="s">
        <v>7</v>
      </c>
      <c r="AE80" s="27" t="s">
        <v>8</v>
      </c>
      <c r="AF80" s="27" t="s">
        <v>7</v>
      </c>
      <c r="AG80" s="27" t="s">
        <v>8</v>
      </c>
      <c r="AH80" s="27" t="s">
        <v>7</v>
      </c>
      <c r="AI80" s="27" t="s">
        <v>8</v>
      </c>
      <c r="AJ80" s="27" t="s">
        <v>7</v>
      </c>
      <c r="AK80" s="27" t="s">
        <v>8</v>
      </c>
      <c r="AL80" s="27" t="s">
        <v>7</v>
      </c>
      <c r="AT80" s="27" t="s">
        <v>7</v>
      </c>
      <c r="AU80" s="27" t="s">
        <v>8</v>
      </c>
      <c r="AV80" s="27" t="s">
        <v>7</v>
      </c>
    </row>
    <row r="81" spans="1:62" x14ac:dyDescent="0.25">
      <c r="A81" s="30">
        <v>45.259255568176073</v>
      </c>
      <c r="E81"/>
      <c r="W81" s="27" t="s">
        <v>8</v>
      </c>
      <c r="Y81" s="27" t="s">
        <v>8</v>
      </c>
      <c r="Z81" s="27" t="s">
        <v>7</v>
      </c>
      <c r="AA81" s="27" t="s">
        <v>8</v>
      </c>
      <c r="AD81" s="27" t="s">
        <v>7</v>
      </c>
      <c r="AF81" s="27" t="s">
        <v>7</v>
      </c>
      <c r="AG81" s="27" t="s">
        <v>8</v>
      </c>
      <c r="AH81" s="27" t="s">
        <v>7</v>
      </c>
      <c r="AI81" s="27" t="s">
        <v>8</v>
      </c>
      <c r="AJ81" s="27" t="s">
        <v>7</v>
      </c>
      <c r="AK81" s="27" t="s">
        <v>8</v>
      </c>
      <c r="AT81" s="27" t="s">
        <v>7</v>
      </c>
      <c r="AU81" s="27" t="s">
        <v>8</v>
      </c>
      <c r="AV81" s="27" t="s">
        <v>7</v>
      </c>
    </row>
    <row r="82" spans="1:62" x14ac:dyDescent="0.25">
      <c r="A82" s="30">
        <v>41.144777789250973</v>
      </c>
      <c r="E82"/>
      <c r="W82" s="27" t="s">
        <v>8</v>
      </c>
      <c r="X82" s="27" t="s">
        <v>7</v>
      </c>
      <c r="Y82" s="27" t="s">
        <v>8</v>
      </c>
      <c r="Z82" s="27" t="s">
        <v>7</v>
      </c>
      <c r="AF82" s="27" t="s">
        <v>7</v>
      </c>
      <c r="AH82" s="27" t="s">
        <v>7</v>
      </c>
      <c r="AI82" s="27" t="s">
        <v>8</v>
      </c>
      <c r="AJ82" s="27" t="s">
        <v>7</v>
      </c>
      <c r="AK82" s="27" t="s">
        <v>8</v>
      </c>
      <c r="AT82" s="27" t="s">
        <v>7</v>
      </c>
      <c r="AU82" s="27" t="s">
        <v>8</v>
      </c>
      <c r="AV82" s="27" t="s">
        <v>7</v>
      </c>
      <c r="AW82" s="27" t="s">
        <v>8</v>
      </c>
      <c r="BC82" s="27" t="s">
        <v>8</v>
      </c>
    </row>
    <row r="83" spans="1:62" x14ac:dyDescent="0.25">
      <c r="A83" s="30">
        <v>37.404343444773609</v>
      </c>
      <c r="E83"/>
      <c r="W83" s="27" t="s">
        <v>8</v>
      </c>
      <c r="X83" s="27" t="s">
        <v>7</v>
      </c>
      <c r="Y83" s="27" t="s">
        <v>8</v>
      </c>
      <c r="AH83" s="27" t="s">
        <v>7</v>
      </c>
      <c r="AJ83" s="27" t="s">
        <v>7</v>
      </c>
      <c r="AT83" s="27" t="s">
        <v>7</v>
      </c>
      <c r="AU83" s="27" t="s">
        <v>8</v>
      </c>
      <c r="AV83" s="27" t="s">
        <v>7</v>
      </c>
      <c r="AW83" s="27" t="s">
        <v>8</v>
      </c>
      <c r="AX83" s="27" t="s">
        <v>7</v>
      </c>
      <c r="BC83" s="27" t="s">
        <v>8</v>
      </c>
      <c r="BD83" s="27" t="s">
        <v>7</v>
      </c>
      <c r="BE83" s="27" t="s">
        <v>8</v>
      </c>
    </row>
    <row r="84" spans="1:62" x14ac:dyDescent="0.25">
      <c r="A84" s="30">
        <v>34.003948586157826</v>
      </c>
      <c r="E84"/>
      <c r="W84" s="27" t="s">
        <v>8</v>
      </c>
      <c r="X84" s="27" t="s">
        <v>7</v>
      </c>
      <c r="AT84" s="27" t="s">
        <v>7</v>
      </c>
      <c r="AV84" s="27" t="s">
        <v>7</v>
      </c>
      <c r="AW84" s="27" t="s">
        <v>8</v>
      </c>
      <c r="AX84" s="27" t="s">
        <v>7</v>
      </c>
      <c r="AY84" s="27" t="s">
        <v>8</v>
      </c>
      <c r="BC84" s="27" t="s">
        <v>8</v>
      </c>
      <c r="BD84" s="27" t="s">
        <v>7</v>
      </c>
      <c r="BE84" s="27" t="s">
        <v>8</v>
      </c>
      <c r="BF84" s="27" t="s">
        <v>7</v>
      </c>
      <c r="BG84" s="27" t="s">
        <v>8</v>
      </c>
    </row>
    <row r="85" spans="1:62" x14ac:dyDescent="0.25">
      <c r="A85" s="30">
        <v>30.912680532870748</v>
      </c>
      <c r="E85"/>
      <c r="W85" s="27" t="s">
        <v>8</v>
      </c>
      <c r="AV85" s="27" t="s">
        <v>7</v>
      </c>
      <c r="AW85" s="27" t="s">
        <v>8</v>
      </c>
      <c r="AX85" s="27" t="s">
        <v>7</v>
      </c>
      <c r="AY85" s="27" t="s">
        <v>8</v>
      </c>
      <c r="AZ85" s="27" t="s">
        <v>7</v>
      </c>
      <c r="BC85" s="27" t="s">
        <v>8</v>
      </c>
      <c r="BD85" s="27" t="s">
        <v>7</v>
      </c>
      <c r="BE85" s="27" t="s">
        <v>8</v>
      </c>
      <c r="BF85" s="27" t="s">
        <v>7</v>
      </c>
      <c r="BG85" s="27" t="s">
        <v>8</v>
      </c>
      <c r="BH85" s="27" t="s">
        <v>7</v>
      </c>
    </row>
    <row r="86" spans="1:62" x14ac:dyDescent="0.25">
      <c r="A86" s="30">
        <v>28.102436848064315</v>
      </c>
      <c r="E86"/>
      <c r="W86" s="27" t="s">
        <v>8</v>
      </c>
      <c r="AV86" s="27" t="s">
        <v>7</v>
      </c>
      <c r="AW86" s="27" t="s">
        <v>8</v>
      </c>
      <c r="AX86" s="27" t="s">
        <v>7</v>
      </c>
      <c r="AY86" s="27" t="s">
        <v>8</v>
      </c>
      <c r="AZ86" s="27" t="s">
        <v>7</v>
      </c>
      <c r="BC86" s="27" t="s">
        <v>8</v>
      </c>
      <c r="BD86" s="27" t="s">
        <v>7</v>
      </c>
      <c r="BF86" s="27" t="s">
        <v>7</v>
      </c>
      <c r="BG86" s="27" t="s">
        <v>8</v>
      </c>
      <c r="BH86" s="27" t="s">
        <v>7</v>
      </c>
      <c r="BI86" s="27" t="s">
        <v>8</v>
      </c>
    </row>
    <row r="87" spans="1:62" x14ac:dyDescent="0.25">
      <c r="A87" s="30">
        <v>25.547669861876649</v>
      </c>
      <c r="E87"/>
      <c r="W87" s="27" t="s">
        <v>8</v>
      </c>
      <c r="AV87" s="27" t="s">
        <v>7</v>
      </c>
      <c r="AW87" s="27" t="s">
        <v>8</v>
      </c>
      <c r="AX87" s="27" t="s">
        <v>7</v>
      </c>
      <c r="AY87" s="27" t="s">
        <v>8</v>
      </c>
      <c r="AZ87" s="27" t="s">
        <v>7</v>
      </c>
      <c r="BC87" s="27" t="s">
        <v>8</v>
      </c>
      <c r="BF87" s="27" t="s">
        <v>7</v>
      </c>
      <c r="BG87" s="27" t="s">
        <v>8</v>
      </c>
      <c r="BH87" s="27" t="s">
        <v>7</v>
      </c>
      <c r="BI87" s="27" t="s">
        <v>8</v>
      </c>
      <c r="BJ87" s="27" t="s">
        <v>7</v>
      </c>
    </row>
    <row r="88" spans="1:62" x14ac:dyDescent="0.25">
      <c r="A88" s="30">
        <v>23.225154419887861</v>
      </c>
      <c r="E88"/>
      <c r="W88" s="27" t="s">
        <v>8</v>
      </c>
      <c r="AV88" s="27" t="s">
        <v>7</v>
      </c>
      <c r="AW88" s="27" t="s">
        <v>8</v>
      </c>
      <c r="AX88" s="27" t="s">
        <v>7</v>
      </c>
      <c r="AZ88" s="27" t="s">
        <v>7</v>
      </c>
      <c r="BC88" s="27" t="s">
        <v>8</v>
      </c>
      <c r="BF88" s="27" t="s">
        <v>7</v>
      </c>
      <c r="BG88" s="27" t="s">
        <v>8</v>
      </c>
      <c r="BH88" s="27" t="s">
        <v>7</v>
      </c>
      <c r="BI88" s="27" t="s">
        <v>8</v>
      </c>
      <c r="BJ88" s="27" t="s">
        <v>7</v>
      </c>
    </row>
    <row r="89" spans="1:62" x14ac:dyDescent="0.25">
      <c r="A89" s="30">
        <v>21.113776745352599</v>
      </c>
      <c r="E89"/>
      <c r="W89" s="27" t="s">
        <v>8</v>
      </c>
      <c r="AV89" s="27" t="s">
        <v>7</v>
      </c>
      <c r="AZ89" s="27" t="s">
        <v>7</v>
      </c>
      <c r="BA89" s="27" t="s">
        <v>8</v>
      </c>
      <c r="BC89" s="27" t="s">
        <v>8</v>
      </c>
      <c r="BF89" s="27" t="s">
        <v>7</v>
      </c>
      <c r="BH89" s="27" t="s">
        <v>7</v>
      </c>
      <c r="BJ89" s="27" t="s">
        <v>7</v>
      </c>
    </row>
    <row r="90" spans="1:62" x14ac:dyDescent="0.25">
      <c r="A90" s="30">
        <v>19.194342495775089</v>
      </c>
      <c r="E90"/>
      <c r="W90" s="27" t="s">
        <v>8</v>
      </c>
      <c r="AZ90" s="27" t="s">
        <v>7</v>
      </c>
      <c r="BA90" s="27" t="s">
        <v>8</v>
      </c>
      <c r="BB90" s="27" t="s">
        <v>7</v>
      </c>
      <c r="BC90" s="27" t="s">
        <v>8</v>
      </c>
      <c r="BJ90" s="27" t="s">
        <v>7</v>
      </c>
    </row>
    <row r="91" spans="1:62" x14ac:dyDescent="0.25">
      <c r="A91" s="30">
        <v>17.449402268886445</v>
      </c>
      <c r="E91"/>
      <c r="W91" s="27" t="s">
        <v>8</v>
      </c>
      <c r="AZ91" s="27" t="s">
        <v>7</v>
      </c>
      <c r="BA91" s="27" t="s">
        <v>8</v>
      </c>
      <c r="BB91" s="27" t="s">
        <v>7</v>
      </c>
      <c r="BC91" s="27" t="s">
        <v>8</v>
      </c>
      <c r="BJ91" s="27" t="s">
        <v>7</v>
      </c>
    </row>
    <row r="92" spans="1:62" x14ac:dyDescent="0.25">
      <c r="A92" s="30">
        <v>15.863092971714948</v>
      </c>
      <c r="C92" s="1" t="s">
        <v>15</v>
      </c>
      <c r="E92"/>
      <c r="W92" s="27" t="s">
        <v>8</v>
      </c>
      <c r="AZ92" s="27" t="s">
        <v>7</v>
      </c>
      <c r="BB92" s="18" t="s">
        <v>7</v>
      </c>
      <c r="BC92" s="27" t="s">
        <v>8</v>
      </c>
      <c r="BJ92" s="27" t="s">
        <v>7</v>
      </c>
    </row>
    <row r="93" spans="1:62" x14ac:dyDescent="0.25">
      <c r="A93" s="30">
        <v>14.420993610649951</v>
      </c>
      <c r="C93" s="7">
        <v>0.11167815779424731</v>
      </c>
      <c r="D93"/>
      <c r="E93"/>
      <c r="W93" s="27" t="s">
        <v>8</v>
      </c>
      <c r="BB93" s="27" t="s">
        <v>7</v>
      </c>
      <c r="BJ93" s="27" t="s">
        <v>7</v>
      </c>
    </row>
    <row r="94" spans="1:62" x14ac:dyDescent="0.25">
      <c r="A94" s="30">
        <v>13.109994191499954</v>
      </c>
      <c r="E94"/>
      <c r="W94" s="27" t="s">
        <v>8</v>
      </c>
      <c r="BJ94" s="27" t="s">
        <v>7</v>
      </c>
    </row>
    <row r="95" spans="1:62" x14ac:dyDescent="0.25">
      <c r="A95" s="30">
        <v>11.918176537727231</v>
      </c>
      <c r="C95" s="1" t="s">
        <v>11</v>
      </c>
      <c r="D95" s="1" t="s">
        <v>12</v>
      </c>
      <c r="E95"/>
      <c r="U95" s="27" t="s">
        <v>8</v>
      </c>
      <c r="W95" s="27" t="s">
        <v>8</v>
      </c>
      <c r="BJ95" s="27" t="s">
        <v>7</v>
      </c>
    </row>
    <row r="96" spans="1:62" x14ac:dyDescent="0.25">
      <c r="A96" s="30">
        <v>10.834705943388391</v>
      </c>
      <c r="C96"/>
      <c r="D96"/>
      <c r="E96"/>
      <c r="U96" s="27" t="s">
        <v>8</v>
      </c>
      <c r="V96" s="27" t="s">
        <v>7</v>
      </c>
      <c r="W96" s="27" t="s">
        <v>8</v>
      </c>
      <c r="BJ96" s="27" t="s">
        <v>7</v>
      </c>
    </row>
    <row r="97" spans="1:62" x14ac:dyDescent="0.25">
      <c r="A97" s="30">
        <v>9.849732675807628</v>
      </c>
      <c r="E97"/>
      <c r="S97" s="27" t="s">
        <v>8</v>
      </c>
      <c r="U97" s="27" t="s">
        <v>8</v>
      </c>
      <c r="V97" s="27" t="s">
        <v>7</v>
      </c>
      <c r="W97" s="27" t="s">
        <v>8</v>
      </c>
      <c r="BJ97" s="27" t="s">
        <v>7</v>
      </c>
    </row>
    <row r="98" spans="1:62" x14ac:dyDescent="0.25">
      <c r="A98" s="30">
        <v>8.9543024325523888</v>
      </c>
      <c r="C98" s="1" t="s">
        <v>13</v>
      </c>
      <c r="E98"/>
      <c r="S98" s="27" t="s">
        <v>8</v>
      </c>
      <c r="T98" s="27" t="s">
        <v>7</v>
      </c>
      <c r="U98" s="27" t="s">
        <v>8</v>
      </c>
      <c r="V98" s="27" t="s">
        <v>7</v>
      </c>
      <c r="W98" s="27" t="s">
        <v>8</v>
      </c>
      <c r="BJ98" s="27" t="s">
        <v>7</v>
      </c>
    </row>
    <row r="99" spans="1:62" x14ac:dyDescent="0.25">
      <c r="A99" s="30">
        <v>8.140274938683989</v>
      </c>
      <c r="C99" s="1">
        <f>C88</f>
        <v>0</v>
      </c>
      <c r="E99"/>
      <c r="S99" s="27" t="s">
        <v>8</v>
      </c>
      <c r="T99" s="27" t="s">
        <v>7</v>
      </c>
      <c r="U99" s="27" t="s">
        <v>8</v>
      </c>
      <c r="V99" s="27" t="s">
        <v>7</v>
      </c>
      <c r="W99" s="27" t="s">
        <v>8</v>
      </c>
      <c r="BJ99" s="27" t="s">
        <v>7</v>
      </c>
    </row>
    <row r="100" spans="1:62" x14ac:dyDescent="0.25">
      <c r="A100" s="30">
        <v>7.4002499442581717</v>
      </c>
      <c r="C100"/>
      <c r="D100"/>
      <c r="E100"/>
      <c r="S100" s="27" t="s">
        <v>8</v>
      </c>
      <c r="T100" s="27" t="s">
        <v>7</v>
      </c>
      <c r="V100" s="27" t="s">
        <v>7</v>
      </c>
      <c r="W100" s="27" t="s">
        <v>8</v>
      </c>
      <c r="BJ100" s="27" t="s">
        <v>7</v>
      </c>
    </row>
    <row r="101" spans="1:62" x14ac:dyDescent="0.25">
      <c r="A101" s="30">
        <v>6.72749994932561</v>
      </c>
      <c r="C101" s="1" t="s">
        <v>14</v>
      </c>
      <c r="E101"/>
      <c r="S101" s="27" t="s">
        <v>8</v>
      </c>
      <c r="V101" s="27" t="s">
        <v>7</v>
      </c>
      <c r="BJ101" s="27" t="s">
        <v>7</v>
      </c>
    </row>
    <row r="102" spans="1:6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S102" s="27" t="s">
        <v>8</v>
      </c>
    </row>
    <row r="103" spans="1:62" x14ac:dyDescent="0.25">
      <c r="A103" s="30">
        <v>5.5599173134922388</v>
      </c>
      <c r="E103"/>
      <c r="Q103" s="27" t="s">
        <v>8</v>
      </c>
      <c r="S103" s="27" t="s">
        <v>8</v>
      </c>
    </row>
    <row r="104" spans="1:62" x14ac:dyDescent="0.25">
      <c r="A104" s="30">
        <v>5.0544702849929442</v>
      </c>
      <c r="E104"/>
      <c r="K104" s="27" t="s">
        <v>8</v>
      </c>
      <c r="Q104" s="27" t="s">
        <v>8</v>
      </c>
      <c r="R104" s="27" t="s">
        <v>7</v>
      </c>
      <c r="S104" s="27" t="s">
        <v>8</v>
      </c>
    </row>
    <row r="105" spans="1:62" x14ac:dyDescent="0.25">
      <c r="A105" s="30">
        <v>4.594972986357222</v>
      </c>
      <c r="E105"/>
      <c r="G105" s="27" t="s">
        <v>8</v>
      </c>
      <c r="K105" s="27" t="s">
        <v>8</v>
      </c>
      <c r="L105" s="27" t="s">
        <v>7</v>
      </c>
      <c r="M105" s="27" t="s">
        <v>8</v>
      </c>
      <c r="O105" s="27" t="s">
        <v>8</v>
      </c>
      <c r="Q105" s="27" t="s">
        <v>8</v>
      </c>
      <c r="R105" s="27" t="s">
        <v>7</v>
      </c>
      <c r="S105" s="27" t="s">
        <v>8</v>
      </c>
    </row>
    <row r="106" spans="1:62" x14ac:dyDescent="0.25">
      <c r="A106" s="30">
        <v>4.1772481694156562</v>
      </c>
      <c r="E106"/>
      <c r="G106" s="27" t="s">
        <v>8</v>
      </c>
      <c r="H106" s="27" t="s">
        <v>7</v>
      </c>
      <c r="K106" s="27" t="s">
        <v>8</v>
      </c>
      <c r="L106" s="27" t="s">
        <v>7</v>
      </c>
      <c r="M106" s="27" t="s">
        <v>8</v>
      </c>
      <c r="N106" s="27" t="s">
        <v>7</v>
      </c>
      <c r="O106" s="27" t="s">
        <v>8</v>
      </c>
      <c r="P106" s="27" t="s">
        <v>7</v>
      </c>
      <c r="Q106" s="27" t="s">
        <v>8</v>
      </c>
      <c r="R106" s="27" t="s">
        <v>7</v>
      </c>
      <c r="S106" s="27" t="s">
        <v>8</v>
      </c>
    </row>
    <row r="107" spans="1:62" x14ac:dyDescent="0.25">
      <c r="A107" s="30">
        <v>3.7974983358324148</v>
      </c>
      <c r="E107"/>
      <c r="G107" s="27" t="s">
        <v>8</v>
      </c>
      <c r="H107" s="27" t="s">
        <v>7</v>
      </c>
      <c r="I107" s="27" t="s">
        <v>8</v>
      </c>
      <c r="K107" s="27" t="s">
        <v>8</v>
      </c>
      <c r="L107" s="27" t="s">
        <v>7</v>
      </c>
      <c r="M107" s="27" t="s">
        <v>8</v>
      </c>
      <c r="N107" s="27" t="s">
        <v>7</v>
      </c>
      <c r="O107" s="27" t="s">
        <v>8</v>
      </c>
      <c r="P107" s="27" t="s">
        <v>7</v>
      </c>
      <c r="Q107" s="27" t="s">
        <v>8</v>
      </c>
      <c r="R107" s="27" t="s">
        <v>7</v>
      </c>
    </row>
    <row r="108" spans="1:62" x14ac:dyDescent="0.25">
      <c r="A108" s="30">
        <v>3.4522712143931042</v>
      </c>
      <c r="E108" t="s">
        <v>8</v>
      </c>
      <c r="G108" s="27" t="s">
        <v>8</v>
      </c>
      <c r="H108" s="27" t="s">
        <v>7</v>
      </c>
      <c r="I108" s="27" t="s">
        <v>8</v>
      </c>
      <c r="J108" s="27" t="s">
        <v>7</v>
      </c>
      <c r="K108" s="27" t="s">
        <v>8</v>
      </c>
      <c r="L108" s="27" t="s">
        <v>7</v>
      </c>
      <c r="M108" s="27" t="s">
        <v>8</v>
      </c>
      <c r="N108" s="27" t="s">
        <v>7</v>
      </c>
      <c r="P108" s="27" t="s">
        <v>7</v>
      </c>
    </row>
    <row r="109" spans="1:62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H109" s="27" t="s">
        <v>7</v>
      </c>
      <c r="I109" s="27" t="s">
        <v>8</v>
      </c>
      <c r="J109" s="27" t="s">
        <v>7</v>
      </c>
      <c r="K109" s="27" t="s">
        <v>8</v>
      </c>
      <c r="L109" s="27" t="s">
        <v>7</v>
      </c>
      <c r="M109" s="27" t="s">
        <v>8</v>
      </c>
    </row>
    <row r="110" spans="1:62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H110" s="27" t="s">
        <v>7</v>
      </c>
      <c r="J110" s="27" t="s">
        <v>7</v>
      </c>
      <c r="K110" s="27" t="s">
        <v>8</v>
      </c>
      <c r="L110" s="27" t="s">
        <v>7</v>
      </c>
      <c r="M110" s="27" t="s">
        <v>8</v>
      </c>
    </row>
    <row r="111" spans="1:62" x14ac:dyDescent="0.25">
      <c r="A111" s="30">
        <v>2.5937424601000023</v>
      </c>
      <c r="C111" s="1" t="str">
        <f>ADDRESS(C121-1,1,1,1)</f>
        <v>$A$100</v>
      </c>
      <c r="D111" s="1" t="str">
        <f>ADDRESS(C121-1,D121,1,1)</f>
        <v>$BJ$100</v>
      </c>
      <c r="E111" t="s">
        <v>8</v>
      </c>
      <c r="F111" s="27" t="s">
        <v>7</v>
      </c>
      <c r="G111" s="27" t="s">
        <v>8</v>
      </c>
      <c r="J111" s="27" t="s">
        <v>7</v>
      </c>
      <c r="K111" s="27" t="s">
        <v>8</v>
      </c>
      <c r="L111" s="27" t="s">
        <v>7</v>
      </c>
    </row>
    <row r="112" spans="1:62" x14ac:dyDescent="0.25">
      <c r="A112" s="30">
        <v>2.3579476910000019</v>
      </c>
      <c r="C112" s="1" t="str">
        <f>ADDRESS(C121,1,1,1)</f>
        <v>$A$101</v>
      </c>
      <c r="D112" s="1" t="str">
        <f>ADDRESS(C121,D121-1,1,1)</f>
        <v>$BI$101</v>
      </c>
      <c r="E112" t="s">
        <v>8</v>
      </c>
      <c r="F112" s="27" t="s">
        <v>7</v>
      </c>
      <c r="J112" s="27" t="s">
        <v>7</v>
      </c>
      <c r="K112" s="27" t="s">
        <v>8</v>
      </c>
    </row>
    <row r="113" spans="1:10" x14ac:dyDescent="0.25">
      <c r="A113" s="30">
        <v>2.1435888100000016</v>
      </c>
      <c r="C113" s="1" t="str">
        <f>ADDRESS(C121+1,1,1,1)</f>
        <v>$A$102</v>
      </c>
      <c r="D113" s="1" t="str">
        <f>ADDRESS(C121-1,D121+1,1,1)</f>
        <v>$BK$100</v>
      </c>
      <c r="E113" s="1" t="s">
        <v>8</v>
      </c>
      <c r="J113" s="27" t="s">
        <v>7</v>
      </c>
    </row>
    <row r="114" spans="1:10" x14ac:dyDescent="0.25">
      <c r="A114" s="30">
        <v>1.9487171000000014</v>
      </c>
      <c r="C114" s="1" t="str">
        <f>ADDRESS(C121,D121,1,1)</f>
        <v>$BJ$101</v>
      </c>
      <c r="D114" s="1" t="str">
        <f>ADDRESS(C121+1,D121+1,1,1)</f>
        <v>$BK$102</v>
      </c>
      <c r="E114" s="1" t="s">
        <v>8</v>
      </c>
    </row>
    <row r="115" spans="1:10" x14ac:dyDescent="0.25">
      <c r="A115" s="30">
        <v>1.7715610000000011</v>
      </c>
      <c r="C115" s="1" t="str">
        <f>ADDRESS(C121+1,D121,1,1)</f>
        <v>$BJ$102</v>
      </c>
      <c r="E115" s="1" t="s">
        <v>8</v>
      </c>
    </row>
    <row r="116" spans="1:10" x14ac:dyDescent="0.25">
      <c r="A116" s="30">
        <v>1.6105100000000008</v>
      </c>
      <c r="C116" s="1">
        <f>C117-1</f>
        <v>100</v>
      </c>
      <c r="E116" s="1" t="s">
        <v>8</v>
      </c>
    </row>
    <row r="117" spans="1:10" x14ac:dyDescent="0.25">
      <c r="A117" s="30">
        <v>1.4641000000000006</v>
      </c>
      <c r="C117" s="1">
        <f>C121</f>
        <v>101</v>
      </c>
      <c r="D117" s="1">
        <f>D121</f>
        <v>62</v>
      </c>
      <c r="E117" s="1" t="s">
        <v>8</v>
      </c>
    </row>
    <row r="118" spans="1:10" x14ac:dyDescent="0.25">
      <c r="A118" s="30">
        <v>1.3310000000000004</v>
      </c>
      <c r="C118" s="1">
        <f>C117+1</f>
        <v>102</v>
      </c>
      <c r="D118" s="1">
        <f>D117+1</f>
        <v>63</v>
      </c>
      <c r="E118" s="1" t="s">
        <v>8</v>
      </c>
    </row>
    <row r="119" spans="1:10" x14ac:dyDescent="0.25">
      <c r="A119" s="30">
        <v>1.2100000000000002</v>
      </c>
      <c r="E119" s="1" t="s">
        <v>8</v>
      </c>
    </row>
    <row r="120" spans="1:10" x14ac:dyDescent="0.25">
      <c r="A120" s="30">
        <v>1.1000000000000001</v>
      </c>
      <c r="C120" s="1" t="s">
        <v>9</v>
      </c>
      <c r="E120" s="1" t="s">
        <v>8</v>
      </c>
    </row>
    <row r="121" spans="1:10" x14ac:dyDescent="0.25">
      <c r="A121" s="30">
        <v>1</v>
      </c>
      <c r="C121" s="18">
        <v>101</v>
      </c>
      <c r="D121" s="19">
        <v>62</v>
      </c>
      <c r="E121" s="18" t="s">
        <v>8</v>
      </c>
    </row>
    <row r="122" spans="1:10" x14ac:dyDescent="0.25">
      <c r="A122" s="30">
        <v>0.90909090909090895</v>
      </c>
      <c r="C122" s="1" t="str">
        <f>INDEX(1:1048576,C117,D117)</f>
        <v>O</v>
      </c>
    </row>
    <row r="123" spans="1:10" x14ac:dyDescent="0.25">
      <c r="A123" s="30">
        <v>0.82644628099173523</v>
      </c>
      <c r="C123" s="1" t="str">
        <f>"R"&amp;C121</f>
        <v>R101</v>
      </c>
      <c r="D123" s="1" t="str">
        <f>"C"&amp;D121</f>
        <v>C62</v>
      </c>
    </row>
    <row r="124" spans="1:10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10" x14ac:dyDescent="0.25">
      <c r="A125" s="30">
        <v>0.68301345536507019</v>
      </c>
    </row>
    <row r="126" spans="1:10" x14ac:dyDescent="0.25">
      <c r="A126" s="30">
        <v>0.6209213230591546</v>
      </c>
      <c r="C126" s="1" t="s">
        <v>10</v>
      </c>
    </row>
    <row r="127" spans="1:10" x14ac:dyDescent="0.25">
      <c r="A127" s="30">
        <v>0.56447393005377677</v>
      </c>
      <c r="C127" s="30">
        <v>6.72749994932561</v>
      </c>
      <c r="D127"/>
    </row>
    <row r="128" spans="1:10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83" operator="equal">
      <formula>$U$1</formula>
    </cfRule>
    <cfRule type="cellIs" dxfId="30" priority="884" operator="equal">
      <formula>$S$1</formula>
    </cfRule>
  </conditionalFormatting>
  <conditionalFormatting sqref="D136">
    <cfRule type="cellIs" dxfId="29" priority="881" operator="equal">
      <formula>$S$1</formula>
    </cfRule>
    <cfRule type="cellIs" dxfId="28" priority="882" operator="equal">
      <formula>$U$1</formula>
    </cfRule>
  </conditionalFormatting>
  <conditionalFormatting sqref="C102">
    <cfRule type="cellIs" dxfId="27" priority="879" operator="equal">
      <formula>$U$1</formula>
    </cfRule>
    <cfRule type="cellIs" dxfId="26" priority="880" operator="equal">
      <formula>$S$1</formula>
    </cfRule>
  </conditionalFormatting>
  <conditionalFormatting sqref="D102">
    <cfRule type="cellIs" dxfId="25" priority="877" operator="equal">
      <formula>$S$1</formula>
    </cfRule>
    <cfRule type="cellIs" dxfId="24" priority="878" operator="equal">
      <formula>$U$1</formula>
    </cfRule>
  </conditionalFormatting>
  <conditionalFormatting sqref="C77">
    <cfRule type="cellIs" dxfId="23" priority="875" operator="equal">
      <formula>$U$1</formula>
    </cfRule>
    <cfRule type="cellIs" dxfId="22" priority="876" operator="equal">
      <formula>$S$1</formula>
    </cfRule>
  </conditionalFormatting>
  <conditionalFormatting sqref="D77">
    <cfRule type="cellIs" dxfId="21" priority="873" operator="equal">
      <formula>$S$1</formula>
    </cfRule>
    <cfRule type="cellIs" dxfId="20" priority="874" operator="equal">
      <formula>$U$1</formula>
    </cfRule>
  </conditionalFormatting>
  <conditionalFormatting sqref="C52">
    <cfRule type="cellIs" dxfId="19" priority="871" operator="equal">
      <formula>$U$1</formula>
    </cfRule>
    <cfRule type="cellIs" dxfId="18" priority="872" operator="equal">
      <formula>$S$1</formula>
    </cfRule>
  </conditionalFormatting>
  <conditionalFormatting sqref="D52">
    <cfRule type="cellIs" dxfId="17" priority="869" operator="equal">
      <formula>$S$1</formula>
    </cfRule>
    <cfRule type="cellIs" dxfId="16" priority="870" operator="equal">
      <formula>$U$1</formula>
    </cfRule>
  </conditionalFormatting>
  <conditionalFormatting sqref="C26">
    <cfRule type="cellIs" dxfId="15" priority="867" operator="equal">
      <formula>$U$1</formula>
    </cfRule>
    <cfRule type="cellIs" dxfId="14" priority="868" operator="equal">
      <formula>$S$1</formula>
    </cfRule>
  </conditionalFormatting>
  <conditionalFormatting sqref="D26">
    <cfRule type="cellIs" dxfId="13" priority="865" operator="equal">
      <formula>$S$1</formula>
    </cfRule>
    <cfRule type="cellIs" dxfId="12" priority="86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2022-01-28T01:23:27Z</dcterms:modified>
</cp:coreProperties>
</file>